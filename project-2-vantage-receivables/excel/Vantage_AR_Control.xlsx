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2205D044-41AB-44DF-A225-CB36F93FED73}" xr6:coauthVersionLast="47" xr6:coauthVersionMax="47" xr10:uidLastSave="{00000000-0000-0000-0000-000000000000}"/>
  <bookViews>
    <workbookView xWindow="0" yWindow="0" windowWidth="25600" windowHeight="15280" xr2:uid="{D46CE338-FD0A-41E6-BB38-9EE5FB0A3FBF}"/>
  </bookViews>
  <sheets>
    <sheet name="README" sheetId="13" r:id="rId1"/>
    <sheet name="Dashboard" sheetId="14" r:id="rId2"/>
    <sheet name="Priority Queue" sheetId="15" r:id="rId3"/>
    <sheet name="Cash Application" sheetId="16" r:id="rId4"/>
    <sheet name="Ageing Matrix" sheetId="17" r:id="rId5"/>
    <sheet name="Validation" sheetId="18" r:id="rId6"/>
    <sheet name="Calc" sheetId="19" r:id="rId7"/>
    <sheet name="Control" sheetId="1" r:id="rId8"/>
    <sheet name="Data_OpenItems" sheetId="2" r:id="rId9"/>
    <sheet name="Data_Queue" sheetId="3" r:id="rId10"/>
    <sheet name="Data_KPI" sheetId="4" r:id="rId11"/>
    <sheet name="Data_Bridge" sheetId="5" r:id="rId12"/>
    <sheet name="Data_Sales" sheetId="6" r:id="rId13"/>
    <sheet name="Data_Targets" sheetId="7" r:id="rId14"/>
    <sheet name="Data_Buckets" sheetId="8" r:id="rId15"/>
    <sheet name="Data_CashApp" sheetId="9" r:id="rId16"/>
    <sheet name="Data_Promise" sheetId="10" r:id="rId17"/>
    <sheet name="Data_Lag" sheetId="11" r:id="rId18"/>
    <sheet name="Data_DQ" sheetId="12" r:id="rId19"/>
  </sheets>
  <definedNames>
    <definedName name="AsOfDate">Control!$B$5</definedName>
    <definedName name="Bucket90Threshold">Control!$B$9</definedName>
    <definedName name="CallsPerCollectorPerDay">Control!$B$7</definedName>
    <definedName name="DisputeDiscount">Control!$B$8</definedName>
    <definedName name="ExternalData_1" localSheetId="11" hidden="1">Data_Bridge!$A$1:$R$24</definedName>
    <definedName name="ExternalData_1" localSheetId="14" hidden="1">Data_Buckets!$A$1:$E$6</definedName>
    <definedName name="ExternalData_1" localSheetId="15" hidden="1">Data_CashApp!$A$1:$O$98</definedName>
    <definedName name="ExternalData_1" localSheetId="18" hidden="1">Data_DQ!$A$1:$H$13</definedName>
    <definedName name="ExternalData_1" localSheetId="10" hidden="1">Data_KPI!$A$1:$AH$24</definedName>
    <definedName name="ExternalData_1" localSheetId="17" hidden="1">Data_Lag!$A$1:$F$121</definedName>
    <definedName name="ExternalData_1" localSheetId="8" hidden="1">Data_OpenItems!$A$1:$AE$2347</definedName>
    <definedName name="ExternalData_1" localSheetId="16" hidden="1">Data_Promise!$A$1:$M$1348</definedName>
    <definedName name="ExternalData_1" localSheetId="9" hidden="1">Data_Queue!$A$1:$AD$273</definedName>
    <definedName name="ExternalData_1" localSheetId="12" hidden="1">Data_Sales!$A$1:$J$25</definedName>
    <definedName name="ExternalData_1" localSheetId="13" hidden="1">Data_Targets!$A$1:$F$11</definedName>
    <definedName name="QueueRowsShown">Control!$B$10</definedName>
    <definedName name="SourceFolder">Control!$B$6</definedName>
    <definedName name="xlADD">Calc!$C$23</definedName>
    <definedName name="xlBPDSO">Calc!$C$22</definedName>
    <definedName name="xlDSOCountback">Calc!$C$20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6" i="1" l="1"/>
  <c r="C31" i="18"/>
  <c r="D30" i="18"/>
  <c r="C30" i="18"/>
  <c r="E30" i="18" s="1"/>
  <c r="F30" i="18" s="1"/>
  <c r="B30" i="18"/>
  <c r="D29" i="18"/>
  <c r="C29" i="18"/>
  <c r="E29" i="18" s="1"/>
  <c r="F29" i="18" s="1"/>
  <c r="B29" i="18"/>
  <c r="D28" i="18"/>
  <c r="C28" i="18"/>
  <c r="E28" i="18" s="1"/>
  <c r="F28" i="18" s="1"/>
  <c r="B28" i="18"/>
  <c r="D27" i="18"/>
  <c r="C27" i="18"/>
  <c r="E27" i="18" s="1"/>
  <c r="F27" i="18" s="1"/>
  <c r="B27" i="18"/>
  <c r="D26" i="18"/>
  <c r="C26" i="18"/>
  <c r="E26" i="18" s="1"/>
  <c r="F26" i="18" s="1"/>
  <c r="B26" i="18"/>
  <c r="D25" i="18"/>
  <c r="C25" i="18"/>
  <c r="E25" i="18" s="1"/>
  <c r="F25" i="18" s="1"/>
  <c r="C24" i="18"/>
  <c r="C23" i="18"/>
  <c r="C22" i="18"/>
  <c r="D21" i="18"/>
  <c r="C21" i="18"/>
  <c r="E21" i="18" s="1"/>
  <c r="F21" i="18" s="1"/>
  <c r="C20" i="18"/>
  <c r="C19" i="18"/>
  <c r="C18" i="18"/>
  <c r="C17" i="18"/>
  <c r="C16" i="18"/>
  <c r="C15" i="18"/>
  <c r="C14" i="18"/>
  <c r="C13" i="18"/>
  <c r="C12" i="18"/>
  <c r="C11" i="18"/>
  <c r="C10" i="18"/>
  <c r="C9" i="18"/>
  <c r="E9" i="18" s="1"/>
  <c r="F9" i="18" s="1"/>
  <c r="C8" i="18"/>
  <c r="C7" i="18"/>
  <c r="C6" i="18"/>
  <c r="C5" i="18"/>
  <c r="A12" i="17"/>
  <c r="A11" i="17"/>
  <c r="A10" i="17"/>
  <c r="A9" i="17"/>
  <c r="A8" i="17"/>
  <c r="A7" i="17"/>
  <c r="F6" i="17"/>
  <c r="E6" i="17"/>
  <c r="D6" i="17"/>
  <c r="C6" i="17"/>
  <c r="B6" i="17"/>
  <c r="O40" i="16"/>
  <c r="N40" i="16"/>
  <c r="M40" i="16"/>
  <c r="L40" i="16"/>
  <c r="K40" i="16"/>
  <c r="J40" i="16"/>
  <c r="I40" i="16"/>
  <c r="H40" i="16"/>
  <c r="G40" i="16"/>
  <c r="F40" i="16"/>
  <c r="E40" i="16"/>
  <c r="D40" i="16"/>
  <c r="C40" i="16"/>
  <c r="B40" i="16"/>
  <c r="A40" i="16"/>
  <c r="O39" i="16"/>
  <c r="N39" i="16"/>
  <c r="M39" i="16"/>
  <c r="L39" i="16"/>
  <c r="K39" i="16"/>
  <c r="J39" i="16"/>
  <c r="I39" i="16"/>
  <c r="H39" i="16"/>
  <c r="G39" i="16"/>
  <c r="F39" i="16"/>
  <c r="E39" i="16"/>
  <c r="D39" i="16"/>
  <c r="C39" i="16"/>
  <c r="B39" i="16"/>
  <c r="A39" i="16"/>
  <c r="O38" i="16"/>
  <c r="N38" i="16"/>
  <c r="M38" i="16"/>
  <c r="L38" i="16"/>
  <c r="K38" i="16"/>
  <c r="J38" i="16"/>
  <c r="I38" i="16"/>
  <c r="H38" i="16"/>
  <c r="G38" i="16"/>
  <c r="F38" i="16"/>
  <c r="E38" i="16"/>
  <c r="D38" i="16"/>
  <c r="C38" i="16"/>
  <c r="B38" i="16"/>
  <c r="A38" i="16"/>
  <c r="O37" i="16"/>
  <c r="N37" i="16"/>
  <c r="M37" i="16"/>
  <c r="L37" i="16"/>
  <c r="K37" i="16"/>
  <c r="J37" i="16"/>
  <c r="I37" i="16"/>
  <c r="H37" i="16"/>
  <c r="G37" i="16"/>
  <c r="F37" i="16"/>
  <c r="E37" i="16"/>
  <c r="D37" i="16"/>
  <c r="C37" i="16"/>
  <c r="B37" i="16"/>
  <c r="A37" i="16"/>
  <c r="O36" i="16"/>
  <c r="N36" i="16"/>
  <c r="M36" i="16"/>
  <c r="L36" i="16"/>
  <c r="K36" i="16"/>
  <c r="J36" i="16"/>
  <c r="I36" i="16"/>
  <c r="H36" i="16"/>
  <c r="G36" i="16"/>
  <c r="F36" i="16"/>
  <c r="E36" i="16"/>
  <c r="D36" i="16"/>
  <c r="C36" i="16"/>
  <c r="B36" i="16"/>
  <c r="A36" i="16"/>
  <c r="O35" i="16"/>
  <c r="N35" i="16"/>
  <c r="M35" i="16"/>
  <c r="L35" i="16"/>
  <c r="K35" i="16"/>
  <c r="J35" i="16"/>
  <c r="I35" i="16"/>
  <c r="H35" i="16"/>
  <c r="G35" i="16"/>
  <c r="F35" i="16"/>
  <c r="E35" i="16"/>
  <c r="D35" i="16"/>
  <c r="C35" i="16"/>
  <c r="B35" i="16"/>
  <c r="A35" i="16"/>
  <c r="O34" i="16"/>
  <c r="N34" i="16"/>
  <c r="M34" i="16"/>
  <c r="L34" i="16"/>
  <c r="K34" i="16"/>
  <c r="J34" i="16"/>
  <c r="I34" i="16"/>
  <c r="H34" i="16"/>
  <c r="G34" i="16"/>
  <c r="F34" i="16"/>
  <c r="E34" i="16"/>
  <c r="D34" i="16"/>
  <c r="C34" i="16"/>
  <c r="B34" i="16"/>
  <c r="A34" i="16"/>
  <c r="O33" i="16"/>
  <c r="N33" i="16"/>
  <c r="M33" i="16"/>
  <c r="L33" i="16"/>
  <c r="K33" i="16"/>
  <c r="J33" i="16"/>
  <c r="I33" i="16"/>
  <c r="H33" i="16"/>
  <c r="G33" i="16"/>
  <c r="F33" i="16"/>
  <c r="E33" i="16"/>
  <c r="D33" i="16"/>
  <c r="C33" i="16"/>
  <c r="B33" i="16"/>
  <c r="A33" i="16"/>
  <c r="O32" i="16"/>
  <c r="N32" i="16"/>
  <c r="M32" i="16"/>
  <c r="L32" i="16"/>
  <c r="K32" i="16"/>
  <c r="J32" i="16"/>
  <c r="I32" i="16"/>
  <c r="H32" i="16"/>
  <c r="G32" i="16"/>
  <c r="F32" i="16"/>
  <c r="E32" i="16"/>
  <c r="D32" i="16"/>
  <c r="C32" i="16"/>
  <c r="B32" i="16"/>
  <c r="A32" i="16"/>
  <c r="O31" i="16"/>
  <c r="N31" i="16"/>
  <c r="M31" i="16"/>
  <c r="L31" i="16"/>
  <c r="K31" i="16"/>
  <c r="J31" i="16"/>
  <c r="I31" i="16"/>
  <c r="H31" i="16"/>
  <c r="G31" i="16"/>
  <c r="F31" i="16"/>
  <c r="E31" i="16"/>
  <c r="D31" i="16"/>
  <c r="C31" i="16"/>
  <c r="B31" i="16"/>
  <c r="A31" i="16"/>
  <c r="O30" i="16"/>
  <c r="N30" i="16"/>
  <c r="M30" i="16"/>
  <c r="L30" i="16"/>
  <c r="K30" i="16"/>
  <c r="J30" i="16"/>
  <c r="I30" i="16"/>
  <c r="H30" i="16"/>
  <c r="G30" i="16"/>
  <c r="F30" i="16"/>
  <c r="E30" i="16"/>
  <c r="D30" i="16"/>
  <c r="C30" i="16"/>
  <c r="B30" i="16"/>
  <c r="A30" i="16"/>
  <c r="O29" i="16"/>
  <c r="N29" i="16"/>
  <c r="M29" i="16"/>
  <c r="L29" i="16"/>
  <c r="K29" i="16"/>
  <c r="J29" i="16"/>
  <c r="I29" i="16"/>
  <c r="H29" i="16"/>
  <c r="G29" i="16"/>
  <c r="F29" i="16"/>
  <c r="E29" i="16"/>
  <c r="D29" i="16"/>
  <c r="C29" i="16"/>
  <c r="B29" i="16"/>
  <c r="A29" i="16"/>
  <c r="O28" i="16"/>
  <c r="N28" i="16"/>
  <c r="M28" i="16"/>
  <c r="L28" i="16"/>
  <c r="K28" i="16"/>
  <c r="J28" i="16"/>
  <c r="I28" i="16"/>
  <c r="H28" i="16"/>
  <c r="G28" i="16"/>
  <c r="F28" i="16"/>
  <c r="E28" i="16"/>
  <c r="D28" i="16"/>
  <c r="C28" i="16"/>
  <c r="B28" i="16"/>
  <c r="A28" i="16"/>
  <c r="O27" i="16"/>
  <c r="N27" i="16"/>
  <c r="M27" i="16"/>
  <c r="L27" i="16"/>
  <c r="K27" i="16"/>
  <c r="J27" i="16"/>
  <c r="I27" i="16"/>
  <c r="H27" i="16"/>
  <c r="G27" i="16"/>
  <c r="F27" i="16"/>
  <c r="E27" i="16"/>
  <c r="D27" i="16"/>
  <c r="C27" i="16"/>
  <c r="B27" i="16"/>
  <c r="A27" i="16"/>
  <c r="O26" i="16"/>
  <c r="N26" i="16"/>
  <c r="M26" i="16"/>
  <c r="L26" i="16"/>
  <c r="K26" i="16"/>
  <c r="J26" i="16"/>
  <c r="I26" i="16"/>
  <c r="H26" i="16"/>
  <c r="G26" i="16"/>
  <c r="F26" i="16"/>
  <c r="E26" i="16"/>
  <c r="D26" i="16"/>
  <c r="C26" i="16"/>
  <c r="B26" i="16"/>
  <c r="A26" i="16"/>
  <c r="O25" i="16"/>
  <c r="N25" i="16"/>
  <c r="M25" i="16"/>
  <c r="L25" i="16"/>
  <c r="K25" i="16"/>
  <c r="J25" i="16"/>
  <c r="I25" i="16"/>
  <c r="H25" i="16"/>
  <c r="G25" i="16"/>
  <c r="F25" i="16"/>
  <c r="E25" i="16"/>
  <c r="D25" i="16"/>
  <c r="C25" i="16"/>
  <c r="B25" i="16"/>
  <c r="A25" i="16"/>
  <c r="O24" i="16"/>
  <c r="N24" i="16"/>
  <c r="M24" i="16"/>
  <c r="L24" i="16"/>
  <c r="K24" i="16"/>
  <c r="J24" i="16"/>
  <c r="I24" i="16"/>
  <c r="H24" i="16"/>
  <c r="G24" i="16"/>
  <c r="F24" i="16"/>
  <c r="E24" i="16"/>
  <c r="D24" i="16"/>
  <c r="C24" i="16"/>
  <c r="B24" i="16"/>
  <c r="A24" i="16"/>
  <c r="O23" i="16"/>
  <c r="N23" i="16"/>
  <c r="M23" i="16"/>
  <c r="L23" i="16"/>
  <c r="K23" i="16"/>
  <c r="J23" i="16"/>
  <c r="I23" i="16"/>
  <c r="H23" i="16"/>
  <c r="G23" i="16"/>
  <c r="F23" i="16"/>
  <c r="E23" i="16"/>
  <c r="D23" i="16"/>
  <c r="C23" i="16"/>
  <c r="B23" i="16"/>
  <c r="A23" i="16"/>
  <c r="O22" i="16"/>
  <c r="N22" i="16"/>
  <c r="M22" i="16"/>
  <c r="L22" i="16"/>
  <c r="K22" i="16"/>
  <c r="J22" i="16"/>
  <c r="I22" i="16"/>
  <c r="H22" i="16"/>
  <c r="G22" i="16"/>
  <c r="F22" i="16"/>
  <c r="E22" i="16"/>
  <c r="D22" i="16"/>
  <c r="C22" i="16"/>
  <c r="B22" i="16"/>
  <c r="A22" i="16"/>
  <c r="O21" i="16"/>
  <c r="N21" i="16"/>
  <c r="M21" i="16"/>
  <c r="L21" i="16"/>
  <c r="K21" i="16"/>
  <c r="J21" i="16"/>
  <c r="I21" i="16"/>
  <c r="H21" i="16"/>
  <c r="G21" i="16"/>
  <c r="F21" i="16"/>
  <c r="E21" i="16"/>
  <c r="D21" i="16"/>
  <c r="C21" i="16"/>
  <c r="B21" i="16"/>
  <c r="A21" i="16"/>
  <c r="O20" i="16"/>
  <c r="N20" i="16"/>
  <c r="M20" i="16"/>
  <c r="L20" i="16"/>
  <c r="K20" i="16"/>
  <c r="J20" i="16"/>
  <c r="I20" i="16"/>
  <c r="H20" i="16"/>
  <c r="G20" i="16"/>
  <c r="F20" i="16"/>
  <c r="E20" i="16"/>
  <c r="D20" i="16"/>
  <c r="C20" i="16"/>
  <c r="B20" i="16"/>
  <c r="A20" i="16"/>
  <c r="O19" i="16"/>
  <c r="N19" i="16"/>
  <c r="M19" i="16"/>
  <c r="L19" i="16"/>
  <c r="K19" i="16"/>
  <c r="J19" i="16"/>
  <c r="I19" i="16"/>
  <c r="H19" i="16"/>
  <c r="G19" i="16"/>
  <c r="F19" i="16"/>
  <c r="E19" i="16"/>
  <c r="D19" i="16"/>
  <c r="C19" i="16"/>
  <c r="B19" i="16"/>
  <c r="A19" i="16"/>
  <c r="O18" i="16"/>
  <c r="N18" i="16"/>
  <c r="M18" i="16"/>
  <c r="L18" i="16"/>
  <c r="K18" i="16"/>
  <c r="J18" i="16"/>
  <c r="I18" i="16"/>
  <c r="H18" i="16"/>
  <c r="G18" i="16"/>
  <c r="F18" i="16"/>
  <c r="E18" i="16"/>
  <c r="D18" i="16"/>
  <c r="C18" i="16"/>
  <c r="B18" i="16"/>
  <c r="A18" i="16"/>
  <c r="O17" i="16"/>
  <c r="N17" i="16"/>
  <c r="M17" i="16"/>
  <c r="L17" i="16"/>
  <c r="K17" i="16"/>
  <c r="J17" i="16"/>
  <c r="I17" i="16"/>
  <c r="H17" i="16"/>
  <c r="G17" i="16"/>
  <c r="F17" i="16"/>
  <c r="E17" i="16"/>
  <c r="D17" i="16"/>
  <c r="C17" i="16"/>
  <c r="B17" i="16"/>
  <c r="A17" i="16"/>
  <c r="O16" i="16"/>
  <c r="N16" i="16"/>
  <c r="M16" i="16"/>
  <c r="L16" i="16"/>
  <c r="K16" i="16"/>
  <c r="J16" i="16"/>
  <c r="I16" i="16"/>
  <c r="H16" i="16"/>
  <c r="G16" i="16"/>
  <c r="F16" i="16"/>
  <c r="E16" i="16"/>
  <c r="D16" i="16"/>
  <c r="C16" i="16"/>
  <c r="B16" i="16"/>
  <c r="A16" i="16"/>
  <c r="O15" i="16"/>
  <c r="N15" i="16"/>
  <c r="M15" i="16"/>
  <c r="L15" i="16"/>
  <c r="K15" i="16"/>
  <c r="J15" i="16"/>
  <c r="I15" i="16"/>
  <c r="H15" i="16"/>
  <c r="G15" i="16"/>
  <c r="F15" i="16"/>
  <c r="E15" i="16"/>
  <c r="D15" i="16"/>
  <c r="C15" i="16"/>
  <c r="B15" i="16"/>
  <c r="A15" i="16"/>
  <c r="O14" i="16"/>
  <c r="N14" i="16"/>
  <c r="M14" i="16"/>
  <c r="L14" i="16"/>
  <c r="K14" i="16"/>
  <c r="J14" i="16"/>
  <c r="I14" i="16"/>
  <c r="H14" i="16"/>
  <c r="G14" i="16"/>
  <c r="F14" i="16"/>
  <c r="E14" i="16"/>
  <c r="D14" i="16"/>
  <c r="C14" i="16"/>
  <c r="B14" i="16"/>
  <c r="A14" i="16"/>
  <c r="O13" i="16"/>
  <c r="N13" i="16"/>
  <c r="M13" i="16"/>
  <c r="L13" i="16"/>
  <c r="K13" i="16"/>
  <c r="J13" i="16"/>
  <c r="I13" i="16"/>
  <c r="H13" i="16"/>
  <c r="G13" i="16"/>
  <c r="F13" i="16"/>
  <c r="E13" i="16"/>
  <c r="D13" i="16"/>
  <c r="C13" i="16"/>
  <c r="B13" i="16"/>
  <c r="A13" i="16"/>
  <c r="O12" i="16"/>
  <c r="N12" i="16"/>
  <c r="M12" i="16"/>
  <c r="L12" i="16"/>
  <c r="K12" i="16"/>
  <c r="J12" i="16"/>
  <c r="I12" i="16"/>
  <c r="H12" i="16"/>
  <c r="G12" i="16"/>
  <c r="F12" i="16"/>
  <c r="E12" i="16"/>
  <c r="D12" i="16"/>
  <c r="C12" i="16"/>
  <c r="B12" i="16"/>
  <c r="A12" i="16"/>
  <c r="O11" i="16"/>
  <c r="N11" i="16"/>
  <c r="M11" i="16"/>
  <c r="L11" i="16"/>
  <c r="K11" i="16"/>
  <c r="J11" i="16"/>
  <c r="I11" i="16"/>
  <c r="H11" i="16"/>
  <c r="G11" i="16"/>
  <c r="F11" i="16"/>
  <c r="E11" i="16"/>
  <c r="D11" i="16"/>
  <c r="C11" i="16"/>
  <c r="B11" i="16"/>
  <c r="A11" i="16"/>
  <c r="H7" i="16"/>
  <c r="F8" i="16"/>
  <c r="F7" i="16"/>
  <c r="F6" i="16"/>
  <c r="F5" i="16"/>
  <c r="F4" i="16"/>
  <c r="C37" i="14"/>
  <c r="B37" i="14"/>
  <c r="A37" i="14"/>
  <c r="C36" i="14"/>
  <c r="B36" i="14"/>
  <c r="A36" i="14"/>
  <c r="C35" i="14"/>
  <c r="B35" i="14"/>
  <c r="A35" i="14"/>
  <c r="C34" i="14"/>
  <c r="B34" i="14"/>
  <c r="A34" i="14"/>
  <c r="C33" i="14"/>
  <c r="B33" i="14"/>
  <c r="B38" i="14" s="1"/>
  <c r="A33" i="14"/>
  <c r="G29" i="14"/>
  <c r="D29" i="14"/>
  <c r="C29" i="14"/>
  <c r="D28" i="14"/>
  <c r="C28" i="14"/>
  <c r="G27" i="14"/>
  <c r="D27" i="14"/>
  <c r="C27" i="14"/>
  <c r="G26" i="14"/>
  <c r="D26" i="14"/>
  <c r="C26" i="14"/>
  <c r="F26" i="14" s="1"/>
  <c r="B26" i="14"/>
  <c r="E26" i="14" s="1"/>
  <c r="D25" i="14"/>
  <c r="C25" i="14"/>
  <c r="D24" i="14"/>
  <c r="C24" i="14"/>
  <c r="D23" i="14"/>
  <c r="C23" i="14"/>
  <c r="D22" i="14"/>
  <c r="C22" i="14"/>
  <c r="F15" i="14"/>
  <c r="C13" i="14"/>
  <c r="D9" i="18" s="1"/>
  <c r="C12" i="14"/>
  <c r="C11" i="14"/>
  <c r="C10" i="14"/>
  <c r="C9" i="14"/>
  <c r="C8" i="14"/>
  <c r="B299" i="19"/>
  <c r="C299" i="19" s="1"/>
  <c r="B298" i="19"/>
  <c r="C298" i="19" s="1"/>
  <c r="B297" i="19"/>
  <c r="C297" i="19" s="1"/>
  <c r="B296" i="19"/>
  <c r="C296" i="19" s="1"/>
  <c r="B295" i="19"/>
  <c r="C295" i="19" s="1"/>
  <c r="B294" i="19"/>
  <c r="C294" i="19" s="1"/>
  <c r="B293" i="19"/>
  <c r="C293" i="19" s="1"/>
  <c r="B292" i="19"/>
  <c r="C292" i="19" s="1"/>
  <c r="B291" i="19"/>
  <c r="C291" i="19" s="1"/>
  <c r="B290" i="19"/>
  <c r="C290" i="19" s="1"/>
  <c r="B289" i="19"/>
  <c r="C289" i="19" s="1"/>
  <c r="B288" i="19"/>
  <c r="C288" i="19" s="1"/>
  <c r="B287" i="19"/>
  <c r="C287" i="19" s="1"/>
  <c r="B286" i="19"/>
  <c r="C286" i="19" s="1"/>
  <c r="B285" i="19"/>
  <c r="C285" i="19" s="1"/>
  <c r="B284" i="19"/>
  <c r="C284" i="19" s="1"/>
  <c r="B283" i="19"/>
  <c r="C283" i="19" s="1"/>
  <c r="B282" i="19"/>
  <c r="C282" i="19" s="1"/>
  <c r="B281" i="19"/>
  <c r="C281" i="19" s="1"/>
  <c r="B280" i="19"/>
  <c r="C280" i="19" s="1"/>
  <c r="B279" i="19"/>
  <c r="C279" i="19" s="1"/>
  <c r="B278" i="19"/>
  <c r="C278" i="19" s="1"/>
  <c r="B277" i="19"/>
  <c r="C277" i="19" s="1"/>
  <c r="B276" i="19"/>
  <c r="C276" i="19" s="1"/>
  <c r="B275" i="19"/>
  <c r="C275" i="19" s="1"/>
  <c r="B274" i="19"/>
  <c r="C274" i="19" s="1"/>
  <c r="B273" i="19"/>
  <c r="C273" i="19" s="1"/>
  <c r="B272" i="19"/>
  <c r="C272" i="19" s="1"/>
  <c r="B271" i="19"/>
  <c r="C271" i="19" s="1"/>
  <c r="B270" i="19"/>
  <c r="C270" i="19" s="1"/>
  <c r="B269" i="19"/>
  <c r="C269" i="19" s="1"/>
  <c r="B268" i="19"/>
  <c r="C268" i="19" s="1"/>
  <c r="B267" i="19"/>
  <c r="C267" i="19" s="1"/>
  <c r="B266" i="19"/>
  <c r="C266" i="19" s="1"/>
  <c r="B265" i="19"/>
  <c r="C265" i="19" s="1"/>
  <c r="B264" i="19"/>
  <c r="C264" i="19" s="1"/>
  <c r="B263" i="19"/>
  <c r="C263" i="19" s="1"/>
  <c r="B262" i="19"/>
  <c r="C262" i="19" s="1"/>
  <c r="B261" i="19"/>
  <c r="C261" i="19" s="1"/>
  <c r="B260" i="19"/>
  <c r="C260" i="19" s="1"/>
  <c r="B259" i="19"/>
  <c r="C259" i="19" s="1"/>
  <c r="B258" i="19"/>
  <c r="C258" i="19" s="1"/>
  <c r="B257" i="19"/>
  <c r="C257" i="19" s="1"/>
  <c r="B256" i="19"/>
  <c r="C256" i="19" s="1"/>
  <c r="B255" i="19"/>
  <c r="C255" i="19" s="1"/>
  <c r="B254" i="19"/>
  <c r="C254" i="19" s="1"/>
  <c r="B253" i="19"/>
  <c r="C253" i="19" s="1"/>
  <c r="B252" i="19"/>
  <c r="C252" i="19" s="1"/>
  <c r="B251" i="19"/>
  <c r="C251" i="19" s="1"/>
  <c r="B250" i="19"/>
  <c r="C250" i="19" s="1"/>
  <c r="B249" i="19"/>
  <c r="C249" i="19" s="1"/>
  <c r="B248" i="19"/>
  <c r="C248" i="19" s="1"/>
  <c r="B247" i="19"/>
  <c r="C247" i="19" s="1"/>
  <c r="B246" i="19"/>
  <c r="B245" i="19"/>
  <c r="C245" i="19" s="1"/>
  <c r="B244" i="19"/>
  <c r="C244" i="19" s="1"/>
  <c r="B243" i="19"/>
  <c r="C243" i="19" s="1"/>
  <c r="B242" i="19"/>
  <c r="C242" i="19" s="1"/>
  <c r="B241" i="19"/>
  <c r="C241" i="19" s="1"/>
  <c r="B240" i="19"/>
  <c r="C240" i="19" s="1"/>
  <c r="B239" i="19"/>
  <c r="C239" i="19" s="1"/>
  <c r="B238" i="19"/>
  <c r="C238" i="19" s="1"/>
  <c r="B237" i="19"/>
  <c r="C237" i="19" s="1"/>
  <c r="B236" i="19"/>
  <c r="C236" i="19" s="1"/>
  <c r="B235" i="19"/>
  <c r="C235" i="19" s="1"/>
  <c r="B234" i="19"/>
  <c r="C234" i="19" s="1"/>
  <c r="B233" i="19"/>
  <c r="C233" i="19" s="1"/>
  <c r="B232" i="19"/>
  <c r="C232" i="19" s="1"/>
  <c r="B231" i="19"/>
  <c r="C231" i="19" s="1"/>
  <c r="B230" i="19"/>
  <c r="C230" i="19" s="1"/>
  <c r="B229" i="19"/>
  <c r="C229" i="19" s="1"/>
  <c r="B228" i="19"/>
  <c r="C228" i="19" s="1"/>
  <c r="B227" i="19"/>
  <c r="C227" i="19" s="1"/>
  <c r="B226" i="19"/>
  <c r="C226" i="19" s="1"/>
  <c r="B225" i="19"/>
  <c r="B224" i="19"/>
  <c r="C224" i="19" s="1"/>
  <c r="B223" i="19"/>
  <c r="C223" i="19" s="1"/>
  <c r="B222" i="19"/>
  <c r="C222" i="19" s="1"/>
  <c r="B221" i="19"/>
  <c r="C221" i="19" s="1"/>
  <c r="B220" i="19"/>
  <c r="C220" i="19" s="1"/>
  <c r="B219" i="19"/>
  <c r="C219" i="19" s="1"/>
  <c r="B218" i="19"/>
  <c r="C218" i="19" s="1"/>
  <c r="B217" i="19"/>
  <c r="C217" i="19" s="1"/>
  <c r="B216" i="19"/>
  <c r="C216" i="19" s="1"/>
  <c r="B215" i="19"/>
  <c r="C215" i="19" s="1"/>
  <c r="B214" i="19"/>
  <c r="C214" i="19" s="1"/>
  <c r="B213" i="19"/>
  <c r="C213" i="19" s="1"/>
  <c r="B212" i="19"/>
  <c r="C212" i="19" s="1"/>
  <c r="B211" i="19"/>
  <c r="C211" i="19" s="1"/>
  <c r="B210" i="19"/>
  <c r="C210" i="19" s="1"/>
  <c r="B209" i="19"/>
  <c r="C209" i="19" s="1"/>
  <c r="B208" i="19"/>
  <c r="C208" i="19" s="1"/>
  <c r="B207" i="19"/>
  <c r="C207" i="19" s="1"/>
  <c r="B206" i="19"/>
  <c r="C206" i="19" s="1"/>
  <c r="B205" i="19"/>
  <c r="C205" i="19" s="1"/>
  <c r="B204" i="19"/>
  <c r="C204" i="19" s="1"/>
  <c r="B203" i="19"/>
  <c r="C203" i="19" s="1"/>
  <c r="B202" i="19"/>
  <c r="C202" i="19" s="1"/>
  <c r="B201" i="19"/>
  <c r="C201" i="19" s="1"/>
  <c r="B200" i="19"/>
  <c r="C200" i="19" s="1"/>
  <c r="B199" i="19"/>
  <c r="C199" i="19" s="1"/>
  <c r="B198" i="19"/>
  <c r="C198" i="19" s="1"/>
  <c r="B197" i="19"/>
  <c r="C197" i="19" s="1"/>
  <c r="B196" i="19"/>
  <c r="C196" i="19" s="1"/>
  <c r="B195" i="19"/>
  <c r="C195" i="19" s="1"/>
  <c r="B194" i="19"/>
  <c r="C194" i="19" s="1"/>
  <c r="B193" i="19"/>
  <c r="C193" i="19" s="1"/>
  <c r="B192" i="19"/>
  <c r="C192" i="19" s="1"/>
  <c r="B191" i="19"/>
  <c r="C191" i="19" s="1"/>
  <c r="B190" i="19"/>
  <c r="C190" i="19" s="1"/>
  <c r="B189" i="19"/>
  <c r="C189" i="19" s="1"/>
  <c r="B188" i="19"/>
  <c r="C188" i="19" s="1"/>
  <c r="B187" i="19"/>
  <c r="C187" i="19" s="1"/>
  <c r="B186" i="19"/>
  <c r="B185" i="19"/>
  <c r="C185" i="19" s="1"/>
  <c r="B184" i="19"/>
  <c r="C184" i="19" s="1"/>
  <c r="B183" i="19"/>
  <c r="C183" i="19" s="1"/>
  <c r="B182" i="19"/>
  <c r="C182" i="19" s="1"/>
  <c r="B181" i="19"/>
  <c r="C181" i="19" s="1"/>
  <c r="B180" i="19"/>
  <c r="C180" i="19" s="1"/>
  <c r="B179" i="19"/>
  <c r="C179" i="19" s="1"/>
  <c r="B178" i="19"/>
  <c r="C178" i="19" s="1"/>
  <c r="B177" i="19"/>
  <c r="C177" i="19" s="1"/>
  <c r="B176" i="19"/>
  <c r="C176" i="19" s="1"/>
  <c r="B175" i="19"/>
  <c r="C175" i="19" s="1"/>
  <c r="B174" i="19"/>
  <c r="C174" i="19" s="1"/>
  <c r="B173" i="19"/>
  <c r="C173" i="19" s="1"/>
  <c r="B172" i="19"/>
  <c r="C172" i="19" s="1"/>
  <c r="B171" i="19"/>
  <c r="C171" i="19" s="1"/>
  <c r="B170" i="19"/>
  <c r="C170" i="19" s="1"/>
  <c r="B169" i="19"/>
  <c r="C169" i="19" s="1"/>
  <c r="B168" i="19"/>
  <c r="C168" i="19" s="1"/>
  <c r="B167" i="19"/>
  <c r="C167" i="19" s="1"/>
  <c r="B166" i="19"/>
  <c r="C166" i="19" s="1"/>
  <c r="B165" i="19"/>
  <c r="C165" i="19" s="1"/>
  <c r="B164" i="19"/>
  <c r="C164" i="19" s="1"/>
  <c r="B163" i="19"/>
  <c r="C163" i="19" s="1"/>
  <c r="B162" i="19"/>
  <c r="C162" i="19" s="1"/>
  <c r="B161" i="19"/>
  <c r="C161" i="19" s="1"/>
  <c r="B160" i="19"/>
  <c r="C160" i="19" s="1"/>
  <c r="B159" i="19"/>
  <c r="C159" i="19" s="1"/>
  <c r="B158" i="19"/>
  <c r="C158" i="19" s="1"/>
  <c r="B157" i="19"/>
  <c r="C157" i="19" s="1"/>
  <c r="B156" i="19"/>
  <c r="B155" i="19"/>
  <c r="C155" i="19" s="1"/>
  <c r="B154" i="19"/>
  <c r="C154" i="19" s="1"/>
  <c r="B153" i="19"/>
  <c r="C153" i="19" s="1"/>
  <c r="B152" i="19"/>
  <c r="C152" i="19" s="1"/>
  <c r="B151" i="19"/>
  <c r="C151" i="19" s="1"/>
  <c r="B150" i="19"/>
  <c r="B149" i="19"/>
  <c r="B148" i="19"/>
  <c r="B147" i="19"/>
  <c r="C147" i="19" s="1"/>
  <c r="B146" i="19"/>
  <c r="C146" i="19" s="1"/>
  <c r="B145" i="19"/>
  <c r="C145" i="19" s="1"/>
  <c r="B144" i="19"/>
  <c r="C144" i="19" s="1"/>
  <c r="B143" i="19"/>
  <c r="C143" i="19" s="1"/>
  <c r="B142" i="19"/>
  <c r="C142" i="19" s="1"/>
  <c r="B141" i="19"/>
  <c r="C141" i="19" s="1"/>
  <c r="B140" i="19"/>
  <c r="C140" i="19" s="1"/>
  <c r="B139" i="19"/>
  <c r="C139" i="19" s="1"/>
  <c r="B138" i="19"/>
  <c r="B137" i="19"/>
  <c r="B136" i="19"/>
  <c r="C136" i="19" s="1"/>
  <c r="B135" i="19"/>
  <c r="B134" i="19"/>
  <c r="C134" i="19" s="1"/>
  <c r="B133" i="19"/>
  <c r="C133" i="19" s="1"/>
  <c r="B132" i="19"/>
  <c r="B131" i="19"/>
  <c r="C131" i="19" s="1"/>
  <c r="B130" i="19"/>
  <c r="C130" i="19" s="1"/>
  <c r="B129" i="19"/>
  <c r="C129" i="19" s="1"/>
  <c r="B128" i="19"/>
  <c r="B127" i="19"/>
  <c r="C127" i="19" s="1"/>
  <c r="B126" i="19"/>
  <c r="B125" i="19"/>
  <c r="B124" i="19"/>
  <c r="C124" i="19" s="1"/>
  <c r="B123" i="19"/>
  <c r="C123" i="19" s="1"/>
  <c r="B122" i="19"/>
  <c r="C122" i="19" s="1"/>
  <c r="B121" i="19"/>
  <c r="C121" i="19" s="1"/>
  <c r="B120" i="19"/>
  <c r="C120" i="19" s="1"/>
  <c r="B119" i="19"/>
  <c r="C119" i="19" s="1"/>
  <c r="B118" i="19"/>
  <c r="C118" i="19" s="1"/>
  <c r="B117" i="19"/>
  <c r="C117" i="19" s="1"/>
  <c r="B116" i="19"/>
  <c r="C116" i="19" s="1"/>
  <c r="B115" i="19"/>
  <c r="B114" i="19"/>
  <c r="C114" i="19" s="1"/>
  <c r="B113" i="19"/>
  <c r="C113" i="19" s="1"/>
  <c r="B112" i="19"/>
  <c r="C112" i="19" s="1"/>
  <c r="B111" i="19"/>
  <c r="C111" i="19" s="1"/>
  <c r="B110" i="19"/>
  <c r="C110" i="19" s="1"/>
  <c r="B109" i="19"/>
  <c r="C109" i="19" s="1"/>
  <c r="B108" i="19"/>
  <c r="C108" i="19" s="1"/>
  <c r="B107" i="19"/>
  <c r="B106" i="19"/>
  <c r="C106" i="19" s="1"/>
  <c r="B105" i="19"/>
  <c r="C105" i="19" s="1"/>
  <c r="B104" i="19"/>
  <c r="B103" i="19"/>
  <c r="C103" i="19" s="1"/>
  <c r="B102" i="19"/>
  <c r="B101" i="19"/>
  <c r="C101" i="19" s="1"/>
  <c r="B100" i="19"/>
  <c r="C100" i="19" s="1"/>
  <c r="B99" i="19"/>
  <c r="C99" i="19" s="1"/>
  <c r="B98" i="19"/>
  <c r="C98" i="19" s="1"/>
  <c r="B97" i="19"/>
  <c r="C97" i="19" s="1"/>
  <c r="B96" i="19"/>
  <c r="B95" i="19"/>
  <c r="C95" i="19" s="1"/>
  <c r="B94" i="19"/>
  <c r="B93" i="19"/>
  <c r="B92" i="19"/>
  <c r="C92" i="19" s="1"/>
  <c r="B91" i="19"/>
  <c r="C91" i="19" s="1"/>
  <c r="B90" i="19"/>
  <c r="C90" i="19" s="1"/>
  <c r="B89" i="19"/>
  <c r="C89" i="19" s="1"/>
  <c r="B88" i="19"/>
  <c r="B87" i="19"/>
  <c r="C87" i="19" s="1"/>
  <c r="B86" i="19"/>
  <c r="C86" i="19" s="1"/>
  <c r="B85" i="19"/>
  <c r="B84" i="19"/>
  <c r="B83" i="19"/>
  <c r="B82" i="19"/>
  <c r="C82" i="19" s="1"/>
  <c r="B81" i="19"/>
  <c r="B80" i="19"/>
  <c r="B79" i="19"/>
  <c r="C79" i="19" s="1"/>
  <c r="B78" i="19"/>
  <c r="B77" i="19"/>
  <c r="C77" i="19" s="1"/>
  <c r="B76" i="19"/>
  <c r="B75" i="19"/>
  <c r="C75" i="19" s="1"/>
  <c r="B74" i="19"/>
  <c r="C74" i="19" s="1"/>
  <c r="B73" i="19"/>
  <c r="B72" i="19"/>
  <c r="B71" i="19"/>
  <c r="C71" i="19" s="1"/>
  <c r="B70" i="19"/>
  <c r="C70" i="19" s="1"/>
  <c r="B69" i="19"/>
  <c r="B68" i="19"/>
  <c r="B67" i="19"/>
  <c r="B66" i="19"/>
  <c r="C66" i="19" s="1"/>
  <c r="B65" i="19"/>
  <c r="C65" i="19" s="1"/>
  <c r="B64" i="19"/>
  <c r="C64" i="19" s="1"/>
  <c r="B63" i="19"/>
  <c r="B62" i="19"/>
  <c r="C62" i="19" s="1"/>
  <c r="B61" i="19"/>
  <c r="C61" i="19" s="1"/>
  <c r="B60" i="19"/>
  <c r="C60" i="19" s="1"/>
  <c r="B59" i="19"/>
  <c r="B58" i="19"/>
  <c r="B57" i="19"/>
  <c r="C57" i="19" s="1"/>
  <c r="B56" i="19"/>
  <c r="B55" i="19"/>
  <c r="C55" i="19" s="1"/>
  <c r="B54" i="19"/>
  <c r="B53" i="19"/>
  <c r="B52" i="19"/>
  <c r="B51" i="19"/>
  <c r="B50" i="19"/>
  <c r="B49" i="19"/>
  <c r="B48" i="19"/>
  <c r="B47" i="19"/>
  <c r="B46" i="19"/>
  <c r="B45" i="19"/>
  <c r="B44" i="19"/>
  <c r="B43" i="19"/>
  <c r="B42" i="19"/>
  <c r="B41" i="19"/>
  <c r="B40" i="19"/>
  <c r="B39" i="19"/>
  <c r="B38" i="19"/>
  <c r="B37" i="19"/>
  <c r="B36" i="19"/>
  <c r="B35" i="19"/>
  <c r="B34" i="19"/>
  <c r="B33" i="19"/>
  <c r="B32" i="19"/>
  <c r="B31" i="19"/>
  <c r="B30" i="19"/>
  <c r="B29" i="19"/>
  <c r="B28" i="19"/>
  <c r="B5" i="1"/>
  <c r="E12" i="17" l="1"/>
  <c r="D12" i="17"/>
  <c r="C12" i="17"/>
  <c r="B12" i="17"/>
  <c r="F12" i="17"/>
  <c r="E11" i="17"/>
  <c r="F11" i="17"/>
  <c r="D11" i="17"/>
  <c r="C11" i="17"/>
  <c r="H11" i="17" s="1"/>
  <c r="B11" i="17"/>
  <c r="G11" i="17" s="1"/>
  <c r="I11" i="17" s="1"/>
  <c r="D10" i="17"/>
  <c r="C10" i="17"/>
  <c r="H10" i="17" s="1"/>
  <c r="B10" i="17"/>
  <c r="G10" i="17" s="1"/>
  <c r="F10" i="17"/>
  <c r="E10" i="17"/>
  <c r="B9" i="17"/>
  <c r="G9" i="17" s="1"/>
  <c r="F9" i="17"/>
  <c r="E9" i="17"/>
  <c r="D9" i="17"/>
  <c r="C9" i="17"/>
  <c r="H9" i="17" s="1"/>
  <c r="E8" i="17"/>
  <c r="D8" i="17"/>
  <c r="C8" i="17"/>
  <c r="H8" i="17" s="1"/>
  <c r="B8" i="17"/>
  <c r="G8" i="17" s="1"/>
  <c r="F8" i="17"/>
  <c r="E7" i="17"/>
  <c r="F7" i="17"/>
  <c r="D7" i="17"/>
  <c r="C7" i="17"/>
  <c r="B7" i="17"/>
  <c r="E37" i="14"/>
  <c r="D37" i="14"/>
  <c r="E36" i="14"/>
  <c r="D36" i="14"/>
  <c r="D35" i="14"/>
  <c r="E35" i="14"/>
  <c r="D34" i="14"/>
  <c r="E34" i="14"/>
  <c r="E33" i="14"/>
  <c r="E38" i="14" s="1"/>
  <c r="C38" i="14"/>
  <c r="D33" i="14"/>
  <c r="D38" i="14" s="1"/>
  <c r="D8" i="18"/>
  <c r="E8" i="18" s="1"/>
  <c r="F8" i="18" s="1"/>
  <c r="B25" i="14"/>
  <c r="G11" i="14"/>
  <c r="G10" i="14"/>
  <c r="D7" i="18"/>
  <c r="E7" i="18" s="1"/>
  <c r="F7" i="18" s="1"/>
  <c r="B24" i="14"/>
  <c r="D6" i="18"/>
  <c r="E6" i="18" s="1"/>
  <c r="F6" i="18" s="1"/>
  <c r="G9" i="14"/>
  <c r="B27" i="14"/>
  <c r="G12" i="14"/>
  <c r="D5" i="18"/>
  <c r="E5" i="18" s="1"/>
  <c r="F5" i="18" s="1"/>
  <c r="C28" i="19"/>
  <c r="F5" i="15"/>
  <c r="F6" i="15"/>
  <c r="F4" i="15"/>
  <c r="B28" i="14"/>
  <c r="A12" i="19"/>
  <c r="A10" i="19"/>
  <c r="A8" i="19"/>
  <c r="A7" i="19"/>
  <c r="A6" i="19"/>
  <c r="F17" i="14"/>
  <c r="C14" i="14"/>
  <c r="A11" i="19"/>
  <c r="A2" i="14"/>
  <c r="C15" i="14"/>
  <c r="F14" i="14"/>
  <c r="D31" i="18"/>
  <c r="E31" i="18" s="1"/>
  <c r="F31" i="18" s="1"/>
  <c r="A9" i="19"/>
  <c r="A13" i="19"/>
  <c r="A15" i="19"/>
  <c r="A16" i="19"/>
  <c r="A17" i="19"/>
  <c r="A14" i="19"/>
  <c r="B29" i="14"/>
  <c r="C29" i="19"/>
  <c r="C225" i="19"/>
  <c r="C186" i="19"/>
  <c r="C148" i="19"/>
  <c r="C137" i="19"/>
  <c r="C128" i="19"/>
  <c r="C104" i="19"/>
  <c r="C93" i="19"/>
  <c r="C83" i="19"/>
  <c r="C76" i="19"/>
  <c r="C69" i="19"/>
  <c r="C58" i="19"/>
  <c r="C53" i="19"/>
  <c r="C49" i="19"/>
  <c r="C44" i="19"/>
  <c r="C41" i="19"/>
  <c r="C36" i="19"/>
  <c r="C32" i="19"/>
  <c r="C156" i="19"/>
  <c r="C135" i="19"/>
  <c r="C115" i="19"/>
  <c r="C96" i="19"/>
  <c r="C84" i="19"/>
  <c r="C78" i="19"/>
  <c r="C68" i="19"/>
  <c r="C59" i="19"/>
  <c r="C52" i="19"/>
  <c r="C48" i="19"/>
  <c r="C45" i="19"/>
  <c r="C40" i="19"/>
  <c r="C37" i="19"/>
  <c r="C33" i="19"/>
  <c r="C246" i="19"/>
  <c r="C149" i="19"/>
  <c r="C138" i="19"/>
  <c r="C126" i="19"/>
  <c r="C107" i="19"/>
  <c r="C94" i="19"/>
  <c r="C85" i="19"/>
  <c r="C80" i="19"/>
  <c r="C72" i="19"/>
  <c r="C63" i="19"/>
  <c r="C54" i="19"/>
  <c r="C50" i="19"/>
  <c r="C46" i="19"/>
  <c r="C42" i="19"/>
  <c r="C38" i="19"/>
  <c r="C34" i="19"/>
  <c r="C30" i="19"/>
  <c r="C150" i="19"/>
  <c r="C132" i="19"/>
  <c r="C125" i="19"/>
  <c r="C102" i="19"/>
  <c r="C88" i="19"/>
  <c r="C81" i="19"/>
  <c r="C73" i="19"/>
  <c r="C67" i="19"/>
  <c r="C56" i="19"/>
  <c r="C51" i="19"/>
  <c r="C47" i="19"/>
  <c r="C43" i="19"/>
  <c r="C39" i="19"/>
  <c r="C35" i="19"/>
  <c r="C31" i="19"/>
  <c r="E25" i="14" l="1"/>
  <c r="F25" i="14"/>
  <c r="D20" i="18"/>
  <c r="E20" i="18" s="1"/>
  <c r="F20" i="18" s="1"/>
  <c r="D19" i="18"/>
  <c r="E19" i="18" s="1"/>
  <c r="F19" i="18" s="1"/>
  <c r="E24" i="14"/>
  <c r="F24" i="14"/>
  <c r="E27" i="14"/>
  <c r="F27" i="14"/>
  <c r="D22" i="18"/>
  <c r="E22" i="18" s="1"/>
  <c r="F22" i="18" s="1"/>
  <c r="G29" i="15"/>
  <c r="M32" i="15"/>
  <c r="O32" i="15"/>
  <c r="B33" i="15"/>
  <c r="E33" i="15"/>
  <c r="G33" i="15"/>
  <c r="L12" i="15"/>
  <c r="O12" i="15"/>
  <c r="D13" i="15"/>
  <c r="I13" i="15"/>
  <c r="N13" i="15"/>
  <c r="C14" i="15"/>
  <c r="G14" i="15"/>
  <c r="K14" i="15"/>
  <c r="P14" i="15"/>
  <c r="E15" i="15"/>
  <c r="J15" i="15"/>
  <c r="O15" i="15"/>
  <c r="D16" i="15"/>
  <c r="I16" i="15"/>
  <c r="O16" i="15"/>
  <c r="C17" i="15"/>
  <c r="H17" i="15"/>
  <c r="M17" i="15"/>
  <c r="F18" i="15"/>
  <c r="K18" i="15"/>
  <c r="E19" i="15"/>
  <c r="J19" i="15"/>
  <c r="O19" i="15"/>
  <c r="D20" i="15"/>
  <c r="I20" i="15"/>
  <c r="N20" i="15"/>
  <c r="C21" i="15"/>
  <c r="D22" i="15"/>
  <c r="H22" i="15"/>
  <c r="K22" i="15"/>
  <c r="O22" i="15"/>
  <c r="C23" i="15"/>
  <c r="G23" i="15"/>
  <c r="K23" i="15"/>
  <c r="O23" i="15"/>
  <c r="C24" i="15"/>
  <c r="G24" i="15"/>
  <c r="K24" i="15"/>
  <c r="O24" i="15"/>
  <c r="B25" i="15"/>
  <c r="F25" i="15"/>
  <c r="J25" i="15"/>
  <c r="N25" i="15"/>
  <c r="B26" i="15"/>
  <c r="G26" i="15"/>
  <c r="J26" i="15"/>
  <c r="N26" i="15"/>
  <c r="B27" i="15"/>
  <c r="F27" i="15"/>
  <c r="J27" i="15"/>
  <c r="N27" i="15"/>
  <c r="B28" i="15"/>
  <c r="F28" i="15"/>
  <c r="J28" i="15"/>
  <c r="N28" i="15"/>
  <c r="B29" i="15"/>
  <c r="F24" i="15"/>
  <c r="L29" i="15"/>
  <c r="E30" i="15"/>
  <c r="M34" i="15"/>
  <c r="I33" i="15"/>
  <c r="K33" i="15"/>
  <c r="M33" i="15"/>
  <c r="O33" i="15"/>
  <c r="C34" i="15"/>
  <c r="E34" i="15"/>
  <c r="G34" i="15"/>
  <c r="I34" i="15"/>
  <c r="B10" i="15"/>
  <c r="F10" i="15"/>
  <c r="J10" i="15"/>
  <c r="M10" i="15"/>
  <c r="P10" i="15"/>
  <c r="D11" i="15"/>
  <c r="H11" i="15"/>
  <c r="L11" i="15"/>
  <c r="P11" i="15"/>
  <c r="D12" i="15"/>
  <c r="G12" i="15"/>
  <c r="K12" i="15"/>
  <c r="E13" i="15"/>
  <c r="J13" i="15"/>
  <c r="O13" i="15"/>
  <c r="E14" i="15"/>
  <c r="J14" i="15"/>
  <c r="O14" i="15"/>
  <c r="C15" i="15"/>
  <c r="I15" i="15"/>
  <c r="M15" i="15"/>
  <c r="B16" i="15"/>
  <c r="F16" i="15"/>
  <c r="M16" i="15"/>
  <c r="E17" i="15"/>
  <c r="L17" i="15"/>
  <c r="O17" i="15"/>
  <c r="E18" i="15"/>
  <c r="I18" i="15"/>
  <c r="N18" i="15"/>
  <c r="C19" i="15"/>
  <c r="H19" i="15"/>
  <c r="N19" i="15"/>
  <c r="B20" i="15"/>
  <c r="H20" i="15"/>
  <c r="M20" i="15"/>
  <c r="G21" i="15"/>
  <c r="K21" i="15"/>
  <c r="N21" i="15"/>
  <c r="O21" i="15"/>
  <c r="C22" i="15"/>
  <c r="F22" i="15"/>
  <c r="J22" i="15"/>
  <c r="N22" i="15"/>
  <c r="E23" i="15"/>
  <c r="J23" i="15"/>
  <c r="N23" i="15"/>
  <c r="K34" i="15"/>
  <c r="I24" i="15"/>
  <c r="M24" i="15"/>
  <c r="C25" i="15"/>
  <c r="E25" i="15"/>
  <c r="I25" i="15"/>
  <c r="M25" i="15"/>
  <c r="E26" i="15"/>
  <c r="I26" i="15"/>
  <c r="M26" i="15"/>
  <c r="E27" i="15"/>
  <c r="I27" i="15"/>
  <c r="L27" i="15"/>
  <c r="P27" i="15"/>
  <c r="D28" i="15"/>
  <c r="I28" i="15"/>
  <c r="M28" i="15"/>
  <c r="E29" i="15"/>
  <c r="J29" i="15"/>
  <c r="P29" i="15"/>
  <c r="C30" i="15"/>
  <c r="G30" i="15"/>
  <c r="K30" i="15"/>
  <c r="P30" i="15"/>
  <c r="D31" i="15"/>
  <c r="G31" i="15"/>
  <c r="L31" i="15"/>
  <c r="O31" i="15"/>
  <c r="C32" i="15"/>
  <c r="G32" i="15"/>
  <c r="L34" i="15"/>
  <c r="N34" i="15"/>
  <c r="E10" i="15"/>
  <c r="H10" i="15"/>
  <c r="C11" i="15"/>
  <c r="G11" i="15"/>
  <c r="K11" i="15"/>
  <c r="O11" i="15"/>
  <c r="C12" i="15"/>
  <c r="H12" i="15"/>
  <c r="M12" i="15"/>
  <c r="P12" i="15"/>
  <c r="F13" i="15"/>
  <c r="K13" i="15"/>
  <c r="P13" i="15"/>
  <c r="D14" i="15"/>
  <c r="I14" i="15"/>
  <c r="N14" i="15"/>
  <c r="D15" i="15"/>
  <c r="H15" i="15"/>
  <c r="N15" i="15"/>
  <c r="C16" i="15"/>
  <c r="H16" i="15"/>
  <c r="K16" i="15"/>
  <c r="P16" i="15"/>
  <c r="F17" i="15"/>
  <c r="K17" i="15"/>
  <c r="P17" i="15"/>
  <c r="D18" i="15"/>
  <c r="J18" i="15"/>
  <c r="O18" i="15"/>
  <c r="D19" i="15"/>
  <c r="I19" i="15"/>
  <c r="M19" i="15"/>
  <c r="C20" i="15"/>
  <c r="G20" i="15"/>
  <c r="L20" i="15"/>
  <c r="B21" i="15"/>
  <c r="F21" i="15"/>
  <c r="J21" i="15"/>
  <c r="M21" i="15"/>
  <c r="P21" i="15"/>
  <c r="B22" i="15"/>
  <c r="E22" i="15"/>
  <c r="I22" i="15"/>
  <c r="M22" i="15"/>
  <c r="B23" i="15"/>
  <c r="F23" i="15"/>
  <c r="I23" i="15"/>
  <c r="M23" i="15"/>
  <c r="B24" i="15"/>
  <c r="E24" i="15"/>
  <c r="J24" i="15"/>
  <c r="N24" i="15"/>
  <c r="G25" i="15"/>
  <c r="K25" i="15"/>
  <c r="O25" i="15"/>
  <c r="C26" i="15"/>
  <c r="F26" i="15"/>
  <c r="K26" i="15"/>
  <c r="O26" i="15"/>
  <c r="D27" i="15"/>
  <c r="H27" i="15"/>
  <c r="M27" i="15"/>
  <c r="E28" i="15"/>
  <c r="H28" i="15"/>
  <c r="L28" i="15"/>
  <c r="P28" i="15"/>
  <c r="F29" i="15"/>
  <c r="K29" i="15"/>
  <c r="O29" i="15"/>
  <c r="D30" i="15"/>
  <c r="I30" i="15"/>
  <c r="L30" i="15"/>
  <c r="O30" i="15"/>
  <c r="C31" i="15"/>
  <c r="H31" i="15"/>
  <c r="K31" i="15"/>
  <c r="E32" i="15"/>
  <c r="I32" i="15"/>
  <c r="L32" i="15"/>
  <c r="N32" i="15"/>
  <c r="P32" i="15"/>
  <c r="C33" i="15"/>
  <c r="F33" i="15"/>
  <c r="O34" i="15"/>
  <c r="C10" i="15"/>
  <c r="G10" i="15"/>
  <c r="K10" i="15"/>
  <c r="N10" i="15"/>
  <c r="E11" i="15"/>
  <c r="I11" i="15"/>
  <c r="M11" i="15"/>
  <c r="E12" i="15"/>
  <c r="I12" i="15"/>
  <c r="N12" i="15"/>
  <c r="B13" i="15"/>
  <c r="G13" i="15"/>
  <c r="M13" i="15"/>
  <c r="F14" i="15"/>
  <c r="L14" i="15"/>
  <c r="G15" i="15"/>
  <c r="L15" i="15"/>
  <c r="G16" i="15"/>
  <c r="L16" i="15"/>
  <c r="B17" i="15"/>
  <c r="G17" i="15"/>
  <c r="J17" i="15"/>
  <c r="C18" i="15"/>
  <c r="G18" i="15"/>
  <c r="M18" i="15"/>
  <c r="P18" i="15"/>
  <c r="G19" i="15"/>
  <c r="K19" i="15"/>
  <c r="P19" i="15"/>
  <c r="F20" i="15"/>
  <c r="J20" i="15"/>
  <c r="P20" i="15"/>
  <c r="D21" i="15"/>
  <c r="H21" i="15"/>
  <c r="L21" i="15"/>
  <c r="G22" i="15"/>
  <c r="L22" i="15"/>
  <c r="P22" i="15"/>
  <c r="D23" i="15"/>
  <c r="H23" i="15"/>
  <c r="L23" i="15"/>
  <c r="P23" i="15"/>
  <c r="D24" i="15"/>
  <c r="H24" i="15"/>
  <c r="L24" i="15"/>
  <c r="P24" i="15"/>
  <c r="D25" i="15"/>
  <c r="H25" i="15"/>
  <c r="L25" i="15"/>
  <c r="P25" i="15"/>
  <c r="D26" i="15"/>
  <c r="H26" i="15"/>
  <c r="L26" i="15"/>
  <c r="P26" i="15"/>
  <c r="C27" i="15"/>
  <c r="G27" i="15"/>
  <c r="K27" i="15"/>
  <c r="O27" i="15"/>
  <c r="C28" i="15"/>
  <c r="G28" i="15"/>
  <c r="K28" i="15"/>
  <c r="O28" i="15"/>
  <c r="C29" i="15"/>
  <c r="I29" i="15"/>
  <c r="M29" i="15"/>
  <c r="B30" i="15"/>
  <c r="F30" i="15"/>
  <c r="J30" i="15"/>
  <c r="N30" i="15"/>
  <c r="B31" i="15"/>
  <c r="F31" i="15"/>
  <c r="J31" i="15"/>
  <c r="N31" i="15"/>
  <c r="B32" i="15"/>
  <c r="F32" i="15"/>
  <c r="J32" i="15"/>
  <c r="D33" i="15"/>
  <c r="H33" i="15"/>
  <c r="J33" i="15"/>
  <c r="L33" i="15"/>
  <c r="N33" i="15"/>
  <c r="P33" i="15"/>
  <c r="B34" i="15"/>
  <c r="D34" i="15"/>
  <c r="F34" i="15"/>
  <c r="H34" i="15"/>
  <c r="J34" i="15"/>
  <c r="P34" i="15"/>
  <c r="I21" i="15"/>
  <c r="D10" i="15"/>
  <c r="I10" i="15"/>
  <c r="L10" i="15"/>
  <c r="O10" i="15"/>
  <c r="B11" i="15"/>
  <c r="F11" i="15"/>
  <c r="J11" i="15"/>
  <c r="N11" i="15"/>
  <c r="B12" i="15"/>
  <c r="F12" i="15"/>
  <c r="J12" i="15"/>
  <c r="C13" i="15"/>
  <c r="H13" i="15"/>
  <c r="L13" i="15"/>
  <c r="B14" i="15"/>
  <c r="H14" i="15"/>
  <c r="M14" i="15"/>
  <c r="B15" i="15"/>
  <c r="F15" i="15"/>
  <c r="K15" i="15"/>
  <c r="P15" i="15"/>
  <c r="E16" i="15"/>
  <c r="J16" i="15"/>
  <c r="N16" i="15"/>
  <c r="D17" i="15"/>
  <c r="I17" i="15"/>
  <c r="N17" i="15"/>
  <c r="B18" i="15"/>
  <c r="H18" i="15"/>
  <c r="L18" i="15"/>
  <c r="B19" i="15"/>
  <c r="F19" i="15"/>
  <c r="L19" i="15"/>
  <c r="E20" i="15"/>
  <c r="K20" i="15"/>
  <c r="O20" i="15"/>
  <c r="E21" i="15"/>
  <c r="D29" i="15"/>
  <c r="H29" i="15"/>
  <c r="N29" i="15"/>
  <c r="H30" i="15"/>
  <c r="M30" i="15"/>
  <c r="E31" i="15"/>
  <c r="I31" i="15"/>
  <c r="M31" i="15"/>
  <c r="P31" i="15"/>
  <c r="D32" i="15"/>
  <c r="H32" i="15"/>
  <c r="K32" i="15"/>
  <c r="E7" i="15"/>
  <c r="A11" i="15"/>
  <c r="A12" i="15"/>
  <c r="A14" i="15"/>
  <c r="A15" i="15"/>
  <c r="A16" i="15"/>
  <c r="A33" i="15"/>
  <c r="A20" i="15"/>
  <c r="A30" i="15"/>
  <c r="A31" i="15"/>
  <c r="A18" i="15"/>
  <c r="A19" i="15"/>
  <c r="A22" i="15"/>
  <c r="A13" i="15"/>
  <c r="A17" i="15"/>
  <c r="A21" i="15"/>
  <c r="A23" i="15"/>
  <c r="A24" i="15"/>
  <c r="A26" i="15"/>
  <c r="A27" i="15"/>
  <c r="A29" i="15"/>
  <c r="A10" i="15"/>
  <c r="A25" i="15"/>
  <c r="A28" i="15"/>
  <c r="A32" i="15"/>
  <c r="A34" i="15"/>
  <c r="E28" i="14"/>
  <c r="F28" i="14"/>
  <c r="D23" i="18"/>
  <c r="E23" i="18" s="1"/>
  <c r="F23" i="18" s="1"/>
  <c r="B12" i="19"/>
  <c r="C12" i="19"/>
  <c r="B10" i="19"/>
  <c r="C10" i="19"/>
  <c r="C8" i="19"/>
  <c r="B8" i="19"/>
  <c r="C7" i="19"/>
  <c r="B7" i="19"/>
  <c r="B6" i="19"/>
  <c r="C6" i="19"/>
  <c r="H18" i="14"/>
  <c r="B11" i="19"/>
  <c r="C11" i="19"/>
  <c r="F16" i="14"/>
  <c r="H16" i="14" s="1"/>
  <c r="D18" i="18"/>
  <c r="E18" i="18" s="1"/>
  <c r="F18" i="18" s="1"/>
  <c r="B9" i="19"/>
  <c r="C9" i="19"/>
  <c r="C13" i="19"/>
  <c r="B13" i="19"/>
  <c r="C15" i="19"/>
  <c r="B15" i="19"/>
  <c r="B16" i="19"/>
  <c r="C16" i="19"/>
  <c r="C17" i="19"/>
  <c r="B17" i="19"/>
  <c r="B14" i="19"/>
  <c r="C14" i="19"/>
  <c r="F29" i="14"/>
  <c r="E29" i="14"/>
  <c r="F13" i="17"/>
  <c r="D13" i="17"/>
  <c r="C13" i="17"/>
  <c r="B13" i="17"/>
  <c r="C16" i="14"/>
  <c r="D10" i="18" s="1"/>
  <c r="E10" i="18" s="1"/>
  <c r="F10" i="18" s="1"/>
  <c r="H12" i="17"/>
  <c r="G12" i="17"/>
  <c r="I12" i="17" s="1"/>
  <c r="E13" i="17"/>
  <c r="H7" i="17"/>
  <c r="H13" i="17" s="1"/>
  <c r="G7" i="17"/>
  <c r="F10" i="14"/>
  <c r="D16" i="18" s="1"/>
  <c r="E16" i="18" s="1"/>
  <c r="F16" i="18" s="1"/>
  <c r="F9" i="14"/>
  <c r="F11" i="14"/>
  <c r="D17" i="18" s="1"/>
  <c r="E17" i="18" s="1"/>
  <c r="F17" i="18" s="1"/>
  <c r="F12" i="14"/>
  <c r="I10" i="17"/>
  <c r="I9" i="17"/>
  <c r="I8" i="17"/>
  <c r="D7" i="19" l="1"/>
  <c r="D11" i="19"/>
  <c r="D13" i="19"/>
  <c r="D8" i="19"/>
  <c r="D10" i="19"/>
  <c r="D12" i="19"/>
  <c r="D6" i="19"/>
  <c r="D9" i="19"/>
  <c r="D14" i="19"/>
  <c r="D16" i="19"/>
  <c r="D15" i="19"/>
  <c r="D17" i="19"/>
  <c r="E6" i="19"/>
  <c r="G6" i="19" s="1"/>
  <c r="E8" i="19"/>
  <c r="G8" i="19" s="1"/>
  <c r="E12" i="19"/>
  <c r="G12" i="19" s="1"/>
  <c r="E15" i="19"/>
  <c r="G15" i="19" s="1"/>
  <c r="E14" i="19"/>
  <c r="G14" i="19" s="1"/>
  <c r="E7" i="19"/>
  <c r="G7" i="19" s="1"/>
  <c r="E10" i="19"/>
  <c r="G10" i="19" s="1"/>
  <c r="E11" i="19"/>
  <c r="G11" i="19" s="1"/>
  <c r="E13" i="19"/>
  <c r="G13" i="19" s="1"/>
  <c r="E9" i="19"/>
  <c r="G9" i="19" s="1"/>
  <c r="E16" i="19"/>
  <c r="G16" i="19" s="1"/>
  <c r="E17" i="19"/>
  <c r="G17" i="19" s="1"/>
  <c r="I7" i="17"/>
  <c r="G13" i="17"/>
  <c r="I13" i="17" s="1"/>
  <c r="F13" i="14"/>
  <c r="H13" i="14" s="1"/>
  <c r="D15" i="18"/>
  <c r="E15" i="18" s="1"/>
  <c r="F15" i="18" s="1"/>
  <c r="D11" i="18"/>
  <c r="E11" i="18" s="1"/>
  <c r="F11" i="18" s="1"/>
  <c r="F18" i="14"/>
  <c r="D24" i="18" s="1"/>
  <c r="E24" i="18" s="1"/>
  <c r="F24" i="18" s="1"/>
  <c r="H7" i="19" l="1"/>
  <c r="I7" i="19"/>
  <c r="F7" i="19"/>
  <c r="H11" i="19"/>
  <c r="I11" i="19"/>
  <c r="F11" i="19"/>
  <c r="H13" i="19"/>
  <c r="I13" i="19"/>
  <c r="F13" i="19"/>
  <c r="H8" i="19"/>
  <c r="I8" i="19"/>
  <c r="F8" i="19"/>
  <c r="H10" i="19"/>
  <c r="I10" i="19"/>
  <c r="F10" i="19"/>
  <c r="H12" i="19"/>
  <c r="I12" i="19"/>
  <c r="F12" i="19"/>
  <c r="H6" i="19"/>
  <c r="I6" i="19"/>
  <c r="C21" i="19" s="1"/>
  <c r="C22" i="19" s="1"/>
  <c r="D13" i="18" s="1"/>
  <c r="E13" i="18" s="1"/>
  <c r="F13" i="18" s="1"/>
  <c r="F6" i="19"/>
  <c r="H9" i="19"/>
  <c r="I9" i="19"/>
  <c r="F9" i="19"/>
  <c r="H14" i="19"/>
  <c r="I14" i="19"/>
  <c r="F14" i="19"/>
  <c r="H16" i="19"/>
  <c r="I16" i="19"/>
  <c r="F16" i="19"/>
  <c r="H15" i="19"/>
  <c r="I15" i="19"/>
  <c r="F15" i="19"/>
  <c r="H17" i="19"/>
  <c r="I17" i="19"/>
  <c r="F17" i="19"/>
  <c r="C19" i="19" l="1"/>
  <c r="C20" i="19" s="1"/>
  <c r="D12" i="18" l="1"/>
  <c r="E12" i="18" s="1"/>
  <c r="F12" i="18" s="1"/>
  <c r="B22" i="14"/>
  <c r="C23" i="19"/>
  <c r="B34" i="18" l="1"/>
  <c r="C33" i="18"/>
  <c r="F22" i="14"/>
  <c r="E22" i="14"/>
  <c r="B23" i="14"/>
  <c r="D14" i="18"/>
  <c r="E14" i="18" s="1"/>
  <c r="F14" i="18" s="1"/>
  <c r="F23" i="14" l="1"/>
  <c r="E2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3D2010-24B7-4A2C-B1D3-D8C080EF8F29}" keepAlive="1" name="Connection" type="5" refreshedVersion="8" saveData="1">
    <dbPr connection="Provider=Microsoft.Mashup.OleDb.1;Data Source=$Workbook$;Location=tOpenItems;Extended Properties=&quot;&quot;" command="SELECT * FROM [tOpenItems]"/>
  </connection>
  <connection id="2" xr16:uid="{C351CDF5-378A-4997-BDB9-A9D26DB04D09}" keepAlive="1" name="Connection1" type="5" refreshedVersion="8" saveData="1">
    <dbPr connection="Provider=Microsoft.Mashup.OleDb.1;Data Source=$Workbook$;Location=tQueue;Extended Properties=&quot;&quot;" command="SELECT * FROM [tQueue]"/>
  </connection>
  <connection id="3" xr16:uid="{C8A24CF5-977B-41E2-A3DD-415E84346E49}" keepAlive="1" name="Connection10" type="5" refreshedVersion="8" saveData="1">
    <dbPr connection="Provider=Microsoft.Mashup.OleDb.1;Data Source=$Workbook$;Location=tDQ;Extended Properties=&quot;&quot;" command="SELECT * FROM [tDQ]"/>
  </connection>
  <connection id="4" xr16:uid="{9287E480-909F-4B19-84E6-C4A4EE09A88E}" keepAlive="1" name="Connection2" type="5" refreshedVersion="8" saveData="1">
    <dbPr connection="Provider=Microsoft.Mashup.OleDb.1;Data Source=$Workbook$;Location=tKPI;Extended Properties=&quot;&quot;" command="SELECT * FROM [tKPI]"/>
  </connection>
  <connection id="5" xr16:uid="{A5B33E44-7E24-427B-A8C9-DD0E2911F492}" keepAlive="1" name="Connection3" type="5" refreshedVersion="8" saveData="1">
    <dbPr connection="Provider=Microsoft.Mashup.OleDb.1;Data Source=$Workbook$;Location=tBridge;Extended Properties=&quot;&quot;" command="SELECT * FROM [tBridge]"/>
  </connection>
  <connection id="6" xr16:uid="{CBBBA1DF-2776-4BD2-B40B-8D63E8FD93C1}" keepAlive="1" name="Connection4" type="5" refreshedVersion="8" saveData="1">
    <dbPr connection="Provider=Microsoft.Mashup.OleDb.1;Data Source=$Workbook$;Location=tSales;Extended Properties=&quot;&quot;" command="SELECT * FROM [tSales]"/>
  </connection>
  <connection id="7" xr16:uid="{BAF73211-26F6-4903-87AE-1D085CF2B372}" keepAlive="1" name="Connection5" type="5" refreshedVersion="8" saveData="1">
    <dbPr connection="Provider=Microsoft.Mashup.OleDb.1;Data Source=$Workbook$;Location=tTargets;Extended Properties=&quot;&quot;" command="SELECT * FROM [tTargets]"/>
  </connection>
  <connection id="8" xr16:uid="{A4E9AEA2-5C93-40FF-9BE3-553BA3B32B40}" keepAlive="1" name="Connection6" type="5" refreshedVersion="8" saveData="1">
    <dbPr connection="Provider=Microsoft.Mashup.OleDb.1;Data Source=$Workbook$;Location=tBuckets;Extended Properties=&quot;&quot;" command="SELECT * FROM [tBuckets]"/>
  </connection>
  <connection id="9" xr16:uid="{441C26D4-C129-4264-941E-D7EF3FAF5B26}" keepAlive="1" name="Connection7" type="5" refreshedVersion="8" saveData="1">
    <dbPr connection="Provider=Microsoft.Mashup.OleDb.1;Data Source=$Workbook$;Location=tCashApp;Extended Properties=&quot;&quot;" command="SELECT * FROM [tCashApp]"/>
  </connection>
  <connection id="10" xr16:uid="{E7F60247-8005-4B83-9CDE-3605F4B47161}" keepAlive="1" name="Connection8" type="5" refreshedVersion="8" saveData="1">
    <dbPr connection="Provider=Microsoft.Mashup.OleDb.1;Data Source=$Workbook$;Location=tPromise;Extended Properties=&quot;&quot;" command="SELECT * FROM [tPromise]"/>
  </connection>
  <connection id="11" xr16:uid="{F523D004-C37D-4AB5-9C15-7C934F467256}" keepAlive="1" name="Connection9" type="5" refreshedVersion="8" saveData="1">
    <dbPr connection="Provider=Microsoft.Mashup.OleDb.1;Data Source=$Workbook$;Location=tLag;Extended Properties=&quot;&quot;" command="SELECT * FROM [tLag]"/>
  </connection>
</connections>
</file>

<file path=xl/sharedStrings.xml><?xml version="1.0" encoding="utf-8"?>
<sst xmlns="http://schemas.openxmlformats.org/spreadsheetml/2006/main" count="44200" uniqueCount="4938">
  <si>
    <t>VANTAGE WHOLESALE SUPPLY -- RECEIVABLES CONTROL</t>
  </si>
  <si>
    <t>Control panel. Every sheet in this workbook reads its parameters from the cells below.</t>
  </si>
  <si>
    <t>PARAMETER</t>
  </si>
  <si>
    <t>VALUE</t>
  </si>
  <si>
    <t>WHAT IT CONTROLS</t>
  </si>
  <si>
    <t>Reporting date</t>
  </si>
  <si>
    <t>The as-of date for every balance, ageing bucket and KPI.</t>
  </si>
  <si>
    <t>Extract folder</t>
  </si>
  <si>
    <t>Calls per collector</t>
  </si>
  <si>
    <t>Capacity assumption behind the daily worklist. Raising it lengthens every collector's list.</t>
  </si>
  <si>
    <t>Dispute discount</t>
  </si>
  <si>
    <t>How much of a disputed balance is treated as un-chaseable by a phone call.</t>
  </si>
  <si>
    <t>90+ threshold (days)</t>
  </si>
  <si>
    <t>Days past due at which a balance counts as seriously delinquent.</t>
  </si>
  <si>
    <t>Queue rows shown</t>
  </si>
  <si>
    <t>How many ranked accounts the Priority Queue sheet displays.</t>
  </si>
  <si>
    <t>DATA DISCLOSURE</t>
  </si>
  <si>
    <t>Vantage Wholesale Supply is a fictional company. All data in this workbook is synthetic and generated by the scripts in the sql\ folder. No confidential data is used and no claim is made about any production system.</t>
  </si>
  <si>
    <t>InvoiceNo</t>
  </si>
  <si>
    <t>CustomerID</t>
  </si>
  <si>
    <t>CustomerName</t>
  </si>
  <si>
    <t>Segment</t>
  </si>
  <si>
    <t>Region</t>
  </si>
  <si>
    <t>SalesRep</t>
  </si>
  <si>
    <t>RiskTier</t>
  </si>
  <si>
    <t>CreditLimit</t>
  </si>
  <si>
    <t>CollectorID</t>
  </si>
  <si>
    <t>CollectorName</t>
  </si>
  <si>
    <t>Team</t>
  </si>
  <si>
    <t>TermsCode</t>
  </si>
  <si>
    <t>NetDays</t>
  </si>
  <si>
    <t>DiscountPct</t>
  </si>
  <si>
    <t>InvoiceDate</t>
  </si>
  <si>
    <t>DueDate</t>
  </si>
  <si>
    <t>InvoiceAmount</t>
  </si>
  <si>
    <t>PaidToDate</t>
  </si>
  <si>
    <t>DiscountToDate</t>
  </si>
  <si>
    <t>CreditMemoToDate</t>
  </si>
  <si>
    <t>WriteOffToDate</t>
  </si>
  <si>
    <t>OpenBalance</t>
  </si>
  <si>
    <t>OverAppliedAmount</t>
  </si>
  <si>
    <t>IsOpen</t>
  </si>
  <si>
    <t>IsPastDue</t>
  </si>
  <si>
    <t>DaysPastDue</t>
  </si>
  <si>
    <t>BucketKey</t>
  </si>
  <si>
    <t>BucketName</t>
  </si>
  <si>
    <t>RiskWeight</t>
  </si>
  <si>
    <t>IsDisputedOpen</t>
  </si>
  <si>
    <t>DisputeReason</t>
  </si>
  <si>
    <t>INV-000153</t>
  </si>
  <si>
    <t>C0378</t>
  </si>
  <si>
    <t>Silverline Fabrication - Southwest</t>
  </si>
  <si>
    <t>OEM Manufacturer</t>
  </si>
  <si>
    <t>Southwest</t>
  </si>
  <si>
    <t>Rosa Delgado</t>
  </si>
  <si>
    <t>Medium</t>
  </si>
  <si>
    <t>COL-01</t>
  </si>
  <si>
    <t>Priya Natarajan</t>
  </si>
  <si>
    <t>Strategic Accounts</t>
  </si>
  <si>
    <t>NET45</t>
  </si>
  <si>
    <t>90+</t>
  </si>
  <si>
    <t/>
  </si>
  <si>
    <t>INV-000196</t>
  </si>
  <si>
    <t>C0326</t>
  </si>
  <si>
    <t>Pioneer Manufacturing</t>
  </si>
  <si>
    <t>Northeast</t>
  </si>
  <si>
    <t>Adrian Cole</t>
  </si>
  <si>
    <t>Low</t>
  </si>
  <si>
    <t>INV-001056</t>
  </si>
  <si>
    <t>C0190</t>
  </si>
  <si>
    <t>Harbor Fabrication</t>
  </si>
  <si>
    <t>West</t>
  </si>
  <si>
    <t>Owen Price</t>
  </si>
  <si>
    <t>INV-001631</t>
  </si>
  <si>
    <t>C0196</t>
  </si>
  <si>
    <t>Lakeshore MRO Services - Midwest</t>
  </si>
  <si>
    <t>MRO Reseller</t>
  </si>
  <si>
    <t>Midwest</t>
  </si>
  <si>
    <t>Hana Sato</t>
  </si>
  <si>
    <t>COL-06</t>
  </si>
  <si>
    <t>Sam Horowitz</t>
  </si>
  <si>
    <t>Small Business</t>
  </si>
  <si>
    <t>2/10NET30</t>
  </si>
  <si>
    <t>INV-001887</t>
  </si>
  <si>
    <t>C0095</t>
  </si>
  <si>
    <t>Stonegate Fabrication</t>
  </si>
  <si>
    <t>COL-02</t>
  </si>
  <si>
    <t>Marcus Bell</t>
  </si>
  <si>
    <t>NET60</t>
  </si>
  <si>
    <t>INV-001929</t>
  </si>
  <si>
    <t>C0392</t>
  </si>
  <si>
    <t>Apex Industrial Supply - Southwest 3</t>
  </si>
  <si>
    <t>High</t>
  </si>
  <si>
    <t>COL-05</t>
  </si>
  <si>
    <t>Grace Lindqvist</t>
  </si>
  <si>
    <t>NET30</t>
  </si>
  <si>
    <t>INV-002573</t>
  </si>
  <si>
    <t>C0118</t>
  </si>
  <si>
    <t>Granite MRO Services</t>
  </si>
  <si>
    <t>Southeast</t>
  </si>
  <si>
    <t>Dana Whitfield</t>
  </si>
  <si>
    <t>INV-002698</t>
  </si>
  <si>
    <t>C0172</t>
  </si>
  <si>
    <t>Crestview Electric</t>
  </si>
  <si>
    <t>Contractor</t>
  </si>
  <si>
    <t>COL-04</t>
  </si>
  <si>
    <t>Tomas Okafor</t>
  </si>
  <si>
    <t>Commercial</t>
  </si>
  <si>
    <t>INV-003672</t>
  </si>
  <si>
    <t>C0147</t>
  </si>
  <si>
    <t>Apex Manufacturing - Northeast</t>
  </si>
  <si>
    <t>Nadia Farouk</t>
  </si>
  <si>
    <t>INV-004341</t>
  </si>
  <si>
    <t>C0369</t>
  </si>
  <si>
    <t>Lakeshore Components</t>
  </si>
  <si>
    <t>INV-004785</t>
  </si>
  <si>
    <t>C0295</t>
  </si>
  <si>
    <t>Ironbridge Maintenance Supply</t>
  </si>
  <si>
    <t>INV-004996</t>
  </si>
  <si>
    <t>C0084</t>
  </si>
  <si>
    <t>Granite Construction</t>
  </si>
  <si>
    <t>COL-03</t>
  </si>
  <si>
    <t>Elena Ruiz</t>
  </si>
  <si>
    <t>INV-005808</t>
  </si>
  <si>
    <t>C0215</t>
  </si>
  <si>
    <t>Silverline Medical Center</t>
  </si>
  <si>
    <t>Institutional</t>
  </si>
  <si>
    <t>Luis Moreno</t>
  </si>
  <si>
    <t>INV-006171</t>
  </si>
  <si>
    <t>INV-006583</t>
  </si>
  <si>
    <t>C0182</t>
  </si>
  <si>
    <t>Lakeshore Parts &amp; Service</t>
  </si>
  <si>
    <t>INV-006640</t>
  </si>
  <si>
    <t>C0141</t>
  </si>
  <si>
    <t>Lakeshore Contracting</t>
  </si>
  <si>
    <t>Kevin Ames</t>
  </si>
  <si>
    <t>INV-006691</t>
  </si>
  <si>
    <t>C0042</t>
  </si>
  <si>
    <t>Bluewater Industries</t>
  </si>
  <si>
    <t>INV-007455</t>
  </si>
  <si>
    <t>INV-007586</t>
  </si>
  <si>
    <t>C0151</t>
  </si>
  <si>
    <t>Riverbend MRO Services - Northeast 3</t>
  </si>
  <si>
    <t>INV-007845</t>
  </si>
  <si>
    <t>C0206</t>
  </si>
  <si>
    <t>Oakmont Manufacturing</t>
  </si>
  <si>
    <t>INV-007847</t>
  </si>
  <si>
    <t>C0210</t>
  </si>
  <si>
    <t>Harbor Construction - Southwest</t>
  </si>
  <si>
    <t>INV-007898</t>
  </si>
  <si>
    <t>C0115</t>
  </si>
  <si>
    <t>Ironbridge Contracting</t>
  </si>
  <si>
    <t>INV-008060</t>
  </si>
  <si>
    <t>C0298</t>
  </si>
  <si>
    <t>Cedar Ridge Contracting - Northeast</t>
  </si>
  <si>
    <t>INV-008084</t>
  </si>
  <si>
    <t>C0068</t>
  </si>
  <si>
    <t>Harbor Industries</t>
  </si>
  <si>
    <t>INV-008166</t>
  </si>
  <si>
    <t>C0251</t>
  </si>
  <si>
    <t>Silverline Mechanical - Southwest</t>
  </si>
  <si>
    <t>INV-008744</t>
  </si>
  <si>
    <t>C0246</t>
  </si>
  <si>
    <t>Lakeshore Industrial Supply</t>
  </si>
  <si>
    <t>INV-009897</t>
  </si>
  <si>
    <t>C0058</t>
  </si>
  <si>
    <t>Lakeshore Builders</t>
  </si>
  <si>
    <t>INV-010244</t>
  </si>
  <si>
    <t>C0170</t>
  </si>
  <si>
    <t>Titan Industries</t>
  </si>
  <si>
    <t>INV-010640</t>
  </si>
  <si>
    <t>INV-011380</t>
  </si>
  <si>
    <t>C0328</t>
  </si>
  <si>
    <t>Westbrook Industries</t>
  </si>
  <si>
    <t>Ben Kowalczyk</t>
  </si>
  <si>
    <t>INV-011902</t>
  </si>
  <si>
    <t>INV-012038</t>
  </si>
  <si>
    <t>C0393</t>
  </si>
  <si>
    <t>Silverline Components - West 3</t>
  </si>
  <si>
    <t>INV-012135</t>
  </si>
  <si>
    <t>C0301</t>
  </si>
  <si>
    <t>Titan Builders - Midwest 4</t>
  </si>
  <si>
    <t>INV-012446</t>
  </si>
  <si>
    <t>C0034</t>
  </si>
  <si>
    <t>Crestview Contracting</t>
  </si>
  <si>
    <t>INV-012705</t>
  </si>
  <si>
    <t>C0001</t>
  </si>
  <si>
    <t>Silverline MRO Services</t>
  </si>
  <si>
    <t>INV-012753</t>
  </si>
  <si>
    <t>C0380</t>
  </si>
  <si>
    <t>Silverline Construction</t>
  </si>
  <si>
    <t>INV-012971</t>
  </si>
  <si>
    <t>INV-013383</t>
  </si>
  <si>
    <t>C0107</t>
  </si>
  <si>
    <t>Silverline Mechanical</t>
  </si>
  <si>
    <t>INV-013737</t>
  </si>
  <si>
    <t>INV-014282</t>
  </si>
  <si>
    <t>C0008</t>
  </si>
  <si>
    <t>Silverline Maintenance Supply</t>
  </si>
  <si>
    <t>INV-015207</t>
  </si>
  <si>
    <t>C0049</t>
  </si>
  <si>
    <t>Westbrook Mechanical</t>
  </si>
  <si>
    <t>INV-015296</t>
  </si>
  <si>
    <t>C0017</t>
  </si>
  <si>
    <t>Silverline Fabrication</t>
  </si>
  <si>
    <t>INV-015483</t>
  </si>
  <si>
    <t>C0349</t>
  </si>
  <si>
    <t>Granite Manufacturing</t>
  </si>
  <si>
    <t>INV-015832</t>
  </si>
  <si>
    <t>C0226</t>
  </si>
  <si>
    <t>Lakeshore Industries</t>
  </si>
  <si>
    <t>INV-015896</t>
  </si>
  <si>
    <t>C0359</t>
  </si>
  <si>
    <t>Stonegate Fabrication - West</t>
  </si>
  <si>
    <t>Maya Brennan</t>
  </si>
  <si>
    <t>INV-016012</t>
  </si>
  <si>
    <t>C0031</t>
  </si>
  <si>
    <t>Stonegate Machine Works</t>
  </si>
  <si>
    <t>INV-016708</t>
  </si>
  <si>
    <t>C0126</t>
  </si>
  <si>
    <t>Oakmont Parts &amp; Service</t>
  </si>
  <si>
    <t>INV-016753</t>
  </si>
  <si>
    <t>C0038</t>
  </si>
  <si>
    <t>Summit Fabrication</t>
  </si>
  <si>
    <t>INV-016866</t>
  </si>
  <si>
    <t>C0139</t>
  </si>
  <si>
    <t>Harbor Machine Works</t>
  </si>
  <si>
    <t>INV-017223</t>
  </si>
  <si>
    <t>INV-017321</t>
  </si>
  <si>
    <t>C0076</t>
  </si>
  <si>
    <t>Cedar Ridge Construction</t>
  </si>
  <si>
    <t>INV-017446</t>
  </si>
  <si>
    <t>C0134</t>
  </si>
  <si>
    <t>Frontier MRO Services</t>
  </si>
  <si>
    <t>INV-017797</t>
  </si>
  <si>
    <t>C0257</t>
  </si>
  <si>
    <t>Granite Supply Co.</t>
  </si>
  <si>
    <t>INV-018178</t>
  </si>
  <si>
    <t>C0183</t>
  </si>
  <si>
    <t>Oakmont Maintenance Supply</t>
  </si>
  <si>
    <t>INV-018489</t>
  </si>
  <si>
    <t>C0186</t>
  </si>
  <si>
    <t>Redline Parts &amp; Service - Northeast</t>
  </si>
  <si>
    <t>INV-019187</t>
  </si>
  <si>
    <t>C0009</t>
  </si>
  <si>
    <t>Ironbridge Fabrication</t>
  </si>
  <si>
    <t>INV-019661</t>
  </si>
  <si>
    <t>C0119</t>
  </si>
  <si>
    <t>Titan Builders</t>
  </si>
  <si>
    <t>INV-019941</t>
  </si>
  <si>
    <t>C0265</t>
  </si>
  <si>
    <t>Westbrook Mechanical - Southwest 3</t>
  </si>
  <si>
    <t>INV-020157</t>
  </si>
  <si>
    <t>C0048</t>
  </si>
  <si>
    <t>Stonegate Industries</t>
  </si>
  <si>
    <t>INV-020275</t>
  </si>
  <si>
    <t>C0028</t>
  </si>
  <si>
    <t>Keystone Parts &amp; Service</t>
  </si>
  <si>
    <t>INV-020325</t>
  </si>
  <si>
    <t>C0036</t>
  </si>
  <si>
    <t>Harbor Builders - West</t>
  </si>
  <si>
    <t>INV-020975</t>
  </si>
  <si>
    <t>INV-021108</t>
  </si>
  <si>
    <t>C0389</t>
  </si>
  <si>
    <t>Ironbridge Components - Southeast</t>
  </si>
  <si>
    <t>INV-021110</t>
  </si>
  <si>
    <t>INV-021239</t>
  </si>
  <si>
    <t>C0045</t>
  </si>
  <si>
    <t>Lakeshore Machine Works</t>
  </si>
  <si>
    <t>INV-021975</t>
  </si>
  <si>
    <t>C0079</t>
  </si>
  <si>
    <t>Cedar Ridge Machine Works</t>
  </si>
  <si>
    <t>INV-022020</t>
  </si>
  <si>
    <t>C0023</t>
  </si>
  <si>
    <t>Harbor Builders</t>
  </si>
  <si>
    <t>INV-022060</t>
  </si>
  <si>
    <t>INV-022196</t>
  </si>
  <si>
    <t>C0132</t>
  </si>
  <si>
    <t>Keystone Contracting</t>
  </si>
  <si>
    <t>INV-022361</t>
  </si>
  <si>
    <t>C0386</t>
  </si>
  <si>
    <t>Bluewater Electric</t>
  </si>
  <si>
    <t>INV-022395</t>
  </si>
  <si>
    <t>C0232</t>
  </si>
  <si>
    <t>Titan Builders - Southwest</t>
  </si>
  <si>
    <t>INV-022618</t>
  </si>
  <si>
    <t>C0059</t>
  </si>
  <si>
    <t>Apex Mechanical</t>
  </si>
  <si>
    <t>INV-022695</t>
  </si>
  <si>
    <t>INV-022716</t>
  </si>
  <si>
    <t>C0271</t>
  </si>
  <si>
    <t>Riverbend Electric - Midwest 3</t>
  </si>
  <si>
    <t>INV-022723</t>
  </si>
  <si>
    <t>C0324</t>
  </si>
  <si>
    <t>Pioneer Construction</t>
  </si>
  <si>
    <t>INV-022785</t>
  </si>
  <si>
    <t>C0302</t>
  </si>
  <si>
    <t>Crestview Contracting - Northeast 3</t>
  </si>
  <si>
    <t>INV-022787</t>
  </si>
  <si>
    <t>INV-022841</t>
  </si>
  <si>
    <t>C0297</t>
  </si>
  <si>
    <t>Apex Mechanical - Southeast 3</t>
  </si>
  <si>
    <t>INV-022973</t>
  </si>
  <si>
    <t>INV-022977</t>
  </si>
  <si>
    <t>INV-022982</t>
  </si>
  <si>
    <t>C0323</t>
  </si>
  <si>
    <t>Titan Parts &amp; Service - Southwest 3</t>
  </si>
  <si>
    <t>INV-023049</t>
  </si>
  <si>
    <t>INV-023073</t>
  </si>
  <si>
    <t>C0128</t>
  </si>
  <si>
    <t>Summit Builders</t>
  </si>
  <si>
    <t>INV-023080</t>
  </si>
  <si>
    <t>C0163</t>
  </si>
  <si>
    <t>Keystone Fabrication</t>
  </si>
  <si>
    <t>INV-023102</t>
  </si>
  <si>
    <t>INV-023156</t>
  </si>
  <si>
    <t>INV-023227</t>
  </si>
  <si>
    <t>C0283</t>
  </si>
  <si>
    <t>Apex Industries</t>
  </si>
  <si>
    <t>INV-023239</t>
  </si>
  <si>
    <t>INV-023249</t>
  </si>
  <si>
    <t>INV-023273</t>
  </si>
  <si>
    <t>INV-023277</t>
  </si>
  <si>
    <t>INV-023334</t>
  </si>
  <si>
    <t>INV-023377</t>
  </si>
  <si>
    <t>INV-023407</t>
  </si>
  <si>
    <t>INV-023459</t>
  </si>
  <si>
    <t>INV-023480</t>
  </si>
  <si>
    <t>INV-023496</t>
  </si>
  <si>
    <t>INV-023525</t>
  </si>
  <si>
    <t>C0307</t>
  </si>
  <si>
    <t>Westbrook Contracting - Northeast</t>
  </si>
  <si>
    <t>INV-023561</t>
  </si>
  <si>
    <t>INV-023620</t>
  </si>
  <si>
    <t>61-90</t>
  </si>
  <si>
    <t>INV-023642</t>
  </si>
  <si>
    <t>INV-023648</t>
  </si>
  <si>
    <t>INV-023708</t>
  </si>
  <si>
    <t>INV-023709</t>
  </si>
  <si>
    <t>INV-023722</t>
  </si>
  <si>
    <t>C0376</t>
  </si>
  <si>
    <t>Summit Components - Midwest</t>
  </si>
  <si>
    <t>INV-023752</t>
  </si>
  <si>
    <t>C0238</t>
  </si>
  <si>
    <t>Oakmont Builders - Midwest</t>
  </si>
  <si>
    <t>INV-023756</t>
  </si>
  <si>
    <t>INV-023767</t>
  </si>
  <si>
    <t>INV-023845</t>
  </si>
  <si>
    <t>PO Mismatch</t>
  </si>
  <si>
    <t>INV-023860</t>
  </si>
  <si>
    <t>INV-023884</t>
  </si>
  <si>
    <t>INV-023889</t>
  </si>
  <si>
    <t>INV-023952</t>
  </si>
  <si>
    <t>INV-023954</t>
  </si>
  <si>
    <t>INV-024004</t>
  </si>
  <si>
    <t>INV-024014</t>
  </si>
  <si>
    <t>INV-024015</t>
  </si>
  <si>
    <t>C0277</t>
  </si>
  <si>
    <t>Lakeshore Construction - West</t>
  </si>
  <si>
    <t>INV-024036</t>
  </si>
  <si>
    <t>INV-024037</t>
  </si>
  <si>
    <t>C0391</t>
  </si>
  <si>
    <t>Keystone MRO Services - Northeast</t>
  </si>
  <si>
    <t>INV-024049</t>
  </si>
  <si>
    <t>INV-024054</t>
  </si>
  <si>
    <t>INV-024073</t>
  </si>
  <si>
    <t>C0252</t>
  </si>
  <si>
    <t>Ironbridge School District</t>
  </si>
  <si>
    <t>NET90</t>
  </si>
  <si>
    <t>31-60</t>
  </si>
  <si>
    <t>INV-024143</t>
  </si>
  <si>
    <t>INV-024202</t>
  </si>
  <si>
    <t>INV-024212</t>
  </si>
  <si>
    <t>INV-024224</t>
  </si>
  <si>
    <t>INV-024258</t>
  </si>
  <si>
    <t>C0273</t>
  </si>
  <si>
    <t>Oakmont Fabrication</t>
  </si>
  <si>
    <t>Pricing</t>
  </si>
  <si>
    <t>INV-024269</t>
  </si>
  <si>
    <t>C0351</t>
  </si>
  <si>
    <t>Ironbridge Components</t>
  </si>
  <si>
    <t>INV-024290</t>
  </si>
  <si>
    <t>INV-024336</t>
  </si>
  <si>
    <t>INV-024436</t>
  </si>
  <si>
    <t>INV-024446</t>
  </si>
  <si>
    <t>INV-024496</t>
  </si>
  <si>
    <t>C0294</t>
  </si>
  <si>
    <t>Titan Components</t>
  </si>
  <si>
    <t>INV-024564</t>
  </si>
  <si>
    <t>INV-024575</t>
  </si>
  <si>
    <t>C0366</t>
  </si>
  <si>
    <t>Westbrook Industries - West</t>
  </si>
  <si>
    <t>INV-024665</t>
  </si>
  <si>
    <t>C0080</t>
  </si>
  <si>
    <t>Frontier Maintenance Supply</t>
  </si>
  <si>
    <t>INV-024707</t>
  </si>
  <si>
    <t>INV-024767</t>
  </si>
  <si>
    <t>INV-024818</t>
  </si>
  <si>
    <t>INV-024830</t>
  </si>
  <si>
    <t>INV-024858</t>
  </si>
  <si>
    <t>C0153</t>
  </si>
  <si>
    <t>Redline Water Authority</t>
  </si>
  <si>
    <t>INV-024955</t>
  </si>
  <si>
    <t>C0310</t>
  </si>
  <si>
    <t>Harbor Water Authority</t>
  </si>
  <si>
    <t>1-30</t>
  </si>
  <si>
    <t>INV-025007</t>
  </si>
  <si>
    <t>INV-025011</t>
  </si>
  <si>
    <t>INV-025024</t>
  </si>
  <si>
    <t>C0005</t>
  </si>
  <si>
    <t>Lakeshore Medical Center</t>
  </si>
  <si>
    <t>INV-025075</t>
  </si>
  <si>
    <t>INV-025082</t>
  </si>
  <si>
    <t>INV-025097</t>
  </si>
  <si>
    <t>INV-025135</t>
  </si>
  <si>
    <t>INV-025146</t>
  </si>
  <si>
    <t>INV-025155</t>
  </si>
  <si>
    <t>INV-025159</t>
  </si>
  <si>
    <t>C0094</t>
  </si>
  <si>
    <t>Bluewater Industries - Southeast</t>
  </si>
  <si>
    <t>INV-025175</t>
  </si>
  <si>
    <t>INV-025176</t>
  </si>
  <si>
    <t>C0234</t>
  </si>
  <si>
    <t>Redline University Facilities - Midwest 3</t>
  </si>
  <si>
    <t>INV-025187</t>
  </si>
  <si>
    <t>C0329</t>
  </si>
  <si>
    <t>Northfield School District - Midwest</t>
  </si>
  <si>
    <t>INV-025191</t>
  </si>
  <si>
    <t>INV-025262</t>
  </si>
  <si>
    <t>INV-025304</t>
  </si>
  <si>
    <t>C0327</t>
  </si>
  <si>
    <t>Ironbridge Water Authority</t>
  </si>
  <si>
    <t>INV-025364</t>
  </si>
  <si>
    <t>INV-025394</t>
  </si>
  <si>
    <t>C0054</t>
  </si>
  <si>
    <t>Titan Manufacturing</t>
  </si>
  <si>
    <t>INV-025397</t>
  </si>
  <si>
    <t>INV-025427</t>
  </si>
  <si>
    <t>C0279</t>
  </si>
  <si>
    <t>Ironbridge Medical Center - Northeast</t>
  </si>
  <si>
    <t>INV-025433</t>
  </si>
  <si>
    <t>INV-025455</t>
  </si>
  <si>
    <t>C0088</t>
  </si>
  <si>
    <t>Westbrook Builders - West</t>
  </si>
  <si>
    <t>INV-025467</t>
  </si>
  <si>
    <t>INV-025486</t>
  </si>
  <si>
    <t>C0255</t>
  </si>
  <si>
    <t>Riverbend Fabrication</t>
  </si>
  <si>
    <t>INV-025520</t>
  </si>
  <si>
    <t>C0025</t>
  </si>
  <si>
    <t>Oakmont County Facilities</t>
  </si>
  <si>
    <t>INV-025527</t>
  </si>
  <si>
    <t>C0064</t>
  </si>
  <si>
    <t>Frontier University Facilities</t>
  </si>
  <si>
    <t>INV-025539</t>
  </si>
  <si>
    <t>C0145</t>
  </si>
  <si>
    <t>Crestview Medical Center</t>
  </si>
  <si>
    <t>INV-025542</t>
  </si>
  <si>
    <t>C0156</t>
  </si>
  <si>
    <t>Frontier County Facilities</t>
  </si>
  <si>
    <t>INV-025559</t>
  </si>
  <si>
    <t>INV-025561</t>
  </si>
  <si>
    <t>INV-025563</t>
  </si>
  <si>
    <t>C0333</t>
  </si>
  <si>
    <t>Oakmont Maintenance Supply - Southwest</t>
  </si>
  <si>
    <t>Damaged Goods</t>
  </si>
  <si>
    <t>INV-025609</t>
  </si>
  <si>
    <t>INV-025619</t>
  </si>
  <si>
    <t>INV-025624</t>
  </si>
  <si>
    <t>INV-025633</t>
  </si>
  <si>
    <t>INV-025637</t>
  </si>
  <si>
    <t>INV-025694</t>
  </si>
  <si>
    <t>INV-025696</t>
  </si>
  <si>
    <t>INV-025698</t>
  </si>
  <si>
    <t>C0361</t>
  </si>
  <si>
    <t>Titan University Facilities - Midwest</t>
  </si>
  <si>
    <t>INV-025699</t>
  </si>
  <si>
    <t>INV-025714</t>
  </si>
  <si>
    <t>C0066</t>
  </si>
  <si>
    <t>Summit Industries</t>
  </si>
  <si>
    <t>INV-025732</t>
  </si>
  <si>
    <t>C0185</t>
  </si>
  <si>
    <t>Harbor Supply Co.</t>
  </si>
  <si>
    <t>INV-025759</t>
  </si>
  <si>
    <t>INV-025766</t>
  </si>
  <si>
    <t>INV-025798</t>
  </si>
  <si>
    <t>INV-025819</t>
  </si>
  <si>
    <t>INV-025823</t>
  </si>
  <si>
    <t>INV-025825</t>
  </si>
  <si>
    <t>INV-025828</t>
  </si>
  <si>
    <t>INV-025835</t>
  </si>
  <si>
    <t>INV-025836</t>
  </si>
  <si>
    <t>C0063</t>
  </si>
  <si>
    <t>Oakmont Medical Center</t>
  </si>
  <si>
    <t>INV-025849</t>
  </si>
  <si>
    <t>INV-025854</t>
  </si>
  <si>
    <t>C0180</t>
  </si>
  <si>
    <t>Titan Contracting</t>
  </si>
  <si>
    <t>INV-025868</t>
  </si>
  <si>
    <t>C0306</t>
  </si>
  <si>
    <t>Apex Builders - Southwest 3</t>
  </si>
  <si>
    <t>INV-025871</t>
  </si>
  <si>
    <t>INV-025875</t>
  </si>
  <si>
    <t>INV-025897</t>
  </si>
  <si>
    <t>INV-025903</t>
  </si>
  <si>
    <t>INV-025905</t>
  </si>
  <si>
    <t>C0100</t>
  </si>
  <si>
    <t>Stonegate University Facilities - Southeast</t>
  </si>
  <si>
    <t>INV-025931</t>
  </si>
  <si>
    <t>INV-025941</t>
  </si>
  <si>
    <t>INV-025944</t>
  </si>
  <si>
    <t>INV-025948</t>
  </si>
  <si>
    <t>INV-025956</t>
  </si>
  <si>
    <t>INV-025959</t>
  </si>
  <si>
    <t>INV-025968</t>
  </si>
  <si>
    <t>INV-025981</t>
  </si>
  <si>
    <t>C0231</t>
  </si>
  <si>
    <t>Silverline Components - Northeast</t>
  </si>
  <si>
    <t>INV-025992</t>
  </si>
  <si>
    <t>INV-026006</t>
  </si>
  <si>
    <t>INV-026022</t>
  </si>
  <si>
    <t>C0135</t>
  </si>
  <si>
    <t>Oakmont Medical Center - Midwest</t>
  </si>
  <si>
    <t>INV-026025</t>
  </si>
  <si>
    <t>INV-026034</t>
  </si>
  <si>
    <t>C0208</t>
  </si>
  <si>
    <t>Keystone University Facilities</t>
  </si>
  <si>
    <t>INV-026036</t>
  </si>
  <si>
    <t>C0216</t>
  </si>
  <si>
    <t>Bluewater Construction - West</t>
  </si>
  <si>
    <t>INV-026056</t>
  </si>
  <si>
    <t>INV-026062</t>
  </si>
  <si>
    <t>INV-026063</t>
  </si>
  <si>
    <t>C0371</t>
  </si>
  <si>
    <t>Pioneer Water Authority</t>
  </si>
  <si>
    <t>INV-026067</t>
  </si>
  <si>
    <t>INV-026074</t>
  </si>
  <si>
    <t>INV-026081</t>
  </si>
  <si>
    <t>INV-026095</t>
  </si>
  <si>
    <t>C0122</t>
  </si>
  <si>
    <t>Frontier Fabrication - Northeast</t>
  </si>
  <si>
    <t>INV-026114</t>
  </si>
  <si>
    <t>C0254</t>
  </si>
  <si>
    <t>Pioneer Medical Center - West</t>
  </si>
  <si>
    <t>INV-026115</t>
  </si>
  <si>
    <t>INV-026120</t>
  </si>
  <si>
    <t>INV-026132</t>
  </si>
  <si>
    <t>C0377</t>
  </si>
  <si>
    <t>Northfield Machine Works</t>
  </si>
  <si>
    <t>INV-026135</t>
  </si>
  <si>
    <t>C0399</t>
  </si>
  <si>
    <t>Riverbend Electric - West 5</t>
  </si>
  <si>
    <t>INV-026148</t>
  </si>
  <si>
    <t>INV-026160</t>
  </si>
  <si>
    <t>INV-026163</t>
  </si>
  <si>
    <t>C0129</t>
  </si>
  <si>
    <t>Northfield Builders</t>
  </si>
  <si>
    <t>INV-026169</t>
  </si>
  <si>
    <t>C0164</t>
  </si>
  <si>
    <t>Lakeshore Fabrication</t>
  </si>
  <si>
    <t>INV-026193</t>
  </si>
  <si>
    <t>C0287</t>
  </si>
  <si>
    <t>Redline University Facilities - Southwest 4</t>
  </si>
  <si>
    <t>INV-026195</t>
  </si>
  <si>
    <t>INV-026205</t>
  </si>
  <si>
    <t>C0356</t>
  </si>
  <si>
    <t>Stonegate University Facilities - Midwest 3</t>
  </si>
  <si>
    <t>INV-026210</t>
  </si>
  <si>
    <t>INV-026229</t>
  </si>
  <si>
    <t>INV-026230</t>
  </si>
  <si>
    <t>INV-026235</t>
  </si>
  <si>
    <t>INV-026244</t>
  </si>
  <si>
    <t>INV-026248</t>
  </si>
  <si>
    <t>INV-026255</t>
  </si>
  <si>
    <t>INV-026261</t>
  </si>
  <si>
    <t>C0360</t>
  </si>
  <si>
    <t>Bluewater Medical Center - Northeast</t>
  </si>
  <si>
    <t>INV-026262</t>
  </si>
  <si>
    <t>INV-026263</t>
  </si>
  <si>
    <t>INV-026274</t>
  </si>
  <si>
    <t>INV-026277</t>
  </si>
  <si>
    <t>Current</t>
  </si>
  <si>
    <t>INV-026280</t>
  </si>
  <si>
    <t>INV-026296</t>
  </si>
  <si>
    <t>C0219</t>
  </si>
  <si>
    <t>Titan Construction - Southwest 3</t>
  </si>
  <si>
    <t>INV-026305</t>
  </si>
  <si>
    <t>C0312</t>
  </si>
  <si>
    <t>Pioneer University Facilities - Southeast</t>
  </si>
  <si>
    <t>INV-026317</t>
  </si>
  <si>
    <t>C0382</t>
  </si>
  <si>
    <t>Summit Machine Works</t>
  </si>
  <si>
    <t>INV-026322</t>
  </si>
  <si>
    <t>INV-026325</t>
  </si>
  <si>
    <t>INV-026331</t>
  </si>
  <si>
    <t>INV-026332</t>
  </si>
  <si>
    <t>C0099</t>
  </si>
  <si>
    <t>Northfield Water Authority</t>
  </si>
  <si>
    <t>INV-026341</t>
  </si>
  <si>
    <t>INV-026350</t>
  </si>
  <si>
    <t>INV-026355</t>
  </si>
  <si>
    <t>C0201</t>
  </si>
  <si>
    <t>Titan Machine Works</t>
  </si>
  <si>
    <t>INV-026376</t>
  </si>
  <si>
    <t>INV-026377</t>
  </si>
  <si>
    <t>C0364</t>
  </si>
  <si>
    <t>Redline Industries - Northeast</t>
  </si>
  <si>
    <t>INV-026387</t>
  </si>
  <si>
    <t>INV-026391</t>
  </si>
  <si>
    <t>INV-026422</t>
  </si>
  <si>
    <t>C0229</t>
  </si>
  <si>
    <t>Pioneer Medical Center</t>
  </si>
  <si>
    <t>INV-026423</t>
  </si>
  <si>
    <t>INV-026425</t>
  </si>
  <si>
    <t>C0256</t>
  </si>
  <si>
    <t>Oakmont School District</t>
  </si>
  <si>
    <t>INV-026429</t>
  </si>
  <si>
    <t>C0286</t>
  </si>
  <si>
    <t>Crestview County Facilities - Southeast</t>
  </si>
  <si>
    <t>INV-026457</t>
  </si>
  <si>
    <t>INV-026463</t>
  </si>
  <si>
    <t>INV-026480</t>
  </si>
  <si>
    <t>INV-026493</t>
  </si>
  <si>
    <t>INV-026494</t>
  </si>
  <si>
    <t>INV-026496</t>
  </si>
  <si>
    <t>C0370</t>
  </si>
  <si>
    <t>Cedar Ridge Construction - West 4</t>
  </si>
  <si>
    <t>INV-026511</t>
  </si>
  <si>
    <t>INV-026514</t>
  </si>
  <si>
    <t>Duplicate Billing</t>
  </si>
  <si>
    <t>INV-026520</t>
  </si>
  <si>
    <t>INV-026540</t>
  </si>
  <si>
    <t>INV-026563</t>
  </si>
  <si>
    <t>C0375</t>
  </si>
  <si>
    <t>Harbor Water Authority - Southwest</t>
  </si>
  <si>
    <t>INV-026576</t>
  </si>
  <si>
    <t>C0053</t>
  </si>
  <si>
    <t>Stonegate University Facilities</t>
  </si>
  <si>
    <t>INV-026577</t>
  </si>
  <si>
    <t>INV-026586</t>
  </si>
  <si>
    <t>INV-026591</t>
  </si>
  <si>
    <t>C0176</t>
  </si>
  <si>
    <t>Harbor Machine Works - Southeast</t>
  </si>
  <si>
    <t>INV-026594</t>
  </si>
  <si>
    <t>C0188</t>
  </si>
  <si>
    <t>Westbrook Industrial Supply - Southwest</t>
  </si>
  <si>
    <t>INV-026603</t>
  </si>
  <si>
    <t>INV-026607</t>
  </si>
  <si>
    <t>INV-026615</t>
  </si>
  <si>
    <t>INV-026616</t>
  </si>
  <si>
    <t>INV-026617</t>
  </si>
  <si>
    <t>INV-026619</t>
  </si>
  <si>
    <t>INV-026623</t>
  </si>
  <si>
    <t>INV-026625</t>
  </si>
  <si>
    <t>INV-026626</t>
  </si>
  <si>
    <t>INV-026629</t>
  </si>
  <si>
    <t>INV-026636</t>
  </si>
  <si>
    <t>INV-026648</t>
  </si>
  <si>
    <t>INV-026657</t>
  </si>
  <si>
    <t>C0325</t>
  </si>
  <si>
    <t>Apex Medical Center</t>
  </si>
  <si>
    <t>INV-026662</t>
  </si>
  <si>
    <t>INV-026663</t>
  </si>
  <si>
    <t>INV-026665</t>
  </si>
  <si>
    <t>INV-026678</t>
  </si>
  <si>
    <t>Short Shipment</t>
  </si>
  <si>
    <t>INV-026681</t>
  </si>
  <si>
    <t>C0101</t>
  </si>
  <si>
    <t>Redline University Facilities - Northeast</t>
  </si>
  <si>
    <t>INV-026687</t>
  </si>
  <si>
    <t>INV-026689</t>
  </si>
  <si>
    <t>INV-026699</t>
  </si>
  <si>
    <t>INV-026700</t>
  </si>
  <si>
    <t>C0214</t>
  </si>
  <si>
    <t>Bluewater Industries - Midwest 3</t>
  </si>
  <si>
    <t>INV-026701</t>
  </si>
  <si>
    <t>C0227</t>
  </si>
  <si>
    <t>Cedar Ridge County Facilities</t>
  </si>
  <si>
    <t>INV-026702</t>
  </si>
  <si>
    <t>INV-026708</t>
  </si>
  <si>
    <t>INV-026711</t>
  </si>
  <si>
    <t>INV-026713</t>
  </si>
  <si>
    <t>INV-026721</t>
  </si>
  <si>
    <t>INV-026722</t>
  </si>
  <si>
    <t>INV-026724</t>
  </si>
  <si>
    <t>INV-026741</t>
  </si>
  <si>
    <t>INV-026747</t>
  </si>
  <si>
    <t>INV-026749</t>
  </si>
  <si>
    <t>C0130</t>
  </si>
  <si>
    <t>Keystone Mechanical</t>
  </si>
  <si>
    <t>INV-026751</t>
  </si>
  <si>
    <t>INV-026755</t>
  </si>
  <si>
    <t>C0195</t>
  </si>
  <si>
    <t>Redline Manufacturing</t>
  </si>
  <si>
    <t>INV-026764</t>
  </si>
  <si>
    <t>C0275</t>
  </si>
  <si>
    <t>Cedar Ridge Machine Works - Southwest</t>
  </si>
  <si>
    <t>INV-026772</t>
  </si>
  <si>
    <t>INV-026774</t>
  </si>
  <si>
    <t>INV-026775</t>
  </si>
  <si>
    <t>INV-026777</t>
  </si>
  <si>
    <t>INV-026784</t>
  </si>
  <si>
    <t>C0018</t>
  </si>
  <si>
    <t>Redline Industries</t>
  </si>
  <si>
    <t>INV-026787</t>
  </si>
  <si>
    <t>INV-026788</t>
  </si>
  <si>
    <t>INV-026790</t>
  </si>
  <si>
    <t>INV-026797</t>
  </si>
  <si>
    <t>INV-026798</t>
  </si>
  <si>
    <t>INV-026823</t>
  </si>
  <si>
    <t>INV-026828</t>
  </si>
  <si>
    <t>C0331</t>
  </si>
  <si>
    <t>Stonegate School District</t>
  </si>
  <si>
    <t>INV-026838</t>
  </si>
  <si>
    <t>INV-026839</t>
  </si>
  <si>
    <t>INV-026841</t>
  </si>
  <si>
    <t>C0050</t>
  </si>
  <si>
    <t>Redline University Facilities</t>
  </si>
  <si>
    <t>INV-026854</t>
  </si>
  <si>
    <t>C0165</t>
  </si>
  <si>
    <t>Northfield School District</t>
  </si>
  <si>
    <t>INV-026873</t>
  </si>
  <si>
    <t>C0289</t>
  </si>
  <si>
    <t>Apex Builders - West</t>
  </si>
  <si>
    <t>INV-026876</t>
  </si>
  <si>
    <t>INV-026877</t>
  </si>
  <si>
    <t>C0303</t>
  </si>
  <si>
    <t>Northfield Contracting</t>
  </si>
  <si>
    <t>INV-026879</t>
  </si>
  <si>
    <t>INV-026880</t>
  </si>
  <si>
    <t>C0319</t>
  </si>
  <si>
    <t>Ironbridge Medical Center - Southwest 3</t>
  </si>
  <si>
    <t>INV-026881</t>
  </si>
  <si>
    <t>INV-026884</t>
  </si>
  <si>
    <t>INV-026891</t>
  </si>
  <si>
    <t>INV-026897</t>
  </si>
  <si>
    <t>INV-026909</t>
  </si>
  <si>
    <t>INV-026910</t>
  </si>
  <si>
    <t>INV-026918</t>
  </si>
  <si>
    <t>INV-026921</t>
  </si>
  <si>
    <t>INV-026926</t>
  </si>
  <si>
    <t>INV-026930</t>
  </si>
  <si>
    <t>INV-026933</t>
  </si>
  <si>
    <t>INV-026953</t>
  </si>
  <si>
    <t>INV-026954</t>
  </si>
  <si>
    <t>INV-026969</t>
  </si>
  <si>
    <t>C0149</t>
  </si>
  <si>
    <t>Pioneer University Facilities</t>
  </si>
  <si>
    <t>INV-026979</t>
  </si>
  <si>
    <t>C0261</t>
  </si>
  <si>
    <t>Stonegate Maintenance Supply</t>
  </si>
  <si>
    <t>INV-026986</t>
  </si>
  <si>
    <t>INV-026987</t>
  </si>
  <si>
    <t>INV-026989</t>
  </si>
  <si>
    <t>INV-026996</t>
  </si>
  <si>
    <t>C0345</t>
  </si>
  <si>
    <t>Bluewater Medical Center</t>
  </si>
  <si>
    <t>INV-026999</t>
  </si>
  <si>
    <t>INV-027001</t>
  </si>
  <si>
    <t>INV-027008</t>
  </si>
  <si>
    <t>INV-027009</t>
  </si>
  <si>
    <t>C0032</t>
  </si>
  <si>
    <t>Cedar Ridge Components</t>
  </si>
  <si>
    <t>INV-027013</t>
  </si>
  <si>
    <t>INV-027017</t>
  </si>
  <si>
    <t>INV-027032</t>
  </si>
  <si>
    <t>C0200</t>
  </si>
  <si>
    <t>Harbor Mechanical</t>
  </si>
  <si>
    <t>INV-027036</t>
  </si>
  <si>
    <t>INV-027044</t>
  </si>
  <si>
    <t>INV-027053</t>
  </si>
  <si>
    <t>INV-027056</t>
  </si>
  <si>
    <t>C0367</t>
  </si>
  <si>
    <t>Bluewater Parts &amp; Service - Southeast 5</t>
  </si>
  <si>
    <t>INV-027063</t>
  </si>
  <si>
    <t>INV-027064</t>
  </si>
  <si>
    <t>INV-027072</t>
  </si>
  <si>
    <t>INV-027076</t>
  </si>
  <si>
    <t>INV-027079</t>
  </si>
  <si>
    <t>INV-027080</t>
  </si>
  <si>
    <t>C0169</t>
  </si>
  <si>
    <t>Apex Components</t>
  </si>
  <si>
    <t>INV-027089</t>
  </si>
  <si>
    <t>INV-027090</t>
  </si>
  <si>
    <t>C0212</t>
  </si>
  <si>
    <t>Westbrook Mechanical - Northeast</t>
  </si>
  <si>
    <t>INV-027099</t>
  </si>
  <si>
    <t>INV-027102</t>
  </si>
  <si>
    <t>C0299</t>
  </si>
  <si>
    <t>Silverline Industries</t>
  </si>
  <si>
    <t>INV-027106</t>
  </si>
  <si>
    <t>C0336</t>
  </si>
  <si>
    <t>Summit Contracting - Southwest 3</t>
  </si>
  <si>
    <t>INV-027111</t>
  </si>
  <si>
    <t>INV-027112</t>
  </si>
  <si>
    <t>INV-027113</t>
  </si>
  <si>
    <t>C0362</t>
  </si>
  <si>
    <t>Ironbridge Construction</t>
  </si>
  <si>
    <t>INV-027115</t>
  </si>
  <si>
    <t>INV-027122</t>
  </si>
  <si>
    <t>INV-027130</t>
  </si>
  <si>
    <t>INV-027132</t>
  </si>
  <si>
    <t>INV-027140</t>
  </si>
  <si>
    <t>INV-027146</t>
  </si>
  <si>
    <t>INV-027152</t>
  </si>
  <si>
    <t>INV-027155</t>
  </si>
  <si>
    <t>INV-027157</t>
  </si>
  <si>
    <t>INV-027161</t>
  </si>
  <si>
    <t>INV-027162</t>
  </si>
  <si>
    <t>INV-027166</t>
  </si>
  <si>
    <t>INV-027167</t>
  </si>
  <si>
    <t>INV-027168</t>
  </si>
  <si>
    <t>C0288</t>
  </si>
  <si>
    <t>Summit University Facilities</t>
  </si>
  <si>
    <t>INV-027173</t>
  </si>
  <si>
    <t>INV-027174</t>
  </si>
  <si>
    <t>INV-027176</t>
  </si>
  <si>
    <t>INV-027177</t>
  </si>
  <si>
    <t>INV-027178</t>
  </si>
  <si>
    <t>INV-027179</t>
  </si>
  <si>
    <t>C0373</t>
  </si>
  <si>
    <t>Riverbend Electric - West 4</t>
  </si>
  <si>
    <t>INV-027181</t>
  </si>
  <si>
    <t>INV-027184</t>
  </si>
  <si>
    <t>INV-027187</t>
  </si>
  <si>
    <t>C0013</t>
  </si>
  <si>
    <t>Riverbend Contracting</t>
  </si>
  <si>
    <t>INV-027189</t>
  </si>
  <si>
    <t>INV-027190</t>
  </si>
  <si>
    <t>INV-027191</t>
  </si>
  <si>
    <t>INV-027192</t>
  </si>
  <si>
    <t>INV-027197</t>
  </si>
  <si>
    <t>INV-027199</t>
  </si>
  <si>
    <t>INV-027205</t>
  </si>
  <si>
    <t>C0138</t>
  </si>
  <si>
    <t>Ironbridge Mechanical - Midwest 4</t>
  </si>
  <si>
    <t>INV-027215</t>
  </si>
  <si>
    <t>C0217</t>
  </si>
  <si>
    <t>Apex Contracting - Southeast</t>
  </si>
  <si>
    <t>INV-027216</t>
  </si>
  <si>
    <t>INV-027217</t>
  </si>
  <si>
    <t>INV-027223</t>
  </si>
  <si>
    <t>INV-027225</t>
  </si>
  <si>
    <t>INV-027226</t>
  </si>
  <si>
    <t>INV-027228</t>
  </si>
  <si>
    <t>INV-027234</t>
  </si>
  <si>
    <t>INV-027237</t>
  </si>
  <si>
    <t>INV-027246</t>
  </si>
  <si>
    <t>INV-027247</t>
  </si>
  <si>
    <t>INV-027248</t>
  </si>
  <si>
    <t>INV-027250</t>
  </si>
  <si>
    <t>INV-027252</t>
  </si>
  <si>
    <t>INV-027253</t>
  </si>
  <si>
    <t>INV-027259</t>
  </si>
  <si>
    <t>C0121</t>
  </si>
  <si>
    <t>Apex Manufacturing</t>
  </si>
  <si>
    <t>INV-027266</t>
  </si>
  <si>
    <t>C0154</t>
  </si>
  <si>
    <t>Frontier University Facilities - Southeast</t>
  </si>
  <si>
    <t>INV-027273</t>
  </si>
  <si>
    <t>INV-027275</t>
  </si>
  <si>
    <t>INV-027276</t>
  </si>
  <si>
    <t>C0228</t>
  </si>
  <si>
    <t>Granite School District</t>
  </si>
  <si>
    <t>INV-027277</t>
  </si>
  <si>
    <t>INV-027279</t>
  </si>
  <si>
    <t>C0240</t>
  </si>
  <si>
    <t>Summit Contracting</t>
  </si>
  <si>
    <t>INV-027280</t>
  </si>
  <si>
    <t>INV-027284</t>
  </si>
  <si>
    <t>C0276</t>
  </si>
  <si>
    <t>Oakmont Builders - West 3</t>
  </si>
  <si>
    <t>INV-027289</t>
  </si>
  <si>
    <t>INV-027292</t>
  </si>
  <si>
    <t>INV-027295</t>
  </si>
  <si>
    <t>INV-027297</t>
  </si>
  <si>
    <t>C0355</t>
  </si>
  <si>
    <t>Oakmont University Facilities</t>
  </si>
  <si>
    <t>INV-027298</t>
  </si>
  <si>
    <t>C0358</t>
  </si>
  <si>
    <t>Ironbridge Builders - West</t>
  </si>
  <si>
    <t>INV-027299</t>
  </si>
  <si>
    <t>INV-027307</t>
  </si>
  <si>
    <t>INV-027309</t>
  </si>
  <si>
    <t>INV-027310</t>
  </si>
  <si>
    <t>C0060</t>
  </si>
  <si>
    <t>Crestview School District</t>
  </si>
  <si>
    <t>INV-027315</t>
  </si>
  <si>
    <t>INV-027317</t>
  </si>
  <si>
    <t>INV-027323</t>
  </si>
  <si>
    <t>C0202</t>
  </si>
  <si>
    <t>Harbor MRO Services</t>
  </si>
  <si>
    <t>INV-027324</t>
  </si>
  <si>
    <t>INV-027325</t>
  </si>
  <si>
    <t>C0211</t>
  </si>
  <si>
    <t>Ironbridge Builders</t>
  </si>
  <si>
    <t>INV-027326</t>
  </si>
  <si>
    <t>INV-027328</t>
  </si>
  <si>
    <t>INV-027332</t>
  </si>
  <si>
    <t>C0245</t>
  </si>
  <si>
    <t>Ironbridge Industrial Supply - West</t>
  </si>
  <si>
    <t>INV-027343</t>
  </si>
  <si>
    <t>C0337</t>
  </si>
  <si>
    <t>Keystone Manufacturing</t>
  </si>
  <si>
    <t>INV-027345</t>
  </si>
  <si>
    <t>INV-027346</t>
  </si>
  <si>
    <t>INV-027351</t>
  </si>
  <si>
    <t>INV-027356</t>
  </si>
  <si>
    <t>INV-027357</t>
  </si>
  <si>
    <t>INV-027360</t>
  </si>
  <si>
    <t>C0056</t>
  </si>
  <si>
    <t>Northfield Components - Southwest</t>
  </si>
  <si>
    <t>INV-027362</t>
  </si>
  <si>
    <t>INV-027365</t>
  </si>
  <si>
    <t>C0087</t>
  </si>
  <si>
    <t>Riverbend Maintenance Supply</t>
  </si>
  <si>
    <t>INV-027367</t>
  </si>
  <si>
    <t>C0102</t>
  </si>
  <si>
    <t>Crestview County Facilities</t>
  </si>
  <si>
    <t>INV-027373</t>
  </si>
  <si>
    <t>C0158</t>
  </si>
  <si>
    <t>Frontier Mechanical</t>
  </si>
  <si>
    <t>INV-027374</t>
  </si>
  <si>
    <t>INV-027382</t>
  </si>
  <si>
    <t>INV-027383</t>
  </si>
  <si>
    <t>INV-027385</t>
  </si>
  <si>
    <t>INV-027388</t>
  </si>
  <si>
    <t>C0241</t>
  </si>
  <si>
    <t>Lakeshore Industries - Southeast</t>
  </si>
  <si>
    <t>INV-027391</t>
  </si>
  <si>
    <t>C0280</t>
  </si>
  <si>
    <t>Apex Mechanical - West</t>
  </si>
  <si>
    <t>INV-027400</t>
  </si>
  <si>
    <t>C0344</t>
  </si>
  <si>
    <t>Granite Supply Co. - West</t>
  </si>
  <si>
    <t>INV-027402</t>
  </si>
  <si>
    <t>INV-027405</t>
  </si>
  <si>
    <t>INV-027421</t>
  </si>
  <si>
    <t>INV-027428</t>
  </si>
  <si>
    <t>INV-027430</t>
  </si>
  <si>
    <t>INV-027437</t>
  </si>
  <si>
    <t>INV-027438</t>
  </si>
  <si>
    <t>INV-027442</t>
  </si>
  <si>
    <t>INV-027443</t>
  </si>
  <si>
    <t>INV-027444</t>
  </si>
  <si>
    <t>INV-027446</t>
  </si>
  <si>
    <t>INV-027447</t>
  </si>
  <si>
    <t>INV-027453</t>
  </si>
  <si>
    <t>INV-027455</t>
  </si>
  <si>
    <t>C0334</t>
  </si>
  <si>
    <t>Titan Fabrication - Southeast</t>
  </si>
  <si>
    <t>INV-027457</t>
  </si>
  <si>
    <t>INV-027458</t>
  </si>
  <si>
    <t>INV-027460</t>
  </si>
  <si>
    <t>INV-027461</t>
  </si>
  <si>
    <t>INV-027462</t>
  </si>
  <si>
    <t>INV-027467</t>
  </si>
  <si>
    <t>INV-027469</t>
  </si>
  <si>
    <t>C0396</t>
  </si>
  <si>
    <t>Ironbridge Manufacturing</t>
  </si>
  <si>
    <t>INV-027471</t>
  </si>
  <si>
    <t>INV-027479</t>
  </si>
  <si>
    <t>INV-027484</t>
  </si>
  <si>
    <t>INV-027486</t>
  </si>
  <si>
    <t>INV-027489</t>
  </si>
  <si>
    <t>INV-027490</t>
  </si>
  <si>
    <t>INV-027494</t>
  </si>
  <si>
    <t>INV-027495</t>
  </si>
  <si>
    <t>INV-027497</t>
  </si>
  <si>
    <t>INV-027498</t>
  </si>
  <si>
    <t>INV-027499</t>
  </si>
  <si>
    <t>C0168</t>
  </si>
  <si>
    <t>Northfield Mechanical</t>
  </si>
  <si>
    <t>INV-027507</t>
  </si>
  <si>
    <t>INV-027508</t>
  </si>
  <si>
    <t>INV-027509</t>
  </si>
  <si>
    <t>INV-027511</t>
  </si>
  <si>
    <t>INV-027513</t>
  </si>
  <si>
    <t>INV-027514</t>
  </si>
  <si>
    <t>INV-027517</t>
  </si>
  <si>
    <t>INV-027519</t>
  </si>
  <si>
    <t>C0284</t>
  </si>
  <si>
    <t>Apex Manufacturing - Southwest 3</t>
  </si>
  <si>
    <t>INV-027521</t>
  </si>
  <si>
    <t>INV-027524</t>
  </si>
  <si>
    <t>INV-027526</t>
  </si>
  <si>
    <t>C0340</t>
  </si>
  <si>
    <t>Bluewater Contracting</t>
  </si>
  <si>
    <t>INV-027530</t>
  </si>
  <si>
    <t>INV-027532</t>
  </si>
  <si>
    <t>INV-027540</t>
  </si>
  <si>
    <t>INV-027542</t>
  </si>
  <si>
    <t>INV-027545</t>
  </si>
  <si>
    <t>INV-027547</t>
  </si>
  <si>
    <t>C0061</t>
  </si>
  <si>
    <t>Riverbend Industries</t>
  </si>
  <si>
    <t>INV-027551</t>
  </si>
  <si>
    <t>C0111</t>
  </si>
  <si>
    <t>Harbor Manufacturing</t>
  </si>
  <si>
    <t>INV-027552</t>
  </si>
  <si>
    <t>INV-027554</t>
  </si>
  <si>
    <t>C0140</t>
  </si>
  <si>
    <t>Apex Parts &amp; Service</t>
  </si>
  <si>
    <t>INV-027557</t>
  </si>
  <si>
    <t>C0162</t>
  </si>
  <si>
    <t>Stonegate Builders</t>
  </si>
  <si>
    <t>INV-027562</t>
  </si>
  <si>
    <t>INV-027565</t>
  </si>
  <si>
    <t>C0209</t>
  </si>
  <si>
    <t>Northfield Construction</t>
  </si>
  <si>
    <t>INV-027566</t>
  </si>
  <si>
    <t>INV-027567</t>
  </si>
  <si>
    <t>INV-027571</t>
  </si>
  <si>
    <t>INV-027572</t>
  </si>
  <si>
    <t>INV-027574</t>
  </si>
  <si>
    <t>C0296</t>
  </si>
  <si>
    <t>Crestview Manufacturing</t>
  </si>
  <si>
    <t>INV-027576</t>
  </si>
  <si>
    <t>C0309</t>
  </si>
  <si>
    <t>Frontier Machine Works</t>
  </si>
  <si>
    <t>INV-027578</t>
  </si>
  <si>
    <t>INV-027582</t>
  </si>
  <si>
    <t>C0342</t>
  </si>
  <si>
    <t>Titan Medical Center</t>
  </si>
  <si>
    <t>INV-027586</t>
  </si>
  <si>
    <t>INV-027587</t>
  </si>
  <si>
    <t>INV-027589</t>
  </si>
  <si>
    <t>C0397</t>
  </si>
  <si>
    <t>Silverline Mechanical - Southwest 3</t>
  </si>
  <si>
    <t>INV-027602</t>
  </si>
  <si>
    <t>INV-027603</t>
  </si>
  <si>
    <t>INV-027604</t>
  </si>
  <si>
    <t>INV-027605</t>
  </si>
  <si>
    <t>INV-027610</t>
  </si>
  <si>
    <t>C0083</t>
  </si>
  <si>
    <t>Bluewater Builders</t>
  </si>
  <si>
    <t>INV-027612</t>
  </si>
  <si>
    <t>INV-027620</t>
  </si>
  <si>
    <t>C0150</t>
  </si>
  <si>
    <t>Northfield Industries</t>
  </si>
  <si>
    <t>INV-027621</t>
  </si>
  <si>
    <t>INV-027623</t>
  </si>
  <si>
    <t>C0175</t>
  </si>
  <si>
    <t>Redline Mechanical - Southwest</t>
  </si>
  <si>
    <t>INV-027628</t>
  </si>
  <si>
    <t>INV-027629</t>
  </si>
  <si>
    <t>INV-027630</t>
  </si>
  <si>
    <t>INV-027632</t>
  </si>
  <si>
    <t>INV-027633</t>
  </si>
  <si>
    <t>INV-027634</t>
  </si>
  <si>
    <t>INV-027635</t>
  </si>
  <si>
    <t>INV-027636</t>
  </si>
  <si>
    <t>INV-027637</t>
  </si>
  <si>
    <t>INV-027638</t>
  </si>
  <si>
    <t>INV-027642</t>
  </si>
  <si>
    <t>C0330</t>
  </si>
  <si>
    <t>Westbrook Electric - West</t>
  </si>
  <si>
    <t>INV-027644</t>
  </si>
  <si>
    <t>INV-027646</t>
  </si>
  <si>
    <t>C0348</t>
  </si>
  <si>
    <t>Bluewater Manufacturing</t>
  </si>
  <si>
    <t>INV-027647</t>
  </si>
  <si>
    <t>INV-027648</t>
  </si>
  <si>
    <t>INV-027649</t>
  </si>
  <si>
    <t>C0385</t>
  </si>
  <si>
    <t>Cedar Ridge Maintenance Supply - Southeast</t>
  </si>
  <si>
    <t>INV-027650</t>
  </si>
  <si>
    <t>INV-027653</t>
  </si>
  <si>
    <t>INV-027659</t>
  </si>
  <si>
    <t>INV-027660</t>
  </si>
  <si>
    <t>INV-027663</t>
  </si>
  <si>
    <t>INV-027665</t>
  </si>
  <si>
    <t>INV-027666</t>
  </si>
  <si>
    <t>INV-027668</t>
  </si>
  <si>
    <t>INV-027670</t>
  </si>
  <si>
    <t>INV-027671</t>
  </si>
  <si>
    <t>INV-027673</t>
  </si>
  <si>
    <t>C0131</t>
  </si>
  <si>
    <t>Bluewater Mechanical</t>
  </si>
  <si>
    <t>INV-027674</t>
  </si>
  <si>
    <t>INV-027676</t>
  </si>
  <si>
    <t>C0144</t>
  </si>
  <si>
    <t>Frontier Electric</t>
  </si>
  <si>
    <t>INV-027677</t>
  </si>
  <si>
    <t>INV-027678</t>
  </si>
  <si>
    <t>INV-027679</t>
  </si>
  <si>
    <t>INV-027688</t>
  </si>
  <si>
    <t>INV-027690</t>
  </si>
  <si>
    <t>C0258</t>
  </si>
  <si>
    <t>Riverbend Contracting - Midwest</t>
  </si>
  <si>
    <t>INV-027691</t>
  </si>
  <si>
    <t>INV-027692</t>
  </si>
  <si>
    <t>C0262</t>
  </si>
  <si>
    <t>Titan Industrial Supply</t>
  </si>
  <si>
    <t>INV-027693</t>
  </si>
  <si>
    <t>INV-027694</t>
  </si>
  <si>
    <t>INV-027695</t>
  </si>
  <si>
    <t>C0281</t>
  </si>
  <si>
    <t>Westbrook Fabrication</t>
  </si>
  <si>
    <t>INV-027696</t>
  </si>
  <si>
    <t>INV-027700</t>
  </si>
  <si>
    <t>INV-027703</t>
  </si>
  <si>
    <t>C0350</t>
  </si>
  <si>
    <t>Crestview Industries</t>
  </si>
  <si>
    <t>INV-027705</t>
  </si>
  <si>
    <t>C0368</t>
  </si>
  <si>
    <t>Stonegate Machine Works - West</t>
  </si>
  <si>
    <t>INV-027706</t>
  </si>
  <si>
    <t>INV-027708</t>
  </si>
  <si>
    <t>INV-027710</t>
  </si>
  <si>
    <t>INV-027712</t>
  </si>
  <si>
    <t>INV-027714</t>
  </si>
  <si>
    <t>INV-027715</t>
  </si>
  <si>
    <t>INV-027716</t>
  </si>
  <si>
    <t>INV-027717</t>
  </si>
  <si>
    <t>C0073</t>
  </si>
  <si>
    <t>Lakeshore Manufacturing</t>
  </si>
  <si>
    <t>INV-027722</t>
  </si>
  <si>
    <t>INV-027723</t>
  </si>
  <si>
    <t>INV-027725</t>
  </si>
  <si>
    <t>C0104</t>
  </si>
  <si>
    <t>Granite Industrial Supply</t>
  </si>
  <si>
    <t>INV-027726</t>
  </si>
  <si>
    <t>INV-027730</t>
  </si>
  <si>
    <t>INV-027731</t>
  </si>
  <si>
    <t>INV-027732</t>
  </si>
  <si>
    <t>INV-027735</t>
  </si>
  <si>
    <t>C0197</t>
  </si>
  <si>
    <t>Harbor Machine Works - Southwest 3</t>
  </si>
  <si>
    <t>INV-027736</t>
  </si>
  <si>
    <t>INV-027737</t>
  </si>
  <si>
    <t>INV-027738</t>
  </si>
  <si>
    <t>INV-027739</t>
  </si>
  <si>
    <t>INV-027746</t>
  </si>
  <si>
    <t>INV-027747</t>
  </si>
  <si>
    <t>INV-027753</t>
  </si>
  <si>
    <t>INV-027757</t>
  </si>
  <si>
    <t>INV-027761</t>
  </si>
  <si>
    <t>INV-027763</t>
  </si>
  <si>
    <t>INV-027767</t>
  </si>
  <si>
    <t>INV-027770</t>
  </si>
  <si>
    <t>INV-027772</t>
  </si>
  <si>
    <t>INV-027773</t>
  </si>
  <si>
    <t>INV-027774</t>
  </si>
  <si>
    <t>INV-027778</t>
  </si>
  <si>
    <t>INV-027779</t>
  </si>
  <si>
    <t>INV-027780</t>
  </si>
  <si>
    <t>INV-027784</t>
  </si>
  <si>
    <t>INV-027790</t>
  </si>
  <si>
    <t>INV-027792</t>
  </si>
  <si>
    <t>C0225</t>
  </si>
  <si>
    <t>Titan Parts &amp; Service</t>
  </si>
  <si>
    <t>INV-027793</t>
  </si>
  <si>
    <t>INV-027797</t>
  </si>
  <si>
    <t>INV-027800</t>
  </si>
  <si>
    <t>C0267</t>
  </si>
  <si>
    <t>Redline Manufacturing - Southwest</t>
  </si>
  <si>
    <t>INV-027803</t>
  </si>
  <si>
    <t>INV-027805</t>
  </si>
  <si>
    <t>INV-027806</t>
  </si>
  <si>
    <t>INV-027807</t>
  </si>
  <si>
    <t>INV-027808</t>
  </si>
  <si>
    <t>INV-027811</t>
  </si>
  <si>
    <t>INV-027813</t>
  </si>
  <si>
    <t>INV-027814</t>
  </si>
  <si>
    <t>C0384</t>
  </si>
  <si>
    <t>Riverbend Industries - Southeast</t>
  </si>
  <si>
    <t>INV-027816</t>
  </si>
  <si>
    <t>INV-027822</t>
  </si>
  <si>
    <t>INV-027824</t>
  </si>
  <si>
    <t>INV-027825</t>
  </si>
  <si>
    <t>INV-027826</t>
  </si>
  <si>
    <t>INV-027828</t>
  </si>
  <si>
    <t>INV-027829</t>
  </si>
  <si>
    <t>INV-027831</t>
  </si>
  <si>
    <t>INV-027832</t>
  </si>
  <si>
    <t>INV-027836</t>
  </si>
  <si>
    <t>INV-027838</t>
  </si>
  <si>
    <t>INV-027849</t>
  </si>
  <si>
    <t>C0204</t>
  </si>
  <si>
    <t>Cedar Ridge Builders</t>
  </si>
  <si>
    <t>INV-027850</t>
  </si>
  <si>
    <t>INV-027851</t>
  </si>
  <si>
    <t>INV-027854</t>
  </si>
  <si>
    <t>INV-027857</t>
  </si>
  <si>
    <t>INV-027859</t>
  </si>
  <si>
    <t>INV-027869</t>
  </si>
  <si>
    <t>INV-027870</t>
  </si>
  <si>
    <t>INV-027871</t>
  </si>
  <si>
    <t>INV-027872</t>
  </si>
  <si>
    <t>INV-027873</t>
  </si>
  <si>
    <t>INV-027886</t>
  </si>
  <si>
    <t>INV-027888</t>
  </si>
  <si>
    <t>INV-027890</t>
  </si>
  <si>
    <t>INV-027892</t>
  </si>
  <si>
    <t>C0081</t>
  </si>
  <si>
    <t>Crestview Builders</t>
  </si>
  <si>
    <t>INV-027894</t>
  </si>
  <si>
    <t>INV-027896</t>
  </si>
  <si>
    <t>INV-027897</t>
  </si>
  <si>
    <t>INV-027900</t>
  </si>
  <si>
    <t>C0120</t>
  </si>
  <si>
    <t>Ironbridge Medical Center</t>
  </si>
  <si>
    <t>INV-027904</t>
  </si>
  <si>
    <t>INV-027907</t>
  </si>
  <si>
    <t>INV-027909</t>
  </si>
  <si>
    <t>INV-027910</t>
  </si>
  <si>
    <t>INV-027916</t>
  </si>
  <si>
    <t>INV-027917</t>
  </si>
  <si>
    <t>C0235</t>
  </si>
  <si>
    <t>Riverbend Electric - Southeast</t>
  </si>
  <si>
    <t>INV-027921</t>
  </si>
  <si>
    <t>INV-027922</t>
  </si>
  <si>
    <t>INV-027923</t>
  </si>
  <si>
    <t>C0253</t>
  </si>
  <si>
    <t>Summit Industrial Supply</t>
  </si>
  <si>
    <t>INV-027924</t>
  </si>
  <si>
    <t>INV-027925</t>
  </si>
  <si>
    <t>INV-027926</t>
  </si>
  <si>
    <t>INV-027928</t>
  </si>
  <si>
    <t>C0305</t>
  </si>
  <si>
    <t>Titan Fabrication</t>
  </si>
  <si>
    <t>INV-027929</t>
  </si>
  <si>
    <t>C0314</t>
  </si>
  <si>
    <t>Cedar Ridge Fabrication</t>
  </si>
  <si>
    <t>INV-027931</t>
  </si>
  <si>
    <t>INV-027932</t>
  </si>
  <si>
    <t>C0341</t>
  </si>
  <si>
    <t>Summit Supply Co. - Southeast</t>
  </si>
  <si>
    <t>INV-027935</t>
  </si>
  <si>
    <t>INV-027936</t>
  </si>
  <si>
    <t>INV-027937</t>
  </si>
  <si>
    <t>INV-027938</t>
  </si>
  <si>
    <t>INV-027940</t>
  </si>
  <si>
    <t>INV-027941</t>
  </si>
  <si>
    <t>INV-027942</t>
  </si>
  <si>
    <t>INV-027944</t>
  </si>
  <si>
    <t>C0012</t>
  </si>
  <si>
    <t>Lakeshore Mechanical</t>
  </si>
  <si>
    <t>INV-027946</t>
  </si>
  <si>
    <t>INV-027948</t>
  </si>
  <si>
    <t>C0040</t>
  </si>
  <si>
    <t>Apex MRO Services</t>
  </si>
  <si>
    <t>INV-027949</t>
  </si>
  <si>
    <t>INV-027950</t>
  </si>
  <si>
    <t>INV-027952</t>
  </si>
  <si>
    <t>INV-027954</t>
  </si>
  <si>
    <t>C0074</t>
  </si>
  <si>
    <t>Frontier Fabrication</t>
  </si>
  <si>
    <t>INV-027957</t>
  </si>
  <si>
    <t>INV-027960</t>
  </si>
  <si>
    <t>C0124</t>
  </si>
  <si>
    <t>Riverbend MRO Services - West</t>
  </si>
  <si>
    <t>INV-027966</t>
  </si>
  <si>
    <t>C0166</t>
  </si>
  <si>
    <t>Apex School District</t>
  </si>
  <si>
    <t>INV-027967</t>
  </si>
  <si>
    <t>INV-027969</t>
  </si>
  <si>
    <t>INV-027970</t>
  </si>
  <si>
    <t>INV-027971</t>
  </si>
  <si>
    <t>INV-027973</t>
  </si>
  <si>
    <t>INV-027974</t>
  </si>
  <si>
    <t>C0220</t>
  </si>
  <si>
    <t>Frontier Construction</t>
  </si>
  <si>
    <t>INV-027975</t>
  </si>
  <si>
    <t>INV-027976</t>
  </si>
  <si>
    <t>INV-027979</t>
  </si>
  <si>
    <t>INV-027980</t>
  </si>
  <si>
    <t>INV-027981</t>
  </si>
  <si>
    <t>INV-027982</t>
  </si>
  <si>
    <t>INV-027986</t>
  </si>
  <si>
    <t>INV-027987</t>
  </si>
  <si>
    <t>INV-027989</t>
  </si>
  <si>
    <t>INV-027990</t>
  </si>
  <si>
    <t>INV-027991</t>
  </si>
  <si>
    <t>INV-027993</t>
  </si>
  <si>
    <t>C0372</t>
  </si>
  <si>
    <t>Cedar Ridge Mechanical - Southeast 3</t>
  </si>
  <si>
    <t>INV-027994</t>
  </si>
  <si>
    <t>INV-027997</t>
  </si>
  <si>
    <t>C0390</t>
  </si>
  <si>
    <t>Titan Mechanical</t>
  </si>
  <si>
    <t>INV-027999</t>
  </si>
  <si>
    <t>INV-028000</t>
  </si>
  <si>
    <t>INV-028001</t>
  </si>
  <si>
    <t>C0014</t>
  </si>
  <si>
    <t>Riverbend MRO Services</t>
  </si>
  <si>
    <t>INV-028004</t>
  </si>
  <si>
    <t>C0026</t>
  </si>
  <si>
    <t>Northfield Components</t>
  </si>
  <si>
    <t>INV-028005</t>
  </si>
  <si>
    <t>INV-028006</t>
  </si>
  <si>
    <t>C0041</t>
  </si>
  <si>
    <t>Oakmont Builders</t>
  </si>
  <si>
    <t>INV-028011</t>
  </si>
  <si>
    <t>INV-028012</t>
  </si>
  <si>
    <t>C0075</t>
  </si>
  <si>
    <t>Ironbridge Mechanical - Southeast 3</t>
  </si>
  <si>
    <t>INV-028013</t>
  </si>
  <si>
    <t>INV-028015</t>
  </si>
  <si>
    <t>C0091</t>
  </si>
  <si>
    <t>Redline School District</t>
  </si>
  <si>
    <t>INV-028016</t>
  </si>
  <si>
    <t>INV-028019</t>
  </si>
  <si>
    <t>C0110</t>
  </si>
  <si>
    <t>Riverbend Maintenance Supply - Northeast</t>
  </si>
  <si>
    <t>INV-028021</t>
  </si>
  <si>
    <t>C0146</t>
  </si>
  <si>
    <t>Harbor Components</t>
  </si>
  <si>
    <t>INV-028022</t>
  </si>
  <si>
    <t>INV-028023</t>
  </si>
  <si>
    <t>INV-028024</t>
  </si>
  <si>
    <t>INV-028028</t>
  </si>
  <si>
    <t>INV-028029</t>
  </si>
  <si>
    <t>INV-028033</t>
  </si>
  <si>
    <t>INV-028035</t>
  </si>
  <si>
    <t>INV-028037</t>
  </si>
  <si>
    <t>INV-028041</t>
  </si>
  <si>
    <t>INV-028042</t>
  </si>
  <si>
    <t>INV-028043</t>
  </si>
  <si>
    <t>INV-028046</t>
  </si>
  <si>
    <t>INV-028048</t>
  </si>
  <si>
    <t>INV-028050</t>
  </si>
  <si>
    <t>INV-028051</t>
  </si>
  <si>
    <t>INV-028053</t>
  </si>
  <si>
    <t>INV-028055</t>
  </si>
  <si>
    <t>INV-028056</t>
  </si>
  <si>
    <t>INV-028059</t>
  </si>
  <si>
    <t>INV-028061</t>
  </si>
  <si>
    <t>INV-028064</t>
  </si>
  <si>
    <t>INV-028066</t>
  </si>
  <si>
    <t>INV-028068</t>
  </si>
  <si>
    <t>INV-028071</t>
  </si>
  <si>
    <t>INV-028073</t>
  </si>
  <si>
    <t>INV-028074</t>
  </si>
  <si>
    <t>INV-028075</t>
  </si>
  <si>
    <t>C0089</t>
  </si>
  <si>
    <t>Ironbridge Industrial Supply</t>
  </si>
  <si>
    <t>INV-028081</t>
  </si>
  <si>
    <t>INV-028084</t>
  </si>
  <si>
    <t>INV-028085</t>
  </si>
  <si>
    <t>INV-028087</t>
  </si>
  <si>
    <t>INV-028092</t>
  </si>
  <si>
    <t>INV-028094</t>
  </si>
  <si>
    <t>INV-028095</t>
  </si>
  <si>
    <t>INV-028096</t>
  </si>
  <si>
    <t>INV-028097</t>
  </si>
  <si>
    <t>INV-028098</t>
  </si>
  <si>
    <t>INV-028100</t>
  </si>
  <si>
    <t>INV-028101</t>
  </si>
  <si>
    <t>INV-028103</t>
  </si>
  <si>
    <t>INV-028104</t>
  </si>
  <si>
    <t>INV-028107</t>
  </si>
  <si>
    <t>INV-028108</t>
  </si>
  <si>
    <t>INV-028110</t>
  </si>
  <si>
    <t>INV-028111</t>
  </si>
  <si>
    <t>INV-028113</t>
  </si>
  <si>
    <t>INV-028115</t>
  </si>
  <si>
    <t>C0007</t>
  </si>
  <si>
    <t>Cedar Ridge Industrial Supply</t>
  </si>
  <si>
    <t>INV-028116</t>
  </si>
  <si>
    <t>INV-028118</t>
  </si>
  <si>
    <t>INV-028119</t>
  </si>
  <si>
    <t>INV-028120</t>
  </si>
  <si>
    <t>INV-028121</t>
  </si>
  <si>
    <t>INV-028122</t>
  </si>
  <si>
    <t>C0057</t>
  </si>
  <si>
    <t>Frontier School District</t>
  </si>
  <si>
    <t>INV-028123</t>
  </si>
  <si>
    <t>INV-028124</t>
  </si>
  <si>
    <t>INV-028125</t>
  </si>
  <si>
    <t>INV-028126</t>
  </si>
  <si>
    <t>INV-028127</t>
  </si>
  <si>
    <t>INV-028129</t>
  </si>
  <si>
    <t>C0106</t>
  </si>
  <si>
    <t>Cedar Ridge Industrial Supply - Midwest</t>
  </si>
  <si>
    <t>INV-028132</t>
  </si>
  <si>
    <t>INV-028133</t>
  </si>
  <si>
    <t>INV-028134</t>
  </si>
  <si>
    <t>INV-028135</t>
  </si>
  <si>
    <t>INV-028137</t>
  </si>
  <si>
    <t>INV-028138</t>
  </si>
  <si>
    <t>C0191</t>
  </si>
  <si>
    <t>Bluewater Builders - Midwest</t>
  </si>
  <si>
    <t>INV-028139</t>
  </si>
  <si>
    <t>INV-028141</t>
  </si>
  <si>
    <t>INV-028142</t>
  </si>
  <si>
    <t>INV-028144</t>
  </si>
  <si>
    <t>INV-028146</t>
  </si>
  <si>
    <t>INV-028147</t>
  </si>
  <si>
    <t>INV-028149</t>
  </si>
  <si>
    <t>INV-028152</t>
  </si>
  <si>
    <t>INV-028153</t>
  </si>
  <si>
    <t>INV-028154</t>
  </si>
  <si>
    <t>INV-028155</t>
  </si>
  <si>
    <t>INV-028157</t>
  </si>
  <si>
    <t>INV-028159</t>
  </si>
  <si>
    <t>C0316</t>
  </si>
  <si>
    <t>Bluewater Parts &amp; Service - Midwest 3</t>
  </si>
  <si>
    <t>INV-028160</t>
  </si>
  <si>
    <t>INV-028161</t>
  </si>
  <si>
    <t>INV-028162</t>
  </si>
  <si>
    <t>INV-028163</t>
  </si>
  <si>
    <t>INV-028164</t>
  </si>
  <si>
    <t>INV-028165</t>
  </si>
  <si>
    <t>C0339</t>
  </si>
  <si>
    <t>Summit Components</t>
  </si>
  <si>
    <t>INV-028168</t>
  </si>
  <si>
    <t>INV-028169</t>
  </si>
  <si>
    <t>INV-028170</t>
  </si>
  <si>
    <t>INV-028171</t>
  </si>
  <si>
    <t>C0379</t>
  </si>
  <si>
    <t>Ironbridge Electric - Midwest 3</t>
  </si>
  <si>
    <t>INV-028172</t>
  </si>
  <si>
    <t>C0381</t>
  </si>
  <si>
    <t>Redline Electric</t>
  </si>
  <si>
    <t>INV-028174</t>
  </si>
  <si>
    <t>INV-028176</t>
  </si>
  <si>
    <t>INV-028177</t>
  </si>
  <si>
    <t>INV-028180</t>
  </si>
  <si>
    <t>INV-028181</t>
  </si>
  <si>
    <t>INV-028183</t>
  </si>
  <si>
    <t>INV-028186</t>
  </si>
  <si>
    <t>INV-028187</t>
  </si>
  <si>
    <t>C0078</t>
  </si>
  <si>
    <t>Westbrook Maintenance Supply</t>
  </si>
  <si>
    <t>INV-028190</t>
  </si>
  <si>
    <t>INV-028192</t>
  </si>
  <si>
    <t>INV-028195</t>
  </si>
  <si>
    <t>INV-028196</t>
  </si>
  <si>
    <t>C0167</t>
  </si>
  <si>
    <t>Lakeshore MRO Services</t>
  </si>
  <si>
    <t>INV-028197</t>
  </si>
  <si>
    <t>INV-028198</t>
  </si>
  <si>
    <t>INV-028200</t>
  </si>
  <si>
    <t>INV-028201</t>
  </si>
  <si>
    <t>INV-028202</t>
  </si>
  <si>
    <t>INV-028203</t>
  </si>
  <si>
    <t>INV-028206</t>
  </si>
  <si>
    <t>INV-028207</t>
  </si>
  <si>
    <t>INV-028208</t>
  </si>
  <si>
    <t>INV-028210</t>
  </si>
  <si>
    <t>INV-028211</t>
  </si>
  <si>
    <t>INV-028214</t>
  </si>
  <si>
    <t>C0300</t>
  </si>
  <si>
    <t>Cedar Ridge Contracting - West 3</t>
  </si>
  <si>
    <t>INV-028215</t>
  </si>
  <si>
    <t>INV-028216</t>
  </si>
  <si>
    <t>INV-028217</t>
  </si>
  <si>
    <t>INV-028218</t>
  </si>
  <si>
    <t>INV-028219</t>
  </si>
  <si>
    <t>INV-028220</t>
  </si>
  <si>
    <t>C0398</t>
  </si>
  <si>
    <t>Pioneer Parts &amp; Service - Southwest</t>
  </si>
  <si>
    <t>INV-028222</t>
  </si>
  <si>
    <t>C0004</t>
  </si>
  <si>
    <t>Ironbridge Mechanical</t>
  </si>
  <si>
    <t>INV-028223</t>
  </si>
  <si>
    <t>INV-028225</t>
  </si>
  <si>
    <t>INV-028226</t>
  </si>
  <si>
    <t>C0022</t>
  </si>
  <si>
    <t>Apex Contracting</t>
  </si>
  <si>
    <t>INV-028229</t>
  </si>
  <si>
    <t>INV-028231</t>
  </si>
  <si>
    <t>INV-028232</t>
  </si>
  <si>
    <t>INV-028234</t>
  </si>
  <si>
    <t>INV-028235</t>
  </si>
  <si>
    <t>C0108</t>
  </si>
  <si>
    <t>Cedar Ridge Construction - Southeast</t>
  </si>
  <si>
    <t>INV-028236</t>
  </si>
  <si>
    <t>C0112</t>
  </si>
  <si>
    <t>Ironbridge Fabrication - Midwest</t>
  </si>
  <si>
    <t>INV-028241</t>
  </si>
  <si>
    <t>INV-028242</t>
  </si>
  <si>
    <t>INV-028244</t>
  </si>
  <si>
    <t>INV-028245</t>
  </si>
  <si>
    <t>INV-028247</t>
  </si>
  <si>
    <t>INV-028250</t>
  </si>
  <si>
    <t>INV-028253</t>
  </si>
  <si>
    <t>INV-028254</t>
  </si>
  <si>
    <t>INV-028255</t>
  </si>
  <si>
    <t>INV-028256</t>
  </si>
  <si>
    <t>C0260</t>
  </si>
  <si>
    <t>Harbor Industrial Supply</t>
  </si>
  <si>
    <t>INV-028257</t>
  </si>
  <si>
    <t>INV-028258</t>
  </si>
  <si>
    <t>INV-028259</t>
  </si>
  <si>
    <t>INV-028260</t>
  </si>
  <si>
    <t>INV-028262</t>
  </si>
  <si>
    <t>INV-028263</t>
  </si>
  <si>
    <t>C0308</t>
  </si>
  <si>
    <t>Frontier Contracting - Midwest</t>
  </si>
  <si>
    <t>INV-028264</t>
  </si>
  <si>
    <t>C0320</t>
  </si>
  <si>
    <t>Riverbend Fabrication - West</t>
  </si>
  <si>
    <t>INV-028265</t>
  </si>
  <si>
    <t>INV-028266</t>
  </si>
  <si>
    <t>INV-028267</t>
  </si>
  <si>
    <t>INV-028270</t>
  </si>
  <si>
    <t>INV-028271</t>
  </si>
  <si>
    <t>INV-028272</t>
  </si>
  <si>
    <t>INV-028273</t>
  </si>
  <si>
    <t>INV-028274</t>
  </si>
  <si>
    <t>INV-028275</t>
  </si>
  <si>
    <t>INV-028276</t>
  </si>
  <si>
    <t>INV-028278</t>
  </si>
  <si>
    <t>INV-028279</t>
  </si>
  <si>
    <t>C0002</t>
  </si>
  <si>
    <t>Cedar Ridge Mechanical</t>
  </si>
  <si>
    <t>INV-028280</t>
  </si>
  <si>
    <t>INV-028281</t>
  </si>
  <si>
    <t>INV-028282</t>
  </si>
  <si>
    <t>INV-028283</t>
  </si>
  <si>
    <t>INV-028286</t>
  </si>
  <si>
    <t>INV-028289</t>
  </si>
  <si>
    <t>INV-028290</t>
  </si>
  <si>
    <t>INV-028292</t>
  </si>
  <si>
    <t>INV-028293</t>
  </si>
  <si>
    <t>INV-028298</t>
  </si>
  <si>
    <t>INV-028302</t>
  </si>
  <si>
    <t>C0171</t>
  </si>
  <si>
    <t>Silverline Maintenance Supply - Southwest</t>
  </si>
  <si>
    <t>INV-028303</t>
  </si>
  <si>
    <t>C0193</t>
  </si>
  <si>
    <t>Silverline Industrial Supply - Northeast</t>
  </si>
  <si>
    <t>INV-028304</t>
  </si>
  <si>
    <t>INV-028305</t>
  </si>
  <si>
    <t>INV-028306</t>
  </si>
  <si>
    <t>INV-028309</t>
  </si>
  <si>
    <t>INV-028310</t>
  </si>
  <si>
    <t>INV-028313</t>
  </si>
  <si>
    <t>INV-028314</t>
  </si>
  <si>
    <t>INV-028315</t>
  </si>
  <si>
    <t>INV-028316</t>
  </si>
  <si>
    <t>INV-028317</t>
  </si>
  <si>
    <t>INV-028318</t>
  </si>
  <si>
    <t>C0338</t>
  </si>
  <si>
    <t>Crestview Supply Co. - Southeast</t>
  </si>
  <si>
    <t>INV-028319</t>
  </si>
  <si>
    <t>INV-028320</t>
  </si>
  <si>
    <t>INV-028321</t>
  </si>
  <si>
    <t>C0353</t>
  </si>
  <si>
    <t>Summit Mechanical - Southwest 3</t>
  </si>
  <si>
    <t>INV-028322</t>
  </si>
  <si>
    <t>INV-028323</t>
  </si>
  <si>
    <t>INV-028324</t>
  </si>
  <si>
    <t>C0363</t>
  </si>
  <si>
    <t>Granite Parts &amp; Service - Midwest</t>
  </si>
  <si>
    <t>INV-028325</t>
  </si>
  <si>
    <t>INV-028326</t>
  </si>
  <si>
    <t>INV-028327</t>
  </si>
  <si>
    <t>INV-028330</t>
  </si>
  <si>
    <t>INV-028333</t>
  </si>
  <si>
    <t>C0067</t>
  </si>
  <si>
    <t>Cedar Ridge Parts &amp; Service</t>
  </si>
  <si>
    <t>INV-028335</t>
  </si>
  <si>
    <t>INV-028336</t>
  </si>
  <si>
    <t>INV-028337</t>
  </si>
  <si>
    <t>INV-028340</t>
  </si>
  <si>
    <t>C0103</t>
  </si>
  <si>
    <t>Northfield Electric</t>
  </si>
  <si>
    <t>INV-028341</t>
  </si>
  <si>
    <t>INV-028342</t>
  </si>
  <si>
    <t>C0114</t>
  </si>
  <si>
    <t>Titan Construction</t>
  </si>
  <si>
    <t>INV-028343</t>
  </si>
  <si>
    <t>INV-028345</t>
  </si>
  <si>
    <t>INV-028348</t>
  </si>
  <si>
    <t>INV-028350</t>
  </si>
  <si>
    <t>INV-028352</t>
  </si>
  <si>
    <t>INV-028354</t>
  </si>
  <si>
    <t>INV-028355</t>
  </si>
  <si>
    <t>INV-028356</t>
  </si>
  <si>
    <t>INV-028358</t>
  </si>
  <si>
    <t>INV-028362</t>
  </si>
  <si>
    <t>INV-028366</t>
  </si>
  <si>
    <t>INV-028368</t>
  </si>
  <si>
    <t>C0317</t>
  </si>
  <si>
    <t>Apex Industrial Supply</t>
  </si>
  <si>
    <t>INV-028371</t>
  </si>
  <si>
    <t>INV-028372</t>
  </si>
  <si>
    <t>C0332</t>
  </si>
  <si>
    <t>Bluewater Parts &amp; Service - Southwest 4</t>
  </si>
  <si>
    <t>INV-028373</t>
  </si>
  <si>
    <t>INV-028376</t>
  </si>
  <si>
    <t>INV-028377</t>
  </si>
  <si>
    <t>INV-028378</t>
  </si>
  <si>
    <t>INV-028379</t>
  </si>
  <si>
    <t>INV-028381</t>
  </si>
  <si>
    <t>C0400</t>
  </si>
  <si>
    <t>Titan Supply Co. - Southeast 3</t>
  </si>
  <si>
    <t>INV-028382</t>
  </si>
  <si>
    <t>INV-028383</t>
  </si>
  <si>
    <t>INV-028384</t>
  </si>
  <si>
    <t>INV-028385</t>
  </si>
  <si>
    <t>INV-028386</t>
  </si>
  <si>
    <t>INV-028387</t>
  </si>
  <si>
    <t>INV-028388</t>
  </si>
  <si>
    <t>INV-028389</t>
  </si>
  <si>
    <t>INV-028390</t>
  </si>
  <si>
    <t>INV-028391</t>
  </si>
  <si>
    <t>C0052</t>
  </si>
  <si>
    <t>Westbrook Parts &amp; Service</t>
  </si>
  <si>
    <t>INV-028392</t>
  </si>
  <si>
    <t>C0062</t>
  </si>
  <si>
    <t>Keystone Electric</t>
  </si>
  <si>
    <t>INV-028394</t>
  </si>
  <si>
    <t>INV-028395</t>
  </si>
  <si>
    <t>INV-028398</t>
  </si>
  <si>
    <t>INV-028400</t>
  </si>
  <si>
    <t>INV-028402</t>
  </si>
  <si>
    <t>INV-028403</t>
  </si>
  <si>
    <t>INV-028405</t>
  </si>
  <si>
    <t>INV-028406</t>
  </si>
  <si>
    <t>INV-028407</t>
  </si>
  <si>
    <t>INV-028408</t>
  </si>
  <si>
    <t>INV-028409</t>
  </si>
  <si>
    <t>INV-028410</t>
  </si>
  <si>
    <t>INV-028411</t>
  </si>
  <si>
    <t>INV-028412</t>
  </si>
  <si>
    <t>INV-028413</t>
  </si>
  <si>
    <t>INV-028415</t>
  </si>
  <si>
    <t>INV-028418</t>
  </si>
  <si>
    <t>INV-028419</t>
  </si>
  <si>
    <t>C0237</t>
  </si>
  <si>
    <t>Lakeshore School District</t>
  </si>
  <si>
    <t>INV-028422</t>
  </si>
  <si>
    <t>C0270</t>
  </si>
  <si>
    <t>Stonegate Maintenance Supply - Southeast</t>
  </si>
  <si>
    <t>INV-028423</t>
  </si>
  <si>
    <t>INV-028424</t>
  </si>
  <si>
    <t>INV-028426</t>
  </si>
  <si>
    <t>INV-028427</t>
  </si>
  <si>
    <t>INV-028428</t>
  </si>
  <si>
    <t>INV-028429</t>
  </si>
  <si>
    <t>INV-028430</t>
  </si>
  <si>
    <t>INV-028432</t>
  </si>
  <si>
    <t>INV-028434</t>
  </si>
  <si>
    <t>INV-028435</t>
  </si>
  <si>
    <t>INV-028436</t>
  </si>
  <si>
    <t>INV-028437</t>
  </si>
  <si>
    <t>INV-028438</t>
  </si>
  <si>
    <t>INV-028440</t>
  </si>
  <si>
    <t>INV-028443</t>
  </si>
  <si>
    <t>C0019</t>
  </si>
  <si>
    <t>Northfield Supply Co.</t>
  </si>
  <si>
    <t>INV-028445</t>
  </si>
  <si>
    <t>INV-028446</t>
  </si>
  <si>
    <t>C0027</t>
  </si>
  <si>
    <t>Oakmont Machine Works</t>
  </si>
  <si>
    <t>INV-028449</t>
  </si>
  <si>
    <t>INV-028450</t>
  </si>
  <si>
    <t>INV-028452</t>
  </si>
  <si>
    <t>INV-028455</t>
  </si>
  <si>
    <t>INV-028456</t>
  </si>
  <si>
    <t>C0133</t>
  </si>
  <si>
    <t>Oakmont Construction</t>
  </si>
  <si>
    <t>INV-028458</t>
  </si>
  <si>
    <t>INV-028460</t>
  </si>
  <si>
    <t>INV-028462</t>
  </si>
  <si>
    <t>INV-028463</t>
  </si>
  <si>
    <t>INV-028464</t>
  </si>
  <si>
    <t>INV-028465</t>
  </si>
  <si>
    <t>INV-028466</t>
  </si>
  <si>
    <t>INV-028467</t>
  </si>
  <si>
    <t>C0192</t>
  </si>
  <si>
    <t>Keystone MRO Services</t>
  </si>
  <si>
    <t>INV-028468</t>
  </si>
  <si>
    <t>INV-028470</t>
  </si>
  <si>
    <t>INV-028471</t>
  </si>
  <si>
    <t>INV-028472</t>
  </si>
  <si>
    <t>INV-028473</t>
  </si>
  <si>
    <t>C0218</t>
  </si>
  <si>
    <t>Riverbend Parts &amp; Service - Midwest</t>
  </si>
  <si>
    <t>INV-028474</t>
  </si>
  <si>
    <t>INV-028475</t>
  </si>
  <si>
    <t>INV-028476</t>
  </si>
  <si>
    <t>INV-028477</t>
  </si>
  <si>
    <t>C0230</t>
  </si>
  <si>
    <t>Frontier University Facilities - Southwest 3</t>
  </si>
  <si>
    <t>INV-028478</t>
  </si>
  <si>
    <t>INV-028479</t>
  </si>
  <si>
    <t>C0242</t>
  </si>
  <si>
    <t>Silverline Parts &amp; Service</t>
  </si>
  <si>
    <t>INV-028481</t>
  </si>
  <si>
    <t>INV-028482</t>
  </si>
  <si>
    <t>INV-028483</t>
  </si>
  <si>
    <t>INV-028484</t>
  </si>
  <si>
    <t>INV-028485</t>
  </si>
  <si>
    <t>INV-028486</t>
  </si>
  <si>
    <t>INV-028487</t>
  </si>
  <si>
    <t>INV-028488</t>
  </si>
  <si>
    <t>INV-028489</t>
  </si>
  <si>
    <t>INV-028490</t>
  </si>
  <si>
    <t>INV-028491</t>
  </si>
  <si>
    <t>INV-028494</t>
  </si>
  <si>
    <t>INV-028495</t>
  </si>
  <si>
    <t>INV-028496</t>
  </si>
  <si>
    <t>INV-028497</t>
  </si>
  <si>
    <t>INV-028498</t>
  </si>
  <si>
    <t>INV-028499</t>
  </si>
  <si>
    <t>INV-028500</t>
  </si>
  <si>
    <t>INV-028501</t>
  </si>
  <si>
    <t>C0006</t>
  </si>
  <si>
    <t>Pioneer Maintenance Supply</t>
  </si>
  <si>
    <t>INV-028502</t>
  </si>
  <si>
    <t>INV-028503</t>
  </si>
  <si>
    <t>INV-028504</t>
  </si>
  <si>
    <t>INV-028505</t>
  </si>
  <si>
    <t>INV-028508</t>
  </si>
  <si>
    <t>INV-028509</t>
  </si>
  <si>
    <t>INV-028511</t>
  </si>
  <si>
    <t>INV-028513</t>
  </si>
  <si>
    <t>INV-028516</t>
  </si>
  <si>
    <t>C0098</t>
  </si>
  <si>
    <t>Summit Mechanical - Southeast</t>
  </si>
  <si>
    <t>INV-028517</t>
  </si>
  <si>
    <t>INV-028518</t>
  </si>
  <si>
    <t>INV-028519</t>
  </si>
  <si>
    <t>INV-028520</t>
  </si>
  <si>
    <t>C0123</t>
  </si>
  <si>
    <t>Redline Mechanical</t>
  </si>
  <si>
    <t>INV-028522</t>
  </si>
  <si>
    <t>C0136</t>
  </si>
  <si>
    <t>Crestview Industrial Supply - West</t>
  </si>
  <si>
    <t>INV-028524</t>
  </si>
  <si>
    <t>INV-028526</t>
  </si>
  <si>
    <t>C0179</t>
  </si>
  <si>
    <t>Riverbend Supply Co.</t>
  </si>
  <si>
    <t>INV-028527</t>
  </si>
  <si>
    <t>INV-028530</t>
  </si>
  <si>
    <t>INV-028531</t>
  </si>
  <si>
    <t>INV-028532</t>
  </si>
  <si>
    <t>INV-028534</t>
  </si>
  <si>
    <t>INV-028536</t>
  </si>
  <si>
    <t>C0250</t>
  </si>
  <si>
    <t>Northfield Builders - Northeast 3</t>
  </si>
  <si>
    <t>INV-028537</t>
  </si>
  <si>
    <t>INV-028539</t>
  </si>
  <si>
    <t>INV-028540</t>
  </si>
  <si>
    <t>INV-028541</t>
  </si>
  <si>
    <t>INV-028543</t>
  </si>
  <si>
    <t>INV-028544</t>
  </si>
  <si>
    <t>INV-028545</t>
  </si>
  <si>
    <t>INV-028546</t>
  </si>
  <si>
    <t>INV-028547</t>
  </si>
  <si>
    <t>INV-028548</t>
  </si>
  <si>
    <t>INV-028549</t>
  </si>
  <si>
    <t>INV-028550</t>
  </si>
  <si>
    <t>C0354</t>
  </si>
  <si>
    <t>Westbrook Supply Co. - Southeast</t>
  </si>
  <si>
    <t>INV-028551</t>
  </si>
  <si>
    <t>INV-028552</t>
  </si>
  <si>
    <t>C0374</t>
  </si>
  <si>
    <t>Bluewater University Facilities - West</t>
  </si>
  <si>
    <t>INV-028553</t>
  </si>
  <si>
    <t>INV-028554</t>
  </si>
  <si>
    <t>INV-028556</t>
  </si>
  <si>
    <t>INV-028557</t>
  </si>
  <si>
    <t>INV-028558</t>
  </si>
  <si>
    <t>INV-028559</t>
  </si>
  <si>
    <t>INV-028560</t>
  </si>
  <si>
    <t>INV-028561</t>
  </si>
  <si>
    <t>C0037</t>
  </si>
  <si>
    <t>Westbrook Builders</t>
  </si>
  <si>
    <t>INV-028563</t>
  </si>
  <si>
    <t>C0055</t>
  </si>
  <si>
    <t>Silverline Components</t>
  </si>
  <si>
    <t>INV-028564</t>
  </si>
  <si>
    <t>INV-028565</t>
  </si>
  <si>
    <t>INV-028566</t>
  </si>
  <si>
    <t>INV-028567</t>
  </si>
  <si>
    <t>INV-028569</t>
  </si>
  <si>
    <t>INV-028570</t>
  </si>
  <si>
    <t>INV-028573</t>
  </si>
  <si>
    <t>INV-028579</t>
  </si>
  <si>
    <t>INV-028580</t>
  </si>
  <si>
    <t>INV-028582</t>
  </si>
  <si>
    <t>INV-028583</t>
  </si>
  <si>
    <t>INV-028584</t>
  </si>
  <si>
    <t>INV-028586</t>
  </si>
  <si>
    <t>INV-028590</t>
  </si>
  <si>
    <t>C0243</t>
  </si>
  <si>
    <t>Cedar Ridge MRO Services - Southeast</t>
  </si>
  <si>
    <t>INV-028591</t>
  </si>
  <si>
    <t>C0264</t>
  </si>
  <si>
    <t>Crestview Electric - Midwest</t>
  </si>
  <si>
    <t>INV-028592</t>
  </si>
  <si>
    <t>INV-028593</t>
  </si>
  <si>
    <t>INV-028594</t>
  </si>
  <si>
    <t>INV-028595</t>
  </si>
  <si>
    <t>INV-028596</t>
  </si>
  <si>
    <t>INV-028597</t>
  </si>
  <si>
    <t>INV-028598</t>
  </si>
  <si>
    <t>INV-028599</t>
  </si>
  <si>
    <t>INV-028600</t>
  </si>
  <si>
    <t>INV-028601</t>
  </si>
  <si>
    <t>INV-028602</t>
  </si>
  <si>
    <t>INV-028603</t>
  </si>
  <si>
    <t>INV-028604</t>
  </si>
  <si>
    <t>INV-028605</t>
  </si>
  <si>
    <t>INV-028606</t>
  </si>
  <si>
    <t>INV-028607</t>
  </si>
  <si>
    <t>INV-028608</t>
  </si>
  <si>
    <t>INV-028609</t>
  </si>
  <si>
    <t>INV-028611</t>
  </si>
  <si>
    <t>INV-028612</t>
  </si>
  <si>
    <t>C0020</t>
  </si>
  <si>
    <t>Cedar Ridge MRO Services</t>
  </si>
  <si>
    <t>INV-028613</t>
  </si>
  <si>
    <t>INV-028614</t>
  </si>
  <si>
    <t>INV-028615</t>
  </si>
  <si>
    <t>INV-028616</t>
  </si>
  <si>
    <t>C0051</t>
  </si>
  <si>
    <t>Silverline Builders</t>
  </si>
  <si>
    <t>INV-028618</t>
  </si>
  <si>
    <t>INV-028619</t>
  </si>
  <si>
    <t>INV-028622</t>
  </si>
  <si>
    <t>INV-028623</t>
  </si>
  <si>
    <t>C0116</t>
  </si>
  <si>
    <t>Lakeshore University Facilities</t>
  </si>
  <si>
    <t>INV-028624</t>
  </si>
  <si>
    <t>INV-028625</t>
  </si>
  <si>
    <t>INV-028626</t>
  </si>
  <si>
    <t>INV-028627</t>
  </si>
  <si>
    <t>INV-028628</t>
  </si>
  <si>
    <t>C0161</t>
  </si>
  <si>
    <t>Titan Construction - Northeast</t>
  </si>
  <si>
    <t>INV-028629</t>
  </si>
  <si>
    <t>INV-028630</t>
  </si>
  <si>
    <t>INV-028631</t>
  </si>
  <si>
    <t>INV-028633</t>
  </si>
  <si>
    <t>INV-028634</t>
  </si>
  <si>
    <t>INV-028637</t>
  </si>
  <si>
    <t>INV-028638</t>
  </si>
  <si>
    <t>INV-028639</t>
  </si>
  <si>
    <t>INV-028641</t>
  </si>
  <si>
    <t>INV-028643</t>
  </si>
  <si>
    <t>INV-028644</t>
  </si>
  <si>
    <t>INV-028645</t>
  </si>
  <si>
    <t>INV-028646</t>
  </si>
  <si>
    <t>INV-028647</t>
  </si>
  <si>
    <t>C0291</t>
  </si>
  <si>
    <t>Redline Contracting</t>
  </si>
  <si>
    <t>INV-028648</t>
  </si>
  <si>
    <t>INV-028649</t>
  </si>
  <si>
    <t>INV-028650</t>
  </si>
  <si>
    <t>INV-028651</t>
  </si>
  <si>
    <t>INV-028652</t>
  </si>
  <si>
    <t>C0313</t>
  </si>
  <si>
    <t>Oakmont Industrial Supply</t>
  </si>
  <si>
    <t>INV-028654</t>
  </si>
  <si>
    <t>INV-028655</t>
  </si>
  <si>
    <t>INV-028659</t>
  </si>
  <si>
    <t>INV-028660</t>
  </si>
  <si>
    <t>INV-028661</t>
  </si>
  <si>
    <t>INV-028662</t>
  </si>
  <si>
    <t>INV-028663</t>
  </si>
  <si>
    <t>INV-028664</t>
  </si>
  <si>
    <t>INV-028665</t>
  </si>
  <si>
    <t>INV-028666</t>
  </si>
  <si>
    <t>INV-028667</t>
  </si>
  <si>
    <t>INV-028669</t>
  </si>
  <si>
    <t>INV-028671</t>
  </si>
  <si>
    <t>INV-028672</t>
  </si>
  <si>
    <t>C0021</t>
  </si>
  <si>
    <t>Stonegate Electric</t>
  </si>
  <si>
    <t>INV-028673</t>
  </si>
  <si>
    <t>INV-028674</t>
  </si>
  <si>
    <t>INV-028675</t>
  </si>
  <si>
    <t>INV-028676</t>
  </si>
  <si>
    <t>C0029</t>
  </si>
  <si>
    <t>Titan Maintenance Supply</t>
  </si>
  <si>
    <t>INV-028677</t>
  </si>
  <si>
    <t>INV-028678</t>
  </si>
  <si>
    <t>C0035</t>
  </si>
  <si>
    <t>Summit Mechanical</t>
  </si>
  <si>
    <t>INV-028679</t>
  </si>
  <si>
    <t>INV-028680</t>
  </si>
  <si>
    <t>INV-028681</t>
  </si>
  <si>
    <t>INV-028682</t>
  </si>
  <si>
    <t>C0065</t>
  </si>
  <si>
    <t>Bluewater Maintenance Supply</t>
  </si>
  <si>
    <t>INV-028683</t>
  </si>
  <si>
    <t>INV-028684</t>
  </si>
  <si>
    <t>INV-028687</t>
  </si>
  <si>
    <t>INV-028688</t>
  </si>
  <si>
    <t>INV-028689</t>
  </si>
  <si>
    <t>INV-028690</t>
  </si>
  <si>
    <t>INV-028691</t>
  </si>
  <si>
    <t>INV-028692</t>
  </si>
  <si>
    <t>INV-028693</t>
  </si>
  <si>
    <t>INV-028694</t>
  </si>
  <si>
    <t>INV-028697</t>
  </si>
  <si>
    <t>INV-028699</t>
  </si>
  <si>
    <t>INV-028700</t>
  </si>
  <si>
    <t>INV-028702</t>
  </si>
  <si>
    <t>INV-028703</t>
  </si>
  <si>
    <t>C0199</t>
  </si>
  <si>
    <t>Granite Builders</t>
  </si>
  <si>
    <t>INV-028704</t>
  </si>
  <si>
    <t>INV-028706</t>
  </si>
  <si>
    <t>INV-028707</t>
  </si>
  <si>
    <t>INV-028708</t>
  </si>
  <si>
    <t>INV-028709</t>
  </si>
  <si>
    <t>INV-028710</t>
  </si>
  <si>
    <t>INV-028711</t>
  </si>
  <si>
    <t>C0233</t>
  </si>
  <si>
    <t>Frontier Electric - Midwest</t>
  </si>
  <si>
    <t>INV-028713</t>
  </si>
  <si>
    <t>INV-028714</t>
  </si>
  <si>
    <t>INV-028715</t>
  </si>
  <si>
    <t>INV-028716</t>
  </si>
  <si>
    <t>INV-028718</t>
  </si>
  <si>
    <t>INV-028719</t>
  </si>
  <si>
    <t>INV-028720</t>
  </si>
  <si>
    <t>C0282</t>
  </si>
  <si>
    <t>Ironbridge Electric - Southeast</t>
  </si>
  <si>
    <t>INV-028721</t>
  </si>
  <si>
    <t>INV-028722</t>
  </si>
  <si>
    <t>INV-028723</t>
  </si>
  <si>
    <t>INV-028725</t>
  </si>
  <si>
    <t>INV-028726</t>
  </si>
  <si>
    <t>INV-028727</t>
  </si>
  <si>
    <t>INV-028729</t>
  </si>
  <si>
    <t>INV-028730</t>
  </si>
  <si>
    <t>INV-028731</t>
  </si>
  <si>
    <t>INV-028732</t>
  </si>
  <si>
    <t>INV-028733</t>
  </si>
  <si>
    <t>INV-028734</t>
  </si>
  <si>
    <t>INV-028735</t>
  </si>
  <si>
    <t>INV-028736</t>
  </si>
  <si>
    <t>INV-028737</t>
  </si>
  <si>
    <t>INV-028739</t>
  </si>
  <si>
    <t>INV-028740</t>
  </si>
  <si>
    <t>INV-028741</t>
  </si>
  <si>
    <t>INV-028742</t>
  </si>
  <si>
    <t>INV-028743</t>
  </si>
  <si>
    <t>INV-028744</t>
  </si>
  <si>
    <t>INV-028746</t>
  </si>
  <si>
    <t>INV-028747</t>
  </si>
  <si>
    <t>INV-028748</t>
  </si>
  <si>
    <t>INV-028749</t>
  </si>
  <si>
    <t>INV-028750</t>
  </si>
  <si>
    <t>INV-028751</t>
  </si>
  <si>
    <t>INV-028753</t>
  </si>
  <si>
    <t>INV-028754</t>
  </si>
  <si>
    <t>INV-028755</t>
  </si>
  <si>
    <t>C0178</t>
  </si>
  <si>
    <t>Westbrook Industrial Supply</t>
  </si>
  <si>
    <t>INV-028756</t>
  </si>
  <si>
    <t>INV-028757</t>
  </si>
  <si>
    <t>INV-028758</t>
  </si>
  <si>
    <t>INV-028759</t>
  </si>
  <si>
    <t>INV-028760</t>
  </si>
  <si>
    <t>INV-028761</t>
  </si>
  <si>
    <t>INV-028762</t>
  </si>
  <si>
    <t>C0236</t>
  </si>
  <si>
    <t>Northfield Maintenance Supply</t>
  </si>
  <si>
    <t>INV-028763</t>
  </si>
  <si>
    <t>INV-028764</t>
  </si>
  <si>
    <t>INV-028765</t>
  </si>
  <si>
    <t>INV-028766</t>
  </si>
  <si>
    <t>C0263</t>
  </si>
  <si>
    <t>Ironbridge Mechanical - Northeast 5</t>
  </si>
  <si>
    <t>INV-028767</t>
  </si>
  <si>
    <t>C0269</t>
  </si>
  <si>
    <t>Ironbridge Parts &amp; Service</t>
  </si>
  <si>
    <t>INV-028768</t>
  </si>
  <si>
    <t>INV-028769</t>
  </si>
  <si>
    <t>C0272</t>
  </si>
  <si>
    <t>Frontier Industrial Supply</t>
  </si>
  <si>
    <t>INV-028770</t>
  </si>
  <si>
    <t>INV-028771</t>
  </si>
  <si>
    <t>INV-028772</t>
  </si>
  <si>
    <t>INV-028773</t>
  </si>
  <si>
    <t>INV-028774</t>
  </si>
  <si>
    <t>INV-028776</t>
  </si>
  <si>
    <t>INV-028777</t>
  </si>
  <si>
    <t>INV-028778</t>
  </si>
  <si>
    <t>INV-028779</t>
  </si>
  <si>
    <t>INV-028780</t>
  </si>
  <si>
    <t>INV-028781</t>
  </si>
  <si>
    <t>INV-028782</t>
  </si>
  <si>
    <t>INV-028783</t>
  </si>
  <si>
    <t>INV-028784</t>
  </si>
  <si>
    <t>INV-028785</t>
  </si>
  <si>
    <t>INV-028786</t>
  </si>
  <si>
    <t>INV-028787</t>
  </si>
  <si>
    <t>INV-028788</t>
  </si>
  <si>
    <t>INV-028789</t>
  </si>
  <si>
    <t>INV-028790</t>
  </si>
  <si>
    <t>C0010</t>
  </si>
  <si>
    <t>Westbrook MRO Services</t>
  </si>
  <si>
    <t>INV-028791</t>
  </si>
  <si>
    <t>C0011</t>
  </si>
  <si>
    <t>Redline Supply Co.</t>
  </si>
  <si>
    <t>INV-028792</t>
  </si>
  <si>
    <t>INV-028793</t>
  </si>
  <si>
    <t>C0016</t>
  </si>
  <si>
    <t>Pioneer Parts &amp; Service</t>
  </si>
  <si>
    <t>INV-028794</t>
  </si>
  <si>
    <t>INV-028795</t>
  </si>
  <si>
    <t>INV-028796</t>
  </si>
  <si>
    <t>INV-028797</t>
  </si>
  <si>
    <t>INV-028798</t>
  </si>
  <si>
    <t>INV-028800</t>
  </si>
  <si>
    <t>INV-028801</t>
  </si>
  <si>
    <t>INV-028802</t>
  </si>
  <si>
    <t>INV-028803</t>
  </si>
  <si>
    <t>INV-028804</t>
  </si>
  <si>
    <t>INV-028805</t>
  </si>
  <si>
    <t>C0069</t>
  </si>
  <si>
    <t>Ironbridge Electric</t>
  </si>
  <si>
    <t>INV-028807</t>
  </si>
  <si>
    <t>INV-028808</t>
  </si>
  <si>
    <t>INV-028809</t>
  </si>
  <si>
    <t>INV-028811</t>
  </si>
  <si>
    <t>INV-028813</t>
  </si>
  <si>
    <t>INV-028815</t>
  </si>
  <si>
    <t>INV-028817</t>
  </si>
  <si>
    <t>INV-028818</t>
  </si>
  <si>
    <t>INV-028819</t>
  </si>
  <si>
    <t>INV-028821</t>
  </si>
  <si>
    <t>C0205</t>
  </si>
  <si>
    <t>Northfield Builders - Northeast</t>
  </si>
  <si>
    <t>INV-028822</t>
  </si>
  <si>
    <t>INV-028824</t>
  </si>
  <si>
    <t>INV-028825</t>
  </si>
  <si>
    <t>C0223</t>
  </si>
  <si>
    <t>Stonegate MRO Services</t>
  </si>
  <si>
    <t>INV-028826</t>
  </si>
  <si>
    <t>C0224</t>
  </si>
  <si>
    <t>Westbrook Industrial Supply - Northeast 3</t>
  </si>
  <si>
    <t>INV-028827</t>
  </si>
  <si>
    <t>INV-028828</t>
  </si>
  <si>
    <t>INV-028829</t>
  </si>
  <si>
    <t>INV-028830</t>
  </si>
  <si>
    <t>INV-028831</t>
  </si>
  <si>
    <t>INV-028832</t>
  </si>
  <si>
    <t>INV-028833</t>
  </si>
  <si>
    <t>INV-028834</t>
  </si>
  <si>
    <t>INV-028835</t>
  </si>
  <si>
    <t>C0315</t>
  </si>
  <si>
    <t>Lakeshore Parts &amp; Service - Northeast</t>
  </si>
  <si>
    <t>INV-028837</t>
  </si>
  <si>
    <t>INV-028839</t>
  </si>
  <si>
    <t>INV-028840</t>
  </si>
  <si>
    <t>INV-028842</t>
  </si>
  <si>
    <t>INV-028843</t>
  </si>
  <si>
    <t>INV-028844</t>
  </si>
  <si>
    <t>INV-028845</t>
  </si>
  <si>
    <t>INV-028846</t>
  </si>
  <si>
    <t>INV-028847</t>
  </si>
  <si>
    <t>INV-028848</t>
  </si>
  <si>
    <t>INV-028849</t>
  </si>
  <si>
    <t>INV-028850</t>
  </si>
  <si>
    <t>INV-028851</t>
  </si>
  <si>
    <t>INV-028852</t>
  </si>
  <si>
    <t>INV-028854</t>
  </si>
  <si>
    <t>INV-028856</t>
  </si>
  <si>
    <t>INV-028857</t>
  </si>
  <si>
    <t>INV-028858</t>
  </si>
  <si>
    <t>INV-028859</t>
  </si>
  <si>
    <t>INV-028860</t>
  </si>
  <si>
    <t>INV-028862</t>
  </si>
  <si>
    <t>INV-028863</t>
  </si>
  <si>
    <t>INV-028864</t>
  </si>
  <si>
    <t>INV-028866</t>
  </si>
  <si>
    <t>INV-028868</t>
  </si>
  <si>
    <t>INV-028869</t>
  </si>
  <si>
    <t>INV-028871</t>
  </si>
  <si>
    <t>INV-028872</t>
  </si>
  <si>
    <t>INV-028873</t>
  </si>
  <si>
    <t>INV-028874</t>
  </si>
  <si>
    <t>INV-028875</t>
  </si>
  <si>
    <t>INV-028876</t>
  </si>
  <si>
    <t>INV-028877</t>
  </si>
  <si>
    <t>INV-028878</t>
  </si>
  <si>
    <t>INV-028879</t>
  </si>
  <si>
    <t>C0194</t>
  </si>
  <si>
    <t>Riverbend Mechanical - Southeast</t>
  </si>
  <si>
    <t>INV-028880</t>
  </si>
  <si>
    <t>INV-028881</t>
  </si>
  <si>
    <t>C0198</t>
  </si>
  <si>
    <t>Titan Maintenance Supply - Northeast</t>
  </si>
  <si>
    <t>INV-028882</t>
  </si>
  <si>
    <t>C0207</t>
  </si>
  <si>
    <t>Stonegate Mechanical</t>
  </si>
  <si>
    <t>INV-028883</t>
  </si>
  <si>
    <t>INV-028884</t>
  </si>
  <si>
    <t>INV-028885</t>
  </si>
  <si>
    <t>INV-028886</t>
  </si>
  <si>
    <t>INV-028889</t>
  </si>
  <si>
    <t>C0248</t>
  </si>
  <si>
    <t>Lakeshore Contracting - Midwest</t>
  </si>
  <si>
    <t>INV-028890</t>
  </si>
  <si>
    <t>INV-028891</t>
  </si>
  <si>
    <t>INV-028894</t>
  </si>
  <si>
    <t>INV-028895</t>
  </si>
  <si>
    <t>INV-028896</t>
  </si>
  <si>
    <t>INV-028898</t>
  </si>
  <si>
    <t>INV-028899</t>
  </si>
  <si>
    <t>INV-028900</t>
  </si>
  <si>
    <t>INV-028901</t>
  </si>
  <si>
    <t>INV-028902</t>
  </si>
  <si>
    <t>INV-028903</t>
  </si>
  <si>
    <t>C0346</t>
  </si>
  <si>
    <t>Frontier Supply Co.</t>
  </si>
  <si>
    <t>INV-028904</t>
  </si>
  <si>
    <t>INV-028905</t>
  </si>
  <si>
    <t>INV-028906</t>
  </si>
  <si>
    <t>INV-028907</t>
  </si>
  <si>
    <t>INV-028908</t>
  </si>
  <si>
    <t>INV-028910</t>
  </si>
  <si>
    <t>INV-028911</t>
  </si>
  <si>
    <t>INV-028912</t>
  </si>
  <si>
    <t>C0043</t>
  </si>
  <si>
    <t>Bluewater Construction</t>
  </si>
  <si>
    <t>INV-028913</t>
  </si>
  <si>
    <t>INV-028914</t>
  </si>
  <si>
    <t>INV-028915</t>
  </si>
  <si>
    <t>INV-028916</t>
  </si>
  <si>
    <t>C0070</t>
  </si>
  <si>
    <t>Riverbend Parts &amp; Service</t>
  </si>
  <si>
    <t>INV-028917</t>
  </si>
  <si>
    <t>INV-028918</t>
  </si>
  <si>
    <t>INV-028921</t>
  </si>
  <si>
    <t>INV-028922</t>
  </si>
  <si>
    <t>INV-028924</t>
  </si>
  <si>
    <t>INV-028925</t>
  </si>
  <si>
    <t>INV-028926</t>
  </si>
  <si>
    <t>INV-028927</t>
  </si>
  <si>
    <t>INV-028928</t>
  </si>
  <si>
    <t>INV-028930</t>
  </si>
  <si>
    <t>INV-028931</t>
  </si>
  <si>
    <t>INV-028932</t>
  </si>
  <si>
    <t>INV-028933</t>
  </si>
  <si>
    <t>C0143</t>
  </si>
  <si>
    <t>Northfield Parts &amp; Service</t>
  </si>
  <si>
    <t>INV-028934</t>
  </si>
  <si>
    <t>INV-028935</t>
  </si>
  <si>
    <t>INV-028936</t>
  </si>
  <si>
    <t>C0157</t>
  </si>
  <si>
    <t>Crestview School District - Southwest</t>
  </si>
  <si>
    <t>INV-028937</t>
  </si>
  <si>
    <t>INV-028939</t>
  </si>
  <si>
    <t>INV-028940</t>
  </si>
  <si>
    <t>INV-028941</t>
  </si>
  <si>
    <t>INV-028942</t>
  </si>
  <si>
    <t>INV-028943</t>
  </si>
  <si>
    <t>INV-028944</t>
  </si>
  <si>
    <t>INV-028945</t>
  </si>
  <si>
    <t>INV-028946</t>
  </si>
  <si>
    <t>INV-028947</t>
  </si>
  <si>
    <t>C0203</t>
  </si>
  <si>
    <t>Redline Industrial Supply - Southwest</t>
  </si>
  <si>
    <t>INV-028948</t>
  </si>
  <si>
    <t>INV-028949</t>
  </si>
  <si>
    <t>INV-028950</t>
  </si>
  <si>
    <t>INV-028951</t>
  </si>
  <si>
    <t>INV-028952</t>
  </si>
  <si>
    <t>INV-028954</t>
  </si>
  <si>
    <t>C0239</t>
  </si>
  <si>
    <t>Northfield Supply Co. - Northeast</t>
  </si>
  <si>
    <t>INV-028955</t>
  </si>
  <si>
    <t>INV-028956</t>
  </si>
  <si>
    <t>INV-028957</t>
  </si>
  <si>
    <t>INV-028958</t>
  </si>
  <si>
    <t>INV-028959</t>
  </si>
  <si>
    <t>INV-028960</t>
  </si>
  <si>
    <t>C0292</t>
  </si>
  <si>
    <t>Cedar Ridge Maintenance Supply</t>
  </si>
  <si>
    <t>INV-028961</t>
  </si>
  <si>
    <t>INV-028962</t>
  </si>
  <si>
    <t>INV-028963</t>
  </si>
  <si>
    <t>INV-028964</t>
  </si>
  <si>
    <t>INV-028965</t>
  </si>
  <si>
    <t>INV-028966</t>
  </si>
  <si>
    <t>INV-028967</t>
  </si>
  <si>
    <t>INV-028968</t>
  </si>
  <si>
    <t>INV-028969</t>
  </si>
  <si>
    <t>INV-028970</t>
  </si>
  <si>
    <t>INV-028971</t>
  </si>
  <si>
    <t>INV-028972</t>
  </si>
  <si>
    <t>INV-028973</t>
  </si>
  <si>
    <t>INV-028974</t>
  </si>
  <si>
    <t>INV-028975</t>
  </si>
  <si>
    <t>INV-028977</t>
  </si>
  <si>
    <t>INV-028978</t>
  </si>
  <si>
    <t>INV-028980</t>
  </si>
  <si>
    <t>INV-028981</t>
  </si>
  <si>
    <t>INV-028982</t>
  </si>
  <si>
    <t>C0033</t>
  </si>
  <si>
    <t>Lakeshore Construction</t>
  </si>
  <si>
    <t>INV-028983</t>
  </si>
  <si>
    <t>INV-028984</t>
  </si>
  <si>
    <t>INV-028985</t>
  </si>
  <si>
    <t>INV-028986</t>
  </si>
  <si>
    <t>INV-028987</t>
  </si>
  <si>
    <t>INV-028989</t>
  </si>
  <si>
    <t>INV-028991</t>
  </si>
  <si>
    <t>INV-028992</t>
  </si>
  <si>
    <t>INV-028994</t>
  </si>
  <si>
    <t>INV-028995</t>
  </si>
  <si>
    <t>INV-028996</t>
  </si>
  <si>
    <t>INV-028997</t>
  </si>
  <si>
    <t>C0160</t>
  </si>
  <si>
    <t>Summit Electric</t>
  </si>
  <si>
    <t>INV-028998</t>
  </si>
  <si>
    <t>INV-028999</t>
  </si>
  <si>
    <t>INV-029000</t>
  </si>
  <si>
    <t>INV-029001</t>
  </si>
  <si>
    <t>INV-029002</t>
  </si>
  <si>
    <t>INV-029003</t>
  </si>
  <si>
    <t>INV-029004</t>
  </si>
  <si>
    <t>INV-029006</t>
  </si>
  <si>
    <t>INV-029007</t>
  </si>
  <si>
    <t>INV-029008</t>
  </si>
  <si>
    <t>INV-029009</t>
  </si>
  <si>
    <t>INV-029010</t>
  </si>
  <si>
    <t>INV-029011</t>
  </si>
  <si>
    <t>INV-029013</t>
  </si>
  <si>
    <t>INV-029014</t>
  </si>
  <si>
    <t>INV-029015</t>
  </si>
  <si>
    <t>INV-029016</t>
  </si>
  <si>
    <t>INV-029017</t>
  </si>
  <si>
    <t>INV-029018</t>
  </si>
  <si>
    <t>INV-029019</t>
  </si>
  <si>
    <t>INV-029020</t>
  </si>
  <si>
    <t>INV-029021</t>
  </si>
  <si>
    <t>INV-029022</t>
  </si>
  <si>
    <t>C0352</t>
  </si>
  <si>
    <t>Pioneer Construction - Midwest</t>
  </si>
  <si>
    <t>INV-029023</t>
  </si>
  <si>
    <t>INV-029024</t>
  </si>
  <si>
    <t>INV-029025</t>
  </si>
  <si>
    <t>INV-029026</t>
  </si>
  <si>
    <t>INV-029027</t>
  </si>
  <si>
    <t>INV-029029</t>
  </si>
  <si>
    <t>INV-029030</t>
  </si>
  <si>
    <t>INV-029031</t>
  </si>
  <si>
    <t>INV-029032</t>
  </si>
  <si>
    <t>INV-029033</t>
  </si>
  <si>
    <t>INV-029034</t>
  </si>
  <si>
    <t>INV-029035</t>
  </si>
  <si>
    <t>INV-029036</t>
  </si>
  <si>
    <t>INV-029037</t>
  </si>
  <si>
    <t>INV-029038</t>
  </si>
  <si>
    <t>INV-029039</t>
  </si>
  <si>
    <t>C0090</t>
  </si>
  <si>
    <t>Riverbend Electric</t>
  </si>
  <si>
    <t>INV-029040</t>
  </si>
  <si>
    <t>C0096</t>
  </si>
  <si>
    <t>Redline Parts &amp; Service</t>
  </si>
  <si>
    <t>INV-029043</t>
  </si>
  <si>
    <t>INV-029044</t>
  </si>
  <si>
    <t>INV-029045</t>
  </si>
  <si>
    <t>INV-029046</t>
  </si>
  <si>
    <t>INV-029047</t>
  </si>
  <si>
    <t>INV-029048</t>
  </si>
  <si>
    <t>INV-029049</t>
  </si>
  <si>
    <t>C0148</t>
  </si>
  <si>
    <t>Silverline Industrial Supply</t>
  </si>
  <si>
    <t>INV-029050</t>
  </si>
  <si>
    <t>INV-029051</t>
  </si>
  <si>
    <t>INV-029052</t>
  </si>
  <si>
    <t>INV-029053</t>
  </si>
  <si>
    <t>INV-029054</t>
  </si>
  <si>
    <t>INV-029055</t>
  </si>
  <si>
    <t>INV-029056</t>
  </si>
  <si>
    <t>INV-029057</t>
  </si>
  <si>
    <t>INV-029058</t>
  </si>
  <si>
    <t>INV-029059</t>
  </si>
  <si>
    <t>C0222</t>
  </si>
  <si>
    <t>Cedar Ridge Mechanical - Midwest</t>
  </si>
  <si>
    <t>INV-029060</t>
  </si>
  <si>
    <t>INV-029061</t>
  </si>
  <si>
    <t>INV-029062</t>
  </si>
  <si>
    <t>INV-029063</t>
  </si>
  <si>
    <t>INV-029064</t>
  </si>
  <si>
    <t>INV-029065</t>
  </si>
  <si>
    <t>INV-029066</t>
  </si>
  <si>
    <t>INV-029067</t>
  </si>
  <si>
    <t>INV-029068</t>
  </si>
  <si>
    <t>INV-029069</t>
  </si>
  <si>
    <t>INV-029070</t>
  </si>
  <si>
    <t>INV-029071</t>
  </si>
  <si>
    <t>INV-029072</t>
  </si>
  <si>
    <t>INV-029073</t>
  </si>
  <si>
    <t>INV-029075</t>
  </si>
  <si>
    <t>INV-029076</t>
  </si>
  <si>
    <t>INV-029077</t>
  </si>
  <si>
    <t>INV-029078</t>
  </si>
  <si>
    <t>INV-029079</t>
  </si>
  <si>
    <t>INV-029080</t>
  </si>
  <si>
    <t>INV-029081</t>
  </si>
  <si>
    <t>INV-029082</t>
  </si>
  <si>
    <t>INV-029083</t>
  </si>
  <si>
    <t>INV-029084</t>
  </si>
  <si>
    <t>INV-029085</t>
  </si>
  <si>
    <t>INV-029086</t>
  </si>
  <si>
    <t>INV-029087</t>
  </si>
  <si>
    <t>INV-029088</t>
  </si>
  <si>
    <t>INV-029089</t>
  </si>
  <si>
    <t>INV-029090</t>
  </si>
  <si>
    <t>INV-029091</t>
  </si>
  <si>
    <t>INV-029092</t>
  </si>
  <si>
    <t>INV-029093</t>
  </si>
  <si>
    <t>INV-029094</t>
  </si>
  <si>
    <t>INV-029096</t>
  </si>
  <si>
    <t>INV-029097</t>
  </si>
  <si>
    <t>C0077</t>
  </si>
  <si>
    <t>Riverbend Industrial Supply</t>
  </si>
  <si>
    <t>INV-029098</t>
  </si>
  <si>
    <t>INV-029099</t>
  </si>
  <si>
    <t>C0082</t>
  </si>
  <si>
    <t>Apex Supply Co.</t>
  </si>
  <si>
    <t>INV-029100</t>
  </si>
  <si>
    <t>INV-029101</t>
  </si>
  <si>
    <t>INV-029104</t>
  </si>
  <si>
    <t>INV-029106</t>
  </si>
  <si>
    <t>INV-029107</t>
  </si>
  <si>
    <t>INV-029108</t>
  </si>
  <si>
    <t>INV-029109</t>
  </si>
  <si>
    <t>INV-029110</t>
  </si>
  <si>
    <t>INV-029111</t>
  </si>
  <si>
    <t>INV-029112</t>
  </si>
  <si>
    <t>INV-029113</t>
  </si>
  <si>
    <t>INV-029116</t>
  </si>
  <si>
    <t>INV-029117</t>
  </si>
  <si>
    <t>INV-029118</t>
  </si>
  <si>
    <t>INV-029119</t>
  </si>
  <si>
    <t>INV-029120</t>
  </si>
  <si>
    <t>INV-029121</t>
  </si>
  <si>
    <t>INV-029122</t>
  </si>
  <si>
    <t>INV-029123</t>
  </si>
  <si>
    <t>INV-029124</t>
  </si>
  <si>
    <t>INV-029126</t>
  </si>
  <si>
    <t>INV-029128</t>
  </si>
  <si>
    <t>INV-029129</t>
  </si>
  <si>
    <t>INV-029131</t>
  </si>
  <si>
    <t>INV-029132</t>
  </si>
  <si>
    <t>INV-029133</t>
  </si>
  <si>
    <t>INV-029134</t>
  </si>
  <si>
    <t>INV-029135</t>
  </si>
  <si>
    <t>INV-029136</t>
  </si>
  <si>
    <t>INV-029137</t>
  </si>
  <si>
    <t>INV-029138</t>
  </si>
  <si>
    <t>INV-029139</t>
  </si>
  <si>
    <t>INV-029140</t>
  </si>
  <si>
    <t>C0343</t>
  </si>
  <si>
    <t>Bluewater Builders - Midwest 3</t>
  </si>
  <si>
    <t>INV-029141</t>
  </si>
  <si>
    <t>INV-029142</t>
  </si>
  <si>
    <t>INV-029143</t>
  </si>
  <si>
    <t>INV-029144</t>
  </si>
  <si>
    <t>INV-029145</t>
  </si>
  <si>
    <t>INV-029146</t>
  </si>
  <si>
    <t>INV-029147</t>
  </si>
  <si>
    <t>INV-029149</t>
  </si>
  <si>
    <t>INV-029150</t>
  </si>
  <si>
    <t>INV-029151</t>
  </si>
  <si>
    <t>INV-029152</t>
  </si>
  <si>
    <t>INV-029153</t>
  </si>
  <si>
    <t>INV-029154</t>
  </si>
  <si>
    <t>INV-029155</t>
  </si>
  <si>
    <t>INV-029156</t>
  </si>
  <si>
    <t>INV-029157</t>
  </si>
  <si>
    <t>INV-029158</t>
  </si>
  <si>
    <t>INV-029159</t>
  </si>
  <si>
    <t>INV-029160</t>
  </si>
  <si>
    <t>INV-029161</t>
  </si>
  <si>
    <t>INV-029163</t>
  </si>
  <si>
    <t>INV-029164</t>
  </si>
  <si>
    <t>INV-029165</t>
  </si>
  <si>
    <t>INV-029166</t>
  </si>
  <si>
    <t>INV-029167</t>
  </si>
  <si>
    <t>INV-029170</t>
  </si>
  <si>
    <t>INV-029172</t>
  </si>
  <si>
    <t>INV-029173</t>
  </si>
  <si>
    <t>INV-029174</t>
  </si>
  <si>
    <t>INV-029175</t>
  </si>
  <si>
    <t>INV-029176</t>
  </si>
  <si>
    <t>C0152</t>
  </si>
  <si>
    <t>Summit Supply Co.</t>
  </si>
  <si>
    <t>INV-029177</t>
  </si>
  <si>
    <t>C0159</t>
  </si>
  <si>
    <t>Apex Builders</t>
  </si>
  <si>
    <t>INV-029178</t>
  </si>
  <si>
    <t>INV-029179</t>
  </si>
  <si>
    <t>INV-029180</t>
  </si>
  <si>
    <t>INV-029181</t>
  </si>
  <si>
    <t>C0221</t>
  </si>
  <si>
    <t>Cedar Ridge Contracting</t>
  </si>
  <si>
    <t>INV-029182</t>
  </si>
  <si>
    <t>INV-029183</t>
  </si>
  <si>
    <t>INV-029184</t>
  </si>
  <si>
    <t>INV-029185</t>
  </si>
  <si>
    <t>INV-029186</t>
  </si>
  <si>
    <t>INV-029188</t>
  </si>
  <si>
    <t>INV-029189</t>
  </si>
  <si>
    <t>INV-029190</t>
  </si>
  <si>
    <t>INV-029191</t>
  </si>
  <si>
    <t>INV-029192</t>
  </si>
  <si>
    <t>INV-029193</t>
  </si>
  <si>
    <t>INV-029194</t>
  </si>
  <si>
    <t>INV-029195</t>
  </si>
  <si>
    <t>INV-029196</t>
  </si>
  <si>
    <t>INV-029197</t>
  </si>
  <si>
    <t>INV-029198</t>
  </si>
  <si>
    <t>INV-029199</t>
  </si>
  <si>
    <t>INV-029200</t>
  </si>
  <si>
    <t>C0387</t>
  </si>
  <si>
    <t>Apex Industrial Supply - Southeast</t>
  </si>
  <si>
    <t>INV-029201</t>
  </si>
  <si>
    <t>C0394</t>
  </si>
  <si>
    <t>Silverline Construction - Northeast</t>
  </si>
  <si>
    <t>INV-029203</t>
  </si>
  <si>
    <t>INV-029204</t>
  </si>
  <si>
    <t>INV-029205</t>
  </si>
  <si>
    <t>INV-029206</t>
  </si>
  <si>
    <t>INV-029207</t>
  </si>
  <si>
    <t>INV-029208</t>
  </si>
  <si>
    <t>INV-029209</t>
  </si>
  <si>
    <t>INV-029210</t>
  </si>
  <si>
    <t>INV-029211</t>
  </si>
  <si>
    <t>INV-029212</t>
  </si>
  <si>
    <t>INV-029213</t>
  </si>
  <si>
    <t>INV-029215</t>
  </si>
  <si>
    <t>INV-029216</t>
  </si>
  <si>
    <t>C0105</t>
  </si>
  <si>
    <t>Westbrook Supply Co.</t>
  </si>
  <si>
    <t>INV-029217</t>
  </si>
  <si>
    <t>INV-029218</t>
  </si>
  <si>
    <t>INV-029219</t>
  </si>
  <si>
    <t>INV-029221</t>
  </si>
  <si>
    <t>INV-029222</t>
  </si>
  <si>
    <t>INV-029223</t>
  </si>
  <si>
    <t>INV-029225</t>
  </si>
  <si>
    <t>INV-029226</t>
  </si>
  <si>
    <t>INV-029227</t>
  </si>
  <si>
    <t>INV-029228</t>
  </si>
  <si>
    <t>C0189</t>
  </si>
  <si>
    <t>Granite Mechanical</t>
  </si>
  <si>
    <t>INV-029229</t>
  </si>
  <si>
    <t>INV-029230</t>
  </si>
  <si>
    <t>INV-029231</t>
  </si>
  <si>
    <t>INV-029232</t>
  </si>
  <si>
    <t>INV-029233</t>
  </si>
  <si>
    <t>INV-029234</t>
  </si>
  <si>
    <t>INV-029235</t>
  </si>
  <si>
    <t>INV-029237</t>
  </si>
  <si>
    <t>C0249</t>
  </si>
  <si>
    <t>Harbor Contracting</t>
  </si>
  <si>
    <t>INV-029238</t>
  </si>
  <si>
    <t>INV-029239</t>
  </si>
  <si>
    <t>INV-029240</t>
  </si>
  <si>
    <t>INV-029241</t>
  </si>
  <si>
    <t>INV-029242</t>
  </si>
  <si>
    <t>INV-029243</t>
  </si>
  <si>
    <t>INV-029244</t>
  </si>
  <si>
    <t>INV-029246</t>
  </si>
  <si>
    <t>INV-029247</t>
  </si>
  <si>
    <t>C0311</t>
  </si>
  <si>
    <t>Bluewater University Facilities</t>
  </si>
  <si>
    <t>INV-029248</t>
  </si>
  <si>
    <t>INV-029250</t>
  </si>
  <si>
    <t>INV-029251</t>
  </si>
  <si>
    <t>INV-029252</t>
  </si>
  <si>
    <t>INV-029253</t>
  </si>
  <si>
    <t>INV-029254</t>
  </si>
  <si>
    <t>INV-029255</t>
  </si>
  <si>
    <t>C0347</t>
  </si>
  <si>
    <t>Stonegate Construction</t>
  </si>
  <si>
    <t>INV-029256</t>
  </si>
  <si>
    <t>INV-029257</t>
  </si>
  <si>
    <t>C0365</t>
  </si>
  <si>
    <t>Bluewater Mechanical - Southeast</t>
  </si>
  <si>
    <t>INV-029258</t>
  </si>
  <si>
    <t>INV-029259</t>
  </si>
  <si>
    <t>INV-029260</t>
  </si>
  <si>
    <t>INV-029262</t>
  </si>
  <si>
    <t>INV-029263</t>
  </si>
  <si>
    <t>INV-029264</t>
  </si>
  <si>
    <t>INV-029265</t>
  </si>
  <si>
    <t>INV-029266</t>
  </si>
  <si>
    <t>INV-029267</t>
  </si>
  <si>
    <t>INV-029268</t>
  </si>
  <si>
    <t>INV-029270</t>
  </si>
  <si>
    <t>INV-029271</t>
  </si>
  <si>
    <t>INV-029272</t>
  </si>
  <si>
    <t>INV-029273</t>
  </si>
  <si>
    <t>INV-029274</t>
  </si>
  <si>
    <t>INV-029275</t>
  </si>
  <si>
    <t>INV-029276</t>
  </si>
  <si>
    <t>INV-029277</t>
  </si>
  <si>
    <t>INV-029278</t>
  </si>
  <si>
    <t>INV-029279</t>
  </si>
  <si>
    <t>INV-029280</t>
  </si>
  <si>
    <t>INV-029281</t>
  </si>
  <si>
    <t>INV-029282</t>
  </si>
  <si>
    <t>INV-029283</t>
  </si>
  <si>
    <t>INV-029284</t>
  </si>
  <si>
    <t>INV-029285</t>
  </si>
  <si>
    <t>INV-029286</t>
  </si>
  <si>
    <t>INV-029287</t>
  </si>
  <si>
    <t>INV-029288</t>
  </si>
  <si>
    <t>INV-029289</t>
  </si>
  <si>
    <t>INV-029290</t>
  </si>
  <si>
    <t>INV-029291</t>
  </si>
  <si>
    <t>C0268</t>
  </si>
  <si>
    <t>Titan Electric</t>
  </si>
  <si>
    <t>INV-029292</t>
  </si>
  <si>
    <t>INV-029293</t>
  </si>
  <si>
    <t>INV-029294</t>
  </si>
  <si>
    <t>INV-029295</t>
  </si>
  <si>
    <t>INV-029296</t>
  </si>
  <si>
    <t>INV-029298</t>
  </si>
  <si>
    <t>INV-029299</t>
  </si>
  <si>
    <t>INV-029300</t>
  </si>
  <si>
    <t>INV-029301</t>
  </si>
  <si>
    <t>INV-029303</t>
  </si>
  <si>
    <t>INV-029304</t>
  </si>
  <si>
    <t>C0003</t>
  </si>
  <si>
    <t>Westbrook Electric</t>
  </si>
  <si>
    <t>INV-029305</t>
  </si>
  <si>
    <t>INV-029306</t>
  </si>
  <si>
    <t>INV-029307</t>
  </si>
  <si>
    <t>INV-029308</t>
  </si>
  <si>
    <t>INV-029309</t>
  </si>
  <si>
    <t>INV-029310</t>
  </si>
  <si>
    <t>INV-029311</t>
  </si>
  <si>
    <t>INV-029312</t>
  </si>
  <si>
    <t>INV-029313</t>
  </si>
  <si>
    <t>INV-029314</t>
  </si>
  <si>
    <t>INV-029315</t>
  </si>
  <si>
    <t>INV-029316</t>
  </si>
  <si>
    <t>INV-029317</t>
  </si>
  <si>
    <t>INV-029318</t>
  </si>
  <si>
    <t>INV-029319</t>
  </si>
  <si>
    <t>INV-029321</t>
  </si>
  <si>
    <t>INV-029323</t>
  </si>
  <si>
    <t>INV-029324</t>
  </si>
  <si>
    <t>INV-029325</t>
  </si>
  <si>
    <t>INV-029326</t>
  </si>
  <si>
    <t>INV-029327</t>
  </si>
  <si>
    <t>INV-029328</t>
  </si>
  <si>
    <t>INV-029330</t>
  </si>
  <si>
    <t>INV-029331</t>
  </si>
  <si>
    <t>INV-029332</t>
  </si>
  <si>
    <t>INV-029333</t>
  </si>
  <si>
    <t>INV-029334</t>
  </si>
  <si>
    <t>INV-029335</t>
  </si>
  <si>
    <t>INV-029336</t>
  </si>
  <si>
    <t>INV-029337</t>
  </si>
  <si>
    <t>INV-029338</t>
  </si>
  <si>
    <t>INV-029339</t>
  </si>
  <si>
    <t>INV-029342</t>
  </si>
  <si>
    <t>INV-029343</t>
  </si>
  <si>
    <t>INV-029344</t>
  </si>
  <si>
    <t>INV-029345</t>
  </si>
  <si>
    <t>INV-029346</t>
  </si>
  <si>
    <t>INV-029347</t>
  </si>
  <si>
    <t>INV-029348</t>
  </si>
  <si>
    <t>INV-029349</t>
  </si>
  <si>
    <t>INV-029350</t>
  </si>
  <si>
    <t>INV-029351</t>
  </si>
  <si>
    <t>INV-029352</t>
  </si>
  <si>
    <t>INV-029355</t>
  </si>
  <si>
    <t>INV-029356</t>
  </si>
  <si>
    <t>INV-029357</t>
  </si>
  <si>
    <t>INV-029358</t>
  </si>
  <si>
    <t>INV-029359</t>
  </si>
  <si>
    <t>INV-029361</t>
  </si>
  <si>
    <t>INV-029362</t>
  </si>
  <si>
    <t>INV-029363</t>
  </si>
  <si>
    <t>INV-029364</t>
  </si>
  <si>
    <t>INV-029365</t>
  </si>
  <si>
    <t>INV-029366</t>
  </si>
  <si>
    <t>INV-029367</t>
  </si>
  <si>
    <t>INV-029368</t>
  </si>
  <si>
    <t>INV-029369</t>
  </si>
  <si>
    <t>INV-029370</t>
  </si>
  <si>
    <t>INV-029373</t>
  </si>
  <si>
    <t>INV-029374</t>
  </si>
  <si>
    <t>INV-029375</t>
  </si>
  <si>
    <t>INV-029376</t>
  </si>
  <si>
    <t>INV-029377</t>
  </si>
  <si>
    <t>INV-029378</t>
  </si>
  <si>
    <t>INV-029379</t>
  </si>
  <si>
    <t>INV-029380</t>
  </si>
  <si>
    <t>INV-029381</t>
  </si>
  <si>
    <t>INV-029382</t>
  </si>
  <si>
    <t>INV-029383</t>
  </si>
  <si>
    <t>INV-029384</t>
  </si>
  <si>
    <t>INV-029385</t>
  </si>
  <si>
    <t>INV-029386</t>
  </si>
  <si>
    <t>INV-029387</t>
  </si>
  <si>
    <t>INV-029388</t>
  </si>
  <si>
    <t>INV-029390</t>
  </si>
  <si>
    <t>INV-029391</t>
  </si>
  <si>
    <t>INV-029392</t>
  </si>
  <si>
    <t>INV-029393</t>
  </si>
  <si>
    <t>INV-029394</t>
  </si>
  <si>
    <t>INV-029395</t>
  </si>
  <si>
    <t>INV-029396</t>
  </si>
  <si>
    <t>INV-029398</t>
  </si>
  <si>
    <t>INV-029399</t>
  </si>
  <si>
    <t>INV-029400</t>
  </si>
  <si>
    <t>INV-029401</t>
  </si>
  <si>
    <t>INV-029403</t>
  </si>
  <si>
    <t>INV-029404</t>
  </si>
  <si>
    <t>INV-029405</t>
  </si>
  <si>
    <t>INV-029406</t>
  </si>
  <si>
    <t>INV-029407</t>
  </si>
  <si>
    <t>INV-029408</t>
  </si>
  <si>
    <t>INV-029409</t>
  </si>
  <si>
    <t>INV-029410</t>
  </si>
  <si>
    <t>INV-029411</t>
  </si>
  <si>
    <t>INV-029412</t>
  </si>
  <si>
    <t>INV-029413</t>
  </si>
  <si>
    <t>C0015</t>
  </si>
  <si>
    <t>Granite Contracting</t>
  </si>
  <si>
    <t>INV-029414</t>
  </si>
  <si>
    <t>INV-029415</t>
  </si>
  <si>
    <t>INV-029416</t>
  </si>
  <si>
    <t>C0030</t>
  </si>
  <si>
    <t>Ironbridge Mechanical - Southwest</t>
  </si>
  <si>
    <t>INV-029417</t>
  </si>
  <si>
    <t>INV-029419</t>
  </si>
  <si>
    <t>INV-029420</t>
  </si>
  <si>
    <t>INV-029421</t>
  </si>
  <si>
    <t>INV-029422</t>
  </si>
  <si>
    <t>INV-029423</t>
  </si>
  <si>
    <t>INV-029425</t>
  </si>
  <si>
    <t>INV-029426</t>
  </si>
  <si>
    <t>INV-029428</t>
  </si>
  <si>
    <t>INV-029430</t>
  </si>
  <si>
    <t>INV-029432</t>
  </si>
  <si>
    <t>INV-029433</t>
  </si>
  <si>
    <t>INV-029434</t>
  </si>
  <si>
    <t>C0125</t>
  </si>
  <si>
    <t>Summit MRO Services</t>
  </si>
  <si>
    <t>INV-029435</t>
  </si>
  <si>
    <t>INV-029436</t>
  </si>
  <si>
    <t>INV-029437</t>
  </si>
  <si>
    <t>INV-029438</t>
  </si>
  <si>
    <t>INV-029439</t>
  </si>
  <si>
    <t>INV-029440</t>
  </si>
  <si>
    <t>INV-029441</t>
  </si>
  <si>
    <t>INV-029442</t>
  </si>
  <si>
    <t>INV-029443</t>
  </si>
  <si>
    <t>INV-029444</t>
  </si>
  <si>
    <t>INV-029446</t>
  </si>
  <si>
    <t>INV-029448</t>
  </si>
  <si>
    <t>INV-029449</t>
  </si>
  <si>
    <t>INV-029450</t>
  </si>
  <si>
    <t>INV-029451</t>
  </si>
  <si>
    <t>INV-029452</t>
  </si>
  <si>
    <t>INV-029453</t>
  </si>
  <si>
    <t>INV-029454</t>
  </si>
  <si>
    <t>INV-029455</t>
  </si>
  <si>
    <t>INV-029456</t>
  </si>
  <si>
    <t>INV-029457</t>
  </si>
  <si>
    <t>INV-029458</t>
  </si>
  <si>
    <t>INV-029459</t>
  </si>
  <si>
    <t>INV-029460</t>
  </si>
  <si>
    <t>C0318</t>
  </si>
  <si>
    <t>Riverbend Contracting - Midwest 3</t>
  </si>
  <si>
    <t>INV-029462</t>
  </si>
  <si>
    <t>INV-029463</t>
  </si>
  <si>
    <t>INV-029464</t>
  </si>
  <si>
    <t>INV-029465</t>
  </si>
  <si>
    <t>INV-029466</t>
  </si>
  <si>
    <t>INV-029467</t>
  </si>
  <si>
    <t>INV-029468</t>
  </si>
  <si>
    <t>INV-029470</t>
  </si>
  <si>
    <t>INV-029471</t>
  </si>
  <si>
    <t>INV-029472</t>
  </si>
  <si>
    <t>INV-029473</t>
  </si>
  <si>
    <t>INV-029474</t>
  </si>
  <si>
    <t>INV-029475</t>
  </si>
  <si>
    <t>INV-029476</t>
  </si>
  <si>
    <t>INV-029477</t>
  </si>
  <si>
    <t>INV-029478</t>
  </si>
  <si>
    <t>INV-029479</t>
  </si>
  <si>
    <t>INV-029480</t>
  </si>
  <si>
    <t>INV-029483</t>
  </si>
  <si>
    <t>INV-029484</t>
  </si>
  <si>
    <t>INV-029485</t>
  </si>
  <si>
    <t>INV-029486</t>
  </si>
  <si>
    <t>INV-029487</t>
  </si>
  <si>
    <t>INV-029488</t>
  </si>
  <si>
    <t>INV-029489</t>
  </si>
  <si>
    <t>INV-029490</t>
  </si>
  <si>
    <t>INV-029491</t>
  </si>
  <si>
    <t>INV-029492</t>
  </si>
  <si>
    <t>INV-029493</t>
  </si>
  <si>
    <t>INV-029494</t>
  </si>
  <si>
    <t>INV-029495</t>
  </si>
  <si>
    <t>INV-029496</t>
  </si>
  <si>
    <t>INV-029497</t>
  </si>
  <si>
    <t>INV-029498</t>
  </si>
  <si>
    <t>INV-029499</t>
  </si>
  <si>
    <t>INV-029500</t>
  </si>
  <si>
    <t>INV-029501</t>
  </si>
  <si>
    <t>INV-029502</t>
  </si>
  <si>
    <t>INV-029503</t>
  </si>
  <si>
    <t>INV-029504</t>
  </si>
  <si>
    <t>INV-029505</t>
  </si>
  <si>
    <t>INV-029506</t>
  </si>
  <si>
    <t>INV-029507</t>
  </si>
  <si>
    <t>INV-029508</t>
  </si>
  <si>
    <t>INV-029509</t>
  </si>
  <si>
    <t>INV-029510</t>
  </si>
  <si>
    <t>INV-029511</t>
  </si>
  <si>
    <t>INV-029512</t>
  </si>
  <si>
    <t>INV-029513</t>
  </si>
  <si>
    <t>INV-029514</t>
  </si>
  <si>
    <t>INV-029516</t>
  </si>
  <si>
    <t>INV-029517</t>
  </si>
  <si>
    <t>INV-029518</t>
  </si>
  <si>
    <t>INV-029521</t>
  </si>
  <si>
    <t>INV-029522</t>
  </si>
  <si>
    <t>INV-029524</t>
  </si>
  <si>
    <t>INV-029525</t>
  </si>
  <si>
    <t>INV-029526</t>
  </si>
  <si>
    <t>INV-029527</t>
  </si>
  <si>
    <t>INV-029528</t>
  </si>
  <si>
    <t>INV-029529</t>
  </si>
  <si>
    <t>INV-029530</t>
  </si>
  <si>
    <t>INV-029531</t>
  </si>
  <si>
    <t>INV-029532</t>
  </si>
  <si>
    <t>INV-029533</t>
  </si>
  <si>
    <t>INV-029534</t>
  </si>
  <si>
    <t>INV-029535</t>
  </si>
  <si>
    <t>INV-029536</t>
  </si>
  <si>
    <t>INV-029537</t>
  </si>
  <si>
    <t>INV-029538</t>
  </si>
  <si>
    <t>INV-029539</t>
  </si>
  <si>
    <t>INV-029540</t>
  </si>
  <si>
    <t>INV-029541</t>
  </si>
  <si>
    <t>INV-029542</t>
  </si>
  <si>
    <t>INV-029543</t>
  </si>
  <si>
    <t>INV-029544</t>
  </si>
  <si>
    <t>INV-029545</t>
  </si>
  <si>
    <t>INV-029546</t>
  </si>
  <si>
    <t>INV-029547</t>
  </si>
  <si>
    <t>INV-029548</t>
  </si>
  <si>
    <t>INV-029549</t>
  </si>
  <si>
    <t>INV-029550</t>
  </si>
  <si>
    <t>INV-029551</t>
  </si>
  <si>
    <t>INV-029552</t>
  </si>
  <si>
    <t>INV-029554</t>
  </si>
  <si>
    <t>INV-029556</t>
  </si>
  <si>
    <t>INV-029557</t>
  </si>
  <si>
    <t>INV-029558</t>
  </si>
  <si>
    <t>INV-029559</t>
  </si>
  <si>
    <t>INV-029560</t>
  </si>
  <si>
    <t>INV-029561</t>
  </si>
  <si>
    <t>C0187</t>
  </si>
  <si>
    <t>Stonegate Parts &amp; Service</t>
  </si>
  <si>
    <t>INV-029562</t>
  </si>
  <si>
    <t>INV-029563</t>
  </si>
  <si>
    <t>INV-029564</t>
  </si>
  <si>
    <t>INV-029565</t>
  </si>
  <si>
    <t>INV-029566</t>
  </si>
  <si>
    <t>INV-029567</t>
  </si>
  <si>
    <t>INV-029568</t>
  </si>
  <si>
    <t>INV-029570</t>
  </si>
  <si>
    <t>INV-029571</t>
  </si>
  <si>
    <t>INV-029572</t>
  </si>
  <si>
    <t>INV-029573</t>
  </si>
  <si>
    <t>INV-029574</t>
  </si>
  <si>
    <t>INV-029575</t>
  </si>
  <si>
    <t>C0304</t>
  </si>
  <si>
    <t>Ironbridge Industrial Supply - Midwest 3</t>
  </si>
  <si>
    <t>INV-029576</t>
  </si>
  <si>
    <t>INV-029577</t>
  </si>
  <si>
    <t>INV-029578</t>
  </si>
  <si>
    <t>INV-029579</t>
  </si>
  <si>
    <t>INV-029580</t>
  </si>
  <si>
    <t>INV-029581</t>
  </si>
  <si>
    <t>INV-029582</t>
  </si>
  <si>
    <t>INV-029583</t>
  </si>
  <si>
    <t>INV-029585</t>
  </si>
  <si>
    <t>INV-029586</t>
  </si>
  <si>
    <t>INV-029587</t>
  </si>
  <si>
    <t>INV-029588</t>
  </si>
  <si>
    <t>C0395</t>
  </si>
  <si>
    <t>Northfield MRO Services</t>
  </si>
  <si>
    <t>INV-029589</t>
  </si>
  <si>
    <t>INV-029590</t>
  </si>
  <si>
    <t>INV-029592</t>
  </si>
  <si>
    <t>INV-029595</t>
  </si>
  <si>
    <t>INV-029596</t>
  </si>
  <si>
    <t>INV-029597</t>
  </si>
  <si>
    <t>INV-029598</t>
  </si>
  <si>
    <t>INV-029599</t>
  </si>
  <si>
    <t>INV-029600</t>
  </si>
  <si>
    <t>INV-029601</t>
  </si>
  <si>
    <t>INV-029602</t>
  </si>
  <si>
    <t>INV-029603</t>
  </si>
  <si>
    <t>INV-029604</t>
  </si>
  <si>
    <t>INV-029605</t>
  </si>
  <si>
    <t>INV-029606</t>
  </si>
  <si>
    <t>INV-029607</t>
  </si>
  <si>
    <t>INV-029608</t>
  </si>
  <si>
    <t>INV-029609</t>
  </si>
  <si>
    <t>INV-029610</t>
  </si>
  <si>
    <t>INV-029611</t>
  </si>
  <si>
    <t>INV-029612</t>
  </si>
  <si>
    <t>INV-029613</t>
  </si>
  <si>
    <t>INV-029614</t>
  </si>
  <si>
    <t>INV-029615</t>
  </si>
  <si>
    <t>INV-029616</t>
  </si>
  <si>
    <t>INV-029617</t>
  </si>
  <si>
    <t>INV-029618</t>
  </si>
  <si>
    <t>INV-029619</t>
  </si>
  <si>
    <t>INV-029620</t>
  </si>
  <si>
    <t>INV-029621</t>
  </si>
  <si>
    <t>INV-029622</t>
  </si>
  <si>
    <t>INV-029623</t>
  </si>
  <si>
    <t>INV-029624</t>
  </si>
  <si>
    <t>INV-029625</t>
  </si>
  <si>
    <t>INV-029626</t>
  </si>
  <si>
    <t>INV-029627</t>
  </si>
  <si>
    <t>INV-029628</t>
  </si>
  <si>
    <t>INV-029629</t>
  </si>
  <si>
    <t>INV-029630</t>
  </si>
  <si>
    <t>INV-029631</t>
  </si>
  <si>
    <t>INV-029632</t>
  </si>
  <si>
    <t>INV-029633</t>
  </si>
  <si>
    <t>INV-029634</t>
  </si>
  <si>
    <t>INV-029635</t>
  </si>
  <si>
    <t>INV-029636</t>
  </si>
  <si>
    <t>INV-029637</t>
  </si>
  <si>
    <t>INV-029638</t>
  </si>
  <si>
    <t>INV-029639</t>
  </si>
  <si>
    <t>INV-029640</t>
  </si>
  <si>
    <t>INV-029641</t>
  </si>
  <si>
    <t>INV-029642</t>
  </si>
  <si>
    <t>INV-029643</t>
  </si>
  <si>
    <t>INV-029644</t>
  </si>
  <si>
    <t>INV-029645</t>
  </si>
  <si>
    <t>INV-029646</t>
  </si>
  <si>
    <t>INV-029647</t>
  </si>
  <si>
    <t>INV-029648</t>
  </si>
  <si>
    <t>INV-029649</t>
  </si>
  <si>
    <t>INV-029650</t>
  </si>
  <si>
    <t>INV-029651</t>
  </si>
  <si>
    <t>INV-029652</t>
  </si>
  <si>
    <t>INV-029653</t>
  </si>
  <si>
    <t>INV-029654</t>
  </si>
  <si>
    <t>INV-029656</t>
  </si>
  <si>
    <t>INV-029657</t>
  </si>
  <si>
    <t>INV-029658</t>
  </si>
  <si>
    <t>INV-029659</t>
  </si>
  <si>
    <t>INV-029660</t>
  </si>
  <si>
    <t>INV-029661</t>
  </si>
  <si>
    <t>INV-029662</t>
  </si>
  <si>
    <t>INV-029663</t>
  </si>
  <si>
    <t>INV-029665</t>
  </si>
  <si>
    <t>INV-029666</t>
  </si>
  <si>
    <t>INV-029667</t>
  </si>
  <si>
    <t>INV-029668</t>
  </si>
  <si>
    <t>INV-029669</t>
  </si>
  <si>
    <t>INV-029670</t>
  </si>
  <si>
    <t>C0184</t>
  </si>
  <si>
    <t>Bluewater Parts &amp; Service - West</t>
  </si>
  <si>
    <t>INV-029671</t>
  </si>
  <si>
    <t>INV-029672</t>
  </si>
  <si>
    <t>INV-029673</t>
  </si>
  <si>
    <t>INV-029674</t>
  </si>
  <si>
    <t>INV-029675</t>
  </si>
  <si>
    <t>INV-029676</t>
  </si>
  <si>
    <t>INV-029677</t>
  </si>
  <si>
    <t>INV-029678</t>
  </si>
  <si>
    <t>C0247</t>
  </si>
  <si>
    <t>Westbrook Contracting</t>
  </si>
  <si>
    <t>INV-029679</t>
  </si>
  <si>
    <t>INV-029680</t>
  </si>
  <si>
    <t>INV-029681</t>
  </si>
  <si>
    <t>INV-029682</t>
  </si>
  <si>
    <t>INV-029683</t>
  </si>
  <si>
    <t>C0290</t>
  </si>
  <si>
    <t>Titan University Facilities</t>
  </si>
  <si>
    <t>INV-029684</t>
  </si>
  <si>
    <t>C0293</t>
  </si>
  <si>
    <t>Stonegate Mechanical - Northeast</t>
  </si>
  <si>
    <t>INV-029685</t>
  </si>
  <si>
    <t>INV-029686</t>
  </si>
  <si>
    <t>INV-029687</t>
  </si>
  <si>
    <t>INV-029688</t>
  </si>
  <si>
    <t>INV-029689</t>
  </si>
  <si>
    <t>INV-029690</t>
  </si>
  <si>
    <t>INV-029692</t>
  </si>
  <si>
    <t>INV-029693</t>
  </si>
  <si>
    <t>INV-029694</t>
  </si>
  <si>
    <t>INV-029695</t>
  </si>
  <si>
    <t>INV-029696</t>
  </si>
  <si>
    <t>INV-029697</t>
  </si>
  <si>
    <t>INV-029698</t>
  </si>
  <si>
    <t>INV-029699</t>
  </si>
  <si>
    <t>INV-029700</t>
  </si>
  <si>
    <t>INV-029701</t>
  </si>
  <si>
    <t>INV-029703</t>
  </si>
  <si>
    <t>INV-029704</t>
  </si>
  <si>
    <t>INV-029705</t>
  </si>
  <si>
    <t>INV-029706</t>
  </si>
  <si>
    <t>INV-029707</t>
  </si>
  <si>
    <t>INV-029708</t>
  </si>
  <si>
    <t>INV-029709</t>
  </si>
  <si>
    <t>INV-029710</t>
  </si>
  <si>
    <t>INV-029711</t>
  </si>
  <si>
    <t>C0097</t>
  </si>
  <si>
    <t>Pioneer MRO Services</t>
  </si>
  <si>
    <t>INV-029712</t>
  </si>
  <si>
    <t>INV-029713</t>
  </si>
  <si>
    <t>INV-029714</t>
  </si>
  <si>
    <t>INV-029715</t>
  </si>
  <si>
    <t>INV-029716</t>
  </si>
  <si>
    <t>INV-029717</t>
  </si>
  <si>
    <t>C0177</t>
  </si>
  <si>
    <t>Frontier Builders - West</t>
  </si>
  <si>
    <t>INV-029718</t>
  </si>
  <si>
    <t>C0181</t>
  </si>
  <si>
    <t>Harbor Electric</t>
  </si>
  <si>
    <t>INV-029719</t>
  </si>
  <si>
    <t>INV-029720</t>
  </si>
  <si>
    <t>INV-029721</t>
  </si>
  <si>
    <t>INV-029722</t>
  </si>
  <si>
    <t>INV-029723</t>
  </si>
  <si>
    <t>INV-029724</t>
  </si>
  <si>
    <t>INV-029725</t>
  </si>
  <si>
    <t>INV-029726</t>
  </si>
  <si>
    <t>C0244</t>
  </si>
  <si>
    <t>Apex Maintenance Supply - Midwest</t>
  </si>
  <si>
    <t>INV-029727</t>
  </si>
  <si>
    <t>INV-029728</t>
  </si>
  <si>
    <t>INV-029729</t>
  </si>
  <si>
    <t>INV-029730</t>
  </si>
  <si>
    <t>INV-029731</t>
  </si>
  <si>
    <t>INV-029732</t>
  </si>
  <si>
    <t>INV-029733</t>
  </si>
  <si>
    <t>INV-029734</t>
  </si>
  <si>
    <t>INV-029735</t>
  </si>
  <si>
    <t>INV-029736</t>
  </si>
  <si>
    <t>INV-029737</t>
  </si>
  <si>
    <t>INV-029738</t>
  </si>
  <si>
    <t>INV-029739</t>
  </si>
  <si>
    <t>INV-029740</t>
  </si>
  <si>
    <t>INV-029741</t>
  </si>
  <si>
    <t>INV-029742</t>
  </si>
  <si>
    <t>INV-029743</t>
  </si>
  <si>
    <t>INV-029744</t>
  </si>
  <si>
    <t>INV-029745</t>
  </si>
  <si>
    <t>INV-029746</t>
  </si>
  <si>
    <t>INV-029747</t>
  </si>
  <si>
    <t>INV-029748</t>
  </si>
  <si>
    <t>INV-029749</t>
  </si>
  <si>
    <t>INV-029750</t>
  </si>
  <si>
    <t>INV-029751</t>
  </si>
  <si>
    <t>INV-029752</t>
  </si>
  <si>
    <t>INV-029753</t>
  </si>
  <si>
    <t>INV-029754</t>
  </si>
  <si>
    <t>INV-029755</t>
  </si>
  <si>
    <t>INV-029756</t>
  </si>
  <si>
    <t>INV-029757</t>
  </si>
  <si>
    <t>INV-029758</t>
  </si>
  <si>
    <t>INV-029759</t>
  </si>
  <si>
    <t>INV-029760</t>
  </si>
  <si>
    <t>INV-029761</t>
  </si>
  <si>
    <t>INV-029762</t>
  </si>
  <si>
    <t>INV-029763</t>
  </si>
  <si>
    <t>INV-029764</t>
  </si>
  <si>
    <t>INV-029765</t>
  </si>
  <si>
    <t>INV-029766</t>
  </si>
  <si>
    <t>INV-029767</t>
  </si>
  <si>
    <t>INV-029768</t>
  </si>
  <si>
    <t>INV-029769</t>
  </si>
  <si>
    <t>INV-029770</t>
  </si>
  <si>
    <t>INV-029771</t>
  </si>
  <si>
    <t>INV-029772</t>
  </si>
  <si>
    <t>C0092</t>
  </si>
  <si>
    <t>Stonegate Electric - Northeast</t>
  </si>
  <si>
    <t>INV-029773</t>
  </si>
  <si>
    <t>INV-029774</t>
  </si>
  <si>
    <t>INV-029775</t>
  </si>
  <si>
    <t>INV-029776</t>
  </si>
  <si>
    <t>INV-029777</t>
  </si>
  <si>
    <t>C0117</t>
  </si>
  <si>
    <t>Keystone Construction - West</t>
  </si>
  <si>
    <t>INV-029778</t>
  </si>
  <si>
    <t>INV-029779</t>
  </si>
  <si>
    <t>INV-029780</t>
  </si>
  <si>
    <t>INV-029781</t>
  </si>
  <si>
    <t>INV-029782</t>
  </si>
  <si>
    <t>C0155</t>
  </si>
  <si>
    <t>Crestview Supply Co.</t>
  </si>
  <si>
    <t>INV-029783</t>
  </si>
  <si>
    <t>INV-029784</t>
  </si>
  <si>
    <t>INV-029785</t>
  </si>
  <si>
    <t>INV-029786</t>
  </si>
  <si>
    <t>INV-029787</t>
  </si>
  <si>
    <t>INV-029788</t>
  </si>
  <si>
    <t>INV-029789</t>
  </si>
  <si>
    <t>INV-029790</t>
  </si>
  <si>
    <t>INV-029791</t>
  </si>
  <si>
    <t>INV-029792</t>
  </si>
  <si>
    <t>INV-029793</t>
  </si>
  <si>
    <t>INV-029794</t>
  </si>
  <si>
    <t>INV-029795</t>
  </si>
  <si>
    <t>INV-029796</t>
  </si>
  <si>
    <t>INV-029797</t>
  </si>
  <si>
    <t>INV-029798</t>
  </si>
  <si>
    <t>INV-029799</t>
  </si>
  <si>
    <t>INV-029800</t>
  </si>
  <si>
    <t>INV-029801</t>
  </si>
  <si>
    <t>INV-029802</t>
  </si>
  <si>
    <t>INV-029803</t>
  </si>
  <si>
    <t>INV-029804</t>
  </si>
  <si>
    <t>INV-029805</t>
  </si>
  <si>
    <t>INV-029806</t>
  </si>
  <si>
    <t>INV-029807</t>
  </si>
  <si>
    <t>INV-029808</t>
  </si>
  <si>
    <t>INV-029809</t>
  </si>
  <si>
    <t>INV-029810</t>
  </si>
  <si>
    <t>INV-029811</t>
  </si>
  <si>
    <t>INV-029812</t>
  </si>
  <si>
    <t>INV-029813</t>
  </si>
  <si>
    <t>INV-029814</t>
  </si>
  <si>
    <t>INV-029815</t>
  </si>
  <si>
    <t>INV-029816</t>
  </si>
  <si>
    <t>INV-029817</t>
  </si>
  <si>
    <t>INV-029818</t>
  </si>
  <si>
    <t>INV-029819</t>
  </si>
  <si>
    <t>INV-029820</t>
  </si>
  <si>
    <t>INV-029821</t>
  </si>
  <si>
    <t>INV-029822</t>
  </si>
  <si>
    <t>INV-029823</t>
  </si>
  <si>
    <t>C0044</t>
  </si>
  <si>
    <t>Crestview Industrial Supply</t>
  </si>
  <si>
    <t>INV-029824</t>
  </si>
  <si>
    <t>INV-029825</t>
  </si>
  <si>
    <t>INV-029826</t>
  </si>
  <si>
    <t>INV-029827</t>
  </si>
  <si>
    <t>INV-029828</t>
  </si>
  <si>
    <t>INV-029829</t>
  </si>
  <si>
    <t>INV-029830</t>
  </si>
  <si>
    <t>INV-029831</t>
  </si>
  <si>
    <t>INV-029832</t>
  </si>
  <si>
    <t>INV-029833</t>
  </si>
  <si>
    <t>INV-029834</t>
  </si>
  <si>
    <t>INV-029835</t>
  </si>
  <si>
    <t>INV-029836</t>
  </si>
  <si>
    <t>INV-029837</t>
  </si>
  <si>
    <t>INV-029838</t>
  </si>
  <si>
    <t>INV-029839</t>
  </si>
  <si>
    <t>INV-029840</t>
  </si>
  <si>
    <t>INV-029841</t>
  </si>
  <si>
    <t>INV-029842</t>
  </si>
  <si>
    <t>INV-029843</t>
  </si>
  <si>
    <t>INV-029844</t>
  </si>
  <si>
    <t>INV-029845</t>
  </si>
  <si>
    <t>INV-029846</t>
  </si>
  <si>
    <t>INV-029847</t>
  </si>
  <si>
    <t>INV-029848</t>
  </si>
  <si>
    <t>INV-029849</t>
  </si>
  <si>
    <t>INV-029850</t>
  </si>
  <si>
    <t>INV-029851</t>
  </si>
  <si>
    <t>INV-029852</t>
  </si>
  <si>
    <t>INV-029853</t>
  </si>
  <si>
    <t>INV-029854</t>
  </si>
  <si>
    <t>INV-029855</t>
  </si>
  <si>
    <t>INV-029856</t>
  </si>
  <si>
    <t>INV-029857</t>
  </si>
  <si>
    <t>INV-029858</t>
  </si>
  <si>
    <t>INV-029859</t>
  </si>
  <si>
    <t>INV-029860</t>
  </si>
  <si>
    <t>INV-029861</t>
  </si>
  <si>
    <t>INV-029862</t>
  </si>
  <si>
    <t>INV-029863</t>
  </si>
  <si>
    <t>INV-029864</t>
  </si>
  <si>
    <t>INV-029865</t>
  </si>
  <si>
    <t>INV-029866</t>
  </si>
  <si>
    <t>INV-029867</t>
  </si>
  <si>
    <t>INV-029868</t>
  </si>
  <si>
    <t>INV-029869</t>
  </si>
  <si>
    <t>INV-029870</t>
  </si>
  <si>
    <t>INV-029871</t>
  </si>
  <si>
    <t>INV-029872</t>
  </si>
  <si>
    <t>INV-029873</t>
  </si>
  <si>
    <t>INV-029874</t>
  </si>
  <si>
    <t>INV-029875</t>
  </si>
  <si>
    <t>INV-029876</t>
  </si>
  <si>
    <t>INV-029877</t>
  </si>
  <si>
    <t>INV-029878</t>
  </si>
  <si>
    <t>C0173</t>
  </si>
  <si>
    <t>Lakeshore Builders - Midwest</t>
  </si>
  <si>
    <t>INV-029879</t>
  </si>
  <si>
    <t>INV-029880</t>
  </si>
  <si>
    <t>INV-029881</t>
  </si>
  <si>
    <t>INV-029882</t>
  </si>
  <si>
    <t>INV-029883</t>
  </si>
  <si>
    <t>INV-029884</t>
  </si>
  <si>
    <t>INV-029885</t>
  </si>
  <si>
    <t>INV-029886</t>
  </si>
  <si>
    <t>INV-029887</t>
  </si>
  <si>
    <t>INV-029888</t>
  </si>
  <si>
    <t>INV-029889</t>
  </si>
  <si>
    <t>INV-029890</t>
  </si>
  <si>
    <t>INV-029891</t>
  </si>
  <si>
    <t>INV-029892</t>
  </si>
  <si>
    <t>C0266</t>
  </si>
  <si>
    <t>Cedar Ridge Construction - West 3</t>
  </si>
  <si>
    <t>INV-029893</t>
  </si>
  <si>
    <t>INV-029894</t>
  </si>
  <si>
    <t>INV-029895</t>
  </si>
  <si>
    <t>INV-029896</t>
  </si>
  <si>
    <t>INV-029897</t>
  </si>
  <si>
    <t>INV-029898</t>
  </si>
  <si>
    <t>INV-029899</t>
  </si>
  <si>
    <t>INV-029900</t>
  </si>
  <si>
    <t>INV-029901</t>
  </si>
  <si>
    <t>INV-029902</t>
  </si>
  <si>
    <t>INV-029903</t>
  </si>
  <si>
    <t>INV-029904</t>
  </si>
  <si>
    <t>INV-029905</t>
  </si>
  <si>
    <t>INV-029906</t>
  </si>
  <si>
    <t>INV-029907</t>
  </si>
  <si>
    <t>INV-029908</t>
  </si>
  <si>
    <t>INV-029909</t>
  </si>
  <si>
    <t>INV-029910</t>
  </si>
  <si>
    <t>INV-029911</t>
  </si>
  <si>
    <t>INV-029912</t>
  </si>
  <si>
    <t>INV-029913</t>
  </si>
  <si>
    <t>INV-029914</t>
  </si>
  <si>
    <t>INV-029915</t>
  </si>
  <si>
    <t>INV-029916</t>
  </si>
  <si>
    <t>INV-029917</t>
  </si>
  <si>
    <t>INV-029918</t>
  </si>
  <si>
    <t>INV-029919</t>
  </si>
  <si>
    <t>INV-029920</t>
  </si>
  <si>
    <t>INV-029921</t>
  </si>
  <si>
    <t>INV-029922</t>
  </si>
  <si>
    <t>INV-029923</t>
  </si>
  <si>
    <t>C0047</t>
  </si>
  <si>
    <t>Titan Supply Co.</t>
  </si>
  <si>
    <t>INV-029924</t>
  </si>
  <si>
    <t>INV-029925</t>
  </si>
  <si>
    <t>INV-029926</t>
  </si>
  <si>
    <t>INV-029927</t>
  </si>
  <si>
    <t>C0072</t>
  </si>
  <si>
    <t>Crestview Mechanical</t>
  </si>
  <si>
    <t>INV-029928</t>
  </si>
  <si>
    <t>INV-029929</t>
  </si>
  <si>
    <t>INV-029930</t>
  </si>
  <si>
    <t>C0085</t>
  </si>
  <si>
    <t>Keystone Maintenance Supply</t>
  </si>
  <si>
    <t>INV-029931</t>
  </si>
  <si>
    <t>INV-029932</t>
  </si>
  <si>
    <t>INV-029933</t>
  </si>
  <si>
    <t>INV-029934</t>
  </si>
  <si>
    <t>INV-029935</t>
  </si>
  <si>
    <t>INV-029936</t>
  </si>
  <si>
    <t>INV-029937</t>
  </si>
  <si>
    <t>INV-029938</t>
  </si>
  <si>
    <t>INV-029939</t>
  </si>
  <si>
    <t>INV-029940</t>
  </si>
  <si>
    <t>INV-029941</t>
  </si>
  <si>
    <t>INV-029942</t>
  </si>
  <si>
    <t>INV-029943</t>
  </si>
  <si>
    <t>INV-029944</t>
  </si>
  <si>
    <t>INV-029945</t>
  </si>
  <si>
    <t>INV-029946</t>
  </si>
  <si>
    <t>INV-029947</t>
  </si>
  <si>
    <t>INV-029948</t>
  </si>
  <si>
    <t>INV-029949</t>
  </si>
  <si>
    <t>INV-029950</t>
  </si>
  <si>
    <t>INV-029951</t>
  </si>
  <si>
    <t>INV-029952</t>
  </si>
  <si>
    <t>INV-029953</t>
  </si>
  <si>
    <t>INV-029954</t>
  </si>
  <si>
    <t>INV-029955</t>
  </si>
  <si>
    <t>INV-029956</t>
  </si>
  <si>
    <t>INV-029957</t>
  </si>
  <si>
    <t>INV-029958</t>
  </si>
  <si>
    <t>C0259</t>
  </si>
  <si>
    <t>Titan Builders - Southwest 3</t>
  </si>
  <si>
    <t>INV-029959</t>
  </si>
  <si>
    <t>INV-029960</t>
  </si>
  <si>
    <t>INV-029961</t>
  </si>
  <si>
    <t>INV-029962</t>
  </si>
  <si>
    <t>INV-029963</t>
  </si>
  <si>
    <t>INV-029964</t>
  </si>
  <si>
    <t>INV-029965</t>
  </si>
  <si>
    <t>C0321</t>
  </si>
  <si>
    <t>Granite Parts &amp; Service</t>
  </si>
  <si>
    <t>INV-029966</t>
  </si>
  <si>
    <t>C0335</t>
  </si>
  <si>
    <t>Riverbend Supply Co. - Northeast</t>
  </si>
  <si>
    <t>INV-029967</t>
  </si>
  <si>
    <t>INV-029968</t>
  </si>
  <si>
    <t>INV-029969</t>
  </si>
  <si>
    <t>INV-029970</t>
  </si>
  <si>
    <t>INV-029971</t>
  </si>
  <si>
    <t>PriorityRank</t>
  </si>
  <si>
    <t>CollectorRank</t>
  </si>
  <si>
    <t>PastDueBalance</t>
  </si>
  <si>
    <t>Balance90Plus</t>
  </si>
  <si>
    <t>DisputedBalance</t>
  </si>
  <si>
    <t>WeightedExposure</t>
  </si>
  <si>
    <t>DisputedWeightedExposure</t>
  </si>
  <si>
    <t>CollectableExposure</t>
  </si>
  <si>
    <t>NetCollectablePosition</t>
  </si>
  <si>
    <t>IsFullyOffsetByCash</t>
  </si>
  <si>
    <t>OldestDaysPastDue</t>
  </si>
  <si>
    <t>CreditUtilizationPct</t>
  </si>
  <si>
    <t>AvgDaysLateHistoric</t>
  </si>
  <si>
    <t>UnappliedCash</t>
  </si>
  <si>
    <t>NetExposure</t>
  </si>
  <si>
    <t>BrokenPromises90d</t>
  </si>
  <si>
    <t>ActionCode</t>
  </si>
  <si>
    <t>CreditHoldFlag</t>
  </si>
  <si>
    <t>IsTodaysWorklist</t>
  </si>
  <si>
    <t>RecommendedAction</t>
  </si>
  <si>
    <t>ESCALATE</t>
  </si>
  <si>
    <t>Escalate: high-risk account carrying a 90+ balance. Hold further shipments and agree a payment plan or refer for recovery.</t>
  </si>
  <si>
    <t>COLLECTION_CALL</t>
  </si>
  <si>
    <t>Collection call: oldest item is more than 30 days past due.</t>
  </si>
  <si>
    <t>FINAL_NOTICE</t>
  </si>
  <si>
    <t>Issue a final notice on the 90+ balance and confirm a payment date in writing.</t>
  </si>
  <si>
    <t>Escalate: high-risk account carrying a 90+ balance. Hold further shipments and agree a payment plan or refer for recovery. Also place a credit hold: the account is at or over its credit limit.</t>
  </si>
  <si>
    <t>STANDARD_DUNNING</t>
  </si>
  <si>
    <t>Standard dunning letter and follow-up call.</t>
  </si>
  <si>
    <t>RESOLVE_DISPUTE</t>
  </si>
  <si>
    <t>Route to billing/sales: most of this balance is disputed and will not pay until the dispute closes.</t>
  </si>
  <si>
    <t>APPLY_CASH</t>
  </si>
  <si>
    <t>Do not call. Cash is already banked against this account and unmatched -- route to cash application to apply it before any collections contact.</t>
  </si>
  <si>
    <t>COURTESY_REMINDER</t>
  </si>
  <si>
    <t>Courtesy reminder only: this account normally pays on time, so treat it as an oversight.</t>
  </si>
  <si>
    <t>YearMonth</t>
  </si>
  <si>
    <t>AsOfDate</t>
  </si>
  <si>
    <t>BeginAR</t>
  </si>
  <si>
    <t>MonthSales</t>
  </si>
  <si>
    <t>EndAR</t>
  </si>
  <si>
    <t>EndCurrentAR</t>
  </si>
  <si>
    <t>PastDueAR</t>
  </si>
  <si>
    <t>AR90Plus</t>
  </si>
  <si>
    <t>DisputedAR</t>
  </si>
  <si>
    <t>OpenInvoices</t>
  </si>
  <si>
    <t>PastDueInvoices</t>
  </si>
  <si>
    <t>Invoices90Plus</t>
  </si>
  <si>
    <t>CashApplied</t>
  </si>
  <si>
    <t>CashReceived</t>
  </si>
  <si>
    <t>CashAppliedLessReceived</t>
  </si>
  <si>
    <t>UnappliedCashPct</t>
  </si>
  <si>
    <t>WriteOffs</t>
  </si>
  <si>
    <t>CreditMemos</t>
  </si>
  <si>
    <t>DSO_Countback</t>
  </si>
  <si>
    <t>DSO_Simple</t>
  </si>
  <si>
    <t>BPDSO_Countback</t>
  </si>
  <si>
    <t>AvgDaysDelinquent</t>
  </si>
  <si>
    <t>DSO_MethodGap</t>
  </si>
  <si>
    <t>CollectableBase</t>
  </si>
  <si>
    <t>CEI_Book</t>
  </si>
  <si>
    <t>CEI_Cash</t>
  </si>
  <si>
    <t>PaperCollectionsGap</t>
  </si>
  <si>
    <t>PctPastDue</t>
  </si>
  <si>
    <t>Pct90Plus</t>
  </si>
  <si>
    <t>PctDisputed</t>
  </si>
  <si>
    <t>PctPastDueByCount</t>
  </si>
  <si>
    <t>Pct90PlusByCount</t>
  </si>
  <si>
    <t>IsComparablePeriod</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</si>
  <si>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</si>
  <si>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</si>
  <si>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</si>
  <si>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</si>
  <si>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</si>
  <si>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</si>
  <si>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</si>
  <si>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</si>
  <si>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</si>
  <si>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</si>
  <si>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</si>
  <si>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</si>
  <si>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</si>
  <si>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</si>
  <si>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</si>
  <si>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</si>
  <si>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</si>
  <si>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</si>
  <si>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</si>
  <si>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</si>
  <si>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</si>
  <si>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</si>
  <si>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</si>
  <si>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TotalAR</t>
  </si>
  <si>
    <t>CurrentAR</t>
  </si>
  <si>
    <t>DisputedPastDueAR</t>
  </si>
  <si>
    <t>UndisputedPastDueAR</t>
  </si>
  <si>
    <t>SalesPerDay</t>
  </si>
  <si>
    <t>DSO_Classic</t>
  </si>
  <si>
    <t>GrantedDays</t>
  </si>
  <si>
    <t>DisputeDays</t>
  </si>
  <si>
    <t>LatenessDays</t>
  </si>
  <si>
    <t>WeightedAvgTermsDays</t>
  </si>
  <si>
    <t>TermsPositionDays</t>
  </si>
  <si>
    <t>RecoverableDays</t>
  </si>
  <si>
    <t>RecoverableCash</t>
  </si>
  <si>
    <t>BillingLagDays</t>
  </si>
  <si>
    <t>CashCycleDays</t>
  </si>
  <si>
    <t>CashPerLagDay</t>
  </si>
  <si>
    <t>MonthEndDate</t>
  </si>
  <si>
    <t>DaysInMonth</t>
  </si>
  <si>
    <t>CreditSales</t>
  </si>
  <si>
    <t>InvoiceCount</t>
  </si>
  <si>
    <t>PctDollarsNet30</t>
  </si>
  <si>
    <t>PctDollarsNet45</t>
  </si>
  <si>
    <t>PctDollarsNet60</t>
  </si>
  <si>
    <t>PctDollarsExtended</t>
  </si>
  <si>
    <t>2024-01</t>
  </si>
  <si>
    <t>MetricName</t>
  </si>
  <si>
    <t>TargetValue</t>
  </si>
  <si>
    <t>WarningValue</t>
  </si>
  <si>
    <t>Direction</t>
  </si>
  <si>
    <t>Unit</t>
  </si>
  <si>
    <t>Description</t>
  </si>
  <si>
    <t>LowerBetter</t>
  </si>
  <si>
    <t>Days</t>
  </si>
  <si>
    <t>DSO minus Best Possible DSO: days lost to late payment</t>
  </si>
  <si>
    <t>Dollar-weighted days between shipping goods and issuing the invoice</t>
  </si>
  <si>
    <t>CEI</t>
  </si>
  <si>
    <t>HigherBetter</t>
  </si>
  <si>
    <t>Percent</t>
  </si>
  <si>
    <t>Collection Effectiveness Index for the month</t>
  </si>
  <si>
    <t>CreditUtilization</t>
  </si>
  <si>
    <t>Customer open balance as a share of credit limit</t>
  </si>
  <si>
    <t>DisputeAgeDays</t>
  </si>
  <si>
    <t>Age of an unresolved dispute before it must be escalated</t>
  </si>
  <si>
    <t>DSO</t>
  </si>
  <si>
    <t>Days Sales Outstanding (countback method) at month end</t>
  </si>
  <si>
    <t>Share of open AR balance more than 90 days past due</t>
  </si>
  <si>
    <t>Share of open AR balance that is past due</t>
  </si>
  <si>
    <t>PromiseKeptRate</t>
  </si>
  <si>
    <t>Share of promised dollars actually received within the grace window</t>
  </si>
  <si>
    <t>Cash received but not matched to an invoice, as a share of open AR</t>
  </si>
  <si>
    <t>MinDaysPastDue</t>
  </si>
  <si>
    <t>MaxDaysPastDue</t>
  </si>
  <si>
    <t>CustomerKey</t>
  </si>
  <si>
    <t>UnappliedReceipts</t>
  </si>
  <si>
    <t>FullyUnappliedReceipts</t>
  </si>
  <si>
    <t>NoRemittanceAdvice</t>
  </si>
  <si>
    <t>OldestUnappliedDays</t>
  </si>
  <si>
    <t>WronglyChaseable</t>
  </si>
  <si>
    <t>PromiseNo</t>
  </si>
  <si>
    <t>PromiseMadeDate</t>
  </si>
  <si>
    <t>PromisedPayDate</t>
  </si>
  <si>
    <t>PromisedAmount</t>
  </si>
  <si>
    <t>CashInWindow</t>
  </si>
  <si>
    <t>PctOfPromise</t>
  </si>
  <si>
    <t>DaysSincePromised</t>
  </si>
  <si>
    <t>PromiseStatus</t>
  </si>
  <si>
    <t>PTP-000001</t>
  </si>
  <si>
    <t>Kept</t>
  </si>
  <si>
    <t>PTP-000002</t>
  </si>
  <si>
    <t>PTP-000005</t>
  </si>
  <si>
    <t>PTP-000006</t>
  </si>
  <si>
    <t>PTP-000007</t>
  </si>
  <si>
    <t>PTP-000003</t>
  </si>
  <si>
    <t>PTP-000004</t>
  </si>
  <si>
    <t>PTP-000010</t>
  </si>
  <si>
    <t>PTP-000008</t>
  </si>
  <si>
    <t>PTP-000009</t>
  </si>
  <si>
    <t>PTP-000011</t>
  </si>
  <si>
    <t>PTP-000014</t>
  </si>
  <si>
    <t>PTP-000012</t>
  </si>
  <si>
    <t>PTP-000013</t>
  </si>
  <si>
    <t>PTP-000015</t>
  </si>
  <si>
    <t>PTP-000016</t>
  </si>
  <si>
    <t>PTP-000017</t>
  </si>
  <si>
    <t>PTP-000019</t>
  </si>
  <si>
    <t>PTP-000018</t>
  </si>
  <si>
    <t>PTP-000020</t>
  </si>
  <si>
    <t>PTP-000021</t>
  </si>
  <si>
    <t>PTP-000025</t>
  </si>
  <si>
    <t>PTP-000023</t>
  </si>
  <si>
    <t>PTP-000024</t>
  </si>
  <si>
    <t>PTP-000022</t>
  </si>
  <si>
    <t>PTP-000027</t>
  </si>
  <si>
    <t>PTP-000028</t>
  </si>
  <si>
    <t>PTP-000026</t>
  </si>
  <si>
    <t>PTP-000029</t>
  </si>
  <si>
    <t>PTP-000030</t>
  </si>
  <si>
    <t>C0357</t>
  </si>
  <si>
    <t>Redline Construction</t>
  </si>
  <si>
    <t>PTP-000031</t>
  </si>
  <si>
    <t>PTP-000032</t>
  </si>
  <si>
    <t>PTP-000033</t>
  </si>
  <si>
    <t>PTP-000038</t>
  </si>
  <si>
    <t>PTP-000037</t>
  </si>
  <si>
    <t>PTP-000036</t>
  </si>
  <si>
    <t>PTP-000035</t>
  </si>
  <si>
    <t>PTP-000034</t>
  </si>
  <si>
    <t>PTP-000039</t>
  </si>
  <si>
    <t>PTP-000040</t>
  </si>
  <si>
    <t>PTP-000041</t>
  </si>
  <si>
    <t>PTP-000042</t>
  </si>
  <si>
    <t>PTP-000044</t>
  </si>
  <si>
    <t>PTP-000043</t>
  </si>
  <si>
    <t>PTP-000046</t>
  </si>
  <si>
    <t>PTP-000045</t>
  </si>
  <si>
    <t>PTP-000047</t>
  </si>
  <si>
    <t>PTP-000051</t>
  </si>
  <si>
    <t>PTP-000048</t>
  </si>
  <si>
    <t>PTP-000049</t>
  </si>
  <si>
    <t>PTP-000050</t>
  </si>
  <si>
    <t>PTP-000052</t>
  </si>
  <si>
    <t>PTP-000053</t>
  </si>
  <si>
    <t>PTP-000055</t>
  </si>
  <si>
    <t>PTP-000057</t>
  </si>
  <si>
    <t>PTP-000056</t>
  </si>
  <si>
    <t>PTP-000058</t>
  </si>
  <si>
    <t>PTP-000054</t>
  </si>
  <si>
    <t>PTP-000059</t>
  </si>
  <si>
    <t>PTP-000060</t>
  </si>
  <si>
    <t>PTP-000061</t>
  </si>
  <si>
    <t>PTP-000063</t>
  </si>
  <si>
    <t>PTP-000062</t>
  </si>
  <si>
    <t>PTP-000065</t>
  </si>
  <si>
    <t>PTP-000066</t>
  </si>
  <si>
    <t>PTP-000064</t>
  </si>
  <si>
    <t>PTP-000067</t>
  </si>
  <si>
    <t>PTP-000069</t>
  </si>
  <si>
    <t>PTP-000068</t>
  </si>
  <si>
    <t>PTP-000070</t>
  </si>
  <si>
    <t>PTP-000071</t>
  </si>
  <si>
    <t>PTP-000072</t>
  </si>
  <si>
    <t>PTP-000074</t>
  </si>
  <si>
    <t>PTP-000073</t>
  </si>
  <si>
    <t>PTP-000075</t>
  </si>
  <si>
    <t>C0086</t>
  </si>
  <si>
    <t>Crestview Contracting - Southeast</t>
  </si>
  <si>
    <t>PTP-000076</t>
  </si>
  <si>
    <t>PTP-000077</t>
  </si>
  <si>
    <t>PTP-000079</t>
  </si>
  <si>
    <t>PTP-000078</t>
  </si>
  <si>
    <t>PTP-000080</t>
  </si>
  <si>
    <t>PTP-000085</t>
  </si>
  <si>
    <t>PTP-000081</t>
  </si>
  <si>
    <t>PTP-000082</t>
  </si>
  <si>
    <t>PTP-000084</t>
  </si>
  <si>
    <t>PTP-000083</t>
  </si>
  <si>
    <t>PTP-000086</t>
  </si>
  <si>
    <t>PTP-000087</t>
  </si>
  <si>
    <t>PTP-000089</t>
  </si>
  <si>
    <t>PTP-000088</t>
  </si>
  <si>
    <t>PTP-000092</t>
  </si>
  <si>
    <t>PTP-000090</t>
  </si>
  <si>
    <t>PTP-000091</t>
  </si>
  <si>
    <t>PTP-000094</t>
  </si>
  <si>
    <t>PTP-000093</t>
  </si>
  <si>
    <t>PTP-000095</t>
  </si>
  <si>
    <t>PTP-000096</t>
  </si>
  <si>
    <t>C0274</t>
  </si>
  <si>
    <t>Summit Contracting - Midwest</t>
  </si>
  <si>
    <t>PTP-000099</t>
  </si>
  <si>
    <t>PTP-000100</t>
  </si>
  <si>
    <t>PTP-000097</t>
  </si>
  <si>
    <t>PTP-000098</t>
  </si>
  <si>
    <t>PTP-000101</t>
  </si>
  <si>
    <t>PTP-000104</t>
  </si>
  <si>
    <t>PTP-000102</t>
  </si>
  <si>
    <t>PTP-000103</t>
  </si>
  <si>
    <t>PTP-000107</t>
  </si>
  <si>
    <t>PTP-000106</t>
  </si>
  <si>
    <t>PTP-000105</t>
  </si>
  <si>
    <t>PTP-000108</t>
  </si>
  <si>
    <t>PTP-000109</t>
  </si>
  <si>
    <t>PTP-000110</t>
  </si>
  <si>
    <t>PTP-000111</t>
  </si>
  <si>
    <t>PTP-000112</t>
  </si>
  <si>
    <t>PTP-000113</t>
  </si>
  <si>
    <t>PTP-000116</t>
  </si>
  <si>
    <t>PTP-000115</t>
  </si>
  <si>
    <t>PTP-000114</t>
  </si>
  <si>
    <t>PTP-000118</t>
  </si>
  <si>
    <t>PTP-000117</t>
  </si>
  <si>
    <t>PTP-000120</t>
  </si>
  <si>
    <t>PTP-000119</t>
  </si>
  <si>
    <t>PTP-000121</t>
  </si>
  <si>
    <t>PTP-000122</t>
  </si>
  <si>
    <t>PTP-000123</t>
  </si>
  <si>
    <t>PTP-000127</t>
  </si>
  <si>
    <t>PTP-000124</t>
  </si>
  <si>
    <t>PTP-000125</t>
  </si>
  <si>
    <t>C0142</t>
  </si>
  <si>
    <t>Riverbend Mechanical</t>
  </si>
  <si>
    <t>PTP-000126</t>
  </si>
  <si>
    <t>PTP-000128</t>
  </si>
  <si>
    <t>PTP-000129</t>
  </si>
  <si>
    <t>PTP-000132</t>
  </si>
  <si>
    <t>PTP-000131</t>
  </si>
  <si>
    <t>PTP-000130</t>
  </si>
  <si>
    <t>PTP-000133</t>
  </si>
  <si>
    <t>PTP-000134</t>
  </si>
  <si>
    <t>PTP-000135</t>
  </si>
  <si>
    <t>PTP-000138</t>
  </si>
  <si>
    <t>PTP-000136</t>
  </si>
  <si>
    <t>PTP-000137</t>
  </si>
  <si>
    <t>Broken</t>
  </si>
  <si>
    <t>PTP-000139</t>
  </si>
  <si>
    <t>PTP-000140</t>
  </si>
  <si>
    <t>PTP-000141</t>
  </si>
  <si>
    <t>PTP-000142</t>
  </si>
  <si>
    <t>PTP-000145</t>
  </si>
  <si>
    <t>PTP-000143</t>
  </si>
  <si>
    <t>PTP-000144</t>
  </si>
  <si>
    <t>PTP-000147</t>
  </si>
  <si>
    <t>PTP-000146</t>
  </si>
  <si>
    <t>PTP-000149</t>
  </si>
  <si>
    <t>PTP-000148</t>
  </si>
  <si>
    <t>PTP-000152</t>
  </si>
  <si>
    <t>PTP-000153</t>
  </si>
  <si>
    <t>PTP-000154</t>
  </si>
  <si>
    <t>PTP-000150</t>
  </si>
  <si>
    <t>PTP-000151</t>
  </si>
  <si>
    <t>C0109</t>
  </si>
  <si>
    <t>Frontier Builders</t>
  </si>
  <si>
    <t>PTP-000155</t>
  </si>
  <si>
    <t>PTP-000156</t>
  </si>
  <si>
    <t>PTP-000159</t>
  </si>
  <si>
    <t>PTP-000158</t>
  </si>
  <si>
    <t>PTP-000160</t>
  </si>
  <si>
    <t>PTP-000157</t>
  </si>
  <si>
    <t>PTP-000161</t>
  </si>
  <si>
    <t>PTP-000162</t>
  </si>
  <si>
    <t>PTP-000163</t>
  </si>
  <si>
    <t>PTP-000164</t>
  </si>
  <si>
    <t>PTP-000166</t>
  </si>
  <si>
    <t>PTP-000165</t>
  </si>
  <si>
    <t>PTP-000167</t>
  </si>
  <si>
    <t>PTP-000173</t>
  </si>
  <si>
    <t>PTP-000172</t>
  </si>
  <si>
    <t>PTP-000170</t>
  </si>
  <si>
    <t>PTP-000171</t>
  </si>
  <si>
    <t>PTP-000169</t>
  </si>
  <si>
    <t>PTP-000168</t>
  </si>
  <si>
    <t>PTP-000174</t>
  </si>
  <si>
    <t>PTP-000175</t>
  </si>
  <si>
    <t>PTP-000176</t>
  </si>
  <si>
    <t>PTP-000177</t>
  </si>
  <si>
    <t>PTP-000179</t>
  </si>
  <si>
    <t>PTP-000178</t>
  </si>
  <si>
    <t>PTP-000180</t>
  </si>
  <si>
    <t>PTP-000183</t>
  </si>
  <si>
    <t>PTP-000182</t>
  </si>
  <si>
    <t>PTP-000181</t>
  </si>
  <si>
    <t>PTP-000185</t>
  </si>
  <si>
    <t>PTP-000184</t>
  </si>
  <si>
    <t>PTP-000186</t>
  </si>
  <si>
    <t>PTP-000190</t>
  </si>
  <si>
    <t>PTP-000189</t>
  </si>
  <si>
    <t>PTP-000187</t>
  </si>
  <si>
    <t>PTP-000188</t>
  </si>
  <si>
    <t>PTP-000192</t>
  </si>
  <si>
    <t>PTP-000193</t>
  </si>
  <si>
    <t>PTP-000191</t>
  </si>
  <si>
    <t>PTP-000194</t>
  </si>
  <si>
    <t>PTP-000195</t>
  </si>
  <si>
    <t>PTP-000196</t>
  </si>
  <si>
    <t>PTP-000200</t>
  </si>
  <si>
    <t>PTP-000199</t>
  </si>
  <si>
    <t>PTP-000202</t>
  </si>
  <si>
    <t>PTP-000201</t>
  </si>
  <si>
    <t>PTP-000197</t>
  </si>
  <si>
    <t>PTP-000198</t>
  </si>
  <si>
    <t>PTP-000203</t>
  </si>
  <si>
    <t>PTP-000205</t>
  </si>
  <si>
    <t>PTP-000204</t>
  </si>
  <si>
    <t>PTP-000206</t>
  </si>
  <si>
    <t>PTP-000208</t>
  </si>
  <si>
    <t>PTP-000207</t>
  </si>
  <si>
    <t>PTP-000209</t>
  </si>
  <si>
    <t>PTP-000210</t>
  </si>
  <si>
    <t>PTP-000211</t>
  </si>
  <si>
    <t>PTP-000212</t>
  </si>
  <si>
    <t>PTP-000214</t>
  </si>
  <si>
    <t>PTP-000213</t>
  </si>
  <si>
    <t>PTP-000217</t>
  </si>
  <si>
    <t>PTP-000216</t>
  </si>
  <si>
    <t>PTP-000215</t>
  </si>
  <si>
    <t>PTP-000222</t>
  </si>
  <si>
    <t>PTP-000223</t>
  </si>
  <si>
    <t>PTP-000224</t>
  </si>
  <si>
    <t>PTP-000218</t>
  </si>
  <si>
    <t>PTP-000219</t>
  </si>
  <si>
    <t>PTP-000220</t>
  </si>
  <si>
    <t>PTP-000221</t>
  </si>
  <si>
    <t>PTP-000225</t>
  </si>
  <si>
    <t>PTP-000229</t>
  </si>
  <si>
    <t>PTP-000228</t>
  </si>
  <si>
    <t>PTP-000227</t>
  </si>
  <si>
    <t>PTP-000226</t>
  </si>
  <si>
    <t>PTP-000230</t>
  </si>
  <si>
    <t>PTP-000234</t>
  </si>
  <si>
    <t>PTP-000232</t>
  </si>
  <si>
    <t>PTP-000231</t>
  </si>
  <si>
    <t>PTP-000233</t>
  </si>
  <si>
    <t>PTP-000235</t>
  </si>
  <si>
    <t>PTP-000236</t>
  </si>
  <si>
    <t>PTP-000237</t>
  </si>
  <si>
    <t>PTP-000238</t>
  </si>
  <si>
    <t>PTP-000239</t>
  </si>
  <si>
    <t>PTP-000240</t>
  </si>
  <si>
    <t>PTP-000244</t>
  </si>
  <si>
    <t>PTP-000241</t>
  </si>
  <si>
    <t>PTP-000242</t>
  </si>
  <si>
    <t>PTP-000243</t>
  </si>
  <si>
    <t>PTP-000245</t>
  </si>
  <si>
    <t>PTP-000246</t>
  </si>
  <si>
    <t>PTP-000247</t>
  </si>
  <si>
    <t>PTP-000248</t>
  </si>
  <si>
    <t>PTP-000249</t>
  </si>
  <si>
    <t>PTP-000251</t>
  </si>
  <si>
    <t>PTP-000250</t>
  </si>
  <si>
    <t>PTP-000252</t>
  </si>
  <si>
    <t>PTP-000253</t>
  </si>
  <si>
    <t>PTP-000255</t>
  </si>
  <si>
    <t>PTP-000254</t>
  </si>
  <si>
    <t>PTP-000258</t>
  </si>
  <si>
    <t>PTP-000257</t>
  </si>
  <si>
    <t>PTP-000256</t>
  </si>
  <si>
    <t>PTP-000259</t>
  </si>
  <si>
    <t>PTP-000260</t>
  </si>
  <si>
    <t>PTP-000262</t>
  </si>
  <si>
    <t>PTP-000263</t>
  </si>
  <si>
    <t>PTP-000261</t>
  </si>
  <si>
    <t>PTP-000264</t>
  </si>
  <si>
    <t>PTP-000265</t>
  </si>
  <si>
    <t>PTP-000266</t>
  </si>
  <si>
    <t>PTP-000267</t>
  </si>
  <si>
    <t>PTP-000268</t>
  </si>
  <si>
    <t>PTP-000269</t>
  </si>
  <si>
    <t>PTP-000274</t>
  </si>
  <si>
    <t>PTP-000275</t>
  </si>
  <si>
    <t>PTP-000271</t>
  </si>
  <si>
    <t>PTP-000272</t>
  </si>
  <si>
    <t>PTP-000273</t>
  </si>
  <si>
    <t>PTP-000270</t>
  </si>
  <si>
    <t>PTP-000276</t>
  </si>
  <si>
    <t>PTP-000277</t>
  </si>
  <si>
    <t>PTP-000280</t>
  </si>
  <si>
    <t>PTP-000279</t>
  </si>
  <si>
    <t>PTP-000278</t>
  </si>
  <si>
    <t>PTP-000281</t>
  </si>
  <si>
    <t>PTP-000282</t>
  </si>
  <si>
    <t>PTP-000285</t>
  </si>
  <si>
    <t>PTP-000283</t>
  </si>
  <si>
    <t>PTP-000284</t>
  </si>
  <si>
    <t>PTP-000286</t>
  </si>
  <si>
    <t>PTP-000292</t>
  </si>
  <si>
    <t>PTP-000288</t>
  </si>
  <si>
    <t>PTP-000287</t>
  </si>
  <si>
    <t>PTP-000290</t>
  </si>
  <si>
    <t>PTP-000289</t>
  </si>
  <si>
    <t>PTP-000291</t>
  </si>
  <si>
    <t>PTP-000294</t>
  </si>
  <si>
    <t>PTP-000293</t>
  </si>
  <si>
    <t>PTP-000296</t>
  </si>
  <si>
    <t>PTP-000295</t>
  </si>
  <si>
    <t>PTP-000297</t>
  </si>
  <si>
    <t>PTP-000298</t>
  </si>
  <si>
    <t>PTP-000299</t>
  </si>
  <si>
    <t>PTP-000300</t>
  </si>
  <si>
    <t>PTP-000301</t>
  </si>
  <si>
    <t>PTP-000302</t>
  </si>
  <si>
    <t>PTP-000304</t>
  </si>
  <si>
    <t>PTP-000303</t>
  </si>
  <si>
    <t>PTP-000305</t>
  </si>
  <si>
    <t>PTP-000306</t>
  </si>
  <si>
    <t>PTP-000307</t>
  </si>
  <si>
    <t>PTP-000308</t>
  </si>
  <si>
    <t>PTP-000309</t>
  </si>
  <si>
    <t>PTP-000310</t>
  </si>
  <si>
    <t>PTP-000311</t>
  </si>
  <si>
    <t>PTP-000312</t>
  </si>
  <si>
    <t>PTP-000314</t>
  </si>
  <si>
    <t>PTP-000313</t>
  </si>
  <si>
    <t>C0024</t>
  </si>
  <si>
    <t>Keystone Construction</t>
  </si>
  <si>
    <t>PTP-000316</t>
  </si>
  <si>
    <t>PartiallyKept</t>
  </si>
  <si>
    <t>PTP-000315</t>
  </si>
  <si>
    <t>PTP-000318</t>
  </si>
  <si>
    <t>PTP-000317</t>
  </si>
  <si>
    <t>PTP-000319</t>
  </si>
  <si>
    <t>PTP-000320</t>
  </si>
  <si>
    <t>PTP-000321</t>
  </si>
  <si>
    <t>PTP-000322</t>
  </si>
  <si>
    <t>PTP-000324</t>
  </si>
  <si>
    <t>PTP-000325</t>
  </si>
  <si>
    <t>PTP-000323</t>
  </si>
  <si>
    <t>PTP-000326</t>
  </si>
  <si>
    <t>PTP-000327</t>
  </si>
  <si>
    <t>PTP-000330</t>
  </si>
  <si>
    <t>PTP-000328</t>
  </si>
  <si>
    <t>PTP-000329</t>
  </si>
  <si>
    <t>PTP-000331</t>
  </si>
  <si>
    <t>PTP-000332</t>
  </si>
  <si>
    <t>PTP-000334</t>
  </si>
  <si>
    <t>PTP-000333</t>
  </si>
  <si>
    <t>PTP-000335</t>
  </si>
  <si>
    <t>PTP-000336</t>
  </si>
  <si>
    <t>PTP-000341</t>
  </si>
  <si>
    <t>PTP-000337</t>
  </si>
  <si>
    <t>PTP-000338</t>
  </si>
  <si>
    <t>PTP-000339</t>
  </si>
  <si>
    <t>PTP-000340</t>
  </si>
  <si>
    <t>PTP-000343</t>
  </si>
  <si>
    <t>PTP-000342</t>
  </si>
  <si>
    <t>PTP-000344</t>
  </si>
  <si>
    <t>PTP-000345</t>
  </si>
  <si>
    <t>PTP-000346</t>
  </si>
  <si>
    <t>PTP-000351</t>
  </si>
  <si>
    <t>PTP-000349</t>
  </si>
  <si>
    <t>PTP-000350</t>
  </si>
  <si>
    <t>PTP-000347</t>
  </si>
  <si>
    <t>PTP-000348</t>
  </si>
  <si>
    <t>PTP-000352</t>
  </si>
  <si>
    <t>PTP-000353</t>
  </si>
  <si>
    <t>PTP-000354</t>
  </si>
  <si>
    <t>PTP-000356</t>
  </si>
  <si>
    <t>PTP-000355</t>
  </si>
  <si>
    <t>PTP-000357</t>
  </si>
  <si>
    <t>PTP-000358</t>
  </si>
  <si>
    <t>PTP-000359</t>
  </si>
  <si>
    <t>PTP-000360</t>
  </si>
  <si>
    <t>PTP-000361</t>
  </si>
  <si>
    <t>PTP-000367</t>
  </si>
  <si>
    <t>PTP-000366</t>
  </si>
  <si>
    <t>PTP-000365</t>
  </si>
  <si>
    <t>PTP-000364</t>
  </si>
  <si>
    <t>PTP-000362</t>
  </si>
  <si>
    <t>PTP-000363</t>
  </si>
  <si>
    <t>PTP-000368</t>
  </si>
  <si>
    <t>PTP-000369</t>
  </si>
  <si>
    <t>PTP-000371</t>
  </si>
  <si>
    <t>PTP-000370</t>
  </si>
  <si>
    <t>PTP-000372</t>
  </si>
  <si>
    <t>PTP-000374</t>
  </si>
  <si>
    <t>PTP-000373</t>
  </si>
  <si>
    <t>PTP-000375</t>
  </si>
  <si>
    <t>PTP-000376</t>
  </si>
  <si>
    <t>PTP-000382</t>
  </si>
  <si>
    <t>PTP-000381</t>
  </si>
  <si>
    <t>PTP-000377</t>
  </si>
  <si>
    <t>PTP-000378</t>
  </si>
  <si>
    <t>PTP-000379</t>
  </si>
  <si>
    <t>PTP-000380</t>
  </si>
  <si>
    <t>PTP-000385</t>
  </si>
  <si>
    <t>PTP-000383</t>
  </si>
  <si>
    <t>PTP-000384</t>
  </si>
  <si>
    <t>PTP-000386</t>
  </si>
  <si>
    <t>PTP-000387</t>
  </si>
  <si>
    <t>PTP-000391</t>
  </si>
  <si>
    <t>PTP-000390</t>
  </si>
  <si>
    <t>PTP-000388</t>
  </si>
  <si>
    <t>C0046</t>
  </si>
  <si>
    <t>Keystone Builders</t>
  </si>
  <si>
    <t>PTP-000389</t>
  </si>
  <si>
    <t>PTP-000392</t>
  </si>
  <si>
    <t>PTP-000393</t>
  </si>
  <si>
    <t>PTP-000394</t>
  </si>
  <si>
    <t>PTP-000395</t>
  </si>
  <si>
    <t>PTP-000396</t>
  </si>
  <si>
    <t>PTP-000397</t>
  </si>
  <si>
    <t>PTP-000401</t>
  </si>
  <si>
    <t>PTP-000400</t>
  </si>
  <si>
    <t>PTP-000399</t>
  </si>
  <si>
    <t>PTP-000398</t>
  </si>
  <si>
    <t>PTP-000403</t>
  </si>
  <si>
    <t>PTP-000402</t>
  </si>
  <si>
    <t>PTP-000404</t>
  </si>
  <si>
    <t>PTP-000407</t>
  </si>
  <si>
    <t>PTP-000406</t>
  </si>
  <si>
    <t>PTP-000405</t>
  </si>
  <si>
    <t>PTP-000409</t>
  </si>
  <si>
    <t>PTP-000408</t>
  </si>
  <si>
    <t>PTP-000410</t>
  </si>
  <si>
    <t>PTP-000411</t>
  </si>
  <si>
    <t>PTP-000412</t>
  </si>
  <si>
    <t>PTP-000414</t>
  </si>
  <si>
    <t>PTP-000413</t>
  </si>
  <si>
    <t>PTP-000415</t>
  </si>
  <si>
    <t>PTP-000416</t>
  </si>
  <si>
    <t>PTP-000417</t>
  </si>
  <si>
    <t>PTP-000418</t>
  </si>
  <si>
    <t>PTP-000419</t>
  </si>
  <si>
    <t>PTP-000420</t>
  </si>
  <si>
    <t>PTP-000422</t>
  </si>
  <si>
    <t>PTP-000421</t>
  </si>
  <si>
    <t>PTP-000430</t>
  </si>
  <si>
    <t>PTP-000425</t>
  </si>
  <si>
    <t>PTP-000426</t>
  </si>
  <si>
    <t>PTP-000423</t>
  </si>
  <si>
    <t>PTP-000424</t>
  </si>
  <si>
    <t>PTP-000429</t>
  </si>
  <si>
    <t>PTP-000428</t>
  </si>
  <si>
    <t>PTP-000427</t>
  </si>
  <si>
    <t>PTP-000434</t>
  </si>
  <si>
    <t>PTP-000433</t>
  </si>
  <si>
    <t>PTP-000432</t>
  </si>
  <si>
    <t>PTP-000435</t>
  </si>
  <si>
    <t>PTP-000431</t>
  </si>
  <si>
    <t>PTP-000436</t>
  </si>
  <si>
    <t>PTP-000437</t>
  </si>
  <si>
    <t>PTP-000438</t>
  </si>
  <si>
    <t>PTP-000439</t>
  </si>
  <si>
    <t>PTP-000440</t>
  </si>
  <si>
    <t>PTP-000441</t>
  </si>
  <si>
    <t>PTP-000442</t>
  </si>
  <si>
    <t>PTP-000443</t>
  </si>
  <si>
    <t>PTP-000445</t>
  </si>
  <si>
    <t>PTP-000444</t>
  </si>
  <si>
    <t>PTP-000446</t>
  </si>
  <si>
    <t>PTP-000447</t>
  </si>
  <si>
    <t>PTP-000453</t>
  </si>
  <si>
    <t>PTP-000450</t>
  </si>
  <si>
    <t>PTP-000451</t>
  </si>
  <si>
    <t>PTP-000452</t>
  </si>
  <si>
    <t>PTP-000449</t>
  </si>
  <si>
    <t>PTP-000448</t>
  </si>
  <si>
    <t>PTP-000454</t>
  </si>
  <si>
    <t>PTP-000455</t>
  </si>
  <si>
    <t>PTP-000456</t>
  </si>
  <si>
    <t>PTP-000457</t>
  </si>
  <si>
    <t>PTP-000460</t>
  </si>
  <si>
    <t>PTP-000458</t>
  </si>
  <si>
    <t>PTP-000459</t>
  </si>
  <si>
    <t>PTP-000462</t>
  </si>
  <si>
    <t>PTP-000461</t>
  </si>
  <si>
    <t>PTP-000465</t>
  </si>
  <si>
    <t>PTP-000463</t>
  </si>
  <si>
    <t>PTP-000464</t>
  </si>
  <si>
    <t>PTP-000466</t>
  </si>
  <si>
    <t>PTP-000467</t>
  </si>
  <si>
    <t>PTP-000468</t>
  </si>
  <si>
    <t>PTP-000471</t>
  </si>
  <si>
    <t>PTP-000470</t>
  </si>
  <si>
    <t>PTP-000469</t>
  </si>
  <si>
    <t>PTP-000474</t>
  </si>
  <si>
    <t>PTP-000475</t>
  </si>
  <si>
    <t>PTP-000472</t>
  </si>
  <si>
    <t>PTP-000473</t>
  </si>
  <si>
    <t>PTP-000479</t>
  </si>
  <si>
    <t>PTP-000477</t>
  </si>
  <si>
    <t>PTP-000478</t>
  </si>
  <si>
    <t>PTP-000476</t>
  </si>
  <si>
    <t>PTP-000480</t>
  </si>
  <si>
    <t>PTP-000481</t>
  </si>
  <si>
    <t>PTP-000482</t>
  </si>
  <si>
    <t>PTP-000490</t>
  </si>
  <si>
    <t>PTP-000491</t>
  </si>
  <si>
    <t>PTP-000489</t>
  </si>
  <si>
    <t>PTP-000483</t>
  </si>
  <si>
    <t>PTP-000485</t>
  </si>
  <si>
    <t>PTP-000484</t>
  </si>
  <si>
    <t>PTP-000486</t>
  </si>
  <si>
    <t>PTP-000488</t>
  </si>
  <si>
    <t>PTP-000487</t>
  </si>
  <si>
    <t>PTP-000493</t>
  </si>
  <si>
    <t>PTP-000492</t>
  </si>
  <si>
    <t>PTP-000494</t>
  </si>
  <si>
    <t>PTP-000495</t>
  </si>
  <si>
    <t>PTP-000498</t>
  </si>
  <si>
    <t>PTP-000496</t>
  </si>
  <si>
    <t>PTP-000497</t>
  </si>
  <si>
    <t>PTP-000499</t>
  </si>
  <si>
    <t>PTP-000500</t>
  </si>
  <si>
    <t>PTP-000501</t>
  </si>
  <si>
    <t>PTP-000502</t>
  </si>
  <si>
    <t>PTP-000503</t>
  </si>
  <si>
    <t>PTP-000506</t>
  </si>
  <si>
    <t>PTP-000504</t>
  </si>
  <si>
    <t>PTP-000505</t>
  </si>
  <si>
    <t>PTP-000507</t>
  </si>
  <si>
    <t>PTP-000508</t>
  </si>
  <si>
    <t>PTP-000509</t>
  </si>
  <si>
    <t>PTP-000510</t>
  </si>
  <si>
    <t>PTP-000511</t>
  </si>
  <si>
    <t>PTP-000517</t>
  </si>
  <si>
    <t>PTP-000516</t>
  </si>
  <si>
    <t>PTP-000515</t>
  </si>
  <si>
    <t>PTP-000513</t>
  </si>
  <si>
    <t>PTP-000512</t>
  </si>
  <si>
    <t>PTP-000514</t>
  </si>
  <si>
    <t>PTP-000518</t>
  </si>
  <si>
    <t>PTP-000519</t>
  </si>
  <si>
    <t>PTP-000520</t>
  </si>
  <si>
    <t>PTP-000524</t>
  </si>
  <si>
    <t>PTP-000525</t>
  </si>
  <si>
    <t>PTP-000523</t>
  </si>
  <si>
    <t>PTP-000521</t>
  </si>
  <si>
    <t>PTP-000522</t>
  </si>
  <si>
    <t>PTP-000526</t>
  </si>
  <si>
    <t>PTP-000527</t>
  </si>
  <si>
    <t>PTP-000528</t>
  </si>
  <si>
    <t>PTP-000530</t>
  </si>
  <si>
    <t>PTP-000529</t>
  </si>
  <si>
    <t>PTP-000531</t>
  </si>
  <si>
    <t>PTP-000534</t>
  </si>
  <si>
    <t>PTP-000535</t>
  </si>
  <si>
    <t>PTP-000533</t>
  </si>
  <si>
    <t>PTP-000532</t>
  </si>
  <si>
    <t>PTP-000537</t>
  </si>
  <si>
    <t>PTP-000536</t>
  </si>
  <si>
    <t>PTP-000538</t>
  </si>
  <si>
    <t>PTP-000540</t>
  </si>
  <si>
    <t>PTP-000541</t>
  </si>
  <si>
    <t>PTP-000542</t>
  </si>
  <si>
    <t>PTP-000539</t>
  </si>
  <si>
    <t>PTP-000547</t>
  </si>
  <si>
    <t>PTP-000546</t>
  </si>
  <si>
    <t>PTP-000545</t>
  </si>
  <si>
    <t>PTP-000544</t>
  </si>
  <si>
    <t>PTP-000543</t>
  </si>
  <si>
    <t>PTP-000548</t>
  </si>
  <si>
    <t>PTP-000549</t>
  </si>
  <si>
    <t>PTP-000550</t>
  </si>
  <si>
    <t>PTP-000551</t>
  </si>
  <si>
    <t>PTP-000552</t>
  </si>
  <si>
    <t>PTP-000555</t>
  </si>
  <si>
    <t>PTP-000554</t>
  </si>
  <si>
    <t>PTP-000553</t>
  </si>
  <si>
    <t>PTP-000556</t>
  </si>
  <si>
    <t>PTP-000562</t>
  </si>
  <si>
    <t>PTP-000561</t>
  </si>
  <si>
    <t>PTP-000560</t>
  </si>
  <si>
    <t>PTP-000559</t>
  </si>
  <si>
    <t>PTP-000558</t>
  </si>
  <si>
    <t>PTP-000557</t>
  </si>
  <si>
    <t>PTP-000563</t>
  </si>
  <si>
    <t>PTP-000565</t>
  </si>
  <si>
    <t>PTP-000564</t>
  </si>
  <si>
    <t>PTP-000566</t>
  </si>
  <si>
    <t>PTP-000567</t>
  </si>
  <si>
    <t>PTP-000569</t>
  </si>
  <si>
    <t>PTP-000570</t>
  </si>
  <si>
    <t>PTP-000568</t>
  </si>
  <si>
    <t>PTP-000576</t>
  </si>
  <si>
    <t>PTP-000572</t>
  </si>
  <si>
    <t>PTP-000573</t>
  </si>
  <si>
    <t>PTP-000574</t>
  </si>
  <si>
    <t>PTP-000571</t>
  </si>
  <si>
    <t>PTP-000575</t>
  </si>
  <si>
    <t>PTP-000578</t>
  </si>
  <si>
    <t>PTP-000577</t>
  </si>
  <si>
    <t>PTP-000579</t>
  </si>
  <si>
    <t>PTP-000580</t>
  </si>
  <si>
    <t>PTP-000583</t>
  </si>
  <si>
    <t>PTP-000582</t>
  </si>
  <si>
    <t>PTP-000581</t>
  </si>
  <si>
    <t>PTP-000591</t>
  </si>
  <si>
    <t>PTP-000589</t>
  </si>
  <si>
    <t>PTP-000590</t>
  </si>
  <si>
    <t>PTP-000587</t>
  </si>
  <si>
    <t>PTP-000588</t>
  </si>
  <si>
    <t>PTP-000586</t>
  </si>
  <si>
    <t>PTP-000585</t>
  </si>
  <si>
    <t>PTP-000584</t>
  </si>
  <si>
    <t>PTP-000594</t>
  </si>
  <si>
    <t>PTP-000592</t>
  </si>
  <si>
    <t>PTP-000593</t>
  </si>
  <si>
    <t>PTP-000595</t>
  </si>
  <si>
    <t>PTP-000598</t>
  </si>
  <si>
    <t>PTP-000597</t>
  </si>
  <si>
    <t>PTP-000596</t>
  </si>
  <si>
    <t>PTP-000601</t>
  </si>
  <si>
    <t>PTP-000599</t>
  </si>
  <si>
    <t>PTP-000600</t>
  </si>
  <si>
    <t>PTP-000602</t>
  </si>
  <si>
    <t>PTP-000604</t>
  </si>
  <si>
    <t>PTP-000603</t>
  </si>
  <si>
    <t>PTP-000605</t>
  </si>
  <si>
    <t>PTP-000606</t>
  </si>
  <si>
    <t>PTP-000607</t>
  </si>
  <si>
    <t>PTP-000608</t>
  </si>
  <si>
    <t>PTP-000614</t>
  </si>
  <si>
    <t>PTP-000612</t>
  </si>
  <si>
    <t>PTP-000613</t>
  </si>
  <si>
    <t>PTP-000609</t>
  </si>
  <si>
    <t>PTP-000610</t>
  </si>
  <si>
    <t>PTP-000611</t>
  </si>
  <si>
    <t>PTP-000615</t>
  </si>
  <si>
    <t>PTP-000616</t>
  </si>
  <si>
    <t>PTP-000617</t>
  </si>
  <si>
    <t>PTP-000619</t>
  </si>
  <si>
    <t>PTP-000618</t>
  </si>
  <si>
    <t>PTP-000623</t>
  </si>
  <si>
    <t>PTP-000622</t>
  </si>
  <si>
    <t>PTP-000621</t>
  </si>
  <si>
    <t>PTP-000620</t>
  </si>
  <si>
    <t>PTP-000624</t>
  </si>
  <si>
    <t>PTP-000625</t>
  </si>
  <si>
    <t>PTP-000626</t>
  </si>
  <si>
    <t>PTP-000627</t>
  </si>
  <si>
    <t>PTP-000628</t>
  </si>
  <si>
    <t>PTP-000631</t>
  </si>
  <si>
    <t>PTP-000630</t>
  </si>
  <si>
    <t>PTP-000629</t>
  </si>
  <si>
    <t>PTP-000632</t>
  </si>
  <si>
    <t>PTP-000636</t>
  </si>
  <si>
    <t>PTP-000635</t>
  </si>
  <si>
    <t>PTP-000633</t>
  </si>
  <si>
    <t>PTP-000634</t>
  </si>
  <si>
    <t>PTP-000639</t>
  </si>
  <si>
    <t>PTP-000638</t>
  </si>
  <si>
    <t>PTP-000637</t>
  </si>
  <si>
    <t>PTP-000640</t>
  </si>
  <si>
    <t>PTP-000641</t>
  </si>
  <si>
    <t>PTP-000642</t>
  </si>
  <si>
    <t>PTP-000643</t>
  </si>
  <si>
    <t>PTP-000644</t>
  </si>
  <si>
    <t>PTP-000645</t>
  </si>
  <si>
    <t>PTP-000648</t>
  </si>
  <si>
    <t>PTP-000647</t>
  </si>
  <si>
    <t>PTP-000646</t>
  </si>
  <si>
    <t>PTP-000650</t>
  </si>
  <si>
    <t>PTP-000649</t>
  </si>
  <si>
    <t>PTP-000652</t>
  </si>
  <si>
    <t>PTP-000653</t>
  </si>
  <si>
    <t>PTP-000651</t>
  </si>
  <si>
    <t>PTP-000654</t>
  </si>
  <si>
    <t>PTP-000656</t>
  </si>
  <si>
    <t>PTP-000655</t>
  </si>
  <si>
    <t>PTP-000661</t>
  </si>
  <si>
    <t>PTP-000657</t>
  </si>
  <si>
    <t>PTP-000660</t>
  </si>
  <si>
    <t>PTP-000659</t>
  </si>
  <si>
    <t>PTP-000658</t>
  </si>
  <si>
    <t>PTP-000663</t>
  </si>
  <si>
    <t>PTP-000664</t>
  </si>
  <si>
    <t>PTP-000665</t>
  </si>
  <si>
    <t>PTP-000666</t>
  </si>
  <si>
    <t>PTP-000662</t>
  </si>
  <si>
    <t>C0071</t>
  </si>
  <si>
    <t>Redline Industrial Supply</t>
  </si>
  <si>
    <t>PTP-000667</t>
  </si>
  <si>
    <t>PTP-000670</t>
  </si>
  <si>
    <t>PTP-000669</t>
  </si>
  <si>
    <t>PTP-000668</t>
  </si>
  <si>
    <t>PTP-000675</t>
  </si>
  <si>
    <t>PTP-000676</t>
  </si>
  <si>
    <t>PTP-000674</t>
  </si>
  <si>
    <t>PTP-000673</t>
  </si>
  <si>
    <t>PTP-000672</t>
  </si>
  <si>
    <t>PTP-000671</t>
  </si>
  <si>
    <t>PTP-000679</t>
  </si>
  <si>
    <t>PTP-000677</t>
  </si>
  <si>
    <t>PTP-000678</t>
  </si>
  <si>
    <t>PTP-000680</t>
  </si>
  <si>
    <t>PTP-000681</t>
  </si>
  <si>
    <t>PTP-000685</t>
  </si>
  <si>
    <t>PTP-000683</t>
  </si>
  <si>
    <t>PTP-000682</t>
  </si>
  <si>
    <t>PTP-000684</t>
  </si>
  <si>
    <t>PTP-000686</t>
  </si>
  <si>
    <t>PTP-000687</t>
  </si>
  <si>
    <t>PTP-000691</t>
  </si>
  <si>
    <t>PTP-000690</t>
  </si>
  <si>
    <t>PTP-000689</t>
  </si>
  <si>
    <t>PTP-000688</t>
  </si>
  <si>
    <t>PTP-000692</t>
  </si>
  <si>
    <t>PTP-000697</t>
  </si>
  <si>
    <t>PTP-000693</t>
  </si>
  <si>
    <t>PTP-000694</t>
  </si>
  <si>
    <t>PTP-000695</t>
  </si>
  <si>
    <t>PTP-000696</t>
  </si>
  <si>
    <t>PTP-000701</t>
  </si>
  <si>
    <t>PTP-000698</t>
  </si>
  <si>
    <t>PTP-000699</t>
  </si>
  <si>
    <t>PTP-000700</t>
  </si>
  <si>
    <t>PTP-000703</t>
  </si>
  <si>
    <t>PTP-000702</t>
  </si>
  <si>
    <t>PTP-000706</t>
  </si>
  <si>
    <t>PTP-000705</t>
  </si>
  <si>
    <t>PTP-000707</t>
  </si>
  <si>
    <t>PTP-000704</t>
  </si>
  <si>
    <t>PTP-000710</t>
  </si>
  <si>
    <t>PTP-000711</t>
  </si>
  <si>
    <t>PTP-000709</t>
  </si>
  <si>
    <t>PTP-000708</t>
  </si>
  <si>
    <t>PTP-000715</t>
  </si>
  <si>
    <t>PTP-000714</t>
  </si>
  <si>
    <t>PTP-000712</t>
  </si>
  <si>
    <t>PTP-000713</t>
  </si>
  <si>
    <t>PTP-000717</t>
  </si>
  <si>
    <t>PTP-000716</t>
  </si>
  <si>
    <t>PTP-000718</t>
  </si>
  <si>
    <t>PTP-000720</t>
  </si>
  <si>
    <t>PTP-000719</t>
  </si>
  <si>
    <t>PTP-000721</t>
  </si>
  <si>
    <t>PTP-000722</t>
  </si>
  <si>
    <t>PTP-000723</t>
  </si>
  <si>
    <t>PTP-000724</t>
  </si>
  <si>
    <t>PTP-000726</t>
  </si>
  <si>
    <t>PTP-000725</t>
  </si>
  <si>
    <t>PTP-000727</t>
  </si>
  <si>
    <t>PTP-000730</t>
  </si>
  <si>
    <t>PTP-000731</t>
  </si>
  <si>
    <t>PTP-000728</t>
  </si>
  <si>
    <t>PTP-000729</t>
  </si>
  <si>
    <t>PTP-000738</t>
  </si>
  <si>
    <t>PTP-000737</t>
  </si>
  <si>
    <t>PTP-000736</t>
  </si>
  <si>
    <t>PTP-000734</t>
  </si>
  <si>
    <t>PTP-000735</t>
  </si>
  <si>
    <t>PTP-000733</t>
  </si>
  <si>
    <t>PTP-000732</t>
  </si>
  <si>
    <t>PTP-000739</t>
  </si>
  <si>
    <t>PTP-000740</t>
  </si>
  <si>
    <t>PTP-000741</t>
  </si>
  <si>
    <t>PTP-000747</t>
  </si>
  <si>
    <t>PTP-000745</t>
  </si>
  <si>
    <t>PTP-000746</t>
  </si>
  <si>
    <t>PTP-000744</t>
  </si>
  <si>
    <t>PTP-000742</t>
  </si>
  <si>
    <t>PTP-000743</t>
  </si>
  <si>
    <t>PTP-000748</t>
  </si>
  <si>
    <t>PTP-000750</t>
  </si>
  <si>
    <t>PTP-000749</t>
  </si>
  <si>
    <t>PTP-000751</t>
  </si>
  <si>
    <t>PTP-000752</t>
  </si>
  <si>
    <t>PTP-000759</t>
  </si>
  <si>
    <t>PTP-000758</t>
  </si>
  <si>
    <t>PTP-000757</t>
  </si>
  <si>
    <t>PTP-000756</t>
  </si>
  <si>
    <t>PTP-000753</t>
  </si>
  <si>
    <t>PTP-000755</t>
  </si>
  <si>
    <t>PTP-000754</t>
  </si>
  <si>
    <t>PTP-000760</t>
  </si>
  <si>
    <t>PTP-000761</t>
  </si>
  <si>
    <t>PTP-000762</t>
  </si>
  <si>
    <t>PTP-000764</t>
  </si>
  <si>
    <t>PTP-000763</t>
  </si>
  <si>
    <t>PTP-000765</t>
  </si>
  <si>
    <t>PTP-000770</t>
  </si>
  <si>
    <t>PTP-000769</t>
  </si>
  <si>
    <t>PTP-000772</t>
  </si>
  <si>
    <t>PTP-000771</t>
  </si>
  <si>
    <t>PTP-000768</t>
  </si>
  <si>
    <t>PTP-000767</t>
  </si>
  <si>
    <t>PTP-000766</t>
  </si>
  <si>
    <t>PTP-000773</t>
  </si>
  <si>
    <t>PTP-000774</t>
  </si>
  <si>
    <t>PTP-000776</t>
  </si>
  <si>
    <t>PTP-000775</t>
  </si>
  <si>
    <t>PTP-000778</t>
  </si>
  <si>
    <t>PTP-000777</t>
  </si>
  <si>
    <t>PTP-000779</t>
  </si>
  <si>
    <t>PTP-000780</t>
  </si>
  <si>
    <t>PTP-000783</t>
  </si>
  <si>
    <t>PTP-000782</t>
  </si>
  <si>
    <t>PTP-000781</t>
  </si>
  <si>
    <t>PTP-000784</t>
  </si>
  <si>
    <t>PTP-000785</t>
  </si>
  <si>
    <t>PTP-000786</t>
  </si>
  <si>
    <t>PTP-000787</t>
  </si>
  <si>
    <t>PTP-000790</t>
  </si>
  <si>
    <t>PTP-000791</t>
  </si>
  <si>
    <t>PTP-000789</t>
  </si>
  <si>
    <t>PTP-000788</t>
  </si>
  <si>
    <t>PTP-000792</t>
  </si>
  <si>
    <t>PTP-000793</t>
  </si>
  <si>
    <t>PTP-000794</t>
  </si>
  <si>
    <t>PTP-000795</t>
  </si>
  <si>
    <t>PTP-000798</t>
  </si>
  <si>
    <t>PTP-000797</t>
  </si>
  <si>
    <t>PTP-000796</t>
  </si>
  <si>
    <t>PTP-000800</t>
  </si>
  <si>
    <t>PTP-000801</t>
  </si>
  <si>
    <t>C0127</t>
  </si>
  <si>
    <t>Bluewater Parts &amp; Service</t>
  </si>
  <si>
    <t>PTP-000799</t>
  </si>
  <si>
    <t>PTP-000802</t>
  </si>
  <si>
    <t>PTP-000803</t>
  </si>
  <si>
    <t>PTP-000804</t>
  </si>
  <si>
    <t>PTP-000805</t>
  </si>
  <si>
    <t>PTP-000807</t>
  </si>
  <si>
    <t>PTP-000806</t>
  </si>
  <si>
    <t>PTP-000809</t>
  </si>
  <si>
    <t>PTP-000808</t>
  </si>
  <si>
    <t>PTP-000812</t>
  </si>
  <si>
    <t>PTP-000813</t>
  </si>
  <si>
    <t>PTP-000814</t>
  </si>
  <si>
    <t>PTP-000810</t>
  </si>
  <si>
    <t>PTP-000811</t>
  </si>
  <si>
    <t>PTP-000816</t>
  </si>
  <si>
    <t>PTP-000815</t>
  </si>
  <si>
    <t>PTP-000817</t>
  </si>
  <si>
    <t>PTP-000818</t>
  </si>
  <si>
    <t>PTP-000820</t>
  </si>
  <si>
    <t>PTP-000819</t>
  </si>
  <si>
    <t>PTP-000823</t>
  </si>
  <si>
    <t>PTP-000824</t>
  </si>
  <si>
    <t>PTP-000822</t>
  </si>
  <si>
    <t>PTP-000821</t>
  </si>
  <si>
    <t>PTP-000825</t>
  </si>
  <si>
    <t>PTP-000830</t>
  </si>
  <si>
    <t>PTP-000826</t>
  </si>
  <si>
    <t>PTP-000829</t>
  </si>
  <si>
    <t>PTP-000828</t>
  </si>
  <si>
    <t>PTP-000827</t>
  </si>
  <si>
    <t>PTP-000834</t>
  </si>
  <si>
    <t>PTP-000832</t>
  </si>
  <si>
    <t>PTP-000833</t>
  </si>
  <si>
    <t>PTP-000831</t>
  </si>
  <si>
    <t>PTP-000835</t>
  </si>
  <si>
    <t>PTP-000836</t>
  </si>
  <si>
    <t>PTP-000837</t>
  </si>
  <si>
    <t>PTP-000838</t>
  </si>
  <si>
    <t>PTP-000839</t>
  </si>
  <si>
    <t>PTP-000840</t>
  </si>
  <si>
    <t>PTP-000841</t>
  </si>
  <si>
    <t>PTP-000843</t>
  </si>
  <si>
    <t>PTP-000844</t>
  </si>
  <si>
    <t>PTP-000842</t>
  </si>
  <si>
    <t>PTP-000845</t>
  </si>
  <si>
    <t>PTP-000846</t>
  </si>
  <si>
    <t>PTP-000847</t>
  </si>
  <si>
    <t>PTP-000848</t>
  </si>
  <si>
    <t>PTP-000849</t>
  </si>
  <si>
    <t>PTP-000854</t>
  </si>
  <si>
    <t>PTP-000852</t>
  </si>
  <si>
    <t>PTP-000853</t>
  </si>
  <si>
    <t>PTP-000855</t>
  </si>
  <si>
    <t>PTP-000851</t>
  </si>
  <si>
    <t>PTP-000850</t>
  </si>
  <si>
    <t>PTP-000856</t>
  </si>
  <si>
    <t>PTP-000857</t>
  </si>
  <si>
    <t>PTP-000858</t>
  </si>
  <si>
    <t>PTP-000861</t>
  </si>
  <si>
    <t>PTP-000859</t>
  </si>
  <si>
    <t>PTP-000860</t>
  </si>
  <si>
    <t>PTP-000863</t>
  </si>
  <si>
    <t>PTP-000862</t>
  </si>
  <si>
    <t>PTP-000864</t>
  </si>
  <si>
    <t>PTP-000865</t>
  </si>
  <si>
    <t>PTP-000866</t>
  </si>
  <si>
    <t>PTP-000872</t>
  </si>
  <si>
    <t>PTP-000871</t>
  </si>
  <si>
    <t>PTP-000867</t>
  </si>
  <si>
    <t>PTP-000868</t>
  </si>
  <si>
    <t>PTP-000870</t>
  </si>
  <si>
    <t>PTP-000869</t>
  </si>
  <si>
    <t>PTP-000875</t>
  </si>
  <si>
    <t>PTP-000873</t>
  </si>
  <si>
    <t>PTP-000874</t>
  </si>
  <si>
    <t>PTP-000878</t>
  </si>
  <si>
    <t>PTP-000879</t>
  </si>
  <si>
    <t>PTP-000877</t>
  </si>
  <si>
    <t>PTP-000876</t>
  </si>
  <si>
    <t>PTP-000881</t>
  </si>
  <si>
    <t>PTP-000882</t>
  </si>
  <si>
    <t>PTP-000883</t>
  </si>
  <si>
    <t>PTP-000884</t>
  </si>
  <si>
    <t>PTP-000885</t>
  </si>
  <si>
    <t>PTP-000880</t>
  </si>
  <si>
    <t>PTP-000886</t>
  </si>
  <si>
    <t>PTP-000889</t>
  </si>
  <si>
    <t>PTP-000888</t>
  </si>
  <si>
    <t>PTP-000887</t>
  </si>
  <si>
    <t>PTP-000890</t>
  </si>
  <si>
    <t>PTP-000891</t>
  </si>
  <si>
    <t>PTP-000892</t>
  </si>
  <si>
    <t>PTP-000896</t>
  </si>
  <si>
    <t>PTP-000895</t>
  </si>
  <si>
    <t>PTP-000894</t>
  </si>
  <si>
    <t>PTP-000893</t>
  </si>
  <si>
    <t>PTP-000897</t>
  </si>
  <si>
    <t>PTP-000898</t>
  </si>
  <si>
    <t>PTP-000900</t>
  </si>
  <si>
    <t>PTP-000899</t>
  </si>
  <si>
    <t>PTP-000902</t>
  </si>
  <si>
    <t>PTP-000901</t>
  </si>
  <si>
    <t>PTP-000903</t>
  </si>
  <si>
    <t>PTP-000904</t>
  </si>
  <si>
    <t>PTP-000906</t>
  </si>
  <si>
    <t>PTP-000907</t>
  </si>
  <si>
    <t>PTP-000905</t>
  </si>
  <si>
    <t>PTP-000908</t>
  </si>
  <si>
    <t>PTP-000909</t>
  </si>
  <si>
    <t>PTP-000910</t>
  </si>
  <si>
    <t>PTP-000911</t>
  </si>
  <si>
    <t>PTP-000914</t>
  </si>
  <si>
    <t>PTP-000913</t>
  </si>
  <si>
    <t>PTP-000912</t>
  </si>
  <si>
    <t>PTP-000915</t>
  </si>
  <si>
    <t>PTP-000918</t>
  </si>
  <si>
    <t>PTP-000917</t>
  </si>
  <si>
    <t>PTP-000916</t>
  </si>
  <si>
    <t>PTP-000921</t>
  </si>
  <si>
    <t>PTP-000919</t>
  </si>
  <si>
    <t>PTP-000920</t>
  </si>
  <si>
    <t>PTP-000923</t>
  </si>
  <si>
    <t>PTP-000922</t>
  </si>
  <si>
    <t>PTP-000924</t>
  </si>
  <si>
    <t>PTP-000925</t>
  </si>
  <si>
    <t>PTP-000926</t>
  </si>
  <si>
    <t>PTP-000927</t>
  </si>
  <si>
    <t>PTP-000934</t>
  </si>
  <si>
    <t>PTP-000933</t>
  </si>
  <si>
    <t>PTP-000932</t>
  </si>
  <si>
    <t>PTP-000931</t>
  </si>
  <si>
    <t>PTP-000928</t>
  </si>
  <si>
    <t>C0039</t>
  </si>
  <si>
    <t>Stonegate Contracting</t>
  </si>
  <si>
    <t>PTP-000929</t>
  </si>
  <si>
    <t>PTP-000930</t>
  </si>
  <si>
    <t>PTP-000935</t>
  </si>
  <si>
    <t>PTP-000936</t>
  </si>
  <si>
    <t>PTP-000937</t>
  </si>
  <si>
    <t>PTP-000939</t>
  </si>
  <si>
    <t>PTP-000938</t>
  </si>
  <si>
    <t>PTP-000941</t>
  </si>
  <si>
    <t>PTP-000940</t>
  </si>
  <si>
    <t>PTP-000942</t>
  </si>
  <si>
    <t>PTP-000943</t>
  </si>
  <si>
    <t>PTP-000945</t>
  </si>
  <si>
    <t>PTP-000946</t>
  </si>
  <si>
    <t>PTP-000944</t>
  </si>
  <si>
    <t>PTP-000948</t>
  </si>
  <si>
    <t>PTP-000947</t>
  </si>
  <si>
    <t>PTP-000950</t>
  </si>
  <si>
    <t>PTP-000951</t>
  </si>
  <si>
    <t>PTP-000949</t>
  </si>
  <si>
    <t>PTP-000952</t>
  </si>
  <si>
    <t>PTP-000955</t>
  </si>
  <si>
    <t>PTP-000953</t>
  </si>
  <si>
    <t>PTP-000954</t>
  </si>
  <si>
    <t>PTP-000959</t>
  </si>
  <si>
    <t>PTP-000958</t>
  </si>
  <si>
    <t>PTP-000957</t>
  </si>
  <si>
    <t>PTP-000956</t>
  </si>
  <si>
    <t>PTP-000960</t>
  </si>
  <si>
    <t>PTP-000962</t>
  </si>
  <si>
    <t>PTP-000961</t>
  </si>
  <si>
    <t>PTP-000964</t>
  </si>
  <si>
    <t>PTP-000963</t>
  </si>
  <si>
    <t>PTP-000973</t>
  </si>
  <si>
    <t>PTP-000974</t>
  </si>
  <si>
    <t>PTP-000971</t>
  </si>
  <si>
    <t>PTP-000972</t>
  </si>
  <si>
    <t>PTP-000968</t>
  </si>
  <si>
    <t>PTP-000969</t>
  </si>
  <si>
    <t>PTP-000970</t>
  </si>
  <si>
    <t>PTP-000967</t>
  </si>
  <si>
    <t>PTP-000965</t>
  </si>
  <si>
    <t>PTP-000966</t>
  </si>
  <si>
    <t>PTP-000975</t>
  </si>
  <si>
    <t>PTP-000976</t>
  </si>
  <si>
    <t>PTP-000977</t>
  </si>
  <si>
    <t>PTP-000981</t>
  </si>
  <si>
    <t>PTP-000980</t>
  </si>
  <si>
    <t>PTP-000979</t>
  </si>
  <si>
    <t>PTP-000978</t>
  </si>
  <si>
    <t>PTP-000982</t>
  </si>
  <si>
    <t>PTP-000983</t>
  </si>
  <si>
    <t>PTP-000985</t>
  </si>
  <si>
    <t>PTP-000984</t>
  </si>
  <si>
    <t>PTP-000986</t>
  </si>
  <si>
    <t>PTP-000987</t>
  </si>
  <si>
    <t>PTP-000989</t>
  </si>
  <si>
    <t>PTP-000988</t>
  </si>
  <si>
    <t>PTP-000990</t>
  </si>
  <si>
    <t>PTP-000995</t>
  </si>
  <si>
    <t>PTP-000993</t>
  </si>
  <si>
    <t>PTP-000994</t>
  </si>
  <si>
    <t>PTP-000991</t>
  </si>
  <si>
    <t>PTP-000992</t>
  </si>
  <si>
    <t>PTP-000998</t>
  </si>
  <si>
    <t>PTP-000997</t>
  </si>
  <si>
    <t>PTP-000996</t>
  </si>
  <si>
    <t>PTP-000999</t>
  </si>
  <si>
    <t>PTP-001003</t>
  </si>
  <si>
    <t>PTP-001004</t>
  </si>
  <si>
    <t>PTP-001002</t>
  </si>
  <si>
    <t>PTP-001000</t>
  </si>
  <si>
    <t>PTP-001001</t>
  </si>
  <si>
    <t>PTP-001006</t>
  </si>
  <si>
    <t>PTP-001005</t>
  </si>
  <si>
    <t>PTP-001007</t>
  </si>
  <si>
    <t>PTP-001008</t>
  </si>
  <si>
    <t>PTP-001009</t>
  </si>
  <si>
    <t>PTP-001010</t>
  </si>
  <si>
    <t>PTP-001012</t>
  </si>
  <si>
    <t>PTP-001011</t>
  </si>
  <si>
    <t>PTP-001013</t>
  </si>
  <si>
    <t>PTP-001014</t>
  </si>
  <si>
    <t>PTP-001016</t>
  </si>
  <si>
    <t>PTP-001015</t>
  </si>
  <si>
    <t>PTP-001017</t>
  </si>
  <si>
    <t>PTP-001021</t>
  </si>
  <si>
    <t>PTP-001020</t>
  </si>
  <si>
    <t>PTP-001019</t>
  </si>
  <si>
    <t>PTP-001018</t>
  </si>
  <si>
    <t>PTP-001022</t>
  </si>
  <si>
    <t>PTP-001023</t>
  </si>
  <si>
    <t>PTP-001024</t>
  </si>
  <si>
    <t>PTP-001025</t>
  </si>
  <si>
    <t>PTP-001026</t>
  </si>
  <si>
    <t>PTP-001027</t>
  </si>
  <si>
    <t>PTP-001035</t>
  </si>
  <si>
    <t>PTP-001036</t>
  </si>
  <si>
    <t>PTP-001030</t>
  </si>
  <si>
    <t>PTP-001034</t>
  </si>
  <si>
    <t>PTP-001032</t>
  </si>
  <si>
    <t>PTP-001033</t>
  </si>
  <si>
    <t>PTP-001031</t>
  </si>
  <si>
    <t>PTP-001028</t>
  </si>
  <si>
    <t>PTP-001029</t>
  </si>
  <si>
    <t>PTP-001038</t>
  </si>
  <si>
    <t>PTP-001037</t>
  </si>
  <si>
    <t>PTP-001040</t>
  </si>
  <si>
    <t>PTP-001039</t>
  </si>
  <si>
    <t>PTP-001041</t>
  </si>
  <si>
    <t>PTP-001043</t>
  </si>
  <si>
    <t>PTP-001042</t>
  </si>
  <si>
    <t>PTP-001044</t>
  </si>
  <si>
    <t>PTP-001045</t>
  </si>
  <si>
    <t>PTP-001046</t>
  </si>
  <si>
    <t>PTP-001047</t>
  </si>
  <si>
    <t>PTP-001048</t>
  </si>
  <si>
    <t>PTP-001051</t>
  </si>
  <si>
    <t>PTP-001050</t>
  </si>
  <si>
    <t>PTP-001049</t>
  </si>
  <si>
    <t>PTP-001053</t>
  </si>
  <si>
    <t>PTP-001052</t>
  </si>
  <si>
    <t>PTP-001055</t>
  </si>
  <si>
    <t>PTP-001056</t>
  </si>
  <si>
    <t>PTP-001054</t>
  </si>
  <si>
    <t>PTP-001057</t>
  </si>
  <si>
    <t>PTP-001058</t>
  </si>
  <si>
    <t>PTP-001059</t>
  </si>
  <si>
    <t>PTP-001060</t>
  </si>
  <si>
    <t>PTP-001061</t>
  </si>
  <si>
    <t>PTP-001064</t>
  </si>
  <si>
    <t>PTP-001063</t>
  </si>
  <si>
    <t>PTP-001062</t>
  </si>
  <si>
    <t>PTP-001066</t>
  </si>
  <si>
    <t>PTP-001067</t>
  </si>
  <si>
    <t>PTP-001065</t>
  </si>
  <si>
    <t>PTP-001068</t>
  </si>
  <si>
    <t>PTP-001074</t>
  </si>
  <si>
    <t>PTP-001069</t>
  </si>
  <si>
    <t>PTP-001071</t>
  </si>
  <si>
    <t>PTP-001070</t>
  </si>
  <si>
    <t>PTP-001073</t>
  </si>
  <si>
    <t>PTP-001072</t>
  </si>
  <si>
    <t>PTP-001075</t>
  </si>
  <si>
    <t>PTP-001076</t>
  </si>
  <si>
    <t>PTP-001077</t>
  </si>
  <si>
    <t>PTP-001081</t>
  </si>
  <si>
    <t>PTP-001082</t>
  </si>
  <si>
    <t>PTP-001080</t>
  </si>
  <si>
    <t>PTP-001078</t>
  </si>
  <si>
    <t>PTP-001079</t>
  </si>
  <si>
    <t>PTP-001084</t>
  </si>
  <si>
    <t>PTP-001083</t>
  </si>
  <si>
    <t>PTP-001085</t>
  </si>
  <si>
    <t>PTP-001086</t>
  </si>
  <si>
    <t>PTP-001087</t>
  </si>
  <si>
    <t>PTP-001089</t>
  </si>
  <si>
    <t>PTP-001088</t>
  </si>
  <si>
    <t>PTP-001090</t>
  </si>
  <si>
    <t>PTP-001092</t>
  </si>
  <si>
    <t>PTP-001091</t>
  </si>
  <si>
    <t>PTP-001094</t>
  </si>
  <si>
    <t>PTP-001093</t>
  </si>
  <si>
    <t>PTP-001099</t>
  </si>
  <si>
    <t>C0278</t>
  </si>
  <si>
    <t>Westbrook Medical Center</t>
  </si>
  <si>
    <t>PTP-001098</t>
  </si>
  <si>
    <t>PTP-001096</t>
  </si>
  <si>
    <t>PTP-001097</t>
  </si>
  <si>
    <t>PTP-001095</t>
  </si>
  <si>
    <t>PTP-001100</t>
  </si>
  <si>
    <t>PTP-001101</t>
  </si>
  <si>
    <t>PTP-001104</t>
  </si>
  <si>
    <t>PTP-001103</t>
  </si>
  <si>
    <t>PTP-001102</t>
  </si>
  <si>
    <t>PTP-001105</t>
  </si>
  <si>
    <t>PTP-001106</t>
  </si>
  <si>
    <t>PTP-001112</t>
  </si>
  <si>
    <t>PTP-001110</t>
  </si>
  <si>
    <t>PTP-001109</t>
  </si>
  <si>
    <t>PTP-001111</t>
  </si>
  <si>
    <t>PTP-001108</t>
  </si>
  <si>
    <t>PTP-001107</t>
  </si>
  <si>
    <t>PTP-001114</t>
  </si>
  <si>
    <t>PTP-001113</t>
  </si>
  <si>
    <t>PTP-001115</t>
  </si>
  <si>
    <t>PTP-001116</t>
  </si>
  <si>
    <t>PTP-001117</t>
  </si>
  <si>
    <t>PTP-001118</t>
  </si>
  <si>
    <t>PTP-001121</t>
  </si>
  <si>
    <t>PTP-001119</t>
  </si>
  <si>
    <t>PTP-001120</t>
  </si>
  <si>
    <t>PTP-001122</t>
  </si>
  <si>
    <t>PTP-001127</t>
  </si>
  <si>
    <t>PTP-001128</t>
  </si>
  <si>
    <t>PTP-001123</t>
  </si>
  <si>
    <t>PTP-001124</t>
  </si>
  <si>
    <t>PTP-001126</t>
  </si>
  <si>
    <t>PTP-001125</t>
  </si>
  <si>
    <t>PTP-001129</t>
  </si>
  <si>
    <t>PTP-001131</t>
  </si>
  <si>
    <t>PTP-001130</t>
  </si>
  <si>
    <t>PTP-001133</t>
  </si>
  <si>
    <t>PTP-001134</t>
  </si>
  <si>
    <t>PTP-001137</t>
  </si>
  <si>
    <t>PTP-001136</t>
  </si>
  <si>
    <t>PTP-001135</t>
  </si>
  <si>
    <t>PTP-001132</t>
  </si>
  <si>
    <t>PTP-001138</t>
  </si>
  <si>
    <t>PTP-001140</t>
  </si>
  <si>
    <t>PTP-001139</t>
  </si>
  <si>
    <t>PTP-001143</t>
  </si>
  <si>
    <t>PTP-001142</t>
  </si>
  <si>
    <t>PTP-001141</t>
  </si>
  <si>
    <t>PTP-001144</t>
  </si>
  <si>
    <t>PTP-001151</t>
  </si>
  <si>
    <t>PTP-001147</t>
  </si>
  <si>
    <t>PTP-001146</t>
  </si>
  <si>
    <t>PTP-001145</t>
  </si>
  <si>
    <t>PTP-001150</t>
  </si>
  <si>
    <t>PTP-001149</t>
  </si>
  <si>
    <t>PTP-001148</t>
  </si>
  <si>
    <t>PTP-001152</t>
  </si>
  <si>
    <t>PTP-001153</t>
  </si>
  <si>
    <t>PTP-001154</t>
  </si>
  <si>
    <t>PTP-001155</t>
  </si>
  <si>
    <t>PTP-001156</t>
  </si>
  <si>
    <t>PTP-001160</t>
  </si>
  <si>
    <t>PTP-001159</t>
  </si>
  <si>
    <t>PTP-001158</t>
  </si>
  <si>
    <t>PTP-001157</t>
  </si>
  <si>
    <t>PTP-001161</t>
  </si>
  <si>
    <t>PTP-001163</t>
  </si>
  <si>
    <t>PTP-001162</t>
  </si>
  <si>
    <t>PTP-001164</t>
  </si>
  <si>
    <t>PTP-001166</t>
  </si>
  <si>
    <t>PTP-001165</t>
  </si>
  <si>
    <t>PTP-001167</t>
  </si>
  <si>
    <t>PTP-001172</t>
  </si>
  <si>
    <t>PTP-001171</t>
  </si>
  <si>
    <t>PTP-001174</t>
  </si>
  <si>
    <t>PTP-001173</t>
  </si>
  <si>
    <t>PTP-001169</t>
  </si>
  <si>
    <t>PTP-001170</t>
  </si>
  <si>
    <t>PTP-001168</t>
  </si>
  <si>
    <t>PTP-001175</t>
  </si>
  <si>
    <t>PTP-001177</t>
  </si>
  <si>
    <t>PTP-001176</t>
  </si>
  <si>
    <t>PTP-001178</t>
  </si>
  <si>
    <t>PTP-001179</t>
  </si>
  <si>
    <t>PTP-001180</t>
  </si>
  <si>
    <t>PTP-001181</t>
  </si>
  <si>
    <t>PTP-001182</t>
  </si>
  <si>
    <t>PTP-001189</t>
  </si>
  <si>
    <t>PTP-001187</t>
  </si>
  <si>
    <t>PTP-001188</t>
  </si>
  <si>
    <t>PTP-001186</t>
  </si>
  <si>
    <t>PTP-001184</t>
  </si>
  <si>
    <t>PTP-001185</t>
  </si>
  <si>
    <t>PTP-001183</t>
  </si>
  <si>
    <t>PTP-001190</t>
  </si>
  <si>
    <t>PTP-001191</t>
  </si>
  <si>
    <t>PTP-001192</t>
  </si>
  <si>
    <t>PTP-001193</t>
  </si>
  <si>
    <t>PTP-001195</t>
  </si>
  <si>
    <t>PTP-001194</t>
  </si>
  <si>
    <t>PTP-001198</t>
  </si>
  <si>
    <t>PTP-001199</t>
  </si>
  <si>
    <t>PTP-001197</t>
  </si>
  <si>
    <t>PTP-001196</t>
  </si>
  <si>
    <t>PTP-001200</t>
  </si>
  <si>
    <t>PTP-001201</t>
  </si>
  <si>
    <t>PTP-001202</t>
  </si>
  <si>
    <t>PTP-001203</t>
  </si>
  <si>
    <t>PTP-001204</t>
  </si>
  <si>
    <t>PTP-001207</t>
  </si>
  <si>
    <t>PTP-001205</t>
  </si>
  <si>
    <t>PTP-001206</t>
  </si>
  <si>
    <t>PTP-001209</t>
  </si>
  <si>
    <t>PTP-001210</t>
  </si>
  <si>
    <t>PTP-001208</t>
  </si>
  <si>
    <t>PTP-001211</t>
  </si>
  <si>
    <t>PTP-001212</t>
  </si>
  <si>
    <t>PTP-001213</t>
  </si>
  <si>
    <t>PTP-001217</t>
  </si>
  <si>
    <t>PTP-001218</t>
  </si>
  <si>
    <t>PTP-001219</t>
  </si>
  <si>
    <t>PTP-001215</t>
  </si>
  <si>
    <t>PTP-001216</t>
  </si>
  <si>
    <t>PTP-001214</t>
  </si>
  <si>
    <t>PTP-001220</t>
  </si>
  <si>
    <t>PTP-001222</t>
  </si>
  <si>
    <t>PTP-001221</t>
  </si>
  <si>
    <t>PTP-001223</t>
  </si>
  <si>
    <t>PTP-001234</t>
  </si>
  <si>
    <t>PTP-001232</t>
  </si>
  <si>
    <t>PTP-001233</t>
  </si>
  <si>
    <t>PTP-001231</t>
  </si>
  <si>
    <t>PTP-001224</t>
  </si>
  <si>
    <t>PTP-001230</t>
  </si>
  <si>
    <t>PTP-001229</t>
  </si>
  <si>
    <t>PTP-001226</t>
  </si>
  <si>
    <t>PTP-001228</t>
  </si>
  <si>
    <t>PTP-001227</t>
  </si>
  <si>
    <t>PTP-001225</t>
  </si>
  <si>
    <t>PTP-001236</t>
  </si>
  <si>
    <t>PTP-001235</t>
  </si>
  <si>
    <t>PTP-001238</t>
  </si>
  <si>
    <t>PTP-001240</t>
  </si>
  <si>
    <t>PTP-001239</t>
  </si>
  <si>
    <t>PTP-001237</t>
  </si>
  <si>
    <t>PTP-001244</t>
  </si>
  <si>
    <t>PTP-001241</t>
  </si>
  <si>
    <t>PTP-001242</t>
  </si>
  <si>
    <t>PTP-001243</t>
  </si>
  <si>
    <t>PTP-001246</t>
  </si>
  <si>
    <t>PTP-001245</t>
  </si>
  <si>
    <t>PTP-001247</t>
  </si>
  <si>
    <t>PTP-001248</t>
  </si>
  <si>
    <t>PTP-001249</t>
  </si>
  <si>
    <t>PTP-001250</t>
  </si>
  <si>
    <t>PTP-001251</t>
  </si>
  <si>
    <t>PTP-001252</t>
  </si>
  <si>
    <t>PTP-001256</t>
  </si>
  <si>
    <t>PTP-001254</t>
  </si>
  <si>
    <t>PTP-001253</t>
  </si>
  <si>
    <t>PTP-001255</t>
  </si>
  <si>
    <t>PTP-001260</t>
  </si>
  <si>
    <t>PTP-001258</t>
  </si>
  <si>
    <t>PTP-001257</t>
  </si>
  <si>
    <t>PTP-001259</t>
  </si>
  <si>
    <t>PTP-001261</t>
  </si>
  <si>
    <t>PTP-001262</t>
  </si>
  <si>
    <t>PTP-001263</t>
  </si>
  <si>
    <t>PTP-001264</t>
  </si>
  <si>
    <t>PTP-001265</t>
  </si>
  <si>
    <t>PTP-001267</t>
  </si>
  <si>
    <t>PTP-001268</t>
  </si>
  <si>
    <t>PTP-001266</t>
  </si>
  <si>
    <t>PTP-001272</t>
  </si>
  <si>
    <t>PTP-001271</t>
  </si>
  <si>
    <t>PTP-001270</t>
  </si>
  <si>
    <t>PTP-001269</t>
  </si>
  <si>
    <t>PTP-001273</t>
  </si>
  <si>
    <t>PTP-001274</t>
  </si>
  <si>
    <t>PTP-001275</t>
  </si>
  <si>
    <t>PTP-001279</t>
  </si>
  <si>
    <t>PTP-001280</t>
  </si>
  <si>
    <t>PTP-001278</t>
  </si>
  <si>
    <t>PTP-001276</t>
  </si>
  <si>
    <t>PTP-001277</t>
  </si>
  <si>
    <t>PTP-001282</t>
  </si>
  <si>
    <t>PTP-001281</t>
  </si>
  <si>
    <t>PTP-001283</t>
  </si>
  <si>
    <t>PTP-001284</t>
  </si>
  <si>
    <t>PTP-001288</t>
  </si>
  <si>
    <t>PTP-001287</t>
  </si>
  <si>
    <t>PTP-001285</t>
  </si>
  <si>
    <t>PTP-001286</t>
  </si>
  <si>
    <t>PTP-001289</t>
  </si>
  <si>
    <t>PTP-001290</t>
  </si>
  <si>
    <t>PTP-001291</t>
  </si>
  <si>
    <t>PTP-001295</t>
  </si>
  <si>
    <t>PTP-001294</t>
  </si>
  <si>
    <t>PTP-001293</t>
  </si>
  <si>
    <t>PTP-001292</t>
  </si>
  <si>
    <t>PTP-001296</t>
  </si>
  <si>
    <t>PTP-001299</t>
  </si>
  <si>
    <t>PTP-001300</t>
  </si>
  <si>
    <t>PTP-001297</t>
  </si>
  <si>
    <t>PTP-001298</t>
  </si>
  <si>
    <t>PTP-001301</t>
  </si>
  <si>
    <t>PTP-001302</t>
  </si>
  <si>
    <t>PTP-001304</t>
  </si>
  <si>
    <t>PTP-001303</t>
  </si>
  <si>
    <t>PTP-001307</t>
  </si>
  <si>
    <t>PTP-001305</t>
  </si>
  <si>
    <t>PTP-001306</t>
  </si>
  <si>
    <t>PTP-001308</t>
  </si>
  <si>
    <t>PTP-001314</t>
  </si>
  <si>
    <t>PTP-001310</t>
  </si>
  <si>
    <t>PTP-001309</t>
  </si>
  <si>
    <t>PTP-001312</t>
  </si>
  <si>
    <t>PTP-001311</t>
  </si>
  <si>
    <t>PTP-001313</t>
  </si>
  <si>
    <t>PTP-001315</t>
  </si>
  <si>
    <t>PTP-001316</t>
  </si>
  <si>
    <t>PTP-001322</t>
  </si>
  <si>
    <t>PTP-001321</t>
  </si>
  <si>
    <t>PTP-001317</t>
  </si>
  <si>
    <t>PTP-001318</t>
  </si>
  <si>
    <t>PTP-001319</t>
  </si>
  <si>
    <t>PTP-001320</t>
  </si>
  <si>
    <t>PTP-001323</t>
  </si>
  <si>
    <t>PTP-001324</t>
  </si>
  <si>
    <t>PTP-001325</t>
  </si>
  <si>
    <t>PTP-001326</t>
  </si>
  <si>
    <t>PTP-001328</t>
  </si>
  <si>
    <t>PTP-001327</t>
  </si>
  <si>
    <t>PTP-001330</t>
  </si>
  <si>
    <t>PTP-001329</t>
  </si>
  <si>
    <t>PTP-001332</t>
  </si>
  <si>
    <t>PTP-001331</t>
  </si>
  <si>
    <t>PTP-001333</t>
  </si>
  <si>
    <t>PTP-001334</t>
  </si>
  <si>
    <t>PTP-001335</t>
  </si>
  <si>
    <t>PTP-001336</t>
  </si>
  <si>
    <t>PTP-001337</t>
  </si>
  <si>
    <t>PTP-001338</t>
  </si>
  <si>
    <t>PTP-001339</t>
  </si>
  <si>
    <t>PTP-001340</t>
  </si>
  <si>
    <t>PTP-001345</t>
  </si>
  <si>
    <t>PTP-001343</t>
  </si>
  <si>
    <t>Outstanding</t>
  </si>
  <si>
    <t>PTP-001344</t>
  </si>
  <si>
    <t>PTP-001342</t>
  </si>
  <si>
    <t>PTP-001341</t>
  </si>
  <si>
    <t>PTP-001346</t>
  </si>
  <si>
    <t>PTP-001347</t>
  </si>
  <si>
    <t>AnomalyType</t>
  </si>
  <si>
    <t>Severity</t>
  </si>
  <si>
    <t>ImpactClass</t>
  </si>
  <si>
    <t>Anomalies</t>
  </si>
  <si>
    <t>AmountAtRisk</t>
  </si>
  <si>
    <t>PopulationScanned</t>
  </si>
  <si>
    <t>AnomalyRatePct</t>
  </si>
  <si>
    <t>CountsTowardExposure</t>
  </si>
  <si>
    <t>ADJUSTMENT_EXCEEDS_INVOICE</t>
  </si>
  <si>
    <t>Balance</t>
  </si>
  <si>
    <t>APPLICATION_BEFORE_RECEIPT</t>
  </si>
  <si>
    <t>Timing</t>
  </si>
  <si>
    <t>DUPLICATE_RECEIPT</t>
  </si>
  <si>
    <t>ORPHAN_DIMENSION_KEY</t>
  </si>
  <si>
    <t>Integrity</t>
  </si>
  <si>
    <t>OVER_APPLIED_CASH</t>
  </si>
  <si>
    <t>RECEIPT_BEFORE_INVOICE</t>
  </si>
  <si>
    <t>UNAPPLIED_CASH_AGED</t>
  </si>
  <si>
    <t>Routing</t>
  </si>
  <si>
    <t>DISCOUNT_WITHOUT_TERMS</t>
  </si>
  <si>
    <t>DISPUTE_FLAG_INCONSISTENT</t>
  </si>
  <si>
    <t>DUE_DATE_TERMS_MISMATCH</t>
  </si>
  <si>
    <t>Ageing</t>
  </si>
  <si>
    <t>PRE_BILLING</t>
  </si>
  <si>
    <t>RECEIPT_AFTER_ASOF</t>
  </si>
  <si>
    <t>WORKING -- countback DSO and queue ranking</t>
  </si>
  <si>
    <t>Nothing here is decorative. The Dashboard reads these cells.</t>
  </si>
  <si>
    <t>COUNTBACK DSO -- consume the open balance against the most recent months of sales</t>
  </si>
  <si>
    <t>Month end</t>
  </si>
  <si>
    <t>Credit sales</t>
  </si>
  <si>
    <t>Days in month</t>
  </si>
  <si>
    <t>Cumulative sales</t>
  </si>
  <si>
    <t>Cumulative days</t>
  </si>
  <si>
    <t>Sales before this month</t>
  </si>
  <si>
    <t>Days before this month</t>
  </si>
  <si>
    <t>Covers total AR?</t>
  </si>
  <si>
    <t>Covers current AR?</t>
  </si>
  <si>
    <t>Month that exhausts total AR</t>
  </si>
  <si>
    <t>Countback DSO (days)</t>
  </si>
  <si>
    <t>Month that exhausts current AR</t>
  </si>
  <si>
    <t>Best Possible DSO (days)</t>
  </si>
  <si>
    <t>Average Days Delinquent (days)</t>
  </si>
  <si>
    <t>QUEUE RANKING -- re-ranks the SQL queue under whatever filters the Priority Queue sheet has set</t>
  </si>
  <si>
    <t>Row</t>
  </si>
  <si>
    <t>Matches filters</t>
  </si>
  <si>
    <t>Rank within filter</t>
  </si>
  <si>
    <t>VANTAGE WHOLESALE SUPPLY -- RECEIVABLES PERFORMANCE</t>
  </si>
  <si>
    <t>THE QUESTION</t>
  </si>
  <si>
    <t>DSO has risen. How many of those days did Vantage GRANT itself through the terms it sold, how many are customers TAKING beyond those terms -- and who should collections call first?</t>
  </si>
  <si>
    <t>BALANCES -- recomputed in Excel from the open-item extract</t>
  </si>
  <si>
    <t>Total open AR</t>
  </si>
  <si>
    <t>Not yet due (granted)</t>
  </si>
  <si>
    <t>Past due, disputed</t>
  </si>
  <si>
    <t>Past due, undisputed</t>
  </si>
  <si>
    <t>Of which 90+ days</t>
  </si>
  <si>
    <t>Open invoices</t>
  </si>
  <si>
    <t>Credit sales, last 12 mths</t>
  </si>
  <si>
    <t>Days in that window</t>
  </si>
  <si>
    <t>Credit sales per day</t>
  </si>
  <si>
    <t>DSO BRIDGE -- granted versus taken (these three add to classic DSO exactly)</t>
  </si>
  <si>
    <t>Component</t>
  </si>
  <si>
    <t>Cash</t>
  </si>
  <si>
    <t>Who owns it</t>
  </si>
  <si>
    <t>Granted -- not yet due</t>
  </si>
  <si>
    <t>Sales / terms policy</t>
  </si>
  <si>
    <t>Taken -- disputed</t>
  </si>
  <si>
    <t>Billing / sales</t>
  </si>
  <si>
    <t>Taken -- undisputed</t>
  </si>
  <si>
    <t>Collections</t>
  </si>
  <si>
    <t>TOTAL -- classic DSO</t>
  </si>
  <si>
    <t>Check: parts less total</t>
  </si>
  <si>
    <t>Weighted average terms sold</t>
  </si>
  <si>
    <t>The floor: DSO if every customer paid exactly on the due date</t>
  </si>
  <si>
    <t>DSO target</t>
  </si>
  <si>
    <t>Allowance the target leaves over terms</t>
  </si>
  <si>
    <t>Billing lag (despatch to invoice)</t>
  </si>
  <si>
    <t>Before the DSO clock starts, so additive -- and the only days fixable without a customer conversation</t>
  </si>
  <si>
    <t>TRUE CASH CYCLE (despatch to cash)</t>
  </si>
  <si>
    <t>SCORECARD -- status is computed against the target table, not typed in</t>
  </si>
  <si>
    <t>Metric</t>
  </si>
  <si>
    <t>Value</t>
  </si>
  <si>
    <t>Target</t>
  </si>
  <si>
    <t>Warning</t>
  </si>
  <si>
    <t>Status</t>
  </si>
  <si>
    <t>Variance to target</t>
  </si>
  <si>
    <t>What it means</t>
  </si>
  <si>
    <t>DSO (countback)</t>
  </si>
  <si>
    <t>Days of recent sales sitting in receivables.</t>
  </si>
  <si>
    <t>Average days delinquent</t>
  </si>
  <si>
    <t>Days lost purely to late payment, terms stripped out.</t>
  </si>
  <si>
    <t>Past due share of AR</t>
  </si>
  <si>
    <t>By value. Compare with the count version before concluding anything.</t>
  </si>
  <si>
    <t>90+ share of AR</t>
  </si>
  <si>
    <t>Seriously delinquent balance as a share of the book.</t>
  </si>
  <si>
    <t>Collection effectiveness (book)</t>
  </si>
  <si>
    <t>Unapplied cash % of AR</t>
  </si>
  <si>
    <t>Billing lag (days)</t>
  </si>
  <si>
    <t>Despatch to invoice, dollar-weighted. Sits BEFORE the DSO clock starts, so it adds to the cycle rather than being part of DSO.</t>
  </si>
  <si>
    <t>Promise kept rate %</t>
  </si>
  <si>
    <t>AGEING -- buckets re-derived in Excel from days past due, not taken from the extract</t>
  </si>
  <si>
    <t>Bucket</t>
  </si>
  <si>
    <t>Invoices</t>
  </si>
  <si>
    <t>Share of AR</t>
  </si>
  <si>
    <t>Risk-weighted exposure</t>
  </si>
  <si>
    <t>TOTAL</t>
  </si>
  <si>
    <t>PRIORITY ACTION QUEUE</t>
  </si>
  <si>
    <t>Who collections should call first, ranked by risk-weighted money a call can actually move. Change the filters; the list re-ranks itself.</t>
  </si>
  <si>
    <t>Collector</t>
  </si>
  <si>
    <t>(All)</t>
  </si>
  <si>
    <t>Action</t>
  </si>
  <si>
    <t>Today's worklist only</t>
  </si>
  <si>
    <t>Yes</t>
  </si>
  <si>
    <t>Minimum past due ($)</t>
  </si>
  <si>
    <t>Accounts matching</t>
  </si>
  <si>
    <t>Past due in scope</t>
  </si>
  <si>
    <t>Collectable exposure in scope</t>
  </si>
  <si>
    <t>#</t>
  </si>
  <si>
    <t>Customer</t>
  </si>
  <si>
    <t>Risk</t>
  </si>
  <si>
    <t>Terms</t>
  </si>
  <si>
    <t>Open balance</t>
  </si>
  <si>
    <t>Past due</t>
  </si>
  <si>
    <t>Disputed</t>
  </si>
  <si>
    <t>Collectable exposure</t>
  </si>
  <si>
    <t>Oldest days</t>
  </si>
  <si>
    <t>Credit use %</t>
  </si>
  <si>
    <t>Hold</t>
  </si>
  <si>
    <t>What to do</t>
  </si>
  <si>
    <t>CASH APPLICATION WORKLIST</t>
  </si>
  <si>
    <t>Money already in the bank that nobody has matched to an invoice. Until it is applied, these invoices read as unpaid and the call list will chase customers who have already paid.</t>
  </si>
  <si>
    <t>Accounts holding unapplied cash</t>
  </si>
  <si>
    <t>Cash banked and unmatched</t>
  </si>
  <si>
    <t>Of which fully unapplied receipts</t>
  </si>
  <si>
    <t>Past due that would be WRONGLY chased</t>
  </si>
  <si>
    <t>Oldest unmatched receipt (days)</t>
  </si>
  <si>
    <t>Unapplied cash</t>
  </si>
  <si>
    <t>Receipts</t>
  </si>
  <si>
    <t>Fully unapplied</t>
  </si>
  <si>
    <t>No remittance</t>
  </si>
  <si>
    <t>Net exposure</t>
  </si>
  <si>
    <t>Wrongly chaseable</t>
  </si>
  <si>
    <t>Root cause</t>
  </si>
  <si>
    <t>AGEING MATRIX</t>
  </si>
  <si>
    <t>Pick a dimension. SUMIFS resolves the criteria column by name, so one set of formulas serves every cut.</t>
  </si>
  <si>
    <t>Cut by</t>
  </si>
  <si>
    <t>DIMENSION VALUE LISTS (used by the Ageing Matrix)</t>
  </si>
  <si>
    <t>Total</t>
  </si>
  <si>
    <t>Share past due</t>
  </si>
  <si>
    <t>CROSS-IMPLEMENTATION VALIDATION</t>
  </si>
  <si>
    <t>Each figure below was computed twice: once in T-SQL against the database, once in Excel formulas against the extract. A dashboard that only displays what the database told it cannot detect that the database was wrong.</t>
  </si>
  <si>
    <t>Figure</t>
  </si>
  <si>
    <t>SQL</t>
  </si>
  <si>
    <t>Excel</t>
  </si>
  <si>
    <t>Difference</t>
  </si>
  <si>
    <t>Result</t>
  </si>
  <si>
    <t>Not yet due</t>
  </si>
  <si>
    <t>Past due AR</t>
  </si>
  <si>
    <t>90+ AR</t>
  </si>
  <si>
    <t>Open invoice count</t>
  </si>
  <si>
    <t>Classic DSO</t>
  </si>
  <si>
    <t>Countback DSO</t>
  </si>
  <si>
    <t>Best possible DSO</t>
  </si>
  <si>
    <t>Granted days</t>
  </si>
  <si>
    <t>Dispute days</t>
  </si>
  <si>
    <t>Lateness days</t>
  </si>
  <si>
    <t>Weighted average terms</t>
  </si>
  <si>
    <t>Past due % of AR</t>
  </si>
  <si>
    <t>90+ % of AR</t>
  </si>
  <si>
    <t>True cash cycle (days)</t>
  </si>
  <si>
    <t>Net exposure (AR less cash held)</t>
  </si>
  <si>
    <t>Days past due (sum, re-derived from dates)</t>
  </si>
  <si>
    <t>Checks reconciling</t>
  </si>
  <si>
    <t>Vantage Wholesale Supply is a fictional industrial parts distributor. Every figure in this workbook is synthetic, generated by the SQL scripts in the sql\ folder of this project. No confidential data is used and no claim is made about any production system.</t>
  </si>
  <si>
    <t>THE QUESTION THIS ANSWERS</t>
  </si>
  <si>
    <t>DSO has risen. How many of those days did Vantage grant itself through the terms it sold, how many are customers taking beyond those terms, and who should collections call first?</t>
  </si>
  <si>
    <t>SHEETS</t>
  </si>
  <si>
    <t>Dashboard         The scorecard, the DSO bridge and the ageing profile. Every number is a formula over the extract.</t>
  </si>
  <si>
    <t>Priority Queue    The operational control: who to call, in what order, with the instruction and the dollar ask.</t>
  </si>
  <si>
    <t>Cash Application   The OTHER worklist: money already banked that nobody matched. Where it covers at least half the past-due balance (APPLY_CASH) the account must not be called; elsewhere, quote the balance net of it.</t>
  </si>
  <si>
    <t>Ageing Matrix     Open AR by bucket, cut by any dimension you pick.</t>
  </si>
  <si>
    <t>Validation        Each headline figure computed twice -- once in SQL, once in Excel -- and reconciled.</t>
  </si>
  <si>
    <t>Control           Every parameter the workbook obeys.</t>
  </si>
  <si>
    <t>Calc              The working behind countback DSO and the queue ranking. Visible on purpose.</t>
  </si>
  <si>
    <t>Data_*            The loaded extracts. Do not edit; they are replaced on refresh.</t>
  </si>
  <si>
    <t>HOW TO REFRESH</t>
  </si>
  <si>
    <t>1. Rebuild the extracts:  powershell erp_extracts\Export_Extracts.ps1</t>
  </si>
  <si>
    <t>2. If the repo has moved, update the Extract folder cell on the Control sheet.</t>
  </si>
  <si>
    <t>3. Data &gt; Refresh All.</t>
  </si>
  <si>
    <t>4. Check the Validation sheet still reads "All figures reconcile".</t>
  </si>
  <si>
    <t>TO READ FROM SQL SERVER INSTEAD OF THE CSVs</t>
  </si>
  <si>
    <t>Replace the Source and Promoted steps of any query with a direct connection. For example, for tOpenItems:</t>
  </si>
  <si>
    <t>let</t>
  </si>
  <si>
    <t xml:space="preserve">    Source = Sql.Database("localhost\SQLEXPRESS", "VantageAR", [Query="SELECT * FROM dbo.vw_ARBalanceDetail WHERE IsOpen = 1"])</t>
  </si>
  <si>
    <t>in</t>
  </si>
  <si>
    <t xml:space="preserve">    Source</t>
  </si>
  <si>
    <t>WHY THERE ARE NO DYNAMIC-ARRAY FORMULAS</t>
  </si>
  <si>
    <t>FILTER, SORT and UNIQUE would shorten several formulas here and would break the workbook on Excel 2019 and LibreOffice. The queue ranking uses SUMPRODUCT and INDEX/MATCH instead, which work everywhere.</t>
  </si>
  <si>
    <t>WHAT MAKES THIS A CONTROL RATHER THAN A REPORT</t>
  </si>
  <si>
    <t>Nothing on the Dashboard is a pasted value. The balances come from SUMIFS over the open-item extract, the countback DSO from a real month-by-month loop on the Calc sheet, and the red/amber/green status from INDEX/MATCH against the target table -- so changing a target changes the status, and changing the data changes the numbers. The Validation sheet then checks the Excel implementation against the SQL one and says on its own face if they ever disagree.</t>
  </si>
  <si>
    <t>Resolves from this workbook's own location so the repo can be cloned anywhere. On OneDrive, Excel reports a URL rather than a path, so set the folder here by hand. The workbook ships with its data already loaded, so this only matters when you refresh.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</si>
</sst>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0.000000000"/>
    <numFmt numFmtId="166" formatCode="\+0.00;\-0.00"/>
    <numFmt numFmtId="167" formatCode="0.0%"/>
    <numFmt numFmtId="168" formatCode="0.0"/>
    <numFmt numFmtId="169" formatCode="#,##0.0000"/>
  </numFmts>
  <fonts count="10" x14ac:knownFonts="1">
    <font>
      <sz val="11"/>
      <color theme="1"/>
      <name val="Aptos Narrow"/>
      <family val="2"/>
      <scheme val="minor"/>
    </font>
    <font>
      <b/>
      <sz val="11"/>
      <color theme="1"/>
      <name val="Aptos Narrow"/>
      <family val="2"/>
      <scheme val="minor"/>
    </font>
    <font>
      <b/>
      <sz val="16"/>
      <color rgb="FF1F3864"/>
      <name val="Aptos Narrow"/>
      <family val="2"/>
      <scheme val="minor"/>
    </font>
    <font>
      <i/>
      <sz val="11"/>
      <color theme="1"/>
      <name val="Aptos Narrow"/>
      <family val="2"/>
      <scheme val="minor"/>
    </font>
    <font>
      <b/>
      <sz val="11"/>
      <color rgb="FFFFFFFF"/>
      <name val="Aptos Narrow"/>
      <family val="2"/>
      <scheme val="minor"/>
    </font>
    <font>
      <b/>
      <sz val="11"/>
      <color rgb="FF1F3864"/>
      <name val="Aptos Narrow"/>
      <family val="2"/>
      <scheme val="minor"/>
    </font>
    <font>
      <sz val="8"/>
      <name val="Aptos Narrow"/>
      <family val="2"/>
      <scheme val="minor"/>
    </font>
    <font>
      <b/>
      <sz val="13"/>
      <color rgb="FF1F3864"/>
      <name val="Aptos Narrow"/>
      <family val="2"/>
      <scheme val="minor"/>
    </font>
    <font>
      <b/>
      <sz val="18"/>
      <color rgb="FF1F3864"/>
      <name val="Aptos Narrow"/>
      <family val="2"/>
      <scheme val="minor"/>
    </font>
    <font>
      <sz val="11"/>
      <color theme="1"/>
      <name val="Consolas"/>
      <family val="3"/>
    </font>
  </fonts>
  <fills count="5">
    <fill>
      <patternFill patternType="none"/>
    </fill>
    <fill>
      <patternFill patternType="gray125"/>
    </fill>
    <fill>
      <patternFill patternType="solid">
        <fgColor rgb="FF1F3864"/>
        <bgColor indexed="64"/>
      </patternFill>
    </fill>
    <fill>
      <patternFill patternType="solid">
        <fgColor rgb="FFD9E1F2"/>
        <bgColor indexed="64"/>
      </patternFill>
    </fill>
    <fill>
      <patternFill patternType="solid">
        <fgColor rgb="FFF2F2F2"/>
        <bgColor indexed="64"/>
      </patternFill>
    </fill>
  </fills>
  <borders count="1">
    <border>
      <left/>
      <right/>
      <top/>
      <bottom/>
      <diagonal/>
    </border>
  </borders>
  <cellStyleXfs count="1">
    <xf numFmtId="0" fontId="0" fillId="0" borderId="0"/>
  </cellStyleXfs>
  <cellXfs count="40">
    <xf numFmtId="0" fontId="0" fillId="0" borderId="0" xfId="0"/>
    <xf numFmtId="0" fontId="2" fillId="0" borderId="0" xfId="0" applyFont="1"/>
    <xf numFmtId="0" fontId="3" fillId="0" borderId="0" xfId="0" applyFont="1"/>
    <xf numFmtId="0" fontId="1" fillId="0" borderId="0" xfId="0" applyFont="1"/>
    <xf numFmtId="0" fontId="4" fillId="2" borderId="0" xfId="0" applyFont="1" applyFill="1"/>
    <xf numFmtId="164" fontId="0" fillId="0" borderId="0" xfId="0" applyNumberFormat="1"/>
    <xf numFmtId="164" fontId="1" fillId="3" borderId="0" xfId="0" applyNumberFormat="1" applyFont="1" applyFill="1"/>
    <xf numFmtId="0" fontId="0" fillId="3" borderId="0" xfId="0" applyFill="1"/>
    <xf numFmtId="0" fontId="1" fillId="3" borderId="0" xfId="0" applyFont="1" applyFill="1"/>
    <xf numFmtId="9" fontId="1" fillId="3" borderId="0" xfId="0" applyNumberFormat="1" applyFont="1" applyFill="1"/>
    <xf numFmtId="0" fontId="5" fillId="0" borderId="0" xfId="0" applyFont="1"/>
    <xf numFmtId="0" fontId="0" fillId="0" borderId="0" xfId="0" applyAlignment="1">
      <alignment wrapText="1"/>
    </xf>
    <xf numFmtId="0" fontId="0" fillId="0" borderId="0" xfId="0" applyAlignment="1">
      <alignment vertical="top" wrapText="1"/>
    </xf>
    <xf numFmtId="0" fontId="0" fillId="0" borderId="0" xfId="0" applyNumberFormat="1"/>
    <xf numFmtId="14" fontId="0" fillId="0" borderId="0" xfId="0" applyNumberFormat="1"/>
    <xf numFmtId="0" fontId="7" fillId="0" borderId="0" xfId="0" applyFont="1"/>
    <xf numFmtId="0" fontId="1" fillId="4" borderId="0" xfId="0" applyFont="1" applyFill="1"/>
    <xf numFmtId="0" fontId="1" fillId="4" borderId="0" xfId="0" applyFont="1" applyFill="1" applyAlignment="1">
      <alignment wrapText="1"/>
    </xf>
    <xf numFmtId="4" fontId="0" fillId="0" borderId="0" xfId="0" applyNumberFormat="1"/>
    <xf numFmtId="2" fontId="0" fillId="0" borderId="0" xfId="0" applyNumberFormat="1"/>
    <xf numFmtId="1" fontId="0" fillId="0" borderId="0" xfId="0" applyNumberFormat="1"/>
    <xf numFmtId="0" fontId="8" fillId="0" borderId="0" xfId="0" applyFont="1"/>
    <xf numFmtId="0" fontId="0" fillId="2" borderId="0" xfId="0" applyFill="1"/>
    <xf numFmtId="3" fontId="0" fillId="0" borderId="0" xfId="0" applyNumberFormat="1"/>
    <xf numFmtId="4" fontId="1" fillId="0" borderId="0" xfId="0" applyNumberFormat="1" applyFont="1"/>
    <xf numFmtId="2" fontId="1" fillId="0" borderId="0" xfId="0" applyNumberFormat="1" applyFont="1"/>
    <xf numFmtId="165" fontId="0" fillId="0" borderId="0" xfId="0" applyNumberFormat="1"/>
    <xf numFmtId="166" fontId="0" fillId="0" borderId="0" xfId="0" applyNumberFormat="1"/>
    <xf numFmtId="0" fontId="0" fillId="0" borderId="0" xfId="0" applyAlignment="1">
      <alignment horizontal="center"/>
    </xf>
    <xf numFmtId="3" fontId="1" fillId="0" borderId="0" xfId="0" applyNumberFormat="1" applyFont="1"/>
    <xf numFmtId="167" fontId="0" fillId="0" borderId="0" xfId="0" applyNumberFormat="1"/>
    <xf numFmtId="167" fontId="1" fillId="0" borderId="0" xfId="0" applyNumberFormat="1" applyFont="1"/>
    <xf numFmtId="3" fontId="0" fillId="3" borderId="0" xfId="0" applyNumberFormat="1" applyFill="1"/>
    <xf numFmtId="0" fontId="4" fillId="2" borderId="0" xfId="0" applyFont="1" applyFill="1" applyAlignment="1">
      <alignment wrapText="1"/>
    </xf>
    <xf numFmtId="168" fontId="0" fillId="0" borderId="0" xfId="0" applyNumberFormat="1"/>
    <xf numFmtId="169" fontId="0" fillId="0" borderId="0" xfId="0" applyNumberFormat="1"/>
    <xf numFmtId="0" fontId="2" fillId="0" borderId="0" xfId="0" applyFont="1" applyAlignment="1"/>
    <xf numFmtId="0" fontId="0" fillId="0" borderId="0" xfId="0" applyAlignment="1"/>
    <xf numFmtId="0" fontId="5" fillId="0" borderId="0" xfId="0" applyFont="1" applyAlignment="1"/>
    <xf numFmtId="0" fontId="9" fillId="4" borderId="0" xfId="0" applyFont="1" applyFill="1" applyAlignment="1"/>
  </cellXfs>
  <cellStyles count="1">
    <cellStyle name="Normal" xfId="0" builtinId="0"/>
  </cellStyles>
  <dxfs count="75">
    <dxf>
      <font>
        <b/>
        <i val="0"/>
        <color rgb="FF9C0006"/>
      </font>
      <fill>
        <patternFill>
          <bgColor rgb="FFFFC7CE"/>
        </patternFill>
      </fill>
    </dxf>
    <dxf>
      <font>
        <b/>
        <i val="0"/>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b/>
        <i val="0"/>
        <color rgb="FF9C0006"/>
      </font>
      <fill>
        <patternFill>
          <bgColor rgb="FFFFC7CE"/>
        </patternFill>
      </fill>
    </dxf>
    <dxf>
      <font>
        <b/>
        <i val="0"/>
        <color rgb="FF9C6500"/>
      </font>
      <fill>
        <patternFill>
          <bgColor rgb="FFFFEB9C"/>
        </patternFill>
      </fill>
    </dxf>
    <dxf>
      <font>
        <b/>
        <i val="0"/>
        <color rgb="FF006100"/>
      </font>
      <fill>
        <patternFill>
          <bgColor rgb="FFC6EFCE"/>
        </patternFill>
      </fill>
    </dxf>
    <dxf>
      <font>
        <b/>
      </font>
    </dxf>
    <dxf>
      <numFmt numFmtId="0" formatCode="General"/>
    </dxf>
    <dxf>
      <numFmt numFmtId="0" formatCode="General"/>
    </dxf>
    <dxf>
      <numFmt numFmtId="0" formatCode="General"/>
    </dxf>
    <dxf>
      <font>
        <b/>
      </font>
    </dxf>
    <dxf>
      <numFmt numFmtId="0" formatCode="General"/>
    </dxf>
    <dxf>
      <numFmt numFmtId="19" formatCode="m/d/yyyy"/>
    </dxf>
    <dxf>
      <numFmt numFmtId="0" formatCode="General"/>
    </dxf>
    <dxf>
      <font>
        <b/>
      </font>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numFmt numFmtId="0" formatCode="General"/>
    </dxf>
    <dxf>
      <numFmt numFmtId="0" formatCode="General"/>
    </dxf>
    <dxf>
      <numFmt numFmtId="0" formatCode="General"/>
    </dxf>
    <dxf>
      <numFmt numFmtId="0" formatCode="General"/>
    </dxf>
    <dxf>
      <numFmt numFmtId="0" formatCode="General"/>
    </dxf>
    <dxf>
      <font>
        <b/>
      </font>
    </dxf>
    <dxf>
      <numFmt numFmtId="0" formatCode="General"/>
    </dxf>
    <dxf>
      <font>
        <b/>
      </font>
    </dxf>
    <dxf>
      <numFmt numFmtId="0" formatCode="General"/>
    </dxf>
    <dxf>
      <numFmt numFmtId="0" formatCode="General"/>
    </dxf>
    <dxf>
      <numFmt numFmtId="0" formatCode="General"/>
    </dxf>
    <dxf>
      <numFmt numFmtId="0" formatCode="General"/>
    </dxf>
    <dxf>
      <font>
        <b/>
      </font>
    </dxf>
    <dxf>
      <numFmt numFmtId="19" formatCode="m/d/yyyy"/>
    </dxf>
    <dxf>
      <numFmt numFmtId="0" formatCode="General"/>
    </dxf>
    <dxf>
      <font>
        <b/>
      </font>
    </dxf>
    <dxf>
      <numFmt numFmtId="19" formatCode="m/d/yyyy"/>
    </dxf>
    <dxf>
      <font>
        <b/>
      </font>
    </dxf>
    <dxf>
      <numFmt numFmtId="19" formatCode="m/d/yyyy"/>
    </dxf>
    <dxf>
      <numFmt numFmtId="0" formatCode="General"/>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CD2332A-8733-4918-A5BE-621BA2947B51}" autoFormatId="0" applyNumberFormats="0" applyBorderFormats="0" applyFontFormats="1" applyPatternFormats="1" applyAlignmentFormats="0" applyWidthHeightFormats="0">
  <queryTableRefresh nextId="32">
    <queryTableFields count="31">
      <queryTableField id="1" name="InvoiceNo" tableColumnId="32"/>
      <queryTableField id="2" name="CustomerID" tableColumnId="33"/>
      <queryTableField id="3" name="CustomerName" tableColumnId="34"/>
      <queryTableField id="4" name="Segment" tableColumnId="35"/>
      <queryTableField id="5" name="Region" tableColumnId="36"/>
      <queryTableField id="6" name="SalesRep" tableColumnId="37"/>
      <queryTableField id="7" name="RiskTier" tableColumnId="38"/>
      <queryTableField id="8" name="CreditLimit" tableColumnId="39"/>
      <queryTableField id="9" name="CollectorID" tableColumnId="40"/>
      <queryTableField id="10" name="CollectorName" tableColumnId="41"/>
      <queryTableField id="11" name="Team" tableColumnId="42"/>
      <queryTableField id="12" name="TermsCode" tableColumnId="43"/>
      <queryTableField id="13" name="NetDays" tableColumnId="44"/>
      <queryTableField id="14" name="DiscountPct" tableColumnId="45"/>
      <queryTableField id="15" name="InvoiceDate" tableColumnId="46"/>
      <queryTableField id="16" name="DueDate" tableColumnId="47"/>
      <queryTableField id="17" name="InvoiceAmount" tableColumnId="48"/>
      <queryTableField id="18" name="PaidToDate" tableColumnId="49"/>
      <queryTableField id="19" name="DiscountToDate" tableColumnId="50"/>
      <queryTableField id="20" name="CreditMemoToDate" tableColumnId="51"/>
      <queryTableField id="21" name="WriteOffToDate" tableColumnId="52"/>
      <queryTableField id="22" name="OpenBalance" tableColumnId="53"/>
      <queryTableField id="23" name="OverAppliedAmount" tableColumnId="54"/>
      <queryTableField id="24" name="IsOpen" tableColumnId="55"/>
      <queryTableField id="25" name="IsPastDue" tableColumnId="56"/>
      <queryTableField id="26" name="DaysPastDue" tableColumnId="57"/>
      <queryTableField id="27" name="BucketKey" tableColumnId="58"/>
      <queryTableField id="28" name="BucketName" tableColumnId="59"/>
      <queryTableField id="29" name="RiskWeight" tableColumnId="60"/>
      <queryTableField id="30" name="IsDisputedOpen" tableColumnId="61"/>
      <queryTableField id="31" name="DisputeReason" tableColumnId="6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CEBF9B12-7AD8-43E7-937D-FDAF7FB665A6}" autoFormatId="0" applyNumberFormats="0" applyBorderFormats="0" applyFontFormats="1" applyPatternFormats="1" applyAlignmentFormats="0" applyWidthHeightFormats="0">
  <queryTableRefresh nextId="31">
    <queryTableFields count="30">
      <queryTableField id="1" name="PriorityRank" tableColumnId="31"/>
      <queryTableField id="2" name="CollectorRank" tableColumnId="32"/>
      <queryTableField id="3" name="CustomerID" tableColumnId="33"/>
      <queryTableField id="4" name="CustomerName" tableColumnId="34"/>
      <queryTableField id="5" name="Segment" tableColumnId="35"/>
      <queryTableField id="6" name="Region" tableColumnId="36"/>
      <queryTableField id="7" name="RiskTier" tableColumnId="37"/>
      <queryTableField id="8" name="CollectorID" tableColumnId="38"/>
      <queryTableField id="9" name="CollectorName" tableColumnId="39"/>
      <queryTableField id="10" name="Team" tableColumnId="40"/>
      <queryTableField id="11" name="TermsCode" tableColumnId="41"/>
      <queryTableField id="12" name="OpenBalance" tableColumnId="42"/>
      <queryTableField id="13" name="PastDueBalance" tableColumnId="43"/>
      <queryTableField id="14" name="Balance90Plus" tableColumnId="44"/>
      <queryTableField id="15" name="DisputedBalance" tableColumnId="45"/>
      <queryTableField id="16" name="WeightedExposure" tableColumnId="46"/>
      <queryTableField id="17" name="DisputedWeightedExposure" tableColumnId="47"/>
      <queryTableField id="18" name="CollectableExposure" tableColumnId="48"/>
      <queryTableField id="19" name="NetCollectablePosition" tableColumnId="49"/>
      <queryTableField id="20" name="IsFullyOffsetByCash" tableColumnId="50"/>
      <queryTableField id="21" name="OldestDaysPastDue" tableColumnId="51"/>
      <queryTableField id="22" name="CreditUtilizationPct" tableColumnId="52"/>
      <queryTableField id="23" name="AvgDaysLateHistoric" tableColumnId="53"/>
      <queryTableField id="24" name="UnappliedCash" tableColumnId="54"/>
      <queryTableField id="25" name="NetExposure" tableColumnId="55"/>
      <queryTableField id="26" name="BrokenPromises90d" tableColumnId="56"/>
      <queryTableField id="27" name="ActionCode" tableColumnId="57"/>
      <queryTableField id="28" name="CreditHoldFlag" tableColumnId="58"/>
      <queryTableField id="29" name="IsTodaysWorklist" tableColumnId="59"/>
      <queryTableField id="30" name="RecommendedAction" tableColumnId="6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1A1C2BBD-AB34-4CC0-9CEF-45CD666D5AF7}" autoFormatId="0" applyNumberFormats="0" applyBorderFormats="0" applyFontFormats="1" applyPatternFormats="1" applyAlignmentFormats="0" applyWidthHeightFormats="0">
  <queryTableRefresh nextId="35">
    <queryTableFields count="34">
      <queryTableField id="1" name="YearMonth" tableColumnId="35"/>
      <queryTableField id="2" name="AsOfDate" tableColumnId="36"/>
      <queryTableField id="3" name="BeginAR" tableColumnId="37"/>
      <queryTableField id="4" name="MonthSales" tableColumnId="38"/>
      <queryTableField id="5" name="EndAR" tableColumnId="39"/>
      <queryTableField id="6" name="EndCurrentAR" tableColumnId="40"/>
      <queryTableField id="7" name="PastDueAR" tableColumnId="41"/>
      <queryTableField id="8" name="AR90Plus" tableColumnId="42"/>
      <queryTableField id="9" name="DisputedAR" tableColumnId="43"/>
      <queryTableField id="10" name="OpenInvoices" tableColumnId="44"/>
      <queryTableField id="11" name="PastDueInvoices" tableColumnId="45"/>
      <queryTableField id="12" name="Invoices90Plus" tableColumnId="46"/>
      <queryTableField id="13" name="CashApplied" tableColumnId="47"/>
      <queryTableField id="14" name="CashReceived" tableColumnId="48"/>
      <queryTableField id="15" name="CashAppliedLessReceived" tableColumnId="49"/>
      <queryTableField id="16" name="UnappliedCash" tableColumnId="50"/>
      <queryTableField id="17" name="UnappliedCashPct" tableColumnId="51"/>
      <queryTableField id="18" name="WriteOffs" tableColumnId="52"/>
      <queryTableField id="19" name="CreditMemos" tableColumnId="53"/>
      <queryTableField id="20" name="DSO_Countback" tableColumnId="54"/>
      <queryTableField id="21" name="DSO_Simple" tableColumnId="55"/>
      <queryTableField id="22" name="BPDSO_Countback" tableColumnId="56"/>
      <queryTableField id="23" name="AvgDaysDelinquent" tableColumnId="57"/>
      <queryTableField id="24" name="DSO_MethodGap" tableColumnId="58"/>
      <queryTableField id="25" name="CollectableBase" tableColumnId="59"/>
      <queryTableField id="26" name="CEI_Book" tableColumnId="60"/>
      <queryTableField id="27" name="CEI_Cash" tableColumnId="61"/>
      <queryTableField id="28" name="PaperCollectionsGap" tableColumnId="62"/>
      <queryTableField id="29" name="PctPastDue" tableColumnId="63"/>
      <queryTableField id="30" name="Pct90Plus" tableColumnId="64"/>
      <queryTableField id="31" name="PctDisputed" tableColumnId="65"/>
      <queryTableField id="32" name="PctPastDueByCount" tableColumnId="66"/>
      <queryTableField id="33" name="Pct90PlusByCount" tableColumnId="67"/>
      <queryTableField id="34" name="IsComparablePeriod" tableColumnId="6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30A7D395-CE22-4704-92CA-090156753B17}" autoFormatId="0" applyNumberFormats="0" applyBorderFormats="0" applyFontFormats="1" applyPatternFormats="1" applyAlignmentFormats="0" applyWidthHeightFormats="0">
  <queryTableRefresh nextId="19">
    <queryTableFields count="18">
      <queryTableField id="1" name="AsOfDate" tableColumnId="19"/>
      <queryTableField id="2" name="TotalAR" tableColumnId="20"/>
      <queryTableField id="3" name="CurrentAR" tableColumnId="21"/>
      <queryTableField id="4" name="DisputedPastDueAR" tableColumnId="22"/>
      <queryTableField id="5" name="UndisputedPastDueAR" tableColumnId="23"/>
      <queryTableField id="6" name="SalesPerDay" tableColumnId="24"/>
      <queryTableField id="7" name="DSO_Classic" tableColumnId="25"/>
      <queryTableField id="8" name="GrantedDays" tableColumnId="26"/>
      <queryTableField id="9" name="DisputeDays" tableColumnId="27"/>
      <queryTableField id="10" name="LatenessDays" tableColumnId="28"/>
      <queryTableField id="11" name="WeightedAvgTermsDays" tableColumnId="29"/>
      <queryTableField id="12" name="TermsPositionDays" tableColumnId="30"/>
      <queryTableField id="13" name="RecoverableDays" tableColumnId="31"/>
      <queryTableField id="14" name="RecoverableCash" tableColumnId="32"/>
      <queryTableField id="15" name="BillingLagDays" tableColumnId="33"/>
      <queryTableField id="16" name="CashCycleDays" tableColumnId="34"/>
      <queryTableField id="17" name="CashPerLagDay" tableColumnId="35"/>
      <queryTableField id="18" name="IsComparablePeriod" tableColumnId="3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80079F5C-BD80-4045-92C5-5205FEA01A75}" autoFormatId="0" applyNumberFormats="0" applyBorderFormats="0" applyFontFormats="1" applyPatternFormats="1" applyAlignmentFormats="0" applyWidthHeightFormats="0">
  <queryTableRefresh nextId="11">
    <queryTableFields count="10">
      <queryTableField id="1" name="YearMonth" tableColumnId="11"/>
      <queryTableField id="2" name="MonthEndDate" tableColumnId="12"/>
      <queryTableField id="3" name="DaysInMonth" tableColumnId="13"/>
      <queryTableField id="4" name="CreditSales" tableColumnId="14"/>
      <queryTableField id="5" name="InvoiceCount" tableColumnId="15"/>
      <queryTableField id="6" name="WeightedAvgTermsDays" tableColumnId="16"/>
      <queryTableField id="7" name="PctDollarsNet30" tableColumnId="17"/>
      <queryTableField id="8" name="PctDollarsNet45" tableColumnId="18"/>
      <queryTableField id="9" name="PctDollarsNet60" tableColumnId="19"/>
      <queryTableField id="10" name="PctDollarsExtended" tableColumnId="2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8FE835EA-AFCC-47C1-B776-3D8299AB4196}" autoFormatId="0" applyNumberFormats="0" applyBorderFormats="0" applyFontFormats="1" applyPatternFormats="1" applyAlignmentFormats="0" applyWidthHeightFormats="0">
  <queryTableRefresh nextId="7">
    <queryTableFields count="6">
      <queryTableField id="1" name="MetricName" tableColumnId="7"/>
      <queryTableField id="2" name="TargetValue" tableColumnId="8"/>
      <queryTableField id="3" name="WarningValue" tableColumnId="9"/>
      <queryTableField id="4" name="Direction" tableColumnId="10"/>
      <queryTableField id="5" name="Unit" tableColumnId="11"/>
      <queryTableField id="6" name="Description"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828E520E-BD79-47CE-B8DD-39187059A8C3}" autoFormatId="0" applyNumberFormats="0" applyBorderFormats="0" applyFontFormats="1" applyPatternFormats="1" applyAlignmentFormats="0" applyWidthHeightFormats="0">
  <queryTableRefresh nextId="6">
    <queryTableFields count="5">
      <queryTableField id="1" name="BucketKey" tableColumnId="6"/>
      <queryTableField id="2" name="BucketName" tableColumnId="7"/>
      <queryTableField id="3" name="MinDaysPastDue" tableColumnId="8"/>
      <queryTableField id="4" name="MaxDaysPastDue" tableColumnId="9"/>
      <queryTableField id="5" name="RiskWeight"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0EA7A1A7-1D51-422E-9043-B9396005F73D}" autoFormatId="0" applyNumberFormats="0" applyBorderFormats="0" applyFontFormats="1" applyPatternFormats="1" applyAlignmentFormats="0" applyWidthHeightFormats="0">
  <queryTableRefresh nextId="16">
    <queryTableFields count="15">
      <queryTableField id="1" name="CustomerKey" tableColumnId="16"/>
      <queryTableField id="2" name="CustomerID" tableColumnId="17"/>
      <queryTableField id="3" name="CustomerName" tableColumnId="18"/>
      <queryTableField id="4" name="Segment" tableColumnId="19"/>
      <queryTableField id="5" name="Region" tableColumnId="20"/>
      <queryTableField id="6" name="CollectorName" tableColumnId="21"/>
      <queryTableField id="7" name="UnappliedCash" tableColumnId="22"/>
      <queryTableField id="8" name="UnappliedReceipts" tableColumnId="23"/>
      <queryTableField id="9" name="FullyUnappliedReceipts" tableColumnId="24"/>
      <queryTableField id="10" name="NoRemittanceAdvice" tableColumnId="25"/>
      <queryTableField id="11" name="OldestUnappliedDays" tableColumnId="26"/>
      <queryTableField id="12" name="OpenBalance" tableColumnId="27"/>
      <queryTableField id="13" name="PastDueBalance" tableColumnId="28"/>
      <queryTableField id="14" name="NetExposure" tableColumnId="29"/>
      <queryTableField id="15" name="WronglyChaseable" tableColumnId="3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84181C7F-1CE4-44FB-A6ED-0A57B8D11210}" autoFormatId="0" applyNumberFormats="0" applyBorderFormats="0" applyFontFormats="1" applyPatternFormats="1" applyAlignmentFormats="0" applyWidthHeightFormats="0">
  <queryTableRefresh nextId="14">
    <queryTableFields count="13">
      <queryTableField id="1" name="PromiseNo" tableColumnId="14"/>
      <queryTableField id="2" name="CustomerID" tableColumnId="15"/>
      <queryTableField id="3" name="CustomerName" tableColumnId="16"/>
      <queryTableField id="4" name="RiskTier" tableColumnId="17"/>
      <queryTableField id="5" name="Segment" tableColumnId="18"/>
      <queryTableField id="6" name="CollectorName" tableColumnId="19"/>
      <queryTableField id="7" name="PromiseMadeDate" tableColumnId="20"/>
      <queryTableField id="8" name="PromisedPayDate" tableColumnId="21"/>
      <queryTableField id="9" name="PromisedAmount" tableColumnId="22"/>
      <queryTableField id="10" name="CashInWindow" tableColumnId="23"/>
      <queryTableField id="11" name="PctOfPromise" tableColumnId="24"/>
      <queryTableField id="12" name="DaysSincePromised" tableColumnId="25"/>
      <queryTableField id="13" name="PromiseStatus" tableColumnId="2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C283B25F-CA02-409E-89BE-6292993260D8}" autoFormatId="0" applyNumberFormats="0" applyBorderFormats="0" applyFontFormats="1" applyPatternFormats="1" applyAlignmentFormats="0" applyWidthHeightFormats="0">
  <queryTableRefresh nextId="7">
    <queryTableFields count="6">
      <queryTableField id="1" name="YearMonth" tableColumnId="7"/>
      <queryTableField id="2" name="MonthEndDate" tableColumnId="8"/>
      <queryTableField id="3" name="Region" tableColumnId="9"/>
      <queryTableField id="4" name="InvoiceCount" tableColumnId="10"/>
      <queryTableField id="5" name="CreditSales" tableColumnId="11"/>
      <queryTableField id="6" name="BillingLagDays" tableColumnId="1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703C960-C105-404F-8035-86F06FDA6C34}" autoFormatId="0" applyNumberFormats="0" applyBorderFormats="0" applyFontFormats="1" applyPatternFormats="1" applyAlignmentFormats="0" applyWidthHeightFormats="0">
  <queryTableRefresh nextId="9">
    <queryTableFields count="8">
      <queryTableField id="1" name="AnomalyType" tableColumnId="9"/>
      <queryTableField id="2" name="Severity" tableColumnId="10"/>
      <queryTableField id="3" name="ImpactClass" tableColumnId="11"/>
      <queryTableField id="4" name="Anomalies" tableColumnId="12"/>
      <queryTableField id="5" name="AmountAtRisk" tableColumnId="13"/>
      <queryTableField id="6" name="PopulationScanned" tableColumnId="14"/>
      <queryTableField id="7" name="AnomalyRatePct" tableColumnId="15"/>
      <queryTableField id="8" name="CountsTowardExposure"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329F2D-1183-42C6-BE07-617513B5EF0B}" name="tOpenItems" displayName="tOpenItems" ref="A1:AE2347" tableType="queryTable" totalsRowShown="0" headerRowDxfId="59">
  <autoFilter ref="A1:AE2347" xr:uid="{24329F2D-1183-42C6-BE07-617513B5EF0B}"/>
  <tableColumns count="31">
    <tableColumn id="32" xr3:uid="{71E7A30E-3251-4474-B67D-ADE82C99250F}" uniqueName="32" name="InvoiceNo" queryTableFieldId="1" dataDxfId="74"/>
    <tableColumn id="33" xr3:uid="{7AC95FF8-77F4-43B9-AB68-AF516FE7148F}" uniqueName="33" name="CustomerID" queryTableFieldId="2" dataDxfId="73"/>
    <tableColumn id="34" xr3:uid="{A42544AA-89B1-4AB8-966C-E43704CB1EC6}" uniqueName="34" name="CustomerName" queryTableFieldId="3" dataDxfId="72"/>
    <tableColumn id="35" xr3:uid="{3BDAB3E8-492B-4226-8D7C-9A48A596133D}" uniqueName="35" name="Segment" queryTableFieldId="4" dataDxfId="71"/>
    <tableColumn id="36" xr3:uid="{D4C2BE29-FE11-4BB5-A94D-48868F367DFD}" uniqueName="36" name="Region" queryTableFieldId="5" dataDxfId="70"/>
    <tableColumn id="37" xr3:uid="{70AA0B19-DC77-47F2-AF43-66B4E1EAF0C3}" uniqueName="37" name="SalesRep" queryTableFieldId="6" dataDxfId="69"/>
    <tableColumn id="38" xr3:uid="{75AC931E-1005-47CF-8A94-24DBC8F045A7}" uniqueName="38" name="RiskTier" queryTableFieldId="7" dataDxfId="68"/>
    <tableColumn id="39" xr3:uid="{8E5D9A13-E908-4468-B837-088A15EB064B}" uniqueName="39" name="CreditLimit" queryTableFieldId="8"/>
    <tableColumn id="40" xr3:uid="{E1E7255D-EB7F-4081-9609-1CC85C54DE84}" uniqueName="40" name="CollectorID" queryTableFieldId="9" dataDxfId="67"/>
    <tableColumn id="41" xr3:uid="{E7AE5393-F129-461E-8554-61B4528F806A}" uniqueName="41" name="CollectorName" queryTableFieldId="10" dataDxfId="66"/>
    <tableColumn id="42" xr3:uid="{FCF3D142-978D-4887-AF1C-643E54A041FC}" uniqueName="42" name="Team" queryTableFieldId="11" dataDxfId="65"/>
    <tableColumn id="43" xr3:uid="{841713B6-9726-4047-8B5C-EBFB10C7AB0B}" uniqueName="43" name="TermsCode" queryTableFieldId="12" dataDxfId="64"/>
    <tableColumn id="44" xr3:uid="{E80FBA7E-E806-4572-A9EE-F5495C72C7E0}" uniqueName="44" name="NetDays" queryTableFieldId="13"/>
    <tableColumn id="45" xr3:uid="{5EFC01D6-D2B7-4BF8-8913-8A2141EF6977}" uniqueName="45" name="DiscountPct" queryTableFieldId="14"/>
    <tableColumn id="46" xr3:uid="{4510DD58-8EB8-4A1D-9E3D-8C8390932F13}" uniqueName="46" name="InvoiceDate" queryTableFieldId="15" dataDxfId="63"/>
    <tableColumn id="47" xr3:uid="{51702110-1CE5-48D0-B75B-86572F81AB9F}" uniqueName="47" name="DueDate" queryTableFieldId="16" dataDxfId="62"/>
    <tableColumn id="48" xr3:uid="{BA83E55D-5B5F-4F83-BBB3-C1847B660F77}" uniqueName="48" name="InvoiceAmount" queryTableFieldId="17"/>
    <tableColumn id="49" xr3:uid="{50357CF8-0D5B-43E4-9802-7DC3D88ED769}" uniqueName="49" name="PaidToDate" queryTableFieldId="18"/>
    <tableColumn id="50" xr3:uid="{C4530D93-FF0B-425C-B167-C2D523742262}" uniqueName="50" name="DiscountToDate" queryTableFieldId="19"/>
    <tableColumn id="51" xr3:uid="{CDB8047C-2C23-41B2-BEBF-B4B64C1A6F80}" uniqueName="51" name="CreditMemoToDate" queryTableFieldId="20"/>
    <tableColumn id="52" xr3:uid="{408C688A-E96F-4C0B-9236-3E3166B52D5B}" uniqueName="52" name="WriteOffToDate" queryTableFieldId="21"/>
    <tableColumn id="53" xr3:uid="{A38E0E39-A3B8-427C-8D1B-C5324FFB1FBE}" uniqueName="53" name="OpenBalance" queryTableFieldId="22"/>
    <tableColumn id="54" xr3:uid="{2C7A1703-F819-421A-A5DC-AE386A10498A}" uniqueName="54" name="OverAppliedAmount" queryTableFieldId="23"/>
    <tableColumn id="55" xr3:uid="{120417E6-11D1-479D-A6C0-FA125C59DA1E}" uniqueName="55" name="IsOpen" queryTableFieldId="24"/>
    <tableColumn id="56" xr3:uid="{D0D57280-03F7-4E7C-9C46-3ED01EAC9EA4}" uniqueName="56" name="IsPastDue" queryTableFieldId="25"/>
    <tableColumn id="57" xr3:uid="{073C9868-DC01-44A8-A8EB-1EC9062D9E35}" uniqueName="57" name="DaysPastDue" queryTableFieldId="26"/>
    <tableColumn id="58" xr3:uid="{CC7CE95A-529F-4E11-A268-094656D346BF}" uniqueName="58" name="BucketKey" queryTableFieldId="27"/>
    <tableColumn id="59" xr3:uid="{B6222604-6285-4DEA-8D7D-57188C2164D2}" uniqueName="59" name="BucketName" queryTableFieldId="28" dataDxfId="61"/>
    <tableColumn id="60" xr3:uid="{57215FFE-FF93-48FF-940A-43718A587B8B}" uniqueName="60" name="RiskWeight" queryTableFieldId="29"/>
    <tableColumn id="61" xr3:uid="{D7A34527-BE1E-4EB6-BDFB-FE2173F95121}" uniqueName="61" name="IsDisputedOpen" queryTableFieldId="30"/>
    <tableColumn id="62" xr3:uid="{507B47C4-3198-43C7-89E0-504423C89584}" uniqueName="62" name="DisputeReason" queryTableFieldId="31" dataDxfId="6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50C68C-AE47-4957-8F59-A628A89A6239}" name="tQueue" displayName="tQueue" ref="A1:AD273" tableType="queryTable" totalsRowShown="0" headerRowDxfId="47">
  <autoFilter ref="A1:AD273" xr:uid="{7050C68C-AE47-4957-8F59-A628A89A6239}"/>
  <tableColumns count="30">
    <tableColumn id="31" xr3:uid="{6ED23921-56E7-4C51-B5A6-5ABEB89AF9C3}" uniqueName="31" name="PriorityRank" queryTableFieldId="1"/>
    <tableColumn id="32" xr3:uid="{1419E109-6980-4229-B8A6-1D8CABE90F9F}" uniqueName="32" name="CollectorRank" queryTableFieldId="2"/>
    <tableColumn id="33" xr3:uid="{9665C26B-874E-4A0C-B4B9-C75A8F044F96}" uniqueName="33" name="CustomerID" queryTableFieldId="3" dataDxfId="58"/>
    <tableColumn id="34" xr3:uid="{DE9FD521-ABCB-4069-ABC9-1BCE7DDD513C}" uniqueName="34" name="CustomerName" queryTableFieldId="4" dataDxfId="57"/>
    <tableColumn id="35" xr3:uid="{589806A7-14FF-45DA-80C3-128DBD2B1EF4}" uniqueName="35" name="Segment" queryTableFieldId="5" dataDxfId="56"/>
    <tableColumn id="36" xr3:uid="{60E0AE67-EA4F-4A12-884B-B2417049350E}" uniqueName="36" name="Region" queryTableFieldId="6" dataDxfId="55"/>
    <tableColumn id="37" xr3:uid="{63753F38-A10C-4765-8CDA-901DDD8EAAED}" uniqueName="37" name="RiskTier" queryTableFieldId="7" dataDxfId="54"/>
    <tableColumn id="38" xr3:uid="{4F6BE8A9-F614-4A2F-8FAE-1329989C1A22}" uniqueName="38" name="CollectorID" queryTableFieldId="8" dataDxfId="53"/>
    <tableColumn id="39" xr3:uid="{200CC903-2222-4FA6-81DD-4E5705E0F9AC}" uniqueName="39" name="CollectorName" queryTableFieldId="9" dataDxfId="52"/>
    <tableColumn id="40" xr3:uid="{3CE29216-BC66-4132-BF1F-7A436175C955}" uniqueName="40" name="Team" queryTableFieldId="10" dataDxfId="51"/>
    <tableColumn id="41" xr3:uid="{E1F6F54D-A86F-4468-B498-219D644DD6BE}" uniqueName="41" name="TermsCode" queryTableFieldId="11" dataDxfId="50"/>
    <tableColumn id="42" xr3:uid="{54456F46-2E1A-40BE-BFD0-0CF73A3F4D20}" uniqueName="42" name="OpenBalance" queryTableFieldId="12"/>
    <tableColumn id="43" xr3:uid="{A216039A-18DC-4B79-A2AF-A9607E701DCC}" uniqueName="43" name="PastDueBalance" queryTableFieldId="13"/>
    <tableColumn id="44" xr3:uid="{9BE21AE2-BE38-4A3E-9713-069829E7BCA3}" uniqueName="44" name="Balance90Plus" queryTableFieldId="14"/>
    <tableColumn id="45" xr3:uid="{1CC50CE0-1D81-4A9E-9CD5-85B4EC27FC16}" uniqueName="45" name="DisputedBalance" queryTableFieldId="15"/>
    <tableColumn id="46" xr3:uid="{6A20712F-A96E-4DA6-9028-368F34FACF7D}" uniqueName="46" name="WeightedExposure" queryTableFieldId="16"/>
    <tableColumn id="47" xr3:uid="{C77AD9E7-08E1-4F51-AEC9-234E15F9E1C6}" uniqueName="47" name="DisputedWeightedExposure" queryTableFieldId="17"/>
    <tableColumn id="48" xr3:uid="{62D9E089-2BF2-4BA0-B950-0A6E08A323B8}" uniqueName="48" name="CollectableExposure" queryTableFieldId="18"/>
    <tableColumn id="49" xr3:uid="{C99807B9-E79D-46EF-8102-771563044DBB}" uniqueName="49" name="NetCollectablePosition" queryTableFieldId="19"/>
    <tableColumn id="50" xr3:uid="{D56BB12B-CE09-48E0-A5FF-E41617814A9F}" uniqueName="50" name="IsFullyOffsetByCash" queryTableFieldId="20"/>
    <tableColumn id="51" xr3:uid="{1160B50B-0AB8-4DF6-B82F-274087359196}" uniqueName="51" name="OldestDaysPastDue" queryTableFieldId="21"/>
    <tableColumn id="52" xr3:uid="{E24AACFE-2756-4ECF-947F-9B8E2E95437C}" uniqueName="52" name="CreditUtilizationPct" queryTableFieldId="22"/>
    <tableColumn id="53" xr3:uid="{DC0B6438-0EC1-4D93-9E38-72ED90AA88CE}" uniqueName="53" name="AvgDaysLateHistoric" queryTableFieldId="23"/>
    <tableColumn id="54" xr3:uid="{F98BB7DA-DCE0-438A-A7C9-3B114740C7D8}" uniqueName="54" name="UnappliedCash" queryTableFieldId="24"/>
    <tableColumn id="55" xr3:uid="{3F2A33D2-CF97-4DBA-8F8B-93A0D3D758E9}" uniqueName="55" name="NetExposure" queryTableFieldId="25"/>
    <tableColumn id="56" xr3:uid="{469E3C0E-D295-4ED3-89CE-255FD0078C5A}" uniqueName="56" name="BrokenPromises90d" queryTableFieldId="26"/>
    <tableColumn id="57" xr3:uid="{B592D483-9510-474B-9912-86BB90076B22}" uniqueName="57" name="ActionCode" queryTableFieldId="27" dataDxfId="49"/>
    <tableColumn id="58" xr3:uid="{9F4A4A2D-F82A-4810-A8D4-60781BB6B424}" uniqueName="58" name="CreditHoldFlag" queryTableFieldId="28"/>
    <tableColumn id="59" xr3:uid="{957763BE-6804-4C87-8F8B-2F369670B1FF}" uniqueName="59" name="IsTodaysWorklist" queryTableFieldId="29"/>
    <tableColumn id="60" xr3:uid="{C7E9EA6C-A480-45BD-85B7-4D82DBA7A4AD}" uniqueName="60" name="RecommendedAction" queryTableFieldId="30" dataDxfId="4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0D3CB0-3A2F-4A6A-A8FE-44774DA3FAC9}" name="tKPI" displayName="tKPI" ref="A1:AH24" tableType="queryTable" totalsRowShown="0" headerRowDxfId="44">
  <autoFilter ref="A1:AH24" xr:uid="{640D3CB0-3A2F-4A6A-A8FE-44774DA3FAC9}"/>
  <tableColumns count="34">
    <tableColumn id="35" xr3:uid="{ADAC9EA5-3FA3-4AF1-8ED6-0AD0CEF18B56}" uniqueName="35" name="YearMonth" queryTableFieldId="1" dataDxfId="46"/>
    <tableColumn id="36" xr3:uid="{0340BDA9-7B09-4992-9865-CC6DC92B4297}" uniqueName="36" name="AsOfDate" queryTableFieldId="2" dataDxfId="45"/>
    <tableColumn id="37" xr3:uid="{19218600-D1B0-4C6A-ADE2-E8FF4C27703C}" uniqueName="37" name="BeginAR" queryTableFieldId="3"/>
    <tableColumn id="38" xr3:uid="{86EF5BEC-88E2-454A-BA59-590519915952}" uniqueName="38" name="MonthSales" queryTableFieldId="4"/>
    <tableColumn id="39" xr3:uid="{4A794742-36E3-44D4-BE17-06FBDE6A6CD0}" uniqueName="39" name="EndAR" queryTableFieldId="5"/>
    <tableColumn id="40" xr3:uid="{601B022D-1730-4436-9C95-69B20681EE25}" uniqueName="40" name="EndCurrentAR" queryTableFieldId="6"/>
    <tableColumn id="41" xr3:uid="{4E37B95A-A8FA-4B0F-83D1-227848F81A9C}" uniqueName="41" name="PastDueAR" queryTableFieldId="7"/>
    <tableColumn id="42" xr3:uid="{D5DE5C7D-E621-4D95-BC87-D2B24BE7AAF2}" uniqueName="42" name="AR90Plus" queryTableFieldId="8"/>
    <tableColumn id="43" xr3:uid="{29692ADB-4309-4F99-8439-DFA309AF0E1D}" uniqueName="43" name="DisputedAR" queryTableFieldId="9"/>
    <tableColumn id="44" xr3:uid="{783D5458-C504-4B58-BBB9-15DFDF62FEDF}" uniqueName="44" name="OpenInvoices" queryTableFieldId="10"/>
    <tableColumn id="45" xr3:uid="{E28D3556-2C4A-40BC-A472-9E69769B4DE8}" uniqueName="45" name="PastDueInvoices" queryTableFieldId="11"/>
    <tableColumn id="46" xr3:uid="{6A66F241-79ED-4DBA-AF19-E5285E936EC1}" uniqueName="46" name="Invoices90Plus" queryTableFieldId="12"/>
    <tableColumn id="47" xr3:uid="{BFEEFD47-1BA7-46AA-8987-9F865C669536}" uniqueName="47" name="CashApplied" queryTableFieldId="13"/>
    <tableColumn id="48" xr3:uid="{D9F102F6-4755-4CB0-A417-A7A42F642D8D}" uniqueName="48" name="CashReceived" queryTableFieldId="14"/>
    <tableColumn id="49" xr3:uid="{6EECBEBF-A866-420E-AE08-B8DD0F526910}" uniqueName="49" name="CashAppliedLessReceived" queryTableFieldId="15"/>
    <tableColumn id="50" xr3:uid="{1AA8CB55-3DD7-4E11-9214-A03F783E630C}" uniqueName="50" name="UnappliedCash" queryTableFieldId="16"/>
    <tableColumn id="51" xr3:uid="{3E9D46FD-87F4-4966-99BC-4918CF9C62E2}" uniqueName="51" name="UnappliedCashPct" queryTableFieldId="17"/>
    <tableColumn id="52" xr3:uid="{1B50EA32-49C0-4505-8C95-D7615E6CB6CB}" uniqueName="52" name="WriteOffs" queryTableFieldId="18"/>
    <tableColumn id="53" xr3:uid="{DDD2398E-6DE7-402A-8F96-0A67AAE45F49}" uniqueName="53" name="CreditMemos" queryTableFieldId="19"/>
    <tableColumn id="54" xr3:uid="{E135CBB6-15A8-4E06-99AF-3B3CE83086C9}" uniqueName="54" name="DSO_Countback" queryTableFieldId="20"/>
    <tableColumn id="55" xr3:uid="{84100D85-F388-4EB4-B827-D324AE8B104F}" uniqueName="55" name="DSO_Simple" queryTableFieldId="21"/>
    <tableColumn id="56" xr3:uid="{C8109590-2892-4F8D-B596-371C81A49C94}" uniqueName="56" name="BPDSO_Countback" queryTableFieldId="22"/>
    <tableColumn id="57" xr3:uid="{B61F67EC-675C-4A79-B305-C4D933931099}" uniqueName="57" name="AvgDaysDelinquent" queryTableFieldId="23"/>
    <tableColumn id="58" xr3:uid="{83474513-BFBA-46F7-A923-71F8118C5243}" uniqueName="58" name="DSO_MethodGap" queryTableFieldId="24"/>
    <tableColumn id="59" xr3:uid="{BF855A17-21C4-4AEC-9172-B59182172C11}" uniqueName="59" name="CollectableBase" queryTableFieldId="25"/>
    <tableColumn id="60" xr3:uid="{0AE10DB8-ADB6-4043-83CA-F932AFFC56CB}" uniqueName="60" name="CEI_Book" queryTableFieldId="26"/>
    <tableColumn id="61" xr3:uid="{7F2DB09A-4A66-4FE4-AC17-2769681D4503}" uniqueName="61" name="CEI_Cash" queryTableFieldId="27"/>
    <tableColumn id="62" xr3:uid="{C68811C8-2833-4D83-8D96-F30E39346A3E}" uniqueName="62" name="PaperCollectionsGap" queryTableFieldId="28"/>
    <tableColumn id="63" xr3:uid="{BDD6377E-9444-477B-92D5-4ACD09660F3B}" uniqueName="63" name="PctPastDue" queryTableFieldId="29"/>
    <tableColumn id="64" xr3:uid="{B14A34FF-591F-461B-8B0D-05E87734D5FA}" uniqueName="64" name="Pct90Plus" queryTableFieldId="30"/>
    <tableColumn id="65" xr3:uid="{57D19CFA-79C5-4F57-ABAB-D25BE72D895A}" uniqueName="65" name="PctDisputed" queryTableFieldId="31"/>
    <tableColumn id="66" xr3:uid="{4CFF1051-49DC-4892-B97A-4C505325D7B6}" uniqueName="66" name="PctPastDueByCount" queryTableFieldId="32"/>
    <tableColumn id="67" xr3:uid="{A348DE7C-F236-4839-B123-CA03F21FFBFD}" uniqueName="67" name="Pct90PlusByCount" queryTableFieldId="33"/>
    <tableColumn id="68" xr3:uid="{D92B307A-AF34-440E-B245-9B50B782AB28}" uniqueName="68" name="IsComparablePeriod" queryTableFieldId="3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CD7478-0611-4EDE-8454-F1DD1E0B8574}" name="tBridge" displayName="tBridge" ref="A1:R24" tableType="queryTable" totalsRowShown="0" headerRowDxfId="42">
  <autoFilter ref="A1:R24" xr:uid="{46CD7478-0611-4EDE-8454-F1DD1E0B8574}"/>
  <tableColumns count="18">
    <tableColumn id="19" xr3:uid="{E420F943-23E1-48F0-B0F7-500CE58A7AAA}" uniqueName="19" name="AsOfDate" queryTableFieldId="1" dataDxfId="43"/>
    <tableColumn id="20" xr3:uid="{A2416BBC-896F-461E-AEF5-C50538F5BE20}" uniqueName="20" name="TotalAR" queryTableFieldId="2"/>
    <tableColumn id="21" xr3:uid="{DF91D8FE-296D-4C75-958C-4F9DB79F8094}" uniqueName="21" name="CurrentAR" queryTableFieldId="3"/>
    <tableColumn id="22" xr3:uid="{A62A8E4F-0E57-4CBD-ABC2-C5D807FF5F6D}" uniqueName="22" name="DisputedPastDueAR" queryTableFieldId="4"/>
    <tableColumn id="23" xr3:uid="{55B3B40E-5DAB-440E-9709-0F5FE2FC910C}" uniqueName="23" name="UndisputedPastDueAR" queryTableFieldId="5"/>
    <tableColumn id="24" xr3:uid="{2772384F-3CFF-47B4-9CB7-A97D11D82F2C}" uniqueName="24" name="SalesPerDay" queryTableFieldId="6"/>
    <tableColumn id="25" xr3:uid="{8187A76D-E815-4372-848E-2D76B553F9DF}" uniqueName="25" name="DSO_Classic" queryTableFieldId="7"/>
    <tableColumn id="26" xr3:uid="{FDA60744-EA61-415D-BCDB-0E00EC312FCB}" uniqueName="26" name="GrantedDays" queryTableFieldId="8"/>
    <tableColumn id="27" xr3:uid="{24234B67-2F00-42E1-9E21-27328A6F62DB}" uniqueName="27" name="DisputeDays" queryTableFieldId="9"/>
    <tableColumn id="28" xr3:uid="{9AC01061-6923-4BA2-B95E-A54300F50364}" uniqueName="28" name="LatenessDays" queryTableFieldId="10"/>
    <tableColumn id="29" xr3:uid="{6EC5F6A5-FC4E-401A-9166-AA6032A17B1C}" uniqueName="29" name="WeightedAvgTermsDays" queryTableFieldId="11"/>
    <tableColumn id="30" xr3:uid="{A5C48C8A-AB40-4B76-BA09-0CF67563B546}" uniqueName="30" name="TermsPositionDays" queryTableFieldId="12"/>
    <tableColumn id="31" xr3:uid="{A30D29DF-0051-4681-87C0-57A0FC5318A2}" uniqueName="31" name="RecoverableDays" queryTableFieldId="13"/>
    <tableColumn id="32" xr3:uid="{6901CBE5-0C70-4B12-9CB5-669FDA97E1A8}" uniqueName="32" name="RecoverableCash" queryTableFieldId="14"/>
    <tableColumn id="33" xr3:uid="{1AC4EEBD-E767-4163-AD13-F75918E530A4}" uniqueName="33" name="BillingLagDays" queryTableFieldId="15"/>
    <tableColumn id="34" xr3:uid="{36872C62-4FAE-4473-B129-5C30B68F11F3}" uniqueName="34" name="CashCycleDays" queryTableFieldId="16"/>
    <tableColumn id="35" xr3:uid="{F3DD9D3E-3BC8-488E-8F76-B90D779A3C93}" uniqueName="35" name="CashPerLagDay" queryTableFieldId="17"/>
    <tableColumn id="36" xr3:uid="{F86DB605-E4F0-4324-8741-9B1EAE8C1A05}" uniqueName="36" name="IsComparablePeriod" queryTableFieldId="1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DA3262-FB17-4878-968A-A7E844A93BA8}" name="tSales" displayName="tSales" ref="A1:J25" tableType="queryTable" totalsRowShown="0" headerRowDxfId="39">
  <autoFilter ref="A1:J25" xr:uid="{F8DA3262-FB17-4878-968A-A7E844A93BA8}"/>
  <tableColumns count="10">
    <tableColumn id="11" xr3:uid="{DC97D266-E083-423C-B2B4-2DD66B35DD36}" uniqueName="11" name="YearMonth" queryTableFieldId="1" dataDxfId="41"/>
    <tableColumn id="12" xr3:uid="{D51BF8EE-3EF7-4901-BDE1-731EA730F051}" uniqueName="12" name="MonthEndDate" queryTableFieldId="2" dataDxfId="40"/>
    <tableColumn id="13" xr3:uid="{9EF09E08-79CF-4090-B209-7F70EE4C4157}" uniqueName="13" name="DaysInMonth" queryTableFieldId="3"/>
    <tableColumn id="14" xr3:uid="{26A5C595-C775-45A9-8AF8-362FB6C07410}" uniqueName="14" name="CreditSales" queryTableFieldId="4"/>
    <tableColumn id="15" xr3:uid="{27EAEABB-AFBF-42A2-875F-11E21617D4B5}" uniqueName="15" name="InvoiceCount" queryTableFieldId="5"/>
    <tableColumn id="16" xr3:uid="{D8A87BF8-2074-4BF1-B79E-69F1A04E83D5}" uniqueName="16" name="WeightedAvgTermsDays" queryTableFieldId="6"/>
    <tableColumn id="17" xr3:uid="{7674031A-B687-44B5-A850-2DAAC83CCD9A}" uniqueName="17" name="PctDollarsNet30" queryTableFieldId="7"/>
    <tableColumn id="18" xr3:uid="{CD0D7AF2-6369-4F69-93AE-B4936616A773}" uniqueName="18" name="PctDollarsNet45" queryTableFieldId="8"/>
    <tableColumn id="19" xr3:uid="{AB9BE37A-F08D-4E1B-B0B6-E75302967ADD}" uniqueName="19" name="PctDollarsNet60" queryTableFieldId="9"/>
    <tableColumn id="20" xr3:uid="{C278733A-A4D2-4128-9CB5-367AF2F03AE0}" uniqueName="20" name="PctDollarsExtended" queryTableField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77B25F9-F388-4588-8A37-7DD2A8570F46}" name="tTargets" displayName="tTargets" ref="A1:F11" tableType="queryTable" totalsRowShown="0" headerRowDxfId="34">
  <autoFilter ref="A1:F11" xr:uid="{177B25F9-F388-4588-8A37-7DD2A8570F46}"/>
  <tableColumns count="6">
    <tableColumn id="7" xr3:uid="{3BFF88F8-E205-4E6E-A721-A7313EED1B3E}" uniqueName="7" name="MetricName" queryTableFieldId="1" dataDxfId="38"/>
    <tableColumn id="8" xr3:uid="{1881E87E-4DB9-4994-A5A8-3069DFB8B020}" uniqueName="8" name="TargetValue" queryTableFieldId="2"/>
    <tableColumn id="9" xr3:uid="{8B765439-BC5D-4DBC-AB94-A1CC0D5CA71F}" uniqueName="9" name="WarningValue" queryTableFieldId="3"/>
    <tableColumn id="10" xr3:uid="{B46348F0-DF1C-490B-990B-E0F2ABB983C8}" uniqueName="10" name="Direction" queryTableFieldId="4" dataDxfId="37"/>
    <tableColumn id="11" xr3:uid="{966D237C-123C-4BE5-9F57-7D8F97BB17E9}" uniqueName="11" name="Unit" queryTableFieldId="5" dataDxfId="36"/>
    <tableColumn id="12" xr3:uid="{6CA6CC31-81BB-4B86-A7EF-E4564B7B0E20}" uniqueName="12" name="Description" queryTableFieldId="6" dataDxfId="3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50EB7E-5BE0-4822-AADE-14F0A1A4AB25}" name="tBuckets" displayName="tBuckets" ref="A1:E6" tableType="queryTable" totalsRowShown="0" headerRowDxfId="32">
  <autoFilter ref="A1:E6" xr:uid="{8B50EB7E-5BE0-4822-AADE-14F0A1A4AB25}"/>
  <tableColumns count="5">
    <tableColumn id="6" xr3:uid="{6273587D-DA8D-4D54-83FA-F7C54C838ED1}" uniqueName="6" name="BucketKey" queryTableFieldId="1"/>
    <tableColumn id="7" xr3:uid="{C4127ED7-6C8A-4722-977B-FBB9BF0A8FF3}" uniqueName="7" name="BucketName" queryTableFieldId="2" dataDxfId="33"/>
    <tableColumn id="8" xr3:uid="{AF78B6D4-B91B-4489-A0F3-5B29E9074340}" uniqueName="8" name="MinDaysPastDue" queryTableFieldId="3"/>
    <tableColumn id="9" xr3:uid="{EB59205D-2F99-493C-8C0D-4582302CD375}" uniqueName="9" name="MaxDaysPastDue" queryTableFieldId="4"/>
    <tableColumn id="10" xr3:uid="{ED79897F-BB1B-40A2-8EB0-090BF5DC92E6}" uniqueName="10" name="RiskWeight" queryTableField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A699DA5-9A5E-4D46-A5A1-7C819D807998}" name="tCashApp" displayName="tCashApp" ref="A1:O98" tableType="queryTable" totalsRowShown="0" headerRowDxfId="26">
  <autoFilter ref="A1:O98" xr:uid="{BA699DA5-9A5E-4D46-A5A1-7C819D807998}"/>
  <tableColumns count="15">
    <tableColumn id="16" xr3:uid="{0D15F909-B4E3-483F-81F2-F7C5FD8523F7}" uniqueName="16" name="CustomerKey" queryTableFieldId="1"/>
    <tableColumn id="17" xr3:uid="{450CF66A-6C8F-46E0-A7BD-DA552BB78CB5}" uniqueName="17" name="CustomerID" queryTableFieldId="2" dataDxfId="31"/>
    <tableColumn id="18" xr3:uid="{D54D387C-F110-4B25-A87F-034ED372FA71}" uniqueName="18" name="CustomerName" queryTableFieldId="3" dataDxfId="30"/>
    <tableColumn id="19" xr3:uid="{DF22F6A4-79C0-458E-8EB1-C0DB182A438B}" uniqueName="19" name="Segment" queryTableFieldId="4" dataDxfId="29"/>
    <tableColumn id="20" xr3:uid="{E93DE1E8-AF4D-4AEF-8BC5-834BE00FD493}" uniqueName="20" name="Region" queryTableFieldId="5" dataDxfId="28"/>
    <tableColumn id="21" xr3:uid="{70A14BC7-FAAD-4C14-B335-E64C42A0C9D4}" uniqueName="21" name="CollectorName" queryTableFieldId="6" dataDxfId="27"/>
    <tableColumn id="22" xr3:uid="{8390572C-B568-40D0-966C-726D23F31130}" uniqueName="22" name="UnappliedCash" queryTableFieldId="7"/>
    <tableColumn id="23" xr3:uid="{889A63FC-9208-4735-86A0-A8AAB01EB2F6}" uniqueName="23" name="UnappliedReceipts" queryTableFieldId="8"/>
    <tableColumn id="24" xr3:uid="{CF2128B5-6F6D-4CC9-8F9C-9354407D9EA9}" uniqueName="24" name="FullyUnappliedReceipts" queryTableFieldId="9"/>
    <tableColumn id="25" xr3:uid="{57891BF4-A9DC-448B-8957-E62FB75983C4}" uniqueName="25" name="NoRemittanceAdvice" queryTableFieldId="10"/>
    <tableColumn id="26" xr3:uid="{8CF56D19-AE06-472C-BC02-9F036C83AACE}" uniqueName="26" name="OldestUnappliedDays" queryTableFieldId="11"/>
    <tableColumn id="27" xr3:uid="{714A6577-17DA-43C2-8904-ED894DB46355}" uniqueName="27" name="OpenBalance" queryTableFieldId="12"/>
    <tableColumn id="28" xr3:uid="{8B98394E-077A-4F92-A593-85A5136810BB}" uniqueName="28" name="PastDueBalance" queryTableFieldId="13"/>
    <tableColumn id="29" xr3:uid="{9BC2B33D-978A-4205-85F2-1B74F01FD5C1}" uniqueName="29" name="NetExposure" queryTableFieldId="14"/>
    <tableColumn id="30" xr3:uid="{A0F8D397-3112-4E9B-A990-4F9AB2C35789}" uniqueName="30" name="WronglyChaseable" queryTableFieldId="1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08D2D58-8E72-4328-9D68-7684566DD714}" name="tPromise" displayName="tPromise" ref="A1:M1348" tableType="queryTable" totalsRowShown="0" headerRowDxfId="16">
  <autoFilter ref="A1:M1348" xr:uid="{A08D2D58-8E72-4328-9D68-7684566DD714}"/>
  <tableColumns count="13">
    <tableColumn id="14" xr3:uid="{50E24E9C-6C87-4203-8604-D87FE2E99980}" uniqueName="14" name="PromiseNo" queryTableFieldId="1" dataDxfId="25"/>
    <tableColumn id="15" xr3:uid="{99C08F89-52F9-47EF-966B-B31BF4F22BFE}" uniqueName="15" name="CustomerID" queryTableFieldId="2" dataDxfId="24"/>
    <tableColumn id="16" xr3:uid="{E7E3AC51-AF9D-4BAD-B015-BA9274E733B5}" uniqueName="16" name="CustomerName" queryTableFieldId="3" dataDxfId="23"/>
    <tableColumn id="17" xr3:uid="{EC0A18C3-29BF-4C7C-A9B2-9EA91B3F4DBD}" uniqueName="17" name="RiskTier" queryTableFieldId="4" dataDxfId="22"/>
    <tableColumn id="18" xr3:uid="{AE6B787D-E35D-4018-BE5C-D95884E42437}" uniqueName="18" name="Segment" queryTableFieldId="5" dataDxfId="21"/>
    <tableColumn id="19" xr3:uid="{42F85C52-FB9F-46B6-96F3-E195EB32F64E}" uniqueName="19" name="CollectorName" queryTableFieldId="6" dataDxfId="20"/>
    <tableColumn id="20" xr3:uid="{39754AE0-6A0A-489E-AEE1-5222EC70937A}" uniqueName="20" name="PromiseMadeDate" queryTableFieldId="7" dataDxfId="19"/>
    <tableColumn id="21" xr3:uid="{35580A01-D669-4579-B1BE-E900C8745D05}" uniqueName="21" name="PromisedPayDate" queryTableFieldId="8" dataDxfId="18"/>
    <tableColumn id="22" xr3:uid="{BBD1C641-61FC-4449-B3DE-47AA3C07C2B3}" uniqueName="22" name="PromisedAmount" queryTableFieldId="9"/>
    <tableColumn id="23" xr3:uid="{2BE471EE-FB3A-4506-95D9-34DB35793E76}" uniqueName="23" name="CashInWindow" queryTableFieldId="10"/>
    <tableColumn id="24" xr3:uid="{6719FDD3-1797-4520-9577-9C5B13325CA6}" uniqueName="24" name="PctOfPromise" queryTableFieldId="11"/>
    <tableColumn id="25" xr3:uid="{FE38B985-E60E-4D2E-8717-EA4BDCEF3276}" uniqueName="25" name="DaysSincePromised" queryTableFieldId="12"/>
    <tableColumn id="26" xr3:uid="{3FEE9CBA-0029-4B80-9BBB-46E77A734764}" uniqueName="26" name="PromiseStatus" queryTableFieldId="13" dataDxfId="1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A566792-8B6E-42B8-BEF5-65F8F101839C}" name="tLag" displayName="tLag" ref="A1:F121" tableType="queryTable" totalsRowShown="0" headerRowDxfId="12">
  <autoFilter ref="A1:F121" xr:uid="{7A566792-8B6E-42B8-BEF5-65F8F101839C}"/>
  <tableColumns count="6">
    <tableColumn id="7" xr3:uid="{1105F6D1-9312-48B9-B3BD-37BA7517166A}" uniqueName="7" name="YearMonth" queryTableFieldId="1" dataDxfId="15"/>
    <tableColumn id="8" xr3:uid="{5A036951-15A7-4A87-8C40-EE0B629BBCA8}" uniqueName="8" name="MonthEndDate" queryTableFieldId="2" dataDxfId="14"/>
    <tableColumn id="9" xr3:uid="{FD513A00-DE77-4FBF-986D-8DFBF85A4D30}" uniqueName="9" name="Region" queryTableFieldId="3" dataDxfId="13"/>
    <tableColumn id="10" xr3:uid="{51D4555F-D202-4E15-9167-D79C2D708E6C}" uniqueName="10" name="InvoiceCount" queryTableFieldId="4"/>
    <tableColumn id="11" xr3:uid="{9E0747B5-2D4D-4043-9CB8-F85E6C08FF0A}" uniqueName="11" name="CreditSales" queryTableFieldId="5"/>
    <tableColumn id="12" xr3:uid="{ED3A4F5F-E0CA-464F-85DE-C029BA586A59}" uniqueName="12" name="BillingLagDays" queryTableFieldId="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7151BA5-C4CC-438E-8333-B608F05002E3}" name="tDQ" displayName="tDQ" ref="A1:H13" tableType="queryTable" totalsRowShown="0" headerRowDxfId="8">
  <autoFilter ref="A1:H13" xr:uid="{F7151BA5-C4CC-438E-8333-B608F05002E3}"/>
  <tableColumns count="8">
    <tableColumn id="9" xr3:uid="{D2A3CFF5-24D4-4CC5-9AFE-F5FFFA7EF0AE}" uniqueName="9" name="AnomalyType" queryTableFieldId="1" dataDxfId="11"/>
    <tableColumn id="10" xr3:uid="{667F8826-2331-4D4C-83F2-0B5FEEAE6F02}" uniqueName="10" name="Severity" queryTableFieldId="2" dataDxfId="10"/>
    <tableColumn id="11" xr3:uid="{A904451D-A7E1-4F4C-AE2F-3A99064955DA}" uniqueName="11" name="ImpactClass" queryTableFieldId="3" dataDxfId="9"/>
    <tableColumn id="12" xr3:uid="{D0130B2B-50FA-42AE-9CF7-7EA149CF1134}" uniqueName="12" name="Anomalies" queryTableFieldId="4"/>
    <tableColumn id="13" xr3:uid="{9A9FBD2E-6B72-4C83-9E49-2D1BBC729BA4}" uniqueName="13" name="AmountAtRisk" queryTableFieldId="5"/>
    <tableColumn id="14" xr3:uid="{869981DF-5ABA-4D96-8394-4C8EEC9EEE06}" uniqueName="14" name="PopulationScanned" queryTableFieldId="6"/>
    <tableColumn id="15" xr3:uid="{DB862635-9415-4315-9BDD-D1501DC6BE4D}" uniqueName="15" name="AnomalyRatePct" queryTableFieldId="7"/>
    <tableColumn id="16" xr3:uid="{2859CBE3-6A9B-4D7E-91B2-ABFAE37CA7F6}" uniqueName="16" name="CountsTowardExposure"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B7F44-675C-4DAA-B3F3-BB6FFF92B996}">
  <dimension ref="A1:A60"/>
  <sheetViews>
    <sheetView tabSelected="1" workbookViewId="0"/>
  </sheetViews>
  <sheetFormatPr defaultRowHeight="14.5" x14ac:dyDescent="0.35"/>
  <cols>
    <col min="1" max="1" width="130.6328125" customWidth="1"/>
  </cols>
  <sheetData>
    <row r="1" spans="1:1" ht="21" x14ac:dyDescent="0.5">
      <c r="A1" s="36" t="s">
        <v>0</v>
      </c>
    </row>
    <row r="2" spans="1:1" x14ac:dyDescent="0.35">
      <c r="A2" s="37"/>
    </row>
    <row r="3" spans="1:1" x14ac:dyDescent="0.35">
      <c r="A3" s="37" t="s">
        <v>4910</v>
      </c>
    </row>
    <row r="4" spans="1:1" x14ac:dyDescent="0.35">
      <c r="A4" s="37"/>
    </row>
    <row r="5" spans="1:1" x14ac:dyDescent="0.35">
      <c r="A5" s="38" t="s">
        <v>4911</v>
      </c>
    </row>
    <row r="6" spans="1:1" x14ac:dyDescent="0.35">
      <c r="A6" s="37" t="s">
        <v>4912</v>
      </c>
    </row>
    <row r="7" spans="1:1" x14ac:dyDescent="0.35">
      <c r="A7" s="37"/>
    </row>
    <row r="8" spans="1:1" x14ac:dyDescent="0.35">
      <c r="A8" s="38" t="s">
        <v>4913</v>
      </c>
    </row>
    <row r="9" spans="1:1" x14ac:dyDescent="0.35">
      <c r="A9" s="37" t="s">
        <v>4914</v>
      </c>
    </row>
    <row r="10" spans="1:1" x14ac:dyDescent="0.35">
      <c r="A10" s="37" t="s">
        <v>4915</v>
      </c>
    </row>
    <row r="11" spans="1:1" x14ac:dyDescent="0.35">
      <c r="A11" s="37" t="s">
        <v>4916</v>
      </c>
    </row>
    <row r="12" spans="1:1" x14ac:dyDescent="0.35">
      <c r="A12" s="37" t="s">
        <v>4917</v>
      </c>
    </row>
    <row r="13" spans="1:1" x14ac:dyDescent="0.35">
      <c r="A13" s="37" t="s">
        <v>4918</v>
      </c>
    </row>
    <row r="14" spans="1:1" x14ac:dyDescent="0.35">
      <c r="A14" s="37" t="s">
        <v>4919</v>
      </c>
    </row>
    <row r="15" spans="1:1" x14ac:dyDescent="0.35">
      <c r="A15" s="37" t="s">
        <v>4920</v>
      </c>
    </row>
    <row r="16" spans="1:1" x14ac:dyDescent="0.35">
      <c r="A16" s="37" t="s">
        <v>4921</v>
      </c>
    </row>
    <row r="17" spans="1:1" x14ac:dyDescent="0.35">
      <c r="A17" s="37"/>
    </row>
    <row r="18" spans="1:1" x14ac:dyDescent="0.35">
      <c r="A18" s="38" t="s">
        <v>4922</v>
      </c>
    </row>
    <row r="19" spans="1:1" x14ac:dyDescent="0.35">
      <c r="A19" s="37" t="s">
        <v>4923</v>
      </c>
    </row>
    <row r="20" spans="1:1" x14ac:dyDescent="0.35">
      <c r="A20" s="37" t="s">
        <v>4924</v>
      </c>
    </row>
    <row r="21" spans="1:1" x14ac:dyDescent="0.35">
      <c r="A21" s="37" t="s">
        <v>4925</v>
      </c>
    </row>
    <row r="22" spans="1:1" x14ac:dyDescent="0.35">
      <c r="A22" s="37" t="s">
        <v>4926</v>
      </c>
    </row>
    <row r="23" spans="1:1" x14ac:dyDescent="0.35">
      <c r="A23" s="37"/>
    </row>
    <row r="24" spans="1:1" x14ac:dyDescent="0.35">
      <c r="A24" s="38" t="s">
        <v>4927</v>
      </c>
    </row>
    <row r="25" spans="1:1" x14ac:dyDescent="0.35">
      <c r="A25" s="37" t="s">
        <v>4928</v>
      </c>
    </row>
    <row r="26" spans="1:1" x14ac:dyDescent="0.35">
      <c r="A26" s="39" t="s">
        <v>4929</v>
      </c>
    </row>
    <row r="27" spans="1:1" x14ac:dyDescent="0.35">
      <c r="A27" s="39" t="s">
        <v>4930</v>
      </c>
    </row>
    <row r="28" spans="1:1" x14ac:dyDescent="0.35">
      <c r="A28" s="39" t="s">
        <v>4931</v>
      </c>
    </row>
    <row r="29" spans="1:1" x14ac:dyDescent="0.35">
      <c r="A29" s="39" t="s">
        <v>4932</v>
      </c>
    </row>
    <row r="30" spans="1:1" x14ac:dyDescent="0.35">
      <c r="A30" s="37"/>
    </row>
    <row r="31" spans="1:1" x14ac:dyDescent="0.35">
      <c r="A31" s="38" t="s">
        <v>4933</v>
      </c>
    </row>
    <row r="32" spans="1:1" x14ac:dyDescent="0.35">
      <c r="A32" s="37" t="s">
        <v>4934</v>
      </c>
    </row>
    <row r="33" spans="1:1" x14ac:dyDescent="0.35">
      <c r="A33" s="37"/>
    </row>
    <row r="34" spans="1:1" x14ac:dyDescent="0.35">
      <c r="A34" s="38" t="s">
        <v>4935</v>
      </c>
    </row>
    <row r="35" spans="1:1" x14ac:dyDescent="0.35">
      <c r="A35" s="37" t="s">
        <v>4936</v>
      </c>
    </row>
    <row r="36" spans="1:1" x14ac:dyDescent="0.35">
      <c r="A36" s="37"/>
    </row>
    <row r="37" spans="1:1" x14ac:dyDescent="0.35">
      <c r="A37" s="37"/>
    </row>
    <row r="38" spans="1:1" x14ac:dyDescent="0.35">
      <c r="A38" s="37"/>
    </row>
    <row r="39" spans="1:1" x14ac:dyDescent="0.35">
      <c r="A39" s="37"/>
    </row>
    <row r="40" spans="1:1" x14ac:dyDescent="0.35">
      <c r="A40" s="37"/>
    </row>
    <row r="41" spans="1:1" x14ac:dyDescent="0.35">
      <c r="A41" s="37"/>
    </row>
    <row r="42" spans="1:1" x14ac:dyDescent="0.35">
      <c r="A42" s="37"/>
    </row>
    <row r="43" spans="1:1" x14ac:dyDescent="0.35">
      <c r="A43" s="37"/>
    </row>
    <row r="44" spans="1:1" x14ac:dyDescent="0.35">
      <c r="A44" s="37"/>
    </row>
    <row r="45" spans="1:1" x14ac:dyDescent="0.35">
      <c r="A45" s="37"/>
    </row>
    <row r="46" spans="1:1" x14ac:dyDescent="0.35">
      <c r="A46" s="37"/>
    </row>
    <row r="47" spans="1:1" x14ac:dyDescent="0.35">
      <c r="A47" s="37"/>
    </row>
    <row r="48" spans="1:1" x14ac:dyDescent="0.35">
      <c r="A48" s="37"/>
    </row>
    <row r="49" spans="1:1" x14ac:dyDescent="0.35">
      <c r="A49" s="37"/>
    </row>
    <row r="50" spans="1:1" x14ac:dyDescent="0.35">
      <c r="A50" s="37"/>
    </row>
    <row r="51" spans="1:1" x14ac:dyDescent="0.35">
      <c r="A51" s="37"/>
    </row>
    <row r="52" spans="1:1" x14ac:dyDescent="0.35">
      <c r="A52" s="37"/>
    </row>
    <row r="53" spans="1:1" x14ac:dyDescent="0.35">
      <c r="A53" s="37"/>
    </row>
    <row r="54" spans="1:1" x14ac:dyDescent="0.35">
      <c r="A54" s="37"/>
    </row>
    <row r="55" spans="1:1" x14ac:dyDescent="0.35">
      <c r="A55" s="37"/>
    </row>
    <row r="56" spans="1:1" x14ac:dyDescent="0.35">
      <c r="A56" s="37"/>
    </row>
    <row r="57" spans="1:1" x14ac:dyDescent="0.35">
      <c r="A57" s="37"/>
    </row>
    <row r="58" spans="1:1" x14ac:dyDescent="0.35">
      <c r="A58" s="37"/>
    </row>
    <row r="59" spans="1:1" x14ac:dyDescent="0.35">
      <c r="A59" s="37"/>
    </row>
    <row r="60" spans="1:1" x14ac:dyDescent="0.35">
      <c r="A60" s="3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3F635-BAE0-480A-B116-6887A4582EE5}">
  <dimension ref="A1:H38"/>
  <sheetViews>
    <sheetView workbookViewId="0"/>
  </sheetViews>
  <sheetFormatPr defaultRowHeight="14.5" x14ac:dyDescent="0.35"/>
  <cols>
    <col min="1" max="1" width="32.6328125" customWidth="1"/>
    <col min="2" max="2" width="13.6328125" customWidth="1"/>
    <col min="3" max="3" width="15.6328125" customWidth="1"/>
    <col min="4" max="4" width="13.6328125" customWidth="1"/>
    <col min="5" max="5" width="30.6328125" customWidth="1"/>
    <col min="6" max="6" width="12.6328125" customWidth="1"/>
    <col min="7" max="7" width="16.6328125" customWidth="1"/>
    <col min="8" max="8" width="44.6328125" customWidth="1"/>
  </cols>
  <sheetData>
    <row r="1" spans="1:8" ht="23.5" x14ac:dyDescent="0.55000000000000004">
      <c r="A1" s="21" t="s">
        <v>4784</v>
      </c>
    </row>
    <row r="2" spans="1:8" x14ac:dyDescent="0.35">
      <c r="A2" s="2" t="str">
        <f>"Reporting date: "&amp;TEXT(AsOfDate,"d mmmm yyyy")&amp;"   |   Fictional company, synthetic data, no production system."</f>
        <v>Reporting date: 31 December 2025   |   Fictional company, synthetic data, no production system.</v>
      </c>
    </row>
    <row r="4" spans="1:8" x14ac:dyDescent="0.35">
      <c r="A4" s="4" t="s">
        <v>4785</v>
      </c>
      <c r="B4" s="22"/>
      <c r="C4" s="22"/>
      <c r="D4" s="22"/>
      <c r="E4" s="22"/>
      <c r="F4" s="22"/>
      <c r="G4" s="22"/>
      <c r="H4" s="22"/>
    </row>
    <row r="5" spans="1:8" ht="30" customHeight="1" x14ac:dyDescent="0.35">
      <c r="A5" s="11" t="s">
        <v>4786</v>
      </c>
      <c r="B5" s="11"/>
      <c r="C5" s="11"/>
      <c r="D5" s="11"/>
      <c r="E5" s="11"/>
      <c r="F5" s="11"/>
      <c r="G5" s="11"/>
      <c r="H5" s="11"/>
    </row>
    <row r="7" spans="1:8" x14ac:dyDescent="0.35">
      <c r="A7" s="3" t="s">
        <v>4787</v>
      </c>
      <c r="E7" s="3" t="s">
        <v>4797</v>
      </c>
    </row>
    <row r="8" spans="1:8" x14ac:dyDescent="0.35">
      <c r="A8" t="s">
        <v>4788</v>
      </c>
      <c r="C8" s="18">
        <f>SUM(tOpenItems[OpenBalance])</f>
        <v>10847081.490000004</v>
      </c>
      <c r="E8" s="16" t="s">
        <v>4798</v>
      </c>
      <c r="F8" s="16" t="s">
        <v>3331</v>
      </c>
      <c r="G8" s="16" t="s">
        <v>4799</v>
      </c>
      <c r="H8" s="16" t="s">
        <v>4800</v>
      </c>
    </row>
    <row r="9" spans="1:8" x14ac:dyDescent="0.35">
      <c r="A9" t="s">
        <v>4789</v>
      </c>
      <c r="C9" s="18">
        <f>SUMIFS(tOpenItems[OpenBalance],tOpenItems[DaysPastDue],"&lt;=0")</f>
        <v>8095793.7799999882</v>
      </c>
      <c r="E9" t="s">
        <v>4801</v>
      </c>
      <c r="F9" s="19">
        <f>C9*$C$15/$C$14</f>
        <v>45.96792343226452</v>
      </c>
      <c r="G9" s="18">
        <f>C9</f>
        <v>8095793.7799999882</v>
      </c>
      <c r="H9" t="s">
        <v>4802</v>
      </c>
    </row>
    <row r="10" spans="1:8" x14ac:dyDescent="0.35">
      <c r="A10" t="s">
        <v>4790</v>
      </c>
      <c r="C10" s="18">
        <f>SUMIFS(tOpenItems[OpenBalance],tOpenItems[DaysPastDue],"&gt;0",tOpenItems[IsDisputedOpen],1)</f>
        <v>154864.71000000002</v>
      </c>
      <c r="E10" t="s">
        <v>4803</v>
      </c>
      <c r="F10" s="19">
        <f>C10*$C$15/$C$14</f>
        <v>0.87932194483835546</v>
      </c>
      <c r="G10" s="18">
        <f>C10</f>
        <v>154864.71000000002</v>
      </c>
      <c r="H10" t="s">
        <v>4804</v>
      </c>
    </row>
    <row r="11" spans="1:8" x14ac:dyDescent="0.35">
      <c r="A11" t="s">
        <v>4791</v>
      </c>
      <c r="C11" s="18">
        <f>SUMIFS(tOpenItems[OpenBalance],tOpenItems[DaysPastDue],"&gt;0",tOpenItems[IsDisputedOpen],0)</f>
        <v>2596423.0000000009</v>
      </c>
      <c r="E11" t="s">
        <v>4805</v>
      </c>
      <c r="F11" s="19">
        <f>C11*$C$15/$C$14</f>
        <v>14.742491830340418</v>
      </c>
      <c r="G11" s="18">
        <f>C11</f>
        <v>2596423.0000000009</v>
      </c>
      <c r="H11" t="s">
        <v>4806</v>
      </c>
    </row>
    <row r="12" spans="1:8" x14ac:dyDescent="0.35">
      <c r="A12" t="s">
        <v>4792</v>
      </c>
      <c r="C12" s="18">
        <f>SUMIFS(tOpenItems[OpenBalance],tOpenItems[DaysPastDue],"&gt;"&amp;Bucket90Threshold)</f>
        <v>362863.78</v>
      </c>
      <c r="E12" s="3" t="s">
        <v>4807</v>
      </c>
      <c r="F12" s="25">
        <f>C8*$C$15/$C$14</f>
        <v>61.589737207443378</v>
      </c>
      <c r="G12" s="24">
        <f>C8</f>
        <v>10847081.490000004</v>
      </c>
      <c r="H12" s="3"/>
    </row>
    <row r="13" spans="1:8" x14ac:dyDescent="0.35">
      <c r="A13" t="s">
        <v>4793</v>
      </c>
      <c r="C13" s="23">
        <f>COUNTA(tOpenItems[InvoiceNo])</f>
        <v>2346</v>
      </c>
      <c r="E13" t="s">
        <v>4808</v>
      </c>
      <c r="F13" s="26">
        <f>ROUND(F9+F10+F11-F12,10)</f>
        <v>0</v>
      </c>
      <c r="H13" t="str">
        <f>IF(ABS(F13)&lt;0.0000001,"Identity holds","BRIDGE DOES NOT CLOSE")</f>
        <v>Identity holds</v>
      </c>
    </row>
    <row r="14" spans="1:8" x14ac:dyDescent="0.35">
      <c r="A14" t="s">
        <v>4794</v>
      </c>
      <c r="C14" s="18">
        <f>SUMIFS(tSales[CreditSales],tSales[MonthEndDate],"&gt;"&amp;EOMONTH(AsOfDate,-12),tSales[MonthEndDate],"&lt;="&amp;AsOfDate)</f>
        <v>64283189.429999992</v>
      </c>
      <c r="E14" t="s">
        <v>4809</v>
      </c>
      <c r="F14" s="19">
        <f>SUMPRODUCT((tSales[MonthEndDate]&gt;EOMONTH(AsOfDate,-12))*(tSales[MonthEndDate]&lt;=AsOfDate)*tSales[CreditSales]*tSales[WeightedAvgTermsDays])/$C$14</f>
        <v>46.675073247796071</v>
      </c>
      <c r="H14" t="s">
        <v>4810</v>
      </c>
    </row>
    <row r="15" spans="1:8" x14ac:dyDescent="0.35">
      <c r="A15" t="s">
        <v>4795</v>
      </c>
      <c r="C15" s="23">
        <f>SUMIFS(tSales[DaysInMonth],tSales[MonthEndDate],"&gt;"&amp;EOMONTH(AsOfDate,-12),tSales[MonthEndDate],"&lt;="&amp;AsOfDate)</f>
        <v>365</v>
      </c>
      <c r="E15" t="s">
        <v>4811</v>
      </c>
      <c r="F15" s="19">
        <f>INDEX(tTargets[TargetValue],MATCH("DSO",tTargets[MetricName],0))</f>
        <v>45</v>
      </c>
    </row>
    <row r="16" spans="1:8" x14ac:dyDescent="0.35">
      <c r="A16" t="s">
        <v>4796</v>
      </c>
      <c r="C16" s="18">
        <f>C14/C15</f>
        <v>176118.32720547944</v>
      </c>
      <c r="E16" t="s">
        <v>4812</v>
      </c>
      <c r="F16" s="19">
        <f>F15-F14</f>
        <v>-1.675073247796071</v>
      </c>
      <c r="H16" s="3" t="str">
        <f>IF(F16&lt;0,"TARGET IS BELOW THE TERMS FLOOR -- unachievable","Achievable: "&amp;TEXT(F16,"0.0")&amp;" days of collection allowance")</f>
        <v>TARGET IS BELOW THE TERMS FLOOR -- unachievable</v>
      </c>
    </row>
    <row r="17" spans="1:8" x14ac:dyDescent="0.35">
      <c r="E17" t="s">
        <v>4813</v>
      </c>
      <c r="F17" s="19">
        <f>SUMPRODUCT((tLag[MonthEndDate]&gt;EOMONTH(AsOfDate,-12))*(tLag[MonthEndDate]&lt;=AsOfDate)*tLag[CreditSales]*tLag[BillingLagDays])/SUMPRODUCT((tLag[MonthEndDate]&gt;EOMONTH(AsOfDate,-12))*(tLag[MonthEndDate]&lt;=AsOfDate)*tLag[CreditSales])</f>
        <v>1.784124438708641</v>
      </c>
      <c r="H17" t="s">
        <v>4814</v>
      </c>
    </row>
    <row r="18" spans="1:8" x14ac:dyDescent="0.35">
      <c r="E18" s="3" t="s">
        <v>4815</v>
      </c>
      <c r="F18" s="25">
        <f>F17+F12</f>
        <v>63.373861646152015</v>
      </c>
      <c r="G18" s="3"/>
      <c r="H18" s="3" t="str">
        <f>"Larger than the DSO anyone is reporting, by "&amp;TEXT(F17,"0.00")&amp;" days"</f>
        <v>Larger than the DSO anyone is reporting, by 1.78 days</v>
      </c>
    </row>
    <row r="20" spans="1:8" x14ac:dyDescent="0.35">
      <c r="A20" s="3" t="s">
        <v>4816</v>
      </c>
    </row>
    <row r="21" spans="1:8" x14ac:dyDescent="0.35">
      <c r="A21" s="4" t="s">
        <v>4817</v>
      </c>
      <c r="B21" s="4" t="s">
        <v>4818</v>
      </c>
      <c r="C21" s="4" t="s">
        <v>4819</v>
      </c>
      <c r="D21" s="4" t="s">
        <v>4820</v>
      </c>
      <c r="E21" s="4" t="s">
        <v>4821</v>
      </c>
      <c r="F21" s="4" t="s">
        <v>4822</v>
      </c>
      <c r="G21" s="4" t="s">
        <v>4823</v>
      </c>
    </row>
    <row r="22" spans="1:8" x14ac:dyDescent="0.35">
      <c r="A22" t="s">
        <v>4824</v>
      </c>
      <c r="B22" s="19">
        <f>xlDSOCountback</f>
        <v>63.07106598105009</v>
      </c>
      <c r="C22" s="19">
        <f>INDEX(tTargets[TargetValue],MATCH("DSO",tTargets[MetricName],0))</f>
        <v>45</v>
      </c>
      <c r="D22" s="19">
        <f>INDEX(tTargets[WarningValue],MATCH("DSO",tTargets[MetricName],0))</f>
        <v>55</v>
      </c>
      <c r="E22" s="28" t="str">
        <f>IF(INDEX(tTargets[Direction],MATCH("DSO",tTargets[MetricName],0))="LowerBetter",IF(B22&lt;=C22,"Green",IF(B22&lt;=D22,"Amber","Red")),IF(B22&gt;=C22,"Green",IF(B22&gt;=D22,"Amber","Red")))</f>
        <v>Red</v>
      </c>
      <c r="F22" s="27">
        <f>IF(INDEX(tTargets[Direction],MATCH("DSO",tTargets[MetricName],0))="LowerBetter",B22-C22,C22-B22)</f>
        <v>18.07106598105009</v>
      </c>
      <c r="G22" t="s">
        <v>4825</v>
      </c>
    </row>
    <row r="23" spans="1:8" x14ac:dyDescent="0.35">
      <c r="A23" t="s">
        <v>4826</v>
      </c>
      <c r="B23" s="19">
        <f>xlADD</f>
        <v>16.799999999999997</v>
      </c>
      <c r="C23" s="19">
        <f>INDEX(tTargets[TargetValue],MATCH("AvgDaysDelinquent",tTargets[MetricName],0))</f>
        <v>8</v>
      </c>
      <c r="D23" s="19">
        <f>INDEX(tTargets[WarningValue],MATCH("AvgDaysDelinquent",tTargets[MetricName],0))</f>
        <v>15</v>
      </c>
      <c r="E23" s="28" t="str">
        <f>IF(INDEX(tTargets[Direction],MATCH("AvgDaysDelinquent",tTargets[MetricName],0))="LowerBetter",IF(B23&lt;=C23,"Green",IF(B23&lt;=D23,"Amber","Red")),IF(B23&gt;=C23,"Green",IF(B23&gt;=D23,"Amber","Red")))</f>
        <v>Red</v>
      </c>
      <c r="F23" s="27">
        <f>IF(INDEX(tTargets[Direction],MATCH("AvgDaysDelinquent",tTargets[MetricName],0))="LowerBetter",B23-C23,C23-B23)</f>
        <v>8.7999999999999972</v>
      </c>
      <c r="G23" t="s">
        <v>4827</v>
      </c>
    </row>
    <row r="24" spans="1:8" x14ac:dyDescent="0.35">
      <c r="A24" t="s">
        <v>4828</v>
      </c>
      <c r="B24" s="19">
        <f>100*($C$10+$C$11)/$C$8</f>
        <v>25.364313087685673</v>
      </c>
      <c r="C24" s="19">
        <f>INDEX(tTargets[TargetValue],MATCH("PctPastDue",tTargets[MetricName],0))</f>
        <v>15</v>
      </c>
      <c r="D24" s="19">
        <f>INDEX(tTargets[WarningValue],MATCH("PctPastDue",tTargets[MetricName],0))</f>
        <v>25</v>
      </c>
      <c r="E24" s="28" t="str">
        <f>IF(INDEX(tTargets[Direction],MATCH("PctPastDue",tTargets[MetricName],0))="LowerBetter",IF(B24&lt;=C24,"Green",IF(B24&lt;=D24,"Amber","Red")),IF(B24&gt;=C24,"Green",IF(B24&gt;=D24,"Amber","Red")))</f>
        <v>Red</v>
      </c>
      <c r="F24" s="27">
        <f>IF(INDEX(tTargets[Direction],MATCH("PctPastDue",tTargets[MetricName],0))="LowerBetter",B24-C24,C24-B24)</f>
        <v>10.364313087685673</v>
      </c>
      <c r="G24" t="s">
        <v>4829</v>
      </c>
    </row>
    <row r="25" spans="1:8" x14ac:dyDescent="0.35">
      <c r="A25" t="s">
        <v>4830</v>
      </c>
      <c r="B25" s="19">
        <f>100*$C$12/$C$8</f>
        <v>3.3452664694602556</v>
      </c>
      <c r="C25" s="19">
        <f>INDEX(tTargets[TargetValue],MATCH("Pct90Plus",tTargets[MetricName],0))</f>
        <v>3</v>
      </c>
      <c r="D25" s="19">
        <f>INDEX(tTargets[WarningValue],MATCH("Pct90Plus",tTargets[MetricName],0))</f>
        <v>6</v>
      </c>
      <c r="E25" s="28" t="str">
        <f>IF(INDEX(tTargets[Direction],MATCH("Pct90Plus",tTargets[MetricName],0))="LowerBetter",IF(B25&lt;=C25,"Green",IF(B25&lt;=D25,"Amber","Red")),IF(B25&gt;=C25,"Green",IF(B25&gt;=D25,"Amber","Red")))</f>
        <v>Amber</v>
      </c>
      <c r="F25" s="27">
        <f>IF(INDEX(tTargets[Direction],MATCH("Pct90Plus",tTargets[MetricName],0))="LowerBetter",B25-C25,C25-B25)</f>
        <v>0.34526646946025563</v>
      </c>
      <c r="G25" t="s">
        <v>4831</v>
      </c>
    </row>
    <row r="26" spans="1:8" x14ac:dyDescent="0.35">
      <c r="A26" t="s">
        <v>4832</v>
      </c>
      <c r="B26" s="19">
        <f>INDEX(tKPI[CEI_Book],MATCH(MAX(tKPI[AsOfDate]),tKPI[AsOfDate],0))</f>
        <v>66.91</v>
      </c>
      <c r="C26" s="19">
        <f>INDEX(tTargets[TargetValue],MATCH("CEI",tTargets[MetricName],0))</f>
        <v>85</v>
      </c>
      <c r="D26" s="19">
        <f>INDEX(tTargets[WarningValue],MATCH("CEI",tTargets[MetricName],0))</f>
        <v>75</v>
      </c>
      <c r="E26" s="28" t="str">
        <f>IF(B26&gt;=C26,"Green",IF(B26&gt;=D26,"Amber","Red"))</f>
        <v>Red</v>
      </c>
      <c r="F26" s="27">
        <f>C26-B26</f>
        <v>18.090000000000003</v>
      </c>
      <c r="G26" t="str">
        <f>"Cash variant reads "&amp;TEXT(INDEX(tKPI[CEI_Cash],MATCH(MAX(tKPI[AsOfDate]),tKPI[AsOfDate],0)),"0.00")&amp;"%. The gap is write-offs counted as collections."&amp;" (from SQL: needs a prior-month balance the open-item file does not carry.)"</f>
        <v>Cash variant reads 65.26%. The gap is write-offs counted as collections. (from SQL: needs a prior-month balance the open-item file does not carry.)</v>
      </c>
    </row>
    <row r="27" spans="1:8" x14ac:dyDescent="0.35">
      <c r="A27" t="s">
        <v>4833</v>
      </c>
      <c r="B27" s="19">
        <f>100*SUM(tCashApp[UnappliedCash])/$C$8</f>
        <v>3.8664052665838313</v>
      </c>
      <c r="C27" s="19">
        <f>INDEX(tTargets[TargetValue],MATCH("UnappliedCashPct",tTargets[MetricName],0))</f>
        <v>0.5</v>
      </c>
      <c r="D27" s="19">
        <f>INDEX(tTargets[WarningValue],MATCH("UnappliedCashPct",tTargets[MetricName],0))</f>
        <v>1.5</v>
      </c>
      <c r="E27" s="28" t="str">
        <f>IF(B27&lt;=C27,"Green",IF(B27&lt;=D27,"Amber","Red"))</f>
        <v>Red</v>
      </c>
      <c r="F27" s="27">
        <f>B27-C27</f>
        <v>3.3664052665838313</v>
      </c>
      <c r="G27" t="str">
        <f>"Cash banked against "&amp;COUNTA(tCashApp[CustomerID])&amp;" accounts that nobody has matched. Every dollar of it makes an invoice look unpaid when it is not."</f>
        <v>Cash banked against 97 accounts that nobody has matched. Every dollar of it makes an invoice look unpaid when it is not.</v>
      </c>
    </row>
    <row r="28" spans="1:8" x14ac:dyDescent="0.35">
      <c r="A28" t="s">
        <v>4834</v>
      </c>
      <c r="B28" s="19">
        <f>SUMPRODUCT((tLag[MonthEndDate]&gt;EOMONTH(AsOfDate,-12))*(tLag[MonthEndDate]&lt;=AsOfDate)*tLag[CreditSales]*tLag[BillingLagDays])/SUMPRODUCT((tLag[MonthEndDate]&gt;EOMONTH(AsOfDate,-12))*(tLag[MonthEndDate]&lt;=AsOfDate)*tLag[CreditSales])</f>
        <v>1.784124438708641</v>
      </c>
      <c r="C28" s="19">
        <f>INDEX(tTargets[TargetValue],MATCH("BillingLagDays",tTargets[MetricName],0))</f>
        <v>2</v>
      </c>
      <c r="D28" s="19">
        <f>INDEX(tTargets[WarningValue],MATCH("BillingLagDays",tTargets[MetricName],0))</f>
        <v>4</v>
      </c>
      <c r="E28" s="28" t="str">
        <f>IF(B28&lt;=C28,"Green",IF(B28&lt;=D28,"Amber","Red"))</f>
        <v>Green</v>
      </c>
      <c r="F28" s="27">
        <f>B28-C28</f>
        <v>-0.21587556129135899</v>
      </c>
      <c r="G28" t="s">
        <v>4835</v>
      </c>
    </row>
    <row r="29" spans="1:8" x14ac:dyDescent="0.35">
      <c r="A29" t="s">
        <v>4836</v>
      </c>
      <c r="B29" s="19">
        <f>100*SUMIFS(tPromise[PromisedAmount],tPromise[PromiseStatus],"Kept",tPromise[PromisedPayDate],"&gt;"&amp;EOMONTH(AsOfDate,-12))/SUMIFS(tPromise[PromisedAmount],tPromise[PromiseStatus],"&lt;&gt;Outstanding",tPromise[PromisedPayDate],"&gt;"&amp;EOMONTH(AsOfDate,-12))</f>
        <v>86.599286598927179</v>
      </c>
      <c r="C29" s="19">
        <f>INDEX(tTargets[TargetValue],MATCH("PromiseKeptRate",tTargets[MetricName],0))</f>
        <v>80</v>
      </c>
      <c r="D29" s="19">
        <f>INDEX(tTargets[WarningValue],MATCH("PromiseKeptRate",tTargets[MetricName],0))</f>
        <v>65</v>
      </c>
      <c r="E29" s="28" t="str">
        <f>IF(B29&gt;=C29,"Green",IF(B29&gt;=D29,"Amber","Red"))</f>
        <v>Green</v>
      </c>
      <c r="F29" s="27">
        <f>C29-B29</f>
        <v>-6.5992865989271792</v>
      </c>
      <c r="G29" t="str">
        <f>"Portfolio figure. The High-risk tier reads "&amp;TEXT(100*SUMIFS(tPromise[PromisedAmount],tPromise[PromiseStatus],"Kept",tPromise[RiskTier],"High")/SUMIFS(tPromise[PromisedAmount],tPromise[PromiseStatus],"&lt;&gt;Outstanding",tPromise[RiskTier],"High"),"0.0")&amp;"% -- read the cohort, never the headline."</f>
        <v>Portfolio figure. The High-risk tier reads 54.6% -- read the cohort, never the headline.</v>
      </c>
    </row>
    <row r="31" spans="1:8" x14ac:dyDescent="0.35">
      <c r="A31" s="3" t="s">
        <v>4837</v>
      </c>
    </row>
    <row r="32" spans="1:8" x14ac:dyDescent="0.35">
      <c r="A32" s="16" t="s">
        <v>4838</v>
      </c>
      <c r="B32" s="16" t="s">
        <v>4839</v>
      </c>
      <c r="C32" s="16" t="s">
        <v>4747</v>
      </c>
      <c r="D32" s="16" t="s">
        <v>4840</v>
      </c>
      <c r="E32" s="16" t="s">
        <v>4841</v>
      </c>
    </row>
    <row r="33" spans="1:5" x14ac:dyDescent="0.35">
      <c r="A33" t="str">
        <f>INDEX(tBuckets[BucketName],1)</f>
        <v>Current</v>
      </c>
      <c r="B33" s="23">
        <f>COUNTIFS(tOpenItems[DaysPastDue],"&gt;="&amp;INDEX(tBuckets[MinDaysPastDue],1),tOpenItems[DaysPastDue],"&lt;="&amp;INDEX(tBuckets[MaxDaysPastDue],1))</f>
        <v>1672</v>
      </c>
      <c r="C33" s="18">
        <f>SUMIFS(tOpenItems[OpenBalance],tOpenItems[DaysPastDue],"&gt;="&amp;INDEX(tBuckets[MinDaysPastDue],1),tOpenItems[DaysPastDue],"&lt;="&amp;INDEX(tBuckets[MaxDaysPastDue],1))</f>
        <v>8095793.7799999882</v>
      </c>
      <c r="D33" s="30">
        <f>C33/$C$8</f>
        <v>0.74635686912314192</v>
      </c>
      <c r="E33" s="18">
        <f>C33*INDEX(tBuckets[RiskWeight],1)</f>
        <v>0</v>
      </c>
    </row>
    <row r="34" spans="1:5" x14ac:dyDescent="0.35">
      <c r="A34" t="str">
        <f>INDEX(tBuckets[BucketName],2)</f>
        <v>1-30</v>
      </c>
      <c r="B34" s="23">
        <f>COUNTIFS(tOpenItems[DaysPastDue],"&gt;="&amp;INDEX(tBuckets[MinDaysPastDue],2),tOpenItems[DaysPastDue],"&lt;="&amp;INDEX(tBuckets[MaxDaysPastDue],2))</f>
        <v>414</v>
      </c>
      <c r="C34" s="18">
        <f>SUMIFS(tOpenItems[OpenBalance],tOpenItems[DaysPastDue],"&gt;="&amp;INDEX(tBuckets[MinDaysPastDue],2),tOpenItems[DaysPastDue],"&lt;="&amp;INDEX(tBuckets[MaxDaysPastDue],2))</f>
        <v>1839519.4099999992</v>
      </c>
      <c r="D34" s="30">
        <f>C34/$C$8</f>
        <v>0.16958657604774743</v>
      </c>
      <c r="E34" s="18">
        <f>C34*INDEX(tBuckets[RiskWeight],2)</f>
        <v>459879.8524999998</v>
      </c>
    </row>
    <row r="35" spans="1:5" x14ac:dyDescent="0.35">
      <c r="A35" t="str">
        <f>INDEX(tBuckets[BucketName],3)</f>
        <v>31-60</v>
      </c>
      <c r="B35" s="23">
        <f>COUNTIFS(tOpenItems[DaysPastDue],"&gt;="&amp;INDEX(tBuckets[MinDaysPastDue],3),tOpenItems[DaysPastDue],"&lt;="&amp;INDEX(tBuckets[MaxDaysPastDue],3))</f>
        <v>101</v>
      </c>
      <c r="C35" s="18">
        <f>SUMIFS(tOpenItems[OpenBalance],tOpenItems[DaysPastDue],"&gt;="&amp;INDEX(tBuckets[MinDaysPastDue],3),tOpenItems[DaysPastDue],"&lt;="&amp;INDEX(tBuckets[MaxDaysPastDue],3))</f>
        <v>405938.12999999995</v>
      </c>
      <c r="D35" s="30">
        <f>C35/$C$8</f>
        <v>3.7423719032095133E-2</v>
      </c>
      <c r="E35" s="18">
        <f>C35*INDEX(tBuckets[RiskWeight],3)</f>
        <v>202969.06499999997</v>
      </c>
    </row>
    <row r="36" spans="1:5" x14ac:dyDescent="0.35">
      <c r="A36" t="str">
        <f>INDEX(tBuckets[BucketName],4)</f>
        <v>61-90</v>
      </c>
      <c r="B36" s="23">
        <f>COUNTIFS(tOpenItems[DaysPastDue],"&gt;="&amp;INDEX(tBuckets[MinDaysPastDue],4),tOpenItems[DaysPastDue],"&lt;="&amp;INDEX(tBuckets[MaxDaysPastDue],4))</f>
        <v>34</v>
      </c>
      <c r="C36" s="18">
        <f>SUMIFS(tOpenItems[OpenBalance],tOpenItems[DaysPastDue],"&gt;="&amp;INDEX(tBuckets[MinDaysPastDue],4),tOpenItems[DaysPastDue],"&lt;="&amp;INDEX(tBuckets[MaxDaysPastDue],4))</f>
        <v>142966.39000000001</v>
      </c>
      <c r="D36" s="30">
        <f>C36/$C$8</f>
        <v>1.3180171102411434E-2</v>
      </c>
      <c r="E36" s="18">
        <f>C36*INDEX(tBuckets[RiskWeight],4)</f>
        <v>107224.79250000001</v>
      </c>
    </row>
    <row r="37" spans="1:5" x14ac:dyDescent="0.35">
      <c r="A37" t="str">
        <f>INDEX(tBuckets[BucketName],5)</f>
        <v>90+</v>
      </c>
      <c r="B37" s="23">
        <f>COUNTIFS(tOpenItems[DaysPastDue],"&gt;="&amp;INDEX(tBuckets[MinDaysPastDue],5),tOpenItems[DaysPastDue],"&lt;="&amp;INDEX(tBuckets[MaxDaysPastDue],5))</f>
        <v>125</v>
      </c>
      <c r="C37" s="18">
        <f>SUMIFS(tOpenItems[OpenBalance],tOpenItems[DaysPastDue],"&gt;="&amp;INDEX(tBuckets[MinDaysPastDue],5),tOpenItems[DaysPastDue],"&lt;="&amp;INDEX(tBuckets[MaxDaysPastDue],5))</f>
        <v>362863.78</v>
      </c>
      <c r="D37" s="30">
        <f>C37/$C$8</f>
        <v>3.3452664694602556E-2</v>
      </c>
      <c r="E37" s="18">
        <f>C37*INDEX(tBuckets[RiskWeight],5)</f>
        <v>362863.78</v>
      </c>
    </row>
    <row r="38" spans="1:5" x14ac:dyDescent="0.35">
      <c r="A38" s="3" t="s">
        <v>4842</v>
      </c>
      <c r="B38" s="29">
        <f>SUM(B33:B37)</f>
        <v>2346</v>
      </c>
      <c r="C38" s="24">
        <f>SUM(C33:C37)</f>
        <v>10847081.489999987</v>
      </c>
      <c r="D38" s="31">
        <f>SUM(D33:D37)</f>
        <v>0.99999999999999845</v>
      </c>
      <c r="E38" s="24">
        <f>SUM(E33:E37)</f>
        <v>1132937.4899999998</v>
      </c>
    </row>
  </sheetData>
  <mergeCells count="1">
    <mergeCell ref="A5:H5"/>
  </mergeCells>
  <conditionalFormatting sqref="E22:E29">
    <cfRule type="cellIs" dxfId="7" priority="1" stopIfTrue="1" operator="equal">
      <formula>"""Green"""</formula>
    </cfRule>
    <cfRule type="cellIs" dxfId="6" priority="2" stopIfTrue="1" operator="equal">
      <formula>"""Amber"""</formula>
    </cfRule>
    <cfRule type="cellIs" dxfId="5" priority="3" stopIfTrue="1" operator="equal">
      <formula>"""Red"""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EB2A4-B209-428E-B113-8E4769B0929C}">
  <dimension ref="A1:P34"/>
  <sheetViews>
    <sheetView workbookViewId="0"/>
  </sheetViews>
  <sheetFormatPr defaultRowHeight="14.5" x14ac:dyDescent="0.35"/>
  <cols>
    <col min="1" max="1" width="5.6328125" customWidth="1"/>
    <col min="2" max="2" width="30.6328125" customWidth="1"/>
    <col min="3" max="3" width="16.6328125" customWidth="1"/>
    <col min="4" max="4" width="9.6328125" customWidth="1"/>
    <col min="5" max="5" width="18.6328125" customWidth="1"/>
    <col min="6" max="6" width="11.6328125" customWidth="1"/>
    <col min="7" max="7" width="14.6328125" customWidth="1"/>
    <col min="8" max="8" width="13.6328125" customWidth="1"/>
    <col min="9" max="10" width="12.6328125" customWidth="1"/>
    <col min="11" max="11" width="16.6328125" customWidth="1"/>
    <col min="12" max="13" width="12.6328125" customWidth="1"/>
    <col min="14" max="14" width="7.6328125" customWidth="1"/>
    <col min="15" max="15" width="18.6328125" customWidth="1"/>
    <col min="16" max="16" width="66.6328125" customWidth="1"/>
  </cols>
  <sheetData>
    <row r="1" spans="1:16" ht="21" x14ac:dyDescent="0.5">
      <c r="A1" s="1" t="s">
        <v>4843</v>
      </c>
    </row>
    <row r="2" spans="1:16" x14ac:dyDescent="0.35">
      <c r="A2" s="2" t="s">
        <v>4844</v>
      </c>
    </row>
    <row r="4" spans="1:16" x14ac:dyDescent="0.35">
      <c r="B4" s="3" t="s">
        <v>4845</v>
      </c>
      <c r="C4" s="7" t="s">
        <v>4846</v>
      </c>
      <c r="E4" s="3" t="s">
        <v>4851</v>
      </c>
      <c r="F4">
        <f>SUM(Calc!$B$28:$B$299)</f>
        <v>65</v>
      </c>
    </row>
    <row r="5" spans="1:16" x14ac:dyDescent="0.35">
      <c r="B5" s="3" t="s">
        <v>4847</v>
      </c>
      <c r="C5" s="7" t="s">
        <v>4846</v>
      </c>
      <c r="E5" s="3" t="s">
        <v>4852</v>
      </c>
      <c r="F5" s="18">
        <f>SUMPRODUCT(Calc!$B$28:$B$299,tQueue[PastDueBalance])</f>
        <v>1685560.01</v>
      </c>
    </row>
    <row r="6" spans="1:16" x14ac:dyDescent="0.35">
      <c r="B6" s="3" t="s">
        <v>4848</v>
      </c>
      <c r="C6" s="7" t="s">
        <v>4849</v>
      </c>
      <c r="E6" s="3" t="s">
        <v>4853</v>
      </c>
      <c r="F6" s="18">
        <f>SUMPRODUCT(Calc!$B$28:$B$299,tQueue[CollectableExposure])</f>
        <v>640540.01</v>
      </c>
    </row>
    <row r="7" spans="1:16" x14ac:dyDescent="0.35">
      <c r="B7" s="3" t="s">
        <v>4850</v>
      </c>
      <c r="C7" s="32">
        <v>0</v>
      </c>
      <c r="E7" s="3" t="str">
        <f>"Showing top "&amp;MIN(QueueRowsShown,F4)&amp;" of "&amp;F4</f>
        <v>Showing top 25 of 65</v>
      </c>
    </row>
    <row r="9" spans="1:16" ht="43.5" x14ac:dyDescent="0.35">
      <c r="A9" s="33" t="s">
        <v>4854</v>
      </c>
      <c r="B9" s="33" t="s">
        <v>4855</v>
      </c>
      <c r="C9" s="33" t="s">
        <v>21</v>
      </c>
      <c r="D9" s="33" t="s">
        <v>4856</v>
      </c>
      <c r="E9" s="33" t="s">
        <v>4845</v>
      </c>
      <c r="F9" s="33" t="s">
        <v>4857</v>
      </c>
      <c r="G9" s="33" t="s">
        <v>4858</v>
      </c>
      <c r="H9" s="33" t="s">
        <v>4859</v>
      </c>
      <c r="I9" s="33" t="s">
        <v>60</v>
      </c>
      <c r="J9" s="33" t="s">
        <v>4860</v>
      </c>
      <c r="K9" s="33" t="s">
        <v>4861</v>
      </c>
      <c r="L9" s="33" t="s">
        <v>4862</v>
      </c>
      <c r="M9" s="33" t="s">
        <v>4863</v>
      </c>
      <c r="N9" s="33" t="s">
        <v>4864</v>
      </c>
      <c r="O9" s="33" t="s">
        <v>4847</v>
      </c>
      <c r="P9" s="33" t="s">
        <v>4865</v>
      </c>
    </row>
    <row r="10" spans="1:16" x14ac:dyDescent="0.35">
      <c r="A10">
        <f>IF(1&gt;MIN(QueueRowsShown,$F$4),"",1)</f>
        <v>1</v>
      </c>
      <c r="B10" t="str">
        <f>IFERROR(INDEX(tQueue[CustomerName],MATCH(1,Calc!$C$28:$C$299,0)),"")</f>
        <v>Ironbridge Components</v>
      </c>
      <c r="C10" t="str">
        <f>IFERROR(INDEX(tQueue[Segment],MATCH(1,Calc!$C$28:$C$299,0)),"")</f>
        <v>OEM Manufacturer</v>
      </c>
      <c r="D10" t="str">
        <f>IFERROR(INDEX(tQueue[RiskTier],MATCH(1,Calc!$C$28:$C$299,0)),"")</f>
        <v>High</v>
      </c>
      <c r="E10" t="str">
        <f>IFERROR(INDEX(tQueue[CollectorName],MATCH(1,Calc!$C$28:$C$299,0)),"")</f>
        <v>Priya Natarajan</v>
      </c>
      <c r="F10" t="str">
        <f>IFERROR(INDEX(tQueue[TermsCode],MATCH(1,Calc!$C$28:$C$299,0)),"")</f>
        <v>NET45</v>
      </c>
      <c r="G10" s="18">
        <f>IFERROR(INDEX(tQueue[OpenBalance],MATCH(1,Calc!$C$28:$C$299,0)),"")</f>
        <v>171140.07</v>
      </c>
      <c r="H10" s="18">
        <f>IFERROR(INDEX(tQueue[PastDueBalance],MATCH(1,Calc!$C$28:$C$299,0)),"")</f>
        <v>132293.14000000001</v>
      </c>
      <c r="I10" s="18">
        <f>IFERROR(INDEX(tQueue[Balance90Plus],MATCH(1,Calc!$C$28:$C$299,0)),"")</f>
        <v>0</v>
      </c>
      <c r="J10" s="18">
        <f>IFERROR(INDEX(tQueue[DisputedBalance],MATCH(1,Calc!$C$28:$C$299,0)),"")</f>
        <v>15640.04</v>
      </c>
      <c r="K10" s="18">
        <f>IFERROR(INDEX(tQueue[CollectableExposure],MATCH(1,Calc!$C$28:$C$299,0)),"")</f>
        <v>57024.44</v>
      </c>
      <c r="L10" s="23">
        <f>IFERROR(INDEX(tQueue[OldestDaysPastDue],MATCH(1,Calc!$C$28:$C$299,0)),"")</f>
        <v>90</v>
      </c>
      <c r="M10" s="34">
        <f>IFERROR(INDEX(tQueue[CreditUtilizationPct],MATCH(1,Calc!$C$28:$C$299,0)),"")</f>
        <v>38.03</v>
      </c>
      <c r="N10">
        <f>IFERROR(INDEX(tQueue[CreditHoldFlag],MATCH(1,Calc!$C$28:$C$299,0)),"")</f>
        <v>0</v>
      </c>
      <c r="O10" t="str">
        <f>IFERROR(INDEX(tQueue[ActionCode],MATCH(1,Calc!$C$28:$C$299,0)),"")</f>
        <v>ESCALATE</v>
      </c>
      <c r="P10" t="str">
        <f>IFERROR(INDEX(tQueue[RecommendedAction],MATCH(1,Calc!$C$28:$C$299,0)),"")</f>
        <v>Escalate: high-risk account carrying a 90+ balance. Hold further shipments and agree a payment plan or refer for recovery.</v>
      </c>
    </row>
    <row r="11" spans="1:16" x14ac:dyDescent="0.35">
      <c r="A11">
        <f>IF(2&gt;MIN(QueueRowsShown,$F$4),"",2)</f>
        <v>2</v>
      </c>
      <c r="B11" t="str">
        <f>IFERROR(INDEX(tQueue[CustomerName],MATCH(2,Calc!$C$28:$C$299,0)),"")</f>
        <v>Westbrook Industries - West</v>
      </c>
      <c r="C11" t="str">
        <f>IFERROR(INDEX(tQueue[Segment],MATCH(2,Calc!$C$28:$C$299,0)),"")</f>
        <v>OEM Manufacturer</v>
      </c>
      <c r="D11" t="str">
        <f>IFERROR(INDEX(tQueue[RiskTier],MATCH(2,Calc!$C$28:$C$299,0)),"")</f>
        <v>Medium</v>
      </c>
      <c r="E11" t="str">
        <f>IFERROR(INDEX(tQueue[CollectorName],MATCH(2,Calc!$C$28:$C$299,0)),"")</f>
        <v>Marcus Bell</v>
      </c>
      <c r="F11" t="str">
        <f>IFERROR(INDEX(tQueue[TermsCode],MATCH(2,Calc!$C$28:$C$299,0)),"")</f>
        <v>NET60</v>
      </c>
      <c r="G11" s="18">
        <f>IFERROR(INDEX(tQueue[OpenBalance],MATCH(2,Calc!$C$28:$C$299,0)),"")</f>
        <v>122327.81</v>
      </c>
      <c r="H11" s="18">
        <f>IFERROR(INDEX(tQueue[PastDueBalance],MATCH(2,Calc!$C$28:$C$299,0)),"")</f>
        <v>82857.53</v>
      </c>
      <c r="I11" s="18">
        <f>IFERROR(INDEX(tQueue[Balance90Plus],MATCH(2,Calc!$C$28:$C$299,0)),"")</f>
        <v>0</v>
      </c>
      <c r="J11" s="18">
        <f>IFERROR(INDEX(tQueue[DisputedBalance],MATCH(2,Calc!$C$28:$C$299,0)),"")</f>
        <v>0</v>
      </c>
      <c r="K11" s="18">
        <f>IFERROR(INDEX(tQueue[CollectableExposure],MATCH(2,Calc!$C$28:$C$299,0)),"")</f>
        <v>37750.080000000002</v>
      </c>
      <c r="L11" s="23">
        <f>IFERROR(INDEX(tQueue[OldestDaysPastDue],MATCH(2,Calc!$C$28:$C$299,0)),"")</f>
        <v>68</v>
      </c>
      <c r="M11" s="34">
        <f>IFERROR(INDEX(tQueue[CreditUtilizationPct],MATCH(2,Calc!$C$28:$C$299,0)),"")</f>
        <v>38.229999999999997</v>
      </c>
      <c r="N11">
        <f>IFERROR(INDEX(tQueue[CreditHoldFlag],MATCH(2,Calc!$C$28:$C$299,0)),"")</f>
        <v>0</v>
      </c>
      <c r="O11" t="str">
        <f>IFERROR(INDEX(tQueue[ActionCode],MATCH(2,Calc!$C$28:$C$299,0)),"")</f>
        <v>COLLECTION_CALL</v>
      </c>
      <c r="P11" t="str">
        <f>IFERROR(INDEX(tQueue[RecommendedAction],MATCH(2,Calc!$C$28:$C$299,0)),"")</f>
        <v>Collection call: oldest item is more than 30 days past due.</v>
      </c>
    </row>
    <row r="12" spans="1:16" x14ac:dyDescent="0.35">
      <c r="A12">
        <f>IF(3&gt;MIN(QueueRowsShown,$F$4),"",3)</f>
        <v>3</v>
      </c>
      <c r="B12" t="str">
        <f>IFERROR(INDEX(tQueue[CustomerName],MATCH(3,Calc!$C$28:$C$299,0)),"")</f>
        <v>Crestview Contracting - Northeast 3</v>
      </c>
      <c r="C12" t="str">
        <f>IFERROR(INDEX(tQueue[Segment],MATCH(3,Calc!$C$28:$C$299,0)),"")</f>
        <v>Contractor</v>
      </c>
      <c r="D12" t="str">
        <f>IFERROR(INDEX(tQueue[RiskTier],MATCH(3,Calc!$C$28:$C$299,0)),"")</f>
        <v>High</v>
      </c>
      <c r="E12" t="str">
        <f>IFERROR(INDEX(tQueue[CollectorName],MATCH(3,Calc!$C$28:$C$299,0)),"")</f>
        <v>Tomas Okafor</v>
      </c>
      <c r="F12" t="str">
        <f>IFERROR(INDEX(tQueue[TermsCode],MATCH(3,Calc!$C$28:$C$299,0)),"")</f>
        <v>2/10NET30</v>
      </c>
      <c r="G12" s="18">
        <f>IFERROR(INDEX(tQueue[OpenBalance],MATCH(3,Calc!$C$28:$C$299,0)),"")</f>
        <v>60651.51</v>
      </c>
      <c r="H12" s="18">
        <f>IFERROR(INDEX(tQueue[PastDueBalance],MATCH(3,Calc!$C$28:$C$299,0)),"")</f>
        <v>52023.360000000001</v>
      </c>
      <c r="I12" s="18">
        <f>IFERROR(INDEX(tQueue[Balance90Plus],MATCH(3,Calc!$C$28:$C$299,0)),"")</f>
        <v>19027.82</v>
      </c>
      <c r="J12" s="18">
        <f>IFERROR(INDEX(tQueue[DisputedBalance],MATCH(3,Calc!$C$28:$C$299,0)),"")</f>
        <v>0</v>
      </c>
      <c r="K12" s="18">
        <f>IFERROR(INDEX(tQueue[CollectableExposure],MATCH(3,Calc!$C$28:$C$299,0)),"")</f>
        <v>37672.1</v>
      </c>
      <c r="L12" s="23">
        <f>IFERROR(INDEX(tQueue[OldestDaysPastDue],MATCH(3,Calc!$C$28:$C$299,0)),"")</f>
        <v>139</v>
      </c>
      <c r="M12" s="34">
        <f>IFERROR(INDEX(tQueue[CreditUtilizationPct],MATCH(3,Calc!$C$28:$C$299,0)),"")</f>
        <v>48.52</v>
      </c>
      <c r="N12">
        <f>IFERROR(INDEX(tQueue[CreditHoldFlag],MATCH(3,Calc!$C$28:$C$299,0)),"")</f>
        <v>0</v>
      </c>
      <c r="O12" t="str">
        <f>IFERROR(INDEX(tQueue[ActionCode],MATCH(3,Calc!$C$28:$C$299,0)),"")</f>
        <v>ESCALATE</v>
      </c>
      <c r="P12" t="str">
        <f>IFERROR(INDEX(tQueue[RecommendedAction],MATCH(3,Calc!$C$28:$C$299,0)),"")</f>
        <v>Escalate: high-risk account carrying a 90+ balance. Hold further shipments and agree a payment plan or refer for recovery.</v>
      </c>
    </row>
    <row r="13" spans="1:16" x14ac:dyDescent="0.35">
      <c r="A13">
        <f>IF(4&gt;MIN(QueueRowsShown,$F$4),"",4)</f>
        <v>4</v>
      </c>
      <c r="B13" t="str">
        <f>IFERROR(INDEX(tQueue[CustomerName],MATCH(4,Calc!$C$28:$C$299,0)),"")</f>
        <v>Titan Builders - Southwest</v>
      </c>
      <c r="C13" t="str">
        <f>IFERROR(INDEX(tQueue[Segment],MATCH(4,Calc!$C$28:$C$299,0)),"")</f>
        <v>Contractor</v>
      </c>
      <c r="D13" t="str">
        <f>IFERROR(INDEX(tQueue[RiskTier],MATCH(4,Calc!$C$28:$C$299,0)),"")</f>
        <v>High</v>
      </c>
      <c r="E13" t="str">
        <f>IFERROR(INDEX(tQueue[CollectorName],MATCH(4,Calc!$C$28:$C$299,0)),"")</f>
        <v>Tomas Okafor</v>
      </c>
      <c r="F13" t="str">
        <f>IFERROR(INDEX(tQueue[TermsCode],MATCH(4,Calc!$C$28:$C$299,0)),"")</f>
        <v>2/10NET30</v>
      </c>
      <c r="G13" s="18">
        <f>IFERROR(INDEX(tQueue[OpenBalance],MATCH(4,Calc!$C$28:$C$299,0)),"")</f>
        <v>60280.9</v>
      </c>
      <c r="H13" s="18">
        <f>IFERROR(INDEX(tQueue[PastDueBalance],MATCH(4,Calc!$C$28:$C$299,0)),"")</f>
        <v>48278</v>
      </c>
      <c r="I13" s="18">
        <f>IFERROR(INDEX(tQueue[Balance90Plus],MATCH(4,Calc!$C$28:$C$299,0)),"")</f>
        <v>24426.9</v>
      </c>
      <c r="J13" s="18">
        <f>IFERROR(INDEX(tQueue[DisputedBalance],MATCH(4,Calc!$C$28:$C$299,0)),"")</f>
        <v>0</v>
      </c>
      <c r="K13" s="18">
        <f>IFERROR(INDEX(tQueue[CollectableExposure],MATCH(4,Calc!$C$28:$C$299,0)),"")</f>
        <v>35663.129999999997</v>
      </c>
      <c r="L13" s="23">
        <f>IFERROR(INDEX(tQueue[OldestDaysPastDue],MATCH(4,Calc!$C$28:$C$299,0)),"")</f>
        <v>147</v>
      </c>
      <c r="M13" s="34">
        <f>IFERROR(INDEX(tQueue[CreditUtilizationPct],MATCH(4,Calc!$C$28:$C$299,0)),"")</f>
        <v>57.41</v>
      </c>
      <c r="N13">
        <f>IFERROR(INDEX(tQueue[CreditHoldFlag],MATCH(4,Calc!$C$28:$C$299,0)),"")</f>
        <v>0</v>
      </c>
      <c r="O13" t="str">
        <f>IFERROR(INDEX(tQueue[ActionCode],MATCH(4,Calc!$C$28:$C$299,0)),"")</f>
        <v>ESCALATE</v>
      </c>
      <c r="P13" t="str">
        <f>IFERROR(INDEX(tQueue[RecommendedAction],MATCH(4,Calc!$C$28:$C$299,0)),"")</f>
        <v>Escalate: high-risk account carrying a 90+ balance. Hold further shipments and agree a payment plan or refer for recovery.</v>
      </c>
    </row>
    <row r="14" spans="1:16" x14ac:dyDescent="0.35">
      <c r="A14">
        <f>IF(5&gt;MIN(QueueRowsShown,$F$4),"",5)</f>
        <v>5</v>
      </c>
      <c r="B14" t="str">
        <f>IFERROR(INDEX(tQueue[CustomerName],MATCH(5,Calc!$C$28:$C$299,0)),"")</f>
        <v>Bluewater Electric</v>
      </c>
      <c r="C14" t="str">
        <f>IFERROR(INDEX(tQueue[Segment],MATCH(5,Calc!$C$28:$C$299,0)),"")</f>
        <v>Contractor</v>
      </c>
      <c r="D14" t="str">
        <f>IFERROR(INDEX(tQueue[RiskTier],MATCH(5,Calc!$C$28:$C$299,0)),"")</f>
        <v>High</v>
      </c>
      <c r="E14" t="str">
        <f>IFERROR(INDEX(tQueue[CollectorName],MATCH(5,Calc!$C$28:$C$299,0)),"")</f>
        <v>Elena Ruiz</v>
      </c>
      <c r="F14" t="str">
        <f>IFERROR(INDEX(tQueue[TermsCode],MATCH(5,Calc!$C$28:$C$299,0)),"")</f>
        <v>NET60</v>
      </c>
      <c r="G14" s="18">
        <f>IFERROR(INDEX(tQueue[OpenBalance],MATCH(5,Calc!$C$28:$C$299,0)),"")</f>
        <v>76941.41</v>
      </c>
      <c r="H14" s="18">
        <f>IFERROR(INDEX(tQueue[PastDueBalance],MATCH(5,Calc!$C$28:$C$299,0)),"")</f>
        <v>46413.57</v>
      </c>
      <c r="I14" s="18">
        <f>IFERROR(INDEX(tQueue[Balance90Plus],MATCH(5,Calc!$C$28:$C$299,0)),"")</f>
        <v>10287.08</v>
      </c>
      <c r="J14" s="18">
        <f>IFERROR(INDEX(tQueue[DisputedBalance],MATCH(5,Calc!$C$28:$C$299,0)),"")</f>
        <v>0</v>
      </c>
      <c r="K14" s="18">
        <f>IFERROR(INDEX(tQueue[CollectableExposure],MATCH(5,Calc!$C$28:$C$299,0)),"")</f>
        <v>32793.730000000003</v>
      </c>
      <c r="L14" s="23">
        <f>IFERROR(INDEX(tQueue[OldestDaysPastDue],MATCH(5,Calc!$C$28:$C$299,0)),"")</f>
        <v>120</v>
      </c>
      <c r="M14" s="34">
        <f>IFERROR(INDEX(tQueue[CreditUtilizationPct],MATCH(5,Calc!$C$28:$C$299,0)),"")</f>
        <v>76.94</v>
      </c>
      <c r="N14">
        <f>IFERROR(INDEX(tQueue[CreditHoldFlag],MATCH(5,Calc!$C$28:$C$299,0)),"")</f>
        <v>0</v>
      </c>
      <c r="O14" t="str">
        <f>IFERROR(INDEX(tQueue[ActionCode],MATCH(5,Calc!$C$28:$C$299,0)),"")</f>
        <v>ESCALATE</v>
      </c>
      <c r="P14" t="str">
        <f>IFERROR(INDEX(tQueue[RecommendedAction],MATCH(5,Calc!$C$28:$C$299,0)),"")</f>
        <v>Escalate: high-risk account carrying a 90+ balance. Hold further shipments and agree a payment plan or refer for recovery.</v>
      </c>
    </row>
    <row r="15" spans="1:16" x14ac:dyDescent="0.35">
      <c r="A15">
        <f>IF(6&gt;MIN(QueueRowsShown,$F$4),"",6)</f>
        <v>6</v>
      </c>
      <c r="B15" t="str">
        <f>IFERROR(INDEX(tQueue[CustomerName],MATCH(6,Calc!$C$28:$C$299,0)),"")</f>
        <v>Pioneer Construction</v>
      </c>
      <c r="C15" t="str">
        <f>IFERROR(INDEX(tQueue[Segment],MATCH(6,Calc!$C$28:$C$299,0)),"")</f>
        <v>Contractor</v>
      </c>
      <c r="D15" t="str">
        <f>IFERROR(INDEX(tQueue[RiskTier],MATCH(6,Calc!$C$28:$C$299,0)),"")</f>
        <v>High</v>
      </c>
      <c r="E15" t="str">
        <f>IFERROR(INDEX(tQueue[CollectorName],MATCH(6,Calc!$C$28:$C$299,0)),"")</f>
        <v>Elena Ruiz</v>
      </c>
      <c r="F15" t="str">
        <f>IFERROR(INDEX(tQueue[TermsCode],MATCH(6,Calc!$C$28:$C$299,0)),"")</f>
        <v>2/10NET30</v>
      </c>
      <c r="G15" s="18">
        <f>IFERROR(INDEX(tQueue[OpenBalance],MATCH(6,Calc!$C$28:$C$299,0)),"")</f>
        <v>65460.37</v>
      </c>
      <c r="H15" s="18">
        <f>IFERROR(INDEX(tQueue[PastDueBalance],MATCH(6,Calc!$C$28:$C$299,0)),"")</f>
        <v>51420.43</v>
      </c>
      <c r="I15" s="18">
        <f>IFERROR(INDEX(tQueue[Balance90Plus],MATCH(6,Calc!$C$28:$C$299,0)),"")</f>
        <v>18333.73</v>
      </c>
      <c r="J15" s="18">
        <f>IFERROR(INDEX(tQueue[DisputedBalance],MATCH(6,Calc!$C$28:$C$299,0)),"")</f>
        <v>7692.27</v>
      </c>
      <c r="K15" s="18">
        <f>IFERROR(INDEX(tQueue[CollectableExposure],MATCH(6,Calc!$C$28:$C$299,0)),"")</f>
        <v>32505.02</v>
      </c>
      <c r="L15" s="23">
        <f>IFERROR(INDEX(tQueue[OldestDaysPastDue],MATCH(6,Calc!$C$28:$C$299,0)),"")</f>
        <v>140</v>
      </c>
      <c r="M15" s="34">
        <f>IFERROR(INDEX(tQueue[CreditUtilizationPct],MATCH(6,Calc!$C$28:$C$299,0)),"")</f>
        <v>45.15</v>
      </c>
      <c r="N15">
        <f>IFERROR(INDEX(tQueue[CreditHoldFlag],MATCH(6,Calc!$C$28:$C$299,0)),"")</f>
        <v>0</v>
      </c>
      <c r="O15" t="str">
        <f>IFERROR(INDEX(tQueue[ActionCode],MATCH(6,Calc!$C$28:$C$299,0)),"")</f>
        <v>ESCALATE</v>
      </c>
      <c r="P15" t="str">
        <f>IFERROR(INDEX(tQueue[RecommendedAction],MATCH(6,Calc!$C$28:$C$299,0)),"")</f>
        <v>Escalate: high-risk account carrying a 90+ balance. Hold further shipments and agree a payment plan or refer for recovery.</v>
      </c>
    </row>
    <row r="16" spans="1:16" x14ac:dyDescent="0.35">
      <c r="A16">
        <f>IF(7&gt;MIN(QueueRowsShown,$F$4),"",7)</f>
        <v>7</v>
      </c>
      <c r="B16" t="str">
        <f>IFERROR(INDEX(tQueue[CustomerName],MATCH(7,Calc!$C$28:$C$299,0)),"")</f>
        <v>Apex Mechanical</v>
      </c>
      <c r="C16" t="str">
        <f>IFERROR(INDEX(tQueue[Segment],MATCH(7,Calc!$C$28:$C$299,0)),"")</f>
        <v>Contractor</v>
      </c>
      <c r="D16" t="str">
        <f>IFERROR(INDEX(tQueue[RiskTier],MATCH(7,Calc!$C$28:$C$299,0)),"")</f>
        <v>High</v>
      </c>
      <c r="E16" t="str">
        <f>IFERROR(INDEX(tQueue[CollectorName],MATCH(7,Calc!$C$28:$C$299,0)),"")</f>
        <v>Marcus Bell</v>
      </c>
      <c r="F16" t="str">
        <f>IFERROR(INDEX(tQueue[TermsCode],MATCH(7,Calc!$C$28:$C$299,0)),"")</f>
        <v>NET30</v>
      </c>
      <c r="G16" s="18">
        <f>IFERROR(INDEX(tQueue[OpenBalance],MATCH(7,Calc!$C$28:$C$299,0)),"")</f>
        <v>53593.68</v>
      </c>
      <c r="H16" s="18">
        <f>IFERROR(INDEX(tQueue[PastDueBalance],MATCH(7,Calc!$C$28:$C$299,0)),"")</f>
        <v>45881.37</v>
      </c>
      <c r="I16" s="18">
        <f>IFERROR(INDEX(tQueue[Balance90Plus],MATCH(7,Calc!$C$28:$C$299,0)),"")</f>
        <v>16968.16</v>
      </c>
      <c r="J16" s="18">
        <f>IFERROR(INDEX(tQueue[DisputedBalance],MATCH(7,Calc!$C$28:$C$299,0)),"")</f>
        <v>0</v>
      </c>
      <c r="K16" s="18">
        <f>IFERROR(INDEX(tQueue[CollectableExposure],MATCH(7,Calc!$C$28:$C$299,0)),"")</f>
        <v>31940.25</v>
      </c>
      <c r="L16" s="23">
        <f>IFERROR(INDEX(tQueue[OldestDaysPastDue],MATCH(7,Calc!$C$28:$C$299,0)),"")</f>
        <v>143</v>
      </c>
      <c r="M16" s="34">
        <f>IFERROR(INDEX(tQueue[CreditUtilizationPct],MATCH(7,Calc!$C$28:$C$299,0)),"")</f>
        <v>35.729999999999997</v>
      </c>
      <c r="N16">
        <f>IFERROR(INDEX(tQueue[CreditHoldFlag],MATCH(7,Calc!$C$28:$C$299,0)),"")</f>
        <v>0</v>
      </c>
      <c r="O16" t="str">
        <f>IFERROR(INDEX(tQueue[ActionCode],MATCH(7,Calc!$C$28:$C$299,0)),"")</f>
        <v>ESCALATE</v>
      </c>
      <c r="P16" t="str">
        <f>IFERROR(INDEX(tQueue[RecommendedAction],MATCH(7,Calc!$C$28:$C$299,0)),"")</f>
        <v>Escalate: high-risk account carrying a 90+ balance. Hold further shipments and agree a payment plan or refer for recovery.</v>
      </c>
    </row>
    <row r="17" spans="1:16" x14ac:dyDescent="0.35">
      <c r="A17">
        <f>IF(8&gt;MIN(QueueRowsShown,$F$4),"",8)</f>
        <v>8</v>
      </c>
      <c r="B17" t="str">
        <f>IFERROR(INDEX(tQueue[CustomerName],MATCH(8,Calc!$C$28:$C$299,0)),"")</f>
        <v>Stonegate Machine Works</v>
      </c>
      <c r="C17" t="str">
        <f>IFERROR(INDEX(tQueue[Segment],MATCH(8,Calc!$C$28:$C$299,0)),"")</f>
        <v>OEM Manufacturer</v>
      </c>
      <c r="D17" t="str">
        <f>IFERROR(INDEX(tQueue[RiskTier],MATCH(8,Calc!$C$28:$C$299,0)),"")</f>
        <v>Low</v>
      </c>
      <c r="E17" t="str">
        <f>IFERROR(INDEX(tQueue[CollectorName],MATCH(8,Calc!$C$28:$C$299,0)),"")</f>
        <v>Marcus Bell</v>
      </c>
      <c r="F17" t="str">
        <f>IFERROR(INDEX(tQueue[TermsCode],MATCH(8,Calc!$C$28:$C$299,0)),"")</f>
        <v>NET60</v>
      </c>
      <c r="G17" s="18">
        <f>IFERROR(INDEX(tQueue[OpenBalance],MATCH(8,Calc!$C$28:$C$299,0)),"")</f>
        <v>150926.78</v>
      </c>
      <c r="H17" s="18">
        <f>IFERROR(INDEX(tQueue[PastDueBalance],MATCH(8,Calc!$C$28:$C$299,0)),"")</f>
        <v>85720.95</v>
      </c>
      <c r="I17" s="18">
        <f>IFERROR(INDEX(tQueue[Balance90Plus],MATCH(8,Calc!$C$28:$C$299,0)),"")</f>
        <v>1675.15</v>
      </c>
      <c r="J17" s="18">
        <f>IFERROR(INDEX(tQueue[DisputedBalance],MATCH(8,Calc!$C$28:$C$299,0)),"")</f>
        <v>0</v>
      </c>
      <c r="K17" s="18">
        <f>IFERROR(INDEX(tQueue[CollectableExposure],MATCH(8,Calc!$C$28:$C$299,0)),"")</f>
        <v>31517.91</v>
      </c>
      <c r="L17" s="23">
        <f>IFERROR(INDEX(tQueue[OldestDaysPastDue],MATCH(8,Calc!$C$28:$C$299,0)),"")</f>
        <v>274</v>
      </c>
      <c r="M17" s="34">
        <f>IFERROR(INDEX(tQueue[CreditUtilizationPct],MATCH(8,Calc!$C$28:$C$299,0)),"")</f>
        <v>29.31</v>
      </c>
      <c r="N17">
        <f>IFERROR(INDEX(tQueue[CreditHoldFlag],MATCH(8,Calc!$C$28:$C$299,0)),"")</f>
        <v>0</v>
      </c>
      <c r="O17" t="str">
        <f>IFERROR(INDEX(tQueue[ActionCode],MATCH(8,Calc!$C$28:$C$299,0)),"")</f>
        <v>FINAL_NOTICE</v>
      </c>
      <c r="P17" t="str">
        <f>IFERROR(INDEX(tQueue[RecommendedAction],MATCH(8,Calc!$C$28:$C$299,0)),"")</f>
        <v>Issue a final notice on the 90+ balance and confirm a payment date in writing.</v>
      </c>
    </row>
    <row r="18" spans="1:16" x14ac:dyDescent="0.35">
      <c r="A18">
        <f>IF(9&gt;MIN(QueueRowsShown,$F$4),"",9)</f>
        <v>9</v>
      </c>
      <c r="B18" t="str">
        <f>IFERROR(INDEX(tQueue[CustomerName],MATCH(9,Calc!$C$28:$C$299,0)),"")</f>
        <v>Riverbend Electric - Midwest 3</v>
      </c>
      <c r="C18" t="str">
        <f>IFERROR(INDEX(tQueue[Segment],MATCH(9,Calc!$C$28:$C$299,0)),"")</f>
        <v>Contractor</v>
      </c>
      <c r="D18" t="str">
        <f>IFERROR(INDEX(tQueue[RiskTier],MATCH(9,Calc!$C$28:$C$299,0)),"")</f>
        <v>High</v>
      </c>
      <c r="E18" t="str">
        <f>IFERROR(INDEX(tQueue[CollectorName],MATCH(9,Calc!$C$28:$C$299,0)),"")</f>
        <v>Elena Ruiz</v>
      </c>
      <c r="F18" t="str">
        <f>IFERROR(INDEX(tQueue[TermsCode],MATCH(9,Calc!$C$28:$C$299,0)),"")</f>
        <v>2/10NET30</v>
      </c>
      <c r="G18" s="18">
        <f>IFERROR(INDEX(tQueue[OpenBalance],MATCH(9,Calc!$C$28:$C$299,0)),"")</f>
        <v>59342.1</v>
      </c>
      <c r="H18" s="18">
        <f>IFERROR(INDEX(tQueue[PastDueBalance],MATCH(9,Calc!$C$28:$C$299,0)),"")</f>
        <v>46818.720000000001</v>
      </c>
      <c r="I18" s="18">
        <f>IFERROR(INDEX(tQueue[Balance90Plus],MATCH(9,Calc!$C$28:$C$299,0)),"")</f>
        <v>14609.63</v>
      </c>
      <c r="J18" s="18">
        <f>IFERROR(INDEX(tQueue[DisputedBalance],MATCH(9,Calc!$C$28:$C$299,0)),"")</f>
        <v>0</v>
      </c>
      <c r="K18" s="18">
        <f>IFERROR(INDEX(tQueue[CollectableExposure],MATCH(9,Calc!$C$28:$C$299,0)),"")</f>
        <v>27084.27</v>
      </c>
      <c r="L18" s="23">
        <f>IFERROR(INDEX(tQueue[OldestDaysPastDue],MATCH(9,Calc!$C$28:$C$299,0)),"")</f>
        <v>140</v>
      </c>
      <c r="M18" s="34">
        <f>IFERROR(INDEX(tQueue[CreditUtilizationPct],MATCH(9,Calc!$C$28:$C$299,0)),"")</f>
        <v>42.39</v>
      </c>
      <c r="N18">
        <f>IFERROR(INDEX(tQueue[CreditHoldFlag],MATCH(9,Calc!$C$28:$C$299,0)),"")</f>
        <v>0</v>
      </c>
      <c r="O18" t="str">
        <f>IFERROR(INDEX(tQueue[ActionCode],MATCH(9,Calc!$C$28:$C$299,0)),"")</f>
        <v>ESCALATE</v>
      </c>
      <c r="P18" t="str">
        <f>IFERROR(INDEX(tQueue[RecommendedAction],MATCH(9,Calc!$C$28:$C$299,0)),"")</f>
        <v>Escalate: high-risk account carrying a 90+ balance. Hold further shipments and agree a payment plan or refer for recovery.</v>
      </c>
    </row>
    <row r="19" spans="1:16" x14ac:dyDescent="0.35">
      <c r="A19">
        <f>IF(10&gt;MIN(QueueRowsShown,$F$4),"",10)</f>
        <v>10</v>
      </c>
      <c r="B19" t="str">
        <f>IFERROR(INDEX(tQueue[CustomerName],MATCH(10,Calc!$C$28:$C$299,0)),"")</f>
        <v>Apex Mechanical - Southeast 3</v>
      </c>
      <c r="C19" t="str">
        <f>IFERROR(INDEX(tQueue[Segment],MATCH(10,Calc!$C$28:$C$299,0)),"")</f>
        <v>Contractor</v>
      </c>
      <c r="D19" t="str">
        <f>IFERROR(INDEX(tQueue[RiskTier],MATCH(10,Calc!$C$28:$C$299,0)),"")</f>
        <v>High</v>
      </c>
      <c r="E19" t="str">
        <f>IFERROR(INDEX(tQueue[CollectorName],MATCH(10,Calc!$C$28:$C$299,0)),"")</f>
        <v>Tomas Okafor</v>
      </c>
      <c r="F19" t="str">
        <f>IFERROR(INDEX(tQueue[TermsCode],MATCH(10,Calc!$C$28:$C$299,0)),"")</f>
        <v>NET30</v>
      </c>
      <c r="G19" s="18">
        <f>IFERROR(INDEX(tQueue[OpenBalance],MATCH(10,Calc!$C$28:$C$299,0)),"")</f>
        <v>31830.69</v>
      </c>
      <c r="H19" s="18">
        <f>IFERROR(INDEX(tQueue[PastDueBalance],MATCH(10,Calc!$C$28:$C$299,0)),"")</f>
        <v>28601.279999999999</v>
      </c>
      <c r="I19" s="18">
        <f>IFERROR(INDEX(tQueue[Balance90Plus],MATCH(10,Calc!$C$28:$C$299,0)),"")</f>
        <v>26001.78</v>
      </c>
      <c r="J19" s="18">
        <f>IFERROR(INDEX(tQueue[DisputedBalance],MATCH(10,Calc!$C$28:$C$299,0)),"")</f>
        <v>0</v>
      </c>
      <c r="K19" s="18">
        <f>IFERROR(INDEX(tQueue[CollectableExposure],MATCH(10,Calc!$C$28:$C$299,0)),"")</f>
        <v>27073.54</v>
      </c>
      <c r="L19" s="23">
        <f>IFERROR(INDEX(tQueue[OldestDaysPastDue],MATCH(10,Calc!$C$28:$C$299,0)),"")</f>
        <v>138</v>
      </c>
      <c r="M19" s="34">
        <f>IFERROR(INDEX(tQueue[CreditUtilizationPct],MATCH(10,Calc!$C$28:$C$299,0)),"")</f>
        <v>106.1</v>
      </c>
      <c r="N19">
        <f>IFERROR(INDEX(tQueue[CreditHoldFlag],MATCH(10,Calc!$C$28:$C$299,0)),"")</f>
        <v>1</v>
      </c>
      <c r="O19" t="str">
        <f>IFERROR(INDEX(tQueue[ActionCode],MATCH(10,Calc!$C$28:$C$299,0)),"")</f>
        <v>ESCALATE</v>
      </c>
      <c r="P19" t="str">
        <f>IFERROR(INDEX(tQueue[RecommendedAction],MATCH(10,Calc!$C$28:$C$299,0)),"")</f>
        <v>Escalate: high-risk account carrying a 90+ balance. Hold further shipments and agree a payment plan or refer for recovery. Also place a credit hold: the account is at or over its credit limit.</v>
      </c>
    </row>
    <row r="20" spans="1:16" x14ac:dyDescent="0.35">
      <c r="A20">
        <f>IF(11&gt;MIN(QueueRowsShown,$F$4),"",11)</f>
        <v>11</v>
      </c>
      <c r="B20" t="str">
        <f>IFERROR(INDEX(tQueue[CustomerName],MATCH(11,Calc!$C$28:$C$299,0)),"")</f>
        <v>Keystone Contracting</v>
      </c>
      <c r="C20" t="str">
        <f>IFERROR(INDEX(tQueue[Segment],MATCH(11,Calc!$C$28:$C$299,0)),"")</f>
        <v>Contractor</v>
      </c>
      <c r="D20" t="str">
        <f>IFERROR(INDEX(tQueue[RiskTier],MATCH(11,Calc!$C$28:$C$299,0)),"")</f>
        <v>High</v>
      </c>
      <c r="E20" t="str">
        <f>IFERROR(INDEX(tQueue[CollectorName],MATCH(11,Calc!$C$28:$C$299,0)),"")</f>
        <v>Tomas Okafor</v>
      </c>
      <c r="F20" t="str">
        <f>IFERROR(INDEX(tQueue[TermsCode],MATCH(11,Calc!$C$28:$C$299,0)),"")</f>
        <v>NET60</v>
      </c>
      <c r="G20" s="18">
        <f>IFERROR(INDEX(tQueue[OpenBalance],MATCH(11,Calc!$C$28:$C$299,0)),"")</f>
        <v>84970.22</v>
      </c>
      <c r="H20" s="18">
        <f>IFERROR(INDEX(tQueue[PastDueBalance],MATCH(11,Calc!$C$28:$C$299,0)),"")</f>
        <v>41199.26</v>
      </c>
      <c r="I20" s="18">
        <f>IFERROR(INDEX(tQueue[Balance90Plus],MATCH(11,Calc!$C$28:$C$299,0)),"")</f>
        <v>9337.5300000000007</v>
      </c>
      <c r="J20" s="18">
        <f>IFERROR(INDEX(tQueue[DisputedBalance],MATCH(11,Calc!$C$28:$C$299,0)),"")</f>
        <v>0</v>
      </c>
      <c r="K20" s="18">
        <f>IFERROR(INDEX(tQueue[CollectableExposure],MATCH(11,Calc!$C$28:$C$299,0)),"")</f>
        <v>25099.35</v>
      </c>
      <c r="L20" s="23">
        <f>IFERROR(INDEX(tQueue[OldestDaysPastDue],MATCH(11,Calc!$C$28:$C$299,0)),"")</f>
        <v>122</v>
      </c>
      <c r="M20" s="34">
        <f>IFERROR(INDEX(tQueue[CreditUtilizationPct],MATCH(11,Calc!$C$28:$C$299,0)),"")</f>
        <v>80.92</v>
      </c>
      <c r="N20">
        <f>IFERROR(INDEX(tQueue[CreditHoldFlag],MATCH(11,Calc!$C$28:$C$299,0)),"")</f>
        <v>0</v>
      </c>
      <c r="O20" t="str">
        <f>IFERROR(INDEX(tQueue[ActionCode],MATCH(11,Calc!$C$28:$C$299,0)),"")</f>
        <v>ESCALATE</v>
      </c>
      <c r="P20" t="str">
        <f>IFERROR(INDEX(tQueue[RecommendedAction],MATCH(11,Calc!$C$28:$C$299,0)),"")</f>
        <v>Escalate: high-risk account carrying a 90+ balance. Hold further shipments and agree a payment plan or refer for recovery.</v>
      </c>
    </row>
    <row r="21" spans="1:16" x14ac:dyDescent="0.35">
      <c r="A21">
        <f>IF(12&gt;MIN(QueueRowsShown,$F$4),"",12)</f>
        <v>12</v>
      </c>
      <c r="B21" t="str">
        <f>IFERROR(INDEX(tQueue[CustomerName],MATCH(12,Calc!$C$28:$C$299,0)),"")</f>
        <v>Bluewater Industries - Southeast</v>
      </c>
      <c r="C21" t="str">
        <f>IFERROR(INDEX(tQueue[Segment],MATCH(12,Calc!$C$28:$C$299,0)),"")</f>
        <v>OEM Manufacturer</v>
      </c>
      <c r="D21" t="str">
        <f>IFERROR(INDEX(tQueue[RiskTier],MATCH(12,Calc!$C$28:$C$299,0)),"")</f>
        <v>Low</v>
      </c>
      <c r="E21" t="str">
        <f>IFERROR(INDEX(tQueue[CollectorName],MATCH(12,Calc!$C$28:$C$299,0)),"")</f>
        <v>Marcus Bell</v>
      </c>
      <c r="F21" t="str">
        <f>IFERROR(INDEX(tQueue[TermsCode],MATCH(12,Calc!$C$28:$C$299,0)),"")</f>
        <v>NET45</v>
      </c>
      <c r="G21" s="18">
        <f>IFERROR(INDEX(tQueue[OpenBalance],MATCH(12,Calc!$C$28:$C$299,0)),"")</f>
        <v>125485.34</v>
      </c>
      <c r="H21" s="18">
        <f>IFERROR(INDEX(tQueue[PastDueBalance],MATCH(12,Calc!$C$28:$C$299,0)),"")</f>
        <v>87648.639999999999</v>
      </c>
      <c r="I21" s="18">
        <f>IFERROR(INDEX(tQueue[Balance90Plus],MATCH(12,Calc!$C$28:$C$299,0)),"")</f>
        <v>0</v>
      </c>
      <c r="J21" s="18">
        <f>IFERROR(INDEX(tQueue[DisputedBalance],MATCH(12,Calc!$C$28:$C$299,0)),"")</f>
        <v>17811.560000000001</v>
      </c>
      <c r="K21" s="18">
        <f>IFERROR(INDEX(tQueue[CollectableExposure],MATCH(12,Calc!$C$28:$C$299,0)),"")</f>
        <v>24700.44</v>
      </c>
      <c r="L21" s="23">
        <f>IFERROR(INDEX(tQueue[OldestDaysPastDue],MATCH(12,Calc!$C$28:$C$299,0)),"")</f>
        <v>69</v>
      </c>
      <c r="M21" s="34">
        <f>IFERROR(INDEX(tQueue[CreditUtilizationPct],MATCH(12,Calc!$C$28:$C$299,0)),"")</f>
        <v>23.46</v>
      </c>
      <c r="N21">
        <f>IFERROR(INDEX(tQueue[CreditHoldFlag],MATCH(12,Calc!$C$28:$C$299,0)),"")</f>
        <v>0</v>
      </c>
      <c r="O21" t="str">
        <f>IFERROR(INDEX(tQueue[ActionCode],MATCH(12,Calc!$C$28:$C$299,0)),"")</f>
        <v>COLLECTION_CALL</v>
      </c>
      <c r="P21" t="str">
        <f>IFERROR(INDEX(tQueue[RecommendedAction],MATCH(12,Calc!$C$28:$C$299,0)),"")</f>
        <v>Collection call: oldest item is more than 30 days past due.</v>
      </c>
    </row>
    <row r="22" spans="1:16" x14ac:dyDescent="0.35">
      <c r="A22">
        <f>IF(13&gt;MIN(QueueRowsShown,$F$4),"",13)</f>
        <v>13</v>
      </c>
      <c r="B22" t="str">
        <f>IFERROR(INDEX(tQueue[CustomerName],MATCH(13,Calc!$C$28:$C$299,0)),"")</f>
        <v>Redline Industries - Northeast</v>
      </c>
      <c r="C22" t="str">
        <f>IFERROR(INDEX(tQueue[Segment],MATCH(13,Calc!$C$28:$C$299,0)),"")</f>
        <v>OEM Manufacturer</v>
      </c>
      <c r="D22" t="str">
        <f>IFERROR(INDEX(tQueue[RiskTier],MATCH(13,Calc!$C$28:$C$299,0)),"")</f>
        <v>Low</v>
      </c>
      <c r="E22" t="str">
        <f>IFERROR(INDEX(tQueue[CollectorName],MATCH(13,Calc!$C$28:$C$299,0)),"")</f>
        <v>Marcus Bell</v>
      </c>
      <c r="F22" t="str">
        <f>IFERROR(INDEX(tQueue[TermsCode],MATCH(13,Calc!$C$28:$C$299,0)),"")</f>
        <v>NET45</v>
      </c>
      <c r="G22" s="18">
        <f>IFERROR(INDEX(tQueue[OpenBalance],MATCH(13,Calc!$C$28:$C$299,0)),"")</f>
        <v>152726.53</v>
      </c>
      <c r="H22" s="18">
        <f>IFERROR(INDEX(tQueue[PastDueBalance],MATCH(13,Calc!$C$28:$C$299,0)),"")</f>
        <v>58576.86</v>
      </c>
      <c r="I22" s="18">
        <f>IFERROR(INDEX(tQueue[Balance90Plus],MATCH(13,Calc!$C$28:$C$299,0)),"")</f>
        <v>0</v>
      </c>
      <c r="J22" s="18">
        <f>IFERROR(INDEX(tQueue[DisputedBalance],MATCH(13,Calc!$C$28:$C$299,0)),"")</f>
        <v>0</v>
      </c>
      <c r="K22" s="18">
        <f>IFERROR(INDEX(tQueue[CollectableExposure],MATCH(13,Calc!$C$28:$C$299,0)),"")</f>
        <v>21504.84</v>
      </c>
      <c r="L22" s="23">
        <f>IFERROR(INDEX(tQueue[OldestDaysPastDue],MATCH(13,Calc!$C$28:$C$299,0)),"")</f>
        <v>44</v>
      </c>
      <c r="M22" s="34">
        <f>IFERROR(INDEX(tQueue[CreditUtilizationPct],MATCH(13,Calc!$C$28:$C$299,0)),"")</f>
        <v>45.59</v>
      </c>
      <c r="N22">
        <f>IFERROR(INDEX(tQueue[CreditHoldFlag],MATCH(13,Calc!$C$28:$C$299,0)),"")</f>
        <v>0</v>
      </c>
      <c r="O22" t="str">
        <f>IFERROR(INDEX(tQueue[ActionCode],MATCH(13,Calc!$C$28:$C$299,0)),"")</f>
        <v>COLLECTION_CALL</v>
      </c>
      <c r="P22" t="str">
        <f>IFERROR(INDEX(tQueue[RecommendedAction],MATCH(13,Calc!$C$28:$C$299,0)),"")</f>
        <v>Collection call: oldest item is more than 30 days past due.</v>
      </c>
    </row>
    <row r="23" spans="1:16" x14ac:dyDescent="0.35">
      <c r="A23">
        <f>IF(14&gt;MIN(QueueRowsShown,$F$4),"",14)</f>
        <v>14</v>
      </c>
      <c r="B23" t="str">
        <f>IFERROR(INDEX(tQueue[CustomerName],MATCH(14,Calc!$C$28:$C$299,0)),"")</f>
        <v>Lakeshore Fabrication</v>
      </c>
      <c r="C23" t="str">
        <f>IFERROR(INDEX(tQueue[Segment],MATCH(14,Calc!$C$28:$C$299,0)),"")</f>
        <v>OEM Manufacturer</v>
      </c>
      <c r="D23" t="str">
        <f>IFERROR(INDEX(tQueue[RiskTier],MATCH(14,Calc!$C$28:$C$299,0)),"")</f>
        <v>Medium</v>
      </c>
      <c r="E23" t="str">
        <f>IFERROR(INDEX(tQueue[CollectorName],MATCH(14,Calc!$C$28:$C$299,0)),"")</f>
        <v>Priya Natarajan</v>
      </c>
      <c r="F23" t="str">
        <f>IFERROR(INDEX(tQueue[TermsCode],MATCH(14,Calc!$C$28:$C$299,0)),"")</f>
        <v>NET45</v>
      </c>
      <c r="G23" s="18">
        <f>IFERROR(INDEX(tQueue[OpenBalance],MATCH(14,Calc!$C$28:$C$299,0)),"")</f>
        <v>127031.86</v>
      </c>
      <c r="H23" s="18">
        <f>IFERROR(INDEX(tQueue[PastDueBalance],MATCH(14,Calc!$C$28:$C$299,0)),"")</f>
        <v>51164.87</v>
      </c>
      <c r="I23" s="18">
        <f>IFERROR(INDEX(tQueue[Balance90Plus],MATCH(14,Calc!$C$28:$C$299,0)),"")</f>
        <v>0</v>
      </c>
      <c r="J23" s="18">
        <f>IFERROR(INDEX(tQueue[DisputedBalance],MATCH(14,Calc!$C$28:$C$299,0)),"")</f>
        <v>15908.3</v>
      </c>
      <c r="K23" s="18">
        <f>IFERROR(INDEX(tQueue[CollectableExposure],MATCH(14,Calc!$C$28:$C$299,0)),"")</f>
        <v>20707.5</v>
      </c>
      <c r="L23" s="23">
        <f>IFERROR(INDEX(tQueue[OldestDaysPastDue],MATCH(14,Calc!$C$28:$C$299,0)),"")</f>
        <v>47</v>
      </c>
      <c r="M23" s="34">
        <f>IFERROR(INDEX(tQueue[CreditUtilizationPct],MATCH(14,Calc!$C$28:$C$299,0)),"")</f>
        <v>52.93</v>
      </c>
      <c r="N23">
        <f>IFERROR(INDEX(tQueue[CreditHoldFlag],MATCH(14,Calc!$C$28:$C$299,0)),"")</f>
        <v>0</v>
      </c>
      <c r="O23" t="str">
        <f>IFERROR(INDEX(tQueue[ActionCode],MATCH(14,Calc!$C$28:$C$299,0)),"")</f>
        <v>COLLECTION_CALL</v>
      </c>
      <c r="P23" t="str">
        <f>IFERROR(INDEX(tQueue[RecommendedAction],MATCH(14,Calc!$C$28:$C$299,0)),"")</f>
        <v>Collection call: oldest item is more than 30 days past due.</v>
      </c>
    </row>
    <row r="24" spans="1:16" x14ac:dyDescent="0.35">
      <c r="A24">
        <f>IF(15&gt;MIN(QueueRowsShown,$F$4),"",15)</f>
        <v>15</v>
      </c>
      <c r="B24" t="str">
        <f>IFERROR(INDEX(tQueue[CustomerName],MATCH(15,Calc!$C$28:$C$299,0)),"")</f>
        <v>Riverbend Fabrication</v>
      </c>
      <c r="C24" t="str">
        <f>IFERROR(INDEX(tQueue[Segment],MATCH(15,Calc!$C$28:$C$299,0)),"")</f>
        <v>OEM Manufacturer</v>
      </c>
      <c r="D24" t="str">
        <f>IFERROR(INDEX(tQueue[RiskTier],MATCH(15,Calc!$C$28:$C$299,0)),"")</f>
        <v>Low</v>
      </c>
      <c r="E24" t="str">
        <f>IFERROR(INDEX(tQueue[CollectorName],MATCH(15,Calc!$C$28:$C$299,0)),"")</f>
        <v>Marcus Bell</v>
      </c>
      <c r="F24" t="str">
        <f>IFERROR(INDEX(tQueue[TermsCode],MATCH(15,Calc!$C$28:$C$299,0)),"")</f>
        <v>NET60</v>
      </c>
      <c r="G24" s="18">
        <f>IFERROR(INDEX(tQueue[OpenBalance],MATCH(15,Calc!$C$28:$C$299,0)),"")</f>
        <v>90154.01</v>
      </c>
      <c r="H24" s="18">
        <f>IFERROR(INDEX(tQueue[PastDueBalance],MATCH(15,Calc!$C$28:$C$299,0)),"")</f>
        <v>52664.06</v>
      </c>
      <c r="I24" s="18">
        <f>IFERROR(INDEX(tQueue[Balance90Plus],MATCH(15,Calc!$C$28:$C$299,0)),"")</f>
        <v>0</v>
      </c>
      <c r="J24" s="18">
        <f>IFERROR(INDEX(tQueue[DisputedBalance],MATCH(15,Calc!$C$28:$C$299,0)),"")</f>
        <v>9987.4</v>
      </c>
      <c r="K24" s="18">
        <f>IFERROR(INDEX(tQueue[CollectableExposure],MATCH(15,Calc!$C$28:$C$299,0)),"")</f>
        <v>13961.98</v>
      </c>
      <c r="L24" s="23">
        <f>IFERROR(INDEX(tQueue[OldestDaysPastDue],MATCH(15,Calc!$C$28:$C$299,0)),"")</f>
        <v>47</v>
      </c>
      <c r="M24" s="34">
        <f>IFERROR(INDEX(tQueue[CreditUtilizationPct],MATCH(15,Calc!$C$28:$C$299,0)),"")</f>
        <v>36.799999999999997</v>
      </c>
      <c r="N24">
        <f>IFERROR(INDEX(tQueue[CreditHoldFlag],MATCH(15,Calc!$C$28:$C$299,0)),"")</f>
        <v>0</v>
      </c>
      <c r="O24" t="str">
        <f>IFERROR(INDEX(tQueue[ActionCode],MATCH(15,Calc!$C$28:$C$299,0)),"")</f>
        <v>COLLECTION_CALL</v>
      </c>
      <c r="P24" t="str">
        <f>IFERROR(INDEX(tQueue[RecommendedAction],MATCH(15,Calc!$C$28:$C$299,0)),"")</f>
        <v>Collection call: oldest item is more than 30 days past due.</v>
      </c>
    </row>
    <row r="25" spans="1:16" x14ac:dyDescent="0.35">
      <c r="A25">
        <f>IF(16&gt;MIN(QueueRowsShown,$F$4),"",16)</f>
        <v>16</v>
      </c>
      <c r="B25" t="str">
        <f>IFERROR(INDEX(tQueue[CustomerName],MATCH(16,Calc!$C$28:$C$299,0)),"")</f>
        <v>Cedar Ridge Machine Works - Southwest</v>
      </c>
      <c r="C25" t="str">
        <f>IFERROR(INDEX(tQueue[Segment],MATCH(16,Calc!$C$28:$C$299,0)),"")</f>
        <v>OEM Manufacturer</v>
      </c>
      <c r="D25" t="str">
        <f>IFERROR(INDEX(tQueue[RiskTier],MATCH(16,Calc!$C$28:$C$299,0)),"")</f>
        <v>High</v>
      </c>
      <c r="E25" t="str">
        <f>IFERROR(INDEX(tQueue[CollectorName],MATCH(16,Calc!$C$28:$C$299,0)),"")</f>
        <v>Priya Natarajan</v>
      </c>
      <c r="F25" t="str">
        <f>IFERROR(INDEX(tQueue[TermsCode],MATCH(16,Calc!$C$28:$C$299,0)),"")</f>
        <v>NET60</v>
      </c>
      <c r="G25" s="18">
        <f>IFERROR(INDEX(tQueue[OpenBalance],MATCH(16,Calc!$C$28:$C$299,0)),"")</f>
        <v>159690.79999999999</v>
      </c>
      <c r="H25" s="18">
        <f>IFERROR(INDEX(tQueue[PastDueBalance],MATCH(16,Calc!$C$28:$C$299,0)),"")</f>
        <v>50936.25</v>
      </c>
      <c r="I25" s="18">
        <f>IFERROR(INDEX(tQueue[Balance90Plus],MATCH(16,Calc!$C$28:$C$299,0)),"")</f>
        <v>0</v>
      </c>
      <c r="J25" s="18">
        <f>IFERROR(INDEX(tQueue[DisputedBalance],MATCH(16,Calc!$C$28:$C$299,0)),"")</f>
        <v>0</v>
      </c>
      <c r="K25" s="18">
        <f>IFERROR(INDEX(tQueue[CollectableExposure],MATCH(16,Calc!$C$28:$C$299,0)),"")</f>
        <v>12734.06</v>
      </c>
      <c r="L25" s="23">
        <f>IFERROR(INDEX(tQueue[OldestDaysPastDue],MATCH(16,Calc!$C$28:$C$299,0)),"")</f>
        <v>18</v>
      </c>
      <c r="M25" s="34">
        <f>IFERROR(INDEX(tQueue[CreditUtilizationPct],MATCH(16,Calc!$C$28:$C$299,0)),"")</f>
        <v>29.85</v>
      </c>
      <c r="N25">
        <f>IFERROR(INDEX(tQueue[CreditHoldFlag],MATCH(16,Calc!$C$28:$C$299,0)),"")</f>
        <v>0</v>
      </c>
      <c r="O25" t="str">
        <f>IFERROR(INDEX(tQueue[ActionCode],MATCH(16,Calc!$C$28:$C$299,0)),"")</f>
        <v>STANDARD_DUNNING</v>
      </c>
      <c r="P25" t="str">
        <f>IFERROR(INDEX(tQueue[RecommendedAction],MATCH(16,Calc!$C$28:$C$299,0)),"")</f>
        <v>Standard dunning letter and follow-up call.</v>
      </c>
    </row>
    <row r="26" spans="1:16" x14ac:dyDescent="0.35">
      <c r="A26">
        <f>IF(17&gt;MIN(QueueRowsShown,$F$4),"",17)</f>
        <v>17</v>
      </c>
      <c r="B26" t="str">
        <f>IFERROR(INDEX(tQueue[CustomerName],MATCH(17,Calc!$C$28:$C$299,0)),"")</f>
        <v>Lakeshore Construction - West</v>
      </c>
      <c r="C26" t="str">
        <f>IFERROR(INDEX(tQueue[Segment],MATCH(17,Calc!$C$28:$C$299,0)),"")</f>
        <v>Contractor</v>
      </c>
      <c r="D26" t="str">
        <f>IFERROR(INDEX(tQueue[RiskTier],MATCH(17,Calc!$C$28:$C$299,0)),"")</f>
        <v>High</v>
      </c>
      <c r="E26" t="str">
        <f>IFERROR(INDEX(tQueue[CollectorName],MATCH(17,Calc!$C$28:$C$299,0)),"")</f>
        <v>Tomas Okafor</v>
      </c>
      <c r="F26" t="str">
        <f>IFERROR(INDEX(tQueue[TermsCode],MATCH(17,Calc!$C$28:$C$299,0)),"")</f>
        <v>2/10NET30</v>
      </c>
      <c r="G26" s="18">
        <f>IFERROR(INDEX(tQueue[OpenBalance],MATCH(17,Calc!$C$28:$C$299,0)),"")</f>
        <v>24570.62</v>
      </c>
      <c r="H26" s="18">
        <f>IFERROR(INDEX(tQueue[PastDueBalance],MATCH(17,Calc!$C$28:$C$299,0)),"")</f>
        <v>16849.82</v>
      </c>
      <c r="I26" s="18">
        <f>IFERROR(INDEX(tQueue[Balance90Plus],MATCH(17,Calc!$C$28:$C$299,0)),"")</f>
        <v>8126.02</v>
      </c>
      <c r="J26" s="18">
        <f>IFERROR(INDEX(tQueue[DisputedBalance],MATCH(17,Calc!$C$28:$C$299,0)),"")</f>
        <v>0</v>
      </c>
      <c r="K26" s="18">
        <f>IFERROR(INDEX(tQueue[CollectableExposure],MATCH(17,Calc!$C$28:$C$299,0)),"")</f>
        <v>12487.92</v>
      </c>
      <c r="L26" s="23">
        <f>IFERROR(INDEX(tQueue[OldestDaysPastDue],MATCH(17,Calc!$C$28:$C$299,0)),"")</f>
        <v>111</v>
      </c>
      <c r="M26" s="34">
        <f>IFERROR(INDEX(tQueue[CreditUtilizationPct],MATCH(17,Calc!$C$28:$C$299,0)),"")</f>
        <v>98.28</v>
      </c>
      <c r="N26">
        <f>IFERROR(INDEX(tQueue[CreditHoldFlag],MATCH(17,Calc!$C$28:$C$299,0)),"")</f>
        <v>0</v>
      </c>
      <c r="O26" t="str">
        <f>IFERROR(INDEX(tQueue[ActionCode],MATCH(17,Calc!$C$28:$C$299,0)),"")</f>
        <v>ESCALATE</v>
      </c>
      <c r="P26" t="str">
        <f>IFERROR(INDEX(tQueue[RecommendedAction],MATCH(17,Calc!$C$28:$C$299,0)),"")</f>
        <v>Escalate: high-risk account carrying a 90+ balance. Hold further shipments and agree a payment plan or refer for recovery.</v>
      </c>
    </row>
    <row r="27" spans="1:16" x14ac:dyDescent="0.35">
      <c r="A27">
        <f>IF(18&gt;MIN(QueueRowsShown,$F$4),"",18)</f>
        <v>18</v>
      </c>
      <c r="B27" t="str">
        <f>IFERROR(INDEX(tQueue[CustomerName],MATCH(18,Calc!$C$28:$C$299,0)),"")</f>
        <v>Bluewater Industries</v>
      </c>
      <c r="C27" t="str">
        <f>IFERROR(INDEX(tQueue[Segment],MATCH(18,Calc!$C$28:$C$299,0)),"")</f>
        <v>OEM Manufacturer</v>
      </c>
      <c r="D27" t="str">
        <f>IFERROR(INDEX(tQueue[RiskTier],MATCH(18,Calc!$C$28:$C$299,0)),"")</f>
        <v>High</v>
      </c>
      <c r="E27" t="str">
        <f>IFERROR(INDEX(tQueue[CollectorName],MATCH(18,Calc!$C$28:$C$299,0)),"")</f>
        <v>Priya Natarajan</v>
      </c>
      <c r="F27" t="str">
        <f>IFERROR(INDEX(tQueue[TermsCode],MATCH(18,Calc!$C$28:$C$299,0)),"")</f>
        <v>NET60</v>
      </c>
      <c r="G27" s="18">
        <f>IFERROR(INDEX(tQueue[OpenBalance],MATCH(18,Calc!$C$28:$C$299,0)),"")</f>
        <v>93887.29</v>
      </c>
      <c r="H27" s="18">
        <f>IFERROR(INDEX(tQueue[PastDueBalance],MATCH(18,Calc!$C$28:$C$299,0)),"")</f>
        <v>53541.39</v>
      </c>
      <c r="I27" s="18">
        <f>IFERROR(INDEX(tQueue[Balance90Plus],MATCH(18,Calc!$C$28:$C$299,0)),"")</f>
        <v>3658.04</v>
      </c>
      <c r="J27" s="18">
        <f>IFERROR(INDEX(tQueue[DisputedBalance],MATCH(18,Calc!$C$28:$C$299,0)),"")</f>
        <v>0</v>
      </c>
      <c r="K27" s="18">
        <f>IFERROR(INDEX(tQueue[CollectableExposure],MATCH(18,Calc!$C$28:$C$299,0)),"")</f>
        <v>12470.84</v>
      </c>
      <c r="L27" s="23">
        <f>IFERROR(INDEX(tQueue[OldestDaysPastDue],MATCH(18,Calc!$C$28:$C$299,0)),"")</f>
        <v>502</v>
      </c>
      <c r="M27" s="34">
        <f>IFERROR(INDEX(tQueue[CreditUtilizationPct],MATCH(18,Calc!$C$28:$C$299,0)),"")</f>
        <v>26.45</v>
      </c>
      <c r="N27">
        <f>IFERROR(INDEX(tQueue[CreditHoldFlag],MATCH(18,Calc!$C$28:$C$299,0)),"")</f>
        <v>0</v>
      </c>
      <c r="O27" t="str">
        <f>IFERROR(INDEX(tQueue[ActionCode],MATCH(18,Calc!$C$28:$C$299,0)),"")</f>
        <v>ESCALATE</v>
      </c>
      <c r="P27" t="str">
        <f>IFERROR(INDEX(tQueue[RecommendedAction],MATCH(18,Calc!$C$28:$C$299,0)),"")</f>
        <v>Escalate: high-risk account carrying a 90+ balance. Hold further shipments and agree a payment plan or refer for recovery.</v>
      </c>
    </row>
    <row r="28" spans="1:16" x14ac:dyDescent="0.35">
      <c r="A28">
        <f>IF(19&gt;MIN(QueueRowsShown,$F$4),"",19)</f>
        <v>19</v>
      </c>
      <c r="B28" t="str">
        <f>IFERROR(INDEX(tQueue[CustomerName],MATCH(19,Calc!$C$28:$C$299,0)),"")</f>
        <v>Frontier Fabrication</v>
      </c>
      <c r="C28" t="str">
        <f>IFERROR(INDEX(tQueue[Segment],MATCH(19,Calc!$C$28:$C$299,0)),"")</f>
        <v>OEM Manufacturer</v>
      </c>
      <c r="D28" t="str">
        <f>IFERROR(INDEX(tQueue[RiskTier],MATCH(19,Calc!$C$28:$C$299,0)),"")</f>
        <v>Medium</v>
      </c>
      <c r="E28" t="str">
        <f>IFERROR(INDEX(tQueue[CollectorName],MATCH(19,Calc!$C$28:$C$299,0)),"")</f>
        <v>Priya Natarajan</v>
      </c>
      <c r="F28" t="str">
        <f>IFERROR(INDEX(tQueue[TermsCode],MATCH(19,Calc!$C$28:$C$299,0)),"")</f>
        <v>NET45</v>
      </c>
      <c r="G28" s="18">
        <f>IFERROR(INDEX(tQueue[OpenBalance],MATCH(19,Calc!$C$28:$C$299,0)),"")</f>
        <v>116620.23</v>
      </c>
      <c r="H28" s="18">
        <f>IFERROR(INDEX(tQueue[PastDueBalance],MATCH(19,Calc!$C$28:$C$299,0)),"")</f>
        <v>44023.4</v>
      </c>
      <c r="I28" s="18">
        <f>IFERROR(INDEX(tQueue[Balance90Plus],MATCH(19,Calc!$C$28:$C$299,0)),"")</f>
        <v>0</v>
      </c>
      <c r="J28" s="18">
        <f>IFERROR(INDEX(tQueue[DisputedBalance],MATCH(19,Calc!$C$28:$C$299,0)),"")</f>
        <v>11224.6</v>
      </c>
      <c r="K28" s="18">
        <f>IFERROR(INDEX(tQueue[CollectableExposure],MATCH(19,Calc!$C$28:$C$299,0)),"")</f>
        <v>11005.85</v>
      </c>
      <c r="L28" s="23">
        <f>IFERROR(INDEX(tQueue[OldestDaysPastDue],MATCH(19,Calc!$C$28:$C$299,0)),"")</f>
        <v>4</v>
      </c>
      <c r="M28" s="34">
        <f>IFERROR(INDEX(tQueue[CreditUtilizationPct],MATCH(19,Calc!$C$28:$C$299,0)),"")</f>
        <v>19.440000000000001</v>
      </c>
      <c r="N28">
        <f>IFERROR(INDEX(tQueue[CreditHoldFlag],MATCH(19,Calc!$C$28:$C$299,0)),"")</f>
        <v>0</v>
      </c>
      <c r="O28" t="str">
        <f>IFERROR(INDEX(tQueue[ActionCode],MATCH(19,Calc!$C$28:$C$299,0)),"")</f>
        <v>STANDARD_DUNNING</v>
      </c>
      <c r="P28" t="str">
        <f>IFERROR(INDEX(tQueue[RecommendedAction],MATCH(19,Calc!$C$28:$C$299,0)),"")</f>
        <v>Standard dunning letter and follow-up call.</v>
      </c>
    </row>
    <row r="29" spans="1:16" x14ac:dyDescent="0.35">
      <c r="A29">
        <f>IF(20&gt;MIN(QueueRowsShown,$F$4),"",20)</f>
        <v>20</v>
      </c>
      <c r="B29" t="str">
        <f>IFERROR(INDEX(tQueue[CustomerName],MATCH(20,Calc!$C$28:$C$299,0)),"")</f>
        <v>Stonegate Fabrication - West</v>
      </c>
      <c r="C29" t="str">
        <f>IFERROR(INDEX(tQueue[Segment],MATCH(20,Calc!$C$28:$C$299,0)),"")</f>
        <v>OEM Manufacturer</v>
      </c>
      <c r="D29" t="str">
        <f>IFERROR(INDEX(tQueue[RiskTier],MATCH(20,Calc!$C$28:$C$299,0)),"")</f>
        <v>High</v>
      </c>
      <c r="E29" t="str">
        <f>IFERROR(INDEX(tQueue[CollectorName],MATCH(20,Calc!$C$28:$C$299,0)),"")</f>
        <v>Marcus Bell</v>
      </c>
      <c r="F29" t="str">
        <f>IFERROR(INDEX(tQueue[TermsCode],MATCH(20,Calc!$C$28:$C$299,0)),"")</f>
        <v>NET60</v>
      </c>
      <c r="G29" s="18">
        <f>IFERROR(INDEX(tQueue[OpenBalance],MATCH(20,Calc!$C$28:$C$299,0)),"")</f>
        <v>75601.210000000006</v>
      </c>
      <c r="H29" s="18">
        <f>IFERROR(INDEX(tQueue[PastDueBalance],MATCH(20,Calc!$C$28:$C$299,0)),"")</f>
        <v>47161.13</v>
      </c>
      <c r="I29" s="18">
        <f>IFERROR(INDEX(tQueue[Balance90Plus],MATCH(20,Calc!$C$28:$C$299,0)),"")</f>
        <v>3522.98</v>
      </c>
      <c r="J29" s="18">
        <f>IFERROR(INDEX(tQueue[DisputedBalance],MATCH(20,Calc!$C$28:$C$299,0)),"")</f>
        <v>0</v>
      </c>
      <c r="K29" s="18">
        <f>IFERROR(INDEX(tQueue[CollectableExposure],MATCH(20,Calc!$C$28:$C$299,0)),"")</f>
        <v>10909.54</v>
      </c>
      <c r="L29" s="23">
        <f>IFERROR(INDEX(tQueue[OldestDaysPastDue],MATCH(20,Calc!$C$28:$C$299,0)),"")</f>
        <v>277</v>
      </c>
      <c r="M29" s="34">
        <f>IFERROR(INDEX(tQueue[CreditUtilizationPct],MATCH(20,Calc!$C$28:$C$299,0)),"")</f>
        <v>19.899999999999999</v>
      </c>
      <c r="N29">
        <f>IFERROR(INDEX(tQueue[CreditHoldFlag],MATCH(20,Calc!$C$28:$C$299,0)),"")</f>
        <v>0</v>
      </c>
      <c r="O29" t="str">
        <f>IFERROR(INDEX(tQueue[ActionCode],MATCH(20,Calc!$C$28:$C$299,0)),"")</f>
        <v>ESCALATE</v>
      </c>
      <c r="P29" t="str">
        <f>IFERROR(INDEX(tQueue[RecommendedAction],MATCH(20,Calc!$C$28:$C$299,0)),"")</f>
        <v>Escalate: high-risk account carrying a 90+ balance. Hold further shipments and agree a payment plan or refer for recovery.</v>
      </c>
    </row>
    <row r="30" spans="1:16" x14ac:dyDescent="0.35">
      <c r="A30">
        <f>IF(21&gt;MIN(QueueRowsShown,$F$4),"",21)</f>
        <v>21</v>
      </c>
      <c r="B30" t="str">
        <f>IFERROR(INDEX(tQueue[CustomerName],MATCH(21,Calc!$C$28:$C$299,0)),"")</f>
        <v>Northfield School District - Midwest</v>
      </c>
      <c r="C30" t="str">
        <f>IFERROR(INDEX(tQueue[Segment],MATCH(21,Calc!$C$28:$C$299,0)),"")</f>
        <v>Institutional</v>
      </c>
      <c r="D30" t="str">
        <f>IFERROR(INDEX(tQueue[RiskTier],MATCH(21,Calc!$C$28:$C$299,0)),"")</f>
        <v>Low</v>
      </c>
      <c r="E30" t="str">
        <f>IFERROR(INDEX(tQueue[CollectorName],MATCH(21,Calc!$C$28:$C$299,0)),"")</f>
        <v>Priya Natarajan</v>
      </c>
      <c r="F30" t="str">
        <f>IFERROR(INDEX(tQueue[TermsCode],MATCH(21,Calc!$C$28:$C$299,0)),"")</f>
        <v>NET90</v>
      </c>
      <c r="G30" s="18">
        <f>IFERROR(INDEX(tQueue[OpenBalance],MATCH(21,Calc!$C$28:$C$299,0)),"")</f>
        <v>65440.55</v>
      </c>
      <c r="H30" s="18">
        <f>IFERROR(INDEX(tQueue[PastDueBalance],MATCH(21,Calc!$C$28:$C$299,0)),"")</f>
        <v>31983.14</v>
      </c>
      <c r="I30" s="18">
        <f>IFERROR(INDEX(tQueue[Balance90Plus],MATCH(21,Calc!$C$28:$C$299,0)),"")</f>
        <v>0</v>
      </c>
      <c r="J30" s="18">
        <f>IFERROR(INDEX(tQueue[DisputedBalance],MATCH(21,Calc!$C$28:$C$299,0)),"")</f>
        <v>0</v>
      </c>
      <c r="K30" s="18">
        <f>IFERROR(INDEX(tQueue[CollectableExposure],MATCH(21,Calc!$C$28:$C$299,0)),"")</f>
        <v>7995.79</v>
      </c>
      <c r="L30" s="23">
        <f>IFERROR(INDEX(tQueue[OldestDaysPastDue],MATCH(21,Calc!$C$28:$C$299,0)),"")</f>
        <v>24</v>
      </c>
      <c r="M30" s="34">
        <f>IFERROR(INDEX(tQueue[CreditUtilizationPct],MATCH(21,Calc!$C$28:$C$299,0)),"")</f>
        <v>28.45</v>
      </c>
      <c r="N30">
        <f>IFERROR(INDEX(tQueue[CreditHoldFlag],MATCH(21,Calc!$C$28:$C$299,0)),"")</f>
        <v>0</v>
      </c>
      <c r="O30" t="str">
        <f>IFERROR(INDEX(tQueue[ActionCode],MATCH(21,Calc!$C$28:$C$299,0)),"")</f>
        <v>STANDARD_DUNNING</v>
      </c>
      <c r="P30" t="str">
        <f>IFERROR(INDEX(tQueue[RecommendedAction],MATCH(21,Calc!$C$28:$C$299,0)),"")</f>
        <v>Standard dunning letter and follow-up call.</v>
      </c>
    </row>
    <row r="31" spans="1:16" x14ac:dyDescent="0.35">
      <c r="A31">
        <f>IF(22&gt;MIN(QueueRowsShown,$F$4),"",22)</f>
        <v>22</v>
      </c>
      <c r="B31" t="str">
        <f>IFERROR(INDEX(tQueue[CustomerName],MATCH(22,Calc!$C$28:$C$299,0)),"")</f>
        <v>Keystone Fabrication</v>
      </c>
      <c r="C31" t="str">
        <f>IFERROR(INDEX(tQueue[Segment],MATCH(22,Calc!$C$28:$C$299,0)),"")</f>
        <v>OEM Manufacturer</v>
      </c>
      <c r="D31" t="str">
        <f>IFERROR(INDEX(tQueue[RiskTier],MATCH(22,Calc!$C$28:$C$299,0)),"")</f>
        <v>Medium</v>
      </c>
      <c r="E31" t="str">
        <f>IFERROR(INDEX(tQueue[CollectorName],MATCH(22,Calc!$C$28:$C$299,0)),"")</f>
        <v>Priya Natarajan</v>
      </c>
      <c r="F31" t="str">
        <f>IFERROR(INDEX(tQueue[TermsCode],MATCH(22,Calc!$C$28:$C$299,0)),"")</f>
        <v>NET60</v>
      </c>
      <c r="G31" s="18">
        <f>IFERROR(INDEX(tQueue[OpenBalance],MATCH(22,Calc!$C$28:$C$299,0)),"")</f>
        <v>93975.84</v>
      </c>
      <c r="H31" s="18">
        <f>IFERROR(INDEX(tQueue[PastDueBalance],MATCH(22,Calc!$C$28:$C$299,0)),"")</f>
        <v>36293.49</v>
      </c>
      <c r="I31" s="18">
        <f>IFERROR(INDEX(tQueue[Balance90Plus],MATCH(22,Calc!$C$28:$C$299,0)),"")</f>
        <v>6170.49</v>
      </c>
      <c r="J31" s="18">
        <f>IFERROR(INDEX(tQueue[DisputedBalance],MATCH(22,Calc!$C$28:$C$299,0)),"")</f>
        <v>9126.86</v>
      </c>
      <c r="K31" s="18">
        <f>IFERROR(INDEX(tQueue[CollectableExposure],MATCH(22,Calc!$C$28:$C$299,0)),"")</f>
        <v>7530.75</v>
      </c>
      <c r="L31" s="23">
        <f>IFERROR(INDEX(tQueue[OldestDaysPastDue],MATCH(22,Calc!$C$28:$C$299,0)),"")</f>
        <v>102</v>
      </c>
      <c r="M31" s="34">
        <f>IFERROR(INDEX(tQueue[CreditUtilizationPct],MATCH(22,Calc!$C$28:$C$299,0)),"")</f>
        <v>15.66</v>
      </c>
      <c r="N31">
        <f>IFERROR(INDEX(tQueue[CreditHoldFlag],MATCH(22,Calc!$C$28:$C$299,0)),"")</f>
        <v>0</v>
      </c>
      <c r="O31" t="str">
        <f>IFERROR(INDEX(tQueue[ActionCode],MATCH(22,Calc!$C$28:$C$299,0)),"")</f>
        <v>FINAL_NOTICE</v>
      </c>
      <c r="P31" t="str">
        <f>IFERROR(INDEX(tQueue[RecommendedAction],MATCH(22,Calc!$C$28:$C$299,0)),"")</f>
        <v>Issue a final notice on the 90+ balance and confirm a payment date in writing.</v>
      </c>
    </row>
    <row r="32" spans="1:16" x14ac:dyDescent="0.35">
      <c r="A32">
        <f>IF(23&gt;MIN(QueueRowsShown,$F$4),"",23)</f>
        <v>23</v>
      </c>
      <c r="B32" t="str">
        <f>IFERROR(INDEX(tQueue[CustomerName],MATCH(23,Calc!$C$28:$C$299,0)),"")</f>
        <v>Stonegate Industries</v>
      </c>
      <c r="C32" t="str">
        <f>IFERROR(INDEX(tQueue[Segment],MATCH(23,Calc!$C$28:$C$299,0)),"")</f>
        <v>OEM Manufacturer</v>
      </c>
      <c r="D32" t="str">
        <f>IFERROR(INDEX(tQueue[RiskTier],MATCH(23,Calc!$C$28:$C$299,0)),"")</f>
        <v>Medium</v>
      </c>
      <c r="E32" t="str">
        <f>IFERROR(INDEX(tQueue[CollectorName],MATCH(23,Calc!$C$28:$C$299,0)),"")</f>
        <v>Priya Natarajan</v>
      </c>
      <c r="F32" t="str">
        <f>IFERROR(INDEX(tQueue[TermsCode],MATCH(23,Calc!$C$28:$C$299,0)),"")</f>
        <v>NET45</v>
      </c>
      <c r="G32" s="18">
        <f>IFERROR(INDEX(tQueue[OpenBalance],MATCH(23,Calc!$C$28:$C$299,0)),"")</f>
        <v>78932.509999999995</v>
      </c>
      <c r="H32" s="18">
        <f>IFERROR(INDEX(tQueue[PastDueBalance],MATCH(23,Calc!$C$28:$C$299,0)),"")</f>
        <v>29973.52</v>
      </c>
      <c r="I32" s="18">
        <f>IFERROR(INDEX(tQueue[Balance90Plus],MATCH(23,Calc!$C$28:$C$299,0)),"")</f>
        <v>1838.06</v>
      </c>
      <c r="J32" s="18">
        <f>IFERROR(INDEX(tQueue[DisputedBalance],MATCH(23,Calc!$C$28:$C$299,0)),"")</f>
        <v>0</v>
      </c>
      <c r="K32" s="18">
        <f>IFERROR(INDEX(tQueue[CollectableExposure],MATCH(23,Calc!$C$28:$C$299,0)),"")</f>
        <v>7033.87</v>
      </c>
      <c r="L32" s="23">
        <f>IFERROR(INDEX(tQueue[OldestDaysPastDue],MATCH(23,Calc!$C$28:$C$299,0)),"")</f>
        <v>185</v>
      </c>
      <c r="M32" s="34">
        <f>IFERROR(INDEX(tQueue[CreditUtilizationPct],MATCH(23,Calc!$C$28:$C$299,0)),"")</f>
        <v>19.02</v>
      </c>
      <c r="N32">
        <f>IFERROR(INDEX(tQueue[CreditHoldFlag],MATCH(23,Calc!$C$28:$C$299,0)),"")</f>
        <v>0</v>
      </c>
      <c r="O32" t="str">
        <f>IFERROR(INDEX(tQueue[ActionCode],MATCH(23,Calc!$C$28:$C$299,0)),"")</f>
        <v>FINAL_NOTICE</v>
      </c>
      <c r="P32" t="str">
        <f>IFERROR(INDEX(tQueue[RecommendedAction],MATCH(23,Calc!$C$28:$C$299,0)),"")</f>
        <v>Issue a final notice on the 90+ balance and confirm a payment date in writing.</v>
      </c>
    </row>
    <row r="33" spans="1:16" x14ac:dyDescent="0.35">
      <c r="A33">
        <f>IF(24&gt;MIN(QueueRowsShown,$F$4),"",24)</f>
        <v>24</v>
      </c>
      <c r="B33" t="str">
        <f>IFERROR(INDEX(tQueue[CustomerName],MATCH(24,Calc!$C$28:$C$299,0)),"")</f>
        <v>Northfield Machine Works</v>
      </c>
      <c r="C33" t="str">
        <f>IFERROR(INDEX(tQueue[Segment],MATCH(24,Calc!$C$28:$C$299,0)),"")</f>
        <v>OEM Manufacturer</v>
      </c>
      <c r="D33" t="str">
        <f>IFERROR(INDEX(tQueue[RiskTier],MATCH(24,Calc!$C$28:$C$299,0)),"")</f>
        <v>High</v>
      </c>
      <c r="E33" t="str">
        <f>IFERROR(INDEX(tQueue[CollectorName],MATCH(24,Calc!$C$28:$C$299,0)),"")</f>
        <v>Marcus Bell</v>
      </c>
      <c r="F33" t="str">
        <f>IFERROR(INDEX(tQueue[TermsCode],MATCH(24,Calc!$C$28:$C$299,0)),"")</f>
        <v>NET60</v>
      </c>
      <c r="G33" s="18">
        <f>IFERROR(INDEX(tQueue[OpenBalance],MATCH(24,Calc!$C$28:$C$299,0)),"")</f>
        <v>50863.839999999997</v>
      </c>
      <c r="H33" s="18">
        <f>IFERROR(INDEX(tQueue[PastDueBalance],MATCH(24,Calc!$C$28:$C$299,0)),"")</f>
        <v>21628.98</v>
      </c>
      <c r="I33" s="18">
        <f>IFERROR(INDEX(tQueue[Balance90Plus],MATCH(24,Calc!$C$28:$C$299,0)),"")</f>
        <v>0</v>
      </c>
      <c r="J33" s="18">
        <f>IFERROR(INDEX(tQueue[DisputedBalance],MATCH(24,Calc!$C$28:$C$299,0)),"")</f>
        <v>16359.42</v>
      </c>
      <c r="K33" s="18">
        <f>IFERROR(INDEX(tQueue[CollectableExposure],MATCH(24,Calc!$C$28:$C$299,0)),"")</f>
        <v>6762.21</v>
      </c>
      <c r="L33" s="23">
        <f>IFERROR(INDEX(tQueue[OldestDaysPastDue],MATCH(24,Calc!$C$28:$C$299,0)),"")</f>
        <v>33</v>
      </c>
      <c r="M33" s="34">
        <f>IFERROR(INDEX(tQueue[CreditUtilizationPct],MATCH(24,Calc!$C$28:$C$299,0)),"")</f>
        <v>31.79</v>
      </c>
      <c r="N33">
        <f>IFERROR(INDEX(tQueue[CreditHoldFlag],MATCH(24,Calc!$C$28:$C$299,0)),"")</f>
        <v>0</v>
      </c>
      <c r="O33" t="str">
        <f>IFERROR(INDEX(tQueue[ActionCode],MATCH(24,Calc!$C$28:$C$299,0)),"")</f>
        <v>RESOLVE_DISPUTE</v>
      </c>
      <c r="P33" t="str">
        <f>IFERROR(INDEX(tQueue[RecommendedAction],MATCH(24,Calc!$C$28:$C$299,0)),"")</f>
        <v>Route to billing/sales: most of this balance is disputed and will not pay until the dispute closes.</v>
      </c>
    </row>
    <row r="34" spans="1:16" x14ac:dyDescent="0.35">
      <c r="A34">
        <f>IF(25&gt;MIN(QueueRowsShown,$F$4),"",25)</f>
        <v>25</v>
      </c>
      <c r="B34" t="str">
        <f>IFERROR(INDEX(tQueue[CustomerName],MATCH(25,Calc!$C$28:$C$299,0)),"")</f>
        <v>Ironbridge Medical Center - Northeast</v>
      </c>
      <c r="C34" t="str">
        <f>IFERROR(INDEX(tQueue[Segment],MATCH(25,Calc!$C$28:$C$299,0)),"")</f>
        <v>Institutional</v>
      </c>
      <c r="D34" t="str">
        <f>IFERROR(INDEX(tQueue[RiskTier],MATCH(25,Calc!$C$28:$C$299,0)),"")</f>
        <v>Low</v>
      </c>
      <c r="E34" t="str">
        <f>IFERROR(INDEX(tQueue[CollectorName],MATCH(25,Calc!$C$28:$C$299,0)),"")</f>
        <v>Marcus Bell</v>
      </c>
      <c r="F34" t="str">
        <f>IFERROR(INDEX(tQueue[TermsCode],MATCH(25,Calc!$C$28:$C$299,0)),"")</f>
        <v>NET90</v>
      </c>
      <c r="G34" s="18">
        <f>IFERROR(INDEX(tQueue[OpenBalance],MATCH(25,Calc!$C$28:$C$299,0)),"")</f>
        <v>44688.480000000003</v>
      </c>
      <c r="H34" s="18">
        <f>IFERROR(INDEX(tQueue[PastDueBalance],MATCH(25,Calc!$C$28:$C$299,0)),"")</f>
        <v>25939.03</v>
      </c>
      <c r="I34" s="18">
        <f>IFERROR(INDEX(tQueue[Balance90Plus],MATCH(25,Calc!$C$28:$C$299,0)),"")</f>
        <v>0</v>
      </c>
      <c r="J34" s="18">
        <f>IFERROR(INDEX(tQueue[DisputedBalance],MATCH(25,Calc!$C$28:$C$299,0)),"")</f>
        <v>0</v>
      </c>
      <c r="K34" s="18">
        <f>IFERROR(INDEX(tQueue[CollectableExposure],MATCH(25,Calc!$C$28:$C$299,0)),"")</f>
        <v>6484.76</v>
      </c>
      <c r="L34" s="23">
        <f>IFERROR(INDEX(tQueue[OldestDaysPastDue],MATCH(25,Calc!$C$28:$C$299,0)),"")</f>
        <v>20</v>
      </c>
      <c r="M34" s="34">
        <f>IFERROR(INDEX(tQueue[CreditUtilizationPct],MATCH(25,Calc!$C$28:$C$299,0)),"")</f>
        <v>28.83</v>
      </c>
      <c r="N34">
        <f>IFERROR(INDEX(tQueue[CreditHoldFlag],MATCH(25,Calc!$C$28:$C$299,0)),"")</f>
        <v>0</v>
      </c>
      <c r="O34" t="str">
        <f>IFERROR(INDEX(tQueue[ActionCode],MATCH(25,Calc!$C$28:$C$299,0)),"")</f>
        <v>STANDARD_DUNNING</v>
      </c>
      <c r="P34" t="str">
        <f>IFERROR(INDEX(tQueue[RecommendedAction],MATCH(25,Calc!$C$28:$C$299,0)),"")</f>
        <v>Standard dunning letter and follow-up call.</v>
      </c>
    </row>
  </sheetData>
  <conditionalFormatting sqref="A10:P34">
    <cfRule type="expression" dxfId="4" priority="1" stopIfTrue="1">
      <formula>$O10="ESCALATE"</formula>
    </cfRule>
    <cfRule type="expression" dxfId="3" priority="2" stopIfTrue="1">
      <formula>AND($N10=1,$O10&lt;&gt;"ESCALATE")</formula>
    </cfRule>
  </conditionalFormatting>
  <dataValidations count="3">
    <dataValidation type="list" allowBlank="1" showInputMessage="1" showErrorMessage="1" sqref="C4" xr:uid="{C62E0242-55B7-41A2-99A1-3212B2839331}">
      <formula1>"(All),Elena Ruiz,Grace Lindqvist,Marcus Bell,Priya Natarajan,Sam Horowitz,Tomas Okafor"</formula1>
    </dataValidation>
    <dataValidation type="list" allowBlank="1" showInputMessage="1" showErrorMessage="1" sqref="C5" xr:uid="{D719FEF0-1FB4-48F0-9C9D-E511F5580FD4}">
      <formula1>"(All),APPLY_CASH,COLLECTION_CALL,COURTESY_REMINDER,ESCALATE,FINAL_NOTICE,RESOLVE_DISPUTE,STANDARD_DUNNING"</formula1>
    </dataValidation>
    <dataValidation type="list" allowBlank="1" showInputMessage="1" showErrorMessage="1" sqref="C6" xr:uid="{0A75FEA3-1949-42D0-B43B-2FA4B5023609}">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A06A5-BE15-43E9-859F-201F340E2464}">
  <dimension ref="A1:O40"/>
  <sheetViews>
    <sheetView workbookViewId="0"/>
  </sheetViews>
  <sheetFormatPr defaultRowHeight="14.5" x14ac:dyDescent="0.35"/>
  <cols>
    <col min="1" max="1" width="5.6328125" customWidth="1"/>
    <col min="2" max="2" width="30.6328125" customWidth="1"/>
    <col min="3" max="3" width="16.6328125" customWidth="1"/>
    <col min="4" max="4" width="12.6328125" customWidth="1"/>
    <col min="5" max="5" width="18.6328125" customWidth="1"/>
    <col min="6" max="6" width="15.6328125" customWidth="1"/>
    <col min="7" max="7" width="10.6328125" customWidth="1"/>
    <col min="8" max="9" width="13.6328125" customWidth="1"/>
    <col min="10" max="10" width="12.6328125" customWidth="1"/>
    <col min="11" max="13" width="14.6328125" customWidth="1"/>
    <col min="14" max="14" width="16.6328125" customWidth="1"/>
    <col min="15" max="15" width="46.6328125" customWidth="1"/>
  </cols>
  <sheetData>
    <row r="1" spans="1:15" ht="21" x14ac:dyDescent="0.5">
      <c r="A1" s="1" t="s">
        <v>4866</v>
      </c>
    </row>
    <row r="2" spans="1:15" ht="30" customHeight="1" x14ac:dyDescent="0.35">
      <c r="A2" s="11" t="s">
        <v>4867</v>
      </c>
      <c r="B2" s="11"/>
      <c r="C2" s="11"/>
      <c r="D2" s="11"/>
      <c r="E2" s="11"/>
      <c r="F2" s="11"/>
      <c r="G2" s="11"/>
      <c r="H2" s="11"/>
      <c r="I2" s="11"/>
    </row>
    <row r="4" spans="1:15" x14ac:dyDescent="0.35">
      <c r="B4" s="3" t="s">
        <v>4868</v>
      </c>
      <c r="F4" s="23">
        <f>COUNTA(tCashApp[CustomerID])</f>
        <v>97</v>
      </c>
    </row>
    <row r="5" spans="1:15" x14ac:dyDescent="0.35">
      <c r="B5" s="3" t="s">
        <v>4869</v>
      </c>
      <c r="F5" s="18">
        <f>SUM(tCashApp[UnappliedCash])</f>
        <v>419392.13000000006</v>
      </c>
    </row>
    <row r="6" spans="1:15" x14ac:dyDescent="0.35">
      <c r="B6" s="3" t="s">
        <v>4870</v>
      </c>
      <c r="F6" s="23">
        <f>SUM(tCashApp[FullyUnappliedReceipts])</f>
        <v>57</v>
      </c>
    </row>
    <row r="7" spans="1:15" x14ac:dyDescent="0.35">
      <c r="B7" s="3" t="s">
        <v>4871</v>
      </c>
      <c r="F7" s="18">
        <f>SUM(tCashApp[WronglyChaseable])</f>
        <v>409639.85</v>
      </c>
      <c r="H7" s="3" t="str">
        <f>"This is cash Vantage already holds -- recovering it needs no customer conversation at all."</f>
        <v>This is cash Vantage already holds -- recovering it needs no customer conversation at all.</v>
      </c>
    </row>
    <row r="8" spans="1:15" x14ac:dyDescent="0.35">
      <c r="B8" s="3" t="s">
        <v>4872</v>
      </c>
      <c r="F8" s="23">
        <f>MAX(tCashApp[OldestUnappliedDays])</f>
        <v>679</v>
      </c>
    </row>
    <row r="10" spans="1:15" ht="43.5" x14ac:dyDescent="0.35">
      <c r="A10" s="33" t="s">
        <v>4854</v>
      </c>
      <c r="B10" s="33" t="s">
        <v>4855</v>
      </c>
      <c r="C10" s="33" t="s">
        <v>21</v>
      </c>
      <c r="D10" s="33" t="s">
        <v>22</v>
      </c>
      <c r="E10" s="33" t="s">
        <v>4845</v>
      </c>
      <c r="F10" s="33" t="s">
        <v>4873</v>
      </c>
      <c r="G10" s="33" t="s">
        <v>4874</v>
      </c>
      <c r="H10" s="33" t="s">
        <v>4875</v>
      </c>
      <c r="I10" s="33" t="s">
        <v>4876</v>
      </c>
      <c r="J10" s="33" t="s">
        <v>4862</v>
      </c>
      <c r="K10" s="33" t="s">
        <v>4858</v>
      </c>
      <c r="L10" s="33" t="s">
        <v>4859</v>
      </c>
      <c r="M10" s="33" t="s">
        <v>4877</v>
      </c>
      <c r="N10" s="33" t="s">
        <v>4878</v>
      </c>
      <c r="O10" s="33" t="s">
        <v>4879</v>
      </c>
    </row>
    <row r="11" spans="1:15" x14ac:dyDescent="0.35">
      <c r="A11">
        <f>IF(1&gt;COUNTA(tCashApp[CustomerID]),"",1)</f>
        <v>1</v>
      </c>
      <c r="B11" t="str">
        <f>IFERROR(INDEX(tCashApp[CustomerName],1),"")</f>
        <v>Pioneer Manufacturing</v>
      </c>
      <c r="C11" t="str">
        <f>IFERROR(INDEX(tCashApp[Segment],1),"")</f>
        <v>OEM Manufacturer</v>
      </c>
      <c r="D11" t="str">
        <f>IFERROR(INDEX(tCashApp[Region],1),"")</f>
        <v>Northeast</v>
      </c>
      <c r="E11" t="str">
        <f>IFERROR(INDEX(tCashApp[CollectorName],1),"")</f>
        <v>Priya Natarajan</v>
      </c>
      <c r="F11" s="18">
        <f>IFERROR(INDEX(tCashApp[UnappliedCash],1),"")</f>
        <v>3702.23</v>
      </c>
      <c r="G11">
        <f>IFERROR(INDEX(tCashApp[UnappliedReceipts],1),"")</f>
        <v>2</v>
      </c>
      <c r="H11">
        <f>IFERROR(INDEX(tCashApp[FullyUnappliedReceipts],1),"")</f>
        <v>1</v>
      </c>
      <c r="I11">
        <f>IFERROR(INDEX(tCashApp[NoRemittanceAdvice],1),"")</f>
        <v>2</v>
      </c>
      <c r="J11">
        <f>IFERROR(INDEX(tCashApp[OldestUnappliedDays],1),"")</f>
        <v>679</v>
      </c>
      <c r="K11">
        <f>IFERROR(INDEX(tCashApp[OpenBalance],1),"")</f>
        <v>65312.72</v>
      </c>
      <c r="L11" s="18">
        <f>IFERROR(INDEX(tCashApp[PastDueBalance],1),"")</f>
        <v>3702.23</v>
      </c>
      <c r="M11" s="18">
        <f>IFERROR(INDEX(tCashApp[NetExposure],1),"")</f>
        <v>61610.49</v>
      </c>
      <c r="N11" s="18">
        <f>IFERROR(INDEX(tCashApp[WronglyChaseable],1),"")</f>
        <v>3702.23</v>
      </c>
      <c r="O11" s="18" t="str">
        <f>IFERROR(IF(INDEX(tCashApp[NoRemittanceAdvice],1)&gt;0,"No remittance advice -- request it, then apply","Advice received; the cash simply has not been matched"),"")</f>
        <v>No remittance advice -- request it, then apply</v>
      </c>
    </row>
    <row r="12" spans="1:15" x14ac:dyDescent="0.35">
      <c r="A12">
        <f>IF(2&gt;COUNTA(tCashApp[CustomerID]),"",2)</f>
        <v>2</v>
      </c>
      <c r="B12" t="str">
        <f>IFERROR(INDEX(tCashApp[CustomerName],2),"")</f>
        <v>Silverline Fabrication - Southwest</v>
      </c>
      <c r="C12" t="str">
        <f>IFERROR(INDEX(tCashApp[Segment],2),"")</f>
        <v>OEM Manufacturer</v>
      </c>
      <c r="D12" t="str">
        <f>IFERROR(INDEX(tCashApp[Region],2),"")</f>
        <v>Southwest</v>
      </c>
      <c r="E12" t="str">
        <f>IFERROR(INDEX(tCashApp[CollectorName],2),"")</f>
        <v>Priya Natarajan</v>
      </c>
      <c r="F12" s="18">
        <f>IFERROR(INDEX(tCashApp[UnappliedCash],2),"")</f>
        <v>10190.219999999999</v>
      </c>
      <c r="G12">
        <f>IFERROR(INDEX(tCashApp[UnappliedReceipts],2),"")</f>
        <v>2</v>
      </c>
      <c r="H12">
        <f>IFERROR(INDEX(tCashApp[FullyUnappliedReceipts],2),"")</f>
        <v>1</v>
      </c>
      <c r="I12">
        <f>IFERROR(INDEX(tCashApp[NoRemittanceAdvice],2),"")</f>
        <v>2</v>
      </c>
      <c r="J12">
        <f>IFERROR(INDEX(tCashApp[OldestUnappliedDays],2),"")</f>
        <v>668</v>
      </c>
      <c r="K12">
        <f>IFERROR(INDEX(tCashApp[OpenBalance],2),"")</f>
        <v>120937.72</v>
      </c>
      <c r="L12" s="18">
        <f>IFERROR(INDEX(tCashApp[PastDueBalance],2),"")</f>
        <v>26147.37</v>
      </c>
      <c r="M12" s="18">
        <f>IFERROR(INDEX(tCashApp[NetExposure],2),"")</f>
        <v>110747.5</v>
      </c>
      <c r="N12" s="18">
        <f>IFERROR(INDEX(tCashApp[WronglyChaseable],2),"")</f>
        <v>10190.219999999999</v>
      </c>
      <c r="O12" s="18" t="str">
        <f>IFERROR(IF(INDEX(tCashApp[NoRemittanceAdvice],2)&gt;0,"No remittance advice -- request it, then apply","Advice received; the cash simply has not been matched"),"")</f>
        <v>No remittance advice -- request it, then apply</v>
      </c>
    </row>
    <row r="13" spans="1:15" x14ac:dyDescent="0.35">
      <c r="A13">
        <f>IF(3&gt;COUNTA(tCashApp[CustomerID]),"",3)</f>
        <v>3</v>
      </c>
      <c r="B13" t="str">
        <f>IFERROR(INDEX(tCashApp[CustomerName],3),"")</f>
        <v>Granite MRO Services</v>
      </c>
      <c r="C13" t="str">
        <f>IFERROR(INDEX(tCashApp[Segment],3),"")</f>
        <v>MRO Reseller</v>
      </c>
      <c r="D13" t="str">
        <f>IFERROR(INDEX(tCashApp[Region],3),"")</f>
        <v>Southeast</v>
      </c>
      <c r="E13" t="str">
        <f>IFERROR(INDEX(tCashApp[CollectorName],3),"")</f>
        <v>Grace Lindqvist</v>
      </c>
      <c r="F13" s="18">
        <f>IFERROR(INDEX(tCashApp[UnappliedCash],3),"")</f>
        <v>504.6</v>
      </c>
      <c r="G13">
        <f>IFERROR(INDEX(tCashApp[UnappliedReceipts],3),"")</f>
        <v>1</v>
      </c>
      <c r="H13">
        <f>IFERROR(INDEX(tCashApp[FullyUnappliedReceipts],3),"")</f>
        <v>1</v>
      </c>
      <c r="I13">
        <f>IFERROR(INDEX(tCashApp[NoRemittanceAdvice],3),"")</f>
        <v>1</v>
      </c>
      <c r="J13">
        <f>IFERROR(INDEX(tCashApp[OldestUnappliedDays],3),"")</f>
        <v>652</v>
      </c>
      <c r="K13">
        <f>IFERROR(INDEX(tCashApp[OpenBalance],3),"")</f>
        <v>2847.25</v>
      </c>
      <c r="L13" s="18">
        <f>IFERROR(INDEX(tCashApp[PastDueBalance],3),"")</f>
        <v>1339.14</v>
      </c>
      <c r="M13" s="18">
        <f>IFERROR(INDEX(tCashApp[NetExposure],3),"")</f>
        <v>2342.65</v>
      </c>
      <c r="N13" s="18">
        <f>IFERROR(INDEX(tCashApp[WronglyChaseable],3),"")</f>
        <v>504.6</v>
      </c>
      <c r="O13" s="18" t="str">
        <f>IFERROR(IF(INDEX(tCashApp[NoRemittanceAdvice],3)&gt;0,"No remittance advice -- request it, then apply","Advice received; the cash simply has not been matched"),"")</f>
        <v>No remittance advice -- request it, then apply</v>
      </c>
    </row>
    <row r="14" spans="1:15" x14ac:dyDescent="0.35">
      <c r="A14">
        <f>IF(4&gt;COUNTA(tCashApp[CustomerID]),"",4)</f>
        <v>4</v>
      </c>
      <c r="B14" t="str">
        <f>IFERROR(INDEX(tCashApp[CustomerName],4),"")</f>
        <v>Lakeshore MRO Services - Midwest</v>
      </c>
      <c r="C14" t="str">
        <f>IFERROR(INDEX(tCashApp[Segment],4),"")</f>
        <v>MRO Reseller</v>
      </c>
      <c r="D14" t="str">
        <f>IFERROR(INDEX(tCashApp[Region],4),"")</f>
        <v>Midwest</v>
      </c>
      <c r="E14" t="str">
        <f>IFERROR(INDEX(tCashApp[CollectorName],4),"")</f>
        <v>Sam Horowitz</v>
      </c>
      <c r="F14" s="18">
        <f>IFERROR(INDEX(tCashApp[UnappliedCash],4),"")</f>
        <v>4202.45</v>
      </c>
      <c r="G14">
        <f>IFERROR(INDEX(tCashApp[UnappliedReceipts],4),"")</f>
        <v>2</v>
      </c>
      <c r="H14">
        <f>IFERROR(INDEX(tCashApp[FullyUnappliedReceipts],4),"")</f>
        <v>1</v>
      </c>
      <c r="I14">
        <f>IFERROR(INDEX(tCashApp[NoRemittanceAdvice],4),"")</f>
        <v>2</v>
      </c>
      <c r="J14">
        <f>IFERROR(INDEX(tCashApp[OldestUnappliedDays],4),"")</f>
        <v>652</v>
      </c>
      <c r="K14">
        <f>IFERROR(INDEX(tCashApp[OpenBalance],4),"")</f>
        <v>4212.75</v>
      </c>
      <c r="L14" s="18">
        <f>IFERROR(INDEX(tCashApp[PastDueBalance],4),"")</f>
        <v>4212.75</v>
      </c>
      <c r="M14" s="18">
        <f>IFERROR(INDEX(tCashApp[NetExposure],4),"")</f>
        <v>10.3</v>
      </c>
      <c r="N14" s="18">
        <f>IFERROR(INDEX(tCashApp[WronglyChaseable],4),"")</f>
        <v>4202.45</v>
      </c>
      <c r="O14" s="18" t="str">
        <f>IFERROR(IF(INDEX(tCashApp[NoRemittanceAdvice],4)&gt;0,"No remittance advice -- request it, then apply","Advice received; the cash simply has not been matched"),"")</f>
        <v>No remittance advice -- request it, then apply</v>
      </c>
    </row>
    <row r="15" spans="1:15" x14ac:dyDescent="0.35">
      <c r="A15">
        <f>IF(5&gt;COUNTA(tCashApp[CustomerID]),"",5)</f>
        <v>5</v>
      </c>
      <c r="B15" t="str">
        <f>IFERROR(INDEX(tCashApp[CustomerName],5),"")</f>
        <v>Harbor Fabrication</v>
      </c>
      <c r="C15" t="str">
        <f>IFERROR(INDEX(tCashApp[Segment],5),"")</f>
        <v>OEM Manufacturer</v>
      </c>
      <c r="D15" t="str">
        <f>IFERROR(INDEX(tCashApp[Region],5),"")</f>
        <v>West</v>
      </c>
      <c r="E15" t="str">
        <f>IFERROR(INDEX(tCashApp[CollectorName],5),"")</f>
        <v>Priya Natarajan</v>
      </c>
      <c r="F15" s="18">
        <f>IFERROR(INDEX(tCashApp[UnappliedCash],5),"")</f>
        <v>12428.36</v>
      </c>
      <c r="G15">
        <f>IFERROR(INDEX(tCashApp[UnappliedReceipts],5),"")</f>
        <v>1</v>
      </c>
      <c r="H15">
        <f>IFERROR(INDEX(tCashApp[FullyUnappliedReceipts],5),"")</f>
        <v>0</v>
      </c>
      <c r="I15">
        <f>IFERROR(INDEX(tCashApp[NoRemittanceAdvice],5),"")</f>
        <v>1</v>
      </c>
      <c r="J15">
        <f>IFERROR(INDEX(tCashApp[OldestUnappliedDays],5),"")</f>
        <v>647</v>
      </c>
      <c r="K15">
        <f>IFERROR(INDEX(tCashApp[OpenBalance],5),"")</f>
        <v>103438.85</v>
      </c>
      <c r="L15" s="18">
        <f>IFERROR(INDEX(tCashApp[PastDueBalance],5),"")</f>
        <v>34815.870000000003</v>
      </c>
      <c r="M15" s="18">
        <f>IFERROR(INDEX(tCashApp[NetExposure],5),"")</f>
        <v>91010.49</v>
      </c>
      <c r="N15" s="18">
        <f>IFERROR(INDEX(tCashApp[WronglyChaseable],5),"")</f>
        <v>12428.36</v>
      </c>
      <c r="O15" s="18" t="str">
        <f>IFERROR(IF(INDEX(tCashApp[NoRemittanceAdvice],5)&gt;0,"No remittance advice -- request it, then apply","Advice received; the cash simply has not been matched"),"")</f>
        <v>No remittance advice -- request it, then apply</v>
      </c>
    </row>
    <row r="16" spans="1:15" x14ac:dyDescent="0.35">
      <c r="A16">
        <f>IF(6&gt;COUNTA(tCashApp[CustomerID]),"",6)</f>
        <v>6</v>
      </c>
      <c r="B16" t="str">
        <f>IFERROR(INDEX(tCashApp[CustomerName],6),"")</f>
        <v>Apex Industrial Supply - Southwest 3</v>
      </c>
      <c r="C16" t="str">
        <f>IFERROR(INDEX(tCashApp[Segment],6),"")</f>
        <v>MRO Reseller</v>
      </c>
      <c r="D16" t="str">
        <f>IFERROR(INDEX(tCashApp[Region],6),"")</f>
        <v>Southwest</v>
      </c>
      <c r="E16" t="str">
        <f>IFERROR(INDEX(tCashApp[CollectorName],6),"")</f>
        <v>Grace Lindqvist</v>
      </c>
      <c r="F16" s="18">
        <f>IFERROR(INDEX(tCashApp[UnappliedCash],6),"")</f>
        <v>302.94</v>
      </c>
      <c r="G16">
        <f>IFERROR(INDEX(tCashApp[UnappliedReceipts],6),"")</f>
        <v>1</v>
      </c>
      <c r="H16">
        <f>IFERROR(INDEX(tCashApp[FullyUnappliedReceipts],6),"")</f>
        <v>0</v>
      </c>
      <c r="I16">
        <f>IFERROR(INDEX(tCashApp[NoRemittanceAdvice],6),"")</f>
        <v>1</v>
      </c>
      <c r="J16">
        <f>IFERROR(INDEX(tCashApp[OldestUnappliedDays],6),"")</f>
        <v>616</v>
      </c>
      <c r="K16">
        <f>IFERROR(INDEX(tCashApp[OpenBalance],6),"")</f>
        <v>7879.38</v>
      </c>
      <c r="L16" s="18">
        <f>IFERROR(INDEX(tCashApp[PastDueBalance],6),"")</f>
        <v>871.28</v>
      </c>
      <c r="M16" s="18">
        <f>IFERROR(INDEX(tCashApp[NetExposure],6),"")</f>
        <v>7576.44</v>
      </c>
      <c r="N16" s="18">
        <f>IFERROR(INDEX(tCashApp[WronglyChaseable],6),"")</f>
        <v>302.94</v>
      </c>
      <c r="O16" s="18" t="str">
        <f>IFERROR(IF(INDEX(tCashApp[NoRemittanceAdvice],6)&gt;0,"No remittance advice -- request it, then apply","Advice received; the cash simply has not been matched"),"")</f>
        <v>No remittance advice -- request it, then apply</v>
      </c>
    </row>
    <row r="17" spans="1:15" x14ac:dyDescent="0.35">
      <c r="A17">
        <f>IF(7&gt;COUNTA(tCashApp[CustomerID]),"",7)</f>
        <v>7</v>
      </c>
      <c r="B17" t="str">
        <f>IFERROR(INDEX(tCashApp[CustomerName],7),"")</f>
        <v>Stonegate Fabrication</v>
      </c>
      <c r="C17" t="str">
        <f>IFERROR(INDEX(tCashApp[Segment],7),"")</f>
        <v>OEM Manufacturer</v>
      </c>
      <c r="D17" t="str">
        <f>IFERROR(INDEX(tCashApp[Region],7),"")</f>
        <v>West</v>
      </c>
      <c r="E17" t="str">
        <f>IFERROR(INDEX(tCashApp[CollectorName],7),"")</f>
        <v>Marcus Bell</v>
      </c>
      <c r="F17" s="18">
        <f>IFERROR(INDEX(tCashApp[UnappliedCash],7),"")</f>
        <v>21587.89</v>
      </c>
      <c r="G17">
        <f>IFERROR(INDEX(tCashApp[UnappliedReceipts],7),"")</f>
        <v>3</v>
      </c>
      <c r="H17">
        <f>IFERROR(INDEX(tCashApp[FullyUnappliedReceipts],7),"")</f>
        <v>0</v>
      </c>
      <c r="I17">
        <f>IFERROR(INDEX(tCashApp[NoRemittanceAdvice],7),"")</f>
        <v>3</v>
      </c>
      <c r="J17">
        <f>IFERROR(INDEX(tCashApp[OldestUnappliedDays],7),"")</f>
        <v>612</v>
      </c>
      <c r="K17">
        <f>IFERROR(INDEX(tCashApp[OpenBalance],7),"")</f>
        <v>155416.91</v>
      </c>
      <c r="L17" s="18">
        <f>IFERROR(INDEX(tCashApp[PastDueBalance],7),"")</f>
        <v>40638.239999999998</v>
      </c>
      <c r="M17" s="18">
        <f>IFERROR(INDEX(tCashApp[NetExposure],7),"")</f>
        <v>133829.01999999999</v>
      </c>
      <c r="N17" s="18">
        <f>IFERROR(INDEX(tCashApp[WronglyChaseable],7),"")</f>
        <v>21587.89</v>
      </c>
      <c r="O17" s="18" t="str">
        <f>IFERROR(IF(INDEX(tCashApp[NoRemittanceAdvice],7)&gt;0,"No remittance advice -- request it, then apply","Advice received; the cash simply has not been matched"),"")</f>
        <v>No remittance advice -- request it, then apply</v>
      </c>
    </row>
    <row r="18" spans="1:15" x14ac:dyDescent="0.35">
      <c r="A18">
        <f>IF(8&gt;COUNTA(tCashApp[CustomerID]),"",8)</f>
        <v>8</v>
      </c>
      <c r="B18" t="str">
        <f>IFERROR(INDEX(tCashApp[CustomerName],8),"")</f>
        <v>Ironbridge Maintenance Supply</v>
      </c>
      <c r="C18" t="str">
        <f>IFERROR(INDEX(tCashApp[Segment],8),"")</f>
        <v>MRO Reseller</v>
      </c>
      <c r="D18" t="str">
        <f>IFERROR(INDEX(tCashApp[Region],8),"")</f>
        <v>Northeast</v>
      </c>
      <c r="E18" t="str">
        <f>IFERROR(INDEX(tCashApp[CollectorName],8),"")</f>
        <v>Sam Horowitz</v>
      </c>
      <c r="F18" s="18">
        <f>IFERROR(INDEX(tCashApp[UnappliedCash],8),"")</f>
        <v>507.62</v>
      </c>
      <c r="G18">
        <f>IFERROR(INDEX(tCashApp[UnappliedReceipts],8),"")</f>
        <v>1</v>
      </c>
      <c r="H18">
        <f>IFERROR(INDEX(tCashApp[FullyUnappliedReceipts],8),"")</f>
        <v>0</v>
      </c>
      <c r="I18">
        <f>IFERROR(INDEX(tCashApp[NoRemittanceAdvice],8),"")</f>
        <v>1</v>
      </c>
      <c r="J18">
        <f>IFERROR(INDEX(tCashApp[OldestUnappliedDays],8),"")</f>
        <v>603</v>
      </c>
      <c r="K18">
        <f>IFERROR(INDEX(tCashApp[OpenBalance],8),"")</f>
        <v>6558.94</v>
      </c>
      <c r="L18" s="18">
        <f>IFERROR(INDEX(tCashApp[PastDueBalance],8),"")</f>
        <v>3571.66</v>
      </c>
      <c r="M18" s="18">
        <f>IFERROR(INDEX(tCashApp[NetExposure],8),"")</f>
        <v>6051.32</v>
      </c>
      <c r="N18" s="18">
        <f>IFERROR(INDEX(tCashApp[WronglyChaseable],8),"")</f>
        <v>507.62</v>
      </c>
      <c r="O18" s="18" t="str">
        <f>IFERROR(IF(INDEX(tCashApp[NoRemittanceAdvice],8)&gt;0,"No remittance advice -- request it, then apply","Advice received; the cash simply has not been matched"),"")</f>
        <v>No remittance advice -- request it, then apply</v>
      </c>
    </row>
    <row r="19" spans="1:15" x14ac:dyDescent="0.35">
      <c r="A19">
        <f>IF(9&gt;COUNTA(tCashApp[CustomerID]),"",9)</f>
        <v>9</v>
      </c>
      <c r="B19" t="str">
        <f>IFERROR(INDEX(tCashApp[CustomerName],9),"")</f>
        <v>Granite Construction</v>
      </c>
      <c r="C19" t="str">
        <f>IFERROR(INDEX(tCashApp[Segment],9),"")</f>
        <v>Contractor</v>
      </c>
      <c r="D19" t="str">
        <f>IFERROR(INDEX(tCashApp[Region],9),"")</f>
        <v>Southwest</v>
      </c>
      <c r="E19" t="str">
        <f>IFERROR(INDEX(tCashApp[CollectorName],9),"")</f>
        <v>Elena Ruiz</v>
      </c>
      <c r="F19" s="18">
        <f>IFERROR(INDEX(tCashApp[UnappliedCash],9),"")</f>
        <v>1741.81</v>
      </c>
      <c r="G19">
        <f>IFERROR(INDEX(tCashApp[UnappliedReceipts],9),"")</f>
        <v>2</v>
      </c>
      <c r="H19">
        <f>IFERROR(INDEX(tCashApp[FullyUnappliedReceipts],9),"")</f>
        <v>0</v>
      </c>
      <c r="I19">
        <f>IFERROR(INDEX(tCashApp[NoRemittanceAdvice],9),"")</f>
        <v>2</v>
      </c>
      <c r="J19">
        <f>IFERROR(INDEX(tCashApp[OldestUnappliedDays],9),"")</f>
        <v>597</v>
      </c>
      <c r="K19">
        <f>IFERROR(INDEX(tCashApp[OpenBalance],9),"")</f>
        <v>11143.4</v>
      </c>
      <c r="L19" s="18">
        <f>IFERROR(INDEX(tCashApp[PastDueBalance],9),"")</f>
        <v>4742.58</v>
      </c>
      <c r="M19" s="18">
        <f>IFERROR(INDEX(tCashApp[NetExposure],9),"")</f>
        <v>9401.59</v>
      </c>
      <c r="N19" s="18">
        <f>IFERROR(INDEX(tCashApp[WronglyChaseable],9),"")</f>
        <v>1741.81</v>
      </c>
      <c r="O19" s="18" t="str">
        <f>IFERROR(IF(INDEX(tCashApp[NoRemittanceAdvice],9)&gt;0,"No remittance advice -- request it, then apply","Advice received; the cash simply has not been matched"),"")</f>
        <v>No remittance advice -- request it, then apply</v>
      </c>
    </row>
    <row r="20" spans="1:15" x14ac:dyDescent="0.35">
      <c r="A20">
        <f>IF(10&gt;COUNTA(tCashApp[CustomerID]),"",10)</f>
        <v>10</v>
      </c>
      <c r="B20" t="str">
        <f>IFERROR(INDEX(tCashApp[CustomerName],10),"")</f>
        <v>Apex Manufacturing - Northeast</v>
      </c>
      <c r="C20" t="str">
        <f>IFERROR(INDEX(tCashApp[Segment],10),"")</f>
        <v>OEM Manufacturer</v>
      </c>
      <c r="D20" t="str">
        <f>IFERROR(INDEX(tCashApp[Region],10),"")</f>
        <v>Northeast</v>
      </c>
      <c r="E20" t="str">
        <f>IFERROR(INDEX(tCashApp[CollectorName],10),"")</f>
        <v>Marcus Bell</v>
      </c>
      <c r="F20" s="18">
        <f>IFERROR(INDEX(tCashApp[UnappliedCash],10),"")</f>
        <v>12545.22</v>
      </c>
      <c r="G20">
        <f>IFERROR(INDEX(tCashApp[UnappliedReceipts],10),"")</f>
        <v>2</v>
      </c>
      <c r="H20">
        <f>IFERROR(INDEX(tCashApp[FullyUnappliedReceipts],10),"")</f>
        <v>1</v>
      </c>
      <c r="I20">
        <f>IFERROR(INDEX(tCashApp[NoRemittanceAdvice],10),"")</f>
        <v>1</v>
      </c>
      <c r="J20">
        <f>IFERROR(INDEX(tCashApp[OldestUnappliedDays],10),"")</f>
        <v>581</v>
      </c>
      <c r="K20">
        <f>IFERROR(INDEX(tCashApp[OpenBalance],10),"")</f>
        <v>103119.74</v>
      </c>
      <c r="L20" s="18">
        <f>IFERROR(INDEX(tCashApp[PastDueBalance],10),"")</f>
        <v>15008.06</v>
      </c>
      <c r="M20" s="18">
        <f>IFERROR(INDEX(tCashApp[NetExposure],10),"")</f>
        <v>90574.52</v>
      </c>
      <c r="N20" s="18">
        <f>IFERROR(INDEX(tCashApp[WronglyChaseable],10),"")</f>
        <v>12545.22</v>
      </c>
      <c r="O20" s="18" t="str">
        <f>IFERROR(IF(INDEX(tCashApp[NoRemittanceAdvice],10)&gt;0,"No remittance advice -- request it, then apply","Advice received; the cash simply has not been matched"),"")</f>
        <v>No remittance advice -- request it, then apply</v>
      </c>
    </row>
    <row r="21" spans="1:15" x14ac:dyDescent="0.35">
      <c r="A21">
        <f>IF(11&gt;COUNTA(tCashApp[CustomerID]),"",11)</f>
        <v>11</v>
      </c>
      <c r="B21" t="str">
        <f>IFERROR(INDEX(tCashApp[CustomerName],11),"")</f>
        <v>Crestview Electric</v>
      </c>
      <c r="C21" t="str">
        <f>IFERROR(INDEX(tCashApp[Segment],11),"")</f>
        <v>Contractor</v>
      </c>
      <c r="D21" t="str">
        <f>IFERROR(INDEX(tCashApp[Region],11),"")</f>
        <v>West</v>
      </c>
      <c r="E21" t="str">
        <f>IFERROR(INDEX(tCashApp[CollectorName],11),"")</f>
        <v>Tomas Okafor</v>
      </c>
      <c r="F21" s="18">
        <f>IFERROR(INDEX(tCashApp[UnappliedCash],11),"")</f>
        <v>2862.33</v>
      </c>
      <c r="G21">
        <f>IFERROR(INDEX(tCashApp[UnappliedReceipts],11),"")</f>
        <v>1</v>
      </c>
      <c r="H21">
        <f>IFERROR(INDEX(tCashApp[FullyUnappliedReceipts],11),"")</f>
        <v>1</v>
      </c>
      <c r="I21">
        <f>IFERROR(INDEX(tCashApp[NoRemittanceAdvice],11),"")</f>
        <v>1</v>
      </c>
      <c r="J21">
        <f>IFERROR(INDEX(tCashApp[OldestUnappliedDays],11),"")</f>
        <v>580</v>
      </c>
      <c r="K21">
        <f>IFERROR(INDEX(tCashApp[OpenBalance],11),"")</f>
        <v>9910.01</v>
      </c>
      <c r="L21" s="18">
        <f>IFERROR(INDEX(tCashApp[PastDueBalance],11),"")</f>
        <v>8585.4</v>
      </c>
      <c r="M21" s="18">
        <f>IFERROR(INDEX(tCashApp[NetExposure],11),"")</f>
        <v>7047.68</v>
      </c>
      <c r="N21" s="18">
        <f>IFERROR(INDEX(tCashApp[WronglyChaseable],11),"")</f>
        <v>2862.33</v>
      </c>
      <c r="O21" s="18" t="str">
        <f>IFERROR(IF(INDEX(tCashApp[NoRemittanceAdvice],11)&gt;0,"No remittance advice -- request it, then apply","Advice received; the cash simply has not been matched"),"")</f>
        <v>No remittance advice -- request it, then apply</v>
      </c>
    </row>
    <row r="22" spans="1:15" x14ac:dyDescent="0.35">
      <c r="A22">
        <f>IF(12&gt;COUNTA(tCashApp[CustomerID]),"",12)</f>
        <v>12</v>
      </c>
      <c r="B22" t="str">
        <f>IFERROR(INDEX(tCashApp[CustomerName],12),"")</f>
        <v>Lakeshore Contracting</v>
      </c>
      <c r="C22" t="str">
        <f>IFERROR(INDEX(tCashApp[Segment],12),"")</f>
        <v>Contractor</v>
      </c>
      <c r="D22" t="str">
        <f>IFERROR(INDEX(tCashApp[Region],12),"")</f>
        <v>Southwest</v>
      </c>
      <c r="E22" t="str">
        <f>IFERROR(INDEX(tCashApp[CollectorName],12),"")</f>
        <v>Elena Ruiz</v>
      </c>
      <c r="F22" s="18">
        <f>IFERROR(INDEX(tCashApp[UnappliedCash],12),"")</f>
        <v>912.02</v>
      </c>
      <c r="G22">
        <f>IFERROR(INDEX(tCashApp[UnappliedReceipts],12),"")</f>
        <v>1</v>
      </c>
      <c r="H22">
        <f>IFERROR(INDEX(tCashApp[FullyUnappliedReceipts],12),"")</f>
        <v>0</v>
      </c>
      <c r="I22">
        <f>IFERROR(INDEX(tCashApp[NoRemittanceAdvice],12),"")</f>
        <v>1</v>
      </c>
      <c r="J22">
        <f>IFERROR(INDEX(tCashApp[OldestUnappliedDays],12),"")</f>
        <v>556</v>
      </c>
      <c r="K22">
        <f>IFERROR(INDEX(tCashApp[OpenBalance],12),"")</f>
        <v>1926.19</v>
      </c>
      <c r="L22" s="18">
        <f>IFERROR(INDEX(tCashApp[PastDueBalance],12),"")</f>
        <v>930.63</v>
      </c>
      <c r="M22" s="18">
        <f>IFERROR(INDEX(tCashApp[NetExposure],12),"")</f>
        <v>1014.17</v>
      </c>
      <c r="N22" s="18">
        <f>IFERROR(INDEX(tCashApp[WronglyChaseable],12),"")</f>
        <v>912.02</v>
      </c>
      <c r="O22" s="18" t="str">
        <f>IFERROR(IF(INDEX(tCashApp[NoRemittanceAdvice],12)&gt;0,"No remittance advice -- request it, then apply","Advice received; the cash simply has not been matched"),"")</f>
        <v>No remittance advice -- request it, then apply</v>
      </c>
    </row>
    <row r="23" spans="1:15" x14ac:dyDescent="0.35">
      <c r="A23">
        <f>IF(13&gt;COUNTA(tCashApp[CustomerID]),"",13)</f>
        <v>13</v>
      </c>
      <c r="B23" t="str">
        <f>IFERROR(INDEX(tCashApp[CustomerName],13),"")</f>
        <v>Lakeshore Components</v>
      </c>
      <c r="C23" t="str">
        <f>IFERROR(INDEX(tCashApp[Segment],13),"")</f>
        <v>OEM Manufacturer</v>
      </c>
      <c r="D23" t="str">
        <f>IFERROR(INDEX(tCashApp[Region],13),"")</f>
        <v>Midwest</v>
      </c>
      <c r="E23" t="str">
        <f>IFERROR(INDEX(tCashApp[CollectorName],13),"")</f>
        <v>Marcus Bell</v>
      </c>
      <c r="F23" s="18">
        <f>IFERROR(INDEX(tCashApp[UnappliedCash],13),"")</f>
        <v>25571.1</v>
      </c>
      <c r="G23">
        <f>IFERROR(INDEX(tCashApp[UnappliedReceipts],13),"")</f>
        <v>4</v>
      </c>
      <c r="H23">
        <f>IFERROR(INDEX(tCashApp[FullyUnappliedReceipts],13),"")</f>
        <v>1</v>
      </c>
      <c r="I23">
        <f>IFERROR(INDEX(tCashApp[NoRemittanceAdvice],13),"")</f>
        <v>3</v>
      </c>
      <c r="J23">
        <f>IFERROR(INDEX(tCashApp[OldestUnappliedDays],13),"")</f>
        <v>535</v>
      </c>
      <c r="K23">
        <f>IFERROR(INDEX(tCashApp[OpenBalance],13),"")</f>
        <v>178177.24</v>
      </c>
      <c r="L23" s="18">
        <f>IFERROR(INDEX(tCashApp[PastDueBalance],13),"")</f>
        <v>44915.29</v>
      </c>
      <c r="M23" s="18">
        <f>IFERROR(INDEX(tCashApp[NetExposure],13),"")</f>
        <v>152606.14000000001</v>
      </c>
      <c r="N23" s="18">
        <f>IFERROR(INDEX(tCashApp[WronglyChaseable],13),"")</f>
        <v>25571.1</v>
      </c>
      <c r="O23" s="18" t="str">
        <f>IFERROR(IF(INDEX(tCashApp[NoRemittanceAdvice],13)&gt;0,"No remittance advice -- request it, then apply","Advice received; the cash simply has not been matched"),"")</f>
        <v>No remittance advice -- request it, then apply</v>
      </c>
    </row>
    <row r="24" spans="1:15" x14ac:dyDescent="0.35">
      <c r="A24">
        <f>IF(14&gt;COUNTA(tCashApp[CustomerID]),"",14)</f>
        <v>14</v>
      </c>
      <c r="B24" t="str">
        <f>IFERROR(INDEX(tCashApp[CustomerName],14),"")</f>
        <v>Lakeshore Parts &amp; Service</v>
      </c>
      <c r="C24" t="str">
        <f>IFERROR(INDEX(tCashApp[Segment],14),"")</f>
        <v>MRO Reseller</v>
      </c>
      <c r="D24" t="str">
        <f>IFERROR(INDEX(tCashApp[Region],14),"")</f>
        <v>Midwest</v>
      </c>
      <c r="E24" t="str">
        <f>IFERROR(INDEX(tCashApp[CollectorName],14),"")</f>
        <v>Sam Horowitz</v>
      </c>
      <c r="F24" s="18">
        <f>IFERROR(INDEX(tCashApp[UnappliedCash],14),"")</f>
        <v>574.59</v>
      </c>
      <c r="G24">
        <f>IFERROR(INDEX(tCashApp[UnappliedReceipts],14),"")</f>
        <v>1</v>
      </c>
      <c r="H24">
        <f>IFERROR(INDEX(tCashApp[FullyUnappliedReceipts],14),"")</f>
        <v>1</v>
      </c>
      <c r="I24">
        <f>IFERROR(INDEX(tCashApp[NoRemittanceAdvice],14),"")</f>
        <v>1</v>
      </c>
      <c r="J24">
        <f>IFERROR(INDEX(tCashApp[OldestUnappliedDays],14),"")</f>
        <v>516</v>
      </c>
      <c r="K24">
        <f>IFERROR(INDEX(tCashApp[OpenBalance],14),"")</f>
        <v>5031.57</v>
      </c>
      <c r="L24" s="18">
        <f>IFERROR(INDEX(tCashApp[PastDueBalance],14),"")</f>
        <v>574.59</v>
      </c>
      <c r="M24" s="18">
        <f>IFERROR(INDEX(tCashApp[NetExposure],14),"")</f>
        <v>4456.9799999999996</v>
      </c>
      <c r="N24" s="18">
        <f>IFERROR(INDEX(tCashApp[WronglyChaseable],14),"")</f>
        <v>574.59</v>
      </c>
      <c r="O24" s="18" t="str">
        <f>IFERROR(IF(INDEX(tCashApp[NoRemittanceAdvice],14)&gt;0,"No remittance advice -- request it, then apply","Advice received; the cash simply has not been matched"),"")</f>
        <v>No remittance advice -- request it, then apply</v>
      </c>
    </row>
    <row r="25" spans="1:15" x14ac:dyDescent="0.35">
      <c r="A25">
        <f>IF(15&gt;COUNTA(tCashApp[CustomerID]),"",15)</f>
        <v>15</v>
      </c>
      <c r="B25" t="str">
        <f>IFERROR(INDEX(tCashApp[CustomerName],15),"")</f>
        <v>Harbor Construction - Southwest</v>
      </c>
      <c r="C25" t="str">
        <f>IFERROR(INDEX(tCashApp[Segment],15),"")</f>
        <v>Contractor</v>
      </c>
      <c r="D25" t="str">
        <f>IFERROR(INDEX(tCashApp[Region],15),"")</f>
        <v>Southwest</v>
      </c>
      <c r="E25" t="str">
        <f>IFERROR(INDEX(tCashApp[CollectorName],15),"")</f>
        <v>Tomas Okafor</v>
      </c>
      <c r="F25" s="18">
        <f>IFERROR(INDEX(tCashApp[UnappliedCash],15),"")</f>
        <v>3195.97</v>
      </c>
      <c r="G25">
        <f>IFERROR(INDEX(tCashApp[UnappliedReceipts],15),"")</f>
        <v>1</v>
      </c>
      <c r="H25">
        <f>IFERROR(INDEX(tCashApp[FullyUnappliedReceipts],15),"")</f>
        <v>1</v>
      </c>
      <c r="I25">
        <f>IFERROR(INDEX(tCashApp[NoRemittanceAdvice],15),"")</f>
        <v>1</v>
      </c>
      <c r="J25">
        <f>IFERROR(INDEX(tCashApp[OldestUnappliedDays],15),"")</f>
        <v>503</v>
      </c>
      <c r="K25">
        <f>IFERROR(INDEX(tCashApp[OpenBalance],15),"")</f>
        <v>34035.980000000003</v>
      </c>
      <c r="L25" s="18">
        <f>IFERROR(INDEX(tCashApp[PastDueBalance],15),"")</f>
        <v>12020.78</v>
      </c>
      <c r="M25" s="18">
        <f>IFERROR(INDEX(tCashApp[NetExposure],15),"")</f>
        <v>30840.01</v>
      </c>
      <c r="N25" s="18">
        <f>IFERROR(INDEX(tCashApp[WronglyChaseable],15),"")</f>
        <v>3195.97</v>
      </c>
      <c r="O25" s="18" t="str">
        <f>IFERROR(IF(INDEX(tCashApp[NoRemittanceAdvice],15)&gt;0,"No remittance advice -- request it, then apply","Advice received; the cash simply has not been matched"),"")</f>
        <v>No remittance advice -- request it, then apply</v>
      </c>
    </row>
    <row r="26" spans="1:15" x14ac:dyDescent="0.35">
      <c r="A26">
        <f>IF(16&gt;COUNTA(tCashApp[CustomerID]),"",16)</f>
        <v>16</v>
      </c>
      <c r="B26" t="str">
        <f>IFERROR(INDEX(tCashApp[CustomerName],16),"")</f>
        <v>Ironbridge Contracting</v>
      </c>
      <c r="C26" t="str">
        <f>IFERROR(INDEX(tCashApp[Segment],16),"")</f>
        <v>Contractor</v>
      </c>
      <c r="D26" t="str">
        <f>IFERROR(INDEX(tCashApp[Region],16),"")</f>
        <v>Northeast</v>
      </c>
      <c r="E26" t="str">
        <f>IFERROR(INDEX(tCashApp[CollectorName],16),"")</f>
        <v>Elena Ruiz</v>
      </c>
      <c r="F26" s="18">
        <f>IFERROR(INDEX(tCashApp[UnappliedCash],16),"")</f>
        <v>1417</v>
      </c>
      <c r="G26">
        <f>IFERROR(INDEX(tCashApp[UnappliedReceipts],16),"")</f>
        <v>1</v>
      </c>
      <c r="H26">
        <f>IFERROR(INDEX(tCashApp[FullyUnappliedReceipts],16),"")</f>
        <v>0</v>
      </c>
      <c r="I26">
        <f>IFERROR(INDEX(tCashApp[NoRemittanceAdvice],16),"")</f>
        <v>1</v>
      </c>
      <c r="J26">
        <f>IFERROR(INDEX(tCashApp[OldestUnappliedDays],16),"")</f>
        <v>502</v>
      </c>
      <c r="K26">
        <f>IFERROR(INDEX(tCashApp[OpenBalance],16),"")</f>
        <v>6886.48</v>
      </c>
      <c r="L26" s="18">
        <f>IFERROR(INDEX(tCashApp[PastDueBalance],16),"")</f>
        <v>1417</v>
      </c>
      <c r="M26" s="18">
        <f>IFERROR(INDEX(tCashApp[NetExposure],16),"")</f>
        <v>5469.48</v>
      </c>
      <c r="N26" s="18">
        <f>IFERROR(INDEX(tCashApp[WronglyChaseable],16),"")</f>
        <v>1417</v>
      </c>
      <c r="O26" s="18" t="str">
        <f>IFERROR(IF(INDEX(tCashApp[NoRemittanceAdvice],16)&gt;0,"No remittance advice -- request it, then apply","Advice received; the cash simply has not been matched"),"")</f>
        <v>No remittance advice -- request it, then apply</v>
      </c>
    </row>
    <row r="27" spans="1:15" x14ac:dyDescent="0.35">
      <c r="A27">
        <f>IF(17&gt;COUNTA(tCashApp[CustomerID]),"",17)</f>
        <v>17</v>
      </c>
      <c r="B27" t="str">
        <f>IFERROR(INDEX(tCashApp[CustomerName],17),"")</f>
        <v>Riverbend MRO Services - Northeast 3</v>
      </c>
      <c r="C27" t="str">
        <f>IFERROR(INDEX(tCashApp[Segment],17),"")</f>
        <v>MRO Reseller</v>
      </c>
      <c r="D27" t="str">
        <f>IFERROR(INDEX(tCashApp[Region],17),"")</f>
        <v>Northeast</v>
      </c>
      <c r="E27" t="str">
        <f>IFERROR(INDEX(tCashApp[CollectorName],17),"")</f>
        <v>Grace Lindqvist</v>
      </c>
      <c r="F27" s="18">
        <f>IFERROR(INDEX(tCashApp[UnappliedCash],17),"")</f>
        <v>3099.81</v>
      </c>
      <c r="G27">
        <f>IFERROR(INDEX(tCashApp[UnappliedReceipts],17),"")</f>
        <v>2</v>
      </c>
      <c r="H27">
        <f>IFERROR(INDEX(tCashApp[FullyUnappliedReceipts],17),"")</f>
        <v>1</v>
      </c>
      <c r="I27">
        <f>IFERROR(INDEX(tCashApp[NoRemittanceAdvice],17),"")</f>
        <v>1</v>
      </c>
      <c r="J27">
        <f>IFERROR(INDEX(tCashApp[OldestUnappliedDays],17),"")</f>
        <v>500</v>
      </c>
      <c r="K27">
        <f>IFERROR(INDEX(tCashApp[OpenBalance],17),"")</f>
        <v>8215.01</v>
      </c>
      <c r="L27" s="18">
        <f>IFERROR(INDEX(tCashApp[PastDueBalance],17),"")</f>
        <v>2414.29</v>
      </c>
      <c r="M27" s="18">
        <f>IFERROR(INDEX(tCashApp[NetExposure],17),"")</f>
        <v>5115.2</v>
      </c>
      <c r="N27" s="18">
        <f>IFERROR(INDEX(tCashApp[WronglyChaseable],17),"")</f>
        <v>2414.29</v>
      </c>
      <c r="O27" s="18" t="str">
        <f>IFERROR(IF(INDEX(tCashApp[NoRemittanceAdvice],17)&gt;0,"No remittance advice -- request it, then apply","Advice received; the cash simply has not been matched"),"")</f>
        <v>No remittance advice -- request it, then apply</v>
      </c>
    </row>
    <row r="28" spans="1:15" x14ac:dyDescent="0.35">
      <c r="A28">
        <f>IF(18&gt;COUNTA(tCashApp[CustomerID]),"",18)</f>
        <v>18</v>
      </c>
      <c r="B28" t="str">
        <f>IFERROR(INDEX(tCashApp[CustomerName],18),"")</f>
        <v>Silverline Medical Center</v>
      </c>
      <c r="C28" t="str">
        <f>IFERROR(INDEX(tCashApp[Segment],18),"")</f>
        <v>Institutional</v>
      </c>
      <c r="D28" t="str">
        <f>IFERROR(INDEX(tCashApp[Region],18),"")</f>
        <v>Southeast</v>
      </c>
      <c r="E28" t="str">
        <f>IFERROR(INDEX(tCashApp[CollectorName],18),"")</f>
        <v>Marcus Bell</v>
      </c>
      <c r="F28" s="18">
        <f>IFERROR(INDEX(tCashApp[UnappliedCash],18),"")</f>
        <v>4011.74</v>
      </c>
      <c r="G28">
        <f>IFERROR(INDEX(tCashApp[UnappliedReceipts],18),"")</f>
        <v>1</v>
      </c>
      <c r="H28">
        <f>IFERROR(INDEX(tCashApp[FullyUnappliedReceipts],18),"")</f>
        <v>0</v>
      </c>
      <c r="I28">
        <f>IFERROR(INDEX(tCashApp[NoRemittanceAdvice],18),"")</f>
        <v>1</v>
      </c>
      <c r="J28">
        <f>IFERROR(INDEX(tCashApp[OldestUnappliedDays],18),"")</f>
        <v>499</v>
      </c>
      <c r="K28">
        <f>IFERROR(INDEX(tCashApp[OpenBalance],18),"")</f>
        <v>8153.48</v>
      </c>
      <c r="L28" s="18">
        <f>IFERROR(INDEX(tCashApp[PastDueBalance],18),"")</f>
        <v>6605.52</v>
      </c>
      <c r="M28" s="18">
        <f>IFERROR(INDEX(tCashApp[NetExposure],18),"")</f>
        <v>4141.74</v>
      </c>
      <c r="N28" s="18">
        <f>IFERROR(INDEX(tCashApp[WronglyChaseable],18),"")</f>
        <v>4011.74</v>
      </c>
      <c r="O28" s="18" t="str">
        <f>IFERROR(IF(INDEX(tCashApp[NoRemittanceAdvice],18)&gt;0,"No remittance advice -- request it, then apply","Advice received; the cash simply has not been matched"),"")</f>
        <v>No remittance advice -- request it, then apply</v>
      </c>
    </row>
    <row r="29" spans="1:15" x14ac:dyDescent="0.35">
      <c r="A29">
        <f>IF(19&gt;COUNTA(tCashApp[CustomerID]),"",19)</f>
        <v>19</v>
      </c>
      <c r="B29" t="str">
        <f>IFERROR(INDEX(tCashApp[CustomerName],19),"")</f>
        <v>Silverline Mechanical - Southwest</v>
      </c>
      <c r="C29" t="str">
        <f>IFERROR(INDEX(tCashApp[Segment],19),"")</f>
        <v>Contractor</v>
      </c>
      <c r="D29" t="str">
        <f>IFERROR(INDEX(tCashApp[Region],19),"")</f>
        <v>Southwest</v>
      </c>
      <c r="E29" t="str">
        <f>IFERROR(INDEX(tCashApp[CollectorName],19),"")</f>
        <v>Tomas Okafor</v>
      </c>
      <c r="F29" s="18">
        <f>IFERROR(INDEX(tCashApp[UnappliedCash],19),"")</f>
        <v>4065.66</v>
      </c>
      <c r="G29">
        <f>IFERROR(INDEX(tCashApp[UnappliedReceipts],19),"")</f>
        <v>2</v>
      </c>
      <c r="H29">
        <f>IFERROR(INDEX(tCashApp[FullyUnappliedReceipts],19),"")</f>
        <v>2</v>
      </c>
      <c r="I29">
        <f>IFERROR(INDEX(tCashApp[NoRemittanceAdvice],19),"")</f>
        <v>1</v>
      </c>
      <c r="J29">
        <f>IFERROR(INDEX(tCashApp[OldestUnappliedDays],19),"")</f>
        <v>498</v>
      </c>
      <c r="K29">
        <f>IFERROR(INDEX(tCashApp[OpenBalance],19),"")</f>
        <v>13038.52</v>
      </c>
      <c r="L29" s="18">
        <f>IFERROR(INDEX(tCashApp[PastDueBalance],19),"")</f>
        <v>4924.6000000000004</v>
      </c>
      <c r="M29" s="18">
        <f>IFERROR(INDEX(tCashApp[NetExposure],19),"")</f>
        <v>8972.86</v>
      </c>
      <c r="N29" s="18">
        <f>IFERROR(INDEX(tCashApp[WronglyChaseable],19),"")</f>
        <v>4065.66</v>
      </c>
      <c r="O29" s="18" t="str">
        <f>IFERROR(IF(INDEX(tCashApp[NoRemittanceAdvice],19)&gt;0,"No remittance advice -- request it, then apply","Advice received; the cash simply has not been matched"),"")</f>
        <v>No remittance advice -- request it, then apply</v>
      </c>
    </row>
    <row r="30" spans="1:15" x14ac:dyDescent="0.35">
      <c r="A30">
        <f>IF(20&gt;COUNTA(tCashApp[CustomerID]),"",20)</f>
        <v>20</v>
      </c>
      <c r="B30" t="str">
        <f>IFERROR(INDEX(tCashApp[CustomerName],20),"")</f>
        <v>Lakeshore Industrial Supply</v>
      </c>
      <c r="C30" t="str">
        <f>IFERROR(INDEX(tCashApp[Segment],20),"")</f>
        <v>MRO Reseller</v>
      </c>
      <c r="D30" t="str">
        <f>IFERROR(INDEX(tCashApp[Region],20),"")</f>
        <v>Southeast</v>
      </c>
      <c r="E30" t="str">
        <f>IFERROR(INDEX(tCashApp[CollectorName],20),"")</f>
        <v>Sam Horowitz</v>
      </c>
      <c r="F30" s="18">
        <f>IFERROR(INDEX(tCashApp[UnappliedCash],20),"")</f>
        <v>471.72</v>
      </c>
      <c r="G30">
        <f>IFERROR(INDEX(tCashApp[UnappliedReceipts],20),"")</f>
        <v>1</v>
      </c>
      <c r="H30">
        <f>IFERROR(INDEX(tCashApp[FullyUnappliedReceipts],20),"")</f>
        <v>0</v>
      </c>
      <c r="I30">
        <f>IFERROR(INDEX(tCashApp[NoRemittanceAdvice],20),"")</f>
        <v>1</v>
      </c>
      <c r="J30">
        <f>IFERROR(INDEX(tCashApp[OldestUnappliedDays],20),"")</f>
        <v>487</v>
      </c>
      <c r="K30">
        <f>IFERROR(INDEX(tCashApp[OpenBalance],20),"")</f>
        <v>14261.24</v>
      </c>
      <c r="L30" s="18">
        <f>IFERROR(INDEX(tCashApp[PastDueBalance],20),"")</f>
        <v>1502.17</v>
      </c>
      <c r="M30" s="18">
        <f>IFERROR(INDEX(tCashApp[NetExposure],20),"")</f>
        <v>13789.52</v>
      </c>
      <c r="N30" s="18">
        <f>IFERROR(INDEX(tCashApp[WronglyChaseable],20),"")</f>
        <v>471.72</v>
      </c>
      <c r="O30" s="18" t="str">
        <f>IFERROR(IF(INDEX(tCashApp[NoRemittanceAdvice],20)&gt;0,"No remittance advice -- request it, then apply","Advice received; the cash simply has not been matched"),"")</f>
        <v>No remittance advice -- request it, then apply</v>
      </c>
    </row>
    <row r="31" spans="1:15" x14ac:dyDescent="0.35">
      <c r="A31">
        <f>IF(21&gt;COUNTA(tCashApp[CustomerID]),"",21)</f>
        <v>21</v>
      </c>
      <c r="B31" t="str">
        <f>IFERROR(INDEX(tCashApp[CustomerName],21),"")</f>
        <v>Oakmont Manufacturing</v>
      </c>
      <c r="C31" t="str">
        <f>IFERROR(INDEX(tCashApp[Segment],21),"")</f>
        <v>OEM Manufacturer</v>
      </c>
      <c r="D31" t="str">
        <f>IFERROR(INDEX(tCashApp[Region],21),"")</f>
        <v>Southeast</v>
      </c>
      <c r="E31" t="str">
        <f>IFERROR(INDEX(tCashApp[CollectorName],21),"")</f>
        <v>Priya Natarajan</v>
      </c>
      <c r="F31" s="18">
        <f>IFERROR(INDEX(tCashApp[UnappliedCash],21),"")</f>
        <v>5843.74</v>
      </c>
      <c r="G31">
        <f>IFERROR(INDEX(tCashApp[UnappliedReceipts],21),"")</f>
        <v>2</v>
      </c>
      <c r="H31">
        <f>IFERROR(INDEX(tCashApp[FullyUnappliedReceipts],21),"")</f>
        <v>0</v>
      </c>
      <c r="I31">
        <f>IFERROR(INDEX(tCashApp[NoRemittanceAdvice],21),"")</f>
        <v>2</v>
      </c>
      <c r="J31">
        <f>IFERROR(INDEX(tCashApp[OldestUnappliedDays],21),"")</f>
        <v>479</v>
      </c>
      <c r="K31">
        <f>IFERROR(INDEX(tCashApp[OpenBalance],21),"")</f>
        <v>84060.86</v>
      </c>
      <c r="L31" s="18">
        <f>IFERROR(INDEX(tCashApp[PastDueBalance],21),"")</f>
        <v>20774.669999999998</v>
      </c>
      <c r="M31" s="18">
        <f>IFERROR(INDEX(tCashApp[NetExposure],21),"")</f>
        <v>78217.119999999995</v>
      </c>
      <c r="N31" s="18">
        <f>IFERROR(INDEX(tCashApp[WronglyChaseable],21),"")</f>
        <v>5843.74</v>
      </c>
      <c r="O31" s="18" t="str">
        <f>IFERROR(IF(INDEX(tCashApp[NoRemittanceAdvice],21)&gt;0,"No remittance advice -- request it, then apply","Advice received; the cash simply has not been matched"),"")</f>
        <v>No remittance advice -- request it, then apply</v>
      </c>
    </row>
    <row r="32" spans="1:15" x14ac:dyDescent="0.35">
      <c r="A32">
        <f>IF(22&gt;COUNTA(tCashApp[CustomerID]),"",22)</f>
        <v>22</v>
      </c>
      <c r="B32" t="str">
        <f>IFERROR(INDEX(tCashApp[CustomerName],22),"")</f>
        <v>Bluewater Industries</v>
      </c>
      <c r="C32" t="str">
        <f>IFERROR(INDEX(tCashApp[Segment],22),"")</f>
        <v>OEM Manufacturer</v>
      </c>
      <c r="D32" t="str">
        <f>IFERROR(INDEX(tCashApp[Region],22),"")</f>
        <v>Southwest</v>
      </c>
      <c r="E32" t="str">
        <f>IFERROR(INDEX(tCashApp[CollectorName],22),"")</f>
        <v>Priya Natarajan</v>
      </c>
      <c r="F32" s="18">
        <f>IFERROR(INDEX(tCashApp[UnappliedCash],22),"")</f>
        <v>3658.04</v>
      </c>
      <c r="G32">
        <f>IFERROR(INDEX(tCashApp[UnappliedReceipts],22),"")</f>
        <v>1</v>
      </c>
      <c r="H32">
        <f>IFERROR(INDEX(tCashApp[FullyUnappliedReceipts],22),"")</f>
        <v>0</v>
      </c>
      <c r="I32">
        <f>IFERROR(INDEX(tCashApp[NoRemittanceAdvice],22),"")</f>
        <v>1</v>
      </c>
      <c r="J32">
        <f>IFERROR(INDEX(tCashApp[OldestUnappliedDays],22),"")</f>
        <v>479</v>
      </c>
      <c r="K32">
        <f>IFERROR(INDEX(tCashApp[OpenBalance],22),"")</f>
        <v>93887.29</v>
      </c>
      <c r="L32" s="18">
        <f>IFERROR(INDEX(tCashApp[PastDueBalance],22),"")</f>
        <v>53541.39</v>
      </c>
      <c r="M32" s="18">
        <f>IFERROR(INDEX(tCashApp[NetExposure],22),"")</f>
        <v>90229.25</v>
      </c>
      <c r="N32" s="18">
        <f>IFERROR(INDEX(tCashApp[WronglyChaseable],22),"")</f>
        <v>3658.04</v>
      </c>
      <c r="O32" s="18" t="str">
        <f>IFERROR(IF(INDEX(tCashApp[NoRemittanceAdvice],22)&gt;0,"No remittance advice -- request it, then apply","Advice received; the cash simply has not been matched"),"")</f>
        <v>No remittance advice -- request it, then apply</v>
      </c>
    </row>
    <row r="33" spans="1:15" x14ac:dyDescent="0.35">
      <c r="A33">
        <f>IF(23&gt;COUNTA(tCashApp[CustomerID]),"",23)</f>
        <v>23</v>
      </c>
      <c r="B33" t="str">
        <f>IFERROR(INDEX(tCashApp[CustomerName],23),"")</f>
        <v>Cedar Ridge Contracting - Northeast</v>
      </c>
      <c r="C33" t="str">
        <f>IFERROR(INDEX(tCashApp[Segment],23),"")</f>
        <v>Contractor</v>
      </c>
      <c r="D33" t="str">
        <f>IFERROR(INDEX(tCashApp[Region],23),"")</f>
        <v>Northeast</v>
      </c>
      <c r="E33" t="str">
        <f>IFERROR(INDEX(tCashApp[CollectorName],23),"")</f>
        <v>Priya Natarajan</v>
      </c>
      <c r="F33" s="18">
        <f>IFERROR(INDEX(tCashApp[UnappliedCash],23),"")</f>
        <v>1591.96</v>
      </c>
      <c r="G33">
        <f>IFERROR(INDEX(tCashApp[UnappliedReceipts],23),"")</f>
        <v>2</v>
      </c>
      <c r="H33">
        <f>IFERROR(INDEX(tCashApp[FullyUnappliedReceipts],23),"")</f>
        <v>2</v>
      </c>
      <c r="I33">
        <f>IFERROR(INDEX(tCashApp[NoRemittanceAdvice],23),"")</f>
        <v>1</v>
      </c>
      <c r="J33">
        <f>IFERROR(INDEX(tCashApp[OldestUnappliedDays],23),"")</f>
        <v>456</v>
      </c>
      <c r="K33">
        <f>IFERROR(INDEX(tCashApp[OpenBalance],23),"")</f>
        <v>11454.01</v>
      </c>
      <c r="L33" s="18">
        <f>IFERROR(INDEX(tCashApp[PastDueBalance],23),"")</f>
        <v>1857.57</v>
      </c>
      <c r="M33" s="18">
        <f>IFERROR(INDEX(tCashApp[NetExposure],23),"")</f>
        <v>9862.0499999999993</v>
      </c>
      <c r="N33" s="18">
        <f>IFERROR(INDEX(tCashApp[WronglyChaseable],23),"")</f>
        <v>1591.96</v>
      </c>
      <c r="O33" s="18" t="str">
        <f>IFERROR(IF(INDEX(tCashApp[NoRemittanceAdvice],23)&gt;0,"No remittance advice -- request it, then apply","Advice received; the cash simply has not been matched"),"")</f>
        <v>No remittance advice -- request it, then apply</v>
      </c>
    </row>
    <row r="34" spans="1:15" x14ac:dyDescent="0.35">
      <c r="A34">
        <f>IF(24&gt;COUNTA(tCashApp[CustomerID]),"",24)</f>
        <v>24</v>
      </c>
      <c r="B34" t="str">
        <f>IFERROR(INDEX(tCashApp[CustomerName],24),"")</f>
        <v>Lakeshore Builders</v>
      </c>
      <c r="C34" t="str">
        <f>IFERROR(INDEX(tCashApp[Segment],24),"")</f>
        <v>Contractor</v>
      </c>
      <c r="D34" t="str">
        <f>IFERROR(INDEX(tCashApp[Region],24),"")</f>
        <v>Southwest</v>
      </c>
      <c r="E34" t="str">
        <f>IFERROR(INDEX(tCashApp[CollectorName],24),"")</f>
        <v>Elena Ruiz</v>
      </c>
      <c r="F34" s="18">
        <f>IFERROR(INDEX(tCashApp[UnappliedCash],24),"")</f>
        <v>1653.18</v>
      </c>
      <c r="G34">
        <f>IFERROR(INDEX(tCashApp[UnappliedReceipts],24),"")</f>
        <v>1</v>
      </c>
      <c r="H34">
        <f>IFERROR(INDEX(tCashApp[FullyUnappliedReceipts],24),"")</f>
        <v>0</v>
      </c>
      <c r="I34">
        <f>IFERROR(INDEX(tCashApp[NoRemittanceAdvice],24),"")</f>
        <v>1</v>
      </c>
      <c r="J34">
        <f>IFERROR(INDEX(tCashApp[OldestUnappliedDays],24),"")</f>
        <v>455</v>
      </c>
      <c r="K34">
        <f>IFERROR(INDEX(tCashApp[OpenBalance],24),"")</f>
        <v>12680.1</v>
      </c>
      <c r="L34" s="18">
        <f>IFERROR(INDEX(tCashApp[PastDueBalance],24),"")</f>
        <v>1653.18</v>
      </c>
      <c r="M34" s="18">
        <f>IFERROR(INDEX(tCashApp[NetExposure],24),"")</f>
        <v>11026.92</v>
      </c>
      <c r="N34" s="18">
        <f>IFERROR(INDEX(tCashApp[WronglyChaseable],24),"")</f>
        <v>1653.18</v>
      </c>
      <c r="O34" s="18" t="str">
        <f>IFERROR(IF(INDEX(tCashApp[NoRemittanceAdvice],24)&gt;0,"No remittance advice -- request it, then apply","Advice received; the cash simply has not been matched"),"")</f>
        <v>No remittance advice -- request it, then apply</v>
      </c>
    </row>
    <row r="35" spans="1:15" x14ac:dyDescent="0.35">
      <c r="A35">
        <f>IF(25&gt;COUNTA(tCashApp[CustomerID]),"",25)</f>
        <v>25</v>
      </c>
      <c r="B35" t="str">
        <f>IFERROR(INDEX(tCashApp[CustomerName],25),"")</f>
        <v>Harbor Industries</v>
      </c>
      <c r="C35" t="str">
        <f>IFERROR(INDEX(tCashApp[Segment],25),"")</f>
        <v>OEM Manufacturer</v>
      </c>
      <c r="D35" t="str">
        <f>IFERROR(INDEX(tCashApp[Region],25),"")</f>
        <v>Southwest</v>
      </c>
      <c r="E35" t="str">
        <f>IFERROR(INDEX(tCashApp[CollectorName],25),"")</f>
        <v>Priya Natarajan</v>
      </c>
      <c r="F35" s="18">
        <f>IFERROR(INDEX(tCashApp[UnappliedCash],25),"")</f>
        <v>11304.99</v>
      </c>
      <c r="G35">
        <f>IFERROR(INDEX(tCashApp[UnappliedReceipts],25),"")</f>
        <v>3</v>
      </c>
      <c r="H35">
        <f>IFERROR(INDEX(tCashApp[FullyUnappliedReceipts],25),"")</f>
        <v>0</v>
      </c>
      <c r="I35">
        <f>IFERROR(INDEX(tCashApp[NoRemittanceAdvice],25),"")</f>
        <v>3</v>
      </c>
      <c r="J35">
        <f>IFERROR(INDEX(tCashApp[OldestUnappliedDays],25),"")</f>
        <v>454</v>
      </c>
      <c r="K35">
        <f>IFERROR(INDEX(tCashApp[OpenBalance],25),"")</f>
        <v>150420.44</v>
      </c>
      <c r="L35" s="18">
        <f>IFERROR(INDEX(tCashApp[PastDueBalance],25),"")</f>
        <v>32505.919999999998</v>
      </c>
      <c r="M35" s="18">
        <f>IFERROR(INDEX(tCashApp[NetExposure],25),"")</f>
        <v>139115.45000000001</v>
      </c>
      <c r="N35" s="18">
        <f>IFERROR(INDEX(tCashApp[WronglyChaseable],25),"")</f>
        <v>11304.99</v>
      </c>
      <c r="O35" s="18" t="str">
        <f>IFERROR(IF(INDEX(tCashApp[NoRemittanceAdvice],25)&gt;0,"No remittance advice -- request it, then apply","Advice received; the cash simply has not been matched"),"")</f>
        <v>No remittance advice -- request it, then apply</v>
      </c>
    </row>
    <row r="36" spans="1:15" x14ac:dyDescent="0.35">
      <c r="A36">
        <f>IF(26&gt;COUNTA(tCashApp[CustomerID]),"",26)</f>
        <v>26</v>
      </c>
      <c r="B36" t="str">
        <f>IFERROR(INDEX(tCashApp[CustomerName],26),"")</f>
        <v>Titan Industries</v>
      </c>
      <c r="C36" t="str">
        <f>IFERROR(INDEX(tCashApp[Segment],26),"")</f>
        <v>OEM Manufacturer</v>
      </c>
      <c r="D36" t="str">
        <f>IFERROR(INDEX(tCashApp[Region],26),"")</f>
        <v>Northeast</v>
      </c>
      <c r="E36" t="str">
        <f>IFERROR(INDEX(tCashApp[CollectorName],26),"")</f>
        <v>Priya Natarajan</v>
      </c>
      <c r="F36" s="18">
        <f>IFERROR(INDEX(tCashApp[UnappliedCash],26),"")</f>
        <v>1529.01</v>
      </c>
      <c r="G36">
        <f>IFERROR(INDEX(tCashApp[UnappliedReceipts],26),"")</f>
        <v>1</v>
      </c>
      <c r="H36">
        <f>IFERROR(INDEX(tCashApp[FullyUnappliedReceipts],26),"")</f>
        <v>0</v>
      </c>
      <c r="I36">
        <f>IFERROR(INDEX(tCashApp[NoRemittanceAdvice],26),"")</f>
        <v>1</v>
      </c>
      <c r="J36">
        <f>IFERROR(INDEX(tCashApp[OldestUnappliedDays],26),"")</f>
        <v>426</v>
      </c>
      <c r="K36">
        <f>IFERROR(INDEX(tCashApp[OpenBalance],26),"")</f>
        <v>122676.78</v>
      </c>
      <c r="L36" s="18">
        <f>IFERROR(INDEX(tCashApp[PastDueBalance],26),"")</f>
        <v>1529.01</v>
      </c>
      <c r="M36" s="18">
        <f>IFERROR(INDEX(tCashApp[NetExposure],26),"")</f>
        <v>121147.77</v>
      </c>
      <c r="N36" s="18">
        <f>IFERROR(INDEX(tCashApp[WronglyChaseable],26),"")</f>
        <v>1529.01</v>
      </c>
      <c r="O36" s="18" t="str">
        <f>IFERROR(IF(INDEX(tCashApp[NoRemittanceAdvice],26)&gt;0,"No remittance advice -- request it, then apply","Advice received; the cash simply has not been matched"),"")</f>
        <v>No remittance advice -- request it, then apply</v>
      </c>
    </row>
    <row r="37" spans="1:15" x14ac:dyDescent="0.35">
      <c r="A37">
        <f>IF(27&gt;COUNTA(tCashApp[CustomerID]),"",27)</f>
        <v>27</v>
      </c>
      <c r="B37" t="str">
        <f>IFERROR(INDEX(tCashApp[CustomerName],27),"")</f>
        <v>Westbrook Industries</v>
      </c>
      <c r="C37" t="str">
        <f>IFERROR(INDEX(tCashApp[Segment],27),"")</f>
        <v>OEM Manufacturer</v>
      </c>
      <c r="D37" t="str">
        <f>IFERROR(INDEX(tCashApp[Region],27),"")</f>
        <v>Midwest</v>
      </c>
      <c r="E37" t="str">
        <f>IFERROR(INDEX(tCashApp[CollectorName],27),"")</f>
        <v>Priya Natarajan</v>
      </c>
      <c r="F37" s="18">
        <f>IFERROR(INDEX(tCashApp[UnappliedCash],27),"")</f>
        <v>3169.41</v>
      </c>
      <c r="G37">
        <f>IFERROR(INDEX(tCashApp[UnappliedReceipts],27),"")</f>
        <v>1</v>
      </c>
      <c r="H37">
        <f>IFERROR(INDEX(tCashApp[FullyUnappliedReceipts],27),"")</f>
        <v>0</v>
      </c>
      <c r="I37">
        <f>IFERROR(INDEX(tCashApp[NoRemittanceAdvice],27),"")</f>
        <v>1</v>
      </c>
      <c r="J37">
        <f>IFERROR(INDEX(tCashApp[OldestUnappliedDays],27),"")</f>
        <v>409</v>
      </c>
      <c r="K37">
        <f>IFERROR(INDEX(tCashApp[OpenBalance],27),"")</f>
        <v>73047.34</v>
      </c>
      <c r="L37" s="18">
        <f>IFERROR(INDEX(tCashApp[PastDueBalance],27),"")</f>
        <v>5883.67</v>
      </c>
      <c r="M37" s="18">
        <f>IFERROR(INDEX(tCashApp[NetExposure],27),"")</f>
        <v>69877.929999999993</v>
      </c>
      <c r="N37" s="18">
        <f>IFERROR(INDEX(tCashApp[WronglyChaseable],27),"")</f>
        <v>3169.41</v>
      </c>
      <c r="O37" s="18" t="str">
        <f>IFERROR(IF(INDEX(tCashApp[NoRemittanceAdvice],27)&gt;0,"No remittance advice -- request it, then apply","Advice received; the cash simply has not been matched"),"")</f>
        <v>No remittance advice -- request it, then apply</v>
      </c>
    </row>
    <row r="38" spans="1:15" x14ac:dyDescent="0.35">
      <c r="A38">
        <f>IF(28&gt;COUNTA(tCashApp[CustomerID]),"",28)</f>
        <v>28</v>
      </c>
      <c r="B38" t="str">
        <f>IFERROR(INDEX(tCashApp[CustomerName],28),"")</f>
        <v>Crestview Contracting</v>
      </c>
      <c r="C38" t="str">
        <f>IFERROR(INDEX(tCashApp[Segment],28),"")</f>
        <v>Contractor</v>
      </c>
      <c r="D38" t="str">
        <f>IFERROR(INDEX(tCashApp[Region],28),"")</f>
        <v>Southwest</v>
      </c>
      <c r="E38" t="str">
        <f>IFERROR(INDEX(tCashApp[CollectorName],28),"")</f>
        <v>Tomas Okafor</v>
      </c>
      <c r="F38" s="18">
        <f>IFERROR(INDEX(tCashApp[UnappliedCash],28),"")</f>
        <v>1402.84</v>
      </c>
      <c r="G38">
        <f>IFERROR(INDEX(tCashApp[UnappliedReceipts],28),"")</f>
        <v>1</v>
      </c>
      <c r="H38">
        <f>IFERROR(INDEX(tCashApp[FullyUnappliedReceipts],28),"")</f>
        <v>1</v>
      </c>
      <c r="I38">
        <f>IFERROR(INDEX(tCashApp[NoRemittanceAdvice],28),"")</f>
        <v>1</v>
      </c>
      <c r="J38">
        <f>IFERROR(INDEX(tCashApp[OldestUnappliedDays],28),"")</f>
        <v>394</v>
      </c>
      <c r="K38">
        <f>IFERROR(INDEX(tCashApp[OpenBalance],28),"")</f>
        <v>4962.5200000000004</v>
      </c>
      <c r="L38" s="18">
        <f>IFERROR(INDEX(tCashApp[PastDueBalance],28),"")</f>
        <v>1402.84</v>
      </c>
      <c r="M38" s="18">
        <f>IFERROR(INDEX(tCashApp[NetExposure],28),"")</f>
        <v>3559.68</v>
      </c>
      <c r="N38" s="18">
        <f>IFERROR(INDEX(tCashApp[WronglyChaseable],28),"")</f>
        <v>1402.84</v>
      </c>
      <c r="O38" s="18" t="str">
        <f>IFERROR(IF(INDEX(tCashApp[NoRemittanceAdvice],28)&gt;0,"No remittance advice -- request it, then apply","Advice received; the cash simply has not been matched"),"")</f>
        <v>No remittance advice -- request it, then apply</v>
      </c>
    </row>
    <row r="39" spans="1:15" x14ac:dyDescent="0.35">
      <c r="A39">
        <f>IF(29&gt;COUNTA(tCashApp[CustomerID]),"",29)</f>
        <v>29</v>
      </c>
      <c r="B39" t="str">
        <f>IFERROR(INDEX(tCashApp[CustomerName],29),"")</f>
        <v>Silverline Mechanical</v>
      </c>
      <c r="C39" t="str">
        <f>IFERROR(INDEX(tCashApp[Segment],29),"")</f>
        <v>Contractor</v>
      </c>
      <c r="D39" t="str">
        <f>IFERROR(INDEX(tCashApp[Region],29),"")</f>
        <v>Southeast</v>
      </c>
      <c r="E39" t="str">
        <f>IFERROR(INDEX(tCashApp[CollectorName],29),"")</f>
        <v>Elena Ruiz</v>
      </c>
      <c r="F39" s="18">
        <f>IFERROR(INDEX(tCashApp[UnappliedCash],29),"")</f>
        <v>4840.2700000000004</v>
      </c>
      <c r="G39">
        <f>IFERROR(INDEX(tCashApp[UnappliedReceipts],29),"")</f>
        <v>1</v>
      </c>
      <c r="H39">
        <f>IFERROR(INDEX(tCashApp[FullyUnappliedReceipts],29),"")</f>
        <v>0</v>
      </c>
      <c r="I39">
        <f>IFERROR(INDEX(tCashApp[NoRemittanceAdvice],29),"")</f>
        <v>1</v>
      </c>
      <c r="J39">
        <f>IFERROR(INDEX(tCashApp[OldestUnappliedDays],29),"")</f>
        <v>392</v>
      </c>
      <c r="K39">
        <f>IFERROR(INDEX(tCashApp[OpenBalance],29),"")</f>
        <v>7599.96</v>
      </c>
      <c r="L39" s="18">
        <f>IFERROR(INDEX(tCashApp[PastDueBalance],29),"")</f>
        <v>4939.05</v>
      </c>
      <c r="M39" s="18">
        <f>IFERROR(INDEX(tCashApp[NetExposure],29),"")</f>
        <v>2759.69</v>
      </c>
      <c r="N39" s="18">
        <f>IFERROR(INDEX(tCashApp[WronglyChaseable],29),"")</f>
        <v>4840.2700000000004</v>
      </c>
      <c r="O39" s="18" t="str">
        <f>IFERROR(IF(INDEX(tCashApp[NoRemittanceAdvice],29)&gt;0,"No remittance advice -- request it, then apply","Advice received; the cash simply has not been matched"),"")</f>
        <v>No remittance advice -- request it, then apply</v>
      </c>
    </row>
    <row r="40" spans="1:15" x14ac:dyDescent="0.35">
      <c r="A40">
        <f>IF(30&gt;COUNTA(tCashApp[CustomerID]),"",30)</f>
        <v>30</v>
      </c>
      <c r="B40" t="str">
        <f>IFERROR(INDEX(tCashApp[CustomerName],30),"")</f>
        <v>Titan Builders - Midwest 4</v>
      </c>
      <c r="C40" t="str">
        <f>IFERROR(INDEX(tCashApp[Segment],30),"")</f>
        <v>Contractor</v>
      </c>
      <c r="D40" t="str">
        <f>IFERROR(INDEX(tCashApp[Region],30),"")</f>
        <v>Midwest</v>
      </c>
      <c r="E40" t="str">
        <f>IFERROR(INDEX(tCashApp[CollectorName],30),"")</f>
        <v>Elena Ruiz</v>
      </c>
      <c r="F40" s="18">
        <f>IFERROR(INDEX(tCashApp[UnappliedCash],30),"")</f>
        <v>2303.59</v>
      </c>
      <c r="G40">
        <f>IFERROR(INDEX(tCashApp[UnappliedReceipts],30),"")</f>
        <v>1</v>
      </c>
      <c r="H40">
        <f>IFERROR(INDEX(tCashApp[FullyUnappliedReceipts],30),"")</f>
        <v>1</v>
      </c>
      <c r="I40">
        <f>IFERROR(INDEX(tCashApp[NoRemittanceAdvice],30),"")</f>
        <v>1</v>
      </c>
      <c r="J40">
        <f>IFERROR(INDEX(tCashApp[OldestUnappliedDays],30),"")</f>
        <v>391</v>
      </c>
      <c r="K40">
        <f>IFERROR(INDEX(tCashApp[OpenBalance],30),"")</f>
        <v>10973.06</v>
      </c>
      <c r="L40" s="18">
        <f>IFERROR(INDEX(tCashApp[PastDueBalance],30),"")</f>
        <v>6878.46</v>
      </c>
      <c r="M40" s="18">
        <f>IFERROR(INDEX(tCashApp[NetExposure],30),"")</f>
        <v>8669.4699999999993</v>
      </c>
      <c r="N40" s="18">
        <f>IFERROR(INDEX(tCashApp[WronglyChaseable],30),"")</f>
        <v>2303.59</v>
      </c>
      <c r="O40" s="18" t="str">
        <f>IFERROR(IF(INDEX(tCashApp[NoRemittanceAdvice],30)&gt;0,"No remittance advice -- request it, then apply","Advice received; the cash simply has not been matched"),"")</f>
        <v>No remittance advice -- request it, then apply</v>
      </c>
    </row>
  </sheetData>
  <mergeCells count="1">
    <mergeCell ref="A2:I2"/>
  </mergeCells>
  <conditionalFormatting sqref="A11:O40">
    <cfRule type="expression" dxfId="2" priority="1" stopIfTrue="1">
      <formula>$J11&gt;90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A2437-B2CB-4BA3-A8C3-AB835E78522F}">
  <dimension ref="A1:I13"/>
  <sheetViews>
    <sheetView workbookViewId="0"/>
  </sheetViews>
  <sheetFormatPr defaultRowHeight="14.5" x14ac:dyDescent="0.35"/>
  <cols>
    <col min="1" max="1" width="30.6328125" customWidth="1"/>
    <col min="2" max="9" width="15.6328125" customWidth="1"/>
  </cols>
  <sheetData>
    <row r="1" spans="1:9" ht="21" x14ac:dyDescent="0.5">
      <c r="A1" s="1" t="s">
        <v>4880</v>
      </c>
    </row>
    <row r="2" spans="1:9" x14ac:dyDescent="0.35">
      <c r="A2" s="2" t="s">
        <v>4881</v>
      </c>
    </row>
    <row r="4" spans="1:9" x14ac:dyDescent="0.35">
      <c r="B4" s="3" t="s">
        <v>4882</v>
      </c>
      <c r="C4" s="7" t="s">
        <v>21</v>
      </c>
    </row>
    <row r="6" spans="1:9" x14ac:dyDescent="0.35">
      <c r="A6" s="4" t="s">
        <v>4818</v>
      </c>
      <c r="B6" s="4" t="str">
        <f>INDEX(tBuckets[BucketName],1)</f>
        <v>Current</v>
      </c>
      <c r="C6" s="4" t="str">
        <f>INDEX(tBuckets[BucketName],2)</f>
        <v>1-30</v>
      </c>
      <c r="D6" s="4" t="str">
        <f>INDEX(tBuckets[BucketName],3)</f>
        <v>31-60</v>
      </c>
      <c r="E6" s="4" t="str">
        <f>INDEX(tBuckets[BucketName],4)</f>
        <v>61-90</v>
      </c>
      <c r="F6" s="4" t="str">
        <f>INDEX(tBuckets[BucketName],5)</f>
        <v>90+</v>
      </c>
      <c r="G6" s="4" t="s">
        <v>4884</v>
      </c>
      <c r="H6" s="4" t="s">
        <v>4859</v>
      </c>
      <c r="I6" s="4" t="s">
        <v>4885</v>
      </c>
    </row>
    <row r="7" spans="1:9" x14ac:dyDescent="0.35">
      <c r="A7" t="str">
        <f>IFERROR(INDEX(Calc!$N$5:$S$10,1,MATCH($C$4,Calc!$N$4:$S$4,0)),"")</f>
        <v>Contractor</v>
      </c>
      <c r="B7" s="18">
        <f>IF($A7="","",SUMIFS(tOpenItems[OpenBalance],INDEX(tOpenItems[],0,MATCH($C$4,tOpenItems[#Headers],0)),$A7,tOpenItems[DaysPastDue],"&gt;="&amp;INDEX(tBuckets[MinDaysPastDue],1),tOpenItems[DaysPastDue],"&lt;="&amp;INDEX(tBuckets[MaxDaysPastDue],1)))</f>
        <v>1556763.2399999998</v>
      </c>
      <c r="C7" s="18">
        <f>IF($A7="","",SUMIFS(tOpenItems[OpenBalance],INDEX(tOpenItems[],0,MATCH($C$4,tOpenItems[#Headers],0)),$A7,tOpenItems[DaysPastDue],"&gt;="&amp;INDEX(tBuckets[MinDaysPastDue],2),tOpenItems[DaysPastDue],"&lt;="&amp;INDEX(tBuckets[MaxDaysPastDue],2)))</f>
        <v>363595.4000000002</v>
      </c>
      <c r="D7" s="18">
        <f>IF($A7="","",SUMIFS(tOpenItems[OpenBalance],INDEX(tOpenItems[],0,MATCH($C$4,tOpenItems[#Headers],0)),$A7,tOpenItems[DaysPastDue],"&gt;="&amp;INDEX(tBuckets[MinDaysPastDue],3),tOpenItems[DaysPastDue],"&lt;="&amp;INDEX(tBuckets[MaxDaysPastDue],3)))</f>
        <v>113580.09999999998</v>
      </c>
      <c r="E7" s="18">
        <f>IF($A7="","",SUMIFS(tOpenItems[OpenBalance],INDEX(tOpenItems[],0,MATCH($C$4,tOpenItems[#Headers],0)),$A7,tOpenItems[DaysPastDue],"&gt;="&amp;INDEX(tBuckets[MinDaysPastDue],4),tOpenItems[DaysPastDue],"&lt;="&amp;INDEX(tBuckets[MaxDaysPastDue],4)))</f>
        <v>75795.75999999998</v>
      </c>
      <c r="F7" s="18">
        <f>IF($A7="","",SUMIFS(tOpenItems[OpenBalance],INDEX(tOpenItems[],0,MATCH($C$4,tOpenItems[#Headers],0)),$A7,tOpenItems[DaysPastDue],"&gt;="&amp;INDEX(tBuckets[MinDaysPastDue],5),tOpenItems[DaysPastDue],"&lt;="&amp;INDEX(tBuckets[MaxDaysPastDue],5)))</f>
        <v>183978.41999999993</v>
      </c>
      <c r="G7" s="18">
        <f>IF($A7="","",SUM(B7:F7))</f>
        <v>2293712.9199999995</v>
      </c>
      <c r="H7" s="18">
        <f>IF($A7="","",SUM(C7:F7))</f>
        <v>736949.68</v>
      </c>
      <c r="I7" s="30">
        <f>IF(OR($A7="",G7=0),"",H7/G7)</f>
        <v>0.32129115791875135</v>
      </c>
    </row>
    <row r="8" spans="1:9" x14ac:dyDescent="0.35">
      <c r="A8" t="str">
        <f>IFERROR(INDEX(Calc!$N$5:$S$10,2,MATCH($C$4,Calc!$N$4:$S$4,0)),"")</f>
        <v>Institutional</v>
      </c>
      <c r="B8" s="18">
        <f>IF($A8="","",SUMIFS(tOpenItems[OpenBalance],INDEX(tOpenItems[],0,MATCH($C$4,tOpenItems[#Headers],0)),$A8,tOpenItems[DaysPastDue],"&gt;="&amp;INDEX(tBuckets[MinDaysPastDue],1),tOpenItems[DaysPastDue],"&lt;="&amp;INDEX(tBuckets[MaxDaysPastDue],1)))</f>
        <v>917148.81</v>
      </c>
      <c r="C8" s="18">
        <f>IF($A8="","",SUMIFS(tOpenItems[OpenBalance],INDEX(tOpenItems[],0,MATCH($C$4,tOpenItems[#Headers],0)),$A8,tOpenItems[DaysPastDue],"&gt;="&amp;INDEX(tBuckets[MinDaysPastDue],2),tOpenItems[DaysPastDue],"&lt;="&amp;INDEX(tBuckets[MaxDaysPastDue],2)))</f>
        <v>266116.11</v>
      </c>
      <c r="D8" s="18">
        <f>IF($A8="","",SUMIFS(tOpenItems[OpenBalance],INDEX(tOpenItems[],0,MATCH($C$4,tOpenItems[#Headers],0)),$A8,tOpenItems[DaysPastDue],"&gt;="&amp;INDEX(tBuckets[MinDaysPastDue],3),tOpenItems[DaysPastDue],"&lt;="&amp;INDEX(tBuckets[MaxDaysPastDue],3)))</f>
        <v>10338.43</v>
      </c>
      <c r="E8" s="18">
        <f>IF($A8="","",SUMIFS(tOpenItems[OpenBalance],INDEX(tOpenItems[],0,MATCH($C$4,tOpenItems[#Headers],0)),$A8,tOpenItems[DaysPastDue],"&gt;="&amp;INDEX(tBuckets[MinDaysPastDue],4),tOpenItems[DaysPastDue],"&lt;="&amp;INDEX(tBuckets[MaxDaysPastDue],4)))</f>
        <v>0</v>
      </c>
      <c r="F8" s="18">
        <f>IF($A8="","",SUMIFS(tOpenItems[OpenBalance],INDEX(tOpenItems[],0,MATCH($C$4,tOpenItems[#Headers],0)),$A8,tOpenItems[DaysPastDue],"&gt;="&amp;INDEX(tBuckets[MinDaysPastDue],5),tOpenItems[DaysPastDue],"&lt;="&amp;INDEX(tBuckets[MaxDaysPastDue],5)))</f>
        <v>4011.74</v>
      </c>
      <c r="G8" s="18">
        <f>IF($A8="","",SUM(B8:F8))</f>
        <v>1197615.0899999999</v>
      </c>
      <c r="H8" s="18">
        <f>IF($A8="","",SUM(C8:F8))</f>
        <v>280466.27999999997</v>
      </c>
      <c r="I8" s="30">
        <f>IF(OR($A8="",G8=0),"",H8/G8)</f>
        <v>0.23418732975383602</v>
      </c>
    </row>
    <row r="9" spans="1:9" x14ac:dyDescent="0.35">
      <c r="A9" t="str">
        <f>IFERROR(INDEX(Calc!$N$5:$S$10,3,MATCH($C$4,Calc!$N$4:$S$4,0)),"")</f>
        <v>MRO Reseller</v>
      </c>
      <c r="B9" s="18">
        <f>IF($A9="","",SUMIFS(tOpenItems[OpenBalance],INDEX(tOpenItems[],0,MATCH($C$4,tOpenItems[#Headers],0)),$A9,tOpenItems[DaysPastDue],"&gt;="&amp;INDEX(tBuckets[MinDaysPastDue],1),tOpenItems[DaysPastDue],"&lt;="&amp;INDEX(tBuckets[MaxDaysPastDue],1)))</f>
        <v>672881.0499999997</v>
      </c>
      <c r="C9" s="18">
        <f>IF($A9="","",SUMIFS(tOpenItems[OpenBalance],INDEX(tOpenItems[],0,MATCH($C$4,tOpenItems[#Headers],0)),$A9,tOpenItems[DaysPastDue],"&gt;="&amp;INDEX(tBuckets[MinDaysPastDue],2),tOpenItems[DaysPastDue],"&lt;="&amp;INDEX(tBuckets[MaxDaysPastDue],2)))</f>
        <v>163137.68</v>
      </c>
      <c r="D9" s="18">
        <f>IF($A9="","",SUMIFS(tOpenItems[OpenBalance],INDEX(tOpenItems[],0,MATCH($C$4,tOpenItems[#Headers],0)),$A9,tOpenItems[DaysPastDue],"&gt;="&amp;INDEX(tBuckets[MinDaysPastDue],3),tOpenItems[DaysPastDue],"&lt;="&amp;INDEX(tBuckets[MaxDaysPastDue],3)))</f>
        <v>9606.6</v>
      </c>
      <c r="E9" s="18">
        <f>IF($A9="","",SUMIFS(tOpenItems[OpenBalance],INDEX(tOpenItems[],0,MATCH($C$4,tOpenItems[#Headers],0)),$A9,tOpenItems[DaysPastDue],"&gt;="&amp;INDEX(tBuckets[MinDaysPastDue],4),tOpenItems[DaysPastDue],"&lt;="&amp;INDEX(tBuckets[MaxDaysPastDue],4)))</f>
        <v>6652.9</v>
      </c>
      <c r="F9" s="18">
        <f>IF($A9="","",SUMIFS(tOpenItems[OpenBalance],INDEX(tOpenItems[],0,MATCH($C$4,tOpenItems[#Headers],0)),$A9,tOpenItems[DaysPastDue],"&gt;="&amp;INDEX(tBuckets[MinDaysPastDue],5),tOpenItems[DaysPastDue],"&lt;="&amp;INDEX(tBuckets[MaxDaysPastDue],5)))</f>
        <v>21401.089999999997</v>
      </c>
      <c r="G9" s="18">
        <f>IF($A9="","",SUM(B9:F9))</f>
        <v>873679.31999999972</v>
      </c>
      <c r="H9" s="18">
        <f>IF($A9="","",SUM(C9:F9))</f>
        <v>200798.27</v>
      </c>
      <c r="I9" s="30">
        <f>IF(OR($A9="",G9=0),"",H9/G9)</f>
        <v>0.22983063167845161</v>
      </c>
    </row>
    <row r="10" spans="1:9" x14ac:dyDescent="0.35">
      <c r="A10" t="str">
        <f>IFERROR(INDEX(Calc!$N$5:$S$10,4,MATCH($C$4,Calc!$N$4:$S$4,0)),"")</f>
        <v>OEM Manufacturer</v>
      </c>
      <c r="B10" s="18">
        <f>IF($A10="","",SUMIFS(tOpenItems[OpenBalance],INDEX(tOpenItems[],0,MATCH($C$4,tOpenItems[#Headers],0)),$A10,tOpenItems[DaysPastDue],"&gt;="&amp;INDEX(tBuckets[MinDaysPastDue],1),tOpenItems[DaysPastDue],"&lt;="&amp;INDEX(tBuckets[MaxDaysPastDue],1)))</f>
        <v>4949000.6799999885</v>
      </c>
      <c r="C10" s="18">
        <f>IF($A10="","",SUMIFS(tOpenItems[OpenBalance],INDEX(tOpenItems[],0,MATCH($C$4,tOpenItems[#Headers],0)),$A10,tOpenItems[DaysPastDue],"&gt;="&amp;INDEX(tBuckets[MinDaysPastDue],2),tOpenItems[DaysPastDue],"&lt;="&amp;INDEX(tBuckets[MaxDaysPastDue],2)))</f>
        <v>1046670.2199999999</v>
      </c>
      <c r="D10" s="18">
        <f>IF($A10="","",SUMIFS(tOpenItems[OpenBalance],INDEX(tOpenItems[],0,MATCH($C$4,tOpenItems[#Headers],0)),$A10,tOpenItems[DaysPastDue],"&gt;="&amp;INDEX(tBuckets[MinDaysPastDue],3),tOpenItems[DaysPastDue],"&lt;="&amp;INDEX(tBuckets[MaxDaysPastDue],3)))</f>
        <v>272412.99999999994</v>
      </c>
      <c r="E10" s="18">
        <f>IF($A10="","",SUMIFS(tOpenItems[OpenBalance],INDEX(tOpenItems[],0,MATCH($C$4,tOpenItems[#Headers],0)),$A10,tOpenItems[DaysPastDue],"&gt;="&amp;INDEX(tBuckets[MinDaysPastDue],4),tOpenItems[DaysPastDue],"&lt;="&amp;INDEX(tBuckets[MaxDaysPastDue],4)))</f>
        <v>60517.73000000001</v>
      </c>
      <c r="F10" s="18">
        <f>IF($A10="","",SUMIFS(tOpenItems[OpenBalance],INDEX(tOpenItems[],0,MATCH($C$4,tOpenItems[#Headers],0)),$A10,tOpenItems[DaysPastDue],"&gt;="&amp;INDEX(tBuckets[MinDaysPastDue],5),tOpenItems[DaysPastDue],"&lt;="&amp;INDEX(tBuckets[MaxDaysPastDue],5)))</f>
        <v>153472.53</v>
      </c>
      <c r="G10" s="18">
        <f>IF($A10="","",SUM(B10:F10))</f>
        <v>6482074.159999989</v>
      </c>
      <c r="H10" s="18">
        <f>IF($A10="","",SUM(C10:F10))</f>
        <v>1533073.4799999997</v>
      </c>
      <c r="I10" s="30">
        <f>IF(OR($A10="",G10=0),"",H10/G10)</f>
        <v>0.23650971003392568</v>
      </c>
    </row>
    <row r="11" spans="1:9" x14ac:dyDescent="0.35">
      <c r="A11">
        <f>IFERROR(INDEX(Calc!$N$5:$S$10,5,MATCH($C$4,Calc!$N$4:$S$4,0)),"")</f>
        <v>0</v>
      </c>
      <c r="B11" s="18">
        <f>IF($A11="","",SUMIFS(tOpenItems[OpenBalance],INDEX(tOpenItems[],0,MATCH($C$4,tOpenItems[#Headers],0)),$A11,tOpenItems[DaysPastDue],"&gt;="&amp;INDEX(tBuckets[MinDaysPastDue],1),tOpenItems[DaysPastDue],"&lt;="&amp;INDEX(tBuckets[MaxDaysPastDue],1)))</f>
        <v>0</v>
      </c>
      <c r="C11" s="18">
        <f>IF($A11="","",SUMIFS(tOpenItems[OpenBalance],INDEX(tOpenItems[],0,MATCH($C$4,tOpenItems[#Headers],0)),$A11,tOpenItems[DaysPastDue],"&gt;="&amp;INDEX(tBuckets[MinDaysPastDue],2),tOpenItems[DaysPastDue],"&lt;="&amp;INDEX(tBuckets[MaxDaysPastDue],2)))</f>
        <v>0</v>
      </c>
      <c r="D11" s="18">
        <f>IF($A11="","",SUMIFS(tOpenItems[OpenBalance],INDEX(tOpenItems[],0,MATCH($C$4,tOpenItems[#Headers],0)),$A11,tOpenItems[DaysPastDue],"&gt;="&amp;INDEX(tBuckets[MinDaysPastDue],3),tOpenItems[DaysPastDue],"&lt;="&amp;INDEX(tBuckets[MaxDaysPastDue],3)))</f>
        <v>0</v>
      </c>
      <c r="E11" s="18">
        <f>IF($A11="","",SUMIFS(tOpenItems[OpenBalance],INDEX(tOpenItems[],0,MATCH($C$4,tOpenItems[#Headers],0)),$A11,tOpenItems[DaysPastDue],"&gt;="&amp;INDEX(tBuckets[MinDaysPastDue],4),tOpenItems[DaysPastDue],"&lt;="&amp;INDEX(tBuckets[MaxDaysPastDue],4)))</f>
        <v>0</v>
      </c>
      <c r="F11" s="18">
        <f>IF($A11="","",SUMIFS(tOpenItems[OpenBalance],INDEX(tOpenItems[],0,MATCH($C$4,tOpenItems[#Headers],0)),$A11,tOpenItems[DaysPastDue],"&gt;="&amp;INDEX(tBuckets[MinDaysPastDue],5),tOpenItems[DaysPastDue],"&lt;="&amp;INDEX(tBuckets[MaxDaysPastDue],5)))</f>
        <v>0</v>
      </c>
      <c r="G11" s="18">
        <f>IF($A11="","",SUM(B11:F11))</f>
        <v>0</v>
      </c>
      <c r="H11" s="18">
        <f>IF($A11="","",SUM(C11:F11))</f>
        <v>0</v>
      </c>
      <c r="I11" s="30" t="str">
        <f>IF(OR($A11="",G11=0),"",H11/G11)</f>
        <v/>
      </c>
    </row>
    <row r="12" spans="1:9" x14ac:dyDescent="0.35">
      <c r="A12">
        <f>IFERROR(INDEX(Calc!$N$5:$S$10,6,MATCH($C$4,Calc!$N$4:$S$4,0)),"")</f>
        <v>0</v>
      </c>
      <c r="B12" s="18">
        <f>IF($A12="","",SUMIFS(tOpenItems[OpenBalance],INDEX(tOpenItems[],0,MATCH($C$4,tOpenItems[#Headers],0)),$A12,tOpenItems[DaysPastDue],"&gt;="&amp;INDEX(tBuckets[MinDaysPastDue],1),tOpenItems[DaysPastDue],"&lt;="&amp;INDEX(tBuckets[MaxDaysPastDue],1)))</f>
        <v>0</v>
      </c>
      <c r="C12" s="18">
        <f>IF($A12="","",SUMIFS(tOpenItems[OpenBalance],INDEX(tOpenItems[],0,MATCH($C$4,tOpenItems[#Headers],0)),$A12,tOpenItems[DaysPastDue],"&gt;="&amp;INDEX(tBuckets[MinDaysPastDue],2),tOpenItems[DaysPastDue],"&lt;="&amp;INDEX(tBuckets[MaxDaysPastDue],2)))</f>
        <v>0</v>
      </c>
      <c r="D12" s="18">
        <f>IF($A12="","",SUMIFS(tOpenItems[OpenBalance],INDEX(tOpenItems[],0,MATCH($C$4,tOpenItems[#Headers],0)),$A12,tOpenItems[DaysPastDue],"&gt;="&amp;INDEX(tBuckets[MinDaysPastDue],3),tOpenItems[DaysPastDue],"&lt;="&amp;INDEX(tBuckets[MaxDaysPastDue],3)))</f>
        <v>0</v>
      </c>
      <c r="E12" s="18">
        <f>IF($A12="","",SUMIFS(tOpenItems[OpenBalance],INDEX(tOpenItems[],0,MATCH($C$4,tOpenItems[#Headers],0)),$A12,tOpenItems[DaysPastDue],"&gt;="&amp;INDEX(tBuckets[MinDaysPastDue],4),tOpenItems[DaysPastDue],"&lt;="&amp;INDEX(tBuckets[MaxDaysPastDue],4)))</f>
        <v>0</v>
      </c>
      <c r="F12" s="18">
        <f>IF($A12="","",SUMIFS(tOpenItems[OpenBalance],INDEX(tOpenItems[],0,MATCH($C$4,tOpenItems[#Headers],0)),$A12,tOpenItems[DaysPastDue],"&gt;="&amp;INDEX(tBuckets[MinDaysPastDue],5),tOpenItems[DaysPastDue],"&lt;="&amp;INDEX(tBuckets[MaxDaysPastDue],5)))</f>
        <v>0</v>
      </c>
      <c r="G12" s="18">
        <f>IF($A12="","",SUM(B12:F12))</f>
        <v>0</v>
      </c>
      <c r="H12" s="18">
        <f>IF($A12="","",SUM(C12:F12))</f>
        <v>0</v>
      </c>
      <c r="I12" s="30" t="str">
        <f>IF(OR($A12="",G12=0),"",H12/G12)</f>
        <v/>
      </c>
    </row>
    <row r="13" spans="1:9" x14ac:dyDescent="0.35">
      <c r="A13" s="3" t="s">
        <v>4842</v>
      </c>
      <c r="B13" s="24">
        <f>SUM(B7:B12)</f>
        <v>8095793.7799999882</v>
      </c>
      <c r="C13" s="24">
        <f>SUM(C7:C12)</f>
        <v>1839519.4100000001</v>
      </c>
      <c r="D13" s="24">
        <f>SUM(D7:D12)</f>
        <v>405938.12999999989</v>
      </c>
      <c r="E13" s="24">
        <f>SUM(E7:E12)</f>
        <v>142966.38999999998</v>
      </c>
      <c r="F13" s="24">
        <f>SUM(F7:F12)</f>
        <v>362863.77999999991</v>
      </c>
      <c r="G13" s="24">
        <f>SUM(G7:G12)</f>
        <v>10847081.489999987</v>
      </c>
      <c r="H13" s="24">
        <f>SUM(H7:H12)</f>
        <v>2751287.71</v>
      </c>
      <c r="I13" s="31">
        <f>IF(G13=0,"",H13/G13)</f>
        <v>0.25364313087685703</v>
      </c>
    </row>
  </sheetData>
  <dataValidations count="1">
    <dataValidation type="list" allowBlank="1" showInputMessage="1" showErrorMessage="1" sqref="C4" xr:uid="{9C81EC3A-5074-46C9-8433-481230784255}">
      <formula1>"Segment,Region,RiskTier,TermsCode,CollectorName,Team"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06B6B-8F56-4BC7-9802-90B0BEC692F0}">
  <dimension ref="A1:F34"/>
  <sheetViews>
    <sheetView workbookViewId="0"/>
  </sheetViews>
  <sheetFormatPr defaultRowHeight="14.5" x14ac:dyDescent="0.35"/>
  <cols>
    <col min="1" max="1" width="5.6328125" customWidth="1"/>
    <col min="2" max="2" width="40.6328125" customWidth="1"/>
    <col min="3" max="4" width="18.6328125" customWidth="1"/>
    <col min="5" max="5" width="15.6328125" customWidth="1"/>
    <col min="6" max="6" width="12.6328125" customWidth="1"/>
  </cols>
  <sheetData>
    <row r="1" spans="1:6" ht="21" x14ac:dyDescent="0.5">
      <c r="A1" s="1" t="s">
        <v>4886</v>
      </c>
    </row>
    <row r="2" spans="1:6" ht="30" customHeight="1" x14ac:dyDescent="0.35">
      <c r="A2" s="11" t="s">
        <v>4887</v>
      </c>
      <c r="B2" s="11"/>
      <c r="C2" s="11"/>
      <c r="D2" s="11"/>
      <c r="E2" s="11"/>
      <c r="F2" s="11"/>
    </row>
    <row r="4" spans="1:6" x14ac:dyDescent="0.35">
      <c r="A4" s="4" t="s">
        <v>4854</v>
      </c>
      <c r="B4" s="4" t="s">
        <v>4888</v>
      </c>
      <c r="C4" s="4" t="s">
        <v>4889</v>
      </c>
      <c r="D4" s="4" t="s">
        <v>4890</v>
      </c>
      <c r="E4" s="4" t="s">
        <v>4891</v>
      </c>
      <c r="F4" s="4" t="s">
        <v>4892</v>
      </c>
    </row>
    <row r="5" spans="1:6" x14ac:dyDescent="0.35">
      <c r="A5">
        <v>1</v>
      </c>
      <c r="B5" t="s">
        <v>4788</v>
      </c>
      <c r="C5" s="35">
        <f>INDEX(tKPI[EndAR],MATCH(MAX(tKPI[AsOfDate]),tKPI[AsOfDate],0))</f>
        <v>10847081.49</v>
      </c>
      <c r="D5" s="35">
        <f>Dashboard!$C$8</f>
        <v>10847081.490000004</v>
      </c>
      <c r="E5" s="35">
        <f>C5-D5</f>
        <v>0</v>
      </c>
      <c r="F5" s="28" t="str">
        <f>IF(ABS(E5)&lt;=0.005,"MATCH","DIFFERS")</f>
        <v>MATCH</v>
      </c>
    </row>
    <row r="6" spans="1:6" x14ac:dyDescent="0.35">
      <c r="A6">
        <v>2</v>
      </c>
      <c r="B6" t="s">
        <v>4893</v>
      </c>
      <c r="C6" s="35">
        <f>INDEX(tKPI[EndCurrentAR],MATCH(MAX(tKPI[AsOfDate]),tKPI[AsOfDate],0))</f>
        <v>8095793.7800000003</v>
      </c>
      <c r="D6" s="35">
        <f>Dashboard!$C$9</f>
        <v>8095793.7799999882</v>
      </c>
      <c r="E6" s="35">
        <f>C6-D6</f>
        <v>1.2107193470001221E-8</v>
      </c>
      <c r="F6" s="28" t="str">
        <f>IF(ABS(E6)&lt;=0.005,"MATCH","DIFFERS")</f>
        <v>MATCH</v>
      </c>
    </row>
    <row r="7" spans="1:6" x14ac:dyDescent="0.35">
      <c r="A7">
        <v>3</v>
      </c>
      <c r="B7" t="s">
        <v>4894</v>
      </c>
      <c r="C7" s="35">
        <f>INDEX(tKPI[PastDueAR],MATCH(MAX(tKPI[AsOfDate]),tKPI[AsOfDate],0))</f>
        <v>2751287.71</v>
      </c>
      <c r="D7" s="35">
        <f>Dashboard!$C$10+Dashboard!$C$11</f>
        <v>2751287.7100000009</v>
      </c>
      <c r="E7" s="35">
        <f>C7-D7</f>
        <v>0</v>
      </c>
      <c r="F7" s="28" t="str">
        <f>IF(ABS(E7)&lt;=0.005,"MATCH","DIFFERS")</f>
        <v>MATCH</v>
      </c>
    </row>
    <row r="8" spans="1:6" x14ac:dyDescent="0.35">
      <c r="A8">
        <v>4</v>
      </c>
      <c r="B8" t="s">
        <v>4895</v>
      </c>
      <c r="C8" s="35">
        <f>INDEX(tKPI[AR90Plus],MATCH(MAX(tKPI[AsOfDate]),tKPI[AsOfDate],0))</f>
        <v>362863.78</v>
      </c>
      <c r="D8" s="35">
        <f>Dashboard!$C$12</f>
        <v>362863.78</v>
      </c>
      <c r="E8" s="35">
        <f>C8-D8</f>
        <v>0</v>
      </c>
      <c r="F8" s="28" t="str">
        <f>IF(ABS(E8)&lt;=0.005,"MATCH","DIFFERS")</f>
        <v>MATCH</v>
      </c>
    </row>
    <row r="9" spans="1:6" x14ac:dyDescent="0.35">
      <c r="A9">
        <v>5</v>
      </c>
      <c r="B9" t="s">
        <v>4896</v>
      </c>
      <c r="C9" s="35">
        <f>INDEX(tKPI[OpenInvoices],MATCH(MAX(tKPI[AsOfDate]),tKPI[AsOfDate],0))</f>
        <v>2346</v>
      </c>
      <c r="D9" s="35">
        <f>Dashboard!$C$13</f>
        <v>2346</v>
      </c>
      <c r="E9" s="35">
        <f>C9-D9</f>
        <v>0</v>
      </c>
      <c r="F9" s="28" t="str">
        <f>IF(ABS(E9)&lt;=0.5,"MATCH","DIFFERS")</f>
        <v>MATCH</v>
      </c>
    </row>
    <row r="10" spans="1:6" x14ac:dyDescent="0.35">
      <c r="A10">
        <v>6</v>
      </c>
      <c r="B10" t="s">
        <v>4796</v>
      </c>
      <c r="C10" s="35">
        <f>INDEX(tBridge[SalesPerDay],MATCH(MAX(tBridge[AsOfDate]),tBridge[AsOfDate],0))</f>
        <v>176118.33</v>
      </c>
      <c r="D10" s="35">
        <f>Dashboard!$C$16</f>
        <v>176118.32720547944</v>
      </c>
      <c r="E10" s="35">
        <f>C10-D10</f>
        <v>2.7945205511059612E-3</v>
      </c>
      <c r="F10" s="28" t="str">
        <f>IF(ABS(E10)&lt;=0.005,"MATCH","DIFFERS")</f>
        <v>MATCH</v>
      </c>
    </row>
    <row r="11" spans="1:6" x14ac:dyDescent="0.35">
      <c r="A11">
        <v>7</v>
      </c>
      <c r="B11" t="s">
        <v>4897</v>
      </c>
      <c r="C11" s="35">
        <f>INDEX(tBridge[DSO_Classic],MATCH(MAX(tBridge[AsOfDate]),tBridge[AsOfDate],0))</f>
        <v>61.59</v>
      </c>
      <c r="D11" s="35">
        <f>Dashboard!$F$12</f>
        <v>61.589737207443378</v>
      </c>
      <c r="E11" s="35">
        <f>C11-D11</f>
        <v>2.627925566258682E-4</v>
      </c>
      <c r="F11" s="28" t="str">
        <f>IF(ABS(E11)&lt;=0.005,"MATCH","DIFFERS")</f>
        <v>MATCH</v>
      </c>
    </row>
    <row r="12" spans="1:6" x14ac:dyDescent="0.35">
      <c r="A12">
        <v>8</v>
      </c>
      <c r="B12" t="s">
        <v>4898</v>
      </c>
      <c r="C12" s="35">
        <f>INDEX(tKPI[DSO_Countback],MATCH(MAX(tKPI[AsOfDate]),tKPI[AsOfDate],0))</f>
        <v>63.07</v>
      </c>
      <c r="D12" s="35">
        <f>xlDSOCountback</f>
        <v>63.07106598105009</v>
      </c>
      <c r="E12" s="35">
        <f>C12-D12</f>
        <v>-1.0659810500897038E-3</v>
      </c>
      <c r="F12" s="28" t="str">
        <f>IF(ABS(E12)&lt;=0.005,"MATCH","DIFFERS")</f>
        <v>MATCH</v>
      </c>
    </row>
    <row r="13" spans="1:6" x14ac:dyDescent="0.35">
      <c r="A13">
        <v>9</v>
      </c>
      <c r="B13" t="s">
        <v>4899</v>
      </c>
      <c r="C13" s="35">
        <f>INDEX(tKPI[BPDSO_Countback],MATCH(MAX(tKPI[AsOfDate]),tKPI[AsOfDate],0))</f>
        <v>46.27</v>
      </c>
      <c r="D13" s="35">
        <f>xlBPDSO</f>
        <v>46.265766425876379</v>
      </c>
      <c r="E13" s="35">
        <f>C13-D13</f>
        <v>4.2335741236243507E-3</v>
      </c>
      <c r="F13" s="28" t="str">
        <f>IF(ABS(E13)&lt;=0.005,"MATCH","DIFFERS")</f>
        <v>MATCH</v>
      </c>
    </row>
    <row r="14" spans="1:6" x14ac:dyDescent="0.35">
      <c r="A14">
        <v>10</v>
      </c>
      <c r="B14" t="s">
        <v>4826</v>
      </c>
      <c r="C14" s="35">
        <f>INDEX(tKPI[AvgDaysDelinquent],MATCH(MAX(tKPI[AsOfDate]),tKPI[AsOfDate],0))</f>
        <v>16.8</v>
      </c>
      <c r="D14" s="35">
        <f>xlADD</f>
        <v>16.799999999999997</v>
      </c>
      <c r="E14" s="35">
        <f>C14-D14</f>
        <v>0</v>
      </c>
      <c r="F14" s="28" t="str">
        <f>IF(ABS(E14)&lt;=0.005,"MATCH","DIFFERS")</f>
        <v>MATCH</v>
      </c>
    </row>
    <row r="15" spans="1:6" x14ac:dyDescent="0.35">
      <c r="A15">
        <v>11</v>
      </c>
      <c r="B15" t="s">
        <v>4900</v>
      </c>
      <c r="C15" s="35">
        <f>INDEX(tBridge[GrantedDays],MATCH(MAX(tBridge[AsOfDate]),tBridge[AsOfDate],0))</f>
        <v>45.97</v>
      </c>
      <c r="D15" s="35">
        <f>Dashboard!$F$9</f>
        <v>45.96792343226452</v>
      </c>
      <c r="E15" s="35">
        <f>C15-D15</f>
        <v>2.0765677354788181E-3</v>
      </c>
      <c r="F15" s="28" t="str">
        <f>IF(ABS(E15)&lt;=0.005,"MATCH","DIFFERS")</f>
        <v>MATCH</v>
      </c>
    </row>
    <row r="16" spans="1:6" x14ac:dyDescent="0.35">
      <c r="A16">
        <v>12</v>
      </c>
      <c r="B16" t="s">
        <v>4901</v>
      </c>
      <c r="C16" s="35">
        <f>INDEX(tBridge[DisputeDays],MATCH(MAX(tBridge[AsOfDate]),tBridge[AsOfDate],0))</f>
        <v>0.88</v>
      </c>
      <c r="D16" s="35">
        <f>Dashboard!$F$10</f>
        <v>0.87932194483835546</v>
      </c>
      <c r="E16" s="35">
        <f>C16-D16</f>
        <v>6.7805516164454183E-4</v>
      </c>
      <c r="F16" s="28" t="str">
        <f>IF(ABS(E16)&lt;=0.005,"MATCH","DIFFERS")</f>
        <v>MATCH</v>
      </c>
    </row>
    <row r="17" spans="1:6" x14ac:dyDescent="0.35">
      <c r="A17">
        <v>13</v>
      </c>
      <c r="B17" t="s">
        <v>4902</v>
      </c>
      <c r="C17" s="35">
        <f>INDEX(tBridge[LatenessDays],MATCH(MAX(tBridge[AsOfDate]),tBridge[AsOfDate],0))</f>
        <v>14.74</v>
      </c>
      <c r="D17" s="35">
        <f>Dashboard!$F$11</f>
        <v>14.742491830340418</v>
      </c>
      <c r="E17" s="35">
        <f>C17-D17</f>
        <v>-2.4918303404177777E-3</v>
      </c>
      <c r="F17" s="28" t="str">
        <f>IF(ABS(E17)&lt;=0.005,"MATCH","DIFFERS")</f>
        <v>MATCH</v>
      </c>
    </row>
    <row r="18" spans="1:6" x14ac:dyDescent="0.35">
      <c r="A18">
        <v>14</v>
      </c>
      <c r="B18" t="s">
        <v>4903</v>
      </c>
      <c r="C18" s="35">
        <f>INDEX(tBridge[WeightedAvgTermsDays],MATCH(MAX(tBridge[AsOfDate]),tBridge[AsOfDate],0))</f>
        <v>46.68</v>
      </c>
      <c r="D18" s="35">
        <f>Dashboard!$F$14</f>
        <v>46.675073247796071</v>
      </c>
      <c r="E18" s="35">
        <f>C18-D18</f>
        <v>4.926752203928686E-3</v>
      </c>
      <c r="F18" s="28" t="str">
        <f>IF(ABS(E18)&lt;=0.005,"MATCH","DIFFERS")</f>
        <v>MATCH</v>
      </c>
    </row>
    <row r="19" spans="1:6" x14ac:dyDescent="0.35">
      <c r="A19">
        <v>15</v>
      </c>
      <c r="B19" t="s">
        <v>4904</v>
      </c>
      <c r="C19" s="35">
        <f>INDEX(tKPI[PctPastDue],MATCH(MAX(tKPI[AsOfDate]),tKPI[AsOfDate],0))</f>
        <v>25.36</v>
      </c>
      <c r="D19" s="35">
        <f>Dashboard!$B$24</f>
        <v>25.364313087685673</v>
      </c>
      <c r="E19" s="35">
        <f>C19-D19</f>
        <v>-4.3130876856736222E-3</v>
      </c>
      <c r="F19" s="28" t="str">
        <f>IF(ABS(E19)&lt;=0.005,"MATCH","DIFFERS")</f>
        <v>MATCH</v>
      </c>
    </row>
    <row r="20" spans="1:6" x14ac:dyDescent="0.35">
      <c r="A20">
        <v>16</v>
      </c>
      <c r="B20" t="s">
        <v>4905</v>
      </c>
      <c r="C20" s="35">
        <f>INDEX(tKPI[Pct90Plus],MATCH(MAX(tKPI[AsOfDate]),tKPI[AsOfDate],0))</f>
        <v>3.35</v>
      </c>
      <c r="D20" s="35">
        <f>Dashboard!$B$25</f>
        <v>3.3452664694602556</v>
      </c>
      <c r="E20" s="35">
        <f>C20-D20</f>
        <v>4.7335305397444571E-3</v>
      </c>
      <c r="F20" s="28" t="str">
        <f>IF(ABS(E20)&lt;=0.005,"MATCH","DIFFERS")</f>
        <v>MATCH</v>
      </c>
    </row>
    <row r="21" spans="1:6" x14ac:dyDescent="0.35">
      <c r="A21">
        <v>17</v>
      </c>
      <c r="B21" t="s">
        <v>4873</v>
      </c>
      <c r="C21" s="35">
        <f>INDEX(tKPI[UnappliedCash],MATCH(MAX(tKPI[AsOfDate]),tKPI[AsOfDate],0))</f>
        <v>419392.13</v>
      </c>
      <c r="D21" s="35">
        <f>SUM(tCashApp[UnappliedCash])</f>
        <v>419392.13000000006</v>
      </c>
      <c r="E21" s="35">
        <f>C21-D21</f>
        <v>0</v>
      </c>
      <c r="F21" s="28" t="str">
        <f>IF(ABS(E21)&lt;=0.005,"MATCH","DIFFERS")</f>
        <v>MATCH</v>
      </c>
    </row>
    <row r="22" spans="1:6" x14ac:dyDescent="0.35">
      <c r="A22">
        <v>18</v>
      </c>
      <c r="B22" t="s">
        <v>4833</v>
      </c>
      <c r="C22" s="35">
        <f>INDEX(tKPI[UnappliedCashPct],MATCH(MAX(tKPI[AsOfDate]),tKPI[AsOfDate],0))</f>
        <v>3.87</v>
      </c>
      <c r="D22" s="35">
        <f>Dashboard!$B$27</f>
        <v>3.8664052665838313</v>
      </c>
      <c r="E22" s="35">
        <f>C22-D22</f>
        <v>3.5947334161687827E-3</v>
      </c>
      <c r="F22" s="28" t="str">
        <f>IF(ABS(E22)&lt;=0.005,"MATCH","DIFFERS")</f>
        <v>MATCH</v>
      </c>
    </row>
    <row r="23" spans="1:6" x14ac:dyDescent="0.35">
      <c r="A23">
        <v>19</v>
      </c>
      <c r="B23" t="s">
        <v>4834</v>
      </c>
      <c r="C23" s="35">
        <f>INDEX(tBridge[BillingLagDays],MATCH(MAX(tBridge[AsOfDate]),tBridge[AsOfDate],0))</f>
        <v>1.78</v>
      </c>
      <c r="D23" s="35">
        <f>Dashboard!$B$28</f>
        <v>1.784124438708641</v>
      </c>
      <c r="E23" s="35">
        <f>C23-D23</f>
        <v>-4.1244387086409873E-3</v>
      </c>
      <c r="F23" s="28" t="str">
        <f>IF(ABS(E23)&lt;=0.01,"MATCH","DIFFERS")</f>
        <v>MATCH</v>
      </c>
    </row>
    <row r="24" spans="1:6" x14ac:dyDescent="0.35">
      <c r="A24">
        <v>20</v>
      </c>
      <c r="B24" t="s">
        <v>4906</v>
      </c>
      <c r="C24" s="35">
        <f>INDEX(tBridge[CashCycleDays],MATCH(MAX(tBridge[AsOfDate]),tBridge[AsOfDate],0))</f>
        <v>63.37</v>
      </c>
      <c r="D24" s="35">
        <f>Dashboard!$F$18</f>
        <v>63.373861646152015</v>
      </c>
      <c r="E24" s="35">
        <f>C24-D24</f>
        <v>-3.8616461520177836E-3</v>
      </c>
      <c r="F24" s="28" t="str">
        <f>IF(ABS(E24)&lt;=0.01,"MATCH","DIFFERS")</f>
        <v>MATCH</v>
      </c>
    </row>
    <row r="25" spans="1:6" x14ac:dyDescent="0.35">
      <c r="A25">
        <v>21</v>
      </c>
      <c r="B25" t="s">
        <v>4907</v>
      </c>
      <c r="C25" s="35">
        <f>INDEX(tKPI[EndAR],MATCH(MAX(tKPI[AsOfDate]),tKPI[AsOfDate],0))-INDEX(tKPI[UnappliedCash],MATCH(MAX(tKPI[AsOfDate]),tKPI[AsOfDate],0))</f>
        <v>10427689.359999999</v>
      </c>
      <c r="D25" s="35">
        <f>Dashboard!$C$8-SUM(tCashApp[UnappliedCash])</f>
        <v>10427689.360000003</v>
      </c>
      <c r="E25" s="35">
        <f>C25-D25</f>
        <v>0</v>
      </c>
      <c r="F25" s="28" t="str">
        <f>IF(ABS(E25)&lt;=0.005,"MATCH","DIFFERS")</f>
        <v>MATCH</v>
      </c>
    </row>
    <row r="26" spans="1:6" x14ac:dyDescent="0.35">
      <c r="A26">
        <v>22</v>
      </c>
      <c r="B26" t="str">
        <f>"Bucket: "&amp;INDEX(tBuckets[BucketName],1)</f>
        <v>Bucket: Current</v>
      </c>
      <c r="C26" s="35">
        <f>SUMIFS(tOpenItems[OpenBalance],tOpenItems[BucketKey],1)</f>
        <v>8095793.7799999882</v>
      </c>
      <c r="D26" s="35">
        <f>SUMIFS(tOpenItems[OpenBalance],tOpenItems[DaysPastDue],"&gt;="&amp;INDEX(tBuckets[MinDaysPastDue],1),tOpenItems[DaysPastDue],"&lt;="&amp;INDEX(tBuckets[MaxDaysPastDue],1))</f>
        <v>8095793.7799999882</v>
      </c>
      <c r="E26" s="35">
        <f>C26-D26</f>
        <v>0</v>
      </c>
      <c r="F26" s="28" t="str">
        <f>IF(ABS(E26)&lt;=0.005,"MATCH","DIFFERS")</f>
        <v>MATCH</v>
      </c>
    </row>
    <row r="27" spans="1:6" x14ac:dyDescent="0.35">
      <c r="A27">
        <v>23</v>
      </c>
      <c r="B27" t="str">
        <f>"Bucket: "&amp;INDEX(tBuckets[BucketName],2)</f>
        <v>Bucket: 1-30</v>
      </c>
      <c r="C27" s="35">
        <f>SUMIFS(tOpenItems[OpenBalance],tOpenItems[BucketKey],2)</f>
        <v>1839519.4099999992</v>
      </c>
      <c r="D27" s="35">
        <f>SUMIFS(tOpenItems[OpenBalance],tOpenItems[DaysPastDue],"&gt;="&amp;INDEX(tBuckets[MinDaysPastDue],2),tOpenItems[DaysPastDue],"&lt;="&amp;INDEX(tBuckets[MaxDaysPastDue],2))</f>
        <v>1839519.4099999992</v>
      </c>
      <c r="E27" s="35">
        <f>C27-D27</f>
        <v>0</v>
      </c>
      <c r="F27" s="28" t="str">
        <f>IF(ABS(E27)&lt;=0.005,"MATCH","DIFFERS")</f>
        <v>MATCH</v>
      </c>
    </row>
    <row r="28" spans="1:6" x14ac:dyDescent="0.35">
      <c r="A28">
        <v>24</v>
      </c>
      <c r="B28" t="str">
        <f>"Bucket: "&amp;INDEX(tBuckets[BucketName],3)</f>
        <v>Bucket: 31-60</v>
      </c>
      <c r="C28" s="35">
        <f>SUMIFS(tOpenItems[OpenBalance],tOpenItems[BucketKey],3)</f>
        <v>405938.12999999995</v>
      </c>
      <c r="D28" s="35">
        <f>SUMIFS(tOpenItems[OpenBalance],tOpenItems[DaysPastDue],"&gt;="&amp;INDEX(tBuckets[MinDaysPastDue],3),tOpenItems[DaysPastDue],"&lt;="&amp;INDEX(tBuckets[MaxDaysPastDue],3))</f>
        <v>405938.12999999995</v>
      </c>
      <c r="E28" s="35">
        <f>C28-D28</f>
        <v>0</v>
      </c>
      <c r="F28" s="28" t="str">
        <f>IF(ABS(E28)&lt;=0.005,"MATCH","DIFFERS")</f>
        <v>MATCH</v>
      </c>
    </row>
    <row r="29" spans="1:6" x14ac:dyDescent="0.35">
      <c r="A29">
        <v>25</v>
      </c>
      <c r="B29" t="str">
        <f>"Bucket: "&amp;INDEX(tBuckets[BucketName],4)</f>
        <v>Bucket: 61-90</v>
      </c>
      <c r="C29" s="35">
        <f>SUMIFS(tOpenItems[OpenBalance],tOpenItems[BucketKey],4)</f>
        <v>142966.39000000001</v>
      </c>
      <c r="D29" s="35">
        <f>SUMIFS(tOpenItems[OpenBalance],tOpenItems[DaysPastDue],"&gt;="&amp;INDEX(tBuckets[MinDaysPastDue],4),tOpenItems[DaysPastDue],"&lt;="&amp;INDEX(tBuckets[MaxDaysPastDue],4))</f>
        <v>142966.39000000001</v>
      </c>
      <c r="E29" s="35">
        <f>C29-D29</f>
        <v>0</v>
      </c>
      <c r="F29" s="28" t="str">
        <f>IF(ABS(E29)&lt;=0.005,"MATCH","DIFFERS")</f>
        <v>MATCH</v>
      </c>
    </row>
    <row r="30" spans="1:6" x14ac:dyDescent="0.35">
      <c r="A30">
        <v>26</v>
      </c>
      <c r="B30" t="str">
        <f>"Bucket: "&amp;INDEX(tBuckets[BucketName],5)</f>
        <v>Bucket: 90+</v>
      </c>
      <c r="C30" s="35">
        <f>SUMIFS(tOpenItems[OpenBalance],tOpenItems[BucketKey],5)</f>
        <v>362863.78</v>
      </c>
      <c r="D30" s="35">
        <f>SUMIFS(tOpenItems[OpenBalance],tOpenItems[DaysPastDue],"&gt;="&amp;INDEX(tBuckets[MinDaysPastDue],5),tOpenItems[DaysPastDue],"&lt;="&amp;INDEX(tBuckets[MaxDaysPastDue],5))</f>
        <v>362863.78</v>
      </c>
      <c r="E30" s="35">
        <f>C30-D30</f>
        <v>0</v>
      </c>
      <c r="F30" s="28" t="str">
        <f>IF(ABS(E30)&lt;=0.005,"MATCH","DIFFERS")</f>
        <v>MATCH</v>
      </c>
    </row>
    <row r="31" spans="1:6" x14ac:dyDescent="0.35">
      <c r="A31">
        <v>27</v>
      </c>
      <c r="B31" t="s">
        <v>4908</v>
      </c>
      <c r="C31" s="35">
        <f>SUM(tOpenItems[DaysPastDue])</f>
        <v>1906</v>
      </c>
      <c r="D31" s="35">
        <f>SUMPRODUCT(AsOfDate-tOpenItems[DueDate])</f>
        <v>1906</v>
      </c>
      <c r="E31" s="35">
        <f>C31-D31</f>
        <v>0</v>
      </c>
      <c r="F31" s="28" t="str">
        <f>IF(ABS(E31)&lt;=0.5,"MATCH","DIFFERS")</f>
        <v>MATCH</v>
      </c>
    </row>
    <row r="33" spans="2:3" x14ac:dyDescent="0.35">
      <c r="B33" s="3" t="s">
        <v>4909</v>
      </c>
      <c r="C33" s="3" t="str">
        <f>COUNTIF($F$5:$F$31,"MATCH")&amp;" of "&amp;COUNTA($F$5:$F$31)</f>
        <v>27 of 27</v>
      </c>
    </row>
    <row r="34" spans="2:3" x14ac:dyDescent="0.35">
      <c r="B34" s="3" t="str">
        <f>IF(COUNTIF($F$5:$F$31,"DIFFERS")=0,"All figures reconcile between the two independent implementations.","RECONCILIATION FAILED -- do not publish these figures.")</f>
        <v>All figures reconcile between the two independent implementations.</v>
      </c>
    </row>
  </sheetData>
  <mergeCells count="1">
    <mergeCell ref="A2:F2"/>
  </mergeCells>
  <conditionalFormatting sqref="F5:F31">
    <cfRule type="cellIs" dxfId="1" priority="1" stopIfTrue="1" operator="equal">
      <formula>"""MATCH"""</formula>
    </cfRule>
    <cfRule type="cellIs" dxfId="0" priority="2" stopIfTrue="1" operator="equal">
      <formula>"""DIFFERS"""</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18ABA-3A74-409E-98DF-3D5D73144BCD}">
  <dimension ref="A1:S299"/>
  <sheetViews>
    <sheetView workbookViewId="0"/>
  </sheetViews>
  <sheetFormatPr defaultRowHeight="14.5" x14ac:dyDescent="0.35"/>
  <cols>
    <col min="1" max="1" width="30.6328125" customWidth="1"/>
    <col min="2" max="2" width="11.453125" bestFit="1" customWidth="1"/>
    <col min="3" max="3" width="8.81640625" bestFit="1" customWidth="1"/>
    <col min="4" max="4" width="12.453125" bestFit="1" customWidth="1"/>
    <col min="5" max="5" width="8.81640625" bestFit="1" customWidth="1"/>
    <col min="6" max="6" width="12.453125" bestFit="1" customWidth="1"/>
    <col min="7" max="7" width="8.81640625" bestFit="1" customWidth="1"/>
  </cols>
  <sheetData>
    <row r="1" spans="1:19" ht="17" x14ac:dyDescent="0.4">
      <c r="A1" s="15" t="s">
        <v>4763</v>
      </c>
    </row>
    <row r="2" spans="1:19" x14ac:dyDescent="0.35">
      <c r="A2" s="2" t="s">
        <v>4764</v>
      </c>
    </row>
    <row r="3" spans="1:19" x14ac:dyDescent="0.35">
      <c r="N3" s="3" t="s">
        <v>4883</v>
      </c>
    </row>
    <row r="4" spans="1:19" x14ac:dyDescent="0.35">
      <c r="A4" s="3" t="s">
        <v>4765</v>
      </c>
      <c r="N4" s="3" t="s">
        <v>21</v>
      </c>
      <c r="O4" s="3" t="s">
        <v>22</v>
      </c>
      <c r="P4" s="3" t="s">
        <v>24</v>
      </c>
      <c r="Q4" s="3" t="s">
        <v>29</v>
      </c>
      <c r="R4" s="3" t="s">
        <v>27</v>
      </c>
      <c r="S4" s="3" t="s">
        <v>28</v>
      </c>
    </row>
    <row r="5" spans="1:19" ht="58" x14ac:dyDescent="0.35">
      <c r="A5" s="17" t="s">
        <v>4766</v>
      </c>
      <c r="B5" s="17" t="s">
        <v>4767</v>
      </c>
      <c r="C5" s="17" t="s">
        <v>4768</v>
      </c>
      <c r="D5" s="17" t="s">
        <v>4769</v>
      </c>
      <c r="E5" s="17" t="s">
        <v>4770</v>
      </c>
      <c r="F5" s="17" t="s">
        <v>4771</v>
      </c>
      <c r="G5" s="17" t="s">
        <v>4772</v>
      </c>
      <c r="H5" s="17" t="s">
        <v>4773</v>
      </c>
      <c r="I5" s="17" t="s">
        <v>4774</v>
      </c>
      <c r="N5" t="s">
        <v>104</v>
      </c>
      <c r="O5" t="s">
        <v>77</v>
      </c>
      <c r="P5" t="s">
        <v>92</v>
      </c>
      <c r="Q5" t="s">
        <v>82</v>
      </c>
      <c r="R5" t="s">
        <v>122</v>
      </c>
      <c r="S5" t="s">
        <v>107</v>
      </c>
    </row>
    <row r="6" spans="1:19" x14ac:dyDescent="0.35">
      <c r="A6" s="5">
        <f>_xlfn.AGGREGATE(14,6,tSales[MonthEndDate]/(tSales[MonthEndDate]&lt;=AsOfDate),1)</f>
        <v>46022</v>
      </c>
      <c r="B6" s="18">
        <f>SUMIFS(tSales[CreditSales],tSales[MonthEndDate],$A6)</f>
        <v>5648631.8600000003</v>
      </c>
      <c r="C6" s="18">
        <f>SUMIFS(tSales[DaysInMonth],tSales[MonthEndDate],$A6)</f>
        <v>31</v>
      </c>
      <c r="D6" s="18">
        <f>SUM($B$6:$B6)</f>
        <v>5648631.8600000003</v>
      </c>
      <c r="E6" s="18">
        <f>SUM($C$6:$C6)</f>
        <v>31</v>
      </c>
      <c r="F6" s="18">
        <f>$D6-$B6</f>
        <v>0</v>
      </c>
      <c r="G6" s="18">
        <f>$E6-$C6</f>
        <v>0</v>
      </c>
      <c r="H6">
        <f>IF($D6&gt;=Dashboard!$C$8,1,0)</f>
        <v>0</v>
      </c>
      <c r="I6">
        <f>IF($D6&gt;=Dashboard!$C$9,1,0)</f>
        <v>0</v>
      </c>
      <c r="N6" t="s">
        <v>126</v>
      </c>
      <c r="O6" t="s">
        <v>65</v>
      </c>
      <c r="P6" t="s">
        <v>67</v>
      </c>
      <c r="Q6" t="s">
        <v>95</v>
      </c>
      <c r="R6" t="s">
        <v>94</v>
      </c>
      <c r="S6" t="s">
        <v>81</v>
      </c>
    </row>
    <row r="7" spans="1:19" x14ac:dyDescent="0.35">
      <c r="A7" s="5">
        <f>_xlfn.AGGREGATE(14,6,tSales[MonthEndDate]/(tSales[MonthEndDate]&lt;=AsOfDate),2)</f>
        <v>45991</v>
      </c>
      <c r="B7" s="18">
        <f>SUMIFS(tSales[CreditSales],tSales[MonthEndDate],$A7)</f>
        <v>4809117.05</v>
      </c>
      <c r="C7" s="18">
        <f>SUMIFS(tSales[DaysInMonth],tSales[MonthEndDate],$A7)</f>
        <v>30</v>
      </c>
      <c r="D7" s="18">
        <f>SUM($B$6:$B7)</f>
        <v>10457748.91</v>
      </c>
      <c r="E7" s="18">
        <f>SUM($C$6:$C7)</f>
        <v>61</v>
      </c>
      <c r="F7" s="18">
        <f>$D7-$B7</f>
        <v>5648631.8600000003</v>
      </c>
      <c r="G7" s="18">
        <f>$E7-$C7</f>
        <v>31</v>
      </c>
      <c r="H7">
        <f>IF($D7&gt;=Dashboard!$C$8,1,0)</f>
        <v>0</v>
      </c>
      <c r="I7">
        <f>IF($D7&gt;=Dashboard!$C$9,1,0)</f>
        <v>1</v>
      </c>
      <c r="N7" t="s">
        <v>76</v>
      </c>
      <c r="O7" t="s">
        <v>99</v>
      </c>
      <c r="P7" t="s">
        <v>55</v>
      </c>
      <c r="Q7" t="s">
        <v>59</v>
      </c>
      <c r="R7" t="s">
        <v>87</v>
      </c>
      <c r="S7" t="s">
        <v>58</v>
      </c>
    </row>
    <row r="8" spans="1:19" x14ac:dyDescent="0.35">
      <c r="A8" s="5">
        <f>_xlfn.AGGREGATE(14,6,tSales[MonthEndDate]/(tSales[MonthEndDate]&lt;=AsOfDate),3)</f>
        <v>45961</v>
      </c>
      <c r="B8" s="18">
        <f>SUMIFS(tSales[CreditSales],tSales[MonthEndDate],$A8)</f>
        <v>5827583.5199999996</v>
      </c>
      <c r="C8" s="18">
        <f>SUMIFS(tSales[DaysInMonth],tSales[MonthEndDate],$A8)</f>
        <v>31</v>
      </c>
      <c r="D8" s="18">
        <f>SUM($B$6:$B8)</f>
        <v>16285332.43</v>
      </c>
      <c r="E8" s="18">
        <f>SUM($C$6:$C8)</f>
        <v>92</v>
      </c>
      <c r="F8" s="18">
        <f>$D8-$B8</f>
        <v>10457748.91</v>
      </c>
      <c r="G8" s="18">
        <f>$E8-$C8</f>
        <v>61</v>
      </c>
      <c r="H8">
        <f>IF($D8&gt;=Dashboard!$C$8,1,0)</f>
        <v>1</v>
      </c>
      <c r="I8">
        <f>IF($D8&gt;=Dashboard!$C$9,1,0)</f>
        <v>1</v>
      </c>
      <c r="N8" t="s">
        <v>52</v>
      </c>
      <c r="O8" t="s">
        <v>53</v>
      </c>
      <c r="Q8" t="s">
        <v>88</v>
      </c>
      <c r="R8" t="s">
        <v>57</v>
      </c>
    </row>
    <row r="9" spans="1:19" x14ac:dyDescent="0.35">
      <c r="A9" s="5">
        <f>_xlfn.AGGREGATE(14,6,tSales[MonthEndDate]/(tSales[MonthEndDate]&lt;=AsOfDate),4)</f>
        <v>45930</v>
      </c>
      <c r="B9" s="18">
        <f>SUMIFS(tSales[CreditSales],tSales[MonthEndDate],$A9)</f>
        <v>5729864.0499999998</v>
      </c>
      <c r="C9" s="18">
        <f>SUMIFS(tSales[DaysInMonth],tSales[MonthEndDate],$A9)</f>
        <v>30</v>
      </c>
      <c r="D9" s="18">
        <f>SUM($B$6:$B9)</f>
        <v>22015196.48</v>
      </c>
      <c r="E9" s="18">
        <f>SUM($C$6:$C9)</f>
        <v>122</v>
      </c>
      <c r="F9" s="18">
        <f>$D9-$B9</f>
        <v>16285332.43</v>
      </c>
      <c r="G9" s="18">
        <f>$E9-$C9</f>
        <v>92</v>
      </c>
      <c r="H9">
        <f>IF($D9&gt;=Dashboard!$C$8,1,0)</f>
        <v>1</v>
      </c>
      <c r="I9">
        <f>IF($D9&gt;=Dashboard!$C$9,1,0)</f>
        <v>1</v>
      </c>
      <c r="O9" t="s">
        <v>71</v>
      </c>
      <c r="Q9" t="s">
        <v>368</v>
      </c>
      <c r="R9" t="s">
        <v>80</v>
      </c>
    </row>
    <row r="10" spans="1:19" x14ac:dyDescent="0.35">
      <c r="A10" s="5">
        <f>_xlfn.AGGREGATE(14,6,tSales[MonthEndDate]/(tSales[MonthEndDate]&lt;=AsOfDate),5)</f>
        <v>45900</v>
      </c>
      <c r="B10" s="18">
        <f>SUMIFS(tSales[CreditSales],tSales[MonthEndDate],$A10)</f>
        <v>5449542.6900000004</v>
      </c>
      <c r="C10" s="18">
        <f>SUMIFS(tSales[DaysInMonth],tSales[MonthEndDate],$A10)</f>
        <v>31</v>
      </c>
      <c r="D10" s="18">
        <f>SUM($B$6:$B10)</f>
        <v>27464739.170000002</v>
      </c>
      <c r="E10" s="18">
        <f>SUM($C$6:$C10)</f>
        <v>153</v>
      </c>
      <c r="F10" s="18">
        <f>$D10-$B10</f>
        <v>22015196.48</v>
      </c>
      <c r="G10" s="18">
        <f>$E10-$C10</f>
        <v>122</v>
      </c>
      <c r="H10">
        <f>IF($D10&gt;=Dashboard!$C$8,1,0)</f>
        <v>1</v>
      </c>
      <c r="I10">
        <f>IF($D10&gt;=Dashboard!$C$9,1,0)</f>
        <v>1</v>
      </c>
      <c r="R10" t="s">
        <v>106</v>
      </c>
    </row>
    <row r="11" spans="1:19" x14ac:dyDescent="0.35">
      <c r="A11" s="5">
        <f>_xlfn.AGGREGATE(14,6,tSales[MonthEndDate]/(tSales[MonthEndDate]&lt;=AsOfDate),6)</f>
        <v>45869</v>
      </c>
      <c r="B11" s="18">
        <f>SUMIFS(tSales[CreditSales],tSales[MonthEndDate],$A11)</f>
        <v>6059943.3300000001</v>
      </c>
      <c r="C11" s="18">
        <f>SUMIFS(tSales[DaysInMonth],tSales[MonthEndDate],$A11)</f>
        <v>31</v>
      </c>
      <c r="D11" s="18">
        <f>SUM($B$6:$B11)</f>
        <v>33524682.5</v>
      </c>
      <c r="E11" s="18">
        <f>SUM($C$6:$C11)</f>
        <v>184</v>
      </c>
      <c r="F11" s="18">
        <f>$D11-$B11</f>
        <v>27464739.170000002</v>
      </c>
      <c r="G11" s="18">
        <f>$E11-$C11</f>
        <v>153</v>
      </c>
      <c r="H11">
        <f>IF($D11&gt;=Dashboard!$C$8,1,0)</f>
        <v>1</v>
      </c>
      <c r="I11">
        <f>IF($D11&gt;=Dashboard!$C$9,1,0)</f>
        <v>1</v>
      </c>
    </row>
    <row r="12" spans="1:19" x14ac:dyDescent="0.35">
      <c r="A12" s="5">
        <f>_xlfn.AGGREGATE(14,6,tSales[MonthEndDate]/(tSales[MonthEndDate]&lt;=AsOfDate),7)</f>
        <v>45838</v>
      </c>
      <c r="B12" s="18">
        <f>SUMIFS(tSales[CreditSales],tSales[MonthEndDate],$A12)</f>
        <v>5170792.3899999997</v>
      </c>
      <c r="C12" s="18">
        <f>SUMIFS(tSales[DaysInMonth],tSales[MonthEndDate],$A12)</f>
        <v>30</v>
      </c>
      <c r="D12" s="18">
        <f>SUM($B$6:$B12)</f>
        <v>38695474.890000001</v>
      </c>
      <c r="E12" s="18">
        <f>SUM($C$6:$C12)</f>
        <v>214</v>
      </c>
      <c r="F12" s="18">
        <f>$D12-$B12</f>
        <v>33524682.5</v>
      </c>
      <c r="G12" s="18">
        <f>$E12-$C12</f>
        <v>184</v>
      </c>
      <c r="H12">
        <f>IF($D12&gt;=Dashboard!$C$8,1,0)</f>
        <v>1</v>
      </c>
      <c r="I12">
        <f>IF($D12&gt;=Dashboard!$C$9,1,0)</f>
        <v>1</v>
      </c>
    </row>
    <row r="13" spans="1:19" x14ac:dyDescent="0.35">
      <c r="A13" s="5">
        <f>_xlfn.AGGREGATE(14,6,tSales[MonthEndDate]/(tSales[MonthEndDate]&lt;=AsOfDate),8)</f>
        <v>45808</v>
      </c>
      <c r="B13" s="18">
        <f>SUMIFS(tSales[CreditSales],tSales[MonthEndDate],$A13)</f>
        <v>5630994.2300000004</v>
      </c>
      <c r="C13" s="18">
        <f>SUMIFS(tSales[DaysInMonth],tSales[MonthEndDate],$A13)</f>
        <v>31</v>
      </c>
      <c r="D13" s="18">
        <f>SUM($B$6:$B13)</f>
        <v>44326469.120000005</v>
      </c>
      <c r="E13" s="18">
        <f>SUM($C$6:$C13)</f>
        <v>245</v>
      </c>
      <c r="F13" s="18">
        <f>$D13-$B13</f>
        <v>38695474.890000001</v>
      </c>
      <c r="G13" s="18">
        <f>$E13-$C13</f>
        <v>214</v>
      </c>
      <c r="H13">
        <f>IF($D13&gt;=Dashboard!$C$8,1,0)</f>
        <v>1</v>
      </c>
      <c r="I13">
        <f>IF($D13&gt;=Dashboard!$C$9,1,0)</f>
        <v>1</v>
      </c>
    </row>
    <row r="14" spans="1:19" x14ac:dyDescent="0.35">
      <c r="A14" s="5">
        <f>_xlfn.AGGREGATE(14,6,tSales[MonthEndDate]/(tSales[MonthEndDate]&lt;=AsOfDate),9)</f>
        <v>45777</v>
      </c>
      <c r="B14" s="18">
        <f>SUMIFS(tSales[CreditSales],tSales[MonthEndDate],$A14)</f>
        <v>5478895.8799999999</v>
      </c>
      <c r="C14" s="18">
        <f>SUMIFS(tSales[DaysInMonth],tSales[MonthEndDate],$A14)</f>
        <v>30</v>
      </c>
      <c r="D14" s="18">
        <f>SUM($B$6:$B14)</f>
        <v>49805365.000000007</v>
      </c>
      <c r="E14" s="18">
        <f>SUM($C$6:$C14)</f>
        <v>275</v>
      </c>
      <c r="F14" s="18">
        <f>$D14-$B14</f>
        <v>44326469.120000005</v>
      </c>
      <c r="G14" s="18">
        <f>$E14-$C14</f>
        <v>245</v>
      </c>
      <c r="H14">
        <f>IF($D14&gt;=Dashboard!$C$8,1,0)</f>
        <v>1</v>
      </c>
      <c r="I14">
        <f>IF($D14&gt;=Dashboard!$C$9,1,0)</f>
        <v>1</v>
      </c>
    </row>
    <row r="15" spans="1:19" x14ac:dyDescent="0.35">
      <c r="A15" s="5">
        <f>_xlfn.AGGREGATE(14,6,tSales[MonthEndDate]/(tSales[MonthEndDate]&lt;=AsOfDate),10)</f>
        <v>45747</v>
      </c>
      <c r="B15" s="18">
        <f>SUMIFS(tSales[CreditSales],tSales[MonthEndDate],$A15)</f>
        <v>5098561.43</v>
      </c>
      <c r="C15" s="18">
        <f>SUMIFS(tSales[DaysInMonth],tSales[MonthEndDate],$A15)</f>
        <v>31</v>
      </c>
      <c r="D15" s="18">
        <f>SUM($B$6:$B15)</f>
        <v>54903926.430000007</v>
      </c>
      <c r="E15" s="18">
        <f>SUM($C$6:$C15)</f>
        <v>306</v>
      </c>
      <c r="F15" s="18">
        <f>$D15-$B15</f>
        <v>49805365.000000007</v>
      </c>
      <c r="G15" s="18">
        <f>$E15-$C15</f>
        <v>275</v>
      </c>
      <c r="H15">
        <f>IF($D15&gt;=Dashboard!$C$8,1,0)</f>
        <v>1</v>
      </c>
      <c r="I15">
        <f>IF($D15&gt;=Dashboard!$C$9,1,0)</f>
        <v>1</v>
      </c>
    </row>
    <row r="16" spans="1:19" x14ac:dyDescent="0.35">
      <c r="A16" s="5">
        <f>_xlfn.AGGREGATE(14,6,tSales[MonthEndDate]/(tSales[MonthEndDate]&lt;=AsOfDate),11)</f>
        <v>45716</v>
      </c>
      <c r="B16" s="18">
        <f>SUMIFS(tSales[CreditSales],tSales[MonthEndDate],$A16)</f>
        <v>4316123.17</v>
      </c>
      <c r="C16" s="18">
        <f>SUMIFS(tSales[DaysInMonth],tSales[MonthEndDate],$A16)</f>
        <v>28</v>
      </c>
      <c r="D16" s="18">
        <f>SUM($B$6:$B16)</f>
        <v>59220049.600000009</v>
      </c>
      <c r="E16" s="18">
        <f>SUM($C$6:$C16)</f>
        <v>334</v>
      </c>
      <c r="F16" s="18">
        <f>$D16-$B16</f>
        <v>54903926.430000007</v>
      </c>
      <c r="G16" s="18">
        <f>$E16-$C16</f>
        <v>306</v>
      </c>
      <c r="H16">
        <f>IF($D16&gt;=Dashboard!$C$8,1,0)</f>
        <v>1</v>
      </c>
      <c r="I16">
        <f>IF($D16&gt;=Dashboard!$C$9,1,0)</f>
        <v>1</v>
      </c>
    </row>
    <row r="17" spans="1:9" x14ac:dyDescent="0.35">
      <c r="A17" s="5">
        <f>_xlfn.AGGREGATE(14,6,tSales[MonthEndDate]/(tSales[MonthEndDate]&lt;=AsOfDate),12)</f>
        <v>45688</v>
      </c>
      <c r="B17" s="18">
        <f>SUMIFS(tSales[CreditSales],tSales[MonthEndDate],$A17)</f>
        <v>5063139.83</v>
      </c>
      <c r="C17" s="18">
        <f>SUMIFS(tSales[DaysInMonth],tSales[MonthEndDate],$A17)</f>
        <v>31</v>
      </c>
      <c r="D17" s="18">
        <f>SUM($B$6:$B17)</f>
        <v>64283189.430000007</v>
      </c>
      <c r="E17" s="18">
        <f>SUM($C$6:$C17)</f>
        <v>365</v>
      </c>
      <c r="F17" s="18">
        <f>$D17-$B17</f>
        <v>59220049.600000009</v>
      </c>
      <c r="G17" s="18">
        <f>$E17-$C17</f>
        <v>334</v>
      </c>
      <c r="H17">
        <f>IF($D17&gt;=Dashboard!$C$8,1,0)</f>
        <v>1</v>
      </c>
      <c r="I17">
        <f>IF($D17&gt;=Dashboard!$C$9,1,0)</f>
        <v>1</v>
      </c>
    </row>
    <row r="19" spans="1:9" x14ac:dyDescent="0.35">
      <c r="A19" s="3" t="s">
        <v>4775</v>
      </c>
      <c r="C19" s="20">
        <f>MATCH(1,$H$6:$H$17,0)</f>
        <v>3</v>
      </c>
    </row>
    <row r="20" spans="1:9" x14ac:dyDescent="0.35">
      <c r="A20" s="3" t="s">
        <v>4776</v>
      </c>
      <c r="C20" s="19">
        <f>INDEX($G$6:$G$17,$C$19)+(Dashboard!$C$8-INDEX($F$6:$F$17,$C$19))/INDEX($B$6:$B$17,$C$19)*INDEX($C$6:$C$17,$C$19)</f>
        <v>63.07106598105009</v>
      </c>
    </row>
    <row r="21" spans="1:9" x14ac:dyDescent="0.35">
      <c r="A21" s="3" t="s">
        <v>4777</v>
      </c>
      <c r="C21" s="20">
        <f>MATCH(1,$I$6:$I$17,0)</f>
        <v>2</v>
      </c>
    </row>
    <row r="22" spans="1:9" x14ac:dyDescent="0.35">
      <c r="A22" s="3" t="s">
        <v>4778</v>
      </c>
      <c r="C22" s="19">
        <f>INDEX($G$6:$G$17,$C$21)+(Dashboard!$C$9-INDEX($F$6:$F$17,$C$21))/INDEX($B$6:$B$17,$C$21)*INDEX($C$6:$C$17,$C$21)</f>
        <v>46.265766425876379</v>
      </c>
    </row>
    <row r="23" spans="1:9" x14ac:dyDescent="0.35">
      <c r="A23" s="3" t="s">
        <v>4779</v>
      </c>
      <c r="C23" s="19">
        <f>ROUND(C20,2)-ROUND(C22,2)</f>
        <v>16.799999999999997</v>
      </c>
    </row>
    <row r="26" spans="1:9" x14ac:dyDescent="0.35">
      <c r="A26" s="3" t="s">
        <v>4780</v>
      </c>
    </row>
    <row r="27" spans="1:9" x14ac:dyDescent="0.35">
      <c r="A27" s="16" t="s">
        <v>4781</v>
      </c>
      <c r="B27" s="16" t="s">
        <v>4782</v>
      </c>
      <c r="C27" s="16" t="s">
        <v>4783</v>
      </c>
    </row>
    <row r="28" spans="1:9" x14ac:dyDescent="0.35">
      <c r="A28">
        <v>1</v>
      </c>
      <c r="B28">
        <f>IF(AND(OR('Priority Queue'!$C$4="(All)",INDEX(tQueue[CollectorName],1)='Priority Queue'!$C$4),OR('Priority Queue'!$C$5="(All)",INDEX(tQueue[ActionCode],1)='Priority Queue'!$C$5),OR('Priority Queue'!$C$6="No",INDEX(tQueue[IsTodaysWorklist],1)=1),INDEX(tQueue[PastDueBalance],1)&gt;='Priority Queue'!$C$7),1,0)</f>
        <v>1</v>
      </c>
      <c r="C28">
        <f>IF($B28=0,"",SUMPRODUCT(($B$28:$B$299=1)*(tQueue[PriorityRank]&lt;INDEX(tQueue[PriorityRank],1)))+1)</f>
        <v>1</v>
      </c>
    </row>
    <row r="29" spans="1:9" x14ac:dyDescent="0.35">
      <c r="A29">
        <v>2</v>
      </c>
      <c r="B29">
        <f>IF(AND(OR('Priority Queue'!$C$4="(All)",INDEX(tQueue[CollectorName],2)='Priority Queue'!$C$4),OR('Priority Queue'!$C$5="(All)",INDEX(tQueue[ActionCode],2)='Priority Queue'!$C$5),OR('Priority Queue'!$C$6="No",INDEX(tQueue[IsTodaysWorklist],2)=1),INDEX(tQueue[PastDueBalance],2)&gt;='Priority Queue'!$C$7),1,0)</f>
        <v>1</v>
      </c>
      <c r="C29">
        <f>IF($B29=0,"",SUMPRODUCT(($B$28:$B$299=1)*(tQueue[PriorityRank]&lt;INDEX(tQueue[PriorityRank],2)))+1)</f>
        <v>2</v>
      </c>
    </row>
    <row r="30" spans="1:9" x14ac:dyDescent="0.35">
      <c r="A30">
        <v>3</v>
      </c>
      <c r="B30">
        <f>IF(AND(OR('Priority Queue'!$C$4="(All)",INDEX(tQueue[CollectorName],3)='Priority Queue'!$C$4),OR('Priority Queue'!$C$5="(All)",INDEX(tQueue[ActionCode],3)='Priority Queue'!$C$5),OR('Priority Queue'!$C$6="No",INDEX(tQueue[IsTodaysWorklist],3)=1),INDEX(tQueue[PastDueBalance],3)&gt;='Priority Queue'!$C$7),1,0)</f>
        <v>1</v>
      </c>
      <c r="C30">
        <f>IF($B30=0,"",SUMPRODUCT(($B$28:$B$299=1)*(tQueue[PriorityRank]&lt;INDEX(tQueue[PriorityRank],3)))+1)</f>
        <v>3</v>
      </c>
    </row>
    <row r="31" spans="1:9" x14ac:dyDescent="0.35">
      <c r="A31">
        <v>4</v>
      </c>
      <c r="B31">
        <f>IF(AND(OR('Priority Queue'!$C$4="(All)",INDEX(tQueue[CollectorName],4)='Priority Queue'!$C$4),OR('Priority Queue'!$C$5="(All)",INDEX(tQueue[ActionCode],4)='Priority Queue'!$C$5),OR('Priority Queue'!$C$6="No",INDEX(tQueue[IsTodaysWorklist],4)=1),INDEX(tQueue[PastDueBalance],4)&gt;='Priority Queue'!$C$7),1,0)</f>
        <v>1</v>
      </c>
      <c r="C31">
        <f>IF($B31=0,"",SUMPRODUCT(($B$28:$B$299=1)*(tQueue[PriorityRank]&lt;INDEX(tQueue[PriorityRank],4)))+1)</f>
        <v>4</v>
      </c>
    </row>
    <row r="32" spans="1:9" x14ac:dyDescent="0.35">
      <c r="A32">
        <v>5</v>
      </c>
      <c r="B32">
        <f>IF(AND(OR('Priority Queue'!$C$4="(All)",INDEX(tQueue[CollectorName],5)='Priority Queue'!$C$4),OR('Priority Queue'!$C$5="(All)",INDEX(tQueue[ActionCode],5)='Priority Queue'!$C$5),OR('Priority Queue'!$C$6="No",INDEX(tQueue[IsTodaysWorklist],5)=1),INDEX(tQueue[PastDueBalance],5)&gt;='Priority Queue'!$C$7),1,0)</f>
        <v>1</v>
      </c>
      <c r="C32">
        <f>IF($B32=0,"",SUMPRODUCT(($B$28:$B$299=1)*(tQueue[PriorityRank]&lt;INDEX(tQueue[PriorityRank],5)))+1)</f>
        <v>5</v>
      </c>
    </row>
    <row r="33" spans="1:3" x14ac:dyDescent="0.35">
      <c r="A33">
        <v>6</v>
      </c>
      <c r="B33">
        <f>IF(AND(OR('Priority Queue'!$C$4="(All)",INDEX(tQueue[CollectorName],6)='Priority Queue'!$C$4),OR('Priority Queue'!$C$5="(All)",INDEX(tQueue[ActionCode],6)='Priority Queue'!$C$5),OR('Priority Queue'!$C$6="No",INDEX(tQueue[IsTodaysWorklist],6)=1),INDEX(tQueue[PastDueBalance],6)&gt;='Priority Queue'!$C$7),1,0)</f>
        <v>1</v>
      </c>
      <c r="C33">
        <f>IF($B33=0,"",SUMPRODUCT(($B$28:$B$299=1)*(tQueue[PriorityRank]&lt;INDEX(tQueue[PriorityRank],6)))+1)</f>
        <v>6</v>
      </c>
    </row>
    <row r="34" spans="1:3" x14ac:dyDescent="0.35">
      <c r="A34">
        <v>7</v>
      </c>
      <c r="B34">
        <f>IF(AND(OR('Priority Queue'!$C$4="(All)",INDEX(tQueue[CollectorName],7)='Priority Queue'!$C$4),OR('Priority Queue'!$C$5="(All)",INDEX(tQueue[ActionCode],7)='Priority Queue'!$C$5),OR('Priority Queue'!$C$6="No",INDEX(tQueue[IsTodaysWorklist],7)=1),INDEX(tQueue[PastDueBalance],7)&gt;='Priority Queue'!$C$7),1,0)</f>
        <v>1</v>
      </c>
      <c r="C34">
        <f>IF($B34=0,"",SUMPRODUCT(($B$28:$B$299=1)*(tQueue[PriorityRank]&lt;INDEX(tQueue[PriorityRank],7)))+1)</f>
        <v>7</v>
      </c>
    </row>
    <row r="35" spans="1:3" x14ac:dyDescent="0.35">
      <c r="A35">
        <v>8</v>
      </c>
      <c r="B35">
        <f>IF(AND(OR('Priority Queue'!$C$4="(All)",INDEX(tQueue[CollectorName],8)='Priority Queue'!$C$4),OR('Priority Queue'!$C$5="(All)",INDEX(tQueue[ActionCode],8)='Priority Queue'!$C$5),OR('Priority Queue'!$C$6="No",INDEX(tQueue[IsTodaysWorklist],8)=1),INDEX(tQueue[PastDueBalance],8)&gt;='Priority Queue'!$C$7),1,0)</f>
        <v>1</v>
      </c>
      <c r="C35">
        <f>IF($B35=0,"",SUMPRODUCT(($B$28:$B$299=1)*(tQueue[PriorityRank]&lt;INDEX(tQueue[PriorityRank],8)))+1)</f>
        <v>8</v>
      </c>
    </row>
    <row r="36" spans="1:3" x14ac:dyDescent="0.35">
      <c r="A36">
        <v>9</v>
      </c>
      <c r="B36">
        <f>IF(AND(OR('Priority Queue'!$C$4="(All)",INDEX(tQueue[CollectorName],9)='Priority Queue'!$C$4),OR('Priority Queue'!$C$5="(All)",INDEX(tQueue[ActionCode],9)='Priority Queue'!$C$5),OR('Priority Queue'!$C$6="No",INDEX(tQueue[IsTodaysWorklist],9)=1),INDEX(tQueue[PastDueBalance],9)&gt;='Priority Queue'!$C$7),1,0)</f>
        <v>1</v>
      </c>
      <c r="C36">
        <f>IF($B36=0,"",SUMPRODUCT(($B$28:$B$299=1)*(tQueue[PriorityRank]&lt;INDEX(tQueue[PriorityRank],9)))+1)</f>
        <v>9</v>
      </c>
    </row>
    <row r="37" spans="1:3" x14ac:dyDescent="0.35">
      <c r="A37">
        <v>10</v>
      </c>
      <c r="B37">
        <f>IF(AND(OR('Priority Queue'!$C$4="(All)",INDEX(tQueue[CollectorName],10)='Priority Queue'!$C$4),OR('Priority Queue'!$C$5="(All)",INDEX(tQueue[ActionCode],10)='Priority Queue'!$C$5),OR('Priority Queue'!$C$6="No",INDEX(tQueue[IsTodaysWorklist],10)=1),INDEX(tQueue[PastDueBalance],10)&gt;='Priority Queue'!$C$7),1,0)</f>
        <v>1</v>
      </c>
      <c r="C37">
        <f>IF($B37=0,"",SUMPRODUCT(($B$28:$B$299=1)*(tQueue[PriorityRank]&lt;INDEX(tQueue[PriorityRank],10)))+1)</f>
        <v>10</v>
      </c>
    </row>
    <row r="38" spans="1:3" x14ac:dyDescent="0.35">
      <c r="A38">
        <v>11</v>
      </c>
      <c r="B38">
        <f>IF(AND(OR('Priority Queue'!$C$4="(All)",INDEX(tQueue[CollectorName],11)='Priority Queue'!$C$4),OR('Priority Queue'!$C$5="(All)",INDEX(tQueue[ActionCode],11)='Priority Queue'!$C$5),OR('Priority Queue'!$C$6="No",INDEX(tQueue[IsTodaysWorklist],11)=1),INDEX(tQueue[PastDueBalance],11)&gt;='Priority Queue'!$C$7),1,0)</f>
        <v>1</v>
      </c>
      <c r="C38">
        <f>IF($B38=0,"",SUMPRODUCT(($B$28:$B$299=1)*(tQueue[PriorityRank]&lt;INDEX(tQueue[PriorityRank],11)))+1)</f>
        <v>11</v>
      </c>
    </row>
    <row r="39" spans="1:3" x14ac:dyDescent="0.35">
      <c r="A39">
        <v>12</v>
      </c>
      <c r="B39">
        <f>IF(AND(OR('Priority Queue'!$C$4="(All)",INDEX(tQueue[CollectorName],12)='Priority Queue'!$C$4),OR('Priority Queue'!$C$5="(All)",INDEX(tQueue[ActionCode],12)='Priority Queue'!$C$5),OR('Priority Queue'!$C$6="No",INDEX(tQueue[IsTodaysWorklist],12)=1),INDEX(tQueue[PastDueBalance],12)&gt;='Priority Queue'!$C$7),1,0)</f>
        <v>1</v>
      </c>
      <c r="C39">
        <f>IF($B39=0,"",SUMPRODUCT(($B$28:$B$299=1)*(tQueue[PriorityRank]&lt;INDEX(tQueue[PriorityRank],12)))+1)</f>
        <v>12</v>
      </c>
    </row>
    <row r="40" spans="1:3" x14ac:dyDescent="0.35">
      <c r="A40">
        <v>13</v>
      </c>
      <c r="B40">
        <f>IF(AND(OR('Priority Queue'!$C$4="(All)",INDEX(tQueue[CollectorName],13)='Priority Queue'!$C$4),OR('Priority Queue'!$C$5="(All)",INDEX(tQueue[ActionCode],13)='Priority Queue'!$C$5),OR('Priority Queue'!$C$6="No",INDEX(tQueue[IsTodaysWorklist],13)=1),INDEX(tQueue[PastDueBalance],13)&gt;='Priority Queue'!$C$7),1,0)</f>
        <v>1</v>
      </c>
      <c r="C40">
        <f>IF($B40=0,"",SUMPRODUCT(($B$28:$B$299=1)*(tQueue[PriorityRank]&lt;INDEX(tQueue[PriorityRank],13)))+1)</f>
        <v>13</v>
      </c>
    </row>
    <row r="41" spans="1:3" x14ac:dyDescent="0.35">
      <c r="A41">
        <v>14</v>
      </c>
      <c r="B41">
        <f>IF(AND(OR('Priority Queue'!$C$4="(All)",INDEX(tQueue[CollectorName],14)='Priority Queue'!$C$4),OR('Priority Queue'!$C$5="(All)",INDEX(tQueue[ActionCode],14)='Priority Queue'!$C$5),OR('Priority Queue'!$C$6="No",INDEX(tQueue[IsTodaysWorklist],14)=1),INDEX(tQueue[PastDueBalance],14)&gt;='Priority Queue'!$C$7),1,0)</f>
        <v>1</v>
      </c>
      <c r="C41">
        <f>IF($B41=0,"",SUMPRODUCT(($B$28:$B$299=1)*(tQueue[PriorityRank]&lt;INDEX(tQueue[PriorityRank],14)))+1)</f>
        <v>14</v>
      </c>
    </row>
    <row r="42" spans="1:3" x14ac:dyDescent="0.35">
      <c r="A42">
        <v>15</v>
      </c>
      <c r="B42">
        <f>IF(AND(OR('Priority Queue'!$C$4="(All)",INDEX(tQueue[CollectorName],15)='Priority Queue'!$C$4),OR('Priority Queue'!$C$5="(All)",INDEX(tQueue[ActionCode],15)='Priority Queue'!$C$5),OR('Priority Queue'!$C$6="No",INDEX(tQueue[IsTodaysWorklist],15)=1),INDEX(tQueue[PastDueBalance],15)&gt;='Priority Queue'!$C$7),1,0)</f>
        <v>1</v>
      </c>
      <c r="C42">
        <f>IF($B42=0,"",SUMPRODUCT(($B$28:$B$299=1)*(tQueue[PriorityRank]&lt;INDEX(tQueue[PriorityRank],15)))+1)</f>
        <v>15</v>
      </c>
    </row>
    <row r="43" spans="1:3" x14ac:dyDescent="0.35">
      <c r="A43">
        <v>16</v>
      </c>
      <c r="B43">
        <f>IF(AND(OR('Priority Queue'!$C$4="(All)",INDEX(tQueue[CollectorName],16)='Priority Queue'!$C$4),OR('Priority Queue'!$C$5="(All)",INDEX(tQueue[ActionCode],16)='Priority Queue'!$C$5),OR('Priority Queue'!$C$6="No",INDEX(tQueue[IsTodaysWorklist],16)=1),INDEX(tQueue[PastDueBalance],16)&gt;='Priority Queue'!$C$7),1,0)</f>
        <v>1</v>
      </c>
      <c r="C43">
        <f>IF($B43=0,"",SUMPRODUCT(($B$28:$B$299=1)*(tQueue[PriorityRank]&lt;INDEX(tQueue[PriorityRank],16)))+1)</f>
        <v>16</v>
      </c>
    </row>
    <row r="44" spans="1:3" x14ac:dyDescent="0.35">
      <c r="A44">
        <v>17</v>
      </c>
      <c r="B44">
        <f>IF(AND(OR('Priority Queue'!$C$4="(All)",INDEX(tQueue[CollectorName],17)='Priority Queue'!$C$4),OR('Priority Queue'!$C$5="(All)",INDEX(tQueue[ActionCode],17)='Priority Queue'!$C$5),OR('Priority Queue'!$C$6="No",INDEX(tQueue[IsTodaysWorklist],17)=1),INDEX(tQueue[PastDueBalance],17)&gt;='Priority Queue'!$C$7),1,0)</f>
        <v>1</v>
      </c>
      <c r="C44">
        <f>IF($B44=0,"",SUMPRODUCT(($B$28:$B$299=1)*(tQueue[PriorityRank]&lt;INDEX(tQueue[PriorityRank],17)))+1)</f>
        <v>17</v>
      </c>
    </row>
    <row r="45" spans="1:3" x14ac:dyDescent="0.35">
      <c r="A45">
        <v>18</v>
      </c>
      <c r="B45">
        <f>IF(AND(OR('Priority Queue'!$C$4="(All)",INDEX(tQueue[CollectorName],18)='Priority Queue'!$C$4),OR('Priority Queue'!$C$5="(All)",INDEX(tQueue[ActionCode],18)='Priority Queue'!$C$5),OR('Priority Queue'!$C$6="No",INDEX(tQueue[IsTodaysWorklist],18)=1),INDEX(tQueue[PastDueBalance],18)&gt;='Priority Queue'!$C$7),1,0)</f>
        <v>1</v>
      </c>
      <c r="C45">
        <f>IF($B45=0,"",SUMPRODUCT(($B$28:$B$299=1)*(tQueue[PriorityRank]&lt;INDEX(tQueue[PriorityRank],18)))+1)</f>
        <v>18</v>
      </c>
    </row>
    <row r="46" spans="1:3" x14ac:dyDescent="0.35">
      <c r="A46">
        <v>19</v>
      </c>
      <c r="B46">
        <f>IF(AND(OR('Priority Queue'!$C$4="(All)",INDEX(tQueue[CollectorName],19)='Priority Queue'!$C$4),OR('Priority Queue'!$C$5="(All)",INDEX(tQueue[ActionCode],19)='Priority Queue'!$C$5),OR('Priority Queue'!$C$6="No",INDEX(tQueue[IsTodaysWorklist],19)=1),INDEX(tQueue[PastDueBalance],19)&gt;='Priority Queue'!$C$7),1,0)</f>
        <v>1</v>
      </c>
      <c r="C46">
        <f>IF($B46=0,"",SUMPRODUCT(($B$28:$B$299=1)*(tQueue[PriorityRank]&lt;INDEX(tQueue[PriorityRank],19)))+1)</f>
        <v>19</v>
      </c>
    </row>
    <row r="47" spans="1:3" x14ac:dyDescent="0.35">
      <c r="A47">
        <v>20</v>
      </c>
      <c r="B47">
        <f>IF(AND(OR('Priority Queue'!$C$4="(All)",INDEX(tQueue[CollectorName],20)='Priority Queue'!$C$4),OR('Priority Queue'!$C$5="(All)",INDEX(tQueue[ActionCode],20)='Priority Queue'!$C$5),OR('Priority Queue'!$C$6="No",INDEX(tQueue[IsTodaysWorklist],20)=1),INDEX(tQueue[PastDueBalance],20)&gt;='Priority Queue'!$C$7),1,0)</f>
        <v>1</v>
      </c>
      <c r="C47">
        <f>IF($B47=0,"",SUMPRODUCT(($B$28:$B$299=1)*(tQueue[PriorityRank]&lt;INDEX(tQueue[PriorityRank],20)))+1)</f>
        <v>20</v>
      </c>
    </row>
    <row r="48" spans="1:3" x14ac:dyDescent="0.35">
      <c r="A48">
        <v>21</v>
      </c>
      <c r="B48">
        <f>IF(AND(OR('Priority Queue'!$C$4="(All)",INDEX(tQueue[CollectorName],21)='Priority Queue'!$C$4),OR('Priority Queue'!$C$5="(All)",INDEX(tQueue[ActionCode],21)='Priority Queue'!$C$5),OR('Priority Queue'!$C$6="No",INDEX(tQueue[IsTodaysWorklist],21)=1),INDEX(tQueue[PastDueBalance],21)&gt;='Priority Queue'!$C$7),1,0)</f>
        <v>1</v>
      </c>
      <c r="C48">
        <f>IF($B48=0,"",SUMPRODUCT(($B$28:$B$299=1)*(tQueue[PriorityRank]&lt;INDEX(tQueue[PriorityRank],21)))+1)</f>
        <v>21</v>
      </c>
    </row>
    <row r="49" spans="1:3" x14ac:dyDescent="0.35">
      <c r="A49">
        <v>22</v>
      </c>
      <c r="B49">
        <f>IF(AND(OR('Priority Queue'!$C$4="(All)",INDEX(tQueue[CollectorName],22)='Priority Queue'!$C$4),OR('Priority Queue'!$C$5="(All)",INDEX(tQueue[ActionCode],22)='Priority Queue'!$C$5),OR('Priority Queue'!$C$6="No",INDEX(tQueue[IsTodaysWorklist],22)=1),INDEX(tQueue[PastDueBalance],22)&gt;='Priority Queue'!$C$7),1,0)</f>
        <v>1</v>
      </c>
      <c r="C49">
        <f>IF($B49=0,"",SUMPRODUCT(($B$28:$B$299=1)*(tQueue[PriorityRank]&lt;INDEX(tQueue[PriorityRank],22)))+1)</f>
        <v>22</v>
      </c>
    </row>
    <row r="50" spans="1:3" x14ac:dyDescent="0.35">
      <c r="A50">
        <v>23</v>
      </c>
      <c r="B50">
        <f>IF(AND(OR('Priority Queue'!$C$4="(All)",INDEX(tQueue[CollectorName],23)='Priority Queue'!$C$4),OR('Priority Queue'!$C$5="(All)",INDEX(tQueue[ActionCode],23)='Priority Queue'!$C$5),OR('Priority Queue'!$C$6="No",INDEX(tQueue[IsTodaysWorklist],23)=1),INDEX(tQueue[PastDueBalance],23)&gt;='Priority Queue'!$C$7),1,0)</f>
        <v>1</v>
      </c>
      <c r="C50">
        <f>IF($B50=0,"",SUMPRODUCT(($B$28:$B$299=1)*(tQueue[PriorityRank]&lt;INDEX(tQueue[PriorityRank],23)))+1)</f>
        <v>23</v>
      </c>
    </row>
    <row r="51" spans="1:3" x14ac:dyDescent="0.35">
      <c r="A51">
        <v>24</v>
      </c>
      <c r="B51">
        <f>IF(AND(OR('Priority Queue'!$C$4="(All)",INDEX(tQueue[CollectorName],24)='Priority Queue'!$C$4),OR('Priority Queue'!$C$5="(All)",INDEX(tQueue[ActionCode],24)='Priority Queue'!$C$5),OR('Priority Queue'!$C$6="No",INDEX(tQueue[IsTodaysWorklist],24)=1),INDEX(tQueue[PastDueBalance],24)&gt;='Priority Queue'!$C$7),1,0)</f>
        <v>1</v>
      </c>
      <c r="C51">
        <f>IF($B51=0,"",SUMPRODUCT(($B$28:$B$299=1)*(tQueue[PriorityRank]&lt;INDEX(tQueue[PriorityRank],24)))+1)</f>
        <v>24</v>
      </c>
    </row>
    <row r="52" spans="1:3" x14ac:dyDescent="0.35">
      <c r="A52">
        <v>25</v>
      </c>
      <c r="B52">
        <f>IF(AND(OR('Priority Queue'!$C$4="(All)",INDEX(tQueue[CollectorName],25)='Priority Queue'!$C$4),OR('Priority Queue'!$C$5="(All)",INDEX(tQueue[ActionCode],25)='Priority Queue'!$C$5),OR('Priority Queue'!$C$6="No",INDEX(tQueue[IsTodaysWorklist],25)=1),INDEX(tQueue[PastDueBalance],25)&gt;='Priority Queue'!$C$7),1,0)</f>
        <v>1</v>
      </c>
      <c r="C52">
        <f>IF($B52=0,"",SUMPRODUCT(($B$28:$B$299=1)*(tQueue[PriorityRank]&lt;INDEX(tQueue[PriorityRank],25)))+1)</f>
        <v>25</v>
      </c>
    </row>
    <row r="53" spans="1:3" x14ac:dyDescent="0.35">
      <c r="A53">
        <v>26</v>
      </c>
      <c r="B53">
        <f>IF(AND(OR('Priority Queue'!$C$4="(All)",INDEX(tQueue[CollectorName],26)='Priority Queue'!$C$4),OR('Priority Queue'!$C$5="(All)",INDEX(tQueue[ActionCode],26)='Priority Queue'!$C$5),OR('Priority Queue'!$C$6="No",INDEX(tQueue[IsTodaysWorklist],26)=1),INDEX(tQueue[PastDueBalance],26)&gt;='Priority Queue'!$C$7),1,0)</f>
        <v>1</v>
      </c>
      <c r="C53">
        <f>IF($B53=0,"",SUMPRODUCT(($B$28:$B$299=1)*(tQueue[PriorityRank]&lt;INDEX(tQueue[PriorityRank],26)))+1)</f>
        <v>26</v>
      </c>
    </row>
    <row r="54" spans="1:3" x14ac:dyDescent="0.35">
      <c r="A54">
        <v>27</v>
      </c>
      <c r="B54">
        <f>IF(AND(OR('Priority Queue'!$C$4="(All)",INDEX(tQueue[CollectorName],27)='Priority Queue'!$C$4),OR('Priority Queue'!$C$5="(All)",INDEX(tQueue[ActionCode],27)='Priority Queue'!$C$5),OR('Priority Queue'!$C$6="No",INDEX(tQueue[IsTodaysWorklist],27)=1),INDEX(tQueue[PastDueBalance],27)&gt;='Priority Queue'!$C$7),1,0)</f>
        <v>1</v>
      </c>
      <c r="C54">
        <f>IF($B54=0,"",SUMPRODUCT(($B$28:$B$299=1)*(tQueue[PriorityRank]&lt;INDEX(tQueue[PriorityRank],27)))+1)</f>
        <v>27</v>
      </c>
    </row>
    <row r="55" spans="1:3" x14ac:dyDescent="0.35">
      <c r="A55">
        <v>28</v>
      </c>
      <c r="B55">
        <f>IF(AND(OR('Priority Queue'!$C$4="(All)",INDEX(tQueue[CollectorName],28)='Priority Queue'!$C$4),OR('Priority Queue'!$C$5="(All)",INDEX(tQueue[ActionCode],28)='Priority Queue'!$C$5),OR('Priority Queue'!$C$6="No",INDEX(tQueue[IsTodaysWorklist],28)=1),INDEX(tQueue[PastDueBalance],28)&gt;='Priority Queue'!$C$7),1,0)</f>
        <v>0</v>
      </c>
      <c r="C55" t="str">
        <f>IF($B55=0,"",SUMPRODUCT(($B$28:$B$299=1)*(tQueue[PriorityRank]&lt;INDEX(tQueue[PriorityRank],28)))+1)</f>
        <v/>
      </c>
    </row>
    <row r="56" spans="1:3" x14ac:dyDescent="0.35">
      <c r="A56">
        <v>29</v>
      </c>
      <c r="B56">
        <f>IF(AND(OR('Priority Queue'!$C$4="(All)",INDEX(tQueue[CollectorName],29)='Priority Queue'!$C$4),OR('Priority Queue'!$C$5="(All)",INDEX(tQueue[ActionCode],29)='Priority Queue'!$C$5),OR('Priority Queue'!$C$6="No",INDEX(tQueue[IsTodaysWorklist],29)=1),INDEX(tQueue[PastDueBalance],29)&gt;='Priority Queue'!$C$7),1,0)</f>
        <v>1</v>
      </c>
      <c r="C56">
        <f>IF($B56=0,"",SUMPRODUCT(($B$28:$B$299=1)*(tQueue[PriorityRank]&lt;INDEX(tQueue[PriorityRank],29)))+1)</f>
        <v>28</v>
      </c>
    </row>
    <row r="57" spans="1:3" x14ac:dyDescent="0.35">
      <c r="A57">
        <v>30</v>
      </c>
      <c r="B57">
        <f>IF(AND(OR('Priority Queue'!$C$4="(All)",INDEX(tQueue[CollectorName],30)='Priority Queue'!$C$4),OR('Priority Queue'!$C$5="(All)",INDEX(tQueue[ActionCode],30)='Priority Queue'!$C$5),OR('Priority Queue'!$C$6="No",INDEX(tQueue[IsTodaysWorklist],30)=1),INDEX(tQueue[PastDueBalance],30)&gt;='Priority Queue'!$C$7),1,0)</f>
        <v>0</v>
      </c>
      <c r="C57" t="str">
        <f>IF($B57=0,"",SUMPRODUCT(($B$28:$B$299=1)*(tQueue[PriorityRank]&lt;INDEX(tQueue[PriorityRank],30)))+1)</f>
        <v/>
      </c>
    </row>
    <row r="58" spans="1:3" x14ac:dyDescent="0.35">
      <c r="A58">
        <v>31</v>
      </c>
      <c r="B58">
        <f>IF(AND(OR('Priority Queue'!$C$4="(All)",INDEX(tQueue[CollectorName],31)='Priority Queue'!$C$4),OR('Priority Queue'!$C$5="(All)",INDEX(tQueue[ActionCode],31)='Priority Queue'!$C$5),OR('Priority Queue'!$C$6="No",INDEX(tQueue[IsTodaysWorklist],31)=1),INDEX(tQueue[PastDueBalance],31)&gt;='Priority Queue'!$C$7),1,0)</f>
        <v>1</v>
      </c>
      <c r="C58">
        <f>IF($B58=0,"",SUMPRODUCT(($B$28:$B$299=1)*(tQueue[PriorityRank]&lt;INDEX(tQueue[PriorityRank],31)))+1)</f>
        <v>29</v>
      </c>
    </row>
    <row r="59" spans="1:3" x14ac:dyDescent="0.35">
      <c r="A59">
        <v>32</v>
      </c>
      <c r="B59">
        <f>IF(AND(OR('Priority Queue'!$C$4="(All)",INDEX(tQueue[CollectorName],32)='Priority Queue'!$C$4),OR('Priority Queue'!$C$5="(All)",INDEX(tQueue[ActionCode],32)='Priority Queue'!$C$5),OR('Priority Queue'!$C$6="No",INDEX(tQueue[IsTodaysWorklist],32)=1),INDEX(tQueue[PastDueBalance],32)&gt;='Priority Queue'!$C$7),1,0)</f>
        <v>1</v>
      </c>
      <c r="C59">
        <f>IF($B59=0,"",SUMPRODUCT(($B$28:$B$299=1)*(tQueue[PriorityRank]&lt;INDEX(tQueue[PriorityRank],32)))+1)</f>
        <v>30</v>
      </c>
    </row>
    <row r="60" spans="1:3" x14ac:dyDescent="0.35">
      <c r="A60">
        <v>33</v>
      </c>
      <c r="B60">
        <f>IF(AND(OR('Priority Queue'!$C$4="(All)",INDEX(tQueue[CollectorName],33)='Priority Queue'!$C$4),OR('Priority Queue'!$C$5="(All)",INDEX(tQueue[ActionCode],33)='Priority Queue'!$C$5),OR('Priority Queue'!$C$6="No",INDEX(tQueue[IsTodaysWorklist],33)=1),INDEX(tQueue[PastDueBalance],33)&gt;='Priority Queue'!$C$7),1,0)</f>
        <v>0</v>
      </c>
      <c r="C60" t="str">
        <f>IF($B60=0,"",SUMPRODUCT(($B$28:$B$299=1)*(tQueue[PriorityRank]&lt;INDEX(tQueue[PriorityRank],33)))+1)</f>
        <v/>
      </c>
    </row>
    <row r="61" spans="1:3" x14ac:dyDescent="0.35">
      <c r="A61">
        <v>34</v>
      </c>
      <c r="B61">
        <f>IF(AND(OR('Priority Queue'!$C$4="(All)",INDEX(tQueue[CollectorName],34)='Priority Queue'!$C$4),OR('Priority Queue'!$C$5="(All)",INDEX(tQueue[ActionCode],34)='Priority Queue'!$C$5),OR('Priority Queue'!$C$6="No",INDEX(tQueue[IsTodaysWorklist],34)=1),INDEX(tQueue[PastDueBalance],34)&gt;='Priority Queue'!$C$7),1,0)</f>
        <v>0</v>
      </c>
      <c r="C61" t="str">
        <f>IF($B61=0,"",SUMPRODUCT(($B$28:$B$299=1)*(tQueue[PriorityRank]&lt;INDEX(tQueue[PriorityRank],34)))+1)</f>
        <v/>
      </c>
    </row>
    <row r="62" spans="1:3" x14ac:dyDescent="0.35">
      <c r="A62">
        <v>35</v>
      </c>
      <c r="B62">
        <f>IF(AND(OR('Priority Queue'!$C$4="(All)",INDEX(tQueue[CollectorName],35)='Priority Queue'!$C$4),OR('Priority Queue'!$C$5="(All)",INDEX(tQueue[ActionCode],35)='Priority Queue'!$C$5),OR('Priority Queue'!$C$6="No",INDEX(tQueue[IsTodaysWorklist],35)=1),INDEX(tQueue[PastDueBalance],35)&gt;='Priority Queue'!$C$7),1,0)</f>
        <v>0</v>
      </c>
      <c r="C62" t="str">
        <f>IF($B62=0,"",SUMPRODUCT(($B$28:$B$299=1)*(tQueue[PriorityRank]&lt;INDEX(tQueue[PriorityRank],35)))+1)</f>
        <v/>
      </c>
    </row>
    <row r="63" spans="1:3" x14ac:dyDescent="0.35">
      <c r="A63">
        <v>36</v>
      </c>
      <c r="B63">
        <f>IF(AND(OR('Priority Queue'!$C$4="(All)",INDEX(tQueue[CollectorName],36)='Priority Queue'!$C$4),OR('Priority Queue'!$C$5="(All)",INDEX(tQueue[ActionCode],36)='Priority Queue'!$C$5),OR('Priority Queue'!$C$6="No",INDEX(tQueue[IsTodaysWorklist],36)=1),INDEX(tQueue[PastDueBalance],36)&gt;='Priority Queue'!$C$7),1,0)</f>
        <v>1</v>
      </c>
      <c r="C63">
        <f>IF($B63=0,"",SUMPRODUCT(($B$28:$B$299=1)*(tQueue[PriorityRank]&lt;INDEX(tQueue[PriorityRank],36)))+1)</f>
        <v>31</v>
      </c>
    </row>
    <row r="64" spans="1:3" x14ac:dyDescent="0.35">
      <c r="A64">
        <v>37</v>
      </c>
      <c r="B64">
        <f>IF(AND(OR('Priority Queue'!$C$4="(All)",INDEX(tQueue[CollectorName],37)='Priority Queue'!$C$4),OR('Priority Queue'!$C$5="(All)",INDEX(tQueue[ActionCode],37)='Priority Queue'!$C$5),OR('Priority Queue'!$C$6="No",INDEX(tQueue[IsTodaysWorklist],37)=1),INDEX(tQueue[PastDueBalance],37)&gt;='Priority Queue'!$C$7),1,0)</f>
        <v>0</v>
      </c>
      <c r="C64" t="str">
        <f>IF($B64=0,"",SUMPRODUCT(($B$28:$B$299=1)*(tQueue[PriorityRank]&lt;INDEX(tQueue[PriorityRank],37)))+1)</f>
        <v/>
      </c>
    </row>
    <row r="65" spans="1:3" x14ac:dyDescent="0.35">
      <c r="A65">
        <v>38</v>
      </c>
      <c r="B65">
        <f>IF(AND(OR('Priority Queue'!$C$4="(All)",INDEX(tQueue[CollectorName],38)='Priority Queue'!$C$4),OR('Priority Queue'!$C$5="(All)",INDEX(tQueue[ActionCode],38)='Priority Queue'!$C$5),OR('Priority Queue'!$C$6="No",INDEX(tQueue[IsTodaysWorklist],38)=1),INDEX(tQueue[PastDueBalance],38)&gt;='Priority Queue'!$C$7),1,0)</f>
        <v>0</v>
      </c>
      <c r="C65" t="str">
        <f>IF($B65=0,"",SUMPRODUCT(($B$28:$B$299=1)*(tQueue[PriorityRank]&lt;INDEX(tQueue[PriorityRank],38)))+1)</f>
        <v/>
      </c>
    </row>
    <row r="66" spans="1:3" x14ac:dyDescent="0.35">
      <c r="A66">
        <v>39</v>
      </c>
      <c r="B66">
        <f>IF(AND(OR('Priority Queue'!$C$4="(All)",INDEX(tQueue[CollectorName],39)='Priority Queue'!$C$4),OR('Priority Queue'!$C$5="(All)",INDEX(tQueue[ActionCode],39)='Priority Queue'!$C$5),OR('Priority Queue'!$C$6="No",INDEX(tQueue[IsTodaysWorklist],39)=1),INDEX(tQueue[PastDueBalance],39)&gt;='Priority Queue'!$C$7),1,0)</f>
        <v>0</v>
      </c>
      <c r="C66" t="str">
        <f>IF($B66=0,"",SUMPRODUCT(($B$28:$B$299=1)*(tQueue[PriorityRank]&lt;INDEX(tQueue[PriorityRank],39)))+1)</f>
        <v/>
      </c>
    </row>
    <row r="67" spans="1:3" x14ac:dyDescent="0.35">
      <c r="A67">
        <v>40</v>
      </c>
      <c r="B67">
        <f>IF(AND(OR('Priority Queue'!$C$4="(All)",INDEX(tQueue[CollectorName],40)='Priority Queue'!$C$4),OR('Priority Queue'!$C$5="(All)",INDEX(tQueue[ActionCode],40)='Priority Queue'!$C$5),OR('Priority Queue'!$C$6="No",INDEX(tQueue[IsTodaysWorklist],40)=1),INDEX(tQueue[PastDueBalance],40)&gt;='Priority Queue'!$C$7),1,0)</f>
        <v>1</v>
      </c>
      <c r="C67">
        <f>IF($B67=0,"",SUMPRODUCT(($B$28:$B$299=1)*(tQueue[PriorityRank]&lt;INDEX(tQueue[PriorityRank],40)))+1)</f>
        <v>32</v>
      </c>
    </row>
    <row r="68" spans="1:3" x14ac:dyDescent="0.35">
      <c r="A68">
        <v>41</v>
      </c>
      <c r="B68">
        <f>IF(AND(OR('Priority Queue'!$C$4="(All)",INDEX(tQueue[CollectorName],41)='Priority Queue'!$C$4),OR('Priority Queue'!$C$5="(All)",INDEX(tQueue[ActionCode],41)='Priority Queue'!$C$5),OR('Priority Queue'!$C$6="No",INDEX(tQueue[IsTodaysWorklist],41)=1),INDEX(tQueue[PastDueBalance],41)&gt;='Priority Queue'!$C$7),1,0)</f>
        <v>1</v>
      </c>
      <c r="C68">
        <f>IF($B68=0,"",SUMPRODUCT(($B$28:$B$299=1)*(tQueue[PriorityRank]&lt;INDEX(tQueue[PriorityRank],41)))+1)</f>
        <v>33</v>
      </c>
    </row>
    <row r="69" spans="1:3" x14ac:dyDescent="0.35">
      <c r="A69">
        <v>42</v>
      </c>
      <c r="B69">
        <f>IF(AND(OR('Priority Queue'!$C$4="(All)",INDEX(tQueue[CollectorName],42)='Priority Queue'!$C$4),OR('Priority Queue'!$C$5="(All)",INDEX(tQueue[ActionCode],42)='Priority Queue'!$C$5),OR('Priority Queue'!$C$6="No",INDEX(tQueue[IsTodaysWorklist],42)=1),INDEX(tQueue[PastDueBalance],42)&gt;='Priority Queue'!$C$7),1,0)</f>
        <v>1</v>
      </c>
      <c r="C69">
        <f>IF($B69=0,"",SUMPRODUCT(($B$28:$B$299=1)*(tQueue[PriorityRank]&lt;INDEX(tQueue[PriorityRank],42)))+1)</f>
        <v>34</v>
      </c>
    </row>
    <row r="70" spans="1:3" x14ac:dyDescent="0.35">
      <c r="A70">
        <v>43</v>
      </c>
      <c r="B70">
        <f>IF(AND(OR('Priority Queue'!$C$4="(All)",INDEX(tQueue[CollectorName],43)='Priority Queue'!$C$4),OR('Priority Queue'!$C$5="(All)",INDEX(tQueue[ActionCode],43)='Priority Queue'!$C$5),OR('Priority Queue'!$C$6="No",INDEX(tQueue[IsTodaysWorklist],43)=1),INDEX(tQueue[PastDueBalance],43)&gt;='Priority Queue'!$C$7),1,0)</f>
        <v>0</v>
      </c>
      <c r="C70" t="str">
        <f>IF($B70=0,"",SUMPRODUCT(($B$28:$B$299=1)*(tQueue[PriorityRank]&lt;INDEX(tQueue[PriorityRank],43)))+1)</f>
        <v/>
      </c>
    </row>
    <row r="71" spans="1:3" x14ac:dyDescent="0.35">
      <c r="A71">
        <v>44</v>
      </c>
      <c r="B71">
        <f>IF(AND(OR('Priority Queue'!$C$4="(All)",INDEX(tQueue[CollectorName],44)='Priority Queue'!$C$4),OR('Priority Queue'!$C$5="(All)",INDEX(tQueue[ActionCode],44)='Priority Queue'!$C$5),OR('Priority Queue'!$C$6="No",INDEX(tQueue[IsTodaysWorklist],44)=1),INDEX(tQueue[PastDueBalance],44)&gt;='Priority Queue'!$C$7),1,0)</f>
        <v>0</v>
      </c>
      <c r="C71" t="str">
        <f>IF($B71=0,"",SUMPRODUCT(($B$28:$B$299=1)*(tQueue[PriorityRank]&lt;INDEX(tQueue[PriorityRank],44)))+1)</f>
        <v/>
      </c>
    </row>
    <row r="72" spans="1:3" x14ac:dyDescent="0.35">
      <c r="A72">
        <v>45</v>
      </c>
      <c r="B72">
        <f>IF(AND(OR('Priority Queue'!$C$4="(All)",INDEX(tQueue[CollectorName],45)='Priority Queue'!$C$4),OR('Priority Queue'!$C$5="(All)",INDEX(tQueue[ActionCode],45)='Priority Queue'!$C$5),OR('Priority Queue'!$C$6="No",INDEX(tQueue[IsTodaysWorklist],45)=1),INDEX(tQueue[PastDueBalance],45)&gt;='Priority Queue'!$C$7),1,0)</f>
        <v>1</v>
      </c>
      <c r="C72">
        <f>IF($B72=0,"",SUMPRODUCT(($B$28:$B$299=1)*(tQueue[PriorityRank]&lt;INDEX(tQueue[PriorityRank],45)))+1)</f>
        <v>35</v>
      </c>
    </row>
    <row r="73" spans="1:3" x14ac:dyDescent="0.35">
      <c r="A73">
        <v>46</v>
      </c>
      <c r="B73">
        <f>IF(AND(OR('Priority Queue'!$C$4="(All)",INDEX(tQueue[CollectorName],46)='Priority Queue'!$C$4),OR('Priority Queue'!$C$5="(All)",INDEX(tQueue[ActionCode],46)='Priority Queue'!$C$5),OR('Priority Queue'!$C$6="No",INDEX(tQueue[IsTodaysWorklist],46)=1),INDEX(tQueue[PastDueBalance],46)&gt;='Priority Queue'!$C$7),1,0)</f>
        <v>1</v>
      </c>
      <c r="C73">
        <f>IF($B73=0,"",SUMPRODUCT(($B$28:$B$299=1)*(tQueue[PriorityRank]&lt;INDEX(tQueue[PriorityRank],46)))+1)</f>
        <v>36</v>
      </c>
    </row>
    <row r="74" spans="1:3" x14ac:dyDescent="0.35">
      <c r="A74">
        <v>47</v>
      </c>
      <c r="B74">
        <f>IF(AND(OR('Priority Queue'!$C$4="(All)",INDEX(tQueue[CollectorName],47)='Priority Queue'!$C$4),OR('Priority Queue'!$C$5="(All)",INDEX(tQueue[ActionCode],47)='Priority Queue'!$C$5),OR('Priority Queue'!$C$6="No",INDEX(tQueue[IsTodaysWorklist],47)=1),INDEX(tQueue[PastDueBalance],47)&gt;='Priority Queue'!$C$7),1,0)</f>
        <v>0</v>
      </c>
      <c r="C74" t="str">
        <f>IF($B74=0,"",SUMPRODUCT(($B$28:$B$299=1)*(tQueue[PriorityRank]&lt;INDEX(tQueue[PriorityRank],47)))+1)</f>
        <v/>
      </c>
    </row>
    <row r="75" spans="1:3" x14ac:dyDescent="0.35">
      <c r="A75">
        <v>48</v>
      </c>
      <c r="B75">
        <f>IF(AND(OR('Priority Queue'!$C$4="(All)",INDEX(tQueue[CollectorName],48)='Priority Queue'!$C$4),OR('Priority Queue'!$C$5="(All)",INDEX(tQueue[ActionCode],48)='Priority Queue'!$C$5),OR('Priority Queue'!$C$6="No",INDEX(tQueue[IsTodaysWorklist],48)=1),INDEX(tQueue[PastDueBalance],48)&gt;='Priority Queue'!$C$7),1,0)</f>
        <v>0</v>
      </c>
      <c r="C75" t="str">
        <f>IF($B75=0,"",SUMPRODUCT(($B$28:$B$299=1)*(tQueue[PriorityRank]&lt;INDEX(tQueue[PriorityRank],48)))+1)</f>
        <v/>
      </c>
    </row>
    <row r="76" spans="1:3" x14ac:dyDescent="0.35">
      <c r="A76">
        <v>49</v>
      </c>
      <c r="B76">
        <f>IF(AND(OR('Priority Queue'!$C$4="(All)",INDEX(tQueue[CollectorName],49)='Priority Queue'!$C$4),OR('Priority Queue'!$C$5="(All)",INDEX(tQueue[ActionCode],49)='Priority Queue'!$C$5),OR('Priority Queue'!$C$6="No",INDEX(tQueue[IsTodaysWorklist],49)=1),INDEX(tQueue[PastDueBalance],49)&gt;='Priority Queue'!$C$7),1,0)</f>
        <v>1</v>
      </c>
      <c r="C76">
        <f>IF($B76=0,"",SUMPRODUCT(($B$28:$B$299=1)*(tQueue[PriorityRank]&lt;INDEX(tQueue[PriorityRank],49)))+1)</f>
        <v>37</v>
      </c>
    </row>
    <row r="77" spans="1:3" x14ac:dyDescent="0.35">
      <c r="A77">
        <v>50</v>
      </c>
      <c r="B77">
        <f>IF(AND(OR('Priority Queue'!$C$4="(All)",INDEX(tQueue[CollectorName],50)='Priority Queue'!$C$4),OR('Priority Queue'!$C$5="(All)",INDEX(tQueue[ActionCode],50)='Priority Queue'!$C$5),OR('Priority Queue'!$C$6="No",INDEX(tQueue[IsTodaysWorklist],50)=1),INDEX(tQueue[PastDueBalance],50)&gt;='Priority Queue'!$C$7),1,0)</f>
        <v>0</v>
      </c>
      <c r="C77" t="str">
        <f>IF($B77=0,"",SUMPRODUCT(($B$28:$B$299=1)*(tQueue[PriorityRank]&lt;INDEX(tQueue[PriorityRank],50)))+1)</f>
        <v/>
      </c>
    </row>
    <row r="78" spans="1:3" x14ac:dyDescent="0.35">
      <c r="A78">
        <v>51</v>
      </c>
      <c r="B78">
        <f>IF(AND(OR('Priority Queue'!$C$4="(All)",INDEX(tQueue[CollectorName],51)='Priority Queue'!$C$4),OR('Priority Queue'!$C$5="(All)",INDEX(tQueue[ActionCode],51)='Priority Queue'!$C$5),OR('Priority Queue'!$C$6="No",INDEX(tQueue[IsTodaysWorklist],51)=1),INDEX(tQueue[PastDueBalance],51)&gt;='Priority Queue'!$C$7),1,0)</f>
        <v>1</v>
      </c>
      <c r="C78">
        <f>IF($B78=0,"",SUMPRODUCT(($B$28:$B$299=1)*(tQueue[PriorityRank]&lt;INDEX(tQueue[PriorityRank],51)))+1)</f>
        <v>38</v>
      </c>
    </row>
    <row r="79" spans="1:3" x14ac:dyDescent="0.35">
      <c r="A79">
        <v>52</v>
      </c>
      <c r="B79">
        <f>IF(AND(OR('Priority Queue'!$C$4="(All)",INDEX(tQueue[CollectorName],52)='Priority Queue'!$C$4),OR('Priority Queue'!$C$5="(All)",INDEX(tQueue[ActionCode],52)='Priority Queue'!$C$5),OR('Priority Queue'!$C$6="No",INDEX(tQueue[IsTodaysWorklist],52)=1),INDEX(tQueue[PastDueBalance],52)&gt;='Priority Queue'!$C$7),1,0)</f>
        <v>0</v>
      </c>
      <c r="C79" t="str">
        <f>IF($B79=0,"",SUMPRODUCT(($B$28:$B$299=1)*(tQueue[PriorityRank]&lt;INDEX(tQueue[PriorityRank],52)))+1)</f>
        <v/>
      </c>
    </row>
    <row r="80" spans="1:3" x14ac:dyDescent="0.35">
      <c r="A80">
        <v>53</v>
      </c>
      <c r="B80">
        <f>IF(AND(OR('Priority Queue'!$C$4="(All)",INDEX(tQueue[CollectorName],53)='Priority Queue'!$C$4),OR('Priority Queue'!$C$5="(All)",INDEX(tQueue[ActionCode],53)='Priority Queue'!$C$5),OR('Priority Queue'!$C$6="No",INDEX(tQueue[IsTodaysWorklist],53)=1),INDEX(tQueue[PastDueBalance],53)&gt;='Priority Queue'!$C$7),1,0)</f>
        <v>1</v>
      </c>
      <c r="C80">
        <f>IF($B80=0,"",SUMPRODUCT(($B$28:$B$299=1)*(tQueue[PriorityRank]&lt;INDEX(tQueue[PriorityRank],53)))+1)</f>
        <v>39</v>
      </c>
    </row>
    <row r="81" spans="1:3" x14ac:dyDescent="0.35">
      <c r="A81">
        <v>54</v>
      </c>
      <c r="B81">
        <f>IF(AND(OR('Priority Queue'!$C$4="(All)",INDEX(tQueue[CollectorName],54)='Priority Queue'!$C$4),OR('Priority Queue'!$C$5="(All)",INDEX(tQueue[ActionCode],54)='Priority Queue'!$C$5),OR('Priority Queue'!$C$6="No",INDEX(tQueue[IsTodaysWorklist],54)=1),INDEX(tQueue[PastDueBalance],54)&gt;='Priority Queue'!$C$7),1,0)</f>
        <v>1</v>
      </c>
      <c r="C81">
        <f>IF($B81=0,"",SUMPRODUCT(($B$28:$B$299=1)*(tQueue[PriorityRank]&lt;INDEX(tQueue[PriorityRank],54)))+1)</f>
        <v>40</v>
      </c>
    </row>
    <row r="82" spans="1:3" x14ac:dyDescent="0.35">
      <c r="A82">
        <v>55</v>
      </c>
      <c r="B82">
        <f>IF(AND(OR('Priority Queue'!$C$4="(All)",INDEX(tQueue[CollectorName],55)='Priority Queue'!$C$4),OR('Priority Queue'!$C$5="(All)",INDEX(tQueue[ActionCode],55)='Priority Queue'!$C$5),OR('Priority Queue'!$C$6="No",INDEX(tQueue[IsTodaysWorklist],55)=1),INDEX(tQueue[PastDueBalance],55)&gt;='Priority Queue'!$C$7),1,0)</f>
        <v>0</v>
      </c>
      <c r="C82" t="str">
        <f>IF($B82=0,"",SUMPRODUCT(($B$28:$B$299=1)*(tQueue[PriorityRank]&lt;INDEX(tQueue[PriorityRank],55)))+1)</f>
        <v/>
      </c>
    </row>
    <row r="83" spans="1:3" x14ac:dyDescent="0.35">
      <c r="A83">
        <v>56</v>
      </c>
      <c r="B83">
        <f>IF(AND(OR('Priority Queue'!$C$4="(All)",INDEX(tQueue[CollectorName],56)='Priority Queue'!$C$4),OR('Priority Queue'!$C$5="(All)",INDEX(tQueue[ActionCode],56)='Priority Queue'!$C$5),OR('Priority Queue'!$C$6="No",INDEX(tQueue[IsTodaysWorklist],56)=1),INDEX(tQueue[PastDueBalance],56)&gt;='Priority Queue'!$C$7),1,0)</f>
        <v>1</v>
      </c>
      <c r="C83">
        <f>IF($B83=0,"",SUMPRODUCT(($B$28:$B$299=1)*(tQueue[PriorityRank]&lt;INDEX(tQueue[PriorityRank],56)))+1)</f>
        <v>41</v>
      </c>
    </row>
    <row r="84" spans="1:3" x14ac:dyDescent="0.35">
      <c r="A84">
        <v>57</v>
      </c>
      <c r="B84">
        <f>IF(AND(OR('Priority Queue'!$C$4="(All)",INDEX(tQueue[CollectorName],57)='Priority Queue'!$C$4),OR('Priority Queue'!$C$5="(All)",INDEX(tQueue[ActionCode],57)='Priority Queue'!$C$5),OR('Priority Queue'!$C$6="No",INDEX(tQueue[IsTodaysWorklist],57)=1),INDEX(tQueue[PastDueBalance],57)&gt;='Priority Queue'!$C$7),1,0)</f>
        <v>1</v>
      </c>
      <c r="C84">
        <f>IF($B84=0,"",SUMPRODUCT(($B$28:$B$299=1)*(tQueue[PriorityRank]&lt;INDEX(tQueue[PriorityRank],57)))+1)</f>
        <v>42</v>
      </c>
    </row>
    <row r="85" spans="1:3" x14ac:dyDescent="0.35">
      <c r="A85">
        <v>58</v>
      </c>
      <c r="B85">
        <f>IF(AND(OR('Priority Queue'!$C$4="(All)",INDEX(tQueue[CollectorName],58)='Priority Queue'!$C$4),OR('Priority Queue'!$C$5="(All)",INDEX(tQueue[ActionCode],58)='Priority Queue'!$C$5),OR('Priority Queue'!$C$6="No",INDEX(tQueue[IsTodaysWorklist],58)=1),INDEX(tQueue[PastDueBalance],58)&gt;='Priority Queue'!$C$7),1,0)</f>
        <v>1</v>
      </c>
      <c r="C85">
        <f>IF($B85=0,"",SUMPRODUCT(($B$28:$B$299=1)*(tQueue[PriorityRank]&lt;INDEX(tQueue[PriorityRank],58)))+1)</f>
        <v>43</v>
      </c>
    </row>
    <row r="86" spans="1:3" x14ac:dyDescent="0.35">
      <c r="A86">
        <v>59</v>
      </c>
      <c r="B86">
        <f>IF(AND(OR('Priority Queue'!$C$4="(All)",INDEX(tQueue[CollectorName],59)='Priority Queue'!$C$4),OR('Priority Queue'!$C$5="(All)",INDEX(tQueue[ActionCode],59)='Priority Queue'!$C$5),OR('Priority Queue'!$C$6="No",INDEX(tQueue[IsTodaysWorklist],59)=1),INDEX(tQueue[PastDueBalance],59)&gt;='Priority Queue'!$C$7),1,0)</f>
        <v>0</v>
      </c>
      <c r="C86" t="str">
        <f>IF($B86=0,"",SUMPRODUCT(($B$28:$B$299=1)*(tQueue[PriorityRank]&lt;INDEX(tQueue[PriorityRank],59)))+1)</f>
        <v/>
      </c>
    </row>
    <row r="87" spans="1:3" x14ac:dyDescent="0.35">
      <c r="A87">
        <v>60</v>
      </c>
      <c r="B87">
        <f>IF(AND(OR('Priority Queue'!$C$4="(All)",INDEX(tQueue[CollectorName],60)='Priority Queue'!$C$4),OR('Priority Queue'!$C$5="(All)",INDEX(tQueue[ActionCode],60)='Priority Queue'!$C$5),OR('Priority Queue'!$C$6="No",INDEX(tQueue[IsTodaysWorklist],60)=1),INDEX(tQueue[PastDueBalance],60)&gt;='Priority Queue'!$C$7),1,0)</f>
        <v>0</v>
      </c>
      <c r="C87" t="str">
        <f>IF($B87=0,"",SUMPRODUCT(($B$28:$B$299=1)*(tQueue[PriorityRank]&lt;INDEX(tQueue[PriorityRank],60)))+1)</f>
        <v/>
      </c>
    </row>
    <row r="88" spans="1:3" x14ac:dyDescent="0.35">
      <c r="A88">
        <v>61</v>
      </c>
      <c r="B88">
        <f>IF(AND(OR('Priority Queue'!$C$4="(All)",INDEX(tQueue[CollectorName],61)='Priority Queue'!$C$4),OR('Priority Queue'!$C$5="(All)",INDEX(tQueue[ActionCode],61)='Priority Queue'!$C$5),OR('Priority Queue'!$C$6="No",INDEX(tQueue[IsTodaysWorklist],61)=1),INDEX(tQueue[PastDueBalance],61)&gt;='Priority Queue'!$C$7),1,0)</f>
        <v>1</v>
      </c>
      <c r="C88">
        <f>IF($B88=0,"",SUMPRODUCT(($B$28:$B$299=1)*(tQueue[PriorityRank]&lt;INDEX(tQueue[PriorityRank],61)))+1)</f>
        <v>44</v>
      </c>
    </row>
    <row r="89" spans="1:3" x14ac:dyDescent="0.35">
      <c r="A89">
        <v>62</v>
      </c>
      <c r="B89">
        <f>IF(AND(OR('Priority Queue'!$C$4="(All)",INDEX(tQueue[CollectorName],62)='Priority Queue'!$C$4),OR('Priority Queue'!$C$5="(All)",INDEX(tQueue[ActionCode],62)='Priority Queue'!$C$5),OR('Priority Queue'!$C$6="No",INDEX(tQueue[IsTodaysWorklist],62)=1),INDEX(tQueue[PastDueBalance],62)&gt;='Priority Queue'!$C$7),1,0)</f>
        <v>0</v>
      </c>
      <c r="C89" t="str">
        <f>IF($B89=0,"",SUMPRODUCT(($B$28:$B$299=1)*(tQueue[PriorityRank]&lt;INDEX(tQueue[PriorityRank],62)))+1)</f>
        <v/>
      </c>
    </row>
    <row r="90" spans="1:3" x14ac:dyDescent="0.35">
      <c r="A90">
        <v>63</v>
      </c>
      <c r="B90">
        <f>IF(AND(OR('Priority Queue'!$C$4="(All)",INDEX(tQueue[CollectorName],63)='Priority Queue'!$C$4),OR('Priority Queue'!$C$5="(All)",INDEX(tQueue[ActionCode],63)='Priority Queue'!$C$5),OR('Priority Queue'!$C$6="No",INDEX(tQueue[IsTodaysWorklist],63)=1),INDEX(tQueue[PastDueBalance],63)&gt;='Priority Queue'!$C$7),1,0)</f>
        <v>0</v>
      </c>
      <c r="C90" t="str">
        <f>IF($B90=0,"",SUMPRODUCT(($B$28:$B$299=1)*(tQueue[PriorityRank]&lt;INDEX(tQueue[PriorityRank],63)))+1)</f>
        <v/>
      </c>
    </row>
    <row r="91" spans="1:3" x14ac:dyDescent="0.35">
      <c r="A91">
        <v>64</v>
      </c>
      <c r="B91">
        <f>IF(AND(OR('Priority Queue'!$C$4="(All)",INDEX(tQueue[CollectorName],64)='Priority Queue'!$C$4),OR('Priority Queue'!$C$5="(All)",INDEX(tQueue[ActionCode],64)='Priority Queue'!$C$5),OR('Priority Queue'!$C$6="No",INDEX(tQueue[IsTodaysWorklist],64)=1),INDEX(tQueue[PastDueBalance],64)&gt;='Priority Queue'!$C$7),1,0)</f>
        <v>0</v>
      </c>
      <c r="C91" t="str">
        <f>IF($B91=0,"",SUMPRODUCT(($B$28:$B$299=1)*(tQueue[PriorityRank]&lt;INDEX(tQueue[PriorityRank],64)))+1)</f>
        <v/>
      </c>
    </row>
    <row r="92" spans="1:3" x14ac:dyDescent="0.35">
      <c r="A92">
        <v>65</v>
      </c>
      <c r="B92">
        <f>IF(AND(OR('Priority Queue'!$C$4="(All)",INDEX(tQueue[CollectorName],65)='Priority Queue'!$C$4),OR('Priority Queue'!$C$5="(All)",INDEX(tQueue[ActionCode],65)='Priority Queue'!$C$5),OR('Priority Queue'!$C$6="No",INDEX(tQueue[IsTodaysWorklist],65)=1),INDEX(tQueue[PastDueBalance],65)&gt;='Priority Queue'!$C$7),1,0)</f>
        <v>0</v>
      </c>
      <c r="C92" t="str">
        <f>IF($B92=0,"",SUMPRODUCT(($B$28:$B$299=1)*(tQueue[PriorityRank]&lt;INDEX(tQueue[PriorityRank],65)))+1)</f>
        <v/>
      </c>
    </row>
    <row r="93" spans="1:3" x14ac:dyDescent="0.35">
      <c r="A93">
        <v>66</v>
      </c>
      <c r="B93">
        <f>IF(AND(OR('Priority Queue'!$C$4="(All)",INDEX(tQueue[CollectorName],66)='Priority Queue'!$C$4),OR('Priority Queue'!$C$5="(All)",INDEX(tQueue[ActionCode],66)='Priority Queue'!$C$5),OR('Priority Queue'!$C$6="No",INDEX(tQueue[IsTodaysWorklist],66)=1),INDEX(tQueue[PastDueBalance],66)&gt;='Priority Queue'!$C$7),1,0)</f>
        <v>1</v>
      </c>
      <c r="C93">
        <f>IF($B93=0,"",SUMPRODUCT(($B$28:$B$299=1)*(tQueue[PriorityRank]&lt;INDEX(tQueue[PriorityRank],66)))+1)</f>
        <v>45</v>
      </c>
    </row>
    <row r="94" spans="1:3" x14ac:dyDescent="0.35">
      <c r="A94">
        <v>67</v>
      </c>
      <c r="B94">
        <f>IF(AND(OR('Priority Queue'!$C$4="(All)",INDEX(tQueue[CollectorName],67)='Priority Queue'!$C$4),OR('Priority Queue'!$C$5="(All)",INDEX(tQueue[ActionCode],67)='Priority Queue'!$C$5),OR('Priority Queue'!$C$6="No",INDEX(tQueue[IsTodaysWorklist],67)=1),INDEX(tQueue[PastDueBalance],67)&gt;='Priority Queue'!$C$7),1,0)</f>
        <v>1</v>
      </c>
      <c r="C94">
        <f>IF($B94=0,"",SUMPRODUCT(($B$28:$B$299=1)*(tQueue[PriorityRank]&lt;INDEX(tQueue[PriorityRank],67)))+1)</f>
        <v>46</v>
      </c>
    </row>
    <row r="95" spans="1:3" x14ac:dyDescent="0.35">
      <c r="A95">
        <v>68</v>
      </c>
      <c r="B95">
        <f>IF(AND(OR('Priority Queue'!$C$4="(All)",INDEX(tQueue[CollectorName],68)='Priority Queue'!$C$4),OR('Priority Queue'!$C$5="(All)",INDEX(tQueue[ActionCode],68)='Priority Queue'!$C$5),OR('Priority Queue'!$C$6="No",INDEX(tQueue[IsTodaysWorklist],68)=1),INDEX(tQueue[PastDueBalance],68)&gt;='Priority Queue'!$C$7),1,0)</f>
        <v>0</v>
      </c>
      <c r="C95" t="str">
        <f>IF($B95=0,"",SUMPRODUCT(($B$28:$B$299=1)*(tQueue[PriorityRank]&lt;INDEX(tQueue[PriorityRank],68)))+1)</f>
        <v/>
      </c>
    </row>
    <row r="96" spans="1:3" x14ac:dyDescent="0.35">
      <c r="A96">
        <v>69</v>
      </c>
      <c r="B96">
        <f>IF(AND(OR('Priority Queue'!$C$4="(All)",INDEX(tQueue[CollectorName],69)='Priority Queue'!$C$4),OR('Priority Queue'!$C$5="(All)",INDEX(tQueue[ActionCode],69)='Priority Queue'!$C$5),OR('Priority Queue'!$C$6="No",INDEX(tQueue[IsTodaysWorklist],69)=1),INDEX(tQueue[PastDueBalance],69)&gt;='Priority Queue'!$C$7),1,0)</f>
        <v>1</v>
      </c>
      <c r="C96">
        <f>IF($B96=0,"",SUMPRODUCT(($B$28:$B$299=1)*(tQueue[PriorityRank]&lt;INDEX(tQueue[PriorityRank],69)))+1)</f>
        <v>47</v>
      </c>
    </row>
    <row r="97" spans="1:3" x14ac:dyDescent="0.35">
      <c r="A97">
        <v>70</v>
      </c>
      <c r="B97">
        <f>IF(AND(OR('Priority Queue'!$C$4="(All)",INDEX(tQueue[CollectorName],70)='Priority Queue'!$C$4),OR('Priority Queue'!$C$5="(All)",INDEX(tQueue[ActionCode],70)='Priority Queue'!$C$5),OR('Priority Queue'!$C$6="No",INDEX(tQueue[IsTodaysWorklist],70)=1),INDEX(tQueue[PastDueBalance],70)&gt;='Priority Queue'!$C$7),1,0)</f>
        <v>0</v>
      </c>
      <c r="C97" t="str">
        <f>IF($B97=0,"",SUMPRODUCT(($B$28:$B$299=1)*(tQueue[PriorityRank]&lt;INDEX(tQueue[PriorityRank],70)))+1)</f>
        <v/>
      </c>
    </row>
    <row r="98" spans="1:3" x14ac:dyDescent="0.35">
      <c r="A98">
        <v>71</v>
      </c>
      <c r="B98">
        <f>IF(AND(OR('Priority Queue'!$C$4="(All)",INDEX(tQueue[CollectorName],71)='Priority Queue'!$C$4),OR('Priority Queue'!$C$5="(All)",INDEX(tQueue[ActionCode],71)='Priority Queue'!$C$5),OR('Priority Queue'!$C$6="No",INDEX(tQueue[IsTodaysWorklist],71)=1),INDEX(tQueue[PastDueBalance],71)&gt;='Priority Queue'!$C$7),1,0)</f>
        <v>0</v>
      </c>
      <c r="C98" t="str">
        <f>IF($B98=0,"",SUMPRODUCT(($B$28:$B$299=1)*(tQueue[PriorityRank]&lt;INDEX(tQueue[PriorityRank],71)))+1)</f>
        <v/>
      </c>
    </row>
    <row r="99" spans="1:3" x14ac:dyDescent="0.35">
      <c r="A99">
        <v>72</v>
      </c>
      <c r="B99">
        <f>IF(AND(OR('Priority Queue'!$C$4="(All)",INDEX(tQueue[CollectorName],72)='Priority Queue'!$C$4),OR('Priority Queue'!$C$5="(All)",INDEX(tQueue[ActionCode],72)='Priority Queue'!$C$5),OR('Priority Queue'!$C$6="No",INDEX(tQueue[IsTodaysWorklist],72)=1),INDEX(tQueue[PastDueBalance],72)&gt;='Priority Queue'!$C$7),1,0)</f>
        <v>0</v>
      </c>
      <c r="C99" t="str">
        <f>IF($B99=0,"",SUMPRODUCT(($B$28:$B$299=1)*(tQueue[PriorityRank]&lt;INDEX(tQueue[PriorityRank],72)))+1)</f>
        <v/>
      </c>
    </row>
    <row r="100" spans="1:3" x14ac:dyDescent="0.35">
      <c r="A100">
        <v>73</v>
      </c>
      <c r="B100">
        <f>IF(AND(OR('Priority Queue'!$C$4="(All)",INDEX(tQueue[CollectorName],73)='Priority Queue'!$C$4),OR('Priority Queue'!$C$5="(All)",INDEX(tQueue[ActionCode],73)='Priority Queue'!$C$5),OR('Priority Queue'!$C$6="No",INDEX(tQueue[IsTodaysWorklist],73)=1),INDEX(tQueue[PastDueBalance],73)&gt;='Priority Queue'!$C$7),1,0)</f>
        <v>0</v>
      </c>
      <c r="C100" t="str">
        <f>IF($B100=0,"",SUMPRODUCT(($B$28:$B$299=1)*(tQueue[PriorityRank]&lt;INDEX(tQueue[PriorityRank],73)))+1)</f>
        <v/>
      </c>
    </row>
    <row r="101" spans="1:3" x14ac:dyDescent="0.35">
      <c r="A101">
        <v>74</v>
      </c>
      <c r="B101">
        <f>IF(AND(OR('Priority Queue'!$C$4="(All)",INDEX(tQueue[CollectorName],74)='Priority Queue'!$C$4),OR('Priority Queue'!$C$5="(All)",INDEX(tQueue[ActionCode],74)='Priority Queue'!$C$5),OR('Priority Queue'!$C$6="No",INDEX(tQueue[IsTodaysWorklist],74)=1),INDEX(tQueue[PastDueBalance],74)&gt;='Priority Queue'!$C$7),1,0)</f>
        <v>0</v>
      </c>
      <c r="C101" t="str">
        <f>IF($B101=0,"",SUMPRODUCT(($B$28:$B$299=1)*(tQueue[PriorityRank]&lt;INDEX(tQueue[PriorityRank],74)))+1)</f>
        <v/>
      </c>
    </row>
    <row r="102" spans="1:3" x14ac:dyDescent="0.35">
      <c r="A102">
        <v>75</v>
      </c>
      <c r="B102">
        <f>IF(AND(OR('Priority Queue'!$C$4="(All)",INDEX(tQueue[CollectorName],75)='Priority Queue'!$C$4),OR('Priority Queue'!$C$5="(All)",INDEX(tQueue[ActionCode],75)='Priority Queue'!$C$5),OR('Priority Queue'!$C$6="No",INDEX(tQueue[IsTodaysWorklist],75)=1),INDEX(tQueue[PastDueBalance],75)&gt;='Priority Queue'!$C$7),1,0)</f>
        <v>1</v>
      </c>
      <c r="C102">
        <f>IF($B102=0,"",SUMPRODUCT(($B$28:$B$299=1)*(tQueue[PriorityRank]&lt;INDEX(tQueue[PriorityRank],75)))+1)</f>
        <v>48</v>
      </c>
    </row>
    <row r="103" spans="1:3" x14ac:dyDescent="0.35">
      <c r="A103">
        <v>76</v>
      </c>
      <c r="B103">
        <f>IF(AND(OR('Priority Queue'!$C$4="(All)",INDEX(tQueue[CollectorName],76)='Priority Queue'!$C$4),OR('Priority Queue'!$C$5="(All)",INDEX(tQueue[ActionCode],76)='Priority Queue'!$C$5),OR('Priority Queue'!$C$6="No",INDEX(tQueue[IsTodaysWorklist],76)=1),INDEX(tQueue[PastDueBalance],76)&gt;='Priority Queue'!$C$7),1,0)</f>
        <v>0</v>
      </c>
      <c r="C103" t="str">
        <f>IF($B103=0,"",SUMPRODUCT(($B$28:$B$299=1)*(tQueue[PriorityRank]&lt;INDEX(tQueue[PriorityRank],76)))+1)</f>
        <v/>
      </c>
    </row>
    <row r="104" spans="1:3" x14ac:dyDescent="0.35">
      <c r="A104">
        <v>77</v>
      </c>
      <c r="B104">
        <f>IF(AND(OR('Priority Queue'!$C$4="(All)",INDEX(tQueue[CollectorName],77)='Priority Queue'!$C$4),OR('Priority Queue'!$C$5="(All)",INDEX(tQueue[ActionCode],77)='Priority Queue'!$C$5),OR('Priority Queue'!$C$6="No",INDEX(tQueue[IsTodaysWorklist],77)=1),INDEX(tQueue[PastDueBalance],77)&gt;='Priority Queue'!$C$7),1,0)</f>
        <v>1</v>
      </c>
      <c r="C104">
        <f>IF($B104=0,"",SUMPRODUCT(($B$28:$B$299=1)*(tQueue[PriorityRank]&lt;INDEX(tQueue[PriorityRank],77)))+1)</f>
        <v>49</v>
      </c>
    </row>
    <row r="105" spans="1:3" x14ac:dyDescent="0.35">
      <c r="A105">
        <v>78</v>
      </c>
      <c r="B105">
        <f>IF(AND(OR('Priority Queue'!$C$4="(All)",INDEX(tQueue[CollectorName],78)='Priority Queue'!$C$4),OR('Priority Queue'!$C$5="(All)",INDEX(tQueue[ActionCode],78)='Priority Queue'!$C$5),OR('Priority Queue'!$C$6="No",INDEX(tQueue[IsTodaysWorklist],78)=1),INDEX(tQueue[PastDueBalance],78)&gt;='Priority Queue'!$C$7),1,0)</f>
        <v>0</v>
      </c>
      <c r="C105" t="str">
        <f>IF($B105=0,"",SUMPRODUCT(($B$28:$B$299=1)*(tQueue[PriorityRank]&lt;INDEX(tQueue[PriorityRank],78)))+1)</f>
        <v/>
      </c>
    </row>
    <row r="106" spans="1:3" x14ac:dyDescent="0.35">
      <c r="A106">
        <v>79</v>
      </c>
      <c r="B106">
        <f>IF(AND(OR('Priority Queue'!$C$4="(All)",INDEX(tQueue[CollectorName],79)='Priority Queue'!$C$4),OR('Priority Queue'!$C$5="(All)",INDEX(tQueue[ActionCode],79)='Priority Queue'!$C$5),OR('Priority Queue'!$C$6="No",INDEX(tQueue[IsTodaysWorklist],79)=1),INDEX(tQueue[PastDueBalance],79)&gt;='Priority Queue'!$C$7),1,0)</f>
        <v>0</v>
      </c>
      <c r="C106" t="str">
        <f>IF($B106=0,"",SUMPRODUCT(($B$28:$B$299=1)*(tQueue[PriorityRank]&lt;INDEX(tQueue[PriorityRank],79)))+1)</f>
        <v/>
      </c>
    </row>
    <row r="107" spans="1:3" x14ac:dyDescent="0.35">
      <c r="A107">
        <v>80</v>
      </c>
      <c r="B107">
        <f>IF(AND(OR('Priority Queue'!$C$4="(All)",INDEX(tQueue[CollectorName],80)='Priority Queue'!$C$4),OR('Priority Queue'!$C$5="(All)",INDEX(tQueue[ActionCode],80)='Priority Queue'!$C$5),OR('Priority Queue'!$C$6="No",INDEX(tQueue[IsTodaysWorklist],80)=1),INDEX(tQueue[PastDueBalance],80)&gt;='Priority Queue'!$C$7),1,0)</f>
        <v>1</v>
      </c>
      <c r="C107">
        <f>IF($B107=0,"",SUMPRODUCT(($B$28:$B$299=1)*(tQueue[PriorityRank]&lt;INDEX(tQueue[PriorityRank],80)))+1)</f>
        <v>50</v>
      </c>
    </row>
    <row r="108" spans="1:3" x14ac:dyDescent="0.35">
      <c r="A108">
        <v>81</v>
      </c>
      <c r="B108">
        <f>IF(AND(OR('Priority Queue'!$C$4="(All)",INDEX(tQueue[CollectorName],81)='Priority Queue'!$C$4),OR('Priority Queue'!$C$5="(All)",INDEX(tQueue[ActionCode],81)='Priority Queue'!$C$5),OR('Priority Queue'!$C$6="No",INDEX(tQueue[IsTodaysWorklist],81)=1),INDEX(tQueue[PastDueBalance],81)&gt;='Priority Queue'!$C$7),1,0)</f>
        <v>0</v>
      </c>
      <c r="C108" t="str">
        <f>IF($B108=0,"",SUMPRODUCT(($B$28:$B$299=1)*(tQueue[PriorityRank]&lt;INDEX(tQueue[PriorityRank],81)))+1)</f>
        <v/>
      </c>
    </row>
    <row r="109" spans="1:3" x14ac:dyDescent="0.35">
      <c r="A109">
        <v>82</v>
      </c>
      <c r="B109">
        <f>IF(AND(OR('Priority Queue'!$C$4="(All)",INDEX(tQueue[CollectorName],82)='Priority Queue'!$C$4),OR('Priority Queue'!$C$5="(All)",INDEX(tQueue[ActionCode],82)='Priority Queue'!$C$5),OR('Priority Queue'!$C$6="No",INDEX(tQueue[IsTodaysWorklist],82)=1),INDEX(tQueue[PastDueBalance],82)&gt;='Priority Queue'!$C$7),1,0)</f>
        <v>0</v>
      </c>
      <c r="C109" t="str">
        <f>IF($B109=0,"",SUMPRODUCT(($B$28:$B$299=1)*(tQueue[PriorityRank]&lt;INDEX(tQueue[PriorityRank],82)))+1)</f>
        <v/>
      </c>
    </row>
    <row r="110" spans="1:3" x14ac:dyDescent="0.35">
      <c r="A110">
        <v>83</v>
      </c>
      <c r="B110">
        <f>IF(AND(OR('Priority Queue'!$C$4="(All)",INDEX(tQueue[CollectorName],83)='Priority Queue'!$C$4),OR('Priority Queue'!$C$5="(All)",INDEX(tQueue[ActionCode],83)='Priority Queue'!$C$5),OR('Priority Queue'!$C$6="No",INDEX(tQueue[IsTodaysWorklist],83)=1),INDEX(tQueue[PastDueBalance],83)&gt;='Priority Queue'!$C$7),1,0)</f>
        <v>0</v>
      </c>
      <c r="C110" t="str">
        <f>IF($B110=0,"",SUMPRODUCT(($B$28:$B$299=1)*(tQueue[PriorityRank]&lt;INDEX(tQueue[PriorityRank],83)))+1)</f>
        <v/>
      </c>
    </row>
    <row r="111" spans="1:3" x14ac:dyDescent="0.35">
      <c r="A111">
        <v>84</v>
      </c>
      <c r="B111">
        <f>IF(AND(OR('Priority Queue'!$C$4="(All)",INDEX(tQueue[CollectorName],84)='Priority Queue'!$C$4),OR('Priority Queue'!$C$5="(All)",INDEX(tQueue[ActionCode],84)='Priority Queue'!$C$5),OR('Priority Queue'!$C$6="No",INDEX(tQueue[IsTodaysWorklist],84)=1),INDEX(tQueue[PastDueBalance],84)&gt;='Priority Queue'!$C$7),1,0)</f>
        <v>0</v>
      </c>
      <c r="C111" t="str">
        <f>IF($B111=0,"",SUMPRODUCT(($B$28:$B$299=1)*(tQueue[PriorityRank]&lt;INDEX(tQueue[PriorityRank],84)))+1)</f>
        <v/>
      </c>
    </row>
    <row r="112" spans="1:3" x14ac:dyDescent="0.35">
      <c r="A112">
        <v>85</v>
      </c>
      <c r="B112">
        <f>IF(AND(OR('Priority Queue'!$C$4="(All)",INDEX(tQueue[CollectorName],85)='Priority Queue'!$C$4),OR('Priority Queue'!$C$5="(All)",INDEX(tQueue[ActionCode],85)='Priority Queue'!$C$5),OR('Priority Queue'!$C$6="No",INDEX(tQueue[IsTodaysWorklist],85)=1),INDEX(tQueue[PastDueBalance],85)&gt;='Priority Queue'!$C$7),1,0)</f>
        <v>0</v>
      </c>
      <c r="C112" t="str">
        <f>IF($B112=0,"",SUMPRODUCT(($B$28:$B$299=1)*(tQueue[PriorityRank]&lt;INDEX(tQueue[PriorityRank],85)))+1)</f>
        <v/>
      </c>
    </row>
    <row r="113" spans="1:3" x14ac:dyDescent="0.35">
      <c r="A113">
        <v>86</v>
      </c>
      <c r="B113">
        <f>IF(AND(OR('Priority Queue'!$C$4="(All)",INDEX(tQueue[CollectorName],86)='Priority Queue'!$C$4),OR('Priority Queue'!$C$5="(All)",INDEX(tQueue[ActionCode],86)='Priority Queue'!$C$5),OR('Priority Queue'!$C$6="No",INDEX(tQueue[IsTodaysWorklist],86)=1),INDEX(tQueue[PastDueBalance],86)&gt;='Priority Queue'!$C$7),1,0)</f>
        <v>0</v>
      </c>
      <c r="C113" t="str">
        <f>IF($B113=0,"",SUMPRODUCT(($B$28:$B$299=1)*(tQueue[PriorityRank]&lt;INDEX(tQueue[PriorityRank],86)))+1)</f>
        <v/>
      </c>
    </row>
    <row r="114" spans="1:3" x14ac:dyDescent="0.35">
      <c r="A114">
        <v>87</v>
      </c>
      <c r="B114">
        <f>IF(AND(OR('Priority Queue'!$C$4="(All)",INDEX(tQueue[CollectorName],87)='Priority Queue'!$C$4),OR('Priority Queue'!$C$5="(All)",INDEX(tQueue[ActionCode],87)='Priority Queue'!$C$5),OR('Priority Queue'!$C$6="No",INDEX(tQueue[IsTodaysWorklist],87)=1),INDEX(tQueue[PastDueBalance],87)&gt;='Priority Queue'!$C$7),1,0)</f>
        <v>0</v>
      </c>
      <c r="C114" t="str">
        <f>IF($B114=0,"",SUMPRODUCT(($B$28:$B$299=1)*(tQueue[PriorityRank]&lt;INDEX(tQueue[PriorityRank],87)))+1)</f>
        <v/>
      </c>
    </row>
    <row r="115" spans="1:3" x14ac:dyDescent="0.35">
      <c r="A115">
        <v>88</v>
      </c>
      <c r="B115">
        <f>IF(AND(OR('Priority Queue'!$C$4="(All)",INDEX(tQueue[CollectorName],88)='Priority Queue'!$C$4),OR('Priority Queue'!$C$5="(All)",INDEX(tQueue[ActionCode],88)='Priority Queue'!$C$5),OR('Priority Queue'!$C$6="No",INDEX(tQueue[IsTodaysWorklist],88)=1),INDEX(tQueue[PastDueBalance],88)&gt;='Priority Queue'!$C$7),1,0)</f>
        <v>1</v>
      </c>
      <c r="C115">
        <f>IF($B115=0,"",SUMPRODUCT(($B$28:$B$299=1)*(tQueue[PriorityRank]&lt;INDEX(tQueue[PriorityRank],88)))+1)</f>
        <v>51</v>
      </c>
    </row>
    <row r="116" spans="1:3" x14ac:dyDescent="0.35">
      <c r="A116">
        <v>89</v>
      </c>
      <c r="B116">
        <f>IF(AND(OR('Priority Queue'!$C$4="(All)",INDEX(tQueue[CollectorName],89)='Priority Queue'!$C$4),OR('Priority Queue'!$C$5="(All)",INDEX(tQueue[ActionCode],89)='Priority Queue'!$C$5),OR('Priority Queue'!$C$6="No",INDEX(tQueue[IsTodaysWorklist],89)=1),INDEX(tQueue[PastDueBalance],89)&gt;='Priority Queue'!$C$7),1,0)</f>
        <v>0</v>
      </c>
      <c r="C116" t="str">
        <f>IF($B116=0,"",SUMPRODUCT(($B$28:$B$299=1)*(tQueue[PriorityRank]&lt;INDEX(tQueue[PriorityRank],89)))+1)</f>
        <v/>
      </c>
    </row>
    <row r="117" spans="1:3" x14ac:dyDescent="0.35">
      <c r="A117">
        <v>90</v>
      </c>
      <c r="B117">
        <f>IF(AND(OR('Priority Queue'!$C$4="(All)",INDEX(tQueue[CollectorName],90)='Priority Queue'!$C$4),OR('Priority Queue'!$C$5="(All)",INDEX(tQueue[ActionCode],90)='Priority Queue'!$C$5),OR('Priority Queue'!$C$6="No",INDEX(tQueue[IsTodaysWorklist],90)=1),INDEX(tQueue[PastDueBalance],90)&gt;='Priority Queue'!$C$7),1,0)</f>
        <v>0</v>
      </c>
      <c r="C117" t="str">
        <f>IF($B117=0,"",SUMPRODUCT(($B$28:$B$299=1)*(tQueue[PriorityRank]&lt;INDEX(tQueue[PriorityRank],90)))+1)</f>
        <v/>
      </c>
    </row>
    <row r="118" spans="1:3" x14ac:dyDescent="0.35">
      <c r="A118">
        <v>91</v>
      </c>
      <c r="B118">
        <f>IF(AND(OR('Priority Queue'!$C$4="(All)",INDEX(tQueue[CollectorName],91)='Priority Queue'!$C$4),OR('Priority Queue'!$C$5="(All)",INDEX(tQueue[ActionCode],91)='Priority Queue'!$C$5),OR('Priority Queue'!$C$6="No",INDEX(tQueue[IsTodaysWorklist],91)=1),INDEX(tQueue[PastDueBalance],91)&gt;='Priority Queue'!$C$7),1,0)</f>
        <v>0</v>
      </c>
      <c r="C118" t="str">
        <f>IF($B118=0,"",SUMPRODUCT(($B$28:$B$299=1)*(tQueue[PriorityRank]&lt;INDEX(tQueue[PriorityRank],91)))+1)</f>
        <v/>
      </c>
    </row>
    <row r="119" spans="1:3" x14ac:dyDescent="0.35">
      <c r="A119">
        <v>92</v>
      </c>
      <c r="B119">
        <f>IF(AND(OR('Priority Queue'!$C$4="(All)",INDEX(tQueue[CollectorName],92)='Priority Queue'!$C$4),OR('Priority Queue'!$C$5="(All)",INDEX(tQueue[ActionCode],92)='Priority Queue'!$C$5),OR('Priority Queue'!$C$6="No",INDEX(tQueue[IsTodaysWorklist],92)=1),INDEX(tQueue[PastDueBalance],92)&gt;='Priority Queue'!$C$7),1,0)</f>
        <v>0</v>
      </c>
      <c r="C119" t="str">
        <f>IF($B119=0,"",SUMPRODUCT(($B$28:$B$299=1)*(tQueue[PriorityRank]&lt;INDEX(tQueue[PriorityRank],92)))+1)</f>
        <v/>
      </c>
    </row>
    <row r="120" spans="1:3" x14ac:dyDescent="0.35">
      <c r="A120">
        <v>93</v>
      </c>
      <c r="B120">
        <f>IF(AND(OR('Priority Queue'!$C$4="(All)",INDEX(tQueue[CollectorName],93)='Priority Queue'!$C$4),OR('Priority Queue'!$C$5="(All)",INDEX(tQueue[ActionCode],93)='Priority Queue'!$C$5),OR('Priority Queue'!$C$6="No",INDEX(tQueue[IsTodaysWorklist],93)=1),INDEX(tQueue[PastDueBalance],93)&gt;='Priority Queue'!$C$7),1,0)</f>
        <v>0</v>
      </c>
      <c r="C120" t="str">
        <f>IF($B120=0,"",SUMPRODUCT(($B$28:$B$299=1)*(tQueue[PriorityRank]&lt;INDEX(tQueue[PriorityRank],93)))+1)</f>
        <v/>
      </c>
    </row>
    <row r="121" spans="1:3" x14ac:dyDescent="0.35">
      <c r="A121">
        <v>94</v>
      </c>
      <c r="B121">
        <f>IF(AND(OR('Priority Queue'!$C$4="(All)",INDEX(tQueue[CollectorName],94)='Priority Queue'!$C$4),OR('Priority Queue'!$C$5="(All)",INDEX(tQueue[ActionCode],94)='Priority Queue'!$C$5),OR('Priority Queue'!$C$6="No",INDEX(tQueue[IsTodaysWorklist],94)=1),INDEX(tQueue[PastDueBalance],94)&gt;='Priority Queue'!$C$7),1,0)</f>
        <v>0</v>
      </c>
      <c r="C121" t="str">
        <f>IF($B121=0,"",SUMPRODUCT(($B$28:$B$299=1)*(tQueue[PriorityRank]&lt;INDEX(tQueue[PriorityRank],94)))+1)</f>
        <v/>
      </c>
    </row>
    <row r="122" spans="1:3" x14ac:dyDescent="0.35">
      <c r="A122">
        <v>95</v>
      </c>
      <c r="B122">
        <f>IF(AND(OR('Priority Queue'!$C$4="(All)",INDEX(tQueue[CollectorName],95)='Priority Queue'!$C$4),OR('Priority Queue'!$C$5="(All)",INDEX(tQueue[ActionCode],95)='Priority Queue'!$C$5),OR('Priority Queue'!$C$6="No",INDEX(tQueue[IsTodaysWorklist],95)=1),INDEX(tQueue[PastDueBalance],95)&gt;='Priority Queue'!$C$7),1,0)</f>
        <v>0</v>
      </c>
      <c r="C122" t="str">
        <f>IF($B122=0,"",SUMPRODUCT(($B$28:$B$299=1)*(tQueue[PriorityRank]&lt;INDEX(tQueue[PriorityRank],95)))+1)</f>
        <v/>
      </c>
    </row>
    <row r="123" spans="1:3" x14ac:dyDescent="0.35">
      <c r="A123">
        <v>96</v>
      </c>
      <c r="B123">
        <f>IF(AND(OR('Priority Queue'!$C$4="(All)",INDEX(tQueue[CollectorName],96)='Priority Queue'!$C$4),OR('Priority Queue'!$C$5="(All)",INDEX(tQueue[ActionCode],96)='Priority Queue'!$C$5),OR('Priority Queue'!$C$6="No",INDEX(tQueue[IsTodaysWorklist],96)=1),INDEX(tQueue[PastDueBalance],96)&gt;='Priority Queue'!$C$7),1,0)</f>
        <v>0</v>
      </c>
      <c r="C123" t="str">
        <f>IF($B123=0,"",SUMPRODUCT(($B$28:$B$299=1)*(tQueue[PriorityRank]&lt;INDEX(tQueue[PriorityRank],96)))+1)</f>
        <v/>
      </c>
    </row>
    <row r="124" spans="1:3" x14ac:dyDescent="0.35">
      <c r="A124">
        <v>97</v>
      </c>
      <c r="B124">
        <f>IF(AND(OR('Priority Queue'!$C$4="(All)",INDEX(tQueue[CollectorName],97)='Priority Queue'!$C$4),OR('Priority Queue'!$C$5="(All)",INDEX(tQueue[ActionCode],97)='Priority Queue'!$C$5),OR('Priority Queue'!$C$6="No",INDEX(tQueue[IsTodaysWorklist],97)=1),INDEX(tQueue[PastDueBalance],97)&gt;='Priority Queue'!$C$7),1,0)</f>
        <v>0</v>
      </c>
      <c r="C124" t="str">
        <f>IF($B124=0,"",SUMPRODUCT(($B$28:$B$299=1)*(tQueue[PriorityRank]&lt;INDEX(tQueue[PriorityRank],97)))+1)</f>
        <v/>
      </c>
    </row>
    <row r="125" spans="1:3" x14ac:dyDescent="0.35">
      <c r="A125">
        <v>98</v>
      </c>
      <c r="B125">
        <f>IF(AND(OR('Priority Queue'!$C$4="(All)",INDEX(tQueue[CollectorName],98)='Priority Queue'!$C$4),OR('Priority Queue'!$C$5="(All)",INDEX(tQueue[ActionCode],98)='Priority Queue'!$C$5),OR('Priority Queue'!$C$6="No",INDEX(tQueue[IsTodaysWorklist],98)=1),INDEX(tQueue[PastDueBalance],98)&gt;='Priority Queue'!$C$7),1,0)</f>
        <v>1</v>
      </c>
      <c r="C125">
        <f>IF($B125=0,"",SUMPRODUCT(($B$28:$B$299=1)*(tQueue[PriorityRank]&lt;INDEX(tQueue[PriorityRank],98)))+1)</f>
        <v>52</v>
      </c>
    </row>
    <row r="126" spans="1:3" x14ac:dyDescent="0.35">
      <c r="A126">
        <v>99</v>
      </c>
      <c r="B126">
        <f>IF(AND(OR('Priority Queue'!$C$4="(All)",INDEX(tQueue[CollectorName],99)='Priority Queue'!$C$4),OR('Priority Queue'!$C$5="(All)",INDEX(tQueue[ActionCode],99)='Priority Queue'!$C$5),OR('Priority Queue'!$C$6="No",INDEX(tQueue[IsTodaysWorklist],99)=1),INDEX(tQueue[PastDueBalance],99)&gt;='Priority Queue'!$C$7),1,0)</f>
        <v>1</v>
      </c>
      <c r="C126">
        <f>IF($B126=0,"",SUMPRODUCT(($B$28:$B$299=1)*(tQueue[PriorityRank]&lt;INDEX(tQueue[PriorityRank],99)))+1)</f>
        <v>53</v>
      </c>
    </row>
    <row r="127" spans="1:3" x14ac:dyDescent="0.35">
      <c r="A127">
        <v>100</v>
      </c>
      <c r="B127">
        <f>IF(AND(OR('Priority Queue'!$C$4="(All)",INDEX(tQueue[CollectorName],100)='Priority Queue'!$C$4),OR('Priority Queue'!$C$5="(All)",INDEX(tQueue[ActionCode],100)='Priority Queue'!$C$5),OR('Priority Queue'!$C$6="No",INDEX(tQueue[IsTodaysWorklist],100)=1),INDEX(tQueue[PastDueBalance],100)&gt;='Priority Queue'!$C$7),1,0)</f>
        <v>0</v>
      </c>
      <c r="C127" t="str">
        <f>IF($B127=0,"",SUMPRODUCT(($B$28:$B$299=1)*(tQueue[PriorityRank]&lt;INDEX(tQueue[PriorityRank],100)))+1)</f>
        <v/>
      </c>
    </row>
    <row r="128" spans="1:3" x14ac:dyDescent="0.35">
      <c r="A128">
        <v>101</v>
      </c>
      <c r="B128">
        <f>IF(AND(OR('Priority Queue'!$C$4="(All)",INDEX(tQueue[CollectorName],101)='Priority Queue'!$C$4),OR('Priority Queue'!$C$5="(All)",INDEX(tQueue[ActionCode],101)='Priority Queue'!$C$5),OR('Priority Queue'!$C$6="No",INDEX(tQueue[IsTodaysWorklist],101)=1),INDEX(tQueue[PastDueBalance],101)&gt;='Priority Queue'!$C$7),1,0)</f>
        <v>1</v>
      </c>
      <c r="C128">
        <f>IF($B128=0,"",SUMPRODUCT(($B$28:$B$299=1)*(tQueue[PriorityRank]&lt;INDEX(tQueue[PriorityRank],101)))+1)</f>
        <v>54</v>
      </c>
    </row>
    <row r="129" spans="1:3" x14ac:dyDescent="0.35">
      <c r="A129">
        <v>102</v>
      </c>
      <c r="B129">
        <f>IF(AND(OR('Priority Queue'!$C$4="(All)",INDEX(tQueue[CollectorName],102)='Priority Queue'!$C$4),OR('Priority Queue'!$C$5="(All)",INDEX(tQueue[ActionCode],102)='Priority Queue'!$C$5),OR('Priority Queue'!$C$6="No",INDEX(tQueue[IsTodaysWorklist],102)=1),INDEX(tQueue[PastDueBalance],102)&gt;='Priority Queue'!$C$7),1,0)</f>
        <v>0</v>
      </c>
      <c r="C129" t="str">
        <f>IF($B129=0,"",SUMPRODUCT(($B$28:$B$299=1)*(tQueue[PriorityRank]&lt;INDEX(tQueue[PriorityRank],102)))+1)</f>
        <v/>
      </c>
    </row>
    <row r="130" spans="1:3" x14ac:dyDescent="0.35">
      <c r="A130">
        <v>103</v>
      </c>
      <c r="B130">
        <f>IF(AND(OR('Priority Queue'!$C$4="(All)",INDEX(tQueue[CollectorName],103)='Priority Queue'!$C$4),OR('Priority Queue'!$C$5="(All)",INDEX(tQueue[ActionCode],103)='Priority Queue'!$C$5),OR('Priority Queue'!$C$6="No",INDEX(tQueue[IsTodaysWorklist],103)=1),INDEX(tQueue[PastDueBalance],103)&gt;='Priority Queue'!$C$7),1,0)</f>
        <v>0</v>
      </c>
      <c r="C130" t="str">
        <f>IF($B130=0,"",SUMPRODUCT(($B$28:$B$299=1)*(tQueue[PriorityRank]&lt;INDEX(tQueue[PriorityRank],103)))+1)</f>
        <v/>
      </c>
    </row>
    <row r="131" spans="1:3" x14ac:dyDescent="0.35">
      <c r="A131">
        <v>104</v>
      </c>
      <c r="B131">
        <f>IF(AND(OR('Priority Queue'!$C$4="(All)",INDEX(tQueue[CollectorName],104)='Priority Queue'!$C$4),OR('Priority Queue'!$C$5="(All)",INDEX(tQueue[ActionCode],104)='Priority Queue'!$C$5),OR('Priority Queue'!$C$6="No",INDEX(tQueue[IsTodaysWorklist],104)=1),INDEX(tQueue[PastDueBalance],104)&gt;='Priority Queue'!$C$7),1,0)</f>
        <v>0</v>
      </c>
      <c r="C131" t="str">
        <f>IF($B131=0,"",SUMPRODUCT(($B$28:$B$299=1)*(tQueue[PriorityRank]&lt;INDEX(tQueue[PriorityRank],104)))+1)</f>
        <v/>
      </c>
    </row>
    <row r="132" spans="1:3" x14ac:dyDescent="0.35">
      <c r="A132">
        <v>105</v>
      </c>
      <c r="B132">
        <f>IF(AND(OR('Priority Queue'!$C$4="(All)",INDEX(tQueue[CollectorName],105)='Priority Queue'!$C$4),OR('Priority Queue'!$C$5="(All)",INDEX(tQueue[ActionCode],105)='Priority Queue'!$C$5),OR('Priority Queue'!$C$6="No",INDEX(tQueue[IsTodaysWorklist],105)=1),INDEX(tQueue[PastDueBalance],105)&gt;='Priority Queue'!$C$7),1,0)</f>
        <v>1</v>
      </c>
      <c r="C132">
        <f>IF($B132=0,"",SUMPRODUCT(($B$28:$B$299=1)*(tQueue[PriorityRank]&lt;INDEX(tQueue[PriorityRank],105)))+1)</f>
        <v>55</v>
      </c>
    </row>
    <row r="133" spans="1:3" x14ac:dyDescent="0.35">
      <c r="A133">
        <v>106</v>
      </c>
      <c r="B133">
        <f>IF(AND(OR('Priority Queue'!$C$4="(All)",INDEX(tQueue[CollectorName],106)='Priority Queue'!$C$4),OR('Priority Queue'!$C$5="(All)",INDEX(tQueue[ActionCode],106)='Priority Queue'!$C$5),OR('Priority Queue'!$C$6="No",INDEX(tQueue[IsTodaysWorklist],106)=1),INDEX(tQueue[PastDueBalance],106)&gt;='Priority Queue'!$C$7),1,0)</f>
        <v>0</v>
      </c>
      <c r="C133" t="str">
        <f>IF($B133=0,"",SUMPRODUCT(($B$28:$B$299=1)*(tQueue[PriorityRank]&lt;INDEX(tQueue[PriorityRank],106)))+1)</f>
        <v/>
      </c>
    </row>
    <row r="134" spans="1:3" x14ac:dyDescent="0.35">
      <c r="A134">
        <v>107</v>
      </c>
      <c r="B134">
        <f>IF(AND(OR('Priority Queue'!$C$4="(All)",INDEX(tQueue[CollectorName],107)='Priority Queue'!$C$4),OR('Priority Queue'!$C$5="(All)",INDEX(tQueue[ActionCode],107)='Priority Queue'!$C$5),OR('Priority Queue'!$C$6="No",INDEX(tQueue[IsTodaysWorklist],107)=1),INDEX(tQueue[PastDueBalance],107)&gt;='Priority Queue'!$C$7),1,0)</f>
        <v>0</v>
      </c>
      <c r="C134" t="str">
        <f>IF($B134=0,"",SUMPRODUCT(($B$28:$B$299=1)*(tQueue[PriorityRank]&lt;INDEX(tQueue[PriorityRank],107)))+1)</f>
        <v/>
      </c>
    </row>
    <row r="135" spans="1:3" x14ac:dyDescent="0.35">
      <c r="A135">
        <v>108</v>
      </c>
      <c r="B135">
        <f>IF(AND(OR('Priority Queue'!$C$4="(All)",INDEX(tQueue[CollectorName],108)='Priority Queue'!$C$4),OR('Priority Queue'!$C$5="(All)",INDEX(tQueue[ActionCode],108)='Priority Queue'!$C$5),OR('Priority Queue'!$C$6="No",INDEX(tQueue[IsTodaysWorklist],108)=1),INDEX(tQueue[PastDueBalance],108)&gt;='Priority Queue'!$C$7),1,0)</f>
        <v>1</v>
      </c>
      <c r="C135">
        <f>IF($B135=0,"",SUMPRODUCT(($B$28:$B$299=1)*(tQueue[PriorityRank]&lt;INDEX(tQueue[PriorityRank],108)))+1)</f>
        <v>56</v>
      </c>
    </row>
    <row r="136" spans="1:3" x14ac:dyDescent="0.35">
      <c r="A136">
        <v>109</v>
      </c>
      <c r="B136">
        <f>IF(AND(OR('Priority Queue'!$C$4="(All)",INDEX(tQueue[CollectorName],109)='Priority Queue'!$C$4),OR('Priority Queue'!$C$5="(All)",INDEX(tQueue[ActionCode],109)='Priority Queue'!$C$5),OR('Priority Queue'!$C$6="No",INDEX(tQueue[IsTodaysWorklist],109)=1),INDEX(tQueue[PastDueBalance],109)&gt;='Priority Queue'!$C$7),1,0)</f>
        <v>0</v>
      </c>
      <c r="C136" t="str">
        <f>IF($B136=0,"",SUMPRODUCT(($B$28:$B$299=1)*(tQueue[PriorityRank]&lt;INDEX(tQueue[PriorityRank],109)))+1)</f>
        <v/>
      </c>
    </row>
    <row r="137" spans="1:3" x14ac:dyDescent="0.35">
      <c r="A137">
        <v>110</v>
      </c>
      <c r="B137">
        <f>IF(AND(OR('Priority Queue'!$C$4="(All)",INDEX(tQueue[CollectorName],110)='Priority Queue'!$C$4),OR('Priority Queue'!$C$5="(All)",INDEX(tQueue[ActionCode],110)='Priority Queue'!$C$5),OR('Priority Queue'!$C$6="No",INDEX(tQueue[IsTodaysWorklist],110)=1),INDEX(tQueue[PastDueBalance],110)&gt;='Priority Queue'!$C$7),1,0)</f>
        <v>1</v>
      </c>
      <c r="C137">
        <f>IF($B137=0,"",SUMPRODUCT(($B$28:$B$299=1)*(tQueue[PriorityRank]&lt;INDEX(tQueue[PriorityRank],110)))+1)</f>
        <v>57</v>
      </c>
    </row>
    <row r="138" spans="1:3" x14ac:dyDescent="0.35">
      <c r="A138">
        <v>111</v>
      </c>
      <c r="B138">
        <f>IF(AND(OR('Priority Queue'!$C$4="(All)",INDEX(tQueue[CollectorName],111)='Priority Queue'!$C$4),OR('Priority Queue'!$C$5="(All)",INDEX(tQueue[ActionCode],111)='Priority Queue'!$C$5),OR('Priority Queue'!$C$6="No",INDEX(tQueue[IsTodaysWorklist],111)=1),INDEX(tQueue[PastDueBalance],111)&gt;='Priority Queue'!$C$7),1,0)</f>
        <v>1</v>
      </c>
      <c r="C138">
        <f>IF($B138=0,"",SUMPRODUCT(($B$28:$B$299=1)*(tQueue[PriorityRank]&lt;INDEX(tQueue[PriorityRank],111)))+1)</f>
        <v>58</v>
      </c>
    </row>
    <row r="139" spans="1:3" x14ac:dyDescent="0.35">
      <c r="A139">
        <v>112</v>
      </c>
      <c r="B139">
        <f>IF(AND(OR('Priority Queue'!$C$4="(All)",INDEX(tQueue[CollectorName],112)='Priority Queue'!$C$4),OR('Priority Queue'!$C$5="(All)",INDEX(tQueue[ActionCode],112)='Priority Queue'!$C$5),OR('Priority Queue'!$C$6="No",INDEX(tQueue[IsTodaysWorklist],112)=1),INDEX(tQueue[PastDueBalance],112)&gt;='Priority Queue'!$C$7),1,0)</f>
        <v>0</v>
      </c>
      <c r="C139" t="str">
        <f>IF($B139=0,"",SUMPRODUCT(($B$28:$B$299=1)*(tQueue[PriorityRank]&lt;INDEX(tQueue[PriorityRank],112)))+1)</f>
        <v/>
      </c>
    </row>
    <row r="140" spans="1:3" x14ac:dyDescent="0.35">
      <c r="A140">
        <v>113</v>
      </c>
      <c r="B140">
        <f>IF(AND(OR('Priority Queue'!$C$4="(All)",INDEX(tQueue[CollectorName],113)='Priority Queue'!$C$4),OR('Priority Queue'!$C$5="(All)",INDEX(tQueue[ActionCode],113)='Priority Queue'!$C$5),OR('Priority Queue'!$C$6="No",INDEX(tQueue[IsTodaysWorklist],113)=1),INDEX(tQueue[PastDueBalance],113)&gt;='Priority Queue'!$C$7),1,0)</f>
        <v>0</v>
      </c>
      <c r="C140" t="str">
        <f>IF($B140=0,"",SUMPRODUCT(($B$28:$B$299=1)*(tQueue[PriorityRank]&lt;INDEX(tQueue[PriorityRank],113)))+1)</f>
        <v/>
      </c>
    </row>
    <row r="141" spans="1:3" x14ac:dyDescent="0.35">
      <c r="A141">
        <v>114</v>
      </c>
      <c r="B141">
        <f>IF(AND(OR('Priority Queue'!$C$4="(All)",INDEX(tQueue[CollectorName],114)='Priority Queue'!$C$4),OR('Priority Queue'!$C$5="(All)",INDEX(tQueue[ActionCode],114)='Priority Queue'!$C$5),OR('Priority Queue'!$C$6="No",INDEX(tQueue[IsTodaysWorklist],114)=1),INDEX(tQueue[PastDueBalance],114)&gt;='Priority Queue'!$C$7),1,0)</f>
        <v>0</v>
      </c>
      <c r="C141" t="str">
        <f>IF($B141=0,"",SUMPRODUCT(($B$28:$B$299=1)*(tQueue[PriorityRank]&lt;INDEX(tQueue[PriorityRank],114)))+1)</f>
        <v/>
      </c>
    </row>
    <row r="142" spans="1:3" x14ac:dyDescent="0.35">
      <c r="A142">
        <v>115</v>
      </c>
      <c r="B142">
        <f>IF(AND(OR('Priority Queue'!$C$4="(All)",INDEX(tQueue[CollectorName],115)='Priority Queue'!$C$4),OR('Priority Queue'!$C$5="(All)",INDEX(tQueue[ActionCode],115)='Priority Queue'!$C$5),OR('Priority Queue'!$C$6="No",INDEX(tQueue[IsTodaysWorklist],115)=1),INDEX(tQueue[PastDueBalance],115)&gt;='Priority Queue'!$C$7),1,0)</f>
        <v>0</v>
      </c>
      <c r="C142" t="str">
        <f>IF($B142=0,"",SUMPRODUCT(($B$28:$B$299=1)*(tQueue[PriorityRank]&lt;INDEX(tQueue[PriorityRank],115)))+1)</f>
        <v/>
      </c>
    </row>
    <row r="143" spans="1:3" x14ac:dyDescent="0.35">
      <c r="A143">
        <v>116</v>
      </c>
      <c r="B143">
        <f>IF(AND(OR('Priority Queue'!$C$4="(All)",INDEX(tQueue[CollectorName],116)='Priority Queue'!$C$4),OR('Priority Queue'!$C$5="(All)",INDEX(tQueue[ActionCode],116)='Priority Queue'!$C$5),OR('Priority Queue'!$C$6="No",INDEX(tQueue[IsTodaysWorklist],116)=1),INDEX(tQueue[PastDueBalance],116)&gt;='Priority Queue'!$C$7),1,0)</f>
        <v>0</v>
      </c>
      <c r="C143" t="str">
        <f>IF($B143=0,"",SUMPRODUCT(($B$28:$B$299=1)*(tQueue[PriorityRank]&lt;INDEX(tQueue[PriorityRank],116)))+1)</f>
        <v/>
      </c>
    </row>
    <row r="144" spans="1:3" x14ac:dyDescent="0.35">
      <c r="A144">
        <v>117</v>
      </c>
      <c r="B144">
        <f>IF(AND(OR('Priority Queue'!$C$4="(All)",INDEX(tQueue[CollectorName],117)='Priority Queue'!$C$4),OR('Priority Queue'!$C$5="(All)",INDEX(tQueue[ActionCode],117)='Priority Queue'!$C$5),OR('Priority Queue'!$C$6="No",INDEX(tQueue[IsTodaysWorklist],117)=1),INDEX(tQueue[PastDueBalance],117)&gt;='Priority Queue'!$C$7),1,0)</f>
        <v>0</v>
      </c>
      <c r="C144" t="str">
        <f>IF($B144=0,"",SUMPRODUCT(($B$28:$B$299=1)*(tQueue[PriorityRank]&lt;INDEX(tQueue[PriorityRank],117)))+1)</f>
        <v/>
      </c>
    </row>
    <row r="145" spans="1:3" x14ac:dyDescent="0.35">
      <c r="A145">
        <v>118</v>
      </c>
      <c r="B145">
        <f>IF(AND(OR('Priority Queue'!$C$4="(All)",INDEX(tQueue[CollectorName],118)='Priority Queue'!$C$4),OR('Priority Queue'!$C$5="(All)",INDEX(tQueue[ActionCode],118)='Priority Queue'!$C$5),OR('Priority Queue'!$C$6="No",INDEX(tQueue[IsTodaysWorklist],118)=1),INDEX(tQueue[PastDueBalance],118)&gt;='Priority Queue'!$C$7),1,0)</f>
        <v>0</v>
      </c>
      <c r="C145" t="str">
        <f>IF($B145=0,"",SUMPRODUCT(($B$28:$B$299=1)*(tQueue[PriorityRank]&lt;INDEX(tQueue[PriorityRank],118)))+1)</f>
        <v/>
      </c>
    </row>
    <row r="146" spans="1:3" x14ac:dyDescent="0.35">
      <c r="A146">
        <v>119</v>
      </c>
      <c r="B146">
        <f>IF(AND(OR('Priority Queue'!$C$4="(All)",INDEX(tQueue[CollectorName],119)='Priority Queue'!$C$4),OR('Priority Queue'!$C$5="(All)",INDEX(tQueue[ActionCode],119)='Priority Queue'!$C$5),OR('Priority Queue'!$C$6="No",INDEX(tQueue[IsTodaysWorklist],119)=1),INDEX(tQueue[PastDueBalance],119)&gt;='Priority Queue'!$C$7),1,0)</f>
        <v>0</v>
      </c>
      <c r="C146" t="str">
        <f>IF($B146=0,"",SUMPRODUCT(($B$28:$B$299=1)*(tQueue[PriorityRank]&lt;INDEX(tQueue[PriorityRank],119)))+1)</f>
        <v/>
      </c>
    </row>
    <row r="147" spans="1:3" x14ac:dyDescent="0.35">
      <c r="A147">
        <v>120</v>
      </c>
      <c r="B147">
        <f>IF(AND(OR('Priority Queue'!$C$4="(All)",INDEX(tQueue[CollectorName],120)='Priority Queue'!$C$4),OR('Priority Queue'!$C$5="(All)",INDEX(tQueue[ActionCode],120)='Priority Queue'!$C$5),OR('Priority Queue'!$C$6="No",INDEX(tQueue[IsTodaysWorklist],120)=1),INDEX(tQueue[PastDueBalance],120)&gt;='Priority Queue'!$C$7),1,0)</f>
        <v>0</v>
      </c>
      <c r="C147" t="str">
        <f>IF($B147=0,"",SUMPRODUCT(($B$28:$B$299=1)*(tQueue[PriorityRank]&lt;INDEX(tQueue[PriorityRank],120)))+1)</f>
        <v/>
      </c>
    </row>
    <row r="148" spans="1:3" x14ac:dyDescent="0.35">
      <c r="A148">
        <v>121</v>
      </c>
      <c r="B148">
        <f>IF(AND(OR('Priority Queue'!$C$4="(All)",INDEX(tQueue[CollectorName],121)='Priority Queue'!$C$4),OR('Priority Queue'!$C$5="(All)",INDEX(tQueue[ActionCode],121)='Priority Queue'!$C$5),OR('Priority Queue'!$C$6="No",INDEX(tQueue[IsTodaysWorklist],121)=1),INDEX(tQueue[PastDueBalance],121)&gt;='Priority Queue'!$C$7),1,0)</f>
        <v>1</v>
      </c>
      <c r="C148">
        <f>IF($B148=0,"",SUMPRODUCT(($B$28:$B$299=1)*(tQueue[PriorityRank]&lt;INDEX(tQueue[PriorityRank],121)))+1)</f>
        <v>59</v>
      </c>
    </row>
    <row r="149" spans="1:3" x14ac:dyDescent="0.35">
      <c r="A149">
        <v>122</v>
      </c>
      <c r="B149">
        <f>IF(AND(OR('Priority Queue'!$C$4="(All)",INDEX(tQueue[CollectorName],122)='Priority Queue'!$C$4),OR('Priority Queue'!$C$5="(All)",INDEX(tQueue[ActionCode],122)='Priority Queue'!$C$5),OR('Priority Queue'!$C$6="No",INDEX(tQueue[IsTodaysWorklist],122)=1),INDEX(tQueue[PastDueBalance],122)&gt;='Priority Queue'!$C$7),1,0)</f>
        <v>1</v>
      </c>
      <c r="C149">
        <f>IF($B149=0,"",SUMPRODUCT(($B$28:$B$299=1)*(tQueue[PriorityRank]&lt;INDEX(tQueue[PriorityRank],122)))+1)</f>
        <v>60</v>
      </c>
    </row>
    <row r="150" spans="1:3" x14ac:dyDescent="0.35">
      <c r="A150">
        <v>123</v>
      </c>
      <c r="B150">
        <f>IF(AND(OR('Priority Queue'!$C$4="(All)",INDEX(tQueue[CollectorName],123)='Priority Queue'!$C$4),OR('Priority Queue'!$C$5="(All)",INDEX(tQueue[ActionCode],123)='Priority Queue'!$C$5),OR('Priority Queue'!$C$6="No",INDEX(tQueue[IsTodaysWorklist],123)=1),INDEX(tQueue[PastDueBalance],123)&gt;='Priority Queue'!$C$7),1,0)</f>
        <v>1</v>
      </c>
      <c r="C150">
        <f>IF($B150=0,"",SUMPRODUCT(($B$28:$B$299=1)*(tQueue[PriorityRank]&lt;INDEX(tQueue[PriorityRank],123)))+1)</f>
        <v>61</v>
      </c>
    </row>
    <row r="151" spans="1:3" x14ac:dyDescent="0.35">
      <c r="A151">
        <v>124</v>
      </c>
      <c r="B151">
        <f>IF(AND(OR('Priority Queue'!$C$4="(All)",INDEX(tQueue[CollectorName],124)='Priority Queue'!$C$4),OR('Priority Queue'!$C$5="(All)",INDEX(tQueue[ActionCode],124)='Priority Queue'!$C$5),OR('Priority Queue'!$C$6="No",INDEX(tQueue[IsTodaysWorklist],124)=1),INDEX(tQueue[PastDueBalance],124)&gt;='Priority Queue'!$C$7),1,0)</f>
        <v>0</v>
      </c>
      <c r="C151" t="str">
        <f>IF($B151=0,"",SUMPRODUCT(($B$28:$B$299=1)*(tQueue[PriorityRank]&lt;INDEX(tQueue[PriorityRank],124)))+1)</f>
        <v/>
      </c>
    </row>
    <row r="152" spans="1:3" x14ac:dyDescent="0.35">
      <c r="A152">
        <v>125</v>
      </c>
      <c r="B152">
        <f>IF(AND(OR('Priority Queue'!$C$4="(All)",INDEX(tQueue[CollectorName],125)='Priority Queue'!$C$4),OR('Priority Queue'!$C$5="(All)",INDEX(tQueue[ActionCode],125)='Priority Queue'!$C$5),OR('Priority Queue'!$C$6="No",INDEX(tQueue[IsTodaysWorklist],125)=1),INDEX(tQueue[PastDueBalance],125)&gt;='Priority Queue'!$C$7),1,0)</f>
        <v>0</v>
      </c>
      <c r="C152" t="str">
        <f>IF($B152=0,"",SUMPRODUCT(($B$28:$B$299=1)*(tQueue[PriorityRank]&lt;INDEX(tQueue[PriorityRank],125)))+1)</f>
        <v/>
      </c>
    </row>
    <row r="153" spans="1:3" x14ac:dyDescent="0.35">
      <c r="A153">
        <v>126</v>
      </c>
      <c r="B153">
        <f>IF(AND(OR('Priority Queue'!$C$4="(All)",INDEX(tQueue[CollectorName],126)='Priority Queue'!$C$4),OR('Priority Queue'!$C$5="(All)",INDEX(tQueue[ActionCode],126)='Priority Queue'!$C$5),OR('Priority Queue'!$C$6="No",INDEX(tQueue[IsTodaysWorklist],126)=1),INDEX(tQueue[PastDueBalance],126)&gt;='Priority Queue'!$C$7),1,0)</f>
        <v>0</v>
      </c>
      <c r="C153" t="str">
        <f>IF($B153=0,"",SUMPRODUCT(($B$28:$B$299=1)*(tQueue[PriorityRank]&lt;INDEX(tQueue[PriorityRank],126)))+1)</f>
        <v/>
      </c>
    </row>
    <row r="154" spans="1:3" x14ac:dyDescent="0.35">
      <c r="A154">
        <v>127</v>
      </c>
      <c r="B154">
        <f>IF(AND(OR('Priority Queue'!$C$4="(All)",INDEX(tQueue[CollectorName],127)='Priority Queue'!$C$4),OR('Priority Queue'!$C$5="(All)",INDEX(tQueue[ActionCode],127)='Priority Queue'!$C$5),OR('Priority Queue'!$C$6="No",INDEX(tQueue[IsTodaysWorklist],127)=1),INDEX(tQueue[PastDueBalance],127)&gt;='Priority Queue'!$C$7),1,0)</f>
        <v>0</v>
      </c>
      <c r="C154" t="str">
        <f>IF($B154=0,"",SUMPRODUCT(($B$28:$B$299=1)*(tQueue[PriorityRank]&lt;INDEX(tQueue[PriorityRank],127)))+1)</f>
        <v/>
      </c>
    </row>
    <row r="155" spans="1:3" x14ac:dyDescent="0.35">
      <c r="A155">
        <v>128</v>
      </c>
      <c r="B155">
        <f>IF(AND(OR('Priority Queue'!$C$4="(All)",INDEX(tQueue[CollectorName],128)='Priority Queue'!$C$4),OR('Priority Queue'!$C$5="(All)",INDEX(tQueue[ActionCode],128)='Priority Queue'!$C$5),OR('Priority Queue'!$C$6="No",INDEX(tQueue[IsTodaysWorklist],128)=1),INDEX(tQueue[PastDueBalance],128)&gt;='Priority Queue'!$C$7),1,0)</f>
        <v>0</v>
      </c>
      <c r="C155" t="str">
        <f>IF($B155=0,"",SUMPRODUCT(($B$28:$B$299=1)*(tQueue[PriorityRank]&lt;INDEX(tQueue[PriorityRank],128)))+1)</f>
        <v/>
      </c>
    </row>
    <row r="156" spans="1:3" x14ac:dyDescent="0.35">
      <c r="A156">
        <v>129</v>
      </c>
      <c r="B156">
        <f>IF(AND(OR('Priority Queue'!$C$4="(All)",INDEX(tQueue[CollectorName],129)='Priority Queue'!$C$4),OR('Priority Queue'!$C$5="(All)",INDEX(tQueue[ActionCode],129)='Priority Queue'!$C$5),OR('Priority Queue'!$C$6="No",INDEX(tQueue[IsTodaysWorklist],129)=1),INDEX(tQueue[PastDueBalance],129)&gt;='Priority Queue'!$C$7),1,0)</f>
        <v>1</v>
      </c>
      <c r="C156">
        <f>IF($B156=0,"",SUMPRODUCT(($B$28:$B$299=1)*(tQueue[PriorityRank]&lt;INDEX(tQueue[PriorityRank],129)))+1)</f>
        <v>62</v>
      </c>
    </row>
    <row r="157" spans="1:3" x14ac:dyDescent="0.35">
      <c r="A157">
        <v>130</v>
      </c>
      <c r="B157">
        <f>IF(AND(OR('Priority Queue'!$C$4="(All)",INDEX(tQueue[CollectorName],130)='Priority Queue'!$C$4),OR('Priority Queue'!$C$5="(All)",INDEX(tQueue[ActionCode],130)='Priority Queue'!$C$5),OR('Priority Queue'!$C$6="No",INDEX(tQueue[IsTodaysWorklist],130)=1),INDEX(tQueue[PastDueBalance],130)&gt;='Priority Queue'!$C$7),1,0)</f>
        <v>0</v>
      </c>
      <c r="C157" t="str">
        <f>IF($B157=0,"",SUMPRODUCT(($B$28:$B$299=1)*(tQueue[PriorityRank]&lt;INDEX(tQueue[PriorityRank],130)))+1)</f>
        <v/>
      </c>
    </row>
    <row r="158" spans="1:3" x14ac:dyDescent="0.35">
      <c r="A158">
        <v>131</v>
      </c>
      <c r="B158">
        <f>IF(AND(OR('Priority Queue'!$C$4="(All)",INDEX(tQueue[CollectorName],131)='Priority Queue'!$C$4),OR('Priority Queue'!$C$5="(All)",INDEX(tQueue[ActionCode],131)='Priority Queue'!$C$5),OR('Priority Queue'!$C$6="No",INDEX(tQueue[IsTodaysWorklist],131)=1),INDEX(tQueue[PastDueBalance],131)&gt;='Priority Queue'!$C$7),1,0)</f>
        <v>0</v>
      </c>
      <c r="C158" t="str">
        <f>IF($B158=0,"",SUMPRODUCT(($B$28:$B$299=1)*(tQueue[PriorityRank]&lt;INDEX(tQueue[PriorityRank],131)))+1)</f>
        <v/>
      </c>
    </row>
    <row r="159" spans="1:3" x14ac:dyDescent="0.35">
      <c r="A159">
        <v>132</v>
      </c>
      <c r="B159">
        <f>IF(AND(OR('Priority Queue'!$C$4="(All)",INDEX(tQueue[CollectorName],132)='Priority Queue'!$C$4),OR('Priority Queue'!$C$5="(All)",INDEX(tQueue[ActionCode],132)='Priority Queue'!$C$5),OR('Priority Queue'!$C$6="No",INDEX(tQueue[IsTodaysWorklist],132)=1),INDEX(tQueue[PastDueBalance],132)&gt;='Priority Queue'!$C$7),1,0)</f>
        <v>0</v>
      </c>
      <c r="C159" t="str">
        <f>IF($B159=0,"",SUMPRODUCT(($B$28:$B$299=1)*(tQueue[PriorityRank]&lt;INDEX(tQueue[PriorityRank],132)))+1)</f>
        <v/>
      </c>
    </row>
    <row r="160" spans="1:3" x14ac:dyDescent="0.35">
      <c r="A160">
        <v>133</v>
      </c>
      <c r="B160">
        <f>IF(AND(OR('Priority Queue'!$C$4="(All)",INDEX(tQueue[CollectorName],133)='Priority Queue'!$C$4),OR('Priority Queue'!$C$5="(All)",INDEX(tQueue[ActionCode],133)='Priority Queue'!$C$5),OR('Priority Queue'!$C$6="No",INDEX(tQueue[IsTodaysWorklist],133)=1),INDEX(tQueue[PastDueBalance],133)&gt;='Priority Queue'!$C$7),1,0)</f>
        <v>0</v>
      </c>
      <c r="C160" t="str">
        <f>IF($B160=0,"",SUMPRODUCT(($B$28:$B$299=1)*(tQueue[PriorityRank]&lt;INDEX(tQueue[PriorityRank],133)))+1)</f>
        <v/>
      </c>
    </row>
    <row r="161" spans="1:3" x14ac:dyDescent="0.35">
      <c r="A161">
        <v>134</v>
      </c>
      <c r="B161">
        <f>IF(AND(OR('Priority Queue'!$C$4="(All)",INDEX(tQueue[CollectorName],134)='Priority Queue'!$C$4),OR('Priority Queue'!$C$5="(All)",INDEX(tQueue[ActionCode],134)='Priority Queue'!$C$5),OR('Priority Queue'!$C$6="No",INDEX(tQueue[IsTodaysWorklist],134)=1),INDEX(tQueue[PastDueBalance],134)&gt;='Priority Queue'!$C$7),1,0)</f>
        <v>0</v>
      </c>
      <c r="C161" t="str">
        <f>IF($B161=0,"",SUMPRODUCT(($B$28:$B$299=1)*(tQueue[PriorityRank]&lt;INDEX(tQueue[PriorityRank],134)))+1)</f>
        <v/>
      </c>
    </row>
    <row r="162" spans="1:3" x14ac:dyDescent="0.35">
      <c r="A162">
        <v>135</v>
      </c>
      <c r="B162">
        <f>IF(AND(OR('Priority Queue'!$C$4="(All)",INDEX(tQueue[CollectorName],135)='Priority Queue'!$C$4),OR('Priority Queue'!$C$5="(All)",INDEX(tQueue[ActionCode],135)='Priority Queue'!$C$5),OR('Priority Queue'!$C$6="No",INDEX(tQueue[IsTodaysWorklist],135)=1),INDEX(tQueue[PastDueBalance],135)&gt;='Priority Queue'!$C$7),1,0)</f>
        <v>0</v>
      </c>
      <c r="C162" t="str">
        <f>IF($B162=0,"",SUMPRODUCT(($B$28:$B$299=1)*(tQueue[PriorityRank]&lt;INDEX(tQueue[PriorityRank],135)))+1)</f>
        <v/>
      </c>
    </row>
    <row r="163" spans="1:3" x14ac:dyDescent="0.35">
      <c r="A163">
        <v>136</v>
      </c>
      <c r="B163">
        <f>IF(AND(OR('Priority Queue'!$C$4="(All)",INDEX(tQueue[CollectorName],136)='Priority Queue'!$C$4),OR('Priority Queue'!$C$5="(All)",INDEX(tQueue[ActionCode],136)='Priority Queue'!$C$5),OR('Priority Queue'!$C$6="No",INDEX(tQueue[IsTodaysWorklist],136)=1),INDEX(tQueue[PastDueBalance],136)&gt;='Priority Queue'!$C$7),1,0)</f>
        <v>0</v>
      </c>
      <c r="C163" t="str">
        <f>IF($B163=0,"",SUMPRODUCT(($B$28:$B$299=1)*(tQueue[PriorityRank]&lt;INDEX(tQueue[PriorityRank],136)))+1)</f>
        <v/>
      </c>
    </row>
    <row r="164" spans="1:3" x14ac:dyDescent="0.35">
      <c r="A164">
        <v>137</v>
      </c>
      <c r="B164">
        <f>IF(AND(OR('Priority Queue'!$C$4="(All)",INDEX(tQueue[CollectorName],137)='Priority Queue'!$C$4),OR('Priority Queue'!$C$5="(All)",INDEX(tQueue[ActionCode],137)='Priority Queue'!$C$5),OR('Priority Queue'!$C$6="No",INDEX(tQueue[IsTodaysWorklist],137)=1),INDEX(tQueue[PastDueBalance],137)&gt;='Priority Queue'!$C$7),1,0)</f>
        <v>0</v>
      </c>
      <c r="C164" t="str">
        <f>IF($B164=0,"",SUMPRODUCT(($B$28:$B$299=1)*(tQueue[PriorityRank]&lt;INDEX(tQueue[PriorityRank],137)))+1)</f>
        <v/>
      </c>
    </row>
    <row r="165" spans="1:3" x14ac:dyDescent="0.35">
      <c r="A165">
        <v>138</v>
      </c>
      <c r="B165">
        <f>IF(AND(OR('Priority Queue'!$C$4="(All)",INDEX(tQueue[CollectorName],138)='Priority Queue'!$C$4),OR('Priority Queue'!$C$5="(All)",INDEX(tQueue[ActionCode],138)='Priority Queue'!$C$5),OR('Priority Queue'!$C$6="No",INDEX(tQueue[IsTodaysWorklist],138)=1),INDEX(tQueue[PastDueBalance],138)&gt;='Priority Queue'!$C$7),1,0)</f>
        <v>0</v>
      </c>
      <c r="C165" t="str">
        <f>IF($B165=0,"",SUMPRODUCT(($B$28:$B$299=1)*(tQueue[PriorityRank]&lt;INDEX(tQueue[PriorityRank],138)))+1)</f>
        <v/>
      </c>
    </row>
    <row r="166" spans="1:3" x14ac:dyDescent="0.35">
      <c r="A166">
        <v>139</v>
      </c>
      <c r="B166">
        <f>IF(AND(OR('Priority Queue'!$C$4="(All)",INDEX(tQueue[CollectorName],139)='Priority Queue'!$C$4),OR('Priority Queue'!$C$5="(All)",INDEX(tQueue[ActionCode],139)='Priority Queue'!$C$5),OR('Priority Queue'!$C$6="No",INDEX(tQueue[IsTodaysWorklist],139)=1),INDEX(tQueue[PastDueBalance],139)&gt;='Priority Queue'!$C$7),1,0)</f>
        <v>0</v>
      </c>
      <c r="C166" t="str">
        <f>IF($B166=0,"",SUMPRODUCT(($B$28:$B$299=1)*(tQueue[PriorityRank]&lt;INDEX(tQueue[PriorityRank],139)))+1)</f>
        <v/>
      </c>
    </row>
    <row r="167" spans="1:3" x14ac:dyDescent="0.35">
      <c r="A167">
        <v>140</v>
      </c>
      <c r="B167">
        <f>IF(AND(OR('Priority Queue'!$C$4="(All)",INDEX(tQueue[CollectorName],140)='Priority Queue'!$C$4),OR('Priority Queue'!$C$5="(All)",INDEX(tQueue[ActionCode],140)='Priority Queue'!$C$5),OR('Priority Queue'!$C$6="No",INDEX(tQueue[IsTodaysWorklist],140)=1),INDEX(tQueue[PastDueBalance],140)&gt;='Priority Queue'!$C$7),1,0)</f>
        <v>0</v>
      </c>
      <c r="C167" t="str">
        <f>IF($B167=0,"",SUMPRODUCT(($B$28:$B$299=1)*(tQueue[PriorityRank]&lt;INDEX(tQueue[PriorityRank],140)))+1)</f>
        <v/>
      </c>
    </row>
    <row r="168" spans="1:3" x14ac:dyDescent="0.35">
      <c r="A168">
        <v>141</v>
      </c>
      <c r="B168">
        <f>IF(AND(OR('Priority Queue'!$C$4="(All)",INDEX(tQueue[CollectorName],141)='Priority Queue'!$C$4),OR('Priority Queue'!$C$5="(All)",INDEX(tQueue[ActionCode],141)='Priority Queue'!$C$5),OR('Priority Queue'!$C$6="No",INDEX(tQueue[IsTodaysWorklist],141)=1),INDEX(tQueue[PastDueBalance],141)&gt;='Priority Queue'!$C$7),1,0)</f>
        <v>0</v>
      </c>
      <c r="C168" t="str">
        <f>IF($B168=0,"",SUMPRODUCT(($B$28:$B$299=1)*(tQueue[PriorityRank]&lt;INDEX(tQueue[PriorityRank],141)))+1)</f>
        <v/>
      </c>
    </row>
    <row r="169" spans="1:3" x14ac:dyDescent="0.35">
      <c r="A169">
        <v>142</v>
      </c>
      <c r="B169">
        <f>IF(AND(OR('Priority Queue'!$C$4="(All)",INDEX(tQueue[CollectorName],142)='Priority Queue'!$C$4),OR('Priority Queue'!$C$5="(All)",INDEX(tQueue[ActionCode],142)='Priority Queue'!$C$5),OR('Priority Queue'!$C$6="No",INDEX(tQueue[IsTodaysWorklist],142)=1),INDEX(tQueue[PastDueBalance],142)&gt;='Priority Queue'!$C$7),1,0)</f>
        <v>0</v>
      </c>
      <c r="C169" t="str">
        <f>IF($B169=0,"",SUMPRODUCT(($B$28:$B$299=1)*(tQueue[PriorityRank]&lt;INDEX(tQueue[PriorityRank],142)))+1)</f>
        <v/>
      </c>
    </row>
    <row r="170" spans="1:3" x14ac:dyDescent="0.35">
      <c r="A170">
        <v>143</v>
      </c>
      <c r="B170">
        <f>IF(AND(OR('Priority Queue'!$C$4="(All)",INDEX(tQueue[CollectorName],143)='Priority Queue'!$C$4),OR('Priority Queue'!$C$5="(All)",INDEX(tQueue[ActionCode],143)='Priority Queue'!$C$5),OR('Priority Queue'!$C$6="No",INDEX(tQueue[IsTodaysWorklist],143)=1),INDEX(tQueue[PastDueBalance],143)&gt;='Priority Queue'!$C$7),1,0)</f>
        <v>0</v>
      </c>
      <c r="C170" t="str">
        <f>IF($B170=0,"",SUMPRODUCT(($B$28:$B$299=1)*(tQueue[PriorityRank]&lt;INDEX(tQueue[PriorityRank],143)))+1)</f>
        <v/>
      </c>
    </row>
    <row r="171" spans="1:3" x14ac:dyDescent="0.35">
      <c r="A171">
        <v>144</v>
      </c>
      <c r="B171">
        <f>IF(AND(OR('Priority Queue'!$C$4="(All)",INDEX(tQueue[CollectorName],144)='Priority Queue'!$C$4),OR('Priority Queue'!$C$5="(All)",INDEX(tQueue[ActionCode],144)='Priority Queue'!$C$5),OR('Priority Queue'!$C$6="No",INDEX(tQueue[IsTodaysWorklist],144)=1),INDEX(tQueue[PastDueBalance],144)&gt;='Priority Queue'!$C$7),1,0)</f>
        <v>0</v>
      </c>
      <c r="C171" t="str">
        <f>IF($B171=0,"",SUMPRODUCT(($B$28:$B$299=1)*(tQueue[PriorityRank]&lt;INDEX(tQueue[PriorityRank],144)))+1)</f>
        <v/>
      </c>
    </row>
    <row r="172" spans="1:3" x14ac:dyDescent="0.35">
      <c r="A172">
        <v>145</v>
      </c>
      <c r="B172">
        <f>IF(AND(OR('Priority Queue'!$C$4="(All)",INDEX(tQueue[CollectorName],145)='Priority Queue'!$C$4),OR('Priority Queue'!$C$5="(All)",INDEX(tQueue[ActionCode],145)='Priority Queue'!$C$5),OR('Priority Queue'!$C$6="No",INDEX(tQueue[IsTodaysWorklist],145)=1),INDEX(tQueue[PastDueBalance],145)&gt;='Priority Queue'!$C$7),1,0)</f>
        <v>0</v>
      </c>
      <c r="C172" t="str">
        <f>IF($B172=0,"",SUMPRODUCT(($B$28:$B$299=1)*(tQueue[PriorityRank]&lt;INDEX(tQueue[PriorityRank],145)))+1)</f>
        <v/>
      </c>
    </row>
    <row r="173" spans="1:3" x14ac:dyDescent="0.35">
      <c r="A173">
        <v>146</v>
      </c>
      <c r="B173">
        <f>IF(AND(OR('Priority Queue'!$C$4="(All)",INDEX(tQueue[CollectorName],146)='Priority Queue'!$C$4),OR('Priority Queue'!$C$5="(All)",INDEX(tQueue[ActionCode],146)='Priority Queue'!$C$5),OR('Priority Queue'!$C$6="No",INDEX(tQueue[IsTodaysWorklist],146)=1),INDEX(tQueue[PastDueBalance],146)&gt;='Priority Queue'!$C$7),1,0)</f>
        <v>0</v>
      </c>
      <c r="C173" t="str">
        <f>IF($B173=0,"",SUMPRODUCT(($B$28:$B$299=1)*(tQueue[PriorityRank]&lt;INDEX(tQueue[PriorityRank],146)))+1)</f>
        <v/>
      </c>
    </row>
    <row r="174" spans="1:3" x14ac:dyDescent="0.35">
      <c r="A174">
        <v>147</v>
      </c>
      <c r="B174">
        <f>IF(AND(OR('Priority Queue'!$C$4="(All)",INDEX(tQueue[CollectorName],147)='Priority Queue'!$C$4),OR('Priority Queue'!$C$5="(All)",INDEX(tQueue[ActionCode],147)='Priority Queue'!$C$5),OR('Priority Queue'!$C$6="No",INDEX(tQueue[IsTodaysWorklist],147)=1),INDEX(tQueue[PastDueBalance],147)&gt;='Priority Queue'!$C$7),1,0)</f>
        <v>0</v>
      </c>
      <c r="C174" t="str">
        <f>IF($B174=0,"",SUMPRODUCT(($B$28:$B$299=1)*(tQueue[PriorityRank]&lt;INDEX(tQueue[PriorityRank],147)))+1)</f>
        <v/>
      </c>
    </row>
    <row r="175" spans="1:3" x14ac:dyDescent="0.35">
      <c r="A175">
        <v>148</v>
      </c>
      <c r="B175">
        <f>IF(AND(OR('Priority Queue'!$C$4="(All)",INDEX(tQueue[CollectorName],148)='Priority Queue'!$C$4),OR('Priority Queue'!$C$5="(All)",INDEX(tQueue[ActionCode],148)='Priority Queue'!$C$5),OR('Priority Queue'!$C$6="No",INDEX(tQueue[IsTodaysWorklist],148)=1),INDEX(tQueue[PastDueBalance],148)&gt;='Priority Queue'!$C$7),1,0)</f>
        <v>0</v>
      </c>
      <c r="C175" t="str">
        <f>IF($B175=0,"",SUMPRODUCT(($B$28:$B$299=1)*(tQueue[PriorityRank]&lt;INDEX(tQueue[PriorityRank],148)))+1)</f>
        <v/>
      </c>
    </row>
    <row r="176" spans="1:3" x14ac:dyDescent="0.35">
      <c r="A176">
        <v>149</v>
      </c>
      <c r="B176">
        <f>IF(AND(OR('Priority Queue'!$C$4="(All)",INDEX(tQueue[CollectorName],149)='Priority Queue'!$C$4),OR('Priority Queue'!$C$5="(All)",INDEX(tQueue[ActionCode],149)='Priority Queue'!$C$5),OR('Priority Queue'!$C$6="No",INDEX(tQueue[IsTodaysWorklist],149)=1),INDEX(tQueue[PastDueBalance],149)&gt;='Priority Queue'!$C$7),1,0)</f>
        <v>0</v>
      </c>
      <c r="C176" t="str">
        <f>IF($B176=0,"",SUMPRODUCT(($B$28:$B$299=1)*(tQueue[PriorityRank]&lt;INDEX(tQueue[PriorityRank],149)))+1)</f>
        <v/>
      </c>
    </row>
    <row r="177" spans="1:3" x14ac:dyDescent="0.35">
      <c r="A177">
        <v>150</v>
      </c>
      <c r="B177">
        <f>IF(AND(OR('Priority Queue'!$C$4="(All)",INDEX(tQueue[CollectorName],150)='Priority Queue'!$C$4),OR('Priority Queue'!$C$5="(All)",INDEX(tQueue[ActionCode],150)='Priority Queue'!$C$5),OR('Priority Queue'!$C$6="No",INDEX(tQueue[IsTodaysWorklist],150)=1),INDEX(tQueue[PastDueBalance],150)&gt;='Priority Queue'!$C$7),1,0)</f>
        <v>0</v>
      </c>
      <c r="C177" t="str">
        <f>IF($B177=0,"",SUMPRODUCT(($B$28:$B$299=1)*(tQueue[PriorityRank]&lt;INDEX(tQueue[PriorityRank],150)))+1)</f>
        <v/>
      </c>
    </row>
    <row r="178" spans="1:3" x14ac:dyDescent="0.35">
      <c r="A178">
        <v>151</v>
      </c>
      <c r="B178">
        <f>IF(AND(OR('Priority Queue'!$C$4="(All)",INDEX(tQueue[CollectorName],151)='Priority Queue'!$C$4),OR('Priority Queue'!$C$5="(All)",INDEX(tQueue[ActionCode],151)='Priority Queue'!$C$5),OR('Priority Queue'!$C$6="No",INDEX(tQueue[IsTodaysWorklist],151)=1),INDEX(tQueue[PastDueBalance],151)&gt;='Priority Queue'!$C$7),1,0)</f>
        <v>0</v>
      </c>
      <c r="C178" t="str">
        <f>IF($B178=0,"",SUMPRODUCT(($B$28:$B$299=1)*(tQueue[PriorityRank]&lt;INDEX(tQueue[PriorityRank],151)))+1)</f>
        <v/>
      </c>
    </row>
    <row r="179" spans="1:3" x14ac:dyDescent="0.35">
      <c r="A179">
        <v>152</v>
      </c>
      <c r="B179">
        <f>IF(AND(OR('Priority Queue'!$C$4="(All)",INDEX(tQueue[CollectorName],152)='Priority Queue'!$C$4),OR('Priority Queue'!$C$5="(All)",INDEX(tQueue[ActionCode],152)='Priority Queue'!$C$5),OR('Priority Queue'!$C$6="No",INDEX(tQueue[IsTodaysWorklist],152)=1),INDEX(tQueue[PastDueBalance],152)&gt;='Priority Queue'!$C$7),1,0)</f>
        <v>0</v>
      </c>
      <c r="C179" t="str">
        <f>IF($B179=0,"",SUMPRODUCT(($B$28:$B$299=1)*(tQueue[PriorityRank]&lt;INDEX(tQueue[PriorityRank],152)))+1)</f>
        <v/>
      </c>
    </row>
    <row r="180" spans="1:3" x14ac:dyDescent="0.35">
      <c r="A180">
        <v>153</v>
      </c>
      <c r="B180">
        <f>IF(AND(OR('Priority Queue'!$C$4="(All)",INDEX(tQueue[CollectorName],153)='Priority Queue'!$C$4),OR('Priority Queue'!$C$5="(All)",INDEX(tQueue[ActionCode],153)='Priority Queue'!$C$5),OR('Priority Queue'!$C$6="No",INDEX(tQueue[IsTodaysWorklist],153)=1),INDEX(tQueue[PastDueBalance],153)&gt;='Priority Queue'!$C$7),1,0)</f>
        <v>0</v>
      </c>
      <c r="C180" t="str">
        <f>IF($B180=0,"",SUMPRODUCT(($B$28:$B$299=1)*(tQueue[PriorityRank]&lt;INDEX(tQueue[PriorityRank],153)))+1)</f>
        <v/>
      </c>
    </row>
    <row r="181" spans="1:3" x14ac:dyDescent="0.35">
      <c r="A181">
        <v>154</v>
      </c>
      <c r="B181">
        <f>IF(AND(OR('Priority Queue'!$C$4="(All)",INDEX(tQueue[CollectorName],154)='Priority Queue'!$C$4),OR('Priority Queue'!$C$5="(All)",INDEX(tQueue[ActionCode],154)='Priority Queue'!$C$5),OR('Priority Queue'!$C$6="No",INDEX(tQueue[IsTodaysWorklist],154)=1),INDEX(tQueue[PastDueBalance],154)&gt;='Priority Queue'!$C$7),1,0)</f>
        <v>0</v>
      </c>
      <c r="C181" t="str">
        <f>IF($B181=0,"",SUMPRODUCT(($B$28:$B$299=1)*(tQueue[PriorityRank]&lt;INDEX(tQueue[PriorityRank],154)))+1)</f>
        <v/>
      </c>
    </row>
    <row r="182" spans="1:3" x14ac:dyDescent="0.35">
      <c r="A182">
        <v>155</v>
      </c>
      <c r="B182">
        <f>IF(AND(OR('Priority Queue'!$C$4="(All)",INDEX(tQueue[CollectorName],155)='Priority Queue'!$C$4),OR('Priority Queue'!$C$5="(All)",INDEX(tQueue[ActionCode],155)='Priority Queue'!$C$5),OR('Priority Queue'!$C$6="No",INDEX(tQueue[IsTodaysWorklist],155)=1),INDEX(tQueue[PastDueBalance],155)&gt;='Priority Queue'!$C$7),1,0)</f>
        <v>0</v>
      </c>
      <c r="C182" t="str">
        <f>IF($B182=0,"",SUMPRODUCT(($B$28:$B$299=1)*(tQueue[PriorityRank]&lt;INDEX(tQueue[PriorityRank],155)))+1)</f>
        <v/>
      </c>
    </row>
    <row r="183" spans="1:3" x14ac:dyDescent="0.35">
      <c r="A183">
        <v>156</v>
      </c>
      <c r="B183">
        <f>IF(AND(OR('Priority Queue'!$C$4="(All)",INDEX(tQueue[CollectorName],156)='Priority Queue'!$C$4),OR('Priority Queue'!$C$5="(All)",INDEX(tQueue[ActionCode],156)='Priority Queue'!$C$5),OR('Priority Queue'!$C$6="No",INDEX(tQueue[IsTodaysWorklist],156)=1),INDEX(tQueue[PastDueBalance],156)&gt;='Priority Queue'!$C$7),1,0)</f>
        <v>0</v>
      </c>
      <c r="C183" t="str">
        <f>IF($B183=0,"",SUMPRODUCT(($B$28:$B$299=1)*(tQueue[PriorityRank]&lt;INDEX(tQueue[PriorityRank],156)))+1)</f>
        <v/>
      </c>
    </row>
    <row r="184" spans="1:3" x14ac:dyDescent="0.35">
      <c r="A184">
        <v>157</v>
      </c>
      <c r="B184">
        <f>IF(AND(OR('Priority Queue'!$C$4="(All)",INDEX(tQueue[CollectorName],157)='Priority Queue'!$C$4),OR('Priority Queue'!$C$5="(All)",INDEX(tQueue[ActionCode],157)='Priority Queue'!$C$5),OR('Priority Queue'!$C$6="No",INDEX(tQueue[IsTodaysWorklist],157)=1),INDEX(tQueue[PastDueBalance],157)&gt;='Priority Queue'!$C$7),1,0)</f>
        <v>0</v>
      </c>
      <c r="C184" t="str">
        <f>IF($B184=0,"",SUMPRODUCT(($B$28:$B$299=1)*(tQueue[PriorityRank]&lt;INDEX(tQueue[PriorityRank],157)))+1)</f>
        <v/>
      </c>
    </row>
    <row r="185" spans="1:3" x14ac:dyDescent="0.35">
      <c r="A185">
        <v>158</v>
      </c>
      <c r="B185">
        <f>IF(AND(OR('Priority Queue'!$C$4="(All)",INDEX(tQueue[CollectorName],158)='Priority Queue'!$C$4),OR('Priority Queue'!$C$5="(All)",INDEX(tQueue[ActionCode],158)='Priority Queue'!$C$5),OR('Priority Queue'!$C$6="No",INDEX(tQueue[IsTodaysWorklist],158)=1),INDEX(tQueue[PastDueBalance],158)&gt;='Priority Queue'!$C$7),1,0)</f>
        <v>0</v>
      </c>
      <c r="C185" t="str">
        <f>IF($B185=0,"",SUMPRODUCT(($B$28:$B$299=1)*(tQueue[PriorityRank]&lt;INDEX(tQueue[PriorityRank],158)))+1)</f>
        <v/>
      </c>
    </row>
    <row r="186" spans="1:3" x14ac:dyDescent="0.35">
      <c r="A186">
        <v>159</v>
      </c>
      <c r="B186">
        <f>IF(AND(OR('Priority Queue'!$C$4="(All)",INDEX(tQueue[CollectorName],159)='Priority Queue'!$C$4),OR('Priority Queue'!$C$5="(All)",INDEX(tQueue[ActionCode],159)='Priority Queue'!$C$5),OR('Priority Queue'!$C$6="No",INDEX(tQueue[IsTodaysWorklist],159)=1),INDEX(tQueue[PastDueBalance],159)&gt;='Priority Queue'!$C$7),1,0)</f>
        <v>1</v>
      </c>
      <c r="C186">
        <f>IF($B186=0,"",SUMPRODUCT(($B$28:$B$299=1)*(tQueue[PriorityRank]&lt;INDEX(tQueue[PriorityRank],159)))+1)</f>
        <v>63</v>
      </c>
    </row>
    <row r="187" spans="1:3" x14ac:dyDescent="0.35">
      <c r="A187">
        <v>160</v>
      </c>
      <c r="B187">
        <f>IF(AND(OR('Priority Queue'!$C$4="(All)",INDEX(tQueue[CollectorName],160)='Priority Queue'!$C$4),OR('Priority Queue'!$C$5="(All)",INDEX(tQueue[ActionCode],160)='Priority Queue'!$C$5),OR('Priority Queue'!$C$6="No",INDEX(tQueue[IsTodaysWorklist],160)=1),INDEX(tQueue[PastDueBalance],160)&gt;='Priority Queue'!$C$7),1,0)</f>
        <v>0</v>
      </c>
      <c r="C187" t="str">
        <f>IF($B187=0,"",SUMPRODUCT(($B$28:$B$299=1)*(tQueue[PriorityRank]&lt;INDEX(tQueue[PriorityRank],160)))+1)</f>
        <v/>
      </c>
    </row>
    <row r="188" spans="1:3" x14ac:dyDescent="0.35">
      <c r="A188">
        <v>161</v>
      </c>
      <c r="B188">
        <f>IF(AND(OR('Priority Queue'!$C$4="(All)",INDEX(tQueue[CollectorName],161)='Priority Queue'!$C$4),OR('Priority Queue'!$C$5="(All)",INDEX(tQueue[ActionCode],161)='Priority Queue'!$C$5),OR('Priority Queue'!$C$6="No",INDEX(tQueue[IsTodaysWorklist],161)=1),INDEX(tQueue[PastDueBalance],161)&gt;='Priority Queue'!$C$7),1,0)</f>
        <v>0</v>
      </c>
      <c r="C188" t="str">
        <f>IF($B188=0,"",SUMPRODUCT(($B$28:$B$299=1)*(tQueue[PriorityRank]&lt;INDEX(tQueue[PriorityRank],161)))+1)</f>
        <v/>
      </c>
    </row>
    <row r="189" spans="1:3" x14ac:dyDescent="0.35">
      <c r="A189">
        <v>162</v>
      </c>
      <c r="B189">
        <f>IF(AND(OR('Priority Queue'!$C$4="(All)",INDEX(tQueue[CollectorName],162)='Priority Queue'!$C$4),OR('Priority Queue'!$C$5="(All)",INDEX(tQueue[ActionCode],162)='Priority Queue'!$C$5),OR('Priority Queue'!$C$6="No",INDEX(tQueue[IsTodaysWorklist],162)=1),INDEX(tQueue[PastDueBalance],162)&gt;='Priority Queue'!$C$7),1,0)</f>
        <v>0</v>
      </c>
      <c r="C189" t="str">
        <f>IF($B189=0,"",SUMPRODUCT(($B$28:$B$299=1)*(tQueue[PriorityRank]&lt;INDEX(tQueue[PriorityRank],162)))+1)</f>
        <v/>
      </c>
    </row>
    <row r="190" spans="1:3" x14ac:dyDescent="0.35">
      <c r="A190">
        <v>163</v>
      </c>
      <c r="B190">
        <f>IF(AND(OR('Priority Queue'!$C$4="(All)",INDEX(tQueue[CollectorName],163)='Priority Queue'!$C$4),OR('Priority Queue'!$C$5="(All)",INDEX(tQueue[ActionCode],163)='Priority Queue'!$C$5),OR('Priority Queue'!$C$6="No",INDEX(tQueue[IsTodaysWorklist],163)=1),INDEX(tQueue[PastDueBalance],163)&gt;='Priority Queue'!$C$7),1,0)</f>
        <v>0</v>
      </c>
      <c r="C190" t="str">
        <f>IF($B190=0,"",SUMPRODUCT(($B$28:$B$299=1)*(tQueue[PriorityRank]&lt;INDEX(tQueue[PriorityRank],163)))+1)</f>
        <v/>
      </c>
    </row>
    <row r="191" spans="1:3" x14ac:dyDescent="0.35">
      <c r="A191">
        <v>164</v>
      </c>
      <c r="B191">
        <f>IF(AND(OR('Priority Queue'!$C$4="(All)",INDEX(tQueue[CollectorName],164)='Priority Queue'!$C$4),OR('Priority Queue'!$C$5="(All)",INDEX(tQueue[ActionCode],164)='Priority Queue'!$C$5),OR('Priority Queue'!$C$6="No",INDEX(tQueue[IsTodaysWorklist],164)=1),INDEX(tQueue[PastDueBalance],164)&gt;='Priority Queue'!$C$7),1,0)</f>
        <v>0</v>
      </c>
      <c r="C191" t="str">
        <f>IF($B191=0,"",SUMPRODUCT(($B$28:$B$299=1)*(tQueue[PriorityRank]&lt;INDEX(tQueue[PriorityRank],164)))+1)</f>
        <v/>
      </c>
    </row>
    <row r="192" spans="1:3" x14ac:dyDescent="0.35">
      <c r="A192">
        <v>165</v>
      </c>
      <c r="B192">
        <f>IF(AND(OR('Priority Queue'!$C$4="(All)",INDEX(tQueue[CollectorName],165)='Priority Queue'!$C$4),OR('Priority Queue'!$C$5="(All)",INDEX(tQueue[ActionCode],165)='Priority Queue'!$C$5),OR('Priority Queue'!$C$6="No",INDEX(tQueue[IsTodaysWorklist],165)=1),INDEX(tQueue[PastDueBalance],165)&gt;='Priority Queue'!$C$7),1,0)</f>
        <v>0</v>
      </c>
      <c r="C192" t="str">
        <f>IF($B192=0,"",SUMPRODUCT(($B$28:$B$299=1)*(tQueue[PriorityRank]&lt;INDEX(tQueue[PriorityRank],165)))+1)</f>
        <v/>
      </c>
    </row>
    <row r="193" spans="1:3" x14ac:dyDescent="0.35">
      <c r="A193">
        <v>166</v>
      </c>
      <c r="B193">
        <f>IF(AND(OR('Priority Queue'!$C$4="(All)",INDEX(tQueue[CollectorName],166)='Priority Queue'!$C$4),OR('Priority Queue'!$C$5="(All)",INDEX(tQueue[ActionCode],166)='Priority Queue'!$C$5),OR('Priority Queue'!$C$6="No",INDEX(tQueue[IsTodaysWorklist],166)=1),INDEX(tQueue[PastDueBalance],166)&gt;='Priority Queue'!$C$7),1,0)</f>
        <v>0</v>
      </c>
      <c r="C193" t="str">
        <f>IF($B193=0,"",SUMPRODUCT(($B$28:$B$299=1)*(tQueue[PriorityRank]&lt;INDEX(tQueue[PriorityRank],166)))+1)</f>
        <v/>
      </c>
    </row>
    <row r="194" spans="1:3" x14ac:dyDescent="0.35">
      <c r="A194">
        <v>167</v>
      </c>
      <c r="B194">
        <f>IF(AND(OR('Priority Queue'!$C$4="(All)",INDEX(tQueue[CollectorName],167)='Priority Queue'!$C$4),OR('Priority Queue'!$C$5="(All)",INDEX(tQueue[ActionCode],167)='Priority Queue'!$C$5),OR('Priority Queue'!$C$6="No",INDEX(tQueue[IsTodaysWorklist],167)=1),INDEX(tQueue[PastDueBalance],167)&gt;='Priority Queue'!$C$7),1,0)</f>
        <v>0</v>
      </c>
      <c r="C194" t="str">
        <f>IF($B194=0,"",SUMPRODUCT(($B$28:$B$299=1)*(tQueue[PriorityRank]&lt;INDEX(tQueue[PriorityRank],167)))+1)</f>
        <v/>
      </c>
    </row>
    <row r="195" spans="1:3" x14ac:dyDescent="0.35">
      <c r="A195">
        <v>168</v>
      </c>
      <c r="B195">
        <f>IF(AND(OR('Priority Queue'!$C$4="(All)",INDEX(tQueue[CollectorName],168)='Priority Queue'!$C$4),OR('Priority Queue'!$C$5="(All)",INDEX(tQueue[ActionCode],168)='Priority Queue'!$C$5),OR('Priority Queue'!$C$6="No",INDEX(tQueue[IsTodaysWorklist],168)=1),INDEX(tQueue[PastDueBalance],168)&gt;='Priority Queue'!$C$7),1,0)</f>
        <v>0</v>
      </c>
      <c r="C195" t="str">
        <f>IF($B195=0,"",SUMPRODUCT(($B$28:$B$299=1)*(tQueue[PriorityRank]&lt;INDEX(tQueue[PriorityRank],168)))+1)</f>
        <v/>
      </c>
    </row>
    <row r="196" spans="1:3" x14ac:dyDescent="0.35">
      <c r="A196">
        <v>169</v>
      </c>
      <c r="B196">
        <f>IF(AND(OR('Priority Queue'!$C$4="(All)",INDEX(tQueue[CollectorName],169)='Priority Queue'!$C$4),OR('Priority Queue'!$C$5="(All)",INDEX(tQueue[ActionCode],169)='Priority Queue'!$C$5),OR('Priority Queue'!$C$6="No",INDEX(tQueue[IsTodaysWorklist],169)=1),INDEX(tQueue[PastDueBalance],169)&gt;='Priority Queue'!$C$7),1,0)</f>
        <v>0</v>
      </c>
      <c r="C196" t="str">
        <f>IF($B196=0,"",SUMPRODUCT(($B$28:$B$299=1)*(tQueue[PriorityRank]&lt;INDEX(tQueue[PriorityRank],169)))+1)</f>
        <v/>
      </c>
    </row>
    <row r="197" spans="1:3" x14ac:dyDescent="0.35">
      <c r="A197">
        <v>170</v>
      </c>
      <c r="B197">
        <f>IF(AND(OR('Priority Queue'!$C$4="(All)",INDEX(tQueue[CollectorName],170)='Priority Queue'!$C$4),OR('Priority Queue'!$C$5="(All)",INDEX(tQueue[ActionCode],170)='Priority Queue'!$C$5),OR('Priority Queue'!$C$6="No",INDEX(tQueue[IsTodaysWorklist],170)=1),INDEX(tQueue[PastDueBalance],170)&gt;='Priority Queue'!$C$7),1,0)</f>
        <v>0</v>
      </c>
      <c r="C197" t="str">
        <f>IF($B197=0,"",SUMPRODUCT(($B$28:$B$299=1)*(tQueue[PriorityRank]&lt;INDEX(tQueue[PriorityRank],170)))+1)</f>
        <v/>
      </c>
    </row>
    <row r="198" spans="1:3" x14ac:dyDescent="0.35">
      <c r="A198">
        <v>171</v>
      </c>
      <c r="B198">
        <f>IF(AND(OR('Priority Queue'!$C$4="(All)",INDEX(tQueue[CollectorName],171)='Priority Queue'!$C$4),OR('Priority Queue'!$C$5="(All)",INDEX(tQueue[ActionCode],171)='Priority Queue'!$C$5),OR('Priority Queue'!$C$6="No",INDEX(tQueue[IsTodaysWorklist],171)=1),INDEX(tQueue[PastDueBalance],171)&gt;='Priority Queue'!$C$7),1,0)</f>
        <v>0</v>
      </c>
      <c r="C198" t="str">
        <f>IF($B198=0,"",SUMPRODUCT(($B$28:$B$299=1)*(tQueue[PriorityRank]&lt;INDEX(tQueue[PriorityRank],171)))+1)</f>
        <v/>
      </c>
    </row>
    <row r="199" spans="1:3" x14ac:dyDescent="0.35">
      <c r="A199">
        <v>172</v>
      </c>
      <c r="B199">
        <f>IF(AND(OR('Priority Queue'!$C$4="(All)",INDEX(tQueue[CollectorName],172)='Priority Queue'!$C$4),OR('Priority Queue'!$C$5="(All)",INDEX(tQueue[ActionCode],172)='Priority Queue'!$C$5),OR('Priority Queue'!$C$6="No",INDEX(tQueue[IsTodaysWorklist],172)=1),INDEX(tQueue[PastDueBalance],172)&gt;='Priority Queue'!$C$7),1,0)</f>
        <v>0</v>
      </c>
      <c r="C199" t="str">
        <f>IF($B199=0,"",SUMPRODUCT(($B$28:$B$299=1)*(tQueue[PriorityRank]&lt;INDEX(tQueue[PriorityRank],172)))+1)</f>
        <v/>
      </c>
    </row>
    <row r="200" spans="1:3" x14ac:dyDescent="0.35">
      <c r="A200">
        <v>173</v>
      </c>
      <c r="B200">
        <f>IF(AND(OR('Priority Queue'!$C$4="(All)",INDEX(tQueue[CollectorName],173)='Priority Queue'!$C$4),OR('Priority Queue'!$C$5="(All)",INDEX(tQueue[ActionCode],173)='Priority Queue'!$C$5),OR('Priority Queue'!$C$6="No",INDEX(tQueue[IsTodaysWorklist],173)=1),INDEX(tQueue[PastDueBalance],173)&gt;='Priority Queue'!$C$7),1,0)</f>
        <v>0</v>
      </c>
      <c r="C200" t="str">
        <f>IF($B200=0,"",SUMPRODUCT(($B$28:$B$299=1)*(tQueue[PriorityRank]&lt;INDEX(tQueue[PriorityRank],173)))+1)</f>
        <v/>
      </c>
    </row>
    <row r="201" spans="1:3" x14ac:dyDescent="0.35">
      <c r="A201">
        <v>174</v>
      </c>
      <c r="B201">
        <f>IF(AND(OR('Priority Queue'!$C$4="(All)",INDEX(tQueue[CollectorName],174)='Priority Queue'!$C$4),OR('Priority Queue'!$C$5="(All)",INDEX(tQueue[ActionCode],174)='Priority Queue'!$C$5),OR('Priority Queue'!$C$6="No",INDEX(tQueue[IsTodaysWorklist],174)=1),INDEX(tQueue[PastDueBalance],174)&gt;='Priority Queue'!$C$7),1,0)</f>
        <v>0</v>
      </c>
      <c r="C201" t="str">
        <f>IF($B201=0,"",SUMPRODUCT(($B$28:$B$299=1)*(tQueue[PriorityRank]&lt;INDEX(tQueue[PriorityRank],174)))+1)</f>
        <v/>
      </c>
    </row>
    <row r="202" spans="1:3" x14ac:dyDescent="0.35">
      <c r="A202">
        <v>175</v>
      </c>
      <c r="B202">
        <f>IF(AND(OR('Priority Queue'!$C$4="(All)",INDEX(tQueue[CollectorName],175)='Priority Queue'!$C$4),OR('Priority Queue'!$C$5="(All)",INDEX(tQueue[ActionCode],175)='Priority Queue'!$C$5),OR('Priority Queue'!$C$6="No",INDEX(tQueue[IsTodaysWorklist],175)=1),INDEX(tQueue[PastDueBalance],175)&gt;='Priority Queue'!$C$7),1,0)</f>
        <v>0</v>
      </c>
      <c r="C202" t="str">
        <f>IF($B202=0,"",SUMPRODUCT(($B$28:$B$299=1)*(tQueue[PriorityRank]&lt;INDEX(tQueue[PriorityRank],175)))+1)</f>
        <v/>
      </c>
    </row>
    <row r="203" spans="1:3" x14ac:dyDescent="0.35">
      <c r="A203">
        <v>176</v>
      </c>
      <c r="B203">
        <f>IF(AND(OR('Priority Queue'!$C$4="(All)",INDEX(tQueue[CollectorName],176)='Priority Queue'!$C$4),OR('Priority Queue'!$C$5="(All)",INDEX(tQueue[ActionCode],176)='Priority Queue'!$C$5),OR('Priority Queue'!$C$6="No",INDEX(tQueue[IsTodaysWorklist],176)=1),INDEX(tQueue[PastDueBalance],176)&gt;='Priority Queue'!$C$7),1,0)</f>
        <v>0</v>
      </c>
      <c r="C203" t="str">
        <f>IF($B203=0,"",SUMPRODUCT(($B$28:$B$299=1)*(tQueue[PriorityRank]&lt;INDEX(tQueue[PriorityRank],176)))+1)</f>
        <v/>
      </c>
    </row>
    <row r="204" spans="1:3" x14ac:dyDescent="0.35">
      <c r="A204">
        <v>177</v>
      </c>
      <c r="B204">
        <f>IF(AND(OR('Priority Queue'!$C$4="(All)",INDEX(tQueue[CollectorName],177)='Priority Queue'!$C$4),OR('Priority Queue'!$C$5="(All)",INDEX(tQueue[ActionCode],177)='Priority Queue'!$C$5),OR('Priority Queue'!$C$6="No",INDEX(tQueue[IsTodaysWorklist],177)=1),INDEX(tQueue[PastDueBalance],177)&gt;='Priority Queue'!$C$7),1,0)</f>
        <v>0</v>
      </c>
      <c r="C204" t="str">
        <f>IF($B204=0,"",SUMPRODUCT(($B$28:$B$299=1)*(tQueue[PriorityRank]&lt;INDEX(tQueue[PriorityRank],177)))+1)</f>
        <v/>
      </c>
    </row>
    <row r="205" spans="1:3" x14ac:dyDescent="0.35">
      <c r="A205">
        <v>178</v>
      </c>
      <c r="B205">
        <f>IF(AND(OR('Priority Queue'!$C$4="(All)",INDEX(tQueue[CollectorName],178)='Priority Queue'!$C$4),OR('Priority Queue'!$C$5="(All)",INDEX(tQueue[ActionCode],178)='Priority Queue'!$C$5),OR('Priority Queue'!$C$6="No",INDEX(tQueue[IsTodaysWorklist],178)=1),INDEX(tQueue[PastDueBalance],178)&gt;='Priority Queue'!$C$7),1,0)</f>
        <v>0</v>
      </c>
      <c r="C205" t="str">
        <f>IF($B205=0,"",SUMPRODUCT(($B$28:$B$299=1)*(tQueue[PriorityRank]&lt;INDEX(tQueue[PriorityRank],178)))+1)</f>
        <v/>
      </c>
    </row>
    <row r="206" spans="1:3" x14ac:dyDescent="0.35">
      <c r="A206">
        <v>179</v>
      </c>
      <c r="B206">
        <f>IF(AND(OR('Priority Queue'!$C$4="(All)",INDEX(tQueue[CollectorName],179)='Priority Queue'!$C$4),OR('Priority Queue'!$C$5="(All)",INDEX(tQueue[ActionCode],179)='Priority Queue'!$C$5),OR('Priority Queue'!$C$6="No",INDEX(tQueue[IsTodaysWorklist],179)=1),INDEX(tQueue[PastDueBalance],179)&gt;='Priority Queue'!$C$7),1,0)</f>
        <v>0</v>
      </c>
      <c r="C206" t="str">
        <f>IF($B206=0,"",SUMPRODUCT(($B$28:$B$299=1)*(tQueue[PriorityRank]&lt;INDEX(tQueue[PriorityRank],179)))+1)</f>
        <v/>
      </c>
    </row>
    <row r="207" spans="1:3" x14ac:dyDescent="0.35">
      <c r="A207">
        <v>180</v>
      </c>
      <c r="B207">
        <f>IF(AND(OR('Priority Queue'!$C$4="(All)",INDEX(tQueue[CollectorName],180)='Priority Queue'!$C$4),OR('Priority Queue'!$C$5="(All)",INDEX(tQueue[ActionCode],180)='Priority Queue'!$C$5),OR('Priority Queue'!$C$6="No",INDEX(tQueue[IsTodaysWorklist],180)=1),INDEX(tQueue[PastDueBalance],180)&gt;='Priority Queue'!$C$7),1,0)</f>
        <v>0</v>
      </c>
      <c r="C207" t="str">
        <f>IF($B207=0,"",SUMPRODUCT(($B$28:$B$299=1)*(tQueue[PriorityRank]&lt;INDEX(tQueue[PriorityRank],180)))+1)</f>
        <v/>
      </c>
    </row>
    <row r="208" spans="1:3" x14ac:dyDescent="0.35">
      <c r="A208">
        <v>181</v>
      </c>
      <c r="B208">
        <f>IF(AND(OR('Priority Queue'!$C$4="(All)",INDEX(tQueue[CollectorName],181)='Priority Queue'!$C$4),OR('Priority Queue'!$C$5="(All)",INDEX(tQueue[ActionCode],181)='Priority Queue'!$C$5),OR('Priority Queue'!$C$6="No",INDEX(tQueue[IsTodaysWorklist],181)=1),INDEX(tQueue[PastDueBalance],181)&gt;='Priority Queue'!$C$7),1,0)</f>
        <v>0</v>
      </c>
      <c r="C208" t="str">
        <f>IF($B208=0,"",SUMPRODUCT(($B$28:$B$299=1)*(tQueue[PriorityRank]&lt;INDEX(tQueue[PriorityRank],181)))+1)</f>
        <v/>
      </c>
    </row>
    <row r="209" spans="1:3" x14ac:dyDescent="0.35">
      <c r="A209">
        <v>182</v>
      </c>
      <c r="B209">
        <f>IF(AND(OR('Priority Queue'!$C$4="(All)",INDEX(tQueue[CollectorName],182)='Priority Queue'!$C$4),OR('Priority Queue'!$C$5="(All)",INDEX(tQueue[ActionCode],182)='Priority Queue'!$C$5),OR('Priority Queue'!$C$6="No",INDEX(tQueue[IsTodaysWorklist],182)=1),INDEX(tQueue[PastDueBalance],182)&gt;='Priority Queue'!$C$7),1,0)</f>
        <v>0</v>
      </c>
      <c r="C209" t="str">
        <f>IF($B209=0,"",SUMPRODUCT(($B$28:$B$299=1)*(tQueue[PriorityRank]&lt;INDEX(tQueue[PriorityRank],182)))+1)</f>
        <v/>
      </c>
    </row>
    <row r="210" spans="1:3" x14ac:dyDescent="0.35">
      <c r="A210">
        <v>183</v>
      </c>
      <c r="B210">
        <f>IF(AND(OR('Priority Queue'!$C$4="(All)",INDEX(tQueue[CollectorName],183)='Priority Queue'!$C$4),OR('Priority Queue'!$C$5="(All)",INDEX(tQueue[ActionCode],183)='Priority Queue'!$C$5),OR('Priority Queue'!$C$6="No",INDEX(tQueue[IsTodaysWorklist],183)=1),INDEX(tQueue[PastDueBalance],183)&gt;='Priority Queue'!$C$7),1,0)</f>
        <v>0</v>
      </c>
      <c r="C210" t="str">
        <f>IF($B210=0,"",SUMPRODUCT(($B$28:$B$299=1)*(tQueue[PriorityRank]&lt;INDEX(tQueue[PriorityRank],183)))+1)</f>
        <v/>
      </c>
    </row>
    <row r="211" spans="1:3" x14ac:dyDescent="0.35">
      <c r="A211">
        <v>184</v>
      </c>
      <c r="B211">
        <f>IF(AND(OR('Priority Queue'!$C$4="(All)",INDEX(tQueue[CollectorName],184)='Priority Queue'!$C$4),OR('Priority Queue'!$C$5="(All)",INDEX(tQueue[ActionCode],184)='Priority Queue'!$C$5),OR('Priority Queue'!$C$6="No",INDEX(tQueue[IsTodaysWorklist],184)=1),INDEX(tQueue[PastDueBalance],184)&gt;='Priority Queue'!$C$7),1,0)</f>
        <v>0</v>
      </c>
      <c r="C211" t="str">
        <f>IF($B211=0,"",SUMPRODUCT(($B$28:$B$299=1)*(tQueue[PriorityRank]&lt;INDEX(tQueue[PriorityRank],184)))+1)</f>
        <v/>
      </c>
    </row>
    <row r="212" spans="1:3" x14ac:dyDescent="0.35">
      <c r="A212">
        <v>185</v>
      </c>
      <c r="B212">
        <f>IF(AND(OR('Priority Queue'!$C$4="(All)",INDEX(tQueue[CollectorName],185)='Priority Queue'!$C$4),OR('Priority Queue'!$C$5="(All)",INDEX(tQueue[ActionCode],185)='Priority Queue'!$C$5),OR('Priority Queue'!$C$6="No",INDEX(tQueue[IsTodaysWorklist],185)=1),INDEX(tQueue[PastDueBalance],185)&gt;='Priority Queue'!$C$7),1,0)</f>
        <v>0</v>
      </c>
      <c r="C212" t="str">
        <f>IF($B212=0,"",SUMPRODUCT(($B$28:$B$299=1)*(tQueue[PriorityRank]&lt;INDEX(tQueue[PriorityRank],185)))+1)</f>
        <v/>
      </c>
    </row>
    <row r="213" spans="1:3" x14ac:dyDescent="0.35">
      <c r="A213">
        <v>186</v>
      </c>
      <c r="B213">
        <f>IF(AND(OR('Priority Queue'!$C$4="(All)",INDEX(tQueue[CollectorName],186)='Priority Queue'!$C$4),OR('Priority Queue'!$C$5="(All)",INDEX(tQueue[ActionCode],186)='Priority Queue'!$C$5),OR('Priority Queue'!$C$6="No",INDEX(tQueue[IsTodaysWorklist],186)=1),INDEX(tQueue[PastDueBalance],186)&gt;='Priority Queue'!$C$7),1,0)</f>
        <v>0</v>
      </c>
      <c r="C213" t="str">
        <f>IF($B213=0,"",SUMPRODUCT(($B$28:$B$299=1)*(tQueue[PriorityRank]&lt;INDEX(tQueue[PriorityRank],186)))+1)</f>
        <v/>
      </c>
    </row>
    <row r="214" spans="1:3" x14ac:dyDescent="0.35">
      <c r="A214">
        <v>187</v>
      </c>
      <c r="B214">
        <f>IF(AND(OR('Priority Queue'!$C$4="(All)",INDEX(tQueue[CollectorName],187)='Priority Queue'!$C$4),OR('Priority Queue'!$C$5="(All)",INDEX(tQueue[ActionCode],187)='Priority Queue'!$C$5),OR('Priority Queue'!$C$6="No",INDEX(tQueue[IsTodaysWorklist],187)=1),INDEX(tQueue[PastDueBalance],187)&gt;='Priority Queue'!$C$7),1,0)</f>
        <v>0</v>
      </c>
      <c r="C214" t="str">
        <f>IF($B214=0,"",SUMPRODUCT(($B$28:$B$299=1)*(tQueue[PriorityRank]&lt;INDEX(tQueue[PriorityRank],187)))+1)</f>
        <v/>
      </c>
    </row>
    <row r="215" spans="1:3" x14ac:dyDescent="0.35">
      <c r="A215">
        <v>188</v>
      </c>
      <c r="B215">
        <f>IF(AND(OR('Priority Queue'!$C$4="(All)",INDEX(tQueue[CollectorName],188)='Priority Queue'!$C$4),OR('Priority Queue'!$C$5="(All)",INDEX(tQueue[ActionCode],188)='Priority Queue'!$C$5),OR('Priority Queue'!$C$6="No",INDEX(tQueue[IsTodaysWorklist],188)=1),INDEX(tQueue[PastDueBalance],188)&gt;='Priority Queue'!$C$7),1,0)</f>
        <v>0</v>
      </c>
      <c r="C215" t="str">
        <f>IF($B215=0,"",SUMPRODUCT(($B$28:$B$299=1)*(tQueue[PriorityRank]&lt;INDEX(tQueue[PriorityRank],188)))+1)</f>
        <v/>
      </c>
    </row>
    <row r="216" spans="1:3" x14ac:dyDescent="0.35">
      <c r="A216">
        <v>189</v>
      </c>
      <c r="B216">
        <f>IF(AND(OR('Priority Queue'!$C$4="(All)",INDEX(tQueue[CollectorName],189)='Priority Queue'!$C$4),OR('Priority Queue'!$C$5="(All)",INDEX(tQueue[ActionCode],189)='Priority Queue'!$C$5),OR('Priority Queue'!$C$6="No",INDEX(tQueue[IsTodaysWorklist],189)=1),INDEX(tQueue[PastDueBalance],189)&gt;='Priority Queue'!$C$7),1,0)</f>
        <v>0</v>
      </c>
      <c r="C216" t="str">
        <f>IF($B216=0,"",SUMPRODUCT(($B$28:$B$299=1)*(tQueue[PriorityRank]&lt;INDEX(tQueue[PriorityRank],189)))+1)</f>
        <v/>
      </c>
    </row>
    <row r="217" spans="1:3" x14ac:dyDescent="0.35">
      <c r="A217">
        <v>190</v>
      </c>
      <c r="B217">
        <f>IF(AND(OR('Priority Queue'!$C$4="(All)",INDEX(tQueue[CollectorName],190)='Priority Queue'!$C$4),OR('Priority Queue'!$C$5="(All)",INDEX(tQueue[ActionCode],190)='Priority Queue'!$C$5),OR('Priority Queue'!$C$6="No",INDEX(tQueue[IsTodaysWorklist],190)=1),INDEX(tQueue[PastDueBalance],190)&gt;='Priority Queue'!$C$7),1,0)</f>
        <v>0</v>
      </c>
      <c r="C217" t="str">
        <f>IF($B217=0,"",SUMPRODUCT(($B$28:$B$299=1)*(tQueue[PriorityRank]&lt;INDEX(tQueue[PriorityRank],190)))+1)</f>
        <v/>
      </c>
    </row>
    <row r="218" spans="1:3" x14ac:dyDescent="0.35">
      <c r="A218">
        <v>191</v>
      </c>
      <c r="B218">
        <f>IF(AND(OR('Priority Queue'!$C$4="(All)",INDEX(tQueue[CollectorName],191)='Priority Queue'!$C$4),OR('Priority Queue'!$C$5="(All)",INDEX(tQueue[ActionCode],191)='Priority Queue'!$C$5),OR('Priority Queue'!$C$6="No",INDEX(tQueue[IsTodaysWorklist],191)=1),INDEX(tQueue[PastDueBalance],191)&gt;='Priority Queue'!$C$7),1,0)</f>
        <v>0</v>
      </c>
      <c r="C218" t="str">
        <f>IF($B218=0,"",SUMPRODUCT(($B$28:$B$299=1)*(tQueue[PriorityRank]&lt;INDEX(tQueue[PriorityRank],191)))+1)</f>
        <v/>
      </c>
    </row>
    <row r="219" spans="1:3" x14ac:dyDescent="0.35">
      <c r="A219">
        <v>192</v>
      </c>
      <c r="B219">
        <f>IF(AND(OR('Priority Queue'!$C$4="(All)",INDEX(tQueue[CollectorName],192)='Priority Queue'!$C$4),OR('Priority Queue'!$C$5="(All)",INDEX(tQueue[ActionCode],192)='Priority Queue'!$C$5),OR('Priority Queue'!$C$6="No",INDEX(tQueue[IsTodaysWorklist],192)=1),INDEX(tQueue[PastDueBalance],192)&gt;='Priority Queue'!$C$7),1,0)</f>
        <v>0</v>
      </c>
      <c r="C219" t="str">
        <f>IF($B219=0,"",SUMPRODUCT(($B$28:$B$299=1)*(tQueue[PriorityRank]&lt;INDEX(tQueue[PriorityRank],192)))+1)</f>
        <v/>
      </c>
    </row>
    <row r="220" spans="1:3" x14ac:dyDescent="0.35">
      <c r="A220">
        <v>193</v>
      </c>
      <c r="B220">
        <f>IF(AND(OR('Priority Queue'!$C$4="(All)",INDEX(tQueue[CollectorName],193)='Priority Queue'!$C$4),OR('Priority Queue'!$C$5="(All)",INDEX(tQueue[ActionCode],193)='Priority Queue'!$C$5),OR('Priority Queue'!$C$6="No",INDEX(tQueue[IsTodaysWorklist],193)=1),INDEX(tQueue[PastDueBalance],193)&gt;='Priority Queue'!$C$7),1,0)</f>
        <v>0</v>
      </c>
      <c r="C220" t="str">
        <f>IF($B220=0,"",SUMPRODUCT(($B$28:$B$299=1)*(tQueue[PriorityRank]&lt;INDEX(tQueue[PriorityRank],193)))+1)</f>
        <v/>
      </c>
    </row>
    <row r="221" spans="1:3" x14ac:dyDescent="0.35">
      <c r="A221">
        <v>194</v>
      </c>
      <c r="B221">
        <f>IF(AND(OR('Priority Queue'!$C$4="(All)",INDEX(tQueue[CollectorName],194)='Priority Queue'!$C$4),OR('Priority Queue'!$C$5="(All)",INDEX(tQueue[ActionCode],194)='Priority Queue'!$C$5),OR('Priority Queue'!$C$6="No",INDEX(tQueue[IsTodaysWorklist],194)=1),INDEX(tQueue[PastDueBalance],194)&gt;='Priority Queue'!$C$7),1,0)</f>
        <v>0</v>
      </c>
      <c r="C221" t="str">
        <f>IF($B221=0,"",SUMPRODUCT(($B$28:$B$299=1)*(tQueue[PriorityRank]&lt;INDEX(tQueue[PriorityRank],194)))+1)</f>
        <v/>
      </c>
    </row>
    <row r="222" spans="1:3" x14ac:dyDescent="0.35">
      <c r="A222">
        <v>195</v>
      </c>
      <c r="B222">
        <f>IF(AND(OR('Priority Queue'!$C$4="(All)",INDEX(tQueue[CollectorName],195)='Priority Queue'!$C$4),OR('Priority Queue'!$C$5="(All)",INDEX(tQueue[ActionCode],195)='Priority Queue'!$C$5),OR('Priority Queue'!$C$6="No",INDEX(tQueue[IsTodaysWorklist],195)=1),INDEX(tQueue[PastDueBalance],195)&gt;='Priority Queue'!$C$7),1,0)</f>
        <v>0</v>
      </c>
      <c r="C222" t="str">
        <f>IF($B222=0,"",SUMPRODUCT(($B$28:$B$299=1)*(tQueue[PriorityRank]&lt;INDEX(tQueue[PriorityRank],195)))+1)</f>
        <v/>
      </c>
    </row>
    <row r="223" spans="1:3" x14ac:dyDescent="0.35">
      <c r="A223">
        <v>196</v>
      </c>
      <c r="B223">
        <f>IF(AND(OR('Priority Queue'!$C$4="(All)",INDEX(tQueue[CollectorName],196)='Priority Queue'!$C$4),OR('Priority Queue'!$C$5="(All)",INDEX(tQueue[ActionCode],196)='Priority Queue'!$C$5),OR('Priority Queue'!$C$6="No",INDEX(tQueue[IsTodaysWorklist],196)=1),INDEX(tQueue[PastDueBalance],196)&gt;='Priority Queue'!$C$7),1,0)</f>
        <v>0</v>
      </c>
      <c r="C223" t="str">
        <f>IF($B223=0,"",SUMPRODUCT(($B$28:$B$299=1)*(tQueue[PriorityRank]&lt;INDEX(tQueue[PriorityRank],196)))+1)</f>
        <v/>
      </c>
    </row>
    <row r="224" spans="1:3" x14ac:dyDescent="0.35">
      <c r="A224">
        <v>197</v>
      </c>
      <c r="B224">
        <f>IF(AND(OR('Priority Queue'!$C$4="(All)",INDEX(tQueue[CollectorName],197)='Priority Queue'!$C$4),OR('Priority Queue'!$C$5="(All)",INDEX(tQueue[ActionCode],197)='Priority Queue'!$C$5),OR('Priority Queue'!$C$6="No",INDEX(tQueue[IsTodaysWorklist],197)=1),INDEX(tQueue[PastDueBalance],197)&gt;='Priority Queue'!$C$7),1,0)</f>
        <v>0</v>
      </c>
      <c r="C224" t="str">
        <f>IF($B224=0,"",SUMPRODUCT(($B$28:$B$299=1)*(tQueue[PriorityRank]&lt;INDEX(tQueue[PriorityRank],197)))+1)</f>
        <v/>
      </c>
    </row>
    <row r="225" spans="1:3" x14ac:dyDescent="0.35">
      <c r="A225">
        <v>198</v>
      </c>
      <c r="B225">
        <f>IF(AND(OR('Priority Queue'!$C$4="(All)",INDEX(tQueue[CollectorName],198)='Priority Queue'!$C$4),OR('Priority Queue'!$C$5="(All)",INDEX(tQueue[ActionCode],198)='Priority Queue'!$C$5),OR('Priority Queue'!$C$6="No",INDEX(tQueue[IsTodaysWorklist],198)=1),INDEX(tQueue[PastDueBalance],198)&gt;='Priority Queue'!$C$7),1,0)</f>
        <v>1</v>
      </c>
      <c r="C225">
        <f>IF($B225=0,"",SUMPRODUCT(($B$28:$B$299=1)*(tQueue[PriorityRank]&lt;INDEX(tQueue[PriorityRank],198)))+1)</f>
        <v>64</v>
      </c>
    </row>
    <row r="226" spans="1:3" x14ac:dyDescent="0.35">
      <c r="A226">
        <v>199</v>
      </c>
      <c r="B226">
        <f>IF(AND(OR('Priority Queue'!$C$4="(All)",INDEX(tQueue[CollectorName],199)='Priority Queue'!$C$4),OR('Priority Queue'!$C$5="(All)",INDEX(tQueue[ActionCode],199)='Priority Queue'!$C$5),OR('Priority Queue'!$C$6="No",INDEX(tQueue[IsTodaysWorklist],199)=1),INDEX(tQueue[PastDueBalance],199)&gt;='Priority Queue'!$C$7),1,0)</f>
        <v>0</v>
      </c>
      <c r="C226" t="str">
        <f>IF($B226=0,"",SUMPRODUCT(($B$28:$B$299=1)*(tQueue[PriorityRank]&lt;INDEX(tQueue[PriorityRank],199)))+1)</f>
        <v/>
      </c>
    </row>
    <row r="227" spans="1:3" x14ac:dyDescent="0.35">
      <c r="A227">
        <v>200</v>
      </c>
      <c r="B227">
        <f>IF(AND(OR('Priority Queue'!$C$4="(All)",INDEX(tQueue[CollectorName],200)='Priority Queue'!$C$4),OR('Priority Queue'!$C$5="(All)",INDEX(tQueue[ActionCode],200)='Priority Queue'!$C$5),OR('Priority Queue'!$C$6="No",INDEX(tQueue[IsTodaysWorklist],200)=1),INDEX(tQueue[PastDueBalance],200)&gt;='Priority Queue'!$C$7),1,0)</f>
        <v>0</v>
      </c>
      <c r="C227" t="str">
        <f>IF($B227=0,"",SUMPRODUCT(($B$28:$B$299=1)*(tQueue[PriorityRank]&lt;INDEX(tQueue[PriorityRank],200)))+1)</f>
        <v/>
      </c>
    </row>
    <row r="228" spans="1:3" x14ac:dyDescent="0.35">
      <c r="A228">
        <v>201</v>
      </c>
      <c r="B228">
        <f>IF(AND(OR('Priority Queue'!$C$4="(All)",INDEX(tQueue[CollectorName],201)='Priority Queue'!$C$4),OR('Priority Queue'!$C$5="(All)",INDEX(tQueue[ActionCode],201)='Priority Queue'!$C$5),OR('Priority Queue'!$C$6="No",INDEX(tQueue[IsTodaysWorklist],201)=1),INDEX(tQueue[PastDueBalance],201)&gt;='Priority Queue'!$C$7),1,0)</f>
        <v>0</v>
      </c>
      <c r="C228" t="str">
        <f>IF($B228=0,"",SUMPRODUCT(($B$28:$B$299=1)*(tQueue[PriorityRank]&lt;INDEX(tQueue[PriorityRank],201)))+1)</f>
        <v/>
      </c>
    </row>
    <row r="229" spans="1:3" x14ac:dyDescent="0.35">
      <c r="A229">
        <v>202</v>
      </c>
      <c r="B229">
        <f>IF(AND(OR('Priority Queue'!$C$4="(All)",INDEX(tQueue[CollectorName],202)='Priority Queue'!$C$4),OR('Priority Queue'!$C$5="(All)",INDEX(tQueue[ActionCode],202)='Priority Queue'!$C$5),OR('Priority Queue'!$C$6="No",INDEX(tQueue[IsTodaysWorklist],202)=1),INDEX(tQueue[PastDueBalance],202)&gt;='Priority Queue'!$C$7),1,0)</f>
        <v>0</v>
      </c>
      <c r="C229" t="str">
        <f>IF($B229=0,"",SUMPRODUCT(($B$28:$B$299=1)*(tQueue[PriorityRank]&lt;INDEX(tQueue[PriorityRank],202)))+1)</f>
        <v/>
      </c>
    </row>
    <row r="230" spans="1:3" x14ac:dyDescent="0.35">
      <c r="A230">
        <v>203</v>
      </c>
      <c r="B230">
        <f>IF(AND(OR('Priority Queue'!$C$4="(All)",INDEX(tQueue[CollectorName],203)='Priority Queue'!$C$4),OR('Priority Queue'!$C$5="(All)",INDEX(tQueue[ActionCode],203)='Priority Queue'!$C$5),OR('Priority Queue'!$C$6="No",INDEX(tQueue[IsTodaysWorklist],203)=1),INDEX(tQueue[PastDueBalance],203)&gt;='Priority Queue'!$C$7),1,0)</f>
        <v>0</v>
      </c>
      <c r="C230" t="str">
        <f>IF($B230=0,"",SUMPRODUCT(($B$28:$B$299=1)*(tQueue[PriorityRank]&lt;INDEX(tQueue[PriorityRank],203)))+1)</f>
        <v/>
      </c>
    </row>
    <row r="231" spans="1:3" x14ac:dyDescent="0.35">
      <c r="A231">
        <v>204</v>
      </c>
      <c r="B231">
        <f>IF(AND(OR('Priority Queue'!$C$4="(All)",INDEX(tQueue[CollectorName],204)='Priority Queue'!$C$4),OR('Priority Queue'!$C$5="(All)",INDEX(tQueue[ActionCode],204)='Priority Queue'!$C$5),OR('Priority Queue'!$C$6="No",INDEX(tQueue[IsTodaysWorklist],204)=1),INDEX(tQueue[PastDueBalance],204)&gt;='Priority Queue'!$C$7),1,0)</f>
        <v>0</v>
      </c>
      <c r="C231" t="str">
        <f>IF($B231=0,"",SUMPRODUCT(($B$28:$B$299=1)*(tQueue[PriorityRank]&lt;INDEX(tQueue[PriorityRank],204)))+1)</f>
        <v/>
      </c>
    </row>
    <row r="232" spans="1:3" x14ac:dyDescent="0.35">
      <c r="A232">
        <v>205</v>
      </c>
      <c r="B232">
        <f>IF(AND(OR('Priority Queue'!$C$4="(All)",INDEX(tQueue[CollectorName],205)='Priority Queue'!$C$4),OR('Priority Queue'!$C$5="(All)",INDEX(tQueue[ActionCode],205)='Priority Queue'!$C$5),OR('Priority Queue'!$C$6="No",INDEX(tQueue[IsTodaysWorklist],205)=1),INDEX(tQueue[PastDueBalance],205)&gt;='Priority Queue'!$C$7),1,0)</f>
        <v>0</v>
      </c>
      <c r="C232" t="str">
        <f>IF($B232=0,"",SUMPRODUCT(($B$28:$B$299=1)*(tQueue[PriorityRank]&lt;INDEX(tQueue[PriorityRank],205)))+1)</f>
        <v/>
      </c>
    </row>
    <row r="233" spans="1:3" x14ac:dyDescent="0.35">
      <c r="A233">
        <v>206</v>
      </c>
      <c r="B233">
        <f>IF(AND(OR('Priority Queue'!$C$4="(All)",INDEX(tQueue[CollectorName],206)='Priority Queue'!$C$4),OR('Priority Queue'!$C$5="(All)",INDEX(tQueue[ActionCode],206)='Priority Queue'!$C$5),OR('Priority Queue'!$C$6="No",INDEX(tQueue[IsTodaysWorklist],206)=1),INDEX(tQueue[PastDueBalance],206)&gt;='Priority Queue'!$C$7),1,0)</f>
        <v>0</v>
      </c>
      <c r="C233" t="str">
        <f>IF($B233=0,"",SUMPRODUCT(($B$28:$B$299=1)*(tQueue[PriorityRank]&lt;INDEX(tQueue[PriorityRank],206)))+1)</f>
        <v/>
      </c>
    </row>
    <row r="234" spans="1:3" x14ac:dyDescent="0.35">
      <c r="A234">
        <v>207</v>
      </c>
      <c r="B234">
        <f>IF(AND(OR('Priority Queue'!$C$4="(All)",INDEX(tQueue[CollectorName],207)='Priority Queue'!$C$4),OR('Priority Queue'!$C$5="(All)",INDEX(tQueue[ActionCode],207)='Priority Queue'!$C$5),OR('Priority Queue'!$C$6="No",INDEX(tQueue[IsTodaysWorklist],207)=1),INDEX(tQueue[PastDueBalance],207)&gt;='Priority Queue'!$C$7),1,0)</f>
        <v>0</v>
      </c>
      <c r="C234" t="str">
        <f>IF($B234=0,"",SUMPRODUCT(($B$28:$B$299=1)*(tQueue[PriorityRank]&lt;INDEX(tQueue[PriorityRank],207)))+1)</f>
        <v/>
      </c>
    </row>
    <row r="235" spans="1:3" x14ac:dyDescent="0.35">
      <c r="A235">
        <v>208</v>
      </c>
      <c r="B235">
        <f>IF(AND(OR('Priority Queue'!$C$4="(All)",INDEX(tQueue[CollectorName],208)='Priority Queue'!$C$4),OR('Priority Queue'!$C$5="(All)",INDEX(tQueue[ActionCode],208)='Priority Queue'!$C$5),OR('Priority Queue'!$C$6="No",INDEX(tQueue[IsTodaysWorklist],208)=1),INDEX(tQueue[PastDueBalance],208)&gt;='Priority Queue'!$C$7),1,0)</f>
        <v>0</v>
      </c>
      <c r="C235" t="str">
        <f>IF($B235=0,"",SUMPRODUCT(($B$28:$B$299=1)*(tQueue[PriorityRank]&lt;INDEX(tQueue[PriorityRank],208)))+1)</f>
        <v/>
      </c>
    </row>
    <row r="236" spans="1:3" x14ac:dyDescent="0.35">
      <c r="A236">
        <v>209</v>
      </c>
      <c r="B236">
        <f>IF(AND(OR('Priority Queue'!$C$4="(All)",INDEX(tQueue[CollectorName],209)='Priority Queue'!$C$4),OR('Priority Queue'!$C$5="(All)",INDEX(tQueue[ActionCode],209)='Priority Queue'!$C$5),OR('Priority Queue'!$C$6="No",INDEX(tQueue[IsTodaysWorklist],209)=1),INDEX(tQueue[PastDueBalance],209)&gt;='Priority Queue'!$C$7),1,0)</f>
        <v>0</v>
      </c>
      <c r="C236" t="str">
        <f>IF($B236=0,"",SUMPRODUCT(($B$28:$B$299=1)*(tQueue[PriorityRank]&lt;INDEX(tQueue[PriorityRank],209)))+1)</f>
        <v/>
      </c>
    </row>
    <row r="237" spans="1:3" x14ac:dyDescent="0.35">
      <c r="A237">
        <v>210</v>
      </c>
      <c r="B237">
        <f>IF(AND(OR('Priority Queue'!$C$4="(All)",INDEX(tQueue[CollectorName],210)='Priority Queue'!$C$4),OR('Priority Queue'!$C$5="(All)",INDEX(tQueue[ActionCode],210)='Priority Queue'!$C$5),OR('Priority Queue'!$C$6="No",INDEX(tQueue[IsTodaysWorklist],210)=1),INDEX(tQueue[PastDueBalance],210)&gt;='Priority Queue'!$C$7),1,0)</f>
        <v>0</v>
      </c>
      <c r="C237" t="str">
        <f>IF($B237=0,"",SUMPRODUCT(($B$28:$B$299=1)*(tQueue[PriorityRank]&lt;INDEX(tQueue[PriorityRank],210)))+1)</f>
        <v/>
      </c>
    </row>
    <row r="238" spans="1:3" x14ac:dyDescent="0.35">
      <c r="A238">
        <v>211</v>
      </c>
      <c r="B238">
        <f>IF(AND(OR('Priority Queue'!$C$4="(All)",INDEX(tQueue[CollectorName],211)='Priority Queue'!$C$4),OR('Priority Queue'!$C$5="(All)",INDEX(tQueue[ActionCode],211)='Priority Queue'!$C$5),OR('Priority Queue'!$C$6="No",INDEX(tQueue[IsTodaysWorklist],211)=1),INDEX(tQueue[PastDueBalance],211)&gt;='Priority Queue'!$C$7),1,0)</f>
        <v>0</v>
      </c>
      <c r="C238" t="str">
        <f>IF($B238=0,"",SUMPRODUCT(($B$28:$B$299=1)*(tQueue[PriorityRank]&lt;INDEX(tQueue[PriorityRank],211)))+1)</f>
        <v/>
      </c>
    </row>
    <row r="239" spans="1:3" x14ac:dyDescent="0.35">
      <c r="A239">
        <v>212</v>
      </c>
      <c r="B239">
        <f>IF(AND(OR('Priority Queue'!$C$4="(All)",INDEX(tQueue[CollectorName],212)='Priority Queue'!$C$4),OR('Priority Queue'!$C$5="(All)",INDEX(tQueue[ActionCode],212)='Priority Queue'!$C$5),OR('Priority Queue'!$C$6="No",INDEX(tQueue[IsTodaysWorklist],212)=1),INDEX(tQueue[PastDueBalance],212)&gt;='Priority Queue'!$C$7),1,0)</f>
        <v>0</v>
      </c>
      <c r="C239" t="str">
        <f>IF($B239=0,"",SUMPRODUCT(($B$28:$B$299=1)*(tQueue[PriorityRank]&lt;INDEX(tQueue[PriorityRank],212)))+1)</f>
        <v/>
      </c>
    </row>
    <row r="240" spans="1:3" x14ac:dyDescent="0.35">
      <c r="A240">
        <v>213</v>
      </c>
      <c r="B240">
        <f>IF(AND(OR('Priority Queue'!$C$4="(All)",INDEX(tQueue[CollectorName],213)='Priority Queue'!$C$4),OR('Priority Queue'!$C$5="(All)",INDEX(tQueue[ActionCode],213)='Priority Queue'!$C$5),OR('Priority Queue'!$C$6="No",INDEX(tQueue[IsTodaysWorklist],213)=1),INDEX(tQueue[PastDueBalance],213)&gt;='Priority Queue'!$C$7),1,0)</f>
        <v>0</v>
      </c>
      <c r="C240" t="str">
        <f>IF($B240=0,"",SUMPRODUCT(($B$28:$B$299=1)*(tQueue[PriorityRank]&lt;INDEX(tQueue[PriorityRank],213)))+1)</f>
        <v/>
      </c>
    </row>
    <row r="241" spans="1:3" x14ac:dyDescent="0.35">
      <c r="A241">
        <v>214</v>
      </c>
      <c r="B241">
        <f>IF(AND(OR('Priority Queue'!$C$4="(All)",INDEX(tQueue[CollectorName],214)='Priority Queue'!$C$4),OR('Priority Queue'!$C$5="(All)",INDEX(tQueue[ActionCode],214)='Priority Queue'!$C$5),OR('Priority Queue'!$C$6="No",INDEX(tQueue[IsTodaysWorklist],214)=1),INDEX(tQueue[PastDueBalance],214)&gt;='Priority Queue'!$C$7),1,0)</f>
        <v>0</v>
      </c>
      <c r="C241" t="str">
        <f>IF($B241=0,"",SUMPRODUCT(($B$28:$B$299=1)*(tQueue[PriorityRank]&lt;INDEX(tQueue[PriorityRank],214)))+1)</f>
        <v/>
      </c>
    </row>
    <row r="242" spans="1:3" x14ac:dyDescent="0.35">
      <c r="A242">
        <v>215</v>
      </c>
      <c r="B242">
        <f>IF(AND(OR('Priority Queue'!$C$4="(All)",INDEX(tQueue[CollectorName],215)='Priority Queue'!$C$4),OR('Priority Queue'!$C$5="(All)",INDEX(tQueue[ActionCode],215)='Priority Queue'!$C$5),OR('Priority Queue'!$C$6="No",INDEX(tQueue[IsTodaysWorklist],215)=1),INDEX(tQueue[PastDueBalance],215)&gt;='Priority Queue'!$C$7),1,0)</f>
        <v>0</v>
      </c>
      <c r="C242" t="str">
        <f>IF($B242=0,"",SUMPRODUCT(($B$28:$B$299=1)*(tQueue[PriorityRank]&lt;INDEX(tQueue[PriorityRank],215)))+1)</f>
        <v/>
      </c>
    </row>
    <row r="243" spans="1:3" x14ac:dyDescent="0.35">
      <c r="A243">
        <v>216</v>
      </c>
      <c r="B243">
        <f>IF(AND(OR('Priority Queue'!$C$4="(All)",INDEX(tQueue[CollectorName],216)='Priority Queue'!$C$4),OR('Priority Queue'!$C$5="(All)",INDEX(tQueue[ActionCode],216)='Priority Queue'!$C$5),OR('Priority Queue'!$C$6="No",INDEX(tQueue[IsTodaysWorklist],216)=1),INDEX(tQueue[PastDueBalance],216)&gt;='Priority Queue'!$C$7),1,0)</f>
        <v>0</v>
      </c>
      <c r="C243" t="str">
        <f>IF($B243=0,"",SUMPRODUCT(($B$28:$B$299=1)*(tQueue[PriorityRank]&lt;INDEX(tQueue[PriorityRank],216)))+1)</f>
        <v/>
      </c>
    </row>
    <row r="244" spans="1:3" x14ac:dyDescent="0.35">
      <c r="A244">
        <v>217</v>
      </c>
      <c r="B244">
        <f>IF(AND(OR('Priority Queue'!$C$4="(All)",INDEX(tQueue[CollectorName],217)='Priority Queue'!$C$4),OR('Priority Queue'!$C$5="(All)",INDEX(tQueue[ActionCode],217)='Priority Queue'!$C$5),OR('Priority Queue'!$C$6="No",INDEX(tQueue[IsTodaysWorklist],217)=1),INDEX(tQueue[PastDueBalance],217)&gt;='Priority Queue'!$C$7),1,0)</f>
        <v>0</v>
      </c>
      <c r="C244" t="str">
        <f>IF($B244=0,"",SUMPRODUCT(($B$28:$B$299=1)*(tQueue[PriorityRank]&lt;INDEX(tQueue[PriorityRank],217)))+1)</f>
        <v/>
      </c>
    </row>
    <row r="245" spans="1:3" x14ac:dyDescent="0.35">
      <c r="A245">
        <v>218</v>
      </c>
      <c r="B245">
        <f>IF(AND(OR('Priority Queue'!$C$4="(All)",INDEX(tQueue[CollectorName],218)='Priority Queue'!$C$4),OR('Priority Queue'!$C$5="(All)",INDEX(tQueue[ActionCode],218)='Priority Queue'!$C$5),OR('Priority Queue'!$C$6="No",INDEX(tQueue[IsTodaysWorklist],218)=1),INDEX(tQueue[PastDueBalance],218)&gt;='Priority Queue'!$C$7),1,0)</f>
        <v>0</v>
      </c>
      <c r="C245" t="str">
        <f>IF($B245=0,"",SUMPRODUCT(($B$28:$B$299=1)*(tQueue[PriorityRank]&lt;INDEX(tQueue[PriorityRank],218)))+1)</f>
        <v/>
      </c>
    </row>
    <row r="246" spans="1:3" x14ac:dyDescent="0.35">
      <c r="A246">
        <v>219</v>
      </c>
      <c r="B246">
        <f>IF(AND(OR('Priority Queue'!$C$4="(All)",INDEX(tQueue[CollectorName],219)='Priority Queue'!$C$4),OR('Priority Queue'!$C$5="(All)",INDEX(tQueue[ActionCode],219)='Priority Queue'!$C$5),OR('Priority Queue'!$C$6="No",INDEX(tQueue[IsTodaysWorklist],219)=1),INDEX(tQueue[PastDueBalance],219)&gt;='Priority Queue'!$C$7),1,0)</f>
        <v>1</v>
      </c>
      <c r="C246">
        <f>IF($B246=0,"",SUMPRODUCT(($B$28:$B$299=1)*(tQueue[PriorityRank]&lt;INDEX(tQueue[PriorityRank],219)))+1)</f>
        <v>65</v>
      </c>
    </row>
    <row r="247" spans="1:3" x14ac:dyDescent="0.35">
      <c r="A247">
        <v>220</v>
      </c>
      <c r="B247">
        <f>IF(AND(OR('Priority Queue'!$C$4="(All)",INDEX(tQueue[CollectorName],220)='Priority Queue'!$C$4),OR('Priority Queue'!$C$5="(All)",INDEX(tQueue[ActionCode],220)='Priority Queue'!$C$5),OR('Priority Queue'!$C$6="No",INDEX(tQueue[IsTodaysWorklist],220)=1),INDEX(tQueue[PastDueBalance],220)&gt;='Priority Queue'!$C$7),1,0)</f>
        <v>0</v>
      </c>
      <c r="C247" t="str">
        <f>IF($B247=0,"",SUMPRODUCT(($B$28:$B$299=1)*(tQueue[PriorityRank]&lt;INDEX(tQueue[PriorityRank],220)))+1)</f>
        <v/>
      </c>
    </row>
    <row r="248" spans="1:3" x14ac:dyDescent="0.35">
      <c r="A248">
        <v>221</v>
      </c>
      <c r="B248">
        <f>IF(AND(OR('Priority Queue'!$C$4="(All)",INDEX(tQueue[CollectorName],221)='Priority Queue'!$C$4),OR('Priority Queue'!$C$5="(All)",INDEX(tQueue[ActionCode],221)='Priority Queue'!$C$5),OR('Priority Queue'!$C$6="No",INDEX(tQueue[IsTodaysWorklist],221)=1),INDEX(tQueue[PastDueBalance],221)&gt;='Priority Queue'!$C$7),1,0)</f>
        <v>0</v>
      </c>
      <c r="C248" t="str">
        <f>IF($B248=0,"",SUMPRODUCT(($B$28:$B$299=1)*(tQueue[PriorityRank]&lt;INDEX(tQueue[PriorityRank],221)))+1)</f>
        <v/>
      </c>
    </row>
    <row r="249" spans="1:3" x14ac:dyDescent="0.35">
      <c r="A249">
        <v>222</v>
      </c>
      <c r="B249">
        <f>IF(AND(OR('Priority Queue'!$C$4="(All)",INDEX(tQueue[CollectorName],222)='Priority Queue'!$C$4),OR('Priority Queue'!$C$5="(All)",INDEX(tQueue[ActionCode],222)='Priority Queue'!$C$5),OR('Priority Queue'!$C$6="No",INDEX(tQueue[IsTodaysWorklist],222)=1),INDEX(tQueue[PastDueBalance],222)&gt;='Priority Queue'!$C$7),1,0)</f>
        <v>0</v>
      </c>
      <c r="C249" t="str">
        <f>IF($B249=0,"",SUMPRODUCT(($B$28:$B$299=1)*(tQueue[PriorityRank]&lt;INDEX(tQueue[PriorityRank],222)))+1)</f>
        <v/>
      </c>
    </row>
    <row r="250" spans="1:3" x14ac:dyDescent="0.35">
      <c r="A250">
        <v>223</v>
      </c>
      <c r="B250">
        <f>IF(AND(OR('Priority Queue'!$C$4="(All)",INDEX(tQueue[CollectorName],223)='Priority Queue'!$C$4),OR('Priority Queue'!$C$5="(All)",INDEX(tQueue[ActionCode],223)='Priority Queue'!$C$5),OR('Priority Queue'!$C$6="No",INDEX(tQueue[IsTodaysWorklist],223)=1),INDEX(tQueue[PastDueBalance],223)&gt;='Priority Queue'!$C$7),1,0)</f>
        <v>0</v>
      </c>
      <c r="C250" t="str">
        <f>IF($B250=0,"",SUMPRODUCT(($B$28:$B$299=1)*(tQueue[PriorityRank]&lt;INDEX(tQueue[PriorityRank],223)))+1)</f>
        <v/>
      </c>
    </row>
    <row r="251" spans="1:3" x14ac:dyDescent="0.35">
      <c r="A251">
        <v>224</v>
      </c>
      <c r="B251">
        <f>IF(AND(OR('Priority Queue'!$C$4="(All)",INDEX(tQueue[CollectorName],224)='Priority Queue'!$C$4),OR('Priority Queue'!$C$5="(All)",INDEX(tQueue[ActionCode],224)='Priority Queue'!$C$5),OR('Priority Queue'!$C$6="No",INDEX(tQueue[IsTodaysWorklist],224)=1),INDEX(tQueue[PastDueBalance],224)&gt;='Priority Queue'!$C$7),1,0)</f>
        <v>0</v>
      </c>
      <c r="C251" t="str">
        <f>IF($B251=0,"",SUMPRODUCT(($B$28:$B$299=1)*(tQueue[PriorityRank]&lt;INDEX(tQueue[PriorityRank],224)))+1)</f>
        <v/>
      </c>
    </row>
    <row r="252" spans="1:3" x14ac:dyDescent="0.35">
      <c r="A252">
        <v>225</v>
      </c>
      <c r="B252">
        <f>IF(AND(OR('Priority Queue'!$C$4="(All)",INDEX(tQueue[CollectorName],225)='Priority Queue'!$C$4),OR('Priority Queue'!$C$5="(All)",INDEX(tQueue[ActionCode],225)='Priority Queue'!$C$5),OR('Priority Queue'!$C$6="No",INDEX(tQueue[IsTodaysWorklist],225)=1),INDEX(tQueue[PastDueBalance],225)&gt;='Priority Queue'!$C$7),1,0)</f>
        <v>0</v>
      </c>
      <c r="C252" t="str">
        <f>IF($B252=0,"",SUMPRODUCT(($B$28:$B$299=1)*(tQueue[PriorityRank]&lt;INDEX(tQueue[PriorityRank],225)))+1)</f>
        <v/>
      </c>
    </row>
    <row r="253" spans="1:3" x14ac:dyDescent="0.35">
      <c r="A253">
        <v>226</v>
      </c>
      <c r="B253">
        <f>IF(AND(OR('Priority Queue'!$C$4="(All)",INDEX(tQueue[CollectorName],226)='Priority Queue'!$C$4),OR('Priority Queue'!$C$5="(All)",INDEX(tQueue[ActionCode],226)='Priority Queue'!$C$5),OR('Priority Queue'!$C$6="No",INDEX(tQueue[IsTodaysWorklist],226)=1),INDEX(tQueue[PastDueBalance],226)&gt;='Priority Queue'!$C$7),1,0)</f>
        <v>0</v>
      </c>
      <c r="C253" t="str">
        <f>IF($B253=0,"",SUMPRODUCT(($B$28:$B$299=1)*(tQueue[PriorityRank]&lt;INDEX(tQueue[PriorityRank],226)))+1)</f>
        <v/>
      </c>
    </row>
    <row r="254" spans="1:3" x14ac:dyDescent="0.35">
      <c r="A254">
        <v>227</v>
      </c>
      <c r="B254">
        <f>IF(AND(OR('Priority Queue'!$C$4="(All)",INDEX(tQueue[CollectorName],227)='Priority Queue'!$C$4),OR('Priority Queue'!$C$5="(All)",INDEX(tQueue[ActionCode],227)='Priority Queue'!$C$5),OR('Priority Queue'!$C$6="No",INDEX(tQueue[IsTodaysWorklist],227)=1),INDEX(tQueue[PastDueBalance],227)&gt;='Priority Queue'!$C$7),1,0)</f>
        <v>0</v>
      </c>
      <c r="C254" t="str">
        <f>IF($B254=0,"",SUMPRODUCT(($B$28:$B$299=1)*(tQueue[PriorityRank]&lt;INDEX(tQueue[PriorityRank],227)))+1)</f>
        <v/>
      </c>
    </row>
    <row r="255" spans="1:3" x14ac:dyDescent="0.35">
      <c r="A255">
        <v>228</v>
      </c>
      <c r="B255">
        <f>IF(AND(OR('Priority Queue'!$C$4="(All)",INDEX(tQueue[CollectorName],228)='Priority Queue'!$C$4),OR('Priority Queue'!$C$5="(All)",INDEX(tQueue[ActionCode],228)='Priority Queue'!$C$5),OR('Priority Queue'!$C$6="No",INDEX(tQueue[IsTodaysWorklist],228)=1),INDEX(tQueue[PastDueBalance],228)&gt;='Priority Queue'!$C$7),1,0)</f>
        <v>0</v>
      </c>
      <c r="C255" t="str">
        <f>IF($B255=0,"",SUMPRODUCT(($B$28:$B$299=1)*(tQueue[PriorityRank]&lt;INDEX(tQueue[PriorityRank],228)))+1)</f>
        <v/>
      </c>
    </row>
    <row r="256" spans="1:3" x14ac:dyDescent="0.35">
      <c r="A256">
        <v>229</v>
      </c>
      <c r="B256">
        <f>IF(AND(OR('Priority Queue'!$C$4="(All)",INDEX(tQueue[CollectorName],229)='Priority Queue'!$C$4),OR('Priority Queue'!$C$5="(All)",INDEX(tQueue[ActionCode],229)='Priority Queue'!$C$5),OR('Priority Queue'!$C$6="No",INDEX(tQueue[IsTodaysWorklist],229)=1),INDEX(tQueue[PastDueBalance],229)&gt;='Priority Queue'!$C$7),1,0)</f>
        <v>0</v>
      </c>
      <c r="C256" t="str">
        <f>IF($B256=0,"",SUMPRODUCT(($B$28:$B$299=1)*(tQueue[PriorityRank]&lt;INDEX(tQueue[PriorityRank],229)))+1)</f>
        <v/>
      </c>
    </row>
    <row r="257" spans="1:3" x14ac:dyDescent="0.35">
      <c r="A257">
        <v>230</v>
      </c>
      <c r="B257">
        <f>IF(AND(OR('Priority Queue'!$C$4="(All)",INDEX(tQueue[CollectorName],230)='Priority Queue'!$C$4),OR('Priority Queue'!$C$5="(All)",INDEX(tQueue[ActionCode],230)='Priority Queue'!$C$5),OR('Priority Queue'!$C$6="No",INDEX(tQueue[IsTodaysWorklist],230)=1),INDEX(tQueue[PastDueBalance],230)&gt;='Priority Queue'!$C$7),1,0)</f>
        <v>0</v>
      </c>
      <c r="C257" t="str">
        <f>IF($B257=0,"",SUMPRODUCT(($B$28:$B$299=1)*(tQueue[PriorityRank]&lt;INDEX(tQueue[PriorityRank],230)))+1)</f>
        <v/>
      </c>
    </row>
    <row r="258" spans="1:3" x14ac:dyDescent="0.35">
      <c r="A258">
        <v>231</v>
      </c>
      <c r="B258">
        <f>IF(AND(OR('Priority Queue'!$C$4="(All)",INDEX(tQueue[CollectorName],231)='Priority Queue'!$C$4),OR('Priority Queue'!$C$5="(All)",INDEX(tQueue[ActionCode],231)='Priority Queue'!$C$5),OR('Priority Queue'!$C$6="No",INDEX(tQueue[IsTodaysWorklist],231)=1),INDEX(tQueue[PastDueBalance],231)&gt;='Priority Queue'!$C$7),1,0)</f>
        <v>0</v>
      </c>
      <c r="C258" t="str">
        <f>IF($B258=0,"",SUMPRODUCT(($B$28:$B$299=1)*(tQueue[PriorityRank]&lt;INDEX(tQueue[PriorityRank],231)))+1)</f>
        <v/>
      </c>
    </row>
    <row r="259" spans="1:3" x14ac:dyDescent="0.35">
      <c r="A259">
        <v>232</v>
      </c>
      <c r="B259">
        <f>IF(AND(OR('Priority Queue'!$C$4="(All)",INDEX(tQueue[CollectorName],232)='Priority Queue'!$C$4),OR('Priority Queue'!$C$5="(All)",INDEX(tQueue[ActionCode],232)='Priority Queue'!$C$5),OR('Priority Queue'!$C$6="No",INDEX(tQueue[IsTodaysWorklist],232)=1),INDEX(tQueue[PastDueBalance],232)&gt;='Priority Queue'!$C$7),1,0)</f>
        <v>0</v>
      </c>
      <c r="C259" t="str">
        <f>IF($B259=0,"",SUMPRODUCT(($B$28:$B$299=1)*(tQueue[PriorityRank]&lt;INDEX(tQueue[PriorityRank],232)))+1)</f>
        <v/>
      </c>
    </row>
    <row r="260" spans="1:3" x14ac:dyDescent="0.35">
      <c r="A260">
        <v>233</v>
      </c>
      <c r="B260">
        <f>IF(AND(OR('Priority Queue'!$C$4="(All)",INDEX(tQueue[CollectorName],233)='Priority Queue'!$C$4),OR('Priority Queue'!$C$5="(All)",INDEX(tQueue[ActionCode],233)='Priority Queue'!$C$5),OR('Priority Queue'!$C$6="No",INDEX(tQueue[IsTodaysWorklist],233)=1),INDEX(tQueue[PastDueBalance],233)&gt;='Priority Queue'!$C$7),1,0)</f>
        <v>0</v>
      </c>
      <c r="C260" t="str">
        <f>IF($B260=0,"",SUMPRODUCT(($B$28:$B$299=1)*(tQueue[PriorityRank]&lt;INDEX(tQueue[PriorityRank],233)))+1)</f>
        <v/>
      </c>
    </row>
    <row r="261" spans="1:3" x14ac:dyDescent="0.35">
      <c r="A261">
        <v>234</v>
      </c>
      <c r="B261">
        <f>IF(AND(OR('Priority Queue'!$C$4="(All)",INDEX(tQueue[CollectorName],234)='Priority Queue'!$C$4),OR('Priority Queue'!$C$5="(All)",INDEX(tQueue[ActionCode],234)='Priority Queue'!$C$5),OR('Priority Queue'!$C$6="No",INDEX(tQueue[IsTodaysWorklist],234)=1),INDEX(tQueue[PastDueBalance],234)&gt;='Priority Queue'!$C$7),1,0)</f>
        <v>0</v>
      </c>
      <c r="C261" t="str">
        <f>IF($B261=0,"",SUMPRODUCT(($B$28:$B$299=1)*(tQueue[PriorityRank]&lt;INDEX(tQueue[PriorityRank],234)))+1)</f>
        <v/>
      </c>
    </row>
    <row r="262" spans="1:3" x14ac:dyDescent="0.35">
      <c r="A262">
        <v>235</v>
      </c>
      <c r="B262">
        <f>IF(AND(OR('Priority Queue'!$C$4="(All)",INDEX(tQueue[CollectorName],235)='Priority Queue'!$C$4),OR('Priority Queue'!$C$5="(All)",INDEX(tQueue[ActionCode],235)='Priority Queue'!$C$5),OR('Priority Queue'!$C$6="No",INDEX(tQueue[IsTodaysWorklist],235)=1),INDEX(tQueue[PastDueBalance],235)&gt;='Priority Queue'!$C$7),1,0)</f>
        <v>0</v>
      </c>
      <c r="C262" t="str">
        <f>IF($B262=0,"",SUMPRODUCT(($B$28:$B$299=1)*(tQueue[PriorityRank]&lt;INDEX(tQueue[PriorityRank],235)))+1)</f>
        <v/>
      </c>
    </row>
    <row r="263" spans="1:3" x14ac:dyDescent="0.35">
      <c r="A263">
        <v>236</v>
      </c>
      <c r="B263">
        <f>IF(AND(OR('Priority Queue'!$C$4="(All)",INDEX(tQueue[CollectorName],236)='Priority Queue'!$C$4),OR('Priority Queue'!$C$5="(All)",INDEX(tQueue[ActionCode],236)='Priority Queue'!$C$5),OR('Priority Queue'!$C$6="No",INDEX(tQueue[IsTodaysWorklist],236)=1),INDEX(tQueue[PastDueBalance],236)&gt;='Priority Queue'!$C$7),1,0)</f>
        <v>0</v>
      </c>
      <c r="C263" t="str">
        <f>IF($B263=0,"",SUMPRODUCT(($B$28:$B$299=1)*(tQueue[PriorityRank]&lt;INDEX(tQueue[PriorityRank],236)))+1)</f>
        <v/>
      </c>
    </row>
    <row r="264" spans="1:3" x14ac:dyDescent="0.35">
      <c r="A264">
        <v>237</v>
      </c>
      <c r="B264">
        <f>IF(AND(OR('Priority Queue'!$C$4="(All)",INDEX(tQueue[CollectorName],237)='Priority Queue'!$C$4),OR('Priority Queue'!$C$5="(All)",INDEX(tQueue[ActionCode],237)='Priority Queue'!$C$5),OR('Priority Queue'!$C$6="No",INDEX(tQueue[IsTodaysWorklist],237)=1),INDEX(tQueue[PastDueBalance],237)&gt;='Priority Queue'!$C$7),1,0)</f>
        <v>0</v>
      </c>
      <c r="C264" t="str">
        <f>IF($B264=0,"",SUMPRODUCT(($B$28:$B$299=1)*(tQueue[PriorityRank]&lt;INDEX(tQueue[PriorityRank],237)))+1)</f>
        <v/>
      </c>
    </row>
    <row r="265" spans="1:3" x14ac:dyDescent="0.35">
      <c r="A265">
        <v>238</v>
      </c>
      <c r="B265">
        <f>IF(AND(OR('Priority Queue'!$C$4="(All)",INDEX(tQueue[CollectorName],238)='Priority Queue'!$C$4),OR('Priority Queue'!$C$5="(All)",INDEX(tQueue[ActionCode],238)='Priority Queue'!$C$5),OR('Priority Queue'!$C$6="No",INDEX(tQueue[IsTodaysWorklist],238)=1),INDEX(tQueue[PastDueBalance],238)&gt;='Priority Queue'!$C$7),1,0)</f>
        <v>0</v>
      </c>
      <c r="C265" t="str">
        <f>IF($B265=0,"",SUMPRODUCT(($B$28:$B$299=1)*(tQueue[PriorityRank]&lt;INDEX(tQueue[PriorityRank],238)))+1)</f>
        <v/>
      </c>
    </row>
    <row r="266" spans="1:3" x14ac:dyDescent="0.35">
      <c r="A266">
        <v>239</v>
      </c>
      <c r="B266">
        <f>IF(AND(OR('Priority Queue'!$C$4="(All)",INDEX(tQueue[CollectorName],239)='Priority Queue'!$C$4),OR('Priority Queue'!$C$5="(All)",INDEX(tQueue[ActionCode],239)='Priority Queue'!$C$5),OR('Priority Queue'!$C$6="No",INDEX(tQueue[IsTodaysWorklist],239)=1),INDEX(tQueue[PastDueBalance],239)&gt;='Priority Queue'!$C$7),1,0)</f>
        <v>0</v>
      </c>
      <c r="C266" t="str">
        <f>IF($B266=0,"",SUMPRODUCT(($B$28:$B$299=1)*(tQueue[PriorityRank]&lt;INDEX(tQueue[PriorityRank],239)))+1)</f>
        <v/>
      </c>
    </row>
    <row r="267" spans="1:3" x14ac:dyDescent="0.35">
      <c r="A267">
        <v>240</v>
      </c>
      <c r="B267">
        <f>IF(AND(OR('Priority Queue'!$C$4="(All)",INDEX(tQueue[CollectorName],240)='Priority Queue'!$C$4),OR('Priority Queue'!$C$5="(All)",INDEX(tQueue[ActionCode],240)='Priority Queue'!$C$5),OR('Priority Queue'!$C$6="No",INDEX(tQueue[IsTodaysWorklist],240)=1),INDEX(tQueue[PastDueBalance],240)&gt;='Priority Queue'!$C$7),1,0)</f>
        <v>0</v>
      </c>
      <c r="C267" t="str">
        <f>IF($B267=0,"",SUMPRODUCT(($B$28:$B$299=1)*(tQueue[PriorityRank]&lt;INDEX(tQueue[PriorityRank],240)))+1)</f>
        <v/>
      </c>
    </row>
    <row r="268" spans="1:3" x14ac:dyDescent="0.35">
      <c r="A268">
        <v>241</v>
      </c>
      <c r="B268">
        <f>IF(AND(OR('Priority Queue'!$C$4="(All)",INDEX(tQueue[CollectorName],241)='Priority Queue'!$C$4),OR('Priority Queue'!$C$5="(All)",INDEX(tQueue[ActionCode],241)='Priority Queue'!$C$5),OR('Priority Queue'!$C$6="No",INDEX(tQueue[IsTodaysWorklist],241)=1),INDEX(tQueue[PastDueBalance],241)&gt;='Priority Queue'!$C$7),1,0)</f>
        <v>0</v>
      </c>
      <c r="C268" t="str">
        <f>IF($B268=0,"",SUMPRODUCT(($B$28:$B$299=1)*(tQueue[PriorityRank]&lt;INDEX(tQueue[PriorityRank],241)))+1)</f>
        <v/>
      </c>
    </row>
    <row r="269" spans="1:3" x14ac:dyDescent="0.35">
      <c r="A269">
        <v>242</v>
      </c>
      <c r="B269">
        <f>IF(AND(OR('Priority Queue'!$C$4="(All)",INDEX(tQueue[CollectorName],242)='Priority Queue'!$C$4),OR('Priority Queue'!$C$5="(All)",INDEX(tQueue[ActionCode],242)='Priority Queue'!$C$5),OR('Priority Queue'!$C$6="No",INDEX(tQueue[IsTodaysWorklist],242)=1),INDEX(tQueue[PastDueBalance],242)&gt;='Priority Queue'!$C$7),1,0)</f>
        <v>0</v>
      </c>
      <c r="C269" t="str">
        <f>IF($B269=0,"",SUMPRODUCT(($B$28:$B$299=1)*(tQueue[PriorityRank]&lt;INDEX(tQueue[PriorityRank],242)))+1)</f>
        <v/>
      </c>
    </row>
    <row r="270" spans="1:3" x14ac:dyDescent="0.35">
      <c r="A270">
        <v>243</v>
      </c>
      <c r="B270">
        <f>IF(AND(OR('Priority Queue'!$C$4="(All)",INDEX(tQueue[CollectorName],243)='Priority Queue'!$C$4),OR('Priority Queue'!$C$5="(All)",INDEX(tQueue[ActionCode],243)='Priority Queue'!$C$5),OR('Priority Queue'!$C$6="No",INDEX(tQueue[IsTodaysWorklist],243)=1),INDEX(tQueue[PastDueBalance],243)&gt;='Priority Queue'!$C$7),1,0)</f>
        <v>0</v>
      </c>
      <c r="C270" t="str">
        <f>IF($B270=0,"",SUMPRODUCT(($B$28:$B$299=1)*(tQueue[PriorityRank]&lt;INDEX(tQueue[PriorityRank],243)))+1)</f>
        <v/>
      </c>
    </row>
    <row r="271" spans="1:3" x14ac:dyDescent="0.35">
      <c r="A271">
        <v>244</v>
      </c>
      <c r="B271">
        <f>IF(AND(OR('Priority Queue'!$C$4="(All)",INDEX(tQueue[CollectorName],244)='Priority Queue'!$C$4),OR('Priority Queue'!$C$5="(All)",INDEX(tQueue[ActionCode],244)='Priority Queue'!$C$5),OR('Priority Queue'!$C$6="No",INDEX(tQueue[IsTodaysWorklist],244)=1),INDEX(tQueue[PastDueBalance],244)&gt;='Priority Queue'!$C$7),1,0)</f>
        <v>0</v>
      </c>
      <c r="C271" t="str">
        <f>IF($B271=0,"",SUMPRODUCT(($B$28:$B$299=1)*(tQueue[PriorityRank]&lt;INDEX(tQueue[PriorityRank],244)))+1)</f>
        <v/>
      </c>
    </row>
    <row r="272" spans="1:3" x14ac:dyDescent="0.35">
      <c r="A272">
        <v>245</v>
      </c>
      <c r="B272">
        <f>IF(AND(OR('Priority Queue'!$C$4="(All)",INDEX(tQueue[CollectorName],245)='Priority Queue'!$C$4),OR('Priority Queue'!$C$5="(All)",INDEX(tQueue[ActionCode],245)='Priority Queue'!$C$5),OR('Priority Queue'!$C$6="No",INDEX(tQueue[IsTodaysWorklist],245)=1),INDEX(tQueue[PastDueBalance],245)&gt;='Priority Queue'!$C$7),1,0)</f>
        <v>0</v>
      </c>
      <c r="C272" t="str">
        <f>IF($B272=0,"",SUMPRODUCT(($B$28:$B$299=1)*(tQueue[PriorityRank]&lt;INDEX(tQueue[PriorityRank],245)))+1)</f>
        <v/>
      </c>
    </row>
    <row r="273" spans="1:3" x14ac:dyDescent="0.35">
      <c r="A273">
        <v>246</v>
      </c>
      <c r="B273">
        <f>IF(AND(OR('Priority Queue'!$C$4="(All)",INDEX(tQueue[CollectorName],246)='Priority Queue'!$C$4),OR('Priority Queue'!$C$5="(All)",INDEX(tQueue[ActionCode],246)='Priority Queue'!$C$5),OR('Priority Queue'!$C$6="No",INDEX(tQueue[IsTodaysWorklist],246)=1),INDEX(tQueue[PastDueBalance],246)&gt;='Priority Queue'!$C$7),1,0)</f>
        <v>0</v>
      </c>
      <c r="C273" t="str">
        <f>IF($B273=0,"",SUMPRODUCT(($B$28:$B$299=1)*(tQueue[PriorityRank]&lt;INDEX(tQueue[PriorityRank],246)))+1)</f>
        <v/>
      </c>
    </row>
    <row r="274" spans="1:3" x14ac:dyDescent="0.35">
      <c r="A274">
        <v>247</v>
      </c>
      <c r="B274">
        <f>IF(AND(OR('Priority Queue'!$C$4="(All)",INDEX(tQueue[CollectorName],247)='Priority Queue'!$C$4),OR('Priority Queue'!$C$5="(All)",INDEX(tQueue[ActionCode],247)='Priority Queue'!$C$5),OR('Priority Queue'!$C$6="No",INDEX(tQueue[IsTodaysWorklist],247)=1),INDEX(tQueue[PastDueBalance],247)&gt;='Priority Queue'!$C$7),1,0)</f>
        <v>0</v>
      </c>
      <c r="C274" t="str">
        <f>IF($B274=0,"",SUMPRODUCT(($B$28:$B$299=1)*(tQueue[PriorityRank]&lt;INDEX(tQueue[PriorityRank],247)))+1)</f>
        <v/>
      </c>
    </row>
    <row r="275" spans="1:3" x14ac:dyDescent="0.35">
      <c r="A275">
        <v>248</v>
      </c>
      <c r="B275">
        <f>IF(AND(OR('Priority Queue'!$C$4="(All)",INDEX(tQueue[CollectorName],248)='Priority Queue'!$C$4),OR('Priority Queue'!$C$5="(All)",INDEX(tQueue[ActionCode],248)='Priority Queue'!$C$5),OR('Priority Queue'!$C$6="No",INDEX(tQueue[IsTodaysWorklist],248)=1),INDEX(tQueue[PastDueBalance],248)&gt;='Priority Queue'!$C$7),1,0)</f>
        <v>0</v>
      </c>
      <c r="C275" t="str">
        <f>IF($B275=0,"",SUMPRODUCT(($B$28:$B$299=1)*(tQueue[PriorityRank]&lt;INDEX(tQueue[PriorityRank],248)))+1)</f>
        <v/>
      </c>
    </row>
    <row r="276" spans="1:3" x14ac:dyDescent="0.35">
      <c r="A276">
        <v>249</v>
      </c>
      <c r="B276">
        <f>IF(AND(OR('Priority Queue'!$C$4="(All)",INDEX(tQueue[CollectorName],249)='Priority Queue'!$C$4),OR('Priority Queue'!$C$5="(All)",INDEX(tQueue[ActionCode],249)='Priority Queue'!$C$5),OR('Priority Queue'!$C$6="No",INDEX(tQueue[IsTodaysWorklist],249)=1),INDEX(tQueue[PastDueBalance],249)&gt;='Priority Queue'!$C$7),1,0)</f>
        <v>0</v>
      </c>
      <c r="C276" t="str">
        <f>IF($B276=0,"",SUMPRODUCT(($B$28:$B$299=1)*(tQueue[PriorityRank]&lt;INDEX(tQueue[PriorityRank],249)))+1)</f>
        <v/>
      </c>
    </row>
    <row r="277" spans="1:3" x14ac:dyDescent="0.35">
      <c r="A277">
        <v>250</v>
      </c>
      <c r="B277">
        <f>IF(AND(OR('Priority Queue'!$C$4="(All)",INDEX(tQueue[CollectorName],250)='Priority Queue'!$C$4),OR('Priority Queue'!$C$5="(All)",INDEX(tQueue[ActionCode],250)='Priority Queue'!$C$5),OR('Priority Queue'!$C$6="No",INDEX(tQueue[IsTodaysWorklist],250)=1),INDEX(tQueue[PastDueBalance],250)&gt;='Priority Queue'!$C$7),1,0)</f>
        <v>0</v>
      </c>
      <c r="C277" t="str">
        <f>IF($B277=0,"",SUMPRODUCT(($B$28:$B$299=1)*(tQueue[PriorityRank]&lt;INDEX(tQueue[PriorityRank],250)))+1)</f>
        <v/>
      </c>
    </row>
    <row r="278" spans="1:3" x14ac:dyDescent="0.35">
      <c r="A278">
        <v>251</v>
      </c>
      <c r="B278">
        <f>IF(AND(OR('Priority Queue'!$C$4="(All)",INDEX(tQueue[CollectorName],251)='Priority Queue'!$C$4),OR('Priority Queue'!$C$5="(All)",INDEX(tQueue[ActionCode],251)='Priority Queue'!$C$5),OR('Priority Queue'!$C$6="No",INDEX(tQueue[IsTodaysWorklist],251)=1),INDEX(tQueue[PastDueBalance],251)&gt;='Priority Queue'!$C$7),1,0)</f>
        <v>0</v>
      </c>
      <c r="C278" t="str">
        <f>IF($B278=0,"",SUMPRODUCT(($B$28:$B$299=1)*(tQueue[PriorityRank]&lt;INDEX(tQueue[PriorityRank],251)))+1)</f>
        <v/>
      </c>
    </row>
    <row r="279" spans="1:3" x14ac:dyDescent="0.35">
      <c r="A279">
        <v>252</v>
      </c>
      <c r="B279">
        <f>IF(AND(OR('Priority Queue'!$C$4="(All)",INDEX(tQueue[CollectorName],252)='Priority Queue'!$C$4),OR('Priority Queue'!$C$5="(All)",INDEX(tQueue[ActionCode],252)='Priority Queue'!$C$5),OR('Priority Queue'!$C$6="No",INDEX(tQueue[IsTodaysWorklist],252)=1),INDEX(tQueue[PastDueBalance],252)&gt;='Priority Queue'!$C$7),1,0)</f>
        <v>0</v>
      </c>
      <c r="C279" t="str">
        <f>IF($B279=0,"",SUMPRODUCT(($B$28:$B$299=1)*(tQueue[PriorityRank]&lt;INDEX(tQueue[PriorityRank],252)))+1)</f>
        <v/>
      </c>
    </row>
    <row r="280" spans="1:3" x14ac:dyDescent="0.35">
      <c r="A280">
        <v>253</v>
      </c>
      <c r="B280">
        <f>IF(AND(OR('Priority Queue'!$C$4="(All)",INDEX(tQueue[CollectorName],253)='Priority Queue'!$C$4),OR('Priority Queue'!$C$5="(All)",INDEX(tQueue[ActionCode],253)='Priority Queue'!$C$5),OR('Priority Queue'!$C$6="No",INDEX(tQueue[IsTodaysWorklist],253)=1),INDEX(tQueue[PastDueBalance],253)&gt;='Priority Queue'!$C$7),1,0)</f>
        <v>0</v>
      </c>
      <c r="C280" t="str">
        <f>IF($B280=0,"",SUMPRODUCT(($B$28:$B$299=1)*(tQueue[PriorityRank]&lt;INDEX(tQueue[PriorityRank],253)))+1)</f>
        <v/>
      </c>
    </row>
    <row r="281" spans="1:3" x14ac:dyDescent="0.35">
      <c r="A281">
        <v>254</v>
      </c>
      <c r="B281">
        <f>IF(AND(OR('Priority Queue'!$C$4="(All)",INDEX(tQueue[CollectorName],254)='Priority Queue'!$C$4),OR('Priority Queue'!$C$5="(All)",INDEX(tQueue[ActionCode],254)='Priority Queue'!$C$5),OR('Priority Queue'!$C$6="No",INDEX(tQueue[IsTodaysWorklist],254)=1),INDEX(tQueue[PastDueBalance],254)&gt;='Priority Queue'!$C$7),1,0)</f>
        <v>0</v>
      </c>
      <c r="C281" t="str">
        <f>IF($B281=0,"",SUMPRODUCT(($B$28:$B$299=1)*(tQueue[PriorityRank]&lt;INDEX(tQueue[PriorityRank],254)))+1)</f>
        <v/>
      </c>
    </row>
    <row r="282" spans="1:3" x14ac:dyDescent="0.35">
      <c r="A282">
        <v>255</v>
      </c>
      <c r="B282">
        <f>IF(AND(OR('Priority Queue'!$C$4="(All)",INDEX(tQueue[CollectorName],255)='Priority Queue'!$C$4),OR('Priority Queue'!$C$5="(All)",INDEX(tQueue[ActionCode],255)='Priority Queue'!$C$5),OR('Priority Queue'!$C$6="No",INDEX(tQueue[IsTodaysWorklist],255)=1),INDEX(tQueue[PastDueBalance],255)&gt;='Priority Queue'!$C$7),1,0)</f>
        <v>0</v>
      </c>
      <c r="C282" t="str">
        <f>IF($B282=0,"",SUMPRODUCT(($B$28:$B$299=1)*(tQueue[PriorityRank]&lt;INDEX(tQueue[PriorityRank],255)))+1)</f>
        <v/>
      </c>
    </row>
    <row r="283" spans="1:3" x14ac:dyDescent="0.35">
      <c r="A283">
        <v>256</v>
      </c>
      <c r="B283">
        <f>IF(AND(OR('Priority Queue'!$C$4="(All)",INDEX(tQueue[CollectorName],256)='Priority Queue'!$C$4),OR('Priority Queue'!$C$5="(All)",INDEX(tQueue[ActionCode],256)='Priority Queue'!$C$5),OR('Priority Queue'!$C$6="No",INDEX(tQueue[IsTodaysWorklist],256)=1),INDEX(tQueue[PastDueBalance],256)&gt;='Priority Queue'!$C$7),1,0)</f>
        <v>0</v>
      </c>
      <c r="C283" t="str">
        <f>IF($B283=0,"",SUMPRODUCT(($B$28:$B$299=1)*(tQueue[PriorityRank]&lt;INDEX(tQueue[PriorityRank],256)))+1)</f>
        <v/>
      </c>
    </row>
    <row r="284" spans="1:3" x14ac:dyDescent="0.35">
      <c r="A284">
        <v>257</v>
      </c>
      <c r="B284">
        <f>IF(AND(OR('Priority Queue'!$C$4="(All)",INDEX(tQueue[CollectorName],257)='Priority Queue'!$C$4),OR('Priority Queue'!$C$5="(All)",INDEX(tQueue[ActionCode],257)='Priority Queue'!$C$5),OR('Priority Queue'!$C$6="No",INDEX(tQueue[IsTodaysWorklist],257)=1),INDEX(tQueue[PastDueBalance],257)&gt;='Priority Queue'!$C$7),1,0)</f>
        <v>0</v>
      </c>
      <c r="C284" t="str">
        <f>IF($B284=0,"",SUMPRODUCT(($B$28:$B$299=1)*(tQueue[PriorityRank]&lt;INDEX(tQueue[PriorityRank],257)))+1)</f>
        <v/>
      </c>
    </row>
    <row r="285" spans="1:3" x14ac:dyDescent="0.35">
      <c r="A285">
        <v>258</v>
      </c>
      <c r="B285">
        <f>IF(AND(OR('Priority Queue'!$C$4="(All)",INDEX(tQueue[CollectorName],258)='Priority Queue'!$C$4),OR('Priority Queue'!$C$5="(All)",INDEX(tQueue[ActionCode],258)='Priority Queue'!$C$5),OR('Priority Queue'!$C$6="No",INDEX(tQueue[IsTodaysWorklist],258)=1),INDEX(tQueue[PastDueBalance],258)&gt;='Priority Queue'!$C$7),1,0)</f>
        <v>0</v>
      </c>
      <c r="C285" t="str">
        <f>IF($B285=0,"",SUMPRODUCT(($B$28:$B$299=1)*(tQueue[PriorityRank]&lt;INDEX(tQueue[PriorityRank],258)))+1)</f>
        <v/>
      </c>
    </row>
    <row r="286" spans="1:3" x14ac:dyDescent="0.35">
      <c r="A286">
        <v>259</v>
      </c>
      <c r="B286">
        <f>IF(AND(OR('Priority Queue'!$C$4="(All)",INDEX(tQueue[CollectorName],259)='Priority Queue'!$C$4),OR('Priority Queue'!$C$5="(All)",INDEX(tQueue[ActionCode],259)='Priority Queue'!$C$5),OR('Priority Queue'!$C$6="No",INDEX(tQueue[IsTodaysWorklist],259)=1),INDEX(tQueue[PastDueBalance],259)&gt;='Priority Queue'!$C$7),1,0)</f>
        <v>0</v>
      </c>
      <c r="C286" t="str">
        <f>IF($B286=0,"",SUMPRODUCT(($B$28:$B$299=1)*(tQueue[PriorityRank]&lt;INDEX(tQueue[PriorityRank],259)))+1)</f>
        <v/>
      </c>
    </row>
    <row r="287" spans="1:3" x14ac:dyDescent="0.35">
      <c r="A287">
        <v>260</v>
      </c>
      <c r="B287">
        <f>IF(AND(OR('Priority Queue'!$C$4="(All)",INDEX(tQueue[CollectorName],260)='Priority Queue'!$C$4),OR('Priority Queue'!$C$5="(All)",INDEX(tQueue[ActionCode],260)='Priority Queue'!$C$5),OR('Priority Queue'!$C$6="No",INDEX(tQueue[IsTodaysWorklist],260)=1),INDEX(tQueue[PastDueBalance],260)&gt;='Priority Queue'!$C$7),1,0)</f>
        <v>0</v>
      </c>
      <c r="C287" t="str">
        <f>IF($B287=0,"",SUMPRODUCT(($B$28:$B$299=1)*(tQueue[PriorityRank]&lt;INDEX(tQueue[PriorityRank],260)))+1)</f>
        <v/>
      </c>
    </row>
    <row r="288" spans="1:3" x14ac:dyDescent="0.35">
      <c r="A288">
        <v>261</v>
      </c>
      <c r="B288">
        <f>IF(AND(OR('Priority Queue'!$C$4="(All)",INDEX(tQueue[CollectorName],261)='Priority Queue'!$C$4),OR('Priority Queue'!$C$5="(All)",INDEX(tQueue[ActionCode],261)='Priority Queue'!$C$5),OR('Priority Queue'!$C$6="No",INDEX(tQueue[IsTodaysWorklist],261)=1),INDEX(tQueue[PastDueBalance],261)&gt;='Priority Queue'!$C$7),1,0)</f>
        <v>0</v>
      </c>
      <c r="C288" t="str">
        <f>IF($B288=0,"",SUMPRODUCT(($B$28:$B$299=1)*(tQueue[PriorityRank]&lt;INDEX(tQueue[PriorityRank],261)))+1)</f>
        <v/>
      </c>
    </row>
    <row r="289" spans="1:3" x14ac:dyDescent="0.35">
      <c r="A289">
        <v>262</v>
      </c>
      <c r="B289">
        <f>IF(AND(OR('Priority Queue'!$C$4="(All)",INDEX(tQueue[CollectorName],262)='Priority Queue'!$C$4),OR('Priority Queue'!$C$5="(All)",INDEX(tQueue[ActionCode],262)='Priority Queue'!$C$5),OR('Priority Queue'!$C$6="No",INDEX(tQueue[IsTodaysWorklist],262)=1),INDEX(tQueue[PastDueBalance],262)&gt;='Priority Queue'!$C$7),1,0)</f>
        <v>0</v>
      </c>
      <c r="C289" t="str">
        <f>IF($B289=0,"",SUMPRODUCT(($B$28:$B$299=1)*(tQueue[PriorityRank]&lt;INDEX(tQueue[PriorityRank],262)))+1)</f>
        <v/>
      </c>
    </row>
    <row r="290" spans="1:3" x14ac:dyDescent="0.35">
      <c r="A290">
        <v>263</v>
      </c>
      <c r="B290">
        <f>IF(AND(OR('Priority Queue'!$C$4="(All)",INDEX(tQueue[CollectorName],263)='Priority Queue'!$C$4),OR('Priority Queue'!$C$5="(All)",INDEX(tQueue[ActionCode],263)='Priority Queue'!$C$5),OR('Priority Queue'!$C$6="No",INDEX(tQueue[IsTodaysWorklist],263)=1),INDEX(tQueue[PastDueBalance],263)&gt;='Priority Queue'!$C$7),1,0)</f>
        <v>0</v>
      </c>
      <c r="C290" t="str">
        <f>IF($B290=0,"",SUMPRODUCT(($B$28:$B$299=1)*(tQueue[PriorityRank]&lt;INDEX(tQueue[PriorityRank],263)))+1)</f>
        <v/>
      </c>
    </row>
    <row r="291" spans="1:3" x14ac:dyDescent="0.35">
      <c r="A291">
        <v>264</v>
      </c>
      <c r="B291">
        <f>IF(AND(OR('Priority Queue'!$C$4="(All)",INDEX(tQueue[CollectorName],264)='Priority Queue'!$C$4),OR('Priority Queue'!$C$5="(All)",INDEX(tQueue[ActionCode],264)='Priority Queue'!$C$5),OR('Priority Queue'!$C$6="No",INDEX(tQueue[IsTodaysWorklist],264)=1),INDEX(tQueue[PastDueBalance],264)&gt;='Priority Queue'!$C$7),1,0)</f>
        <v>0</v>
      </c>
      <c r="C291" t="str">
        <f>IF($B291=0,"",SUMPRODUCT(($B$28:$B$299=1)*(tQueue[PriorityRank]&lt;INDEX(tQueue[PriorityRank],264)))+1)</f>
        <v/>
      </c>
    </row>
    <row r="292" spans="1:3" x14ac:dyDescent="0.35">
      <c r="A292">
        <v>265</v>
      </c>
      <c r="B292">
        <f>IF(AND(OR('Priority Queue'!$C$4="(All)",INDEX(tQueue[CollectorName],265)='Priority Queue'!$C$4),OR('Priority Queue'!$C$5="(All)",INDEX(tQueue[ActionCode],265)='Priority Queue'!$C$5),OR('Priority Queue'!$C$6="No",INDEX(tQueue[IsTodaysWorklist],265)=1),INDEX(tQueue[PastDueBalance],265)&gt;='Priority Queue'!$C$7),1,0)</f>
        <v>0</v>
      </c>
      <c r="C292" t="str">
        <f>IF($B292=0,"",SUMPRODUCT(($B$28:$B$299=1)*(tQueue[PriorityRank]&lt;INDEX(tQueue[PriorityRank],265)))+1)</f>
        <v/>
      </c>
    </row>
    <row r="293" spans="1:3" x14ac:dyDescent="0.35">
      <c r="A293">
        <v>266</v>
      </c>
      <c r="B293">
        <f>IF(AND(OR('Priority Queue'!$C$4="(All)",INDEX(tQueue[CollectorName],266)='Priority Queue'!$C$4),OR('Priority Queue'!$C$5="(All)",INDEX(tQueue[ActionCode],266)='Priority Queue'!$C$5),OR('Priority Queue'!$C$6="No",INDEX(tQueue[IsTodaysWorklist],266)=1),INDEX(tQueue[PastDueBalance],266)&gt;='Priority Queue'!$C$7),1,0)</f>
        <v>0</v>
      </c>
      <c r="C293" t="str">
        <f>IF($B293=0,"",SUMPRODUCT(($B$28:$B$299=1)*(tQueue[PriorityRank]&lt;INDEX(tQueue[PriorityRank],266)))+1)</f>
        <v/>
      </c>
    </row>
    <row r="294" spans="1:3" x14ac:dyDescent="0.35">
      <c r="A294">
        <v>267</v>
      </c>
      <c r="B294">
        <f>IF(AND(OR('Priority Queue'!$C$4="(All)",INDEX(tQueue[CollectorName],267)='Priority Queue'!$C$4),OR('Priority Queue'!$C$5="(All)",INDEX(tQueue[ActionCode],267)='Priority Queue'!$C$5),OR('Priority Queue'!$C$6="No",INDEX(tQueue[IsTodaysWorklist],267)=1),INDEX(tQueue[PastDueBalance],267)&gt;='Priority Queue'!$C$7),1,0)</f>
        <v>0</v>
      </c>
      <c r="C294" t="str">
        <f>IF($B294=0,"",SUMPRODUCT(($B$28:$B$299=1)*(tQueue[PriorityRank]&lt;INDEX(tQueue[PriorityRank],267)))+1)</f>
        <v/>
      </c>
    </row>
    <row r="295" spans="1:3" x14ac:dyDescent="0.35">
      <c r="A295">
        <v>268</v>
      </c>
      <c r="B295">
        <f>IF(AND(OR('Priority Queue'!$C$4="(All)",INDEX(tQueue[CollectorName],268)='Priority Queue'!$C$4),OR('Priority Queue'!$C$5="(All)",INDEX(tQueue[ActionCode],268)='Priority Queue'!$C$5),OR('Priority Queue'!$C$6="No",INDEX(tQueue[IsTodaysWorklist],268)=1),INDEX(tQueue[PastDueBalance],268)&gt;='Priority Queue'!$C$7),1,0)</f>
        <v>0</v>
      </c>
      <c r="C295" t="str">
        <f>IF($B295=0,"",SUMPRODUCT(($B$28:$B$299=1)*(tQueue[PriorityRank]&lt;INDEX(tQueue[PriorityRank],268)))+1)</f>
        <v/>
      </c>
    </row>
    <row r="296" spans="1:3" x14ac:dyDescent="0.35">
      <c r="A296">
        <v>269</v>
      </c>
      <c r="B296">
        <f>IF(AND(OR('Priority Queue'!$C$4="(All)",INDEX(tQueue[CollectorName],269)='Priority Queue'!$C$4),OR('Priority Queue'!$C$5="(All)",INDEX(tQueue[ActionCode],269)='Priority Queue'!$C$5),OR('Priority Queue'!$C$6="No",INDEX(tQueue[IsTodaysWorklist],269)=1),INDEX(tQueue[PastDueBalance],269)&gt;='Priority Queue'!$C$7),1,0)</f>
        <v>0</v>
      </c>
      <c r="C296" t="str">
        <f>IF($B296=0,"",SUMPRODUCT(($B$28:$B$299=1)*(tQueue[PriorityRank]&lt;INDEX(tQueue[PriorityRank],269)))+1)</f>
        <v/>
      </c>
    </row>
    <row r="297" spans="1:3" x14ac:dyDescent="0.35">
      <c r="A297">
        <v>270</v>
      </c>
      <c r="B297">
        <f>IF(AND(OR('Priority Queue'!$C$4="(All)",INDEX(tQueue[CollectorName],270)='Priority Queue'!$C$4),OR('Priority Queue'!$C$5="(All)",INDEX(tQueue[ActionCode],270)='Priority Queue'!$C$5),OR('Priority Queue'!$C$6="No",INDEX(tQueue[IsTodaysWorklist],270)=1),INDEX(tQueue[PastDueBalance],270)&gt;='Priority Queue'!$C$7),1,0)</f>
        <v>0</v>
      </c>
      <c r="C297" t="str">
        <f>IF($B297=0,"",SUMPRODUCT(($B$28:$B$299=1)*(tQueue[PriorityRank]&lt;INDEX(tQueue[PriorityRank],270)))+1)</f>
        <v/>
      </c>
    </row>
    <row r="298" spans="1:3" x14ac:dyDescent="0.35">
      <c r="A298">
        <v>271</v>
      </c>
      <c r="B298">
        <f>IF(AND(OR('Priority Queue'!$C$4="(All)",INDEX(tQueue[CollectorName],271)='Priority Queue'!$C$4),OR('Priority Queue'!$C$5="(All)",INDEX(tQueue[ActionCode],271)='Priority Queue'!$C$5),OR('Priority Queue'!$C$6="No",INDEX(tQueue[IsTodaysWorklist],271)=1),INDEX(tQueue[PastDueBalance],271)&gt;='Priority Queue'!$C$7),1,0)</f>
        <v>0</v>
      </c>
      <c r="C298" t="str">
        <f>IF($B298=0,"",SUMPRODUCT(($B$28:$B$299=1)*(tQueue[PriorityRank]&lt;INDEX(tQueue[PriorityRank],271)))+1)</f>
        <v/>
      </c>
    </row>
    <row r="299" spans="1:3" x14ac:dyDescent="0.35">
      <c r="A299">
        <v>272</v>
      </c>
      <c r="B299">
        <f>IF(AND(OR('Priority Queue'!$C$4="(All)",INDEX(tQueue[CollectorName],272)='Priority Queue'!$C$4),OR('Priority Queue'!$C$5="(All)",INDEX(tQueue[ActionCode],272)='Priority Queue'!$C$5),OR('Priority Queue'!$C$6="No",INDEX(tQueue[IsTodaysWorklist],272)=1),INDEX(tQueue[PastDueBalance],272)&gt;='Priority Queue'!$C$7),1,0)</f>
        <v>0</v>
      </c>
      <c r="C299" t="str">
        <f>IF($B299=0,"",SUMPRODUCT(($B$28:$B$299=1)*(tQueue[PriorityRank]&lt;INDEX(tQueue[PriorityRank],272)))+1)</f>
        <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EA1CE-A40C-4A8F-BDE8-478CE90F400A}">
  <dimension ref="A1:C16"/>
  <sheetViews>
    <sheetView workbookViewId="0"/>
  </sheetViews>
  <sheetFormatPr defaultRowHeight="14.5" x14ac:dyDescent="0.35"/>
  <cols>
    <col min="1" max="1" width="24.6328125" customWidth="1"/>
    <col min="2" max="2" width="46.6328125" customWidth="1"/>
    <col min="3" max="3" width="78.6328125" customWidth="1"/>
  </cols>
  <sheetData>
    <row r="1" spans="1:3" ht="21" x14ac:dyDescent="0.5">
      <c r="A1" s="1" t="s">
        <v>0</v>
      </c>
    </row>
    <row r="2" spans="1:3" x14ac:dyDescent="0.35">
      <c r="A2" s="2" t="s">
        <v>1</v>
      </c>
    </row>
    <row r="4" spans="1:3" x14ac:dyDescent="0.35">
      <c r="A4" s="4" t="s">
        <v>2</v>
      </c>
      <c r="B4" s="4" t="s">
        <v>3</v>
      </c>
      <c r="C4" s="4" t="s">
        <v>4</v>
      </c>
    </row>
    <row r="5" spans="1:3" x14ac:dyDescent="0.35">
      <c r="A5" t="s">
        <v>5</v>
      </c>
      <c r="B5" s="6">
        <f>DATE(2025,12,31)</f>
        <v>46022</v>
      </c>
      <c r="C5" t="s">
        <v>6</v>
      </c>
    </row>
    <row r="6" spans="1:3" x14ac:dyDescent="0.35">
      <c r="A6" t="s">
        <v>7</v>
      </c>
      <c r="B6" s="8" t="str">
        <f ca="1">IF(OR(CELL("filename")="",LEFT(CELL("filename"),4)="http"),"Set this cell to the full path of the erp_extracts folder, then Data &gt; Refresh All",LEFT(CELL("filename"),FIND("[",CELL("filename"))-1)&amp;"..\erp_extracts")</f>
        <v>Set this cell to the full path of the erp_extracts folder, then Data &gt; Refresh All</v>
      </c>
      <c r="C6" t="s">
        <v>4937</v>
      </c>
    </row>
    <row r="7" spans="1:3" x14ac:dyDescent="0.35">
      <c r="A7" t="s">
        <v>8</v>
      </c>
      <c r="B7" s="8">
        <v>10</v>
      </c>
      <c r="C7" t="s">
        <v>9</v>
      </c>
    </row>
    <row r="8" spans="1:3" x14ac:dyDescent="0.35">
      <c r="A8" t="s">
        <v>10</v>
      </c>
      <c r="B8" s="9">
        <v>0.75</v>
      </c>
      <c r="C8" t="s">
        <v>11</v>
      </c>
    </row>
    <row r="9" spans="1:3" x14ac:dyDescent="0.35">
      <c r="A9" t="s">
        <v>12</v>
      </c>
      <c r="B9" s="8">
        <v>90</v>
      </c>
      <c r="C9" t="s">
        <v>13</v>
      </c>
    </row>
    <row r="10" spans="1:3" x14ac:dyDescent="0.35">
      <c r="A10" t="s">
        <v>14</v>
      </c>
      <c r="B10" s="8">
        <v>25</v>
      </c>
      <c r="C10" t="s">
        <v>15</v>
      </c>
    </row>
    <row r="13" spans="1:3" x14ac:dyDescent="0.35">
      <c r="A13" s="10" t="s">
        <v>16</v>
      </c>
    </row>
    <row r="14" spans="1:3" x14ac:dyDescent="0.35">
      <c r="A14" s="12" t="s">
        <v>17</v>
      </c>
      <c r="B14" s="12"/>
      <c r="C14" s="12"/>
    </row>
    <row r="15" spans="1:3" x14ac:dyDescent="0.35">
      <c r="A15" s="12"/>
      <c r="B15" s="12"/>
      <c r="C15" s="12"/>
    </row>
    <row r="16" spans="1:3" x14ac:dyDescent="0.35">
      <c r="A16" s="12"/>
      <c r="B16" s="12"/>
      <c r="C16" s="12"/>
    </row>
  </sheetData>
  <mergeCells count="1">
    <mergeCell ref="A14:C1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3DDAE-0BCD-4EEE-B1B8-29A5BB88DA9A}">
  <dimension ref="A1:AE2347"/>
  <sheetViews>
    <sheetView workbookViewId="0"/>
  </sheetViews>
  <sheetFormatPr defaultRowHeight="14.5" x14ac:dyDescent="0.35"/>
  <cols>
    <col min="1" max="1" width="11.453125" bestFit="1" customWidth="1"/>
    <col min="2" max="2" width="13.08984375" bestFit="1" customWidth="1"/>
    <col min="3" max="3" width="37.1796875" bestFit="1" customWidth="1"/>
    <col min="4" max="4" width="16" bestFit="1" customWidth="1"/>
    <col min="5" max="5" width="9.26953125" bestFit="1" customWidth="1"/>
    <col min="6" max="6" width="12.6328125" bestFit="1" customWidth="1"/>
    <col min="7" max="7" width="9.81640625" bestFit="1" customWidth="1"/>
    <col min="8" max="9" width="12.54296875" bestFit="1" customWidth="1"/>
    <col min="10" max="10" width="15.7265625" bestFit="1" customWidth="1"/>
    <col min="11" max="11" width="16.1796875" bestFit="1" customWidth="1"/>
    <col min="12" max="12" width="12.54296875" bestFit="1" customWidth="1"/>
    <col min="13" max="13" width="10.08984375" bestFit="1" customWidth="1"/>
    <col min="14" max="14" width="13.36328125" bestFit="1" customWidth="1"/>
    <col min="15" max="15" width="13.08984375" bestFit="1" customWidth="1"/>
    <col min="16" max="16" width="10.36328125" bestFit="1" customWidth="1"/>
    <col min="17" max="17" width="15.81640625" bestFit="1" customWidth="1"/>
    <col min="18" max="18" width="12.6328125" bestFit="1" customWidth="1"/>
    <col min="19" max="19" width="16.54296875" bestFit="1" customWidth="1"/>
    <col min="20" max="20" width="19.36328125" bestFit="1" customWidth="1"/>
    <col min="21" max="21" width="16" bestFit="1" customWidth="1"/>
    <col min="22" max="22" width="14.26953125" bestFit="1" customWidth="1"/>
    <col min="23" max="23" width="20.08984375" bestFit="1" customWidth="1"/>
    <col min="24" max="24" width="9" bestFit="1" customWidth="1"/>
    <col min="25" max="25" width="11.54296875" bestFit="1" customWidth="1"/>
    <col min="26" max="26" width="14.1796875" bestFit="1" customWidth="1"/>
    <col min="27" max="27" width="11.90625" bestFit="1" customWidth="1"/>
    <col min="28" max="28" width="13.81640625" bestFit="1" customWidth="1"/>
    <col min="29" max="29" width="12.54296875" bestFit="1" customWidth="1"/>
    <col min="30" max="30" width="16.7265625" bestFit="1" customWidth="1"/>
    <col min="31" max="31" width="15.90625" bestFit="1" customWidth="1"/>
  </cols>
  <sheetData>
    <row r="1" spans="1:31" s="3" customFormat="1" x14ac:dyDescent="0.35">
      <c r="A1" s="3" t="s">
        <v>18</v>
      </c>
      <c r="B1" s="3" t="s">
        <v>19</v>
      </c>
      <c r="C1" s="3" t="s">
        <v>20</v>
      </c>
      <c r="D1" s="3" t="s">
        <v>21</v>
      </c>
      <c r="E1" s="3" t="s">
        <v>22</v>
      </c>
      <c r="F1" s="3" t="s">
        <v>23</v>
      </c>
      <c r="G1" s="3" t="s">
        <v>24</v>
      </c>
      <c r="H1" s="3" t="s">
        <v>25</v>
      </c>
      <c r="I1" s="3" t="s">
        <v>26</v>
      </c>
      <c r="J1" s="3" t="s">
        <v>27</v>
      </c>
      <c r="K1" s="3" t="s">
        <v>28</v>
      </c>
      <c r="L1" s="3" t="s">
        <v>29</v>
      </c>
      <c r="M1" s="3" t="s">
        <v>30</v>
      </c>
      <c r="N1" s="3" t="s">
        <v>31</v>
      </c>
      <c r="O1" s="3" t="s">
        <v>32</v>
      </c>
      <c r="P1" s="3" t="s">
        <v>33</v>
      </c>
      <c r="Q1" s="3" t="s">
        <v>34</v>
      </c>
      <c r="R1" s="3" t="s">
        <v>35</v>
      </c>
      <c r="S1" s="3" t="s">
        <v>36</v>
      </c>
      <c r="T1" s="3" t="s">
        <v>37</v>
      </c>
      <c r="U1" s="3" t="s">
        <v>38</v>
      </c>
      <c r="V1" s="3" t="s">
        <v>39</v>
      </c>
      <c r="W1" s="3" t="s">
        <v>40</v>
      </c>
      <c r="X1" s="3" t="s">
        <v>41</v>
      </c>
      <c r="Y1" s="3" t="s">
        <v>42</v>
      </c>
      <c r="Z1" s="3" t="s">
        <v>43</v>
      </c>
      <c r="AA1" s="3" t="s">
        <v>44</v>
      </c>
      <c r="AB1" s="3" t="s">
        <v>45</v>
      </c>
      <c r="AC1" s="3" t="s">
        <v>46</v>
      </c>
      <c r="AD1" s="3" t="s">
        <v>47</v>
      </c>
      <c r="AE1" s="3" t="s">
        <v>48</v>
      </c>
    </row>
    <row r="2" spans="1:31" x14ac:dyDescent="0.35">
      <c r="A2" s="13" t="s">
        <v>49</v>
      </c>
      <c r="B2" s="13" t="s">
        <v>50</v>
      </c>
      <c r="C2" s="13" t="s">
        <v>51</v>
      </c>
      <c r="D2" s="13" t="s">
        <v>52</v>
      </c>
      <c r="E2" s="13" t="s">
        <v>53</v>
      </c>
      <c r="F2" s="13" t="s">
        <v>54</v>
      </c>
      <c r="G2" s="13" t="s">
        <v>55</v>
      </c>
      <c r="H2">
        <v>585000</v>
      </c>
      <c r="I2" s="13" t="s">
        <v>56</v>
      </c>
      <c r="J2" s="13" t="s">
        <v>57</v>
      </c>
      <c r="K2" s="13" t="s">
        <v>58</v>
      </c>
      <c r="L2" s="13" t="s">
        <v>59</v>
      </c>
      <c r="M2">
        <v>45</v>
      </c>
      <c r="N2">
        <v>0</v>
      </c>
      <c r="O2" s="14">
        <v>45294</v>
      </c>
      <c r="P2" s="14">
        <v>45339</v>
      </c>
      <c r="Q2">
        <v>8016.67</v>
      </c>
      <c r="R2">
        <v>0</v>
      </c>
      <c r="S2">
        <v>0</v>
      </c>
      <c r="T2">
        <v>0</v>
      </c>
      <c r="U2">
        <v>0</v>
      </c>
      <c r="V2">
        <v>8016.67</v>
      </c>
      <c r="W2">
        <v>0</v>
      </c>
      <c r="X2">
        <v>1</v>
      </c>
      <c r="Y2">
        <v>1</v>
      </c>
      <c r="Z2">
        <v>683</v>
      </c>
      <c r="AA2">
        <v>5</v>
      </c>
      <c r="AB2" s="13" t="s">
        <v>60</v>
      </c>
      <c r="AC2">
        <v>1</v>
      </c>
      <c r="AD2">
        <v>0</v>
      </c>
      <c r="AE2" s="13" t="s">
        <v>61</v>
      </c>
    </row>
    <row r="3" spans="1:31" x14ac:dyDescent="0.35">
      <c r="A3" s="13" t="s">
        <v>62</v>
      </c>
      <c r="B3" s="13" t="s">
        <v>63</v>
      </c>
      <c r="C3" s="13" t="s">
        <v>64</v>
      </c>
      <c r="D3" s="13" t="s">
        <v>52</v>
      </c>
      <c r="E3" s="13" t="s">
        <v>65</v>
      </c>
      <c r="F3" s="13" t="s">
        <v>66</v>
      </c>
      <c r="G3" s="13" t="s">
        <v>67</v>
      </c>
      <c r="H3">
        <v>315000</v>
      </c>
      <c r="I3" s="13" t="s">
        <v>56</v>
      </c>
      <c r="J3" s="13" t="s">
        <v>57</v>
      </c>
      <c r="K3" s="13" t="s">
        <v>58</v>
      </c>
      <c r="L3" s="13" t="s">
        <v>59</v>
      </c>
      <c r="M3">
        <v>45</v>
      </c>
      <c r="N3">
        <v>0</v>
      </c>
      <c r="O3" s="14">
        <v>45295</v>
      </c>
      <c r="P3" s="14">
        <v>45340</v>
      </c>
      <c r="Q3">
        <v>3019.28</v>
      </c>
      <c r="R3">
        <v>0</v>
      </c>
      <c r="S3">
        <v>0</v>
      </c>
      <c r="T3">
        <v>0</v>
      </c>
      <c r="U3">
        <v>0</v>
      </c>
      <c r="V3">
        <v>3019.28</v>
      </c>
      <c r="W3">
        <v>0</v>
      </c>
      <c r="X3">
        <v>1</v>
      </c>
      <c r="Y3">
        <v>1</v>
      </c>
      <c r="Z3">
        <v>682</v>
      </c>
      <c r="AA3">
        <v>5</v>
      </c>
      <c r="AB3" s="13" t="s">
        <v>60</v>
      </c>
      <c r="AC3">
        <v>1</v>
      </c>
      <c r="AD3">
        <v>0</v>
      </c>
      <c r="AE3" s="13" t="s">
        <v>61</v>
      </c>
    </row>
    <row r="4" spans="1:31" x14ac:dyDescent="0.35">
      <c r="A4" s="13" t="s">
        <v>68</v>
      </c>
      <c r="B4" s="13" t="s">
        <v>69</v>
      </c>
      <c r="C4" s="13" t="s">
        <v>70</v>
      </c>
      <c r="D4" s="13" t="s">
        <v>52</v>
      </c>
      <c r="E4" s="13" t="s">
        <v>71</v>
      </c>
      <c r="F4" s="13" t="s">
        <v>72</v>
      </c>
      <c r="G4" s="13" t="s">
        <v>55</v>
      </c>
      <c r="H4">
        <v>580000</v>
      </c>
      <c r="I4" s="13" t="s">
        <v>56</v>
      </c>
      <c r="J4" s="13" t="s">
        <v>57</v>
      </c>
      <c r="K4" s="13" t="s">
        <v>58</v>
      </c>
      <c r="L4" s="13" t="s">
        <v>59</v>
      </c>
      <c r="M4">
        <v>45</v>
      </c>
      <c r="N4">
        <v>0</v>
      </c>
      <c r="O4" s="14">
        <v>45321</v>
      </c>
      <c r="P4" s="14">
        <v>45366</v>
      </c>
      <c r="Q4">
        <v>12428.36</v>
      </c>
      <c r="R4">
        <v>0</v>
      </c>
      <c r="S4">
        <v>0</v>
      </c>
      <c r="T4">
        <v>0</v>
      </c>
      <c r="U4">
        <v>0</v>
      </c>
      <c r="V4">
        <v>12428.36</v>
      </c>
      <c r="W4">
        <v>0</v>
      </c>
      <c r="X4">
        <v>1</v>
      </c>
      <c r="Y4">
        <v>1</v>
      </c>
      <c r="Z4">
        <v>656</v>
      </c>
      <c r="AA4">
        <v>5</v>
      </c>
      <c r="AB4" s="13" t="s">
        <v>60</v>
      </c>
      <c r="AC4">
        <v>1</v>
      </c>
      <c r="AD4">
        <v>0</v>
      </c>
      <c r="AE4" s="13" t="s">
        <v>61</v>
      </c>
    </row>
    <row r="5" spans="1:31" x14ac:dyDescent="0.35">
      <c r="A5" s="13" t="s">
        <v>73</v>
      </c>
      <c r="B5" s="13" t="s">
        <v>74</v>
      </c>
      <c r="C5" s="13" t="s">
        <v>75</v>
      </c>
      <c r="D5" s="13" t="s">
        <v>76</v>
      </c>
      <c r="E5" s="13" t="s">
        <v>77</v>
      </c>
      <c r="F5" s="13" t="s">
        <v>78</v>
      </c>
      <c r="G5" s="13" t="s">
        <v>67</v>
      </c>
      <c r="H5">
        <v>75000</v>
      </c>
      <c r="I5" s="13" t="s">
        <v>79</v>
      </c>
      <c r="J5" s="13" t="s">
        <v>80</v>
      </c>
      <c r="K5" s="13" t="s">
        <v>81</v>
      </c>
      <c r="L5" s="13" t="s">
        <v>82</v>
      </c>
      <c r="M5">
        <v>30</v>
      </c>
      <c r="N5">
        <v>2</v>
      </c>
      <c r="O5" s="14">
        <v>45337</v>
      </c>
      <c r="P5" s="14">
        <v>45367</v>
      </c>
      <c r="Q5">
        <v>3697.77</v>
      </c>
      <c r="R5">
        <v>0</v>
      </c>
      <c r="S5">
        <v>0</v>
      </c>
      <c r="T5">
        <v>0</v>
      </c>
      <c r="U5">
        <v>0</v>
      </c>
      <c r="V5">
        <v>3697.77</v>
      </c>
      <c r="W5">
        <v>0</v>
      </c>
      <c r="X5">
        <v>1</v>
      </c>
      <c r="Y5">
        <v>1</v>
      </c>
      <c r="Z5">
        <v>655</v>
      </c>
      <c r="AA5">
        <v>5</v>
      </c>
      <c r="AB5" s="13" t="s">
        <v>60</v>
      </c>
      <c r="AC5">
        <v>1</v>
      </c>
      <c r="AD5">
        <v>0</v>
      </c>
      <c r="AE5" s="13" t="s">
        <v>61</v>
      </c>
    </row>
    <row r="6" spans="1:31" x14ac:dyDescent="0.35">
      <c r="A6" s="13" t="s">
        <v>83</v>
      </c>
      <c r="B6" s="13" t="s">
        <v>84</v>
      </c>
      <c r="C6" s="13" t="s">
        <v>85</v>
      </c>
      <c r="D6" s="13" t="s">
        <v>52</v>
      </c>
      <c r="E6" s="13" t="s">
        <v>71</v>
      </c>
      <c r="F6" s="13" t="s">
        <v>72</v>
      </c>
      <c r="G6" s="13" t="s">
        <v>67</v>
      </c>
      <c r="H6">
        <v>600000</v>
      </c>
      <c r="I6" s="13" t="s">
        <v>86</v>
      </c>
      <c r="J6" s="13" t="s">
        <v>87</v>
      </c>
      <c r="K6" s="13" t="s">
        <v>58</v>
      </c>
      <c r="L6" s="13" t="s">
        <v>88</v>
      </c>
      <c r="M6">
        <v>60</v>
      </c>
      <c r="N6">
        <v>0</v>
      </c>
      <c r="O6" s="14">
        <v>45344</v>
      </c>
      <c r="P6" s="14">
        <v>45404</v>
      </c>
      <c r="Q6">
        <v>15952.24</v>
      </c>
      <c r="R6">
        <v>0</v>
      </c>
      <c r="S6">
        <v>0</v>
      </c>
      <c r="T6">
        <v>0</v>
      </c>
      <c r="U6">
        <v>0</v>
      </c>
      <c r="V6">
        <v>15952.24</v>
      </c>
      <c r="W6">
        <v>0</v>
      </c>
      <c r="X6">
        <v>1</v>
      </c>
      <c r="Y6">
        <v>1</v>
      </c>
      <c r="Z6">
        <v>618</v>
      </c>
      <c r="AA6">
        <v>5</v>
      </c>
      <c r="AB6" s="13" t="s">
        <v>60</v>
      </c>
      <c r="AC6">
        <v>1</v>
      </c>
      <c r="AD6">
        <v>0</v>
      </c>
      <c r="AE6" s="13" t="s">
        <v>61</v>
      </c>
    </row>
    <row r="7" spans="1:31" x14ac:dyDescent="0.35">
      <c r="A7" s="13" t="s">
        <v>89</v>
      </c>
      <c r="B7" s="13" t="s">
        <v>90</v>
      </c>
      <c r="C7" s="13" t="s">
        <v>91</v>
      </c>
      <c r="D7" s="13" t="s">
        <v>76</v>
      </c>
      <c r="E7" s="13" t="s">
        <v>53</v>
      </c>
      <c r="F7" s="13" t="s">
        <v>54</v>
      </c>
      <c r="G7" s="13" t="s">
        <v>92</v>
      </c>
      <c r="H7">
        <v>95000</v>
      </c>
      <c r="I7" s="13" t="s">
        <v>93</v>
      </c>
      <c r="J7" s="13" t="s">
        <v>94</v>
      </c>
      <c r="K7" s="13" t="s">
        <v>81</v>
      </c>
      <c r="L7" s="13" t="s">
        <v>95</v>
      </c>
      <c r="M7">
        <v>30</v>
      </c>
      <c r="N7">
        <v>0</v>
      </c>
      <c r="O7" s="14">
        <v>45344</v>
      </c>
      <c r="P7" s="14">
        <v>45374</v>
      </c>
      <c r="Q7">
        <v>504.9</v>
      </c>
      <c r="R7">
        <v>201.96</v>
      </c>
      <c r="S7">
        <v>0</v>
      </c>
      <c r="T7">
        <v>0</v>
      </c>
      <c r="U7">
        <v>0</v>
      </c>
      <c r="V7">
        <v>302.94</v>
      </c>
      <c r="W7">
        <v>0</v>
      </c>
      <c r="X7">
        <v>1</v>
      </c>
      <c r="Y7">
        <v>1</v>
      </c>
      <c r="Z7">
        <v>648</v>
      </c>
      <c r="AA7">
        <v>5</v>
      </c>
      <c r="AB7" s="13" t="s">
        <v>60</v>
      </c>
      <c r="AC7">
        <v>1</v>
      </c>
      <c r="AD7">
        <v>0</v>
      </c>
      <c r="AE7" s="13" t="s">
        <v>61</v>
      </c>
    </row>
    <row r="8" spans="1:31" x14ac:dyDescent="0.35">
      <c r="A8" s="13" t="s">
        <v>96</v>
      </c>
      <c r="B8" s="13" t="s">
        <v>97</v>
      </c>
      <c r="C8" s="13" t="s">
        <v>98</v>
      </c>
      <c r="D8" s="13" t="s">
        <v>76</v>
      </c>
      <c r="E8" s="13" t="s">
        <v>99</v>
      </c>
      <c r="F8" s="13" t="s">
        <v>100</v>
      </c>
      <c r="G8" s="13" t="s">
        <v>67</v>
      </c>
      <c r="H8">
        <v>60000</v>
      </c>
      <c r="I8" s="13" t="s">
        <v>93</v>
      </c>
      <c r="J8" s="13" t="s">
        <v>94</v>
      </c>
      <c r="K8" s="13" t="s">
        <v>81</v>
      </c>
      <c r="L8" s="13" t="s">
        <v>82</v>
      </c>
      <c r="M8">
        <v>30</v>
      </c>
      <c r="N8">
        <v>2</v>
      </c>
      <c r="O8" s="14">
        <v>45363</v>
      </c>
      <c r="P8" s="14">
        <v>45393</v>
      </c>
      <c r="Q8">
        <v>514.9</v>
      </c>
      <c r="R8">
        <v>0</v>
      </c>
      <c r="S8">
        <v>0</v>
      </c>
      <c r="T8">
        <v>0</v>
      </c>
      <c r="U8">
        <v>0</v>
      </c>
      <c r="V8">
        <v>514.9</v>
      </c>
      <c r="W8">
        <v>0</v>
      </c>
      <c r="X8">
        <v>1</v>
      </c>
      <c r="Y8">
        <v>1</v>
      </c>
      <c r="Z8">
        <v>629</v>
      </c>
      <c r="AA8">
        <v>5</v>
      </c>
      <c r="AB8" s="13" t="s">
        <v>60</v>
      </c>
      <c r="AC8">
        <v>1</v>
      </c>
      <c r="AD8">
        <v>0</v>
      </c>
      <c r="AE8" s="13" t="s">
        <v>61</v>
      </c>
    </row>
    <row r="9" spans="1:31" x14ac:dyDescent="0.35">
      <c r="A9" s="13" t="s">
        <v>101</v>
      </c>
      <c r="B9" s="13" t="s">
        <v>102</v>
      </c>
      <c r="C9" s="13" t="s">
        <v>103</v>
      </c>
      <c r="D9" s="13" t="s">
        <v>104</v>
      </c>
      <c r="E9" s="13" t="s">
        <v>71</v>
      </c>
      <c r="F9" s="13" t="s">
        <v>72</v>
      </c>
      <c r="G9" s="13" t="s">
        <v>55</v>
      </c>
      <c r="H9">
        <v>120000</v>
      </c>
      <c r="I9" s="13" t="s">
        <v>105</v>
      </c>
      <c r="J9" s="13" t="s">
        <v>106</v>
      </c>
      <c r="K9" s="13" t="s">
        <v>107</v>
      </c>
      <c r="L9" s="13" t="s">
        <v>82</v>
      </c>
      <c r="M9">
        <v>30</v>
      </c>
      <c r="N9">
        <v>2</v>
      </c>
      <c r="O9" s="14">
        <v>45365</v>
      </c>
      <c r="P9" s="14">
        <v>45395</v>
      </c>
      <c r="Q9">
        <v>7155.82</v>
      </c>
      <c r="R9">
        <v>4293.49</v>
      </c>
      <c r="S9">
        <v>0</v>
      </c>
      <c r="T9">
        <v>0</v>
      </c>
      <c r="U9">
        <v>0</v>
      </c>
      <c r="V9">
        <v>2862.33</v>
      </c>
      <c r="W9">
        <v>0</v>
      </c>
      <c r="X9">
        <v>1</v>
      </c>
      <c r="Y9">
        <v>1</v>
      </c>
      <c r="Z9">
        <v>627</v>
      </c>
      <c r="AA9">
        <v>5</v>
      </c>
      <c r="AB9" s="13" t="s">
        <v>60</v>
      </c>
      <c r="AC9">
        <v>1</v>
      </c>
      <c r="AD9">
        <v>0</v>
      </c>
      <c r="AE9" s="13" t="s">
        <v>61</v>
      </c>
    </row>
    <row r="10" spans="1:31" x14ac:dyDescent="0.35">
      <c r="A10" s="13" t="s">
        <v>108</v>
      </c>
      <c r="B10" s="13" t="s">
        <v>109</v>
      </c>
      <c r="C10" s="13" t="s">
        <v>110</v>
      </c>
      <c r="D10" s="13" t="s">
        <v>52</v>
      </c>
      <c r="E10" s="13" t="s">
        <v>65</v>
      </c>
      <c r="F10" s="13" t="s">
        <v>111</v>
      </c>
      <c r="G10" s="13" t="s">
        <v>67</v>
      </c>
      <c r="H10">
        <v>455000</v>
      </c>
      <c r="I10" s="13" t="s">
        <v>86</v>
      </c>
      <c r="J10" s="13" t="s">
        <v>87</v>
      </c>
      <c r="K10" s="13" t="s">
        <v>58</v>
      </c>
      <c r="L10" s="13" t="s">
        <v>59</v>
      </c>
      <c r="M10">
        <v>45</v>
      </c>
      <c r="N10">
        <v>0</v>
      </c>
      <c r="O10" s="14">
        <v>45390</v>
      </c>
      <c r="P10" s="14">
        <v>45435</v>
      </c>
      <c r="Q10">
        <v>1792.87</v>
      </c>
      <c r="R10">
        <v>0</v>
      </c>
      <c r="S10">
        <v>0</v>
      </c>
      <c r="T10">
        <v>0</v>
      </c>
      <c r="U10">
        <v>0</v>
      </c>
      <c r="V10">
        <v>1792.87</v>
      </c>
      <c r="W10">
        <v>0</v>
      </c>
      <c r="X10">
        <v>1</v>
      </c>
      <c r="Y10">
        <v>1</v>
      </c>
      <c r="Z10">
        <v>587</v>
      </c>
      <c r="AA10">
        <v>5</v>
      </c>
      <c r="AB10" s="13" t="s">
        <v>60</v>
      </c>
      <c r="AC10">
        <v>1</v>
      </c>
      <c r="AD10">
        <v>0</v>
      </c>
      <c r="AE10" s="13" t="s">
        <v>61</v>
      </c>
    </row>
    <row r="11" spans="1:31" x14ac:dyDescent="0.35">
      <c r="A11" s="13" t="s">
        <v>112</v>
      </c>
      <c r="B11" s="13" t="s">
        <v>113</v>
      </c>
      <c r="C11" s="13" t="s">
        <v>114</v>
      </c>
      <c r="D11" s="13" t="s">
        <v>52</v>
      </c>
      <c r="E11" s="13" t="s">
        <v>77</v>
      </c>
      <c r="F11" s="13" t="s">
        <v>78</v>
      </c>
      <c r="G11" s="13" t="s">
        <v>92</v>
      </c>
      <c r="H11">
        <v>545000</v>
      </c>
      <c r="I11" s="13" t="s">
        <v>86</v>
      </c>
      <c r="J11" s="13" t="s">
        <v>87</v>
      </c>
      <c r="K11" s="13" t="s">
        <v>58</v>
      </c>
      <c r="L11" s="13" t="s">
        <v>88</v>
      </c>
      <c r="M11">
        <v>60</v>
      </c>
      <c r="N11">
        <v>0</v>
      </c>
      <c r="O11" s="14">
        <v>45404</v>
      </c>
      <c r="P11" s="14">
        <v>45464</v>
      </c>
      <c r="Q11">
        <v>1876.3</v>
      </c>
      <c r="R11">
        <v>0</v>
      </c>
      <c r="S11">
        <v>0</v>
      </c>
      <c r="T11">
        <v>0</v>
      </c>
      <c r="U11">
        <v>0</v>
      </c>
      <c r="V11">
        <v>1876.3</v>
      </c>
      <c r="W11">
        <v>0</v>
      </c>
      <c r="X11">
        <v>1</v>
      </c>
      <c r="Y11">
        <v>1</v>
      </c>
      <c r="Z11">
        <v>558</v>
      </c>
      <c r="AA11">
        <v>5</v>
      </c>
      <c r="AB11" s="13" t="s">
        <v>60</v>
      </c>
      <c r="AC11">
        <v>1</v>
      </c>
      <c r="AD11">
        <v>0</v>
      </c>
      <c r="AE11" s="13" t="s">
        <v>61</v>
      </c>
    </row>
    <row r="12" spans="1:31" x14ac:dyDescent="0.35">
      <c r="A12" s="13" t="s">
        <v>115</v>
      </c>
      <c r="B12" s="13" t="s">
        <v>116</v>
      </c>
      <c r="C12" s="13" t="s">
        <v>117</v>
      </c>
      <c r="D12" s="13" t="s">
        <v>76</v>
      </c>
      <c r="E12" s="13" t="s">
        <v>65</v>
      </c>
      <c r="F12" s="13" t="s">
        <v>111</v>
      </c>
      <c r="G12" s="13" t="s">
        <v>67</v>
      </c>
      <c r="H12">
        <v>85000</v>
      </c>
      <c r="I12" s="13" t="s">
        <v>79</v>
      </c>
      <c r="J12" s="13" t="s">
        <v>80</v>
      </c>
      <c r="K12" s="13" t="s">
        <v>81</v>
      </c>
      <c r="L12" s="13" t="s">
        <v>82</v>
      </c>
      <c r="M12">
        <v>30</v>
      </c>
      <c r="N12">
        <v>2</v>
      </c>
      <c r="O12" s="14">
        <v>45414</v>
      </c>
      <c r="P12" s="14">
        <v>45444</v>
      </c>
      <c r="Q12">
        <v>517.98</v>
      </c>
      <c r="R12">
        <v>0</v>
      </c>
      <c r="S12">
        <v>0</v>
      </c>
      <c r="T12">
        <v>0</v>
      </c>
      <c r="U12">
        <v>0</v>
      </c>
      <c r="V12">
        <v>517.98</v>
      </c>
      <c r="W12">
        <v>0</v>
      </c>
      <c r="X12">
        <v>1</v>
      </c>
      <c r="Y12">
        <v>1</v>
      </c>
      <c r="Z12">
        <v>578</v>
      </c>
      <c r="AA12">
        <v>5</v>
      </c>
      <c r="AB12" s="13" t="s">
        <v>60</v>
      </c>
      <c r="AC12">
        <v>1</v>
      </c>
      <c r="AD12">
        <v>0</v>
      </c>
      <c r="AE12" s="13" t="s">
        <v>61</v>
      </c>
    </row>
    <row r="13" spans="1:31" x14ac:dyDescent="0.35">
      <c r="A13" s="13" t="s">
        <v>118</v>
      </c>
      <c r="B13" s="13" t="s">
        <v>119</v>
      </c>
      <c r="C13" s="13" t="s">
        <v>120</v>
      </c>
      <c r="D13" s="13" t="s">
        <v>104</v>
      </c>
      <c r="E13" s="13" t="s">
        <v>53</v>
      </c>
      <c r="F13" s="13" t="s">
        <v>54</v>
      </c>
      <c r="G13" s="13" t="s">
        <v>55</v>
      </c>
      <c r="H13">
        <v>145000</v>
      </c>
      <c r="I13" s="13" t="s">
        <v>121</v>
      </c>
      <c r="J13" s="13" t="s">
        <v>122</v>
      </c>
      <c r="K13" s="13" t="s">
        <v>107</v>
      </c>
      <c r="L13" s="13" t="s">
        <v>82</v>
      </c>
      <c r="M13">
        <v>30</v>
      </c>
      <c r="N13">
        <v>2</v>
      </c>
      <c r="O13" s="14">
        <v>45420</v>
      </c>
      <c r="P13" s="14">
        <v>45450</v>
      </c>
      <c r="Q13">
        <v>919.96</v>
      </c>
      <c r="R13">
        <v>0</v>
      </c>
      <c r="S13">
        <v>0</v>
      </c>
      <c r="T13">
        <v>0</v>
      </c>
      <c r="U13">
        <v>0</v>
      </c>
      <c r="V13">
        <v>919.96</v>
      </c>
      <c r="W13">
        <v>0</v>
      </c>
      <c r="X13">
        <v>1</v>
      </c>
      <c r="Y13">
        <v>1</v>
      </c>
      <c r="Z13">
        <v>572</v>
      </c>
      <c r="AA13">
        <v>5</v>
      </c>
      <c r="AB13" s="13" t="s">
        <v>60</v>
      </c>
      <c r="AC13">
        <v>1</v>
      </c>
      <c r="AD13">
        <v>0</v>
      </c>
      <c r="AE13" s="13" t="s">
        <v>61</v>
      </c>
    </row>
    <row r="14" spans="1:31" x14ac:dyDescent="0.35">
      <c r="A14" s="13" t="s">
        <v>123</v>
      </c>
      <c r="B14" s="13" t="s">
        <v>124</v>
      </c>
      <c r="C14" s="13" t="s">
        <v>125</v>
      </c>
      <c r="D14" s="13" t="s">
        <v>126</v>
      </c>
      <c r="E14" s="13" t="s">
        <v>99</v>
      </c>
      <c r="F14" s="13" t="s">
        <v>127</v>
      </c>
      <c r="G14" s="13" t="s">
        <v>67</v>
      </c>
      <c r="H14">
        <v>155000</v>
      </c>
      <c r="I14" s="13" t="s">
        <v>86</v>
      </c>
      <c r="J14" s="13" t="s">
        <v>87</v>
      </c>
      <c r="K14" s="13" t="s">
        <v>58</v>
      </c>
      <c r="L14" s="13" t="s">
        <v>88</v>
      </c>
      <c r="M14">
        <v>60</v>
      </c>
      <c r="N14">
        <v>0</v>
      </c>
      <c r="O14" s="14">
        <v>45439</v>
      </c>
      <c r="P14" s="14">
        <v>45499</v>
      </c>
      <c r="Q14">
        <v>4011.74</v>
      </c>
      <c r="R14">
        <v>0</v>
      </c>
      <c r="S14">
        <v>0</v>
      </c>
      <c r="T14">
        <v>0</v>
      </c>
      <c r="U14">
        <v>0</v>
      </c>
      <c r="V14">
        <v>4011.74</v>
      </c>
      <c r="W14">
        <v>0</v>
      </c>
      <c r="X14">
        <v>1</v>
      </c>
      <c r="Y14">
        <v>1</v>
      </c>
      <c r="Z14">
        <v>523</v>
      </c>
      <c r="AA14">
        <v>5</v>
      </c>
      <c r="AB14" s="13" t="s">
        <v>60</v>
      </c>
      <c r="AC14">
        <v>1</v>
      </c>
      <c r="AD14">
        <v>0</v>
      </c>
      <c r="AE14" s="13" t="s">
        <v>61</v>
      </c>
    </row>
    <row r="15" spans="1:31" x14ac:dyDescent="0.35">
      <c r="A15" s="13" t="s">
        <v>128</v>
      </c>
      <c r="B15" s="13" t="s">
        <v>84</v>
      </c>
      <c r="C15" s="13" t="s">
        <v>85</v>
      </c>
      <c r="D15" s="13" t="s">
        <v>52</v>
      </c>
      <c r="E15" s="13" t="s">
        <v>71</v>
      </c>
      <c r="F15" s="13" t="s">
        <v>72</v>
      </c>
      <c r="G15" s="13" t="s">
        <v>67</v>
      </c>
      <c r="H15">
        <v>600000</v>
      </c>
      <c r="I15" s="13" t="s">
        <v>86</v>
      </c>
      <c r="J15" s="13" t="s">
        <v>87</v>
      </c>
      <c r="K15" s="13" t="s">
        <v>58</v>
      </c>
      <c r="L15" s="13" t="s">
        <v>88</v>
      </c>
      <c r="M15">
        <v>60</v>
      </c>
      <c r="N15">
        <v>0</v>
      </c>
      <c r="O15" s="14">
        <v>45447</v>
      </c>
      <c r="P15" s="14">
        <v>45507</v>
      </c>
      <c r="Q15">
        <v>2762.41</v>
      </c>
      <c r="R15">
        <v>0</v>
      </c>
      <c r="S15">
        <v>0</v>
      </c>
      <c r="T15">
        <v>0</v>
      </c>
      <c r="U15">
        <v>0</v>
      </c>
      <c r="V15">
        <v>2762.41</v>
      </c>
      <c r="W15">
        <v>0</v>
      </c>
      <c r="X15">
        <v>1</v>
      </c>
      <c r="Y15">
        <v>1</v>
      </c>
      <c r="Z15">
        <v>515</v>
      </c>
      <c r="AA15">
        <v>5</v>
      </c>
      <c r="AB15" s="13" t="s">
        <v>60</v>
      </c>
      <c r="AC15">
        <v>1</v>
      </c>
      <c r="AD15">
        <v>0</v>
      </c>
      <c r="AE15" s="13" t="s">
        <v>61</v>
      </c>
    </row>
    <row r="16" spans="1:31" x14ac:dyDescent="0.35">
      <c r="A16" s="13" t="s">
        <v>129</v>
      </c>
      <c r="B16" s="13" t="s">
        <v>130</v>
      </c>
      <c r="C16" s="13" t="s">
        <v>131</v>
      </c>
      <c r="D16" s="13" t="s">
        <v>76</v>
      </c>
      <c r="E16" s="13" t="s">
        <v>77</v>
      </c>
      <c r="F16" s="13" t="s">
        <v>78</v>
      </c>
      <c r="G16" s="13" t="s">
        <v>55</v>
      </c>
      <c r="H16">
        <v>50000</v>
      </c>
      <c r="I16" s="13" t="s">
        <v>79</v>
      </c>
      <c r="J16" s="13" t="s">
        <v>80</v>
      </c>
      <c r="K16" s="13" t="s">
        <v>81</v>
      </c>
      <c r="L16" s="13" t="s">
        <v>95</v>
      </c>
      <c r="M16">
        <v>30</v>
      </c>
      <c r="N16">
        <v>0</v>
      </c>
      <c r="O16" s="14">
        <v>45456</v>
      </c>
      <c r="P16" s="14">
        <v>45486</v>
      </c>
      <c r="Q16">
        <v>574.59</v>
      </c>
      <c r="R16">
        <v>0</v>
      </c>
      <c r="S16">
        <v>0</v>
      </c>
      <c r="T16">
        <v>0</v>
      </c>
      <c r="U16">
        <v>0</v>
      </c>
      <c r="V16">
        <v>574.59</v>
      </c>
      <c r="W16">
        <v>0</v>
      </c>
      <c r="X16">
        <v>1</v>
      </c>
      <c r="Y16">
        <v>1</v>
      </c>
      <c r="Z16">
        <v>536</v>
      </c>
      <c r="AA16">
        <v>5</v>
      </c>
      <c r="AB16" s="13" t="s">
        <v>60</v>
      </c>
      <c r="AC16">
        <v>1</v>
      </c>
      <c r="AD16">
        <v>0</v>
      </c>
      <c r="AE16" s="13" t="s">
        <v>61</v>
      </c>
    </row>
    <row r="17" spans="1:31" x14ac:dyDescent="0.35">
      <c r="A17" s="13" t="s">
        <v>132</v>
      </c>
      <c r="B17" s="13" t="s">
        <v>133</v>
      </c>
      <c r="C17" s="13" t="s">
        <v>134</v>
      </c>
      <c r="D17" s="13" t="s">
        <v>104</v>
      </c>
      <c r="E17" s="13" t="s">
        <v>53</v>
      </c>
      <c r="F17" s="13" t="s">
        <v>135</v>
      </c>
      <c r="G17" s="13" t="s">
        <v>67</v>
      </c>
      <c r="H17">
        <v>95000</v>
      </c>
      <c r="I17" s="13" t="s">
        <v>121</v>
      </c>
      <c r="J17" s="13" t="s">
        <v>122</v>
      </c>
      <c r="K17" s="13" t="s">
        <v>107</v>
      </c>
      <c r="L17" s="13" t="s">
        <v>82</v>
      </c>
      <c r="M17">
        <v>30</v>
      </c>
      <c r="N17">
        <v>2</v>
      </c>
      <c r="O17" s="14">
        <v>45457</v>
      </c>
      <c r="P17" s="14">
        <v>45487</v>
      </c>
      <c r="Q17">
        <v>930.63</v>
      </c>
      <c r="R17">
        <v>0</v>
      </c>
      <c r="S17">
        <v>0</v>
      </c>
      <c r="T17">
        <v>0</v>
      </c>
      <c r="U17">
        <v>0</v>
      </c>
      <c r="V17">
        <v>930.63</v>
      </c>
      <c r="W17">
        <v>0</v>
      </c>
      <c r="X17">
        <v>1</v>
      </c>
      <c r="Y17">
        <v>1</v>
      </c>
      <c r="Z17">
        <v>535</v>
      </c>
      <c r="AA17">
        <v>5</v>
      </c>
      <c r="AB17" s="13" t="s">
        <v>60</v>
      </c>
      <c r="AC17">
        <v>1</v>
      </c>
      <c r="AD17">
        <v>0</v>
      </c>
      <c r="AE17" s="13" t="s">
        <v>61</v>
      </c>
    </row>
    <row r="18" spans="1:31" x14ac:dyDescent="0.35">
      <c r="A18" s="13" t="s">
        <v>136</v>
      </c>
      <c r="B18" s="13" t="s">
        <v>137</v>
      </c>
      <c r="C18" s="13" t="s">
        <v>138</v>
      </c>
      <c r="D18" s="13" t="s">
        <v>52</v>
      </c>
      <c r="E18" s="13" t="s">
        <v>53</v>
      </c>
      <c r="F18" s="13" t="s">
        <v>135</v>
      </c>
      <c r="G18" s="13" t="s">
        <v>92</v>
      </c>
      <c r="H18">
        <v>355000</v>
      </c>
      <c r="I18" s="13" t="s">
        <v>56</v>
      </c>
      <c r="J18" s="13" t="s">
        <v>57</v>
      </c>
      <c r="K18" s="13" t="s">
        <v>58</v>
      </c>
      <c r="L18" s="13" t="s">
        <v>88</v>
      </c>
      <c r="M18">
        <v>60</v>
      </c>
      <c r="N18">
        <v>0</v>
      </c>
      <c r="O18" s="14">
        <v>45460</v>
      </c>
      <c r="P18" s="14">
        <v>45520</v>
      </c>
      <c r="Q18">
        <v>3658.04</v>
      </c>
      <c r="R18">
        <v>0</v>
      </c>
      <c r="S18">
        <v>0</v>
      </c>
      <c r="T18">
        <v>0</v>
      </c>
      <c r="U18">
        <v>0</v>
      </c>
      <c r="V18">
        <v>3658.04</v>
      </c>
      <c r="W18">
        <v>0</v>
      </c>
      <c r="X18">
        <v>1</v>
      </c>
      <c r="Y18">
        <v>1</v>
      </c>
      <c r="Z18">
        <v>502</v>
      </c>
      <c r="AA18">
        <v>5</v>
      </c>
      <c r="AB18" s="13" t="s">
        <v>60</v>
      </c>
      <c r="AC18">
        <v>1</v>
      </c>
      <c r="AD18">
        <v>0</v>
      </c>
      <c r="AE18" s="13" t="s">
        <v>61</v>
      </c>
    </row>
    <row r="19" spans="1:31" x14ac:dyDescent="0.35">
      <c r="A19" s="13" t="s">
        <v>139</v>
      </c>
      <c r="B19" s="13" t="s">
        <v>113</v>
      </c>
      <c r="C19" s="13" t="s">
        <v>114</v>
      </c>
      <c r="D19" s="13" t="s">
        <v>52</v>
      </c>
      <c r="E19" s="13" t="s">
        <v>77</v>
      </c>
      <c r="F19" s="13" t="s">
        <v>78</v>
      </c>
      <c r="G19" s="13" t="s">
        <v>92</v>
      </c>
      <c r="H19">
        <v>545000</v>
      </c>
      <c r="I19" s="13" t="s">
        <v>86</v>
      </c>
      <c r="J19" s="13" t="s">
        <v>87</v>
      </c>
      <c r="K19" s="13" t="s">
        <v>58</v>
      </c>
      <c r="L19" s="13" t="s">
        <v>88</v>
      </c>
      <c r="M19">
        <v>60</v>
      </c>
      <c r="N19">
        <v>0</v>
      </c>
      <c r="O19" s="14">
        <v>45476</v>
      </c>
      <c r="P19" s="14">
        <v>45536</v>
      </c>
      <c r="Q19">
        <v>4927.43</v>
      </c>
      <c r="R19">
        <v>0</v>
      </c>
      <c r="S19">
        <v>0</v>
      </c>
      <c r="T19">
        <v>0</v>
      </c>
      <c r="U19">
        <v>0</v>
      </c>
      <c r="V19">
        <v>4927.43</v>
      </c>
      <c r="W19">
        <v>0</v>
      </c>
      <c r="X19">
        <v>1</v>
      </c>
      <c r="Y19">
        <v>1</v>
      </c>
      <c r="Z19">
        <v>486</v>
      </c>
      <c r="AA19">
        <v>5</v>
      </c>
      <c r="AB19" s="13" t="s">
        <v>60</v>
      </c>
      <c r="AC19">
        <v>1</v>
      </c>
      <c r="AD19">
        <v>0</v>
      </c>
      <c r="AE19" s="13" t="s">
        <v>61</v>
      </c>
    </row>
    <row r="20" spans="1:31" x14ac:dyDescent="0.35">
      <c r="A20" s="13" t="s">
        <v>140</v>
      </c>
      <c r="B20" s="13" t="s">
        <v>141</v>
      </c>
      <c r="C20" s="13" t="s">
        <v>142</v>
      </c>
      <c r="D20" s="13" t="s">
        <v>76</v>
      </c>
      <c r="E20" s="13" t="s">
        <v>65</v>
      </c>
      <c r="F20" s="13" t="s">
        <v>66</v>
      </c>
      <c r="G20" s="13" t="s">
        <v>67</v>
      </c>
      <c r="H20">
        <v>120000</v>
      </c>
      <c r="I20" s="13" t="s">
        <v>93</v>
      </c>
      <c r="J20" s="13" t="s">
        <v>94</v>
      </c>
      <c r="K20" s="13" t="s">
        <v>81</v>
      </c>
      <c r="L20" s="13" t="s">
        <v>95</v>
      </c>
      <c r="M20">
        <v>30</v>
      </c>
      <c r="N20">
        <v>0</v>
      </c>
      <c r="O20" s="14">
        <v>45481</v>
      </c>
      <c r="P20" s="14">
        <v>45511</v>
      </c>
      <c r="Q20">
        <v>2414.29</v>
      </c>
      <c r="R20">
        <v>0</v>
      </c>
      <c r="S20">
        <v>0</v>
      </c>
      <c r="T20">
        <v>0</v>
      </c>
      <c r="U20">
        <v>0</v>
      </c>
      <c r="V20">
        <v>2414.29</v>
      </c>
      <c r="W20">
        <v>0</v>
      </c>
      <c r="X20">
        <v>1</v>
      </c>
      <c r="Y20">
        <v>1</v>
      </c>
      <c r="Z20">
        <v>511</v>
      </c>
      <c r="AA20">
        <v>5</v>
      </c>
      <c r="AB20" s="13" t="s">
        <v>60</v>
      </c>
      <c r="AC20">
        <v>1</v>
      </c>
      <c r="AD20">
        <v>0</v>
      </c>
      <c r="AE20" s="13" t="s">
        <v>61</v>
      </c>
    </row>
    <row r="21" spans="1:31" x14ac:dyDescent="0.35">
      <c r="A21" s="13" t="s">
        <v>143</v>
      </c>
      <c r="B21" s="13" t="s">
        <v>144</v>
      </c>
      <c r="C21" s="13" t="s">
        <v>145</v>
      </c>
      <c r="D21" s="13" t="s">
        <v>52</v>
      </c>
      <c r="E21" s="13" t="s">
        <v>99</v>
      </c>
      <c r="F21" s="13" t="s">
        <v>100</v>
      </c>
      <c r="G21" s="13" t="s">
        <v>55</v>
      </c>
      <c r="H21">
        <v>590000</v>
      </c>
      <c r="I21" s="13" t="s">
        <v>56</v>
      </c>
      <c r="J21" s="13" t="s">
        <v>57</v>
      </c>
      <c r="K21" s="13" t="s">
        <v>58</v>
      </c>
      <c r="L21" s="13" t="s">
        <v>88</v>
      </c>
      <c r="M21">
        <v>60</v>
      </c>
      <c r="N21">
        <v>0</v>
      </c>
      <c r="O21" s="14">
        <v>45485</v>
      </c>
      <c r="P21" s="14">
        <v>45545</v>
      </c>
      <c r="Q21">
        <v>2962.54</v>
      </c>
      <c r="R21">
        <v>0</v>
      </c>
      <c r="S21">
        <v>0</v>
      </c>
      <c r="T21">
        <v>0</v>
      </c>
      <c r="U21">
        <v>0</v>
      </c>
      <c r="V21">
        <v>2962.54</v>
      </c>
      <c r="W21">
        <v>0</v>
      </c>
      <c r="X21">
        <v>1</v>
      </c>
      <c r="Y21">
        <v>1</v>
      </c>
      <c r="Z21">
        <v>477</v>
      </c>
      <c r="AA21">
        <v>5</v>
      </c>
      <c r="AB21" s="13" t="s">
        <v>60</v>
      </c>
      <c r="AC21">
        <v>1</v>
      </c>
      <c r="AD21">
        <v>0</v>
      </c>
      <c r="AE21" s="13" t="s">
        <v>61</v>
      </c>
    </row>
    <row r="22" spans="1:31" x14ac:dyDescent="0.35">
      <c r="A22" s="13" t="s">
        <v>146</v>
      </c>
      <c r="B22" s="13" t="s">
        <v>147</v>
      </c>
      <c r="C22" s="13" t="s">
        <v>148</v>
      </c>
      <c r="D22" s="13" t="s">
        <v>104</v>
      </c>
      <c r="E22" s="13" t="s">
        <v>53</v>
      </c>
      <c r="F22" s="13" t="s">
        <v>54</v>
      </c>
      <c r="G22" s="13" t="s">
        <v>67</v>
      </c>
      <c r="H22">
        <v>80000</v>
      </c>
      <c r="I22" s="13" t="s">
        <v>105</v>
      </c>
      <c r="J22" s="13" t="s">
        <v>106</v>
      </c>
      <c r="K22" s="13" t="s">
        <v>107</v>
      </c>
      <c r="L22" s="13" t="s">
        <v>95</v>
      </c>
      <c r="M22">
        <v>30</v>
      </c>
      <c r="N22">
        <v>0</v>
      </c>
      <c r="O22" s="14">
        <v>45485</v>
      </c>
      <c r="P22" s="14">
        <v>45515</v>
      </c>
      <c r="Q22">
        <v>3195.97</v>
      </c>
      <c r="R22">
        <v>0</v>
      </c>
      <c r="S22">
        <v>0</v>
      </c>
      <c r="T22">
        <v>0</v>
      </c>
      <c r="U22">
        <v>0</v>
      </c>
      <c r="V22">
        <v>3195.97</v>
      </c>
      <c r="W22">
        <v>0</v>
      </c>
      <c r="X22">
        <v>1</v>
      </c>
      <c r="Y22">
        <v>1</v>
      </c>
      <c r="Z22">
        <v>507</v>
      </c>
      <c r="AA22">
        <v>5</v>
      </c>
      <c r="AB22" s="13" t="s">
        <v>60</v>
      </c>
      <c r="AC22">
        <v>1</v>
      </c>
      <c r="AD22">
        <v>0</v>
      </c>
      <c r="AE22" s="13" t="s">
        <v>61</v>
      </c>
    </row>
    <row r="23" spans="1:31" x14ac:dyDescent="0.35">
      <c r="A23" s="13" t="s">
        <v>149</v>
      </c>
      <c r="B23" s="13" t="s">
        <v>150</v>
      </c>
      <c r="C23" s="13" t="s">
        <v>151</v>
      </c>
      <c r="D23" s="13" t="s">
        <v>104</v>
      </c>
      <c r="E23" s="13" t="s">
        <v>65</v>
      </c>
      <c r="F23" s="13" t="s">
        <v>66</v>
      </c>
      <c r="G23" s="13" t="s">
        <v>67</v>
      </c>
      <c r="H23">
        <v>65000</v>
      </c>
      <c r="I23" s="13" t="s">
        <v>121</v>
      </c>
      <c r="J23" s="13" t="s">
        <v>122</v>
      </c>
      <c r="K23" s="13" t="s">
        <v>107</v>
      </c>
      <c r="L23" s="13" t="s">
        <v>95</v>
      </c>
      <c r="M23">
        <v>30</v>
      </c>
      <c r="N23">
        <v>0</v>
      </c>
      <c r="O23" s="14">
        <v>45488</v>
      </c>
      <c r="P23" s="14">
        <v>45518</v>
      </c>
      <c r="Q23">
        <v>1417</v>
      </c>
      <c r="R23">
        <v>0</v>
      </c>
      <c r="S23">
        <v>0</v>
      </c>
      <c r="T23">
        <v>0</v>
      </c>
      <c r="U23">
        <v>0</v>
      </c>
      <c r="V23">
        <v>1417</v>
      </c>
      <c r="W23">
        <v>0</v>
      </c>
      <c r="X23">
        <v>1</v>
      </c>
      <c r="Y23">
        <v>1</v>
      </c>
      <c r="Z23">
        <v>504</v>
      </c>
      <c r="AA23">
        <v>5</v>
      </c>
      <c r="AB23" s="13" t="s">
        <v>60</v>
      </c>
      <c r="AC23">
        <v>1</v>
      </c>
      <c r="AD23">
        <v>0</v>
      </c>
      <c r="AE23" s="13" t="s">
        <v>61</v>
      </c>
    </row>
    <row r="24" spans="1:31" x14ac:dyDescent="0.35">
      <c r="A24" s="13" t="s">
        <v>152</v>
      </c>
      <c r="B24" s="13" t="s">
        <v>153</v>
      </c>
      <c r="C24" s="13" t="s">
        <v>154</v>
      </c>
      <c r="D24" s="13" t="s">
        <v>104</v>
      </c>
      <c r="E24" s="13" t="s">
        <v>65</v>
      </c>
      <c r="F24" s="13" t="s">
        <v>111</v>
      </c>
      <c r="G24" s="13" t="s">
        <v>67</v>
      </c>
      <c r="H24">
        <v>150000</v>
      </c>
      <c r="I24" s="13" t="s">
        <v>56</v>
      </c>
      <c r="J24" s="13" t="s">
        <v>57</v>
      </c>
      <c r="K24" s="13" t="s">
        <v>58</v>
      </c>
      <c r="L24" s="13" t="s">
        <v>95</v>
      </c>
      <c r="M24">
        <v>30</v>
      </c>
      <c r="N24">
        <v>0</v>
      </c>
      <c r="O24" s="14">
        <v>45490</v>
      </c>
      <c r="P24" s="14">
        <v>45520</v>
      </c>
      <c r="Q24">
        <v>862.74</v>
      </c>
      <c r="R24">
        <v>517.64</v>
      </c>
      <c r="S24">
        <v>0</v>
      </c>
      <c r="T24">
        <v>0</v>
      </c>
      <c r="U24">
        <v>0</v>
      </c>
      <c r="V24">
        <v>345.1</v>
      </c>
      <c r="W24">
        <v>0</v>
      </c>
      <c r="X24">
        <v>1</v>
      </c>
      <c r="Y24">
        <v>1</v>
      </c>
      <c r="Z24">
        <v>502</v>
      </c>
      <c r="AA24">
        <v>5</v>
      </c>
      <c r="AB24" s="13" t="s">
        <v>60</v>
      </c>
      <c r="AC24">
        <v>1</v>
      </c>
      <c r="AD24">
        <v>0</v>
      </c>
      <c r="AE24" s="13" t="s">
        <v>61</v>
      </c>
    </row>
    <row r="25" spans="1:31" x14ac:dyDescent="0.35">
      <c r="A25" s="13" t="s">
        <v>155</v>
      </c>
      <c r="B25" s="13" t="s">
        <v>156</v>
      </c>
      <c r="C25" s="13" t="s">
        <v>157</v>
      </c>
      <c r="D25" s="13" t="s">
        <v>52</v>
      </c>
      <c r="E25" s="13" t="s">
        <v>53</v>
      </c>
      <c r="F25" s="13" t="s">
        <v>54</v>
      </c>
      <c r="G25" s="13" t="s">
        <v>92</v>
      </c>
      <c r="H25">
        <v>600000</v>
      </c>
      <c r="I25" s="13" t="s">
        <v>56</v>
      </c>
      <c r="J25" s="13" t="s">
        <v>57</v>
      </c>
      <c r="K25" s="13" t="s">
        <v>58</v>
      </c>
      <c r="L25" s="13" t="s">
        <v>88</v>
      </c>
      <c r="M25">
        <v>60</v>
      </c>
      <c r="N25">
        <v>0</v>
      </c>
      <c r="O25" s="14">
        <v>45491</v>
      </c>
      <c r="P25" s="14">
        <v>45551</v>
      </c>
      <c r="Q25">
        <v>6753.52</v>
      </c>
      <c r="R25">
        <v>0</v>
      </c>
      <c r="S25">
        <v>0</v>
      </c>
      <c r="T25">
        <v>0</v>
      </c>
      <c r="U25">
        <v>0</v>
      </c>
      <c r="V25">
        <v>6753.52</v>
      </c>
      <c r="W25">
        <v>0</v>
      </c>
      <c r="X25">
        <v>1</v>
      </c>
      <c r="Y25">
        <v>1</v>
      </c>
      <c r="Z25">
        <v>471</v>
      </c>
      <c r="AA25">
        <v>5</v>
      </c>
      <c r="AB25" s="13" t="s">
        <v>60</v>
      </c>
      <c r="AC25">
        <v>1</v>
      </c>
      <c r="AD25">
        <v>0</v>
      </c>
      <c r="AE25" s="13" t="s">
        <v>61</v>
      </c>
    </row>
    <row r="26" spans="1:31" x14ac:dyDescent="0.35">
      <c r="A26" s="13" t="s">
        <v>158</v>
      </c>
      <c r="B26" s="13" t="s">
        <v>159</v>
      </c>
      <c r="C26" s="13" t="s">
        <v>160</v>
      </c>
      <c r="D26" s="13" t="s">
        <v>104</v>
      </c>
      <c r="E26" s="13" t="s">
        <v>53</v>
      </c>
      <c r="F26" s="13" t="s">
        <v>135</v>
      </c>
      <c r="G26" s="13" t="s">
        <v>67</v>
      </c>
      <c r="H26">
        <v>140000</v>
      </c>
      <c r="I26" s="13" t="s">
        <v>105</v>
      </c>
      <c r="J26" s="13" t="s">
        <v>106</v>
      </c>
      <c r="K26" s="13" t="s">
        <v>107</v>
      </c>
      <c r="L26" s="13" t="s">
        <v>95</v>
      </c>
      <c r="M26">
        <v>30</v>
      </c>
      <c r="N26">
        <v>0</v>
      </c>
      <c r="O26" s="14">
        <v>45492</v>
      </c>
      <c r="P26" s="14">
        <v>45522</v>
      </c>
      <c r="Q26">
        <v>800.42</v>
      </c>
      <c r="R26">
        <v>0</v>
      </c>
      <c r="S26">
        <v>0</v>
      </c>
      <c r="T26">
        <v>0</v>
      </c>
      <c r="U26">
        <v>0</v>
      </c>
      <c r="V26">
        <v>800.42</v>
      </c>
      <c r="W26">
        <v>0</v>
      </c>
      <c r="X26">
        <v>1</v>
      </c>
      <c r="Y26">
        <v>1</v>
      </c>
      <c r="Z26">
        <v>500</v>
      </c>
      <c r="AA26">
        <v>5</v>
      </c>
      <c r="AB26" s="13" t="s">
        <v>60</v>
      </c>
      <c r="AC26">
        <v>1</v>
      </c>
      <c r="AD26">
        <v>0</v>
      </c>
      <c r="AE26" s="13" t="s">
        <v>61</v>
      </c>
    </row>
    <row r="27" spans="1:31" x14ac:dyDescent="0.35">
      <c r="A27" s="13" t="s">
        <v>161</v>
      </c>
      <c r="B27" s="13" t="s">
        <v>162</v>
      </c>
      <c r="C27" s="13" t="s">
        <v>163</v>
      </c>
      <c r="D27" s="13" t="s">
        <v>76</v>
      </c>
      <c r="E27" s="13" t="s">
        <v>99</v>
      </c>
      <c r="F27" s="13" t="s">
        <v>127</v>
      </c>
      <c r="G27" s="13" t="s">
        <v>67</v>
      </c>
      <c r="H27">
        <v>90000</v>
      </c>
      <c r="I27" s="13" t="s">
        <v>79</v>
      </c>
      <c r="J27" s="13" t="s">
        <v>80</v>
      </c>
      <c r="K27" s="13" t="s">
        <v>81</v>
      </c>
      <c r="L27" s="13" t="s">
        <v>95</v>
      </c>
      <c r="M27">
        <v>30</v>
      </c>
      <c r="N27">
        <v>0</v>
      </c>
      <c r="O27" s="14">
        <v>45506</v>
      </c>
      <c r="P27" s="14">
        <v>45536</v>
      </c>
      <c r="Q27">
        <v>471.72</v>
      </c>
      <c r="R27">
        <v>0</v>
      </c>
      <c r="S27">
        <v>0</v>
      </c>
      <c r="T27">
        <v>0</v>
      </c>
      <c r="U27">
        <v>0</v>
      </c>
      <c r="V27">
        <v>471.72</v>
      </c>
      <c r="W27">
        <v>0</v>
      </c>
      <c r="X27">
        <v>1</v>
      </c>
      <c r="Y27">
        <v>1</v>
      </c>
      <c r="Z27">
        <v>486</v>
      </c>
      <c r="AA27">
        <v>5</v>
      </c>
      <c r="AB27" s="13" t="s">
        <v>60</v>
      </c>
      <c r="AC27">
        <v>1</v>
      </c>
      <c r="AD27">
        <v>0</v>
      </c>
      <c r="AE27" s="13" t="s">
        <v>61</v>
      </c>
    </row>
    <row r="28" spans="1:31" x14ac:dyDescent="0.35">
      <c r="A28" s="13" t="s">
        <v>164</v>
      </c>
      <c r="B28" s="13" t="s">
        <v>165</v>
      </c>
      <c r="C28" s="13" t="s">
        <v>166</v>
      </c>
      <c r="D28" s="13" t="s">
        <v>104</v>
      </c>
      <c r="E28" s="13" t="s">
        <v>53</v>
      </c>
      <c r="F28" s="13" t="s">
        <v>135</v>
      </c>
      <c r="G28" s="13" t="s">
        <v>67</v>
      </c>
      <c r="H28">
        <v>55000</v>
      </c>
      <c r="I28" s="13" t="s">
        <v>121</v>
      </c>
      <c r="J28" s="13" t="s">
        <v>122</v>
      </c>
      <c r="K28" s="13" t="s">
        <v>107</v>
      </c>
      <c r="L28" s="13" t="s">
        <v>95</v>
      </c>
      <c r="M28">
        <v>30</v>
      </c>
      <c r="N28">
        <v>0</v>
      </c>
      <c r="O28" s="14">
        <v>45534</v>
      </c>
      <c r="P28" s="14">
        <v>45564</v>
      </c>
      <c r="Q28">
        <v>1653.18</v>
      </c>
      <c r="R28">
        <v>0</v>
      </c>
      <c r="S28">
        <v>0</v>
      </c>
      <c r="T28">
        <v>0</v>
      </c>
      <c r="U28">
        <v>0</v>
      </c>
      <c r="V28">
        <v>1653.18</v>
      </c>
      <c r="W28">
        <v>0</v>
      </c>
      <c r="X28">
        <v>1</v>
      </c>
      <c r="Y28">
        <v>1</v>
      </c>
      <c r="Z28">
        <v>458</v>
      </c>
      <c r="AA28">
        <v>5</v>
      </c>
      <c r="AB28" s="13" t="s">
        <v>60</v>
      </c>
      <c r="AC28">
        <v>1</v>
      </c>
      <c r="AD28">
        <v>0</v>
      </c>
      <c r="AE28" s="13" t="s">
        <v>61</v>
      </c>
    </row>
    <row r="29" spans="1:31" x14ac:dyDescent="0.35">
      <c r="A29" s="13" t="s">
        <v>167</v>
      </c>
      <c r="B29" s="13" t="s">
        <v>168</v>
      </c>
      <c r="C29" s="13" t="s">
        <v>169</v>
      </c>
      <c r="D29" s="13" t="s">
        <v>52</v>
      </c>
      <c r="E29" s="13" t="s">
        <v>65</v>
      </c>
      <c r="F29" s="13" t="s">
        <v>66</v>
      </c>
      <c r="G29" s="13" t="s">
        <v>67</v>
      </c>
      <c r="H29">
        <v>580000</v>
      </c>
      <c r="I29" s="13" t="s">
        <v>56</v>
      </c>
      <c r="J29" s="13" t="s">
        <v>57</v>
      </c>
      <c r="K29" s="13" t="s">
        <v>58</v>
      </c>
      <c r="L29" s="13" t="s">
        <v>59</v>
      </c>
      <c r="M29">
        <v>45</v>
      </c>
      <c r="N29">
        <v>0</v>
      </c>
      <c r="O29" s="14">
        <v>45541</v>
      </c>
      <c r="P29" s="14">
        <v>45586</v>
      </c>
      <c r="Q29">
        <v>2548.35</v>
      </c>
      <c r="R29">
        <v>1019.34</v>
      </c>
      <c r="S29">
        <v>0</v>
      </c>
      <c r="T29">
        <v>0</v>
      </c>
      <c r="U29">
        <v>0</v>
      </c>
      <c r="V29">
        <v>1529.01</v>
      </c>
      <c r="W29">
        <v>0</v>
      </c>
      <c r="X29">
        <v>1</v>
      </c>
      <c r="Y29">
        <v>1</v>
      </c>
      <c r="Z29">
        <v>436</v>
      </c>
      <c r="AA29">
        <v>5</v>
      </c>
      <c r="AB29" s="13" t="s">
        <v>60</v>
      </c>
      <c r="AC29">
        <v>1</v>
      </c>
      <c r="AD29">
        <v>0</v>
      </c>
      <c r="AE29" s="13" t="s">
        <v>61</v>
      </c>
    </row>
    <row r="30" spans="1:31" x14ac:dyDescent="0.35">
      <c r="A30" s="13" t="s">
        <v>170</v>
      </c>
      <c r="B30" s="13" t="s">
        <v>50</v>
      </c>
      <c r="C30" s="13" t="s">
        <v>51</v>
      </c>
      <c r="D30" s="13" t="s">
        <v>52</v>
      </c>
      <c r="E30" s="13" t="s">
        <v>53</v>
      </c>
      <c r="F30" s="13" t="s">
        <v>54</v>
      </c>
      <c r="G30" s="13" t="s">
        <v>55</v>
      </c>
      <c r="H30">
        <v>585000</v>
      </c>
      <c r="I30" s="13" t="s">
        <v>56</v>
      </c>
      <c r="J30" s="13" t="s">
        <v>57</v>
      </c>
      <c r="K30" s="13" t="s">
        <v>58</v>
      </c>
      <c r="L30" s="13" t="s">
        <v>59</v>
      </c>
      <c r="M30">
        <v>45</v>
      </c>
      <c r="N30">
        <v>0</v>
      </c>
      <c r="O30" s="14">
        <v>45551</v>
      </c>
      <c r="P30" s="14">
        <v>45596</v>
      </c>
      <c r="Q30">
        <v>2173.5500000000002</v>
      </c>
      <c r="R30">
        <v>0</v>
      </c>
      <c r="S30">
        <v>0</v>
      </c>
      <c r="T30">
        <v>0</v>
      </c>
      <c r="U30">
        <v>0</v>
      </c>
      <c r="V30">
        <v>2173.5500000000002</v>
      </c>
      <c r="W30">
        <v>0</v>
      </c>
      <c r="X30">
        <v>1</v>
      </c>
      <c r="Y30">
        <v>1</v>
      </c>
      <c r="Z30">
        <v>426</v>
      </c>
      <c r="AA30">
        <v>5</v>
      </c>
      <c r="AB30" s="13" t="s">
        <v>60</v>
      </c>
      <c r="AC30">
        <v>1</v>
      </c>
      <c r="AD30">
        <v>0</v>
      </c>
      <c r="AE30" s="13" t="s">
        <v>61</v>
      </c>
    </row>
    <row r="31" spans="1:31" x14ac:dyDescent="0.35">
      <c r="A31" s="13" t="s">
        <v>171</v>
      </c>
      <c r="B31" s="13" t="s">
        <v>172</v>
      </c>
      <c r="C31" s="13" t="s">
        <v>173</v>
      </c>
      <c r="D31" s="13" t="s">
        <v>52</v>
      </c>
      <c r="E31" s="13" t="s">
        <v>77</v>
      </c>
      <c r="F31" s="13" t="s">
        <v>174</v>
      </c>
      <c r="G31" s="13" t="s">
        <v>67</v>
      </c>
      <c r="H31">
        <v>590000</v>
      </c>
      <c r="I31" s="13" t="s">
        <v>56</v>
      </c>
      <c r="J31" s="13" t="s">
        <v>57</v>
      </c>
      <c r="K31" s="13" t="s">
        <v>58</v>
      </c>
      <c r="L31" s="13" t="s">
        <v>59</v>
      </c>
      <c r="M31">
        <v>45</v>
      </c>
      <c r="N31">
        <v>0</v>
      </c>
      <c r="O31" s="14">
        <v>45568</v>
      </c>
      <c r="P31" s="14">
        <v>45613</v>
      </c>
      <c r="Q31">
        <v>3169.41</v>
      </c>
      <c r="R31">
        <v>0</v>
      </c>
      <c r="S31">
        <v>0</v>
      </c>
      <c r="T31">
        <v>0</v>
      </c>
      <c r="U31">
        <v>0</v>
      </c>
      <c r="V31">
        <v>3169.41</v>
      </c>
      <c r="W31">
        <v>0</v>
      </c>
      <c r="X31">
        <v>1</v>
      </c>
      <c r="Y31">
        <v>1</v>
      </c>
      <c r="Z31">
        <v>409</v>
      </c>
      <c r="AA31">
        <v>5</v>
      </c>
      <c r="AB31" s="13" t="s">
        <v>60</v>
      </c>
      <c r="AC31">
        <v>1</v>
      </c>
      <c r="AD31">
        <v>0</v>
      </c>
      <c r="AE31" s="13" t="s">
        <v>61</v>
      </c>
    </row>
    <row r="32" spans="1:31" x14ac:dyDescent="0.35">
      <c r="A32" s="13" t="s">
        <v>175</v>
      </c>
      <c r="B32" s="13" t="s">
        <v>74</v>
      </c>
      <c r="C32" s="13" t="s">
        <v>75</v>
      </c>
      <c r="D32" s="13" t="s">
        <v>76</v>
      </c>
      <c r="E32" s="13" t="s">
        <v>77</v>
      </c>
      <c r="F32" s="13" t="s">
        <v>78</v>
      </c>
      <c r="G32" s="13" t="s">
        <v>67</v>
      </c>
      <c r="H32">
        <v>75000</v>
      </c>
      <c r="I32" s="13" t="s">
        <v>79</v>
      </c>
      <c r="J32" s="13" t="s">
        <v>80</v>
      </c>
      <c r="K32" s="13" t="s">
        <v>81</v>
      </c>
      <c r="L32" s="13" t="s">
        <v>82</v>
      </c>
      <c r="M32">
        <v>30</v>
      </c>
      <c r="N32">
        <v>2</v>
      </c>
      <c r="O32" s="14">
        <v>45582</v>
      </c>
      <c r="P32" s="14">
        <v>45612</v>
      </c>
      <c r="Q32">
        <v>514.98</v>
      </c>
      <c r="R32">
        <v>0</v>
      </c>
      <c r="S32">
        <v>0</v>
      </c>
      <c r="T32">
        <v>0</v>
      </c>
      <c r="U32">
        <v>0</v>
      </c>
      <c r="V32">
        <v>514.98</v>
      </c>
      <c r="W32">
        <v>0</v>
      </c>
      <c r="X32">
        <v>1</v>
      </c>
      <c r="Y32">
        <v>1</v>
      </c>
      <c r="Z32">
        <v>410</v>
      </c>
      <c r="AA32">
        <v>5</v>
      </c>
      <c r="AB32" s="13" t="s">
        <v>60</v>
      </c>
      <c r="AC32">
        <v>1</v>
      </c>
      <c r="AD32">
        <v>0</v>
      </c>
      <c r="AE32" s="13" t="s">
        <v>61</v>
      </c>
    </row>
    <row r="33" spans="1:31" x14ac:dyDescent="0.35">
      <c r="A33" s="13" t="s">
        <v>176</v>
      </c>
      <c r="B33" s="13" t="s">
        <v>177</v>
      </c>
      <c r="C33" s="13" t="s">
        <v>178</v>
      </c>
      <c r="D33" s="13" t="s">
        <v>52</v>
      </c>
      <c r="E33" s="13" t="s">
        <v>71</v>
      </c>
      <c r="F33" s="13" t="s">
        <v>72</v>
      </c>
      <c r="G33" s="13" t="s">
        <v>67</v>
      </c>
      <c r="H33">
        <v>415000</v>
      </c>
      <c r="I33" s="13" t="s">
        <v>56</v>
      </c>
      <c r="J33" s="13" t="s">
        <v>57</v>
      </c>
      <c r="K33" s="13" t="s">
        <v>58</v>
      </c>
      <c r="L33" s="13" t="s">
        <v>59</v>
      </c>
      <c r="M33">
        <v>45</v>
      </c>
      <c r="N33">
        <v>0</v>
      </c>
      <c r="O33" s="14">
        <v>45586</v>
      </c>
      <c r="P33" s="14">
        <v>45631</v>
      </c>
      <c r="Q33">
        <v>2607.46</v>
      </c>
      <c r="R33">
        <v>0</v>
      </c>
      <c r="S33">
        <v>0</v>
      </c>
      <c r="T33">
        <v>0</v>
      </c>
      <c r="U33">
        <v>0</v>
      </c>
      <c r="V33">
        <v>2607.46</v>
      </c>
      <c r="W33">
        <v>0</v>
      </c>
      <c r="X33">
        <v>1</v>
      </c>
      <c r="Y33">
        <v>1</v>
      </c>
      <c r="Z33">
        <v>391</v>
      </c>
      <c r="AA33">
        <v>5</v>
      </c>
      <c r="AB33" s="13" t="s">
        <v>60</v>
      </c>
      <c r="AC33">
        <v>1</v>
      </c>
      <c r="AD33">
        <v>0</v>
      </c>
      <c r="AE33" s="13" t="s">
        <v>61</v>
      </c>
    </row>
    <row r="34" spans="1:31" x14ac:dyDescent="0.35">
      <c r="A34" s="13" t="s">
        <v>179</v>
      </c>
      <c r="B34" s="13" t="s">
        <v>180</v>
      </c>
      <c r="C34" s="13" t="s">
        <v>181</v>
      </c>
      <c r="D34" s="13" t="s">
        <v>104</v>
      </c>
      <c r="E34" s="13" t="s">
        <v>77</v>
      </c>
      <c r="F34" s="13" t="s">
        <v>174</v>
      </c>
      <c r="G34" s="13" t="s">
        <v>55</v>
      </c>
      <c r="H34">
        <v>105000</v>
      </c>
      <c r="I34" s="13" t="s">
        <v>121</v>
      </c>
      <c r="J34" s="13" t="s">
        <v>122</v>
      </c>
      <c r="K34" s="13" t="s">
        <v>107</v>
      </c>
      <c r="L34" s="13" t="s">
        <v>95</v>
      </c>
      <c r="M34">
        <v>30</v>
      </c>
      <c r="N34">
        <v>0</v>
      </c>
      <c r="O34" s="14">
        <v>45588</v>
      </c>
      <c r="P34" s="14">
        <v>45618</v>
      </c>
      <c r="Q34">
        <v>2303.59</v>
      </c>
      <c r="R34">
        <v>0</v>
      </c>
      <c r="S34">
        <v>0</v>
      </c>
      <c r="T34">
        <v>0</v>
      </c>
      <c r="U34">
        <v>0</v>
      </c>
      <c r="V34">
        <v>2303.59</v>
      </c>
      <c r="W34">
        <v>0</v>
      </c>
      <c r="X34">
        <v>1</v>
      </c>
      <c r="Y34">
        <v>1</v>
      </c>
      <c r="Z34">
        <v>404</v>
      </c>
      <c r="AA34">
        <v>5</v>
      </c>
      <c r="AB34" s="13" t="s">
        <v>60</v>
      </c>
      <c r="AC34">
        <v>1</v>
      </c>
      <c r="AD34">
        <v>0</v>
      </c>
      <c r="AE34" s="13" t="s">
        <v>61</v>
      </c>
    </row>
    <row r="35" spans="1:31" x14ac:dyDescent="0.35">
      <c r="A35" s="13" t="s">
        <v>182</v>
      </c>
      <c r="B35" s="13" t="s">
        <v>183</v>
      </c>
      <c r="C35" s="13" t="s">
        <v>184</v>
      </c>
      <c r="D35" s="13" t="s">
        <v>104</v>
      </c>
      <c r="E35" s="13" t="s">
        <v>53</v>
      </c>
      <c r="F35" s="13" t="s">
        <v>54</v>
      </c>
      <c r="G35" s="13" t="s">
        <v>67</v>
      </c>
      <c r="H35">
        <v>75000</v>
      </c>
      <c r="I35" s="13" t="s">
        <v>105</v>
      </c>
      <c r="J35" s="13" t="s">
        <v>106</v>
      </c>
      <c r="K35" s="13" t="s">
        <v>107</v>
      </c>
      <c r="L35" s="13" t="s">
        <v>95</v>
      </c>
      <c r="M35">
        <v>30</v>
      </c>
      <c r="N35">
        <v>0</v>
      </c>
      <c r="O35" s="14">
        <v>45596</v>
      </c>
      <c r="P35" s="14">
        <v>45626</v>
      </c>
      <c r="Q35">
        <v>1402.84</v>
      </c>
      <c r="R35">
        <v>0</v>
      </c>
      <c r="S35">
        <v>0</v>
      </c>
      <c r="T35">
        <v>0</v>
      </c>
      <c r="U35">
        <v>0</v>
      </c>
      <c r="V35">
        <v>1402.84</v>
      </c>
      <c r="W35">
        <v>0</v>
      </c>
      <c r="X35">
        <v>1</v>
      </c>
      <c r="Y35">
        <v>1</v>
      </c>
      <c r="Z35">
        <v>396</v>
      </c>
      <c r="AA35">
        <v>5</v>
      </c>
      <c r="AB35" s="13" t="s">
        <v>60</v>
      </c>
      <c r="AC35">
        <v>1</v>
      </c>
      <c r="AD35">
        <v>0</v>
      </c>
      <c r="AE35" s="13" t="s">
        <v>61</v>
      </c>
    </row>
    <row r="36" spans="1:31" x14ac:dyDescent="0.35">
      <c r="A36" s="13" t="s">
        <v>185</v>
      </c>
      <c r="B36" s="13" t="s">
        <v>186</v>
      </c>
      <c r="C36" s="13" t="s">
        <v>187</v>
      </c>
      <c r="D36" s="13" t="s">
        <v>76</v>
      </c>
      <c r="E36" s="13" t="s">
        <v>65</v>
      </c>
      <c r="F36" s="13" t="s">
        <v>66</v>
      </c>
      <c r="G36" s="13" t="s">
        <v>55</v>
      </c>
      <c r="H36">
        <v>120000</v>
      </c>
      <c r="I36" s="13" t="s">
        <v>93</v>
      </c>
      <c r="J36" s="13" t="s">
        <v>94</v>
      </c>
      <c r="K36" s="13" t="s">
        <v>81</v>
      </c>
      <c r="L36" s="13" t="s">
        <v>95</v>
      </c>
      <c r="M36">
        <v>30</v>
      </c>
      <c r="N36">
        <v>0</v>
      </c>
      <c r="O36" s="14">
        <v>45603</v>
      </c>
      <c r="P36" s="14">
        <v>45633</v>
      </c>
      <c r="Q36">
        <v>1263.0899999999999</v>
      </c>
      <c r="R36">
        <v>0</v>
      </c>
      <c r="S36">
        <v>0</v>
      </c>
      <c r="T36">
        <v>0</v>
      </c>
      <c r="U36">
        <v>0</v>
      </c>
      <c r="V36">
        <v>1263.0899999999999</v>
      </c>
      <c r="W36">
        <v>0</v>
      </c>
      <c r="X36">
        <v>1</v>
      </c>
      <c r="Y36">
        <v>1</v>
      </c>
      <c r="Z36">
        <v>389</v>
      </c>
      <c r="AA36">
        <v>5</v>
      </c>
      <c r="AB36" s="13" t="s">
        <v>60</v>
      </c>
      <c r="AC36">
        <v>1</v>
      </c>
      <c r="AD36">
        <v>0</v>
      </c>
      <c r="AE36" s="13" t="s">
        <v>61</v>
      </c>
    </row>
    <row r="37" spans="1:31" x14ac:dyDescent="0.35">
      <c r="A37" s="13" t="s">
        <v>188</v>
      </c>
      <c r="B37" s="13" t="s">
        <v>189</v>
      </c>
      <c r="C37" s="13" t="s">
        <v>190</v>
      </c>
      <c r="D37" s="13" t="s">
        <v>104</v>
      </c>
      <c r="E37" s="13" t="s">
        <v>53</v>
      </c>
      <c r="F37" s="13" t="s">
        <v>135</v>
      </c>
      <c r="G37" s="13" t="s">
        <v>67</v>
      </c>
      <c r="H37">
        <v>30000</v>
      </c>
      <c r="I37" s="13" t="s">
        <v>105</v>
      </c>
      <c r="J37" s="13" t="s">
        <v>106</v>
      </c>
      <c r="K37" s="13" t="s">
        <v>107</v>
      </c>
      <c r="L37" s="13" t="s">
        <v>95</v>
      </c>
      <c r="M37">
        <v>30</v>
      </c>
      <c r="N37">
        <v>0</v>
      </c>
      <c r="O37" s="14">
        <v>45603</v>
      </c>
      <c r="P37" s="14">
        <v>45633</v>
      </c>
      <c r="Q37">
        <v>3971.58</v>
      </c>
      <c r="R37">
        <v>0</v>
      </c>
      <c r="S37">
        <v>0</v>
      </c>
      <c r="T37">
        <v>0</v>
      </c>
      <c r="U37">
        <v>0</v>
      </c>
      <c r="V37">
        <v>3971.58</v>
      </c>
      <c r="W37">
        <v>0</v>
      </c>
      <c r="X37">
        <v>1</v>
      </c>
      <c r="Y37">
        <v>1</v>
      </c>
      <c r="Z37">
        <v>389</v>
      </c>
      <c r="AA37">
        <v>5</v>
      </c>
      <c r="AB37" s="13" t="s">
        <v>60</v>
      </c>
      <c r="AC37">
        <v>1</v>
      </c>
      <c r="AD37">
        <v>0</v>
      </c>
      <c r="AE37" s="13" t="s">
        <v>61</v>
      </c>
    </row>
    <row r="38" spans="1:31" x14ac:dyDescent="0.35">
      <c r="A38" s="13" t="s">
        <v>191</v>
      </c>
      <c r="B38" s="13" t="s">
        <v>156</v>
      </c>
      <c r="C38" s="13" t="s">
        <v>157</v>
      </c>
      <c r="D38" s="13" t="s">
        <v>52</v>
      </c>
      <c r="E38" s="13" t="s">
        <v>53</v>
      </c>
      <c r="F38" s="13" t="s">
        <v>54</v>
      </c>
      <c r="G38" s="13" t="s">
        <v>92</v>
      </c>
      <c r="H38">
        <v>600000</v>
      </c>
      <c r="I38" s="13" t="s">
        <v>56</v>
      </c>
      <c r="J38" s="13" t="s">
        <v>57</v>
      </c>
      <c r="K38" s="13" t="s">
        <v>58</v>
      </c>
      <c r="L38" s="13" t="s">
        <v>88</v>
      </c>
      <c r="M38">
        <v>60</v>
      </c>
      <c r="N38">
        <v>0</v>
      </c>
      <c r="O38" s="14">
        <v>45610</v>
      </c>
      <c r="P38" s="14">
        <v>45670</v>
      </c>
      <c r="Q38">
        <v>1941.39</v>
      </c>
      <c r="R38">
        <v>0</v>
      </c>
      <c r="S38">
        <v>0</v>
      </c>
      <c r="T38">
        <v>0</v>
      </c>
      <c r="U38">
        <v>0</v>
      </c>
      <c r="V38">
        <v>1941.39</v>
      </c>
      <c r="W38">
        <v>0</v>
      </c>
      <c r="X38">
        <v>1</v>
      </c>
      <c r="Y38">
        <v>1</v>
      </c>
      <c r="Z38">
        <v>352</v>
      </c>
      <c r="AA38">
        <v>5</v>
      </c>
      <c r="AB38" s="13" t="s">
        <v>60</v>
      </c>
      <c r="AC38">
        <v>1</v>
      </c>
      <c r="AD38">
        <v>0</v>
      </c>
      <c r="AE38" s="13" t="s">
        <v>61</v>
      </c>
    </row>
    <row r="39" spans="1:31" x14ac:dyDescent="0.35">
      <c r="A39" s="13" t="s">
        <v>192</v>
      </c>
      <c r="B39" s="13" t="s">
        <v>193</v>
      </c>
      <c r="C39" s="13" t="s">
        <v>194</v>
      </c>
      <c r="D39" s="13" t="s">
        <v>104</v>
      </c>
      <c r="E39" s="13" t="s">
        <v>99</v>
      </c>
      <c r="F39" s="13" t="s">
        <v>100</v>
      </c>
      <c r="G39" s="13" t="s">
        <v>67</v>
      </c>
      <c r="H39">
        <v>145000</v>
      </c>
      <c r="I39" s="13" t="s">
        <v>121</v>
      </c>
      <c r="J39" s="13" t="s">
        <v>122</v>
      </c>
      <c r="K39" s="13" t="s">
        <v>107</v>
      </c>
      <c r="L39" s="13" t="s">
        <v>82</v>
      </c>
      <c r="M39">
        <v>30</v>
      </c>
      <c r="N39">
        <v>2</v>
      </c>
      <c r="O39" s="14">
        <v>45621</v>
      </c>
      <c r="P39" s="14">
        <v>45651</v>
      </c>
      <c r="Q39">
        <v>4939.05</v>
      </c>
      <c r="R39">
        <v>0</v>
      </c>
      <c r="S39">
        <v>0</v>
      </c>
      <c r="T39">
        <v>0</v>
      </c>
      <c r="U39">
        <v>0</v>
      </c>
      <c r="V39">
        <v>4939.05</v>
      </c>
      <c r="W39">
        <v>0</v>
      </c>
      <c r="X39">
        <v>1</v>
      </c>
      <c r="Y39">
        <v>1</v>
      </c>
      <c r="Z39">
        <v>371</v>
      </c>
      <c r="AA39">
        <v>5</v>
      </c>
      <c r="AB39" s="13" t="s">
        <v>60</v>
      </c>
      <c r="AC39">
        <v>1</v>
      </c>
      <c r="AD39">
        <v>0</v>
      </c>
      <c r="AE39" s="13" t="s">
        <v>61</v>
      </c>
    </row>
    <row r="40" spans="1:31" x14ac:dyDescent="0.35">
      <c r="A40" s="13" t="s">
        <v>195</v>
      </c>
      <c r="B40" s="13" t="s">
        <v>144</v>
      </c>
      <c r="C40" s="13" t="s">
        <v>145</v>
      </c>
      <c r="D40" s="13" t="s">
        <v>52</v>
      </c>
      <c r="E40" s="13" t="s">
        <v>99</v>
      </c>
      <c r="F40" s="13" t="s">
        <v>100</v>
      </c>
      <c r="G40" s="13" t="s">
        <v>55</v>
      </c>
      <c r="H40">
        <v>590000</v>
      </c>
      <c r="I40" s="13" t="s">
        <v>56</v>
      </c>
      <c r="J40" s="13" t="s">
        <v>57</v>
      </c>
      <c r="K40" s="13" t="s">
        <v>58</v>
      </c>
      <c r="L40" s="13" t="s">
        <v>88</v>
      </c>
      <c r="M40">
        <v>60</v>
      </c>
      <c r="N40">
        <v>0</v>
      </c>
      <c r="O40" s="14">
        <v>45629</v>
      </c>
      <c r="P40" s="14">
        <v>45689</v>
      </c>
      <c r="Q40">
        <v>2881.2</v>
      </c>
      <c r="R40">
        <v>0</v>
      </c>
      <c r="S40">
        <v>0</v>
      </c>
      <c r="T40">
        <v>0</v>
      </c>
      <c r="U40">
        <v>0</v>
      </c>
      <c r="V40">
        <v>2881.2</v>
      </c>
      <c r="W40">
        <v>0</v>
      </c>
      <c r="X40">
        <v>1</v>
      </c>
      <c r="Y40">
        <v>1</v>
      </c>
      <c r="Z40">
        <v>333</v>
      </c>
      <c r="AA40">
        <v>5</v>
      </c>
      <c r="AB40" s="13" t="s">
        <v>60</v>
      </c>
      <c r="AC40">
        <v>1</v>
      </c>
      <c r="AD40">
        <v>0</v>
      </c>
      <c r="AE40" s="13" t="s">
        <v>61</v>
      </c>
    </row>
    <row r="41" spans="1:31" x14ac:dyDescent="0.35">
      <c r="A41" s="13" t="s">
        <v>196</v>
      </c>
      <c r="B41" s="13" t="s">
        <v>197</v>
      </c>
      <c r="C41" s="13" t="s">
        <v>198</v>
      </c>
      <c r="D41" s="13" t="s">
        <v>76</v>
      </c>
      <c r="E41" s="13" t="s">
        <v>53</v>
      </c>
      <c r="F41" s="13" t="s">
        <v>135</v>
      </c>
      <c r="G41" s="13" t="s">
        <v>67</v>
      </c>
      <c r="H41">
        <v>105000</v>
      </c>
      <c r="I41" s="13" t="s">
        <v>79</v>
      </c>
      <c r="J41" s="13" t="s">
        <v>80</v>
      </c>
      <c r="K41" s="13" t="s">
        <v>81</v>
      </c>
      <c r="L41" s="13" t="s">
        <v>95</v>
      </c>
      <c r="M41">
        <v>30</v>
      </c>
      <c r="N41">
        <v>0</v>
      </c>
      <c r="O41" s="14">
        <v>45643</v>
      </c>
      <c r="P41" s="14">
        <v>45673</v>
      </c>
      <c r="Q41">
        <v>507.2</v>
      </c>
      <c r="R41">
        <v>0</v>
      </c>
      <c r="S41">
        <v>0</v>
      </c>
      <c r="T41">
        <v>0</v>
      </c>
      <c r="U41">
        <v>0</v>
      </c>
      <c r="V41">
        <v>507.2</v>
      </c>
      <c r="W41">
        <v>0</v>
      </c>
      <c r="X41">
        <v>1</v>
      </c>
      <c r="Y41">
        <v>1</v>
      </c>
      <c r="Z41">
        <v>349</v>
      </c>
      <c r="AA41">
        <v>5</v>
      </c>
      <c r="AB41" s="13" t="s">
        <v>60</v>
      </c>
      <c r="AC41">
        <v>1</v>
      </c>
      <c r="AD41">
        <v>0</v>
      </c>
      <c r="AE41" s="13" t="s">
        <v>61</v>
      </c>
    </row>
    <row r="42" spans="1:31" x14ac:dyDescent="0.35">
      <c r="A42" s="13" t="s">
        <v>199</v>
      </c>
      <c r="B42" s="13" t="s">
        <v>200</v>
      </c>
      <c r="C42" s="13" t="s">
        <v>201</v>
      </c>
      <c r="D42" s="13" t="s">
        <v>104</v>
      </c>
      <c r="E42" s="13" t="s">
        <v>53</v>
      </c>
      <c r="F42" s="13" t="s">
        <v>54</v>
      </c>
      <c r="G42" s="13" t="s">
        <v>55</v>
      </c>
      <c r="H42">
        <v>145000</v>
      </c>
      <c r="I42" s="13" t="s">
        <v>121</v>
      </c>
      <c r="J42" s="13" t="s">
        <v>122</v>
      </c>
      <c r="K42" s="13" t="s">
        <v>107</v>
      </c>
      <c r="L42" s="13" t="s">
        <v>82</v>
      </c>
      <c r="M42">
        <v>30</v>
      </c>
      <c r="N42">
        <v>2</v>
      </c>
      <c r="O42" s="14">
        <v>45666</v>
      </c>
      <c r="P42" s="14">
        <v>45696</v>
      </c>
      <c r="Q42">
        <v>3683.79</v>
      </c>
      <c r="R42">
        <v>0</v>
      </c>
      <c r="S42">
        <v>0</v>
      </c>
      <c r="T42">
        <v>0</v>
      </c>
      <c r="U42">
        <v>0</v>
      </c>
      <c r="V42">
        <v>3683.79</v>
      </c>
      <c r="W42">
        <v>0</v>
      </c>
      <c r="X42">
        <v>1</v>
      </c>
      <c r="Y42">
        <v>1</v>
      </c>
      <c r="Z42">
        <v>326</v>
      </c>
      <c r="AA42">
        <v>5</v>
      </c>
      <c r="AB42" s="13" t="s">
        <v>60</v>
      </c>
      <c r="AC42">
        <v>1</v>
      </c>
      <c r="AD42">
        <v>0</v>
      </c>
      <c r="AE42" s="13" t="s">
        <v>61</v>
      </c>
    </row>
    <row r="43" spans="1:31" x14ac:dyDescent="0.35">
      <c r="A43" s="13" t="s">
        <v>202</v>
      </c>
      <c r="B43" s="13" t="s">
        <v>203</v>
      </c>
      <c r="C43" s="13" t="s">
        <v>204</v>
      </c>
      <c r="D43" s="13" t="s">
        <v>52</v>
      </c>
      <c r="E43" s="13" t="s">
        <v>53</v>
      </c>
      <c r="F43" s="13" t="s">
        <v>135</v>
      </c>
      <c r="G43" s="13" t="s">
        <v>67</v>
      </c>
      <c r="H43">
        <v>500000</v>
      </c>
      <c r="I43" s="13" t="s">
        <v>56</v>
      </c>
      <c r="J43" s="13" t="s">
        <v>57</v>
      </c>
      <c r="K43" s="13" t="s">
        <v>58</v>
      </c>
      <c r="L43" s="13" t="s">
        <v>59</v>
      </c>
      <c r="M43">
        <v>45</v>
      </c>
      <c r="N43">
        <v>0</v>
      </c>
      <c r="O43" s="14">
        <v>45670</v>
      </c>
      <c r="P43" s="14">
        <v>45715</v>
      </c>
      <c r="Q43">
        <v>3923.6</v>
      </c>
      <c r="R43">
        <v>0</v>
      </c>
      <c r="S43">
        <v>0</v>
      </c>
      <c r="T43">
        <v>0</v>
      </c>
      <c r="U43">
        <v>0</v>
      </c>
      <c r="V43">
        <v>3923.6</v>
      </c>
      <c r="W43">
        <v>0</v>
      </c>
      <c r="X43">
        <v>1</v>
      </c>
      <c r="Y43">
        <v>1</v>
      </c>
      <c r="Z43">
        <v>307</v>
      </c>
      <c r="AA43">
        <v>5</v>
      </c>
      <c r="AB43" s="13" t="s">
        <v>60</v>
      </c>
      <c r="AC43">
        <v>1</v>
      </c>
      <c r="AD43">
        <v>0</v>
      </c>
      <c r="AE43" s="13" t="s">
        <v>61</v>
      </c>
    </row>
    <row r="44" spans="1:31" x14ac:dyDescent="0.35">
      <c r="A44" s="13" t="s">
        <v>205</v>
      </c>
      <c r="B44" s="13" t="s">
        <v>206</v>
      </c>
      <c r="C44" s="13" t="s">
        <v>207</v>
      </c>
      <c r="D44" s="13" t="s">
        <v>52</v>
      </c>
      <c r="E44" s="13" t="s">
        <v>65</v>
      </c>
      <c r="F44" s="13" t="s">
        <v>111</v>
      </c>
      <c r="G44" s="13" t="s">
        <v>92</v>
      </c>
      <c r="H44">
        <v>490000</v>
      </c>
      <c r="I44" s="13" t="s">
        <v>86</v>
      </c>
      <c r="J44" s="13" t="s">
        <v>87</v>
      </c>
      <c r="K44" s="13" t="s">
        <v>58</v>
      </c>
      <c r="L44" s="13" t="s">
        <v>88</v>
      </c>
      <c r="M44">
        <v>60</v>
      </c>
      <c r="N44">
        <v>0</v>
      </c>
      <c r="O44" s="14">
        <v>45673</v>
      </c>
      <c r="P44" s="14">
        <v>45733</v>
      </c>
      <c r="Q44">
        <v>11345.74</v>
      </c>
      <c r="R44">
        <v>0</v>
      </c>
      <c r="S44">
        <v>0</v>
      </c>
      <c r="T44">
        <v>0</v>
      </c>
      <c r="U44">
        <v>0</v>
      </c>
      <c r="V44">
        <v>11345.74</v>
      </c>
      <c r="W44">
        <v>0</v>
      </c>
      <c r="X44">
        <v>1</v>
      </c>
      <c r="Y44">
        <v>1</v>
      </c>
      <c r="Z44">
        <v>289</v>
      </c>
      <c r="AA44">
        <v>5</v>
      </c>
      <c r="AB44" s="13" t="s">
        <v>60</v>
      </c>
      <c r="AC44">
        <v>1</v>
      </c>
      <c r="AD44">
        <v>0</v>
      </c>
      <c r="AE44" s="13" t="s">
        <v>61</v>
      </c>
    </row>
    <row r="45" spans="1:31" x14ac:dyDescent="0.35">
      <c r="A45" s="13" t="s">
        <v>208</v>
      </c>
      <c r="B45" s="13" t="s">
        <v>209</v>
      </c>
      <c r="C45" s="13" t="s">
        <v>210</v>
      </c>
      <c r="D45" s="13" t="s">
        <v>52</v>
      </c>
      <c r="E45" s="13" t="s">
        <v>77</v>
      </c>
      <c r="F45" s="13" t="s">
        <v>78</v>
      </c>
      <c r="G45" s="13" t="s">
        <v>55</v>
      </c>
      <c r="H45">
        <v>410000</v>
      </c>
      <c r="I45" s="13" t="s">
        <v>56</v>
      </c>
      <c r="J45" s="13" t="s">
        <v>57</v>
      </c>
      <c r="K45" s="13" t="s">
        <v>58</v>
      </c>
      <c r="L45" s="13" t="s">
        <v>88</v>
      </c>
      <c r="M45">
        <v>60</v>
      </c>
      <c r="N45">
        <v>0</v>
      </c>
      <c r="O45" s="14">
        <v>45684</v>
      </c>
      <c r="P45" s="14">
        <v>45744</v>
      </c>
      <c r="Q45">
        <v>4228.5600000000004</v>
      </c>
      <c r="R45">
        <v>0</v>
      </c>
      <c r="S45">
        <v>0</v>
      </c>
      <c r="T45">
        <v>0</v>
      </c>
      <c r="U45">
        <v>0</v>
      </c>
      <c r="V45">
        <v>4228.5600000000004</v>
      </c>
      <c r="W45">
        <v>0</v>
      </c>
      <c r="X45">
        <v>1</v>
      </c>
      <c r="Y45">
        <v>1</v>
      </c>
      <c r="Z45">
        <v>278</v>
      </c>
      <c r="AA45">
        <v>5</v>
      </c>
      <c r="AB45" s="13" t="s">
        <v>60</v>
      </c>
      <c r="AC45">
        <v>1</v>
      </c>
      <c r="AD45">
        <v>0</v>
      </c>
      <c r="AE45" s="13" t="s">
        <v>61</v>
      </c>
    </row>
    <row r="46" spans="1:31" x14ac:dyDescent="0.35">
      <c r="A46" s="13" t="s">
        <v>211</v>
      </c>
      <c r="B46" s="13" t="s">
        <v>212</v>
      </c>
      <c r="C46" s="13" t="s">
        <v>213</v>
      </c>
      <c r="D46" s="13" t="s">
        <v>52</v>
      </c>
      <c r="E46" s="13" t="s">
        <v>71</v>
      </c>
      <c r="F46" s="13" t="s">
        <v>214</v>
      </c>
      <c r="G46" s="13" t="s">
        <v>92</v>
      </c>
      <c r="H46">
        <v>380000</v>
      </c>
      <c r="I46" s="13" t="s">
        <v>86</v>
      </c>
      <c r="J46" s="13" t="s">
        <v>87</v>
      </c>
      <c r="K46" s="13" t="s">
        <v>58</v>
      </c>
      <c r="L46" s="13" t="s">
        <v>88</v>
      </c>
      <c r="M46">
        <v>60</v>
      </c>
      <c r="N46">
        <v>0</v>
      </c>
      <c r="O46" s="14">
        <v>45685</v>
      </c>
      <c r="P46" s="14">
        <v>45745</v>
      </c>
      <c r="Q46">
        <v>8807.44</v>
      </c>
      <c r="R46">
        <v>5284.46</v>
      </c>
      <c r="S46">
        <v>0</v>
      </c>
      <c r="T46">
        <v>0</v>
      </c>
      <c r="U46">
        <v>0</v>
      </c>
      <c r="V46">
        <v>3522.98</v>
      </c>
      <c r="W46">
        <v>0</v>
      </c>
      <c r="X46">
        <v>1</v>
      </c>
      <c r="Y46">
        <v>1</v>
      </c>
      <c r="Z46">
        <v>277</v>
      </c>
      <c r="AA46">
        <v>5</v>
      </c>
      <c r="AB46" s="13" t="s">
        <v>60</v>
      </c>
      <c r="AC46">
        <v>1</v>
      </c>
      <c r="AD46">
        <v>0</v>
      </c>
      <c r="AE46" s="13" t="s">
        <v>61</v>
      </c>
    </row>
    <row r="47" spans="1:31" x14ac:dyDescent="0.35">
      <c r="A47" s="13" t="s">
        <v>215</v>
      </c>
      <c r="B47" s="13" t="s">
        <v>216</v>
      </c>
      <c r="C47" s="13" t="s">
        <v>217</v>
      </c>
      <c r="D47" s="13" t="s">
        <v>52</v>
      </c>
      <c r="E47" s="13" t="s">
        <v>65</v>
      </c>
      <c r="F47" s="13" t="s">
        <v>66</v>
      </c>
      <c r="G47" s="13" t="s">
        <v>67</v>
      </c>
      <c r="H47">
        <v>515000</v>
      </c>
      <c r="I47" s="13" t="s">
        <v>86</v>
      </c>
      <c r="J47" s="13" t="s">
        <v>87</v>
      </c>
      <c r="K47" s="13" t="s">
        <v>58</v>
      </c>
      <c r="L47" s="13" t="s">
        <v>88</v>
      </c>
      <c r="M47">
        <v>60</v>
      </c>
      <c r="N47">
        <v>0</v>
      </c>
      <c r="O47" s="14">
        <v>45688</v>
      </c>
      <c r="P47" s="14">
        <v>45748</v>
      </c>
      <c r="Q47">
        <v>1675.15</v>
      </c>
      <c r="R47">
        <v>0</v>
      </c>
      <c r="S47">
        <v>0</v>
      </c>
      <c r="T47">
        <v>0</v>
      </c>
      <c r="U47">
        <v>0</v>
      </c>
      <c r="V47">
        <v>1675.15</v>
      </c>
      <c r="W47">
        <v>0</v>
      </c>
      <c r="X47">
        <v>1</v>
      </c>
      <c r="Y47">
        <v>1</v>
      </c>
      <c r="Z47">
        <v>274</v>
      </c>
      <c r="AA47">
        <v>5</v>
      </c>
      <c r="AB47" s="13" t="s">
        <v>60</v>
      </c>
      <c r="AC47">
        <v>1</v>
      </c>
      <c r="AD47">
        <v>0</v>
      </c>
      <c r="AE47" s="13" t="s">
        <v>61</v>
      </c>
    </row>
    <row r="48" spans="1:31" x14ac:dyDescent="0.35">
      <c r="A48" s="13" t="s">
        <v>218</v>
      </c>
      <c r="B48" s="13" t="s">
        <v>219</v>
      </c>
      <c r="C48" s="13" t="s">
        <v>220</v>
      </c>
      <c r="D48" s="13" t="s">
        <v>76</v>
      </c>
      <c r="E48" s="13" t="s">
        <v>71</v>
      </c>
      <c r="F48" s="13" t="s">
        <v>72</v>
      </c>
      <c r="G48" s="13" t="s">
        <v>55</v>
      </c>
      <c r="H48">
        <v>65000</v>
      </c>
      <c r="I48" s="13" t="s">
        <v>79</v>
      </c>
      <c r="J48" s="13" t="s">
        <v>80</v>
      </c>
      <c r="K48" s="13" t="s">
        <v>81</v>
      </c>
      <c r="L48" s="13" t="s">
        <v>95</v>
      </c>
      <c r="M48">
        <v>30</v>
      </c>
      <c r="N48">
        <v>0</v>
      </c>
      <c r="O48" s="14">
        <v>45708</v>
      </c>
      <c r="P48" s="14">
        <v>45738</v>
      </c>
      <c r="Q48">
        <v>450</v>
      </c>
      <c r="R48">
        <v>0</v>
      </c>
      <c r="S48">
        <v>0</v>
      </c>
      <c r="T48">
        <v>0</v>
      </c>
      <c r="U48">
        <v>0</v>
      </c>
      <c r="V48">
        <v>450</v>
      </c>
      <c r="W48">
        <v>0</v>
      </c>
      <c r="X48">
        <v>1</v>
      </c>
      <c r="Y48">
        <v>1</v>
      </c>
      <c r="Z48">
        <v>284</v>
      </c>
      <c r="AA48">
        <v>5</v>
      </c>
      <c r="AB48" s="13" t="s">
        <v>60</v>
      </c>
      <c r="AC48">
        <v>1</v>
      </c>
      <c r="AD48">
        <v>0</v>
      </c>
      <c r="AE48" s="13" t="s">
        <v>61</v>
      </c>
    </row>
    <row r="49" spans="1:31" x14ac:dyDescent="0.35">
      <c r="A49" s="13" t="s">
        <v>221</v>
      </c>
      <c r="B49" s="13" t="s">
        <v>222</v>
      </c>
      <c r="C49" s="13" t="s">
        <v>223</v>
      </c>
      <c r="D49" s="13" t="s">
        <v>52</v>
      </c>
      <c r="E49" s="13" t="s">
        <v>65</v>
      </c>
      <c r="F49" s="13" t="s">
        <v>66</v>
      </c>
      <c r="G49" s="13" t="s">
        <v>92</v>
      </c>
      <c r="H49">
        <v>430000</v>
      </c>
      <c r="I49" s="13" t="s">
        <v>56</v>
      </c>
      <c r="J49" s="13" t="s">
        <v>57</v>
      </c>
      <c r="K49" s="13" t="s">
        <v>58</v>
      </c>
      <c r="L49" s="13" t="s">
        <v>59</v>
      </c>
      <c r="M49">
        <v>45</v>
      </c>
      <c r="N49">
        <v>0</v>
      </c>
      <c r="O49" s="14">
        <v>45709</v>
      </c>
      <c r="P49" s="14">
        <v>45754</v>
      </c>
      <c r="Q49">
        <v>4494</v>
      </c>
      <c r="R49">
        <v>0</v>
      </c>
      <c r="S49">
        <v>0</v>
      </c>
      <c r="T49">
        <v>0</v>
      </c>
      <c r="U49">
        <v>0</v>
      </c>
      <c r="V49">
        <v>4494</v>
      </c>
      <c r="W49">
        <v>0</v>
      </c>
      <c r="X49">
        <v>1</v>
      </c>
      <c r="Y49">
        <v>1</v>
      </c>
      <c r="Z49">
        <v>268</v>
      </c>
      <c r="AA49">
        <v>5</v>
      </c>
      <c r="AB49" s="13" t="s">
        <v>60</v>
      </c>
      <c r="AC49">
        <v>1</v>
      </c>
      <c r="AD49">
        <v>0</v>
      </c>
      <c r="AE49" s="13" t="s">
        <v>61</v>
      </c>
    </row>
    <row r="50" spans="1:31" x14ac:dyDescent="0.35">
      <c r="A50" s="13" t="s">
        <v>224</v>
      </c>
      <c r="B50" s="13" t="s">
        <v>225</v>
      </c>
      <c r="C50" s="13" t="s">
        <v>226</v>
      </c>
      <c r="D50" s="13" t="s">
        <v>52</v>
      </c>
      <c r="E50" s="13" t="s">
        <v>77</v>
      </c>
      <c r="F50" s="13" t="s">
        <v>174</v>
      </c>
      <c r="G50" s="13" t="s">
        <v>55</v>
      </c>
      <c r="H50">
        <v>570000</v>
      </c>
      <c r="I50" s="13" t="s">
        <v>56</v>
      </c>
      <c r="J50" s="13" t="s">
        <v>57</v>
      </c>
      <c r="K50" s="13" t="s">
        <v>58</v>
      </c>
      <c r="L50" s="13" t="s">
        <v>59</v>
      </c>
      <c r="M50">
        <v>45</v>
      </c>
      <c r="N50">
        <v>0</v>
      </c>
      <c r="O50" s="14">
        <v>45713</v>
      </c>
      <c r="P50" s="14">
        <v>45758</v>
      </c>
      <c r="Q50">
        <v>3403.44</v>
      </c>
      <c r="R50">
        <v>0</v>
      </c>
      <c r="S50">
        <v>0</v>
      </c>
      <c r="T50">
        <v>0</v>
      </c>
      <c r="U50">
        <v>0</v>
      </c>
      <c r="V50">
        <v>3403.44</v>
      </c>
      <c r="W50">
        <v>0</v>
      </c>
      <c r="X50">
        <v>1</v>
      </c>
      <c r="Y50">
        <v>1</v>
      </c>
      <c r="Z50">
        <v>264</v>
      </c>
      <c r="AA50">
        <v>5</v>
      </c>
      <c r="AB50" s="13" t="s">
        <v>60</v>
      </c>
      <c r="AC50">
        <v>1</v>
      </c>
      <c r="AD50">
        <v>0</v>
      </c>
      <c r="AE50" s="13" t="s">
        <v>61</v>
      </c>
    </row>
    <row r="51" spans="1:31" x14ac:dyDescent="0.35">
      <c r="A51" s="13" t="s">
        <v>227</v>
      </c>
      <c r="B51" s="13" t="s">
        <v>84</v>
      </c>
      <c r="C51" s="13" t="s">
        <v>85</v>
      </c>
      <c r="D51" s="13" t="s">
        <v>52</v>
      </c>
      <c r="E51" s="13" t="s">
        <v>71</v>
      </c>
      <c r="F51" s="13" t="s">
        <v>72</v>
      </c>
      <c r="G51" s="13" t="s">
        <v>67</v>
      </c>
      <c r="H51">
        <v>600000</v>
      </c>
      <c r="I51" s="13" t="s">
        <v>86</v>
      </c>
      <c r="J51" s="13" t="s">
        <v>87</v>
      </c>
      <c r="K51" s="13" t="s">
        <v>58</v>
      </c>
      <c r="L51" s="13" t="s">
        <v>88</v>
      </c>
      <c r="M51">
        <v>60</v>
      </c>
      <c r="N51">
        <v>0</v>
      </c>
      <c r="O51" s="14">
        <v>45722</v>
      </c>
      <c r="P51" s="14">
        <v>45782</v>
      </c>
      <c r="Q51">
        <v>4788.7299999999996</v>
      </c>
      <c r="R51">
        <v>1915.49</v>
      </c>
      <c r="S51">
        <v>0</v>
      </c>
      <c r="T51">
        <v>0</v>
      </c>
      <c r="U51">
        <v>0</v>
      </c>
      <c r="V51">
        <v>2873.24</v>
      </c>
      <c r="W51">
        <v>0</v>
      </c>
      <c r="X51">
        <v>1</v>
      </c>
      <c r="Y51">
        <v>1</v>
      </c>
      <c r="Z51">
        <v>240</v>
      </c>
      <c r="AA51">
        <v>5</v>
      </c>
      <c r="AB51" s="13" t="s">
        <v>60</v>
      </c>
      <c r="AC51">
        <v>1</v>
      </c>
      <c r="AD51">
        <v>0</v>
      </c>
      <c r="AE51" s="13" t="s">
        <v>61</v>
      </c>
    </row>
    <row r="52" spans="1:31" x14ac:dyDescent="0.35">
      <c r="A52" s="13" t="s">
        <v>228</v>
      </c>
      <c r="B52" s="13" t="s">
        <v>229</v>
      </c>
      <c r="C52" s="13" t="s">
        <v>230</v>
      </c>
      <c r="D52" s="13" t="s">
        <v>104</v>
      </c>
      <c r="E52" s="13" t="s">
        <v>71</v>
      </c>
      <c r="F52" s="13" t="s">
        <v>214</v>
      </c>
      <c r="G52" s="13" t="s">
        <v>67</v>
      </c>
      <c r="H52">
        <v>110000</v>
      </c>
      <c r="I52" s="13" t="s">
        <v>105</v>
      </c>
      <c r="J52" s="13" t="s">
        <v>106</v>
      </c>
      <c r="K52" s="13" t="s">
        <v>107</v>
      </c>
      <c r="L52" s="13" t="s">
        <v>95</v>
      </c>
      <c r="M52">
        <v>30</v>
      </c>
      <c r="N52">
        <v>0</v>
      </c>
      <c r="O52" s="14">
        <v>45726</v>
      </c>
      <c r="P52" s="14">
        <v>45756</v>
      </c>
      <c r="Q52">
        <v>912.52</v>
      </c>
      <c r="R52">
        <v>547.51</v>
      </c>
      <c r="S52">
        <v>0</v>
      </c>
      <c r="T52">
        <v>0</v>
      </c>
      <c r="U52">
        <v>0</v>
      </c>
      <c r="V52">
        <v>365.01</v>
      </c>
      <c r="W52">
        <v>0</v>
      </c>
      <c r="X52">
        <v>1</v>
      </c>
      <c r="Y52">
        <v>1</v>
      </c>
      <c r="Z52">
        <v>266</v>
      </c>
      <c r="AA52">
        <v>5</v>
      </c>
      <c r="AB52" s="13" t="s">
        <v>60</v>
      </c>
      <c r="AC52">
        <v>1</v>
      </c>
      <c r="AD52">
        <v>0</v>
      </c>
      <c r="AE52" s="13" t="s">
        <v>61</v>
      </c>
    </row>
    <row r="53" spans="1:31" x14ac:dyDescent="0.35">
      <c r="A53" s="13" t="s">
        <v>231</v>
      </c>
      <c r="B53" s="13" t="s">
        <v>232</v>
      </c>
      <c r="C53" s="13" t="s">
        <v>233</v>
      </c>
      <c r="D53" s="13" t="s">
        <v>76</v>
      </c>
      <c r="E53" s="13" t="s">
        <v>65</v>
      </c>
      <c r="F53" s="13" t="s">
        <v>66</v>
      </c>
      <c r="G53" s="13" t="s">
        <v>55</v>
      </c>
      <c r="H53">
        <v>90000</v>
      </c>
      <c r="I53" s="13" t="s">
        <v>93</v>
      </c>
      <c r="J53" s="13" t="s">
        <v>94</v>
      </c>
      <c r="K53" s="13" t="s">
        <v>81</v>
      </c>
      <c r="L53" s="13" t="s">
        <v>82</v>
      </c>
      <c r="M53">
        <v>30</v>
      </c>
      <c r="N53">
        <v>2</v>
      </c>
      <c r="O53" s="14">
        <v>45728</v>
      </c>
      <c r="P53" s="14">
        <v>45758</v>
      </c>
      <c r="Q53">
        <v>902.13</v>
      </c>
      <c r="R53">
        <v>0</v>
      </c>
      <c r="S53">
        <v>0</v>
      </c>
      <c r="T53">
        <v>0</v>
      </c>
      <c r="U53">
        <v>0</v>
      </c>
      <c r="V53">
        <v>902.13</v>
      </c>
      <c r="W53">
        <v>0</v>
      </c>
      <c r="X53">
        <v>1</v>
      </c>
      <c r="Y53">
        <v>1</v>
      </c>
      <c r="Z53">
        <v>264</v>
      </c>
      <c r="AA53">
        <v>5</v>
      </c>
      <c r="AB53" s="13" t="s">
        <v>60</v>
      </c>
      <c r="AC53">
        <v>1</v>
      </c>
      <c r="AD53">
        <v>0</v>
      </c>
      <c r="AE53" s="13" t="s">
        <v>61</v>
      </c>
    </row>
    <row r="54" spans="1:31" x14ac:dyDescent="0.35">
      <c r="A54" s="13" t="s">
        <v>234</v>
      </c>
      <c r="B54" s="13" t="s">
        <v>235</v>
      </c>
      <c r="C54" s="13" t="s">
        <v>236</v>
      </c>
      <c r="D54" s="13" t="s">
        <v>76</v>
      </c>
      <c r="E54" s="13" t="s">
        <v>71</v>
      </c>
      <c r="F54" s="13" t="s">
        <v>72</v>
      </c>
      <c r="G54" s="13" t="s">
        <v>55</v>
      </c>
      <c r="H54">
        <v>40000</v>
      </c>
      <c r="I54" s="13" t="s">
        <v>79</v>
      </c>
      <c r="J54" s="13" t="s">
        <v>80</v>
      </c>
      <c r="K54" s="13" t="s">
        <v>81</v>
      </c>
      <c r="L54" s="13" t="s">
        <v>95</v>
      </c>
      <c r="M54">
        <v>30</v>
      </c>
      <c r="N54">
        <v>0</v>
      </c>
      <c r="O54" s="14">
        <v>45736</v>
      </c>
      <c r="P54" s="14">
        <v>45766</v>
      </c>
      <c r="Q54">
        <v>635.5</v>
      </c>
      <c r="R54">
        <v>0</v>
      </c>
      <c r="S54">
        <v>0</v>
      </c>
      <c r="T54">
        <v>0</v>
      </c>
      <c r="U54">
        <v>0</v>
      </c>
      <c r="V54">
        <v>635.5</v>
      </c>
      <c r="W54">
        <v>0</v>
      </c>
      <c r="X54">
        <v>1</v>
      </c>
      <c r="Y54">
        <v>1</v>
      </c>
      <c r="Z54">
        <v>256</v>
      </c>
      <c r="AA54">
        <v>5</v>
      </c>
      <c r="AB54" s="13" t="s">
        <v>60</v>
      </c>
      <c r="AC54">
        <v>1</v>
      </c>
      <c r="AD54">
        <v>0</v>
      </c>
      <c r="AE54" s="13" t="s">
        <v>61</v>
      </c>
    </row>
    <row r="55" spans="1:31" x14ac:dyDescent="0.35">
      <c r="A55" s="13" t="s">
        <v>237</v>
      </c>
      <c r="B55" s="13" t="s">
        <v>238</v>
      </c>
      <c r="C55" s="13" t="s">
        <v>239</v>
      </c>
      <c r="D55" s="13" t="s">
        <v>76</v>
      </c>
      <c r="E55" s="13" t="s">
        <v>71</v>
      </c>
      <c r="F55" s="13" t="s">
        <v>214</v>
      </c>
      <c r="G55" s="13" t="s">
        <v>92</v>
      </c>
      <c r="H55">
        <v>100000</v>
      </c>
      <c r="I55" s="13" t="s">
        <v>93</v>
      </c>
      <c r="J55" s="13" t="s">
        <v>94</v>
      </c>
      <c r="K55" s="13" t="s">
        <v>81</v>
      </c>
      <c r="L55" s="13" t="s">
        <v>95</v>
      </c>
      <c r="M55">
        <v>30</v>
      </c>
      <c r="N55">
        <v>0</v>
      </c>
      <c r="O55" s="14">
        <v>45747</v>
      </c>
      <c r="P55" s="14">
        <v>45777</v>
      </c>
      <c r="Q55">
        <v>1677.21</v>
      </c>
      <c r="R55">
        <v>0</v>
      </c>
      <c r="S55">
        <v>0</v>
      </c>
      <c r="T55">
        <v>0</v>
      </c>
      <c r="U55">
        <v>0</v>
      </c>
      <c r="V55">
        <v>1677.21</v>
      </c>
      <c r="W55">
        <v>0</v>
      </c>
      <c r="X55">
        <v>1</v>
      </c>
      <c r="Y55">
        <v>1</v>
      </c>
      <c r="Z55">
        <v>245</v>
      </c>
      <c r="AA55">
        <v>5</v>
      </c>
      <c r="AB55" s="13" t="s">
        <v>60</v>
      </c>
      <c r="AC55">
        <v>1</v>
      </c>
      <c r="AD55">
        <v>0</v>
      </c>
      <c r="AE55" s="13" t="s">
        <v>61</v>
      </c>
    </row>
    <row r="56" spans="1:31" x14ac:dyDescent="0.35">
      <c r="A56" s="13" t="s">
        <v>240</v>
      </c>
      <c r="B56" s="13" t="s">
        <v>241</v>
      </c>
      <c r="C56" s="13" t="s">
        <v>242</v>
      </c>
      <c r="D56" s="13" t="s">
        <v>76</v>
      </c>
      <c r="E56" s="13" t="s">
        <v>65</v>
      </c>
      <c r="F56" s="13" t="s">
        <v>111</v>
      </c>
      <c r="G56" s="13" t="s">
        <v>67</v>
      </c>
      <c r="H56">
        <v>100000</v>
      </c>
      <c r="I56" s="13" t="s">
        <v>93</v>
      </c>
      <c r="J56" s="13" t="s">
        <v>94</v>
      </c>
      <c r="K56" s="13" t="s">
        <v>81</v>
      </c>
      <c r="L56" s="13" t="s">
        <v>95</v>
      </c>
      <c r="M56">
        <v>30</v>
      </c>
      <c r="N56">
        <v>0</v>
      </c>
      <c r="O56" s="14">
        <v>45754</v>
      </c>
      <c r="P56" s="14">
        <v>45784</v>
      </c>
      <c r="Q56">
        <v>1041.56</v>
      </c>
      <c r="R56">
        <v>0</v>
      </c>
      <c r="S56">
        <v>0</v>
      </c>
      <c r="T56">
        <v>0</v>
      </c>
      <c r="U56">
        <v>0</v>
      </c>
      <c r="V56">
        <v>1041.56</v>
      </c>
      <c r="W56">
        <v>0</v>
      </c>
      <c r="X56">
        <v>1</v>
      </c>
      <c r="Y56">
        <v>1</v>
      </c>
      <c r="Z56">
        <v>238</v>
      </c>
      <c r="AA56">
        <v>5</v>
      </c>
      <c r="AB56" s="13" t="s">
        <v>60</v>
      </c>
      <c r="AC56">
        <v>1</v>
      </c>
      <c r="AD56">
        <v>0</v>
      </c>
      <c r="AE56" s="13" t="s">
        <v>61</v>
      </c>
    </row>
    <row r="57" spans="1:31" x14ac:dyDescent="0.35">
      <c r="A57" s="13" t="s">
        <v>243</v>
      </c>
      <c r="B57" s="13" t="s">
        <v>244</v>
      </c>
      <c r="C57" s="13" t="s">
        <v>245</v>
      </c>
      <c r="D57" s="13" t="s">
        <v>52</v>
      </c>
      <c r="E57" s="13" t="s">
        <v>65</v>
      </c>
      <c r="F57" s="13" t="s">
        <v>111</v>
      </c>
      <c r="G57" s="13" t="s">
        <v>55</v>
      </c>
      <c r="H57">
        <v>590000</v>
      </c>
      <c r="I57" s="13" t="s">
        <v>86</v>
      </c>
      <c r="J57" s="13" t="s">
        <v>87</v>
      </c>
      <c r="K57" s="13" t="s">
        <v>58</v>
      </c>
      <c r="L57" s="13" t="s">
        <v>59</v>
      </c>
      <c r="M57">
        <v>45</v>
      </c>
      <c r="N57">
        <v>0</v>
      </c>
      <c r="O57" s="14">
        <v>45770</v>
      </c>
      <c r="P57" s="14">
        <v>45815</v>
      </c>
      <c r="Q57">
        <v>2451.75</v>
      </c>
      <c r="R57">
        <v>1471.05</v>
      </c>
      <c r="S57">
        <v>0</v>
      </c>
      <c r="T57">
        <v>0</v>
      </c>
      <c r="U57">
        <v>0</v>
      </c>
      <c r="V57">
        <v>980.7</v>
      </c>
      <c r="W57">
        <v>0</v>
      </c>
      <c r="X57">
        <v>1</v>
      </c>
      <c r="Y57">
        <v>1</v>
      </c>
      <c r="Z57">
        <v>207</v>
      </c>
      <c r="AA57">
        <v>5</v>
      </c>
      <c r="AB57" s="13" t="s">
        <v>60</v>
      </c>
      <c r="AC57">
        <v>1</v>
      </c>
      <c r="AD57">
        <v>0</v>
      </c>
      <c r="AE57" s="13" t="s">
        <v>61</v>
      </c>
    </row>
    <row r="58" spans="1:31" x14ac:dyDescent="0.35">
      <c r="A58" s="13" t="s">
        <v>246</v>
      </c>
      <c r="B58" s="13" t="s">
        <v>247</v>
      </c>
      <c r="C58" s="13" t="s">
        <v>248</v>
      </c>
      <c r="D58" s="13" t="s">
        <v>104</v>
      </c>
      <c r="E58" s="13" t="s">
        <v>65</v>
      </c>
      <c r="F58" s="13" t="s">
        <v>111</v>
      </c>
      <c r="G58" s="13" t="s">
        <v>55</v>
      </c>
      <c r="H58">
        <v>105000</v>
      </c>
      <c r="I58" s="13" t="s">
        <v>105</v>
      </c>
      <c r="J58" s="13" t="s">
        <v>106</v>
      </c>
      <c r="K58" s="13" t="s">
        <v>107</v>
      </c>
      <c r="L58" s="13" t="s">
        <v>82</v>
      </c>
      <c r="M58">
        <v>30</v>
      </c>
      <c r="N58">
        <v>2</v>
      </c>
      <c r="O58" s="14">
        <v>45782</v>
      </c>
      <c r="P58" s="14">
        <v>45812</v>
      </c>
      <c r="Q58">
        <v>877.69</v>
      </c>
      <c r="R58">
        <v>0</v>
      </c>
      <c r="S58">
        <v>0</v>
      </c>
      <c r="T58">
        <v>0</v>
      </c>
      <c r="U58">
        <v>0</v>
      </c>
      <c r="V58">
        <v>877.69</v>
      </c>
      <c r="W58">
        <v>0</v>
      </c>
      <c r="X58">
        <v>1</v>
      </c>
      <c r="Y58">
        <v>1</v>
      </c>
      <c r="Z58">
        <v>210</v>
      </c>
      <c r="AA58">
        <v>5</v>
      </c>
      <c r="AB58" s="13" t="s">
        <v>60</v>
      </c>
      <c r="AC58">
        <v>1</v>
      </c>
      <c r="AD58">
        <v>0</v>
      </c>
      <c r="AE58" s="13" t="s">
        <v>61</v>
      </c>
    </row>
    <row r="59" spans="1:31" x14ac:dyDescent="0.35">
      <c r="A59" s="13" t="s">
        <v>249</v>
      </c>
      <c r="B59" s="13" t="s">
        <v>250</v>
      </c>
      <c r="C59" s="13" t="s">
        <v>251</v>
      </c>
      <c r="D59" s="13" t="s">
        <v>104</v>
      </c>
      <c r="E59" s="13" t="s">
        <v>53</v>
      </c>
      <c r="F59" s="13" t="s">
        <v>135</v>
      </c>
      <c r="G59" s="13" t="s">
        <v>55</v>
      </c>
      <c r="H59">
        <v>85000</v>
      </c>
      <c r="I59" s="13" t="s">
        <v>105</v>
      </c>
      <c r="J59" s="13" t="s">
        <v>106</v>
      </c>
      <c r="K59" s="13" t="s">
        <v>107</v>
      </c>
      <c r="L59" s="13" t="s">
        <v>95</v>
      </c>
      <c r="M59">
        <v>30</v>
      </c>
      <c r="N59">
        <v>0</v>
      </c>
      <c r="O59" s="14">
        <v>45786</v>
      </c>
      <c r="P59" s="14">
        <v>45816</v>
      </c>
      <c r="Q59">
        <v>822.99</v>
      </c>
      <c r="R59">
        <v>0</v>
      </c>
      <c r="S59">
        <v>0</v>
      </c>
      <c r="T59">
        <v>0</v>
      </c>
      <c r="U59">
        <v>0</v>
      </c>
      <c r="V59">
        <v>822.99</v>
      </c>
      <c r="W59">
        <v>0</v>
      </c>
      <c r="X59">
        <v>1</v>
      </c>
      <c r="Y59">
        <v>1</v>
      </c>
      <c r="Z59">
        <v>206</v>
      </c>
      <c r="AA59">
        <v>5</v>
      </c>
      <c r="AB59" s="13" t="s">
        <v>60</v>
      </c>
      <c r="AC59">
        <v>1</v>
      </c>
      <c r="AD59">
        <v>0</v>
      </c>
      <c r="AE59" s="13" t="s">
        <v>61</v>
      </c>
    </row>
    <row r="60" spans="1:31" x14ac:dyDescent="0.35">
      <c r="A60" s="13" t="s">
        <v>252</v>
      </c>
      <c r="B60" s="13" t="s">
        <v>253</v>
      </c>
      <c r="C60" s="13" t="s">
        <v>254</v>
      </c>
      <c r="D60" s="13" t="s">
        <v>52</v>
      </c>
      <c r="E60" s="13" t="s">
        <v>65</v>
      </c>
      <c r="F60" s="13" t="s">
        <v>111</v>
      </c>
      <c r="G60" s="13" t="s">
        <v>55</v>
      </c>
      <c r="H60">
        <v>415000</v>
      </c>
      <c r="I60" s="13" t="s">
        <v>56</v>
      </c>
      <c r="J60" s="13" t="s">
        <v>57</v>
      </c>
      <c r="K60" s="13" t="s">
        <v>58</v>
      </c>
      <c r="L60" s="13" t="s">
        <v>59</v>
      </c>
      <c r="M60">
        <v>45</v>
      </c>
      <c r="N60">
        <v>0</v>
      </c>
      <c r="O60" s="14">
        <v>45792</v>
      </c>
      <c r="P60" s="14">
        <v>45837</v>
      </c>
      <c r="Q60">
        <v>1838.06</v>
      </c>
      <c r="R60">
        <v>0</v>
      </c>
      <c r="S60">
        <v>0</v>
      </c>
      <c r="T60">
        <v>0</v>
      </c>
      <c r="U60">
        <v>0</v>
      </c>
      <c r="V60">
        <v>1838.06</v>
      </c>
      <c r="W60">
        <v>0</v>
      </c>
      <c r="X60">
        <v>1</v>
      </c>
      <c r="Y60">
        <v>1</v>
      </c>
      <c r="Z60">
        <v>185</v>
      </c>
      <c r="AA60">
        <v>5</v>
      </c>
      <c r="AB60" s="13" t="s">
        <v>60</v>
      </c>
      <c r="AC60">
        <v>1</v>
      </c>
      <c r="AD60">
        <v>0</v>
      </c>
      <c r="AE60" s="13" t="s">
        <v>61</v>
      </c>
    </row>
    <row r="61" spans="1:31" x14ac:dyDescent="0.35">
      <c r="A61" s="13" t="s">
        <v>255</v>
      </c>
      <c r="B61" s="13" t="s">
        <v>256</v>
      </c>
      <c r="C61" s="13" t="s">
        <v>257</v>
      </c>
      <c r="D61" s="13" t="s">
        <v>76</v>
      </c>
      <c r="E61" s="13" t="s">
        <v>99</v>
      </c>
      <c r="F61" s="13" t="s">
        <v>100</v>
      </c>
      <c r="G61" s="13" t="s">
        <v>55</v>
      </c>
      <c r="H61">
        <v>25000</v>
      </c>
      <c r="I61" s="13" t="s">
        <v>79</v>
      </c>
      <c r="J61" s="13" t="s">
        <v>80</v>
      </c>
      <c r="K61" s="13" t="s">
        <v>81</v>
      </c>
      <c r="L61" s="13" t="s">
        <v>95</v>
      </c>
      <c r="M61">
        <v>30</v>
      </c>
      <c r="N61">
        <v>0</v>
      </c>
      <c r="O61" s="14">
        <v>45796</v>
      </c>
      <c r="P61" s="14">
        <v>45826</v>
      </c>
      <c r="Q61">
        <v>465.74</v>
      </c>
      <c r="R61">
        <v>0</v>
      </c>
      <c r="S61">
        <v>0</v>
      </c>
      <c r="T61">
        <v>0</v>
      </c>
      <c r="U61">
        <v>0</v>
      </c>
      <c r="V61">
        <v>465.74</v>
      </c>
      <c r="W61">
        <v>0</v>
      </c>
      <c r="X61">
        <v>1</v>
      </c>
      <c r="Y61">
        <v>1</v>
      </c>
      <c r="Z61">
        <v>196</v>
      </c>
      <c r="AA61">
        <v>5</v>
      </c>
      <c r="AB61" s="13" t="s">
        <v>60</v>
      </c>
      <c r="AC61">
        <v>1</v>
      </c>
      <c r="AD61">
        <v>0</v>
      </c>
      <c r="AE61" s="13" t="s">
        <v>61</v>
      </c>
    </row>
    <row r="62" spans="1:31" x14ac:dyDescent="0.35">
      <c r="A62" s="13" t="s">
        <v>258</v>
      </c>
      <c r="B62" s="13" t="s">
        <v>259</v>
      </c>
      <c r="C62" s="13" t="s">
        <v>260</v>
      </c>
      <c r="D62" s="13" t="s">
        <v>104</v>
      </c>
      <c r="E62" s="13" t="s">
        <v>71</v>
      </c>
      <c r="F62" s="13" t="s">
        <v>72</v>
      </c>
      <c r="G62" s="13" t="s">
        <v>67</v>
      </c>
      <c r="H62">
        <v>145000</v>
      </c>
      <c r="I62" s="13" t="s">
        <v>121</v>
      </c>
      <c r="J62" s="13" t="s">
        <v>122</v>
      </c>
      <c r="K62" s="13" t="s">
        <v>107</v>
      </c>
      <c r="L62" s="13" t="s">
        <v>95</v>
      </c>
      <c r="M62">
        <v>30</v>
      </c>
      <c r="N62">
        <v>0</v>
      </c>
      <c r="O62" s="14">
        <v>45797</v>
      </c>
      <c r="P62" s="14">
        <v>45827</v>
      </c>
      <c r="Q62">
        <v>1424.76</v>
      </c>
      <c r="R62">
        <v>569.9</v>
      </c>
      <c r="S62">
        <v>0</v>
      </c>
      <c r="T62">
        <v>0</v>
      </c>
      <c r="U62">
        <v>0</v>
      </c>
      <c r="V62">
        <v>854.86</v>
      </c>
      <c r="W62">
        <v>0</v>
      </c>
      <c r="X62">
        <v>1</v>
      </c>
      <c r="Y62">
        <v>1</v>
      </c>
      <c r="Z62">
        <v>195</v>
      </c>
      <c r="AA62">
        <v>5</v>
      </c>
      <c r="AB62" s="13" t="s">
        <v>60</v>
      </c>
      <c r="AC62">
        <v>1</v>
      </c>
      <c r="AD62">
        <v>0</v>
      </c>
      <c r="AE62" s="13" t="s">
        <v>61</v>
      </c>
    </row>
    <row r="63" spans="1:31" x14ac:dyDescent="0.35">
      <c r="A63" s="13" t="s">
        <v>261</v>
      </c>
      <c r="B63" s="13" t="s">
        <v>63</v>
      </c>
      <c r="C63" s="13" t="s">
        <v>64</v>
      </c>
      <c r="D63" s="13" t="s">
        <v>52</v>
      </c>
      <c r="E63" s="13" t="s">
        <v>65</v>
      </c>
      <c r="F63" s="13" t="s">
        <v>66</v>
      </c>
      <c r="G63" s="13" t="s">
        <v>67</v>
      </c>
      <c r="H63">
        <v>315000</v>
      </c>
      <c r="I63" s="13" t="s">
        <v>56</v>
      </c>
      <c r="J63" s="13" t="s">
        <v>57</v>
      </c>
      <c r="K63" s="13" t="s">
        <v>58</v>
      </c>
      <c r="L63" s="13" t="s">
        <v>59</v>
      </c>
      <c r="M63">
        <v>45</v>
      </c>
      <c r="N63">
        <v>0</v>
      </c>
      <c r="O63" s="14">
        <v>45811</v>
      </c>
      <c r="P63" s="14">
        <v>45856</v>
      </c>
      <c r="Q63">
        <v>1707.37</v>
      </c>
      <c r="R63">
        <v>1024.42</v>
      </c>
      <c r="S63">
        <v>0</v>
      </c>
      <c r="T63">
        <v>0</v>
      </c>
      <c r="U63">
        <v>0</v>
      </c>
      <c r="V63">
        <v>682.95</v>
      </c>
      <c r="W63">
        <v>0</v>
      </c>
      <c r="X63">
        <v>1</v>
      </c>
      <c r="Y63">
        <v>1</v>
      </c>
      <c r="Z63">
        <v>166</v>
      </c>
      <c r="AA63">
        <v>5</v>
      </c>
      <c r="AB63" s="13" t="s">
        <v>60</v>
      </c>
      <c r="AC63">
        <v>1</v>
      </c>
      <c r="AD63">
        <v>0</v>
      </c>
      <c r="AE63" s="13" t="s">
        <v>61</v>
      </c>
    </row>
    <row r="64" spans="1:31" x14ac:dyDescent="0.35">
      <c r="A64" s="13" t="s">
        <v>262</v>
      </c>
      <c r="B64" s="13" t="s">
        <v>263</v>
      </c>
      <c r="C64" s="13" t="s">
        <v>264</v>
      </c>
      <c r="D64" s="13" t="s">
        <v>52</v>
      </c>
      <c r="E64" s="13" t="s">
        <v>99</v>
      </c>
      <c r="F64" s="13" t="s">
        <v>100</v>
      </c>
      <c r="G64" s="13" t="s">
        <v>55</v>
      </c>
      <c r="H64">
        <v>590000</v>
      </c>
      <c r="I64" s="13" t="s">
        <v>86</v>
      </c>
      <c r="J64" s="13" t="s">
        <v>87</v>
      </c>
      <c r="K64" s="13" t="s">
        <v>58</v>
      </c>
      <c r="L64" s="13" t="s">
        <v>88</v>
      </c>
      <c r="M64">
        <v>60</v>
      </c>
      <c r="N64">
        <v>0</v>
      </c>
      <c r="O64" s="14">
        <v>45813</v>
      </c>
      <c r="P64" s="14">
        <v>45873</v>
      </c>
      <c r="Q64">
        <v>9541.7999999999993</v>
      </c>
      <c r="R64">
        <v>0</v>
      </c>
      <c r="S64">
        <v>0</v>
      </c>
      <c r="T64">
        <v>0</v>
      </c>
      <c r="U64">
        <v>0</v>
      </c>
      <c r="V64">
        <v>9541.7999999999993</v>
      </c>
      <c r="W64">
        <v>0</v>
      </c>
      <c r="X64">
        <v>1</v>
      </c>
      <c r="Y64">
        <v>1</v>
      </c>
      <c r="Z64">
        <v>149</v>
      </c>
      <c r="AA64">
        <v>5</v>
      </c>
      <c r="AB64" s="13" t="s">
        <v>60</v>
      </c>
      <c r="AC64">
        <v>1</v>
      </c>
      <c r="AD64">
        <v>0</v>
      </c>
      <c r="AE64" s="13" t="s">
        <v>61</v>
      </c>
    </row>
    <row r="65" spans="1:31" x14ac:dyDescent="0.35">
      <c r="A65" s="13" t="s">
        <v>265</v>
      </c>
      <c r="B65" s="13" t="s">
        <v>244</v>
      </c>
      <c r="C65" s="13" t="s">
        <v>245</v>
      </c>
      <c r="D65" s="13" t="s">
        <v>52</v>
      </c>
      <c r="E65" s="13" t="s">
        <v>65</v>
      </c>
      <c r="F65" s="13" t="s">
        <v>111</v>
      </c>
      <c r="G65" s="13" t="s">
        <v>55</v>
      </c>
      <c r="H65">
        <v>590000</v>
      </c>
      <c r="I65" s="13" t="s">
        <v>86</v>
      </c>
      <c r="J65" s="13" t="s">
        <v>87</v>
      </c>
      <c r="K65" s="13" t="s">
        <v>58</v>
      </c>
      <c r="L65" s="13" t="s">
        <v>59</v>
      </c>
      <c r="M65">
        <v>45</v>
      </c>
      <c r="N65">
        <v>0</v>
      </c>
      <c r="O65" s="14">
        <v>45814</v>
      </c>
      <c r="P65" s="14">
        <v>45859</v>
      </c>
      <c r="Q65">
        <v>2073.37</v>
      </c>
      <c r="R65">
        <v>0</v>
      </c>
      <c r="S65">
        <v>0</v>
      </c>
      <c r="T65">
        <v>0</v>
      </c>
      <c r="U65">
        <v>0</v>
      </c>
      <c r="V65">
        <v>2073.37</v>
      </c>
      <c r="W65">
        <v>0</v>
      </c>
      <c r="X65">
        <v>1</v>
      </c>
      <c r="Y65">
        <v>1</v>
      </c>
      <c r="Z65">
        <v>163</v>
      </c>
      <c r="AA65">
        <v>5</v>
      </c>
      <c r="AB65" s="13" t="s">
        <v>60</v>
      </c>
      <c r="AC65">
        <v>1</v>
      </c>
      <c r="AD65">
        <v>0</v>
      </c>
      <c r="AE65" s="13" t="s">
        <v>61</v>
      </c>
    </row>
    <row r="66" spans="1:31" x14ac:dyDescent="0.35">
      <c r="A66" s="13" t="s">
        <v>266</v>
      </c>
      <c r="B66" s="13" t="s">
        <v>267</v>
      </c>
      <c r="C66" s="13" t="s">
        <v>268</v>
      </c>
      <c r="D66" s="13" t="s">
        <v>52</v>
      </c>
      <c r="E66" s="13" t="s">
        <v>99</v>
      </c>
      <c r="F66" s="13" t="s">
        <v>100</v>
      </c>
      <c r="G66" s="13" t="s">
        <v>67</v>
      </c>
      <c r="H66">
        <v>265000</v>
      </c>
      <c r="I66" s="13" t="s">
        <v>86</v>
      </c>
      <c r="J66" s="13" t="s">
        <v>87</v>
      </c>
      <c r="K66" s="13" t="s">
        <v>58</v>
      </c>
      <c r="L66" s="13" t="s">
        <v>59</v>
      </c>
      <c r="M66">
        <v>45</v>
      </c>
      <c r="N66">
        <v>0</v>
      </c>
      <c r="O66" s="14">
        <v>45818</v>
      </c>
      <c r="P66" s="14">
        <v>45863</v>
      </c>
      <c r="Q66">
        <v>3814.59</v>
      </c>
      <c r="R66">
        <v>1525.84</v>
      </c>
      <c r="S66">
        <v>0</v>
      </c>
      <c r="T66">
        <v>0</v>
      </c>
      <c r="U66">
        <v>0</v>
      </c>
      <c r="V66">
        <v>2288.75</v>
      </c>
      <c r="W66">
        <v>0</v>
      </c>
      <c r="X66">
        <v>1</v>
      </c>
      <c r="Y66">
        <v>1</v>
      </c>
      <c r="Z66">
        <v>159</v>
      </c>
      <c r="AA66">
        <v>5</v>
      </c>
      <c r="AB66" s="13" t="s">
        <v>60</v>
      </c>
      <c r="AC66">
        <v>1</v>
      </c>
      <c r="AD66">
        <v>0</v>
      </c>
      <c r="AE66" s="13" t="s">
        <v>61</v>
      </c>
    </row>
    <row r="67" spans="1:31" x14ac:dyDescent="0.35">
      <c r="A67" s="13" t="s">
        <v>269</v>
      </c>
      <c r="B67" s="13" t="s">
        <v>270</v>
      </c>
      <c r="C67" s="13" t="s">
        <v>271</v>
      </c>
      <c r="D67" s="13" t="s">
        <v>52</v>
      </c>
      <c r="E67" s="13" t="s">
        <v>71</v>
      </c>
      <c r="F67" s="13" t="s">
        <v>72</v>
      </c>
      <c r="G67" s="13" t="s">
        <v>67</v>
      </c>
      <c r="H67">
        <v>555000</v>
      </c>
      <c r="I67" s="13" t="s">
        <v>56</v>
      </c>
      <c r="J67" s="13" t="s">
        <v>57</v>
      </c>
      <c r="K67" s="13" t="s">
        <v>58</v>
      </c>
      <c r="L67" s="13" t="s">
        <v>88</v>
      </c>
      <c r="M67">
        <v>60</v>
      </c>
      <c r="N67">
        <v>0</v>
      </c>
      <c r="O67" s="14">
        <v>45834</v>
      </c>
      <c r="P67" s="14">
        <v>45894</v>
      </c>
      <c r="Q67">
        <v>13482.79</v>
      </c>
      <c r="R67">
        <v>8089.67</v>
      </c>
      <c r="S67">
        <v>0</v>
      </c>
      <c r="T67">
        <v>0</v>
      </c>
      <c r="U67">
        <v>0</v>
      </c>
      <c r="V67">
        <v>5393.12</v>
      </c>
      <c r="W67">
        <v>0</v>
      </c>
      <c r="X67">
        <v>1</v>
      </c>
      <c r="Y67">
        <v>1</v>
      </c>
      <c r="Z67">
        <v>128</v>
      </c>
      <c r="AA67">
        <v>5</v>
      </c>
      <c r="AB67" s="13" t="s">
        <v>60</v>
      </c>
      <c r="AC67">
        <v>1</v>
      </c>
      <c r="AD67">
        <v>0</v>
      </c>
      <c r="AE67" s="13" t="s">
        <v>61</v>
      </c>
    </row>
    <row r="68" spans="1:31" x14ac:dyDescent="0.35">
      <c r="A68" s="13" t="s">
        <v>272</v>
      </c>
      <c r="B68" s="13" t="s">
        <v>273</v>
      </c>
      <c r="C68" s="13" t="s">
        <v>274</v>
      </c>
      <c r="D68" s="13" t="s">
        <v>104</v>
      </c>
      <c r="E68" s="13" t="s">
        <v>71</v>
      </c>
      <c r="F68" s="13" t="s">
        <v>72</v>
      </c>
      <c r="G68" s="13" t="s">
        <v>92</v>
      </c>
      <c r="H68">
        <v>120000</v>
      </c>
      <c r="I68" s="13" t="s">
        <v>105</v>
      </c>
      <c r="J68" s="13" t="s">
        <v>106</v>
      </c>
      <c r="K68" s="13" t="s">
        <v>107</v>
      </c>
      <c r="L68" s="13" t="s">
        <v>95</v>
      </c>
      <c r="M68">
        <v>30</v>
      </c>
      <c r="N68">
        <v>0</v>
      </c>
      <c r="O68" s="14">
        <v>45835</v>
      </c>
      <c r="P68" s="14">
        <v>45865</v>
      </c>
      <c r="Q68">
        <v>1085.45</v>
      </c>
      <c r="R68">
        <v>0</v>
      </c>
      <c r="S68">
        <v>0</v>
      </c>
      <c r="T68">
        <v>0</v>
      </c>
      <c r="U68">
        <v>0</v>
      </c>
      <c r="V68">
        <v>1085.45</v>
      </c>
      <c r="W68">
        <v>0</v>
      </c>
      <c r="X68">
        <v>1</v>
      </c>
      <c r="Y68">
        <v>1</v>
      </c>
      <c r="Z68">
        <v>157</v>
      </c>
      <c r="AA68">
        <v>5</v>
      </c>
      <c r="AB68" s="13" t="s">
        <v>60</v>
      </c>
      <c r="AC68">
        <v>1</v>
      </c>
      <c r="AD68">
        <v>0</v>
      </c>
      <c r="AE68" s="13" t="s">
        <v>61</v>
      </c>
    </row>
    <row r="69" spans="1:31" x14ac:dyDescent="0.35">
      <c r="A69" s="13" t="s">
        <v>275</v>
      </c>
      <c r="B69" s="13" t="s">
        <v>206</v>
      </c>
      <c r="C69" s="13" t="s">
        <v>207</v>
      </c>
      <c r="D69" s="13" t="s">
        <v>52</v>
      </c>
      <c r="E69" s="13" t="s">
        <v>65</v>
      </c>
      <c r="F69" s="13" t="s">
        <v>111</v>
      </c>
      <c r="G69" s="13" t="s">
        <v>92</v>
      </c>
      <c r="H69">
        <v>490000</v>
      </c>
      <c r="I69" s="13" t="s">
        <v>86</v>
      </c>
      <c r="J69" s="13" t="s">
        <v>87</v>
      </c>
      <c r="K69" s="13" t="s">
        <v>58</v>
      </c>
      <c r="L69" s="13" t="s">
        <v>88</v>
      </c>
      <c r="M69">
        <v>60</v>
      </c>
      <c r="N69">
        <v>0</v>
      </c>
      <c r="O69" s="14">
        <v>45835</v>
      </c>
      <c r="P69" s="14">
        <v>45895</v>
      </c>
      <c r="Q69">
        <v>2133.0500000000002</v>
      </c>
      <c r="R69">
        <v>0</v>
      </c>
      <c r="S69">
        <v>0</v>
      </c>
      <c r="T69">
        <v>0</v>
      </c>
      <c r="U69">
        <v>0</v>
      </c>
      <c r="V69">
        <v>2133.0500000000002</v>
      </c>
      <c r="W69">
        <v>0</v>
      </c>
      <c r="X69">
        <v>1</v>
      </c>
      <c r="Y69">
        <v>1</v>
      </c>
      <c r="Z69">
        <v>127</v>
      </c>
      <c r="AA69">
        <v>5</v>
      </c>
      <c r="AB69" s="13" t="s">
        <v>60</v>
      </c>
      <c r="AC69">
        <v>1</v>
      </c>
      <c r="AD69">
        <v>0</v>
      </c>
      <c r="AE69" s="13" t="s">
        <v>61</v>
      </c>
    </row>
    <row r="70" spans="1:31" x14ac:dyDescent="0.35">
      <c r="A70" s="13" t="s">
        <v>276</v>
      </c>
      <c r="B70" s="13" t="s">
        <v>277</v>
      </c>
      <c r="C70" s="13" t="s">
        <v>278</v>
      </c>
      <c r="D70" s="13" t="s">
        <v>104</v>
      </c>
      <c r="E70" s="13" t="s">
        <v>71</v>
      </c>
      <c r="F70" s="13" t="s">
        <v>214</v>
      </c>
      <c r="G70" s="13" t="s">
        <v>92</v>
      </c>
      <c r="H70">
        <v>105000</v>
      </c>
      <c r="I70" s="13" t="s">
        <v>105</v>
      </c>
      <c r="J70" s="13" t="s">
        <v>106</v>
      </c>
      <c r="K70" s="13" t="s">
        <v>107</v>
      </c>
      <c r="L70" s="13" t="s">
        <v>88</v>
      </c>
      <c r="M70">
        <v>60</v>
      </c>
      <c r="N70">
        <v>0</v>
      </c>
      <c r="O70" s="14">
        <v>45840</v>
      </c>
      <c r="P70" s="14">
        <v>45900</v>
      </c>
      <c r="Q70">
        <v>4464.13</v>
      </c>
      <c r="R70">
        <v>0</v>
      </c>
      <c r="S70">
        <v>0</v>
      </c>
      <c r="T70">
        <v>0</v>
      </c>
      <c r="U70">
        <v>0</v>
      </c>
      <c r="V70">
        <v>4464.13</v>
      </c>
      <c r="W70">
        <v>0</v>
      </c>
      <c r="X70">
        <v>1</v>
      </c>
      <c r="Y70">
        <v>1</v>
      </c>
      <c r="Z70">
        <v>122</v>
      </c>
      <c r="AA70">
        <v>5</v>
      </c>
      <c r="AB70" s="13" t="s">
        <v>60</v>
      </c>
      <c r="AC70">
        <v>1</v>
      </c>
      <c r="AD70">
        <v>0</v>
      </c>
      <c r="AE70" s="13" t="s">
        <v>61</v>
      </c>
    </row>
    <row r="71" spans="1:31" x14ac:dyDescent="0.35">
      <c r="A71" s="13" t="s">
        <v>279</v>
      </c>
      <c r="B71" s="13" t="s">
        <v>280</v>
      </c>
      <c r="C71" s="13" t="s">
        <v>281</v>
      </c>
      <c r="D71" s="13" t="s">
        <v>104</v>
      </c>
      <c r="E71" s="13" t="s">
        <v>71</v>
      </c>
      <c r="F71" s="13" t="s">
        <v>214</v>
      </c>
      <c r="G71" s="13" t="s">
        <v>92</v>
      </c>
      <c r="H71">
        <v>100000</v>
      </c>
      <c r="I71" s="13" t="s">
        <v>121</v>
      </c>
      <c r="J71" s="13" t="s">
        <v>122</v>
      </c>
      <c r="K71" s="13" t="s">
        <v>107</v>
      </c>
      <c r="L71" s="13" t="s">
        <v>88</v>
      </c>
      <c r="M71">
        <v>60</v>
      </c>
      <c r="N71">
        <v>0</v>
      </c>
      <c r="O71" s="14">
        <v>45842</v>
      </c>
      <c r="P71" s="14">
        <v>45902</v>
      </c>
      <c r="Q71">
        <v>6197.24</v>
      </c>
      <c r="R71">
        <v>0</v>
      </c>
      <c r="S71">
        <v>0</v>
      </c>
      <c r="T71">
        <v>0</v>
      </c>
      <c r="U71">
        <v>0</v>
      </c>
      <c r="V71">
        <v>6197.24</v>
      </c>
      <c r="W71">
        <v>0</v>
      </c>
      <c r="X71">
        <v>1</v>
      </c>
      <c r="Y71">
        <v>1</v>
      </c>
      <c r="Z71">
        <v>120</v>
      </c>
      <c r="AA71">
        <v>5</v>
      </c>
      <c r="AB71" s="13" t="s">
        <v>60</v>
      </c>
      <c r="AC71">
        <v>1</v>
      </c>
      <c r="AD71">
        <v>0</v>
      </c>
      <c r="AE71" s="13" t="s">
        <v>61</v>
      </c>
    </row>
    <row r="72" spans="1:31" x14ac:dyDescent="0.35">
      <c r="A72" s="13" t="s">
        <v>282</v>
      </c>
      <c r="B72" s="13" t="s">
        <v>283</v>
      </c>
      <c r="C72" s="13" t="s">
        <v>284</v>
      </c>
      <c r="D72" s="13" t="s">
        <v>104</v>
      </c>
      <c r="E72" s="13" t="s">
        <v>53</v>
      </c>
      <c r="F72" s="13" t="s">
        <v>135</v>
      </c>
      <c r="G72" s="13" t="s">
        <v>92</v>
      </c>
      <c r="H72">
        <v>105000</v>
      </c>
      <c r="I72" s="13" t="s">
        <v>105</v>
      </c>
      <c r="J72" s="13" t="s">
        <v>106</v>
      </c>
      <c r="K72" s="13" t="s">
        <v>107</v>
      </c>
      <c r="L72" s="13" t="s">
        <v>82</v>
      </c>
      <c r="M72">
        <v>30</v>
      </c>
      <c r="N72">
        <v>2</v>
      </c>
      <c r="O72" s="14">
        <v>45845</v>
      </c>
      <c r="P72" s="14">
        <v>45875</v>
      </c>
      <c r="Q72">
        <v>7374.4</v>
      </c>
      <c r="R72">
        <v>0</v>
      </c>
      <c r="S72">
        <v>0</v>
      </c>
      <c r="T72">
        <v>0</v>
      </c>
      <c r="U72">
        <v>0</v>
      </c>
      <c r="V72">
        <v>7374.4</v>
      </c>
      <c r="W72">
        <v>0</v>
      </c>
      <c r="X72">
        <v>1</v>
      </c>
      <c r="Y72">
        <v>1</v>
      </c>
      <c r="Z72">
        <v>147</v>
      </c>
      <c r="AA72">
        <v>5</v>
      </c>
      <c r="AB72" s="13" t="s">
        <v>60</v>
      </c>
      <c r="AC72">
        <v>1</v>
      </c>
      <c r="AD72">
        <v>0</v>
      </c>
      <c r="AE72" s="13" t="s">
        <v>61</v>
      </c>
    </row>
    <row r="73" spans="1:31" x14ac:dyDescent="0.35">
      <c r="A73" s="13" t="s">
        <v>285</v>
      </c>
      <c r="B73" s="13" t="s">
        <v>286</v>
      </c>
      <c r="C73" s="13" t="s">
        <v>287</v>
      </c>
      <c r="D73" s="13" t="s">
        <v>104</v>
      </c>
      <c r="E73" s="13" t="s">
        <v>77</v>
      </c>
      <c r="F73" s="13" t="s">
        <v>174</v>
      </c>
      <c r="G73" s="13" t="s">
        <v>92</v>
      </c>
      <c r="H73">
        <v>150000</v>
      </c>
      <c r="I73" s="13" t="s">
        <v>86</v>
      </c>
      <c r="J73" s="13" t="s">
        <v>87</v>
      </c>
      <c r="K73" s="13" t="s">
        <v>58</v>
      </c>
      <c r="L73" s="13" t="s">
        <v>95</v>
      </c>
      <c r="M73">
        <v>30</v>
      </c>
      <c r="N73">
        <v>0</v>
      </c>
      <c r="O73" s="14">
        <v>45849</v>
      </c>
      <c r="P73" s="14">
        <v>45879</v>
      </c>
      <c r="Q73">
        <v>3541.08</v>
      </c>
      <c r="R73">
        <v>0</v>
      </c>
      <c r="S73">
        <v>0</v>
      </c>
      <c r="T73">
        <v>0</v>
      </c>
      <c r="U73">
        <v>0</v>
      </c>
      <c r="V73">
        <v>3541.08</v>
      </c>
      <c r="W73">
        <v>0</v>
      </c>
      <c r="X73">
        <v>1</v>
      </c>
      <c r="Y73">
        <v>1</v>
      </c>
      <c r="Z73">
        <v>143</v>
      </c>
      <c r="AA73">
        <v>5</v>
      </c>
      <c r="AB73" s="13" t="s">
        <v>60</v>
      </c>
      <c r="AC73">
        <v>1</v>
      </c>
      <c r="AD73">
        <v>0</v>
      </c>
      <c r="AE73" s="13" t="s">
        <v>61</v>
      </c>
    </row>
    <row r="74" spans="1:31" x14ac:dyDescent="0.35">
      <c r="A74" s="13" t="s">
        <v>288</v>
      </c>
      <c r="B74" s="13" t="s">
        <v>277</v>
      </c>
      <c r="C74" s="13" t="s">
        <v>278</v>
      </c>
      <c r="D74" s="13" t="s">
        <v>104</v>
      </c>
      <c r="E74" s="13" t="s">
        <v>71</v>
      </c>
      <c r="F74" s="13" t="s">
        <v>214</v>
      </c>
      <c r="G74" s="13" t="s">
        <v>92</v>
      </c>
      <c r="H74">
        <v>105000</v>
      </c>
      <c r="I74" s="13" t="s">
        <v>105</v>
      </c>
      <c r="J74" s="13" t="s">
        <v>106</v>
      </c>
      <c r="K74" s="13" t="s">
        <v>107</v>
      </c>
      <c r="L74" s="13" t="s">
        <v>88</v>
      </c>
      <c r="M74">
        <v>60</v>
      </c>
      <c r="N74">
        <v>0</v>
      </c>
      <c r="O74" s="14">
        <v>45852</v>
      </c>
      <c r="P74" s="14">
        <v>45912</v>
      </c>
      <c r="Q74">
        <v>1427.54</v>
      </c>
      <c r="R74">
        <v>0</v>
      </c>
      <c r="S74">
        <v>0</v>
      </c>
      <c r="T74">
        <v>0</v>
      </c>
      <c r="U74">
        <v>0</v>
      </c>
      <c r="V74">
        <v>1427.54</v>
      </c>
      <c r="W74">
        <v>0</v>
      </c>
      <c r="X74">
        <v>1</v>
      </c>
      <c r="Y74">
        <v>1</v>
      </c>
      <c r="Z74">
        <v>110</v>
      </c>
      <c r="AA74">
        <v>5</v>
      </c>
      <c r="AB74" s="13" t="s">
        <v>60</v>
      </c>
      <c r="AC74">
        <v>1</v>
      </c>
      <c r="AD74">
        <v>0</v>
      </c>
      <c r="AE74" s="13" t="s">
        <v>61</v>
      </c>
    </row>
    <row r="75" spans="1:31" x14ac:dyDescent="0.35">
      <c r="A75" s="13" t="s">
        <v>289</v>
      </c>
      <c r="B75" s="13" t="s">
        <v>290</v>
      </c>
      <c r="C75" s="13" t="s">
        <v>291</v>
      </c>
      <c r="D75" s="13" t="s">
        <v>104</v>
      </c>
      <c r="E75" s="13" t="s">
        <v>77</v>
      </c>
      <c r="F75" s="13" t="s">
        <v>78</v>
      </c>
      <c r="G75" s="13" t="s">
        <v>92</v>
      </c>
      <c r="H75">
        <v>140000</v>
      </c>
      <c r="I75" s="13" t="s">
        <v>121</v>
      </c>
      <c r="J75" s="13" t="s">
        <v>122</v>
      </c>
      <c r="K75" s="13" t="s">
        <v>107</v>
      </c>
      <c r="L75" s="13" t="s">
        <v>82</v>
      </c>
      <c r="M75">
        <v>30</v>
      </c>
      <c r="N75">
        <v>2</v>
      </c>
      <c r="O75" s="14">
        <v>45852</v>
      </c>
      <c r="P75" s="14">
        <v>45882</v>
      </c>
      <c r="Q75">
        <v>800.28</v>
      </c>
      <c r="R75">
        <v>0</v>
      </c>
      <c r="S75">
        <v>0</v>
      </c>
      <c r="T75">
        <v>0</v>
      </c>
      <c r="U75">
        <v>0</v>
      </c>
      <c r="V75">
        <v>800.28</v>
      </c>
      <c r="W75">
        <v>0</v>
      </c>
      <c r="X75">
        <v>1</v>
      </c>
      <c r="Y75">
        <v>1</v>
      </c>
      <c r="Z75">
        <v>140</v>
      </c>
      <c r="AA75">
        <v>5</v>
      </c>
      <c r="AB75" s="13" t="s">
        <v>60</v>
      </c>
      <c r="AC75">
        <v>1</v>
      </c>
      <c r="AD75">
        <v>0</v>
      </c>
      <c r="AE75" s="13" t="s">
        <v>61</v>
      </c>
    </row>
    <row r="76" spans="1:31" x14ac:dyDescent="0.35">
      <c r="A76" s="13" t="s">
        <v>292</v>
      </c>
      <c r="B76" s="13" t="s">
        <v>293</v>
      </c>
      <c r="C76" s="13" t="s">
        <v>294</v>
      </c>
      <c r="D76" s="13" t="s">
        <v>104</v>
      </c>
      <c r="E76" s="13" t="s">
        <v>99</v>
      </c>
      <c r="F76" s="13" t="s">
        <v>100</v>
      </c>
      <c r="G76" s="13" t="s">
        <v>92</v>
      </c>
      <c r="H76">
        <v>145000</v>
      </c>
      <c r="I76" s="13" t="s">
        <v>121</v>
      </c>
      <c r="J76" s="13" t="s">
        <v>122</v>
      </c>
      <c r="K76" s="13" t="s">
        <v>107</v>
      </c>
      <c r="L76" s="13" t="s">
        <v>82</v>
      </c>
      <c r="M76">
        <v>30</v>
      </c>
      <c r="N76">
        <v>2</v>
      </c>
      <c r="O76" s="14">
        <v>45852</v>
      </c>
      <c r="P76" s="14">
        <v>45882</v>
      </c>
      <c r="Q76">
        <v>3324.72</v>
      </c>
      <c r="R76">
        <v>0</v>
      </c>
      <c r="S76">
        <v>0</v>
      </c>
      <c r="T76">
        <v>0</v>
      </c>
      <c r="U76">
        <v>0</v>
      </c>
      <c r="V76">
        <v>3324.72</v>
      </c>
      <c r="W76">
        <v>0</v>
      </c>
      <c r="X76">
        <v>1</v>
      </c>
      <c r="Y76">
        <v>1</v>
      </c>
      <c r="Z76">
        <v>140</v>
      </c>
      <c r="AA76">
        <v>5</v>
      </c>
      <c r="AB76" s="13" t="s">
        <v>60</v>
      </c>
      <c r="AC76">
        <v>1</v>
      </c>
      <c r="AD76">
        <v>0</v>
      </c>
      <c r="AE76" s="13" t="s">
        <v>61</v>
      </c>
    </row>
    <row r="77" spans="1:31" x14ac:dyDescent="0.35">
      <c r="A77" s="13" t="s">
        <v>295</v>
      </c>
      <c r="B77" s="13" t="s">
        <v>296</v>
      </c>
      <c r="C77" s="13" t="s">
        <v>297</v>
      </c>
      <c r="D77" s="13" t="s">
        <v>104</v>
      </c>
      <c r="E77" s="13" t="s">
        <v>65</v>
      </c>
      <c r="F77" s="13" t="s">
        <v>111</v>
      </c>
      <c r="G77" s="13" t="s">
        <v>92</v>
      </c>
      <c r="H77">
        <v>125000</v>
      </c>
      <c r="I77" s="13" t="s">
        <v>105</v>
      </c>
      <c r="J77" s="13" t="s">
        <v>106</v>
      </c>
      <c r="K77" s="13" t="s">
        <v>107</v>
      </c>
      <c r="L77" s="13" t="s">
        <v>82</v>
      </c>
      <c r="M77">
        <v>30</v>
      </c>
      <c r="N77">
        <v>2</v>
      </c>
      <c r="O77" s="14">
        <v>45853</v>
      </c>
      <c r="P77" s="14">
        <v>45883</v>
      </c>
      <c r="Q77">
        <v>2018.09</v>
      </c>
      <c r="R77">
        <v>0</v>
      </c>
      <c r="S77">
        <v>0</v>
      </c>
      <c r="T77">
        <v>0</v>
      </c>
      <c r="U77">
        <v>0</v>
      </c>
      <c r="V77">
        <v>2018.09</v>
      </c>
      <c r="W77">
        <v>0</v>
      </c>
      <c r="X77">
        <v>1</v>
      </c>
      <c r="Y77">
        <v>1</v>
      </c>
      <c r="Z77">
        <v>139</v>
      </c>
      <c r="AA77">
        <v>5</v>
      </c>
      <c r="AB77" s="13" t="s">
        <v>60</v>
      </c>
      <c r="AC77">
        <v>1</v>
      </c>
      <c r="AD77">
        <v>0</v>
      </c>
      <c r="AE77" s="13" t="s">
        <v>61</v>
      </c>
    </row>
    <row r="78" spans="1:31" x14ac:dyDescent="0.35">
      <c r="A78" s="13" t="s">
        <v>298</v>
      </c>
      <c r="B78" s="13" t="s">
        <v>293</v>
      </c>
      <c r="C78" s="13" t="s">
        <v>294</v>
      </c>
      <c r="D78" s="13" t="s">
        <v>104</v>
      </c>
      <c r="E78" s="13" t="s">
        <v>99</v>
      </c>
      <c r="F78" s="13" t="s">
        <v>100</v>
      </c>
      <c r="G78" s="13" t="s">
        <v>92</v>
      </c>
      <c r="H78">
        <v>145000</v>
      </c>
      <c r="I78" s="13" t="s">
        <v>121</v>
      </c>
      <c r="J78" s="13" t="s">
        <v>122</v>
      </c>
      <c r="K78" s="13" t="s">
        <v>107</v>
      </c>
      <c r="L78" s="13" t="s">
        <v>82</v>
      </c>
      <c r="M78">
        <v>30</v>
      </c>
      <c r="N78">
        <v>2</v>
      </c>
      <c r="O78" s="14">
        <v>45853</v>
      </c>
      <c r="P78" s="14">
        <v>45883</v>
      </c>
      <c r="Q78">
        <v>953.56</v>
      </c>
      <c r="R78">
        <v>0</v>
      </c>
      <c r="S78">
        <v>0</v>
      </c>
      <c r="T78">
        <v>0</v>
      </c>
      <c r="U78">
        <v>0</v>
      </c>
      <c r="V78">
        <v>953.56</v>
      </c>
      <c r="W78">
        <v>0</v>
      </c>
      <c r="X78">
        <v>1</v>
      </c>
      <c r="Y78">
        <v>1</v>
      </c>
      <c r="Z78">
        <v>139</v>
      </c>
      <c r="AA78">
        <v>5</v>
      </c>
      <c r="AB78" s="13" t="s">
        <v>60</v>
      </c>
      <c r="AC78">
        <v>1</v>
      </c>
      <c r="AD78">
        <v>0</v>
      </c>
      <c r="AE78" s="13" t="s">
        <v>61</v>
      </c>
    </row>
    <row r="79" spans="1:31" x14ac:dyDescent="0.35">
      <c r="A79" s="13" t="s">
        <v>299</v>
      </c>
      <c r="B79" s="13" t="s">
        <v>300</v>
      </c>
      <c r="C79" s="13" t="s">
        <v>301</v>
      </c>
      <c r="D79" s="13" t="s">
        <v>104</v>
      </c>
      <c r="E79" s="13" t="s">
        <v>99</v>
      </c>
      <c r="F79" s="13" t="s">
        <v>100</v>
      </c>
      <c r="G79" s="13" t="s">
        <v>92</v>
      </c>
      <c r="H79">
        <v>30000</v>
      </c>
      <c r="I79" s="13" t="s">
        <v>105</v>
      </c>
      <c r="J79" s="13" t="s">
        <v>106</v>
      </c>
      <c r="K79" s="13" t="s">
        <v>107</v>
      </c>
      <c r="L79" s="13" t="s">
        <v>95</v>
      </c>
      <c r="M79">
        <v>30</v>
      </c>
      <c r="N79">
        <v>0</v>
      </c>
      <c r="O79" s="14">
        <v>45854</v>
      </c>
      <c r="P79" s="14">
        <v>45884</v>
      </c>
      <c r="Q79">
        <v>913.98</v>
      </c>
      <c r="R79">
        <v>0</v>
      </c>
      <c r="S79">
        <v>0</v>
      </c>
      <c r="T79">
        <v>0</v>
      </c>
      <c r="U79">
        <v>0</v>
      </c>
      <c r="V79">
        <v>913.98</v>
      </c>
      <c r="W79">
        <v>0</v>
      </c>
      <c r="X79">
        <v>1</v>
      </c>
      <c r="Y79">
        <v>1</v>
      </c>
      <c r="Z79">
        <v>138</v>
      </c>
      <c r="AA79">
        <v>5</v>
      </c>
      <c r="AB79" s="13" t="s">
        <v>60</v>
      </c>
      <c r="AC79">
        <v>1</v>
      </c>
      <c r="AD79">
        <v>0</v>
      </c>
      <c r="AE79" s="13" t="s">
        <v>61</v>
      </c>
    </row>
    <row r="80" spans="1:31" x14ac:dyDescent="0.35">
      <c r="A80" s="13" t="s">
        <v>302</v>
      </c>
      <c r="B80" s="13" t="s">
        <v>283</v>
      </c>
      <c r="C80" s="13" t="s">
        <v>284</v>
      </c>
      <c r="D80" s="13" t="s">
        <v>104</v>
      </c>
      <c r="E80" s="13" t="s">
        <v>53</v>
      </c>
      <c r="F80" s="13" t="s">
        <v>135</v>
      </c>
      <c r="G80" s="13" t="s">
        <v>92</v>
      </c>
      <c r="H80">
        <v>105000</v>
      </c>
      <c r="I80" s="13" t="s">
        <v>105</v>
      </c>
      <c r="J80" s="13" t="s">
        <v>106</v>
      </c>
      <c r="K80" s="13" t="s">
        <v>107</v>
      </c>
      <c r="L80" s="13" t="s">
        <v>82</v>
      </c>
      <c r="M80">
        <v>30</v>
      </c>
      <c r="N80">
        <v>2</v>
      </c>
      <c r="O80" s="14">
        <v>45856</v>
      </c>
      <c r="P80" s="14">
        <v>45886</v>
      </c>
      <c r="Q80">
        <v>2240.13</v>
      </c>
      <c r="R80">
        <v>0</v>
      </c>
      <c r="S80">
        <v>0</v>
      </c>
      <c r="T80">
        <v>0</v>
      </c>
      <c r="U80">
        <v>0</v>
      </c>
      <c r="V80">
        <v>2240.13</v>
      </c>
      <c r="W80">
        <v>0</v>
      </c>
      <c r="X80">
        <v>1</v>
      </c>
      <c r="Y80">
        <v>1</v>
      </c>
      <c r="Z80">
        <v>136</v>
      </c>
      <c r="AA80">
        <v>5</v>
      </c>
      <c r="AB80" s="13" t="s">
        <v>60</v>
      </c>
      <c r="AC80">
        <v>1</v>
      </c>
      <c r="AD80">
        <v>0</v>
      </c>
      <c r="AE80" s="13" t="s">
        <v>61</v>
      </c>
    </row>
    <row r="81" spans="1:31" x14ac:dyDescent="0.35">
      <c r="A81" s="13" t="s">
        <v>303</v>
      </c>
      <c r="B81" s="13" t="s">
        <v>290</v>
      </c>
      <c r="C81" s="13" t="s">
        <v>291</v>
      </c>
      <c r="D81" s="13" t="s">
        <v>104</v>
      </c>
      <c r="E81" s="13" t="s">
        <v>77</v>
      </c>
      <c r="F81" s="13" t="s">
        <v>78</v>
      </c>
      <c r="G81" s="13" t="s">
        <v>92</v>
      </c>
      <c r="H81">
        <v>140000</v>
      </c>
      <c r="I81" s="13" t="s">
        <v>121</v>
      </c>
      <c r="J81" s="13" t="s">
        <v>122</v>
      </c>
      <c r="K81" s="13" t="s">
        <v>107</v>
      </c>
      <c r="L81" s="13" t="s">
        <v>82</v>
      </c>
      <c r="M81">
        <v>30</v>
      </c>
      <c r="N81">
        <v>2</v>
      </c>
      <c r="O81" s="14">
        <v>45856</v>
      </c>
      <c r="P81" s="14">
        <v>45886</v>
      </c>
      <c r="Q81">
        <v>6130.11</v>
      </c>
      <c r="R81">
        <v>0</v>
      </c>
      <c r="S81">
        <v>0</v>
      </c>
      <c r="T81">
        <v>0</v>
      </c>
      <c r="U81">
        <v>0</v>
      </c>
      <c r="V81">
        <v>6130.11</v>
      </c>
      <c r="W81">
        <v>0</v>
      </c>
      <c r="X81">
        <v>1</v>
      </c>
      <c r="Y81">
        <v>1</v>
      </c>
      <c r="Z81">
        <v>136</v>
      </c>
      <c r="AA81">
        <v>5</v>
      </c>
      <c r="AB81" s="13" t="s">
        <v>60</v>
      </c>
      <c r="AC81">
        <v>1</v>
      </c>
      <c r="AD81">
        <v>0</v>
      </c>
      <c r="AE81" s="13" t="s">
        <v>61</v>
      </c>
    </row>
    <row r="82" spans="1:31" x14ac:dyDescent="0.35">
      <c r="A82" s="13" t="s">
        <v>304</v>
      </c>
      <c r="B82" s="13" t="s">
        <v>305</v>
      </c>
      <c r="C82" s="13" t="s">
        <v>306</v>
      </c>
      <c r="D82" s="13" t="s">
        <v>76</v>
      </c>
      <c r="E82" s="13" t="s">
        <v>53</v>
      </c>
      <c r="F82" s="13" t="s">
        <v>135</v>
      </c>
      <c r="G82" s="13" t="s">
        <v>67</v>
      </c>
      <c r="H82">
        <v>30000</v>
      </c>
      <c r="I82" s="13" t="s">
        <v>93</v>
      </c>
      <c r="J82" s="13" t="s">
        <v>94</v>
      </c>
      <c r="K82" s="13" t="s">
        <v>81</v>
      </c>
      <c r="L82" s="13" t="s">
        <v>95</v>
      </c>
      <c r="M82">
        <v>30</v>
      </c>
      <c r="N82">
        <v>0</v>
      </c>
      <c r="O82" s="14">
        <v>45856</v>
      </c>
      <c r="P82" s="14">
        <v>45886</v>
      </c>
      <c r="Q82">
        <v>462.58</v>
      </c>
      <c r="R82">
        <v>185.03</v>
      </c>
      <c r="S82">
        <v>0</v>
      </c>
      <c r="T82">
        <v>0</v>
      </c>
      <c r="U82">
        <v>0</v>
      </c>
      <c r="V82">
        <v>277.55</v>
      </c>
      <c r="W82">
        <v>0</v>
      </c>
      <c r="X82">
        <v>1</v>
      </c>
      <c r="Y82">
        <v>1</v>
      </c>
      <c r="Z82">
        <v>136</v>
      </c>
      <c r="AA82">
        <v>5</v>
      </c>
      <c r="AB82" s="13" t="s">
        <v>60</v>
      </c>
      <c r="AC82">
        <v>1</v>
      </c>
      <c r="AD82">
        <v>0</v>
      </c>
      <c r="AE82" s="13" t="s">
        <v>61</v>
      </c>
    </row>
    <row r="83" spans="1:31" x14ac:dyDescent="0.35">
      <c r="A83" s="13" t="s">
        <v>307</v>
      </c>
      <c r="B83" s="13" t="s">
        <v>280</v>
      </c>
      <c r="C83" s="13" t="s">
        <v>281</v>
      </c>
      <c r="D83" s="13" t="s">
        <v>104</v>
      </c>
      <c r="E83" s="13" t="s">
        <v>71</v>
      </c>
      <c r="F83" s="13" t="s">
        <v>214</v>
      </c>
      <c r="G83" s="13" t="s">
        <v>92</v>
      </c>
      <c r="H83">
        <v>100000</v>
      </c>
      <c r="I83" s="13" t="s">
        <v>121</v>
      </c>
      <c r="J83" s="13" t="s">
        <v>122</v>
      </c>
      <c r="K83" s="13" t="s">
        <v>107</v>
      </c>
      <c r="L83" s="13" t="s">
        <v>88</v>
      </c>
      <c r="M83">
        <v>60</v>
      </c>
      <c r="N83">
        <v>0</v>
      </c>
      <c r="O83" s="14">
        <v>45859</v>
      </c>
      <c r="P83" s="14">
        <v>45919</v>
      </c>
      <c r="Q83">
        <v>1494.17</v>
      </c>
      <c r="R83">
        <v>0</v>
      </c>
      <c r="S83">
        <v>0</v>
      </c>
      <c r="T83">
        <v>0</v>
      </c>
      <c r="U83">
        <v>0</v>
      </c>
      <c r="V83">
        <v>1494.17</v>
      </c>
      <c r="W83">
        <v>0</v>
      </c>
      <c r="X83">
        <v>1</v>
      </c>
      <c r="Y83">
        <v>1</v>
      </c>
      <c r="Z83">
        <v>103</v>
      </c>
      <c r="AA83">
        <v>5</v>
      </c>
      <c r="AB83" s="13" t="s">
        <v>60</v>
      </c>
      <c r="AC83">
        <v>1</v>
      </c>
      <c r="AD83">
        <v>0</v>
      </c>
      <c r="AE83" s="13" t="s">
        <v>61</v>
      </c>
    </row>
    <row r="84" spans="1:31" x14ac:dyDescent="0.35">
      <c r="A84" s="13" t="s">
        <v>308</v>
      </c>
      <c r="B84" s="13" t="s">
        <v>309</v>
      </c>
      <c r="C84" s="13" t="s">
        <v>310</v>
      </c>
      <c r="D84" s="13" t="s">
        <v>104</v>
      </c>
      <c r="E84" s="13" t="s">
        <v>53</v>
      </c>
      <c r="F84" s="13" t="s">
        <v>135</v>
      </c>
      <c r="G84" s="13" t="s">
        <v>67</v>
      </c>
      <c r="H84">
        <v>125000</v>
      </c>
      <c r="I84" s="13" t="s">
        <v>121</v>
      </c>
      <c r="J84" s="13" t="s">
        <v>122</v>
      </c>
      <c r="K84" s="13" t="s">
        <v>107</v>
      </c>
      <c r="L84" s="13" t="s">
        <v>88</v>
      </c>
      <c r="M84">
        <v>60</v>
      </c>
      <c r="N84">
        <v>0</v>
      </c>
      <c r="O84" s="14">
        <v>45860</v>
      </c>
      <c r="P84" s="14">
        <v>45920</v>
      </c>
      <c r="Q84">
        <v>847.17</v>
      </c>
      <c r="R84">
        <v>0</v>
      </c>
      <c r="S84">
        <v>0</v>
      </c>
      <c r="T84">
        <v>0</v>
      </c>
      <c r="U84">
        <v>0</v>
      </c>
      <c r="V84">
        <v>847.17</v>
      </c>
      <c r="W84">
        <v>0</v>
      </c>
      <c r="X84">
        <v>1</v>
      </c>
      <c r="Y84">
        <v>1</v>
      </c>
      <c r="Z84">
        <v>102</v>
      </c>
      <c r="AA84">
        <v>5</v>
      </c>
      <c r="AB84" s="13" t="s">
        <v>60</v>
      </c>
      <c r="AC84">
        <v>1</v>
      </c>
      <c r="AD84">
        <v>0</v>
      </c>
      <c r="AE84" s="13" t="s">
        <v>61</v>
      </c>
    </row>
    <row r="85" spans="1:31" x14ac:dyDescent="0.35">
      <c r="A85" s="13" t="s">
        <v>311</v>
      </c>
      <c r="B85" s="13" t="s">
        <v>312</v>
      </c>
      <c r="C85" s="13" t="s">
        <v>313</v>
      </c>
      <c r="D85" s="13" t="s">
        <v>52</v>
      </c>
      <c r="E85" s="13" t="s">
        <v>77</v>
      </c>
      <c r="F85" s="13" t="s">
        <v>174</v>
      </c>
      <c r="G85" s="13" t="s">
        <v>55</v>
      </c>
      <c r="H85">
        <v>600000</v>
      </c>
      <c r="I85" s="13" t="s">
        <v>56</v>
      </c>
      <c r="J85" s="13" t="s">
        <v>57</v>
      </c>
      <c r="K85" s="13" t="s">
        <v>58</v>
      </c>
      <c r="L85" s="13" t="s">
        <v>88</v>
      </c>
      <c r="M85">
        <v>60</v>
      </c>
      <c r="N85">
        <v>0</v>
      </c>
      <c r="O85" s="14">
        <v>45860</v>
      </c>
      <c r="P85" s="14">
        <v>45920</v>
      </c>
      <c r="Q85">
        <v>6170.49</v>
      </c>
      <c r="R85">
        <v>0</v>
      </c>
      <c r="S85">
        <v>0</v>
      </c>
      <c r="T85">
        <v>0</v>
      </c>
      <c r="U85">
        <v>0</v>
      </c>
      <c r="V85">
        <v>6170.49</v>
      </c>
      <c r="W85">
        <v>0</v>
      </c>
      <c r="X85">
        <v>1</v>
      </c>
      <c r="Y85">
        <v>1</v>
      </c>
      <c r="Z85">
        <v>102</v>
      </c>
      <c r="AA85">
        <v>5</v>
      </c>
      <c r="AB85" s="13" t="s">
        <v>60</v>
      </c>
      <c r="AC85">
        <v>1</v>
      </c>
      <c r="AD85">
        <v>0</v>
      </c>
      <c r="AE85" s="13" t="s">
        <v>61</v>
      </c>
    </row>
    <row r="86" spans="1:31" x14ac:dyDescent="0.35">
      <c r="A86" s="13" t="s">
        <v>314</v>
      </c>
      <c r="B86" s="13" t="s">
        <v>300</v>
      </c>
      <c r="C86" s="13" t="s">
        <v>301</v>
      </c>
      <c r="D86" s="13" t="s">
        <v>104</v>
      </c>
      <c r="E86" s="13" t="s">
        <v>99</v>
      </c>
      <c r="F86" s="13" t="s">
        <v>100</v>
      </c>
      <c r="G86" s="13" t="s">
        <v>92</v>
      </c>
      <c r="H86">
        <v>30000</v>
      </c>
      <c r="I86" s="13" t="s">
        <v>105</v>
      </c>
      <c r="J86" s="13" t="s">
        <v>106</v>
      </c>
      <c r="K86" s="13" t="s">
        <v>107</v>
      </c>
      <c r="L86" s="13" t="s">
        <v>95</v>
      </c>
      <c r="M86">
        <v>30</v>
      </c>
      <c r="N86">
        <v>0</v>
      </c>
      <c r="O86" s="14">
        <v>45860</v>
      </c>
      <c r="P86" s="14">
        <v>45890</v>
      </c>
      <c r="Q86">
        <v>977.22</v>
      </c>
      <c r="R86">
        <v>0</v>
      </c>
      <c r="S86">
        <v>0</v>
      </c>
      <c r="T86">
        <v>0</v>
      </c>
      <c r="U86">
        <v>0</v>
      </c>
      <c r="V86">
        <v>977.22</v>
      </c>
      <c r="W86">
        <v>0</v>
      </c>
      <c r="X86">
        <v>1</v>
      </c>
      <c r="Y86">
        <v>1</v>
      </c>
      <c r="Z86">
        <v>132</v>
      </c>
      <c r="AA86">
        <v>5</v>
      </c>
      <c r="AB86" s="13" t="s">
        <v>60</v>
      </c>
      <c r="AC86">
        <v>1</v>
      </c>
      <c r="AD86">
        <v>0</v>
      </c>
      <c r="AE86" s="13" t="s">
        <v>61</v>
      </c>
    </row>
    <row r="87" spans="1:31" x14ac:dyDescent="0.35">
      <c r="A87" s="13" t="s">
        <v>315</v>
      </c>
      <c r="B87" s="13" t="s">
        <v>283</v>
      </c>
      <c r="C87" s="13" t="s">
        <v>284</v>
      </c>
      <c r="D87" s="13" t="s">
        <v>104</v>
      </c>
      <c r="E87" s="13" t="s">
        <v>53</v>
      </c>
      <c r="F87" s="13" t="s">
        <v>135</v>
      </c>
      <c r="G87" s="13" t="s">
        <v>92</v>
      </c>
      <c r="H87">
        <v>105000</v>
      </c>
      <c r="I87" s="13" t="s">
        <v>105</v>
      </c>
      <c r="J87" s="13" t="s">
        <v>106</v>
      </c>
      <c r="K87" s="13" t="s">
        <v>107</v>
      </c>
      <c r="L87" s="13" t="s">
        <v>82</v>
      </c>
      <c r="M87">
        <v>30</v>
      </c>
      <c r="N87">
        <v>2</v>
      </c>
      <c r="O87" s="14">
        <v>45861</v>
      </c>
      <c r="P87" s="14">
        <v>45891</v>
      </c>
      <c r="Q87">
        <v>7679.16</v>
      </c>
      <c r="R87">
        <v>0</v>
      </c>
      <c r="S87">
        <v>0</v>
      </c>
      <c r="T87">
        <v>0</v>
      </c>
      <c r="U87">
        <v>0</v>
      </c>
      <c r="V87">
        <v>7679.16</v>
      </c>
      <c r="W87">
        <v>0</v>
      </c>
      <c r="X87">
        <v>1</v>
      </c>
      <c r="Y87">
        <v>1</v>
      </c>
      <c r="Z87">
        <v>131</v>
      </c>
      <c r="AA87">
        <v>5</v>
      </c>
      <c r="AB87" s="13" t="s">
        <v>60</v>
      </c>
      <c r="AC87">
        <v>1</v>
      </c>
      <c r="AD87">
        <v>0</v>
      </c>
      <c r="AE87" s="13" t="s">
        <v>61</v>
      </c>
    </row>
    <row r="88" spans="1:31" x14ac:dyDescent="0.35">
      <c r="A88" s="13" t="s">
        <v>316</v>
      </c>
      <c r="B88" s="13" t="s">
        <v>317</v>
      </c>
      <c r="C88" s="13" t="s">
        <v>318</v>
      </c>
      <c r="D88" s="13" t="s">
        <v>52</v>
      </c>
      <c r="E88" s="13" t="s">
        <v>77</v>
      </c>
      <c r="F88" s="13" t="s">
        <v>78</v>
      </c>
      <c r="G88" s="13" t="s">
        <v>67</v>
      </c>
      <c r="H88">
        <v>390000</v>
      </c>
      <c r="I88" s="13" t="s">
        <v>56</v>
      </c>
      <c r="J88" s="13" t="s">
        <v>57</v>
      </c>
      <c r="K88" s="13" t="s">
        <v>58</v>
      </c>
      <c r="L88" s="13" t="s">
        <v>88</v>
      </c>
      <c r="M88">
        <v>60</v>
      </c>
      <c r="N88">
        <v>0</v>
      </c>
      <c r="O88" s="14">
        <v>45862</v>
      </c>
      <c r="P88" s="14">
        <v>45922</v>
      </c>
      <c r="Q88">
        <v>2194.9</v>
      </c>
      <c r="R88">
        <v>0</v>
      </c>
      <c r="S88">
        <v>0</v>
      </c>
      <c r="T88">
        <v>0</v>
      </c>
      <c r="U88">
        <v>0</v>
      </c>
      <c r="V88">
        <v>2194.9</v>
      </c>
      <c r="W88">
        <v>0</v>
      </c>
      <c r="X88">
        <v>1</v>
      </c>
      <c r="Y88">
        <v>1</v>
      </c>
      <c r="Z88">
        <v>100</v>
      </c>
      <c r="AA88">
        <v>5</v>
      </c>
      <c r="AB88" s="13" t="s">
        <v>60</v>
      </c>
      <c r="AC88">
        <v>1</v>
      </c>
      <c r="AD88">
        <v>0</v>
      </c>
      <c r="AE88" s="13" t="s">
        <v>61</v>
      </c>
    </row>
    <row r="89" spans="1:31" x14ac:dyDescent="0.35">
      <c r="A89" s="13" t="s">
        <v>319</v>
      </c>
      <c r="B89" s="13" t="s">
        <v>280</v>
      </c>
      <c r="C89" s="13" t="s">
        <v>281</v>
      </c>
      <c r="D89" s="13" t="s">
        <v>104</v>
      </c>
      <c r="E89" s="13" t="s">
        <v>71</v>
      </c>
      <c r="F89" s="13" t="s">
        <v>214</v>
      </c>
      <c r="G89" s="13" t="s">
        <v>92</v>
      </c>
      <c r="H89">
        <v>100000</v>
      </c>
      <c r="I89" s="13" t="s">
        <v>121</v>
      </c>
      <c r="J89" s="13" t="s">
        <v>122</v>
      </c>
      <c r="K89" s="13" t="s">
        <v>107</v>
      </c>
      <c r="L89" s="13" t="s">
        <v>88</v>
      </c>
      <c r="M89">
        <v>60</v>
      </c>
      <c r="N89">
        <v>0</v>
      </c>
      <c r="O89" s="14">
        <v>45862</v>
      </c>
      <c r="P89" s="14">
        <v>45922</v>
      </c>
      <c r="Q89">
        <v>2595.67</v>
      </c>
      <c r="R89">
        <v>0</v>
      </c>
      <c r="S89">
        <v>0</v>
      </c>
      <c r="T89">
        <v>0</v>
      </c>
      <c r="U89">
        <v>0</v>
      </c>
      <c r="V89">
        <v>2595.67</v>
      </c>
      <c r="W89">
        <v>0</v>
      </c>
      <c r="X89">
        <v>1</v>
      </c>
      <c r="Y89">
        <v>1</v>
      </c>
      <c r="Z89">
        <v>100</v>
      </c>
      <c r="AA89">
        <v>5</v>
      </c>
      <c r="AB89" s="13" t="s">
        <v>60</v>
      </c>
      <c r="AC89">
        <v>1</v>
      </c>
      <c r="AD89">
        <v>0</v>
      </c>
      <c r="AE89" s="13" t="s">
        <v>61</v>
      </c>
    </row>
    <row r="90" spans="1:31" x14ac:dyDescent="0.35">
      <c r="A90" s="13" t="s">
        <v>320</v>
      </c>
      <c r="B90" s="13" t="s">
        <v>286</v>
      </c>
      <c r="C90" s="13" t="s">
        <v>287</v>
      </c>
      <c r="D90" s="13" t="s">
        <v>104</v>
      </c>
      <c r="E90" s="13" t="s">
        <v>77</v>
      </c>
      <c r="F90" s="13" t="s">
        <v>174</v>
      </c>
      <c r="G90" s="13" t="s">
        <v>92</v>
      </c>
      <c r="H90">
        <v>150000</v>
      </c>
      <c r="I90" s="13" t="s">
        <v>86</v>
      </c>
      <c r="J90" s="13" t="s">
        <v>87</v>
      </c>
      <c r="K90" s="13" t="s">
        <v>58</v>
      </c>
      <c r="L90" s="13" t="s">
        <v>95</v>
      </c>
      <c r="M90">
        <v>30</v>
      </c>
      <c r="N90">
        <v>0</v>
      </c>
      <c r="O90" s="14">
        <v>45863</v>
      </c>
      <c r="P90" s="14">
        <v>45893</v>
      </c>
      <c r="Q90">
        <v>800.31</v>
      </c>
      <c r="R90">
        <v>0</v>
      </c>
      <c r="S90">
        <v>0</v>
      </c>
      <c r="T90">
        <v>0</v>
      </c>
      <c r="U90">
        <v>0</v>
      </c>
      <c r="V90">
        <v>800.31</v>
      </c>
      <c r="W90">
        <v>0</v>
      </c>
      <c r="X90">
        <v>1</v>
      </c>
      <c r="Y90">
        <v>1</v>
      </c>
      <c r="Z90">
        <v>129</v>
      </c>
      <c r="AA90">
        <v>5</v>
      </c>
      <c r="AB90" s="13" t="s">
        <v>60</v>
      </c>
      <c r="AC90">
        <v>1</v>
      </c>
      <c r="AD90">
        <v>0</v>
      </c>
      <c r="AE90" s="13" t="s">
        <v>61</v>
      </c>
    </row>
    <row r="91" spans="1:31" x14ac:dyDescent="0.35">
      <c r="A91" s="13" t="s">
        <v>321</v>
      </c>
      <c r="B91" s="13" t="s">
        <v>290</v>
      </c>
      <c r="C91" s="13" t="s">
        <v>291</v>
      </c>
      <c r="D91" s="13" t="s">
        <v>104</v>
      </c>
      <c r="E91" s="13" t="s">
        <v>77</v>
      </c>
      <c r="F91" s="13" t="s">
        <v>78</v>
      </c>
      <c r="G91" s="13" t="s">
        <v>92</v>
      </c>
      <c r="H91">
        <v>140000</v>
      </c>
      <c r="I91" s="13" t="s">
        <v>121</v>
      </c>
      <c r="J91" s="13" t="s">
        <v>122</v>
      </c>
      <c r="K91" s="13" t="s">
        <v>107</v>
      </c>
      <c r="L91" s="13" t="s">
        <v>82</v>
      </c>
      <c r="M91">
        <v>30</v>
      </c>
      <c r="N91">
        <v>2</v>
      </c>
      <c r="O91" s="14">
        <v>45863</v>
      </c>
      <c r="P91" s="14">
        <v>45893</v>
      </c>
      <c r="Q91">
        <v>1652.37</v>
      </c>
      <c r="R91">
        <v>0</v>
      </c>
      <c r="S91">
        <v>0</v>
      </c>
      <c r="T91">
        <v>0</v>
      </c>
      <c r="U91">
        <v>0</v>
      </c>
      <c r="V91">
        <v>1652.37</v>
      </c>
      <c r="W91">
        <v>0</v>
      </c>
      <c r="X91">
        <v>1</v>
      </c>
      <c r="Y91">
        <v>1</v>
      </c>
      <c r="Z91">
        <v>129</v>
      </c>
      <c r="AA91">
        <v>5</v>
      </c>
      <c r="AB91" s="13" t="s">
        <v>60</v>
      </c>
      <c r="AC91">
        <v>1</v>
      </c>
      <c r="AD91">
        <v>0</v>
      </c>
      <c r="AE91" s="13" t="s">
        <v>61</v>
      </c>
    </row>
    <row r="92" spans="1:31" x14ac:dyDescent="0.35">
      <c r="A92" s="13" t="s">
        <v>322</v>
      </c>
      <c r="B92" s="13" t="s">
        <v>300</v>
      </c>
      <c r="C92" s="13" t="s">
        <v>301</v>
      </c>
      <c r="D92" s="13" t="s">
        <v>104</v>
      </c>
      <c r="E92" s="13" t="s">
        <v>99</v>
      </c>
      <c r="F92" s="13" t="s">
        <v>100</v>
      </c>
      <c r="G92" s="13" t="s">
        <v>92</v>
      </c>
      <c r="H92">
        <v>30000</v>
      </c>
      <c r="I92" s="13" t="s">
        <v>105</v>
      </c>
      <c r="J92" s="13" t="s">
        <v>106</v>
      </c>
      <c r="K92" s="13" t="s">
        <v>107</v>
      </c>
      <c r="L92" s="13" t="s">
        <v>95</v>
      </c>
      <c r="M92">
        <v>30</v>
      </c>
      <c r="N92">
        <v>0</v>
      </c>
      <c r="O92" s="14">
        <v>45863</v>
      </c>
      <c r="P92" s="14">
        <v>45893</v>
      </c>
      <c r="Q92">
        <v>4759.3500000000004</v>
      </c>
      <c r="R92">
        <v>0</v>
      </c>
      <c r="S92">
        <v>0</v>
      </c>
      <c r="T92">
        <v>0</v>
      </c>
      <c r="U92">
        <v>0</v>
      </c>
      <c r="V92">
        <v>4759.3500000000004</v>
      </c>
      <c r="W92">
        <v>0</v>
      </c>
      <c r="X92">
        <v>1</v>
      </c>
      <c r="Y92">
        <v>1</v>
      </c>
      <c r="Z92">
        <v>129</v>
      </c>
      <c r="AA92">
        <v>5</v>
      </c>
      <c r="AB92" s="13" t="s">
        <v>60</v>
      </c>
      <c r="AC92">
        <v>1</v>
      </c>
      <c r="AD92">
        <v>0</v>
      </c>
      <c r="AE92" s="13" t="s">
        <v>61</v>
      </c>
    </row>
    <row r="93" spans="1:31" x14ac:dyDescent="0.35">
      <c r="A93" s="13" t="s">
        <v>323</v>
      </c>
      <c r="B93" s="13" t="s">
        <v>296</v>
      </c>
      <c r="C93" s="13" t="s">
        <v>297</v>
      </c>
      <c r="D93" s="13" t="s">
        <v>104</v>
      </c>
      <c r="E93" s="13" t="s">
        <v>65</v>
      </c>
      <c r="F93" s="13" t="s">
        <v>111</v>
      </c>
      <c r="G93" s="13" t="s">
        <v>92</v>
      </c>
      <c r="H93">
        <v>125000</v>
      </c>
      <c r="I93" s="13" t="s">
        <v>105</v>
      </c>
      <c r="J93" s="13" t="s">
        <v>106</v>
      </c>
      <c r="K93" s="13" t="s">
        <v>107</v>
      </c>
      <c r="L93" s="13" t="s">
        <v>82</v>
      </c>
      <c r="M93">
        <v>30</v>
      </c>
      <c r="N93">
        <v>2</v>
      </c>
      <c r="O93" s="14">
        <v>45866</v>
      </c>
      <c r="P93" s="14">
        <v>45896</v>
      </c>
      <c r="Q93">
        <v>6536.75</v>
      </c>
      <c r="R93">
        <v>0</v>
      </c>
      <c r="S93">
        <v>0</v>
      </c>
      <c r="T93">
        <v>0</v>
      </c>
      <c r="U93">
        <v>0</v>
      </c>
      <c r="V93">
        <v>6536.75</v>
      </c>
      <c r="W93">
        <v>0</v>
      </c>
      <c r="X93">
        <v>1</v>
      </c>
      <c r="Y93">
        <v>1</v>
      </c>
      <c r="Z93">
        <v>126</v>
      </c>
      <c r="AA93">
        <v>5</v>
      </c>
      <c r="AB93" s="13" t="s">
        <v>60</v>
      </c>
      <c r="AC93">
        <v>1</v>
      </c>
      <c r="AD93">
        <v>0</v>
      </c>
      <c r="AE93" s="13" t="s">
        <v>61</v>
      </c>
    </row>
    <row r="94" spans="1:31" x14ac:dyDescent="0.35">
      <c r="A94" s="13" t="s">
        <v>324</v>
      </c>
      <c r="B94" s="13" t="s">
        <v>225</v>
      </c>
      <c r="C94" s="13" t="s">
        <v>226</v>
      </c>
      <c r="D94" s="13" t="s">
        <v>52</v>
      </c>
      <c r="E94" s="13" t="s">
        <v>77</v>
      </c>
      <c r="F94" s="13" t="s">
        <v>174</v>
      </c>
      <c r="G94" s="13" t="s">
        <v>55</v>
      </c>
      <c r="H94">
        <v>570000</v>
      </c>
      <c r="I94" s="13" t="s">
        <v>56</v>
      </c>
      <c r="J94" s="13" t="s">
        <v>57</v>
      </c>
      <c r="K94" s="13" t="s">
        <v>58</v>
      </c>
      <c r="L94" s="13" t="s">
        <v>59</v>
      </c>
      <c r="M94">
        <v>45</v>
      </c>
      <c r="N94">
        <v>0</v>
      </c>
      <c r="O94" s="14">
        <v>45867</v>
      </c>
      <c r="P94" s="14">
        <v>45912</v>
      </c>
      <c r="Q94">
        <v>6203.01</v>
      </c>
      <c r="R94">
        <v>3721.81</v>
      </c>
      <c r="S94">
        <v>0</v>
      </c>
      <c r="T94">
        <v>0</v>
      </c>
      <c r="U94">
        <v>0</v>
      </c>
      <c r="V94">
        <v>2481.1999999999998</v>
      </c>
      <c r="W94">
        <v>0</v>
      </c>
      <c r="X94">
        <v>1</v>
      </c>
      <c r="Y94">
        <v>1</v>
      </c>
      <c r="Z94">
        <v>110</v>
      </c>
      <c r="AA94">
        <v>5</v>
      </c>
      <c r="AB94" s="13" t="s">
        <v>60</v>
      </c>
      <c r="AC94">
        <v>1</v>
      </c>
      <c r="AD94">
        <v>0</v>
      </c>
      <c r="AE94" s="13" t="s">
        <v>61</v>
      </c>
    </row>
    <row r="95" spans="1:31" x14ac:dyDescent="0.35">
      <c r="A95" s="13" t="s">
        <v>325</v>
      </c>
      <c r="B95" s="13" t="s">
        <v>293</v>
      </c>
      <c r="C95" s="13" t="s">
        <v>294</v>
      </c>
      <c r="D95" s="13" t="s">
        <v>104</v>
      </c>
      <c r="E95" s="13" t="s">
        <v>99</v>
      </c>
      <c r="F95" s="13" t="s">
        <v>100</v>
      </c>
      <c r="G95" s="13" t="s">
        <v>92</v>
      </c>
      <c r="H95">
        <v>145000</v>
      </c>
      <c r="I95" s="13" t="s">
        <v>121</v>
      </c>
      <c r="J95" s="13" t="s">
        <v>122</v>
      </c>
      <c r="K95" s="13" t="s">
        <v>107</v>
      </c>
      <c r="L95" s="13" t="s">
        <v>82</v>
      </c>
      <c r="M95">
        <v>30</v>
      </c>
      <c r="N95">
        <v>2</v>
      </c>
      <c r="O95" s="14">
        <v>45867</v>
      </c>
      <c r="P95" s="14">
        <v>45897</v>
      </c>
      <c r="Q95">
        <v>826.01</v>
      </c>
      <c r="R95">
        <v>0</v>
      </c>
      <c r="S95">
        <v>0</v>
      </c>
      <c r="T95">
        <v>0</v>
      </c>
      <c r="U95">
        <v>0</v>
      </c>
      <c r="V95">
        <v>826.01</v>
      </c>
      <c r="W95">
        <v>0</v>
      </c>
      <c r="X95">
        <v>1</v>
      </c>
      <c r="Y95">
        <v>1</v>
      </c>
      <c r="Z95">
        <v>125</v>
      </c>
      <c r="AA95">
        <v>5</v>
      </c>
      <c r="AB95" s="13" t="s">
        <v>60</v>
      </c>
      <c r="AC95">
        <v>1</v>
      </c>
      <c r="AD95">
        <v>0</v>
      </c>
      <c r="AE95" s="13" t="s">
        <v>61</v>
      </c>
    </row>
    <row r="96" spans="1:31" x14ac:dyDescent="0.35">
      <c r="A96" s="13" t="s">
        <v>326</v>
      </c>
      <c r="B96" s="13" t="s">
        <v>300</v>
      </c>
      <c r="C96" s="13" t="s">
        <v>301</v>
      </c>
      <c r="D96" s="13" t="s">
        <v>104</v>
      </c>
      <c r="E96" s="13" t="s">
        <v>99</v>
      </c>
      <c r="F96" s="13" t="s">
        <v>100</v>
      </c>
      <c r="G96" s="13" t="s">
        <v>92</v>
      </c>
      <c r="H96">
        <v>30000</v>
      </c>
      <c r="I96" s="13" t="s">
        <v>105</v>
      </c>
      <c r="J96" s="13" t="s">
        <v>106</v>
      </c>
      <c r="K96" s="13" t="s">
        <v>107</v>
      </c>
      <c r="L96" s="13" t="s">
        <v>95</v>
      </c>
      <c r="M96">
        <v>30</v>
      </c>
      <c r="N96">
        <v>0</v>
      </c>
      <c r="O96" s="14">
        <v>45868</v>
      </c>
      <c r="P96" s="14">
        <v>45898</v>
      </c>
      <c r="Q96">
        <v>6653.78</v>
      </c>
      <c r="R96">
        <v>0</v>
      </c>
      <c r="S96">
        <v>0</v>
      </c>
      <c r="T96">
        <v>0</v>
      </c>
      <c r="U96">
        <v>0</v>
      </c>
      <c r="V96">
        <v>6653.78</v>
      </c>
      <c r="W96">
        <v>0</v>
      </c>
      <c r="X96">
        <v>1</v>
      </c>
      <c r="Y96">
        <v>1</v>
      </c>
      <c r="Z96">
        <v>124</v>
      </c>
      <c r="AA96">
        <v>5</v>
      </c>
      <c r="AB96" s="13" t="s">
        <v>60</v>
      </c>
      <c r="AC96">
        <v>1</v>
      </c>
      <c r="AD96">
        <v>0</v>
      </c>
      <c r="AE96" s="13" t="s">
        <v>61</v>
      </c>
    </row>
    <row r="97" spans="1:31" x14ac:dyDescent="0.35">
      <c r="A97" s="13" t="s">
        <v>327</v>
      </c>
      <c r="B97" s="13" t="s">
        <v>259</v>
      </c>
      <c r="C97" s="13" t="s">
        <v>260</v>
      </c>
      <c r="D97" s="13" t="s">
        <v>104</v>
      </c>
      <c r="E97" s="13" t="s">
        <v>71</v>
      </c>
      <c r="F97" s="13" t="s">
        <v>72</v>
      </c>
      <c r="G97" s="13" t="s">
        <v>67</v>
      </c>
      <c r="H97">
        <v>145000</v>
      </c>
      <c r="I97" s="13" t="s">
        <v>121</v>
      </c>
      <c r="J97" s="13" t="s">
        <v>122</v>
      </c>
      <c r="K97" s="13" t="s">
        <v>107</v>
      </c>
      <c r="L97" s="13" t="s">
        <v>88</v>
      </c>
      <c r="M97">
        <v>60</v>
      </c>
      <c r="N97">
        <v>0</v>
      </c>
      <c r="O97" s="14">
        <v>45869</v>
      </c>
      <c r="P97" s="14">
        <v>45929</v>
      </c>
      <c r="Q97">
        <v>932.03</v>
      </c>
      <c r="R97">
        <v>0</v>
      </c>
      <c r="S97">
        <v>0</v>
      </c>
      <c r="T97">
        <v>0</v>
      </c>
      <c r="U97">
        <v>0</v>
      </c>
      <c r="V97">
        <v>932.03</v>
      </c>
      <c r="W97">
        <v>0</v>
      </c>
      <c r="X97">
        <v>1</v>
      </c>
      <c r="Y97">
        <v>1</v>
      </c>
      <c r="Z97">
        <v>93</v>
      </c>
      <c r="AA97">
        <v>5</v>
      </c>
      <c r="AB97" s="13" t="s">
        <v>60</v>
      </c>
      <c r="AC97">
        <v>1</v>
      </c>
      <c r="AD97">
        <v>0</v>
      </c>
      <c r="AE97" s="13" t="s">
        <v>61</v>
      </c>
    </row>
    <row r="98" spans="1:31" x14ac:dyDescent="0.35">
      <c r="A98" s="13" t="s">
        <v>328</v>
      </c>
      <c r="B98" s="13" t="s">
        <v>277</v>
      </c>
      <c r="C98" s="13" t="s">
        <v>278</v>
      </c>
      <c r="D98" s="13" t="s">
        <v>104</v>
      </c>
      <c r="E98" s="13" t="s">
        <v>71</v>
      </c>
      <c r="F98" s="13" t="s">
        <v>214</v>
      </c>
      <c r="G98" s="13" t="s">
        <v>92</v>
      </c>
      <c r="H98">
        <v>105000</v>
      </c>
      <c r="I98" s="13" t="s">
        <v>105</v>
      </c>
      <c r="J98" s="13" t="s">
        <v>106</v>
      </c>
      <c r="K98" s="13" t="s">
        <v>107</v>
      </c>
      <c r="L98" s="13" t="s">
        <v>88</v>
      </c>
      <c r="M98">
        <v>60</v>
      </c>
      <c r="N98">
        <v>0</v>
      </c>
      <c r="O98" s="14">
        <v>45869</v>
      </c>
      <c r="P98" s="14">
        <v>45929</v>
      </c>
      <c r="Q98">
        <v>1749.36</v>
      </c>
      <c r="R98">
        <v>0</v>
      </c>
      <c r="S98">
        <v>0</v>
      </c>
      <c r="T98">
        <v>0</v>
      </c>
      <c r="U98">
        <v>0</v>
      </c>
      <c r="V98">
        <v>1749.36</v>
      </c>
      <c r="W98">
        <v>0</v>
      </c>
      <c r="X98">
        <v>1</v>
      </c>
      <c r="Y98">
        <v>1</v>
      </c>
      <c r="Z98">
        <v>93</v>
      </c>
      <c r="AA98">
        <v>5</v>
      </c>
      <c r="AB98" s="13" t="s">
        <v>60</v>
      </c>
      <c r="AC98">
        <v>1</v>
      </c>
      <c r="AD98">
        <v>0</v>
      </c>
      <c r="AE98" s="13" t="s">
        <v>61</v>
      </c>
    </row>
    <row r="99" spans="1:31" x14ac:dyDescent="0.35">
      <c r="A99" s="13" t="s">
        <v>329</v>
      </c>
      <c r="B99" s="13" t="s">
        <v>330</v>
      </c>
      <c r="C99" s="13" t="s">
        <v>331</v>
      </c>
      <c r="D99" s="13" t="s">
        <v>104</v>
      </c>
      <c r="E99" s="13" t="s">
        <v>65</v>
      </c>
      <c r="F99" s="13" t="s">
        <v>111</v>
      </c>
      <c r="G99" s="13" t="s">
        <v>55</v>
      </c>
      <c r="H99">
        <v>85000</v>
      </c>
      <c r="I99" s="13" t="s">
        <v>121</v>
      </c>
      <c r="J99" s="13" t="s">
        <v>122</v>
      </c>
      <c r="K99" s="13" t="s">
        <v>107</v>
      </c>
      <c r="L99" s="13" t="s">
        <v>95</v>
      </c>
      <c r="M99">
        <v>30</v>
      </c>
      <c r="N99">
        <v>0</v>
      </c>
      <c r="O99" s="14">
        <v>45869</v>
      </c>
      <c r="P99" s="14">
        <v>45899</v>
      </c>
      <c r="Q99">
        <v>3010.22</v>
      </c>
      <c r="R99">
        <v>1204.0899999999999</v>
      </c>
      <c r="S99">
        <v>0</v>
      </c>
      <c r="T99">
        <v>0</v>
      </c>
      <c r="U99">
        <v>0</v>
      </c>
      <c r="V99">
        <v>1806.13</v>
      </c>
      <c r="W99">
        <v>0</v>
      </c>
      <c r="X99">
        <v>1</v>
      </c>
      <c r="Y99">
        <v>1</v>
      </c>
      <c r="Z99">
        <v>123</v>
      </c>
      <c r="AA99">
        <v>5</v>
      </c>
      <c r="AB99" s="13" t="s">
        <v>60</v>
      </c>
      <c r="AC99">
        <v>1</v>
      </c>
      <c r="AD99">
        <v>0</v>
      </c>
      <c r="AE99" s="13" t="s">
        <v>61</v>
      </c>
    </row>
    <row r="100" spans="1:31" x14ac:dyDescent="0.35">
      <c r="A100" s="13" t="s">
        <v>332</v>
      </c>
      <c r="B100" s="13" t="s">
        <v>277</v>
      </c>
      <c r="C100" s="13" t="s">
        <v>278</v>
      </c>
      <c r="D100" s="13" t="s">
        <v>104</v>
      </c>
      <c r="E100" s="13" t="s">
        <v>71</v>
      </c>
      <c r="F100" s="13" t="s">
        <v>214</v>
      </c>
      <c r="G100" s="13" t="s">
        <v>92</v>
      </c>
      <c r="H100">
        <v>105000</v>
      </c>
      <c r="I100" s="13" t="s">
        <v>105</v>
      </c>
      <c r="J100" s="13" t="s">
        <v>106</v>
      </c>
      <c r="K100" s="13" t="s">
        <v>107</v>
      </c>
      <c r="L100" s="13" t="s">
        <v>88</v>
      </c>
      <c r="M100">
        <v>60</v>
      </c>
      <c r="N100">
        <v>0</v>
      </c>
      <c r="O100" s="14">
        <v>45870</v>
      </c>
      <c r="P100" s="14">
        <v>45930</v>
      </c>
      <c r="Q100">
        <v>1696.5</v>
      </c>
      <c r="R100">
        <v>0</v>
      </c>
      <c r="S100">
        <v>0</v>
      </c>
      <c r="T100">
        <v>0</v>
      </c>
      <c r="U100">
        <v>0</v>
      </c>
      <c r="V100">
        <v>1696.5</v>
      </c>
      <c r="W100">
        <v>0</v>
      </c>
      <c r="X100">
        <v>1</v>
      </c>
      <c r="Y100">
        <v>1</v>
      </c>
      <c r="Z100">
        <v>92</v>
      </c>
      <c r="AA100">
        <v>5</v>
      </c>
      <c r="AB100" s="13" t="s">
        <v>60</v>
      </c>
      <c r="AC100">
        <v>1</v>
      </c>
      <c r="AD100">
        <v>0</v>
      </c>
      <c r="AE100" s="13" t="s">
        <v>61</v>
      </c>
    </row>
    <row r="101" spans="1:31" x14ac:dyDescent="0.35">
      <c r="A101" s="13" t="s">
        <v>333</v>
      </c>
      <c r="B101" s="13" t="s">
        <v>277</v>
      </c>
      <c r="C101" s="13" t="s">
        <v>278</v>
      </c>
      <c r="D101" s="13" t="s">
        <v>104</v>
      </c>
      <c r="E101" s="13" t="s">
        <v>71</v>
      </c>
      <c r="F101" s="13" t="s">
        <v>214</v>
      </c>
      <c r="G101" s="13" t="s">
        <v>92</v>
      </c>
      <c r="H101">
        <v>105000</v>
      </c>
      <c r="I101" s="13" t="s">
        <v>105</v>
      </c>
      <c r="J101" s="13" t="s">
        <v>106</v>
      </c>
      <c r="K101" s="13" t="s">
        <v>107</v>
      </c>
      <c r="L101" s="13" t="s">
        <v>88</v>
      </c>
      <c r="M101">
        <v>60</v>
      </c>
      <c r="N101">
        <v>0</v>
      </c>
      <c r="O101" s="14">
        <v>45873</v>
      </c>
      <c r="P101" s="14">
        <v>45933</v>
      </c>
      <c r="Q101">
        <v>2087.69</v>
      </c>
      <c r="R101">
        <v>0</v>
      </c>
      <c r="S101">
        <v>0</v>
      </c>
      <c r="T101">
        <v>0</v>
      </c>
      <c r="U101">
        <v>0</v>
      </c>
      <c r="V101">
        <v>2087.69</v>
      </c>
      <c r="W101">
        <v>0</v>
      </c>
      <c r="X101">
        <v>1</v>
      </c>
      <c r="Y101">
        <v>1</v>
      </c>
      <c r="Z101">
        <v>89</v>
      </c>
      <c r="AA101">
        <v>4</v>
      </c>
      <c r="AB101" s="13" t="s">
        <v>334</v>
      </c>
      <c r="AC101">
        <v>0.75</v>
      </c>
      <c r="AD101">
        <v>0</v>
      </c>
      <c r="AE101" s="13" t="s">
        <v>61</v>
      </c>
    </row>
    <row r="102" spans="1:31" x14ac:dyDescent="0.35">
      <c r="A102" s="13" t="s">
        <v>335</v>
      </c>
      <c r="B102" s="13" t="s">
        <v>296</v>
      </c>
      <c r="C102" s="13" t="s">
        <v>297</v>
      </c>
      <c r="D102" s="13" t="s">
        <v>104</v>
      </c>
      <c r="E102" s="13" t="s">
        <v>65</v>
      </c>
      <c r="F102" s="13" t="s">
        <v>111</v>
      </c>
      <c r="G102" s="13" t="s">
        <v>92</v>
      </c>
      <c r="H102">
        <v>125000</v>
      </c>
      <c r="I102" s="13" t="s">
        <v>105</v>
      </c>
      <c r="J102" s="13" t="s">
        <v>106</v>
      </c>
      <c r="K102" s="13" t="s">
        <v>107</v>
      </c>
      <c r="L102" s="13" t="s">
        <v>82</v>
      </c>
      <c r="M102">
        <v>30</v>
      </c>
      <c r="N102">
        <v>2</v>
      </c>
      <c r="O102" s="14">
        <v>45873</v>
      </c>
      <c r="P102" s="14">
        <v>45903</v>
      </c>
      <c r="Q102">
        <v>1367.51</v>
      </c>
      <c r="R102">
        <v>0</v>
      </c>
      <c r="S102">
        <v>0</v>
      </c>
      <c r="T102">
        <v>0</v>
      </c>
      <c r="U102">
        <v>0</v>
      </c>
      <c r="V102">
        <v>1367.51</v>
      </c>
      <c r="W102">
        <v>0</v>
      </c>
      <c r="X102">
        <v>1</v>
      </c>
      <c r="Y102">
        <v>1</v>
      </c>
      <c r="Z102">
        <v>119</v>
      </c>
      <c r="AA102">
        <v>5</v>
      </c>
      <c r="AB102" s="13" t="s">
        <v>60</v>
      </c>
      <c r="AC102">
        <v>1</v>
      </c>
      <c r="AD102">
        <v>0</v>
      </c>
      <c r="AE102" s="13" t="s">
        <v>61</v>
      </c>
    </row>
    <row r="103" spans="1:31" x14ac:dyDescent="0.35">
      <c r="A103" s="13" t="s">
        <v>336</v>
      </c>
      <c r="B103" s="13" t="s">
        <v>293</v>
      </c>
      <c r="C103" s="13" t="s">
        <v>294</v>
      </c>
      <c r="D103" s="13" t="s">
        <v>104</v>
      </c>
      <c r="E103" s="13" t="s">
        <v>99</v>
      </c>
      <c r="F103" s="13" t="s">
        <v>100</v>
      </c>
      <c r="G103" s="13" t="s">
        <v>92</v>
      </c>
      <c r="H103">
        <v>145000</v>
      </c>
      <c r="I103" s="13" t="s">
        <v>121</v>
      </c>
      <c r="J103" s="13" t="s">
        <v>122</v>
      </c>
      <c r="K103" s="13" t="s">
        <v>107</v>
      </c>
      <c r="L103" s="13" t="s">
        <v>82</v>
      </c>
      <c r="M103">
        <v>30</v>
      </c>
      <c r="N103">
        <v>2</v>
      </c>
      <c r="O103" s="14">
        <v>45873</v>
      </c>
      <c r="P103" s="14">
        <v>45903</v>
      </c>
      <c r="Q103">
        <v>3377.95</v>
      </c>
      <c r="R103">
        <v>0</v>
      </c>
      <c r="S103">
        <v>0</v>
      </c>
      <c r="T103">
        <v>0</v>
      </c>
      <c r="U103">
        <v>0</v>
      </c>
      <c r="V103">
        <v>3377.95</v>
      </c>
      <c r="W103">
        <v>0</v>
      </c>
      <c r="X103">
        <v>1</v>
      </c>
      <c r="Y103">
        <v>1</v>
      </c>
      <c r="Z103">
        <v>119</v>
      </c>
      <c r="AA103">
        <v>5</v>
      </c>
      <c r="AB103" s="13" t="s">
        <v>60</v>
      </c>
      <c r="AC103">
        <v>1</v>
      </c>
      <c r="AD103">
        <v>0</v>
      </c>
      <c r="AE103" s="13" t="s">
        <v>61</v>
      </c>
    </row>
    <row r="104" spans="1:31" x14ac:dyDescent="0.35">
      <c r="A104" s="13" t="s">
        <v>337</v>
      </c>
      <c r="B104" s="13" t="s">
        <v>300</v>
      </c>
      <c r="C104" s="13" t="s">
        <v>301</v>
      </c>
      <c r="D104" s="13" t="s">
        <v>104</v>
      </c>
      <c r="E104" s="13" t="s">
        <v>99</v>
      </c>
      <c r="F104" s="13" t="s">
        <v>100</v>
      </c>
      <c r="G104" s="13" t="s">
        <v>92</v>
      </c>
      <c r="H104">
        <v>30000</v>
      </c>
      <c r="I104" s="13" t="s">
        <v>105</v>
      </c>
      <c r="J104" s="13" t="s">
        <v>106</v>
      </c>
      <c r="K104" s="13" t="s">
        <v>107</v>
      </c>
      <c r="L104" s="13" t="s">
        <v>95</v>
      </c>
      <c r="M104">
        <v>30</v>
      </c>
      <c r="N104">
        <v>0</v>
      </c>
      <c r="O104" s="14">
        <v>45874</v>
      </c>
      <c r="P104" s="14">
        <v>45904</v>
      </c>
      <c r="Q104">
        <v>6623.99</v>
      </c>
      <c r="R104">
        <v>0</v>
      </c>
      <c r="S104">
        <v>0</v>
      </c>
      <c r="T104">
        <v>0</v>
      </c>
      <c r="U104">
        <v>0</v>
      </c>
      <c r="V104">
        <v>6623.99</v>
      </c>
      <c r="W104">
        <v>0</v>
      </c>
      <c r="X104">
        <v>1</v>
      </c>
      <c r="Y104">
        <v>1</v>
      </c>
      <c r="Z104">
        <v>118</v>
      </c>
      <c r="AA104">
        <v>5</v>
      </c>
      <c r="AB104" s="13" t="s">
        <v>60</v>
      </c>
      <c r="AC104">
        <v>1</v>
      </c>
      <c r="AD104">
        <v>0</v>
      </c>
      <c r="AE104" s="13" t="s">
        <v>61</v>
      </c>
    </row>
    <row r="105" spans="1:31" x14ac:dyDescent="0.35">
      <c r="A105" s="13" t="s">
        <v>338</v>
      </c>
      <c r="B105" s="13" t="s">
        <v>296</v>
      </c>
      <c r="C105" s="13" t="s">
        <v>297</v>
      </c>
      <c r="D105" s="13" t="s">
        <v>104</v>
      </c>
      <c r="E105" s="13" t="s">
        <v>65</v>
      </c>
      <c r="F105" s="13" t="s">
        <v>111</v>
      </c>
      <c r="G105" s="13" t="s">
        <v>92</v>
      </c>
      <c r="H105">
        <v>125000</v>
      </c>
      <c r="I105" s="13" t="s">
        <v>105</v>
      </c>
      <c r="J105" s="13" t="s">
        <v>106</v>
      </c>
      <c r="K105" s="13" t="s">
        <v>107</v>
      </c>
      <c r="L105" s="13" t="s">
        <v>82</v>
      </c>
      <c r="M105">
        <v>30</v>
      </c>
      <c r="N105">
        <v>2</v>
      </c>
      <c r="O105" s="14">
        <v>45874</v>
      </c>
      <c r="P105" s="14">
        <v>45904</v>
      </c>
      <c r="Q105">
        <v>6090.11</v>
      </c>
      <c r="R105">
        <v>0</v>
      </c>
      <c r="S105">
        <v>0</v>
      </c>
      <c r="T105">
        <v>0</v>
      </c>
      <c r="U105">
        <v>0</v>
      </c>
      <c r="V105">
        <v>6090.11</v>
      </c>
      <c r="W105">
        <v>0</v>
      </c>
      <c r="X105">
        <v>1</v>
      </c>
      <c r="Y105">
        <v>1</v>
      </c>
      <c r="Z105">
        <v>118</v>
      </c>
      <c r="AA105">
        <v>5</v>
      </c>
      <c r="AB105" s="13" t="s">
        <v>60</v>
      </c>
      <c r="AC105">
        <v>1</v>
      </c>
      <c r="AD105">
        <v>0</v>
      </c>
      <c r="AE105" s="13" t="s">
        <v>61</v>
      </c>
    </row>
    <row r="106" spans="1:31" x14ac:dyDescent="0.35">
      <c r="A106" s="13" t="s">
        <v>339</v>
      </c>
      <c r="B106" s="13" t="s">
        <v>340</v>
      </c>
      <c r="C106" s="13" t="s">
        <v>341</v>
      </c>
      <c r="D106" s="13" t="s">
        <v>52</v>
      </c>
      <c r="E106" s="13" t="s">
        <v>77</v>
      </c>
      <c r="F106" s="13" t="s">
        <v>78</v>
      </c>
      <c r="G106" s="13" t="s">
        <v>92</v>
      </c>
      <c r="H106">
        <v>565000</v>
      </c>
      <c r="I106" s="13" t="s">
        <v>56</v>
      </c>
      <c r="J106" s="13" t="s">
        <v>57</v>
      </c>
      <c r="K106" s="13" t="s">
        <v>58</v>
      </c>
      <c r="L106" s="13" t="s">
        <v>59</v>
      </c>
      <c r="M106">
        <v>45</v>
      </c>
      <c r="N106">
        <v>0</v>
      </c>
      <c r="O106" s="14">
        <v>45874</v>
      </c>
      <c r="P106" s="14">
        <v>45919</v>
      </c>
      <c r="Q106">
        <v>3775.75</v>
      </c>
      <c r="R106">
        <v>0</v>
      </c>
      <c r="S106">
        <v>0</v>
      </c>
      <c r="T106">
        <v>0</v>
      </c>
      <c r="U106">
        <v>0</v>
      </c>
      <c r="V106">
        <v>3775.75</v>
      </c>
      <c r="W106">
        <v>0</v>
      </c>
      <c r="X106">
        <v>1</v>
      </c>
      <c r="Y106">
        <v>1</v>
      </c>
      <c r="Z106">
        <v>103</v>
      </c>
      <c r="AA106">
        <v>5</v>
      </c>
      <c r="AB106" s="13" t="s">
        <v>60</v>
      </c>
      <c r="AC106">
        <v>1</v>
      </c>
      <c r="AD106">
        <v>0</v>
      </c>
      <c r="AE106" s="13" t="s">
        <v>61</v>
      </c>
    </row>
    <row r="107" spans="1:31" x14ac:dyDescent="0.35">
      <c r="A107" s="13" t="s">
        <v>342</v>
      </c>
      <c r="B107" s="13" t="s">
        <v>343</v>
      </c>
      <c r="C107" s="13" t="s">
        <v>344</v>
      </c>
      <c r="D107" s="13" t="s">
        <v>104</v>
      </c>
      <c r="E107" s="13" t="s">
        <v>77</v>
      </c>
      <c r="F107" s="13" t="s">
        <v>174</v>
      </c>
      <c r="G107" s="13" t="s">
        <v>67</v>
      </c>
      <c r="H107">
        <v>145000</v>
      </c>
      <c r="I107" s="13" t="s">
        <v>105</v>
      </c>
      <c r="J107" s="13" t="s">
        <v>106</v>
      </c>
      <c r="K107" s="13" t="s">
        <v>107</v>
      </c>
      <c r="L107" s="13" t="s">
        <v>95</v>
      </c>
      <c r="M107">
        <v>30</v>
      </c>
      <c r="N107">
        <v>0</v>
      </c>
      <c r="O107" s="14">
        <v>45875</v>
      </c>
      <c r="P107" s="14">
        <v>45905</v>
      </c>
      <c r="Q107">
        <v>843</v>
      </c>
      <c r="R107">
        <v>0</v>
      </c>
      <c r="S107">
        <v>0</v>
      </c>
      <c r="T107">
        <v>0</v>
      </c>
      <c r="U107">
        <v>0</v>
      </c>
      <c r="V107">
        <v>843</v>
      </c>
      <c r="W107">
        <v>0</v>
      </c>
      <c r="X107">
        <v>1</v>
      </c>
      <c r="Y107">
        <v>1</v>
      </c>
      <c r="Z107">
        <v>117</v>
      </c>
      <c r="AA107">
        <v>5</v>
      </c>
      <c r="AB107" s="13" t="s">
        <v>60</v>
      </c>
      <c r="AC107">
        <v>1</v>
      </c>
      <c r="AD107">
        <v>0</v>
      </c>
      <c r="AE107" s="13" t="s">
        <v>61</v>
      </c>
    </row>
    <row r="108" spans="1:31" x14ac:dyDescent="0.35">
      <c r="A108" s="13" t="s">
        <v>345</v>
      </c>
      <c r="B108" s="13" t="s">
        <v>290</v>
      </c>
      <c r="C108" s="13" t="s">
        <v>291</v>
      </c>
      <c r="D108" s="13" t="s">
        <v>104</v>
      </c>
      <c r="E108" s="13" t="s">
        <v>77</v>
      </c>
      <c r="F108" s="13" t="s">
        <v>78</v>
      </c>
      <c r="G108" s="13" t="s">
        <v>92</v>
      </c>
      <c r="H108">
        <v>140000</v>
      </c>
      <c r="I108" s="13" t="s">
        <v>121</v>
      </c>
      <c r="J108" s="13" t="s">
        <v>122</v>
      </c>
      <c r="K108" s="13" t="s">
        <v>107</v>
      </c>
      <c r="L108" s="13" t="s">
        <v>82</v>
      </c>
      <c r="M108">
        <v>30</v>
      </c>
      <c r="N108">
        <v>2</v>
      </c>
      <c r="O108" s="14">
        <v>45875</v>
      </c>
      <c r="P108" s="14">
        <v>45905</v>
      </c>
      <c r="Q108">
        <v>2262.8000000000002</v>
      </c>
      <c r="R108">
        <v>0</v>
      </c>
      <c r="S108">
        <v>0</v>
      </c>
      <c r="T108">
        <v>0</v>
      </c>
      <c r="U108">
        <v>0</v>
      </c>
      <c r="V108">
        <v>2262.8000000000002</v>
      </c>
      <c r="W108">
        <v>0</v>
      </c>
      <c r="X108">
        <v>1</v>
      </c>
      <c r="Y108">
        <v>1</v>
      </c>
      <c r="Z108">
        <v>117</v>
      </c>
      <c r="AA108">
        <v>5</v>
      </c>
      <c r="AB108" s="13" t="s">
        <v>60</v>
      </c>
      <c r="AC108">
        <v>1</v>
      </c>
      <c r="AD108">
        <v>0</v>
      </c>
      <c r="AE108" s="13" t="s">
        <v>61</v>
      </c>
    </row>
    <row r="109" spans="1:31" x14ac:dyDescent="0.35">
      <c r="A109" s="13" t="s">
        <v>346</v>
      </c>
      <c r="B109" s="13" t="s">
        <v>296</v>
      </c>
      <c r="C109" s="13" t="s">
        <v>297</v>
      </c>
      <c r="D109" s="13" t="s">
        <v>104</v>
      </c>
      <c r="E109" s="13" t="s">
        <v>65</v>
      </c>
      <c r="F109" s="13" t="s">
        <v>111</v>
      </c>
      <c r="G109" s="13" t="s">
        <v>92</v>
      </c>
      <c r="H109">
        <v>125000</v>
      </c>
      <c r="I109" s="13" t="s">
        <v>105</v>
      </c>
      <c r="J109" s="13" t="s">
        <v>106</v>
      </c>
      <c r="K109" s="13" t="s">
        <v>107</v>
      </c>
      <c r="L109" s="13" t="s">
        <v>82</v>
      </c>
      <c r="M109">
        <v>30</v>
      </c>
      <c r="N109">
        <v>2</v>
      </c>
      <c r="O109" s="14">
        <v>45875</v>
      </c>
      <c r="P109" s="14">
        <v>45905</v>
      </c>
      <c r="Q109">
        <v>1084.68</v>
      </c>
      <c r="R109">
        <v>0</v>
      </c>
      <c r="S109">
        <v>0</v>
      </c>
      <c r="T109">
        <v>0</v>
      </c>
      <c r="U109">
        <v>0</v>
      </c>
      <c r="V109">
        <v>1084.68</v>
      </c>
      <c r="W109">
        <v>0</v>
      </c>
      <c r="X109">
        <v>1</v>
      </c>
      <c r="Y109">
        <v>1</v>
      </c>
      <c r="Z109">
        <v>117</v>
      </c>
      <c r="AA109">
        <v>5</v>
      </c>
      <c r="AB109" s="13" t="s">
        <v>60</v>
      </c>
      <c r="AC109">
        <v>1</v>
      </c>
      <c r="AD109">
        <v>0</v>
      </c>
      <c r="AE109" s="13" t="s">
        <v>61</v>
      </c>
    </row>
    <row r="110" spans="1:31" x14ac:dyDescent="0.35">
      <c r="A110" s="13" t="s">
        <v>347</v>
      </c>
      <c r="B110" s="13" t="s">
        <v>280</v>
      </c>
      <c r="C110" s="13" t="s">
        <v>281</v>
      </c>
      <c r="D110" s="13" t="s">
        <v>104</v>
      </c>
      <c r="E110" s="13" t="s">
        <v>71</v>
      </c>
      <c r="F110" s="13" t="s">
        <v>214</v>
      </c>
      <c r="G110" s="13" t="s">
        <v>92</v>
      </c>
      <c r="H110">
        <v>100000</v>
      </c>
      <c r="I110" s="13" t="s">
        <v>121</v>
      </c>
      <c r="J110" s="13" t="s">
        <v>122</v>
      </c>
      <c r="K110" s="13" t="s">
        <v>107</v>
      </c>
      <c r="L110" s="13" t="s">
        <v>88</v>
      </c>
      <c r="M110">
        <v>60</v>
      </c>
      <c r="N110">
        <v>0</v>
      </c>
      <c r="O110" s="14">
        <v>45876</v>
      </c>
      <c r="P110" s="14">
        <v>45936</v>
      </c>
      <c r="Q110">
        <v>5958.39</v>
      </c>
      <c r="R110">
        <v>0</v>
      </c>
      <c r="S110">
        <v>0</v>
      </c>
      <c r="T110">
        <v>0</v>
      </c>
      <c r="U110">
        <v>0</v>
      </c>
      <c r="V110">
        <v>5958.39</v>
      </c>
      <c r="W110">
        <v>0</v>
      </c>
      <c r="X110">
        <v>1</v>
      </c>
      <c r="Y110">
        <v>1</v>
      </c>
      <c r="Z110">
        <v>86</v>
      </c>
      <c r="AA110">
        <v>4</v>
      </c>
      <c r="AB110" s="13" t="s">
        <v>334</v>
      </c>
      <c r="AC110">
        <v>0.75</v>
      </c>
      <c r="AD110">
        <v>0</v>
      </c>
      <c r="AE110" s="13" t="s">
        <v>348</v>
      </c>
    </row>
    <row r="111" spans="1:31" x14ac:dyDescent="0.35">
      <c r="A111" s="13" t="s">
        <v>349</v>
      </c>
      <c r="B111" s="13" t="s">
        <v>286</v>
      </c>
      <c r="C111" s="13" t="s">
        <v>287</v>
      </c>
      <c r="D111" s="13" t="s">
        <v>104</v>
      </c>
      <c r="E111" s="13" t="s">
        <v>77</v>
      </c>
      <c r="F111" s="13" t="s">
        <v>174</v>
      </c>
      <c r="G111" s="13" t="s">
        <v>92</v>
      </c>
      <c r="H111">
        <v>150000</v>
      </c>
      <c r="I111" s="13" t="s">
        <v>86</v>
      </c>
      <c r="J111" s="13" t="s">
        <v>87</v>
      </c>
      <c r="K111" s="13" t="s">
        <v>58</v>
      </c>
      <c r="L111" s="13" t="s">
        <v>95</v>
      </c>
      <c r="M111">
        <v>30</v>
      </c>
      <c r="N111">
        <v>0</v>
      </c>
      <c r="O111" s="14">
        <v>45877</v>
      </c>
      <c r="P111" s="14">
        <v>45907</v>
      </c>
      <c r="Q111">
        <v>2340.7199999999998</v>
      </c>
      <c r="R111">
        <v>0</v>
      </c>
      <c r="S111">
        <v>0</v>
      </c>
      <c r="T111">
        <v>0</v>
      </c>
      <c r="U111">
        <v>0</v>
      </c>
      <c r="V111">
        <v>2340.7199999999998</v>
      </c>
      <c r="W111">
        <v>0</v>
      </c>
      <c r="X111">
        <v>1</v>
      </c>
      <c r="Y111">
        <v>1</v>
      </c>
      <c r="Z111">
        <v>115</v>
      </c>
      <c r="AA111">
        <v>5</v>
      </c>
      <c r="AB111" s="13" t="s">
        <v>60</v>
      </c>
      <c r="AC111">
        <v>1</v>
      </c>
      <c r="AD111">
        <v>0</v>
      </c>
      <c r="AE111" s="13" t="s">
        <v>61</v>
      </c>
    </row>
    <row r="112" spans="1:31" x14ac:dyDescent="0.35">
      <c r="A112" s="13" t="s">
        <v>350</v>
      </c>
      <c r="B112" s="13" t="s">
        <v>283</v>
      </c>
      <c r="C112" s="13" t="s">
        <v>284</v>
      </c>
      <c r="D112" s="13" t="s">
        <v>104</v>
      </c>
      <c r="E112" s="13" t="s">
        <v>53</v>
      </c>
      <c r="F112" s="13" t="s">
        <v>135</v>
      </c>
      <c r="G112" s="13" t="s">
        <v>92</v>
      </c>
      <c r="H112">
        <v>105000</v>
      </c>
      <c r="I112" s="13" t="s">
        <v>105</v>
      </c>
      <c r="J112" s="13" t="s">
        <v>106</v>
      </c>
      <c r="K112" s="13" t="s">
        <v>107</v>
      </c>
      <c r="L112" s="13" t="s">
        <v>82</v>
      </c>
      <c r="M112">
        <v>30</v>
      </c>
      <c r="N112">
        <v>2</v>
      </c>
      <c r="O112" s="14">
        <v>45877</v>
      </c>
      <c r="P112" s="14">
        <v>45907</v>
      </c>
      <c r="Q112">
        <v>913.88</v>
      </c>
      <c r="R112">
        <v>0</v>
      </c>
      <c r="S112">
        <v>0</v>
      </c>
      <c r="T112">
        <v>0</v>
      </c>
      <c r="U112">
        <v>0</v>
      </c>
      <c r="V112">
        <v>913.88</v>
      </c>
      <c r="W112">
        <v>0</v>
      </c>
      <c r="X112">
        <v>1</v>
      </c>
      <c r="Y112">
        <v>1</v>
      </c>
      <c r="Z112">
        <v>115</v>
      </c>
      <c r="AA112">
        <v>5</v>
      </c>
      <c r="AB112" s="13" t="s">
        <v>60</v>
      </c>
      <c r="AC112">
        <v>1</v>
      </c>
      <c r="AD112">
        <v>0</v>
      </c>
      <c r="AE112" s="13" t="s">
        <v>61</v>
      </c>
    </row>
    <row r="113" spans="1:31" x14ac:dyDescent="0.35">
      <c r="A113" s="13" t="s">
        <v>351</v>
      </c>
      <c r="B113" s="13" t="s">
        <v>290</v>
      </c>
      <c r="C113" s="13" t="s">
        <v>291</v>
      </c>
      <c r="D113" s="13" t="s">
        <v>104</v>
      </c>
      <c r="E113" s="13" t="s">
        <v>77</v>
      </c>
      <c r="F113" s="13" t="s">
        <v>78</v>
      </c>
      <c r="G113" s="13" t="s">
        <v>92</v>
      </c>
      <c r="H113">
        <v>140000</v>
      </c>
      <c r="I113" s="13" t="s">
        <v>121</v>
      </c>
      <c r="J113" s="13" t="s">
        <v>122</v>
      </c>
      <c r="K113" s="13" t="s">
        <v>107</v>
      </c>
      <c r="L113" s="13" t="s">
        <v>82</v>
      </c>
      <c r="M113">
        <v>30</v>
      </c>
      <c r="N113">
        <v>2</v>
      </c>
      <c r="O113" s="14">
        <v>45877</v>
      </c>
      <c r="P113" s="14">
        <v>45907</v>
      </c>
      <c r="Q113">
        <v>1516.96</v>
      </c>
      <c r="R113">
        <v>0</v>
      </c>
      <c r="S113">
        <v>0</v>
      </c>
      <c r="T113">
        <v>0</v>
      </c>
      <c r="U113">
        <v>0</v>
      </c>
      <c r="V113">
        <v>1516.96</v>
      </c>
      <c r="W113">
        <v>0</v>
      </c>
      <c r="X113">
        <v>1</v>
      </c>
      <c r="Y113">
        <v>1</v>
      </c>
      <c r="Z113">
        <v>115</v>
      </c>
      <c r="AA113">
        <v>5</v>
      </c>
      <c r="AB113" s="13" t="s">
        <v>60</v>
      </c>
      <c r="AC113">
        <v>1</v>
      </c>
      <c r="AD113">
        <v>0</v>
      </c>
      <c r="AE113" s="13" t="s">
        <v>61</v>
      </c>
    </row>
    <row r="114" spans="1:31" x14ac:dyDescent="0.35">
      <c r="A114" s="13" t="s">
        <v>352</v>
      </c>
      <c r="B114" s="13" t="s">
        <v>300</v>
      </c>
      <c r="C114" s="13" t="s">
        <v>301</v>
      </c>
      <c r="D114" s="13" t="s">
        <v>104</v>
      </c>
      <c r="E114" s="13" t="s">
        <v>99</v>
      </c>
      <c r="F114" s="13" t="s">
        <v>100</v>
      </c>
      <c r="G114" s="13" t="s">
        <v>92</v>
      </c>
      <c r="H114">
        <v>30000</v>
      </c>
      <c r="I114" s="13" t="s">
        <v>105</v>
      </c>
      <c r="J114" s="13" t="s">
        <v>106</v>
      </c>
      <c r="K114" s="13" t="s">
        <v>107</v>
      </c>
      <c r="L114" s="13" t="s">
        <v>95</v>
      </c>
      <c r="M114">
        <v>30</v>
      </c>
      <c r="N114">
        <v>0</v>
      </c>
      <c r="O114" s="14">
        <v>45880</v>
      </c>
      <c r="P114" s="14">
        <v>45910</v>
      </c>
      <c r="Q114">
        <v>6073.46</v>
      </c>
      <c r="R114">
        <v>0</v>
      </c>
      <c r="S114">
        <v>0</v>
      </c>
      <c r="T114">
        <v>0</v>
      </c>
      <c r="U114">
        <v>0</v>
      </c>
      <c r="V114">
        <v>6073.46</v>
      </c>
      <c r="W114">
        <v>0</v>
      </c>
      <c r="X114">
        <v>1</v>
      </c>
      <c r="Y114">
        <v>1</v>
      </c>
      <c r="Z114">
        <v>112</v>
      </c>
      <c r="AA114">
        <v>5</v>
      </c>
      <c r="AB114" s="13" t="s">
        <v>60</v>
      </c>
      <c r="AC114">
        <v>1</v>
      </c>
      <c r="AD114">
        <v>0</v>
      </c>
      <c r="AE114" s="13" t="s">
        <v>61</v>
      </c>
    </row>
    <row r="115" spans="1:31" x14ac:dyDescent="0.35">
      <c r="A115" s="13" t="s">
        <v>353</v>
      </c>
      <c r="B115" s="13" t="s">
        <v>296</v>
      </c>
      <c r="C115" s="13" t="s">
        <v>297</v>
      </c>
      <c r="D115" s="13" t="s">
        <v>104</v>
      </c>
      <c r="E115" s="13" t="s">
        <v>65</v>
      </c>
      <c r="F115" s="13" t="s">
        <v>111</v>
      </c>
      <c r="G115" s="13" t="s">
        <v>92</v>
      </c>
      <c r="H115">
        <v>125000</v>
      </c>
      <c r="I115" s="13" t="s">
        <v>105</v>
      </c>
      <c r="J115" s="13" t="s">
        <v>106</v>
      </c>
      <c r="K115" s="13" t="s">
        <v>107</v>
      </c>
      <c r="L115" s="13" t="s">
        <v>82</v>
      </c>
      <c r="M115">
        <v>30</v>
      </c>
      <c r="N115">
        <v>2</v>
      </c>
      <c r="O115" s="14">
        <v>45880</v>
      </c>
      <c r="P115" s="14">
        <v>45910</v>
      </c>
      <c r="Q115">
        <v>1046.01</v>
      </c>
      <c r="R115">
        <v>0</v>
      </c>
      <c r="S115">
        <v>0</v>
      </c>
      <c r="T115">
        <v>0</v>
      </c>
      <c r="U115">
        <v>0</v>
      </c>
      <c r="V115">
        <v>1046.01</v>
      </c>
      <c r="W115">
        <v>0</v>
      </c>
      <c r="X115">
        <v>1</v>
      </c>
      <c r="Y115">
        <v>1</v>
      </c>
      <c r="Z115">
        <v>112</v>
      </c>
      <c r="AA115">
        <v>5</v>
      </c>
      <c r="AB115" s="13" t="s">
        <v>60</v>
      </c>
      <c r="AC115">
        <v>1</v>
      </c>
      <c r="AD115">
        <v>0</v>
      </c>
      <c r="AE115" s="13" t="s">
        <v>61</v>
      </c>
    </row>
    <row r="116" spans="1:31" x14ac:dyDescent="0.35">
      <c r="A116" s="13" t="s">
        <v>354</v>
      </c>
      <c r="B116" s="13" t="s">
        <v>283</v>
      </c>
      <c r="C116" s="13" t="s">
        <v>284</v>
      </c>
      <c r="D116" s="13" t="s">
        <v>104</v>
      </c>
      <c r="E116" s="13" t="s">
        <v>53</v>
      </c>
      <c r="F116" s="13" t="s">
        <v>135</v>
      </c>
      <c r="G116" s="13" t="s">
        <v>92</v>
      </c>
      <c r="H116">
        <v>105000</v>
      </c>
      <c r="I116" s="13" t="s">
        <v>105</v>
      </c>
      <c r="J116" s="13" t="s">
        <v>106</v>
      </c>
      <c r="K116" s="13" t="s">
        <v>107</v>
      </c>
      <c r="L116" s="13" t="s">
        <v>82</v>
      </c>
      <c r="M116">
        <v>30</v>
      </c>
      <c r="N116">
        <v>2</v>
      </c>
      <c r="O116" s="14">
        <v>45881</v>
      </c>
      <c r="P116" s="14">
        <v>45911</v>
      </c>
      <c r="Q116">
        <v>6219.33</v>
      </c>
      <c r="R116">
        <v>0</v>
      </c>
      <c r="S116">
        <v>0</v>
      </c>
      <c r="T116">
        <v>0</v>
      </c>
      <c r="U116">
        <v>0</v>
      </c>
      <c r="V116">
        <v>6219.33</v>
      </c>
      <c r="W116">
        <v>0</v>
      </c>
      <c r="X116">
        <v>1</v>
      </c>
      <c r="Y116">
        <v>1</v>
      </c>
      <c r="Z116">
        <v>111</v>
      </c>
      <c r="AA116">
        <v>5</v>
      </c>
      <c r="AB116" s="13" t="s">
        <v>60</v>
      </c>
      <c r="AC116">
        <v>1</v>
      </c>
      <c r="AD116">
        <v>0</v>
      </c>
      <c r="AE116" s="13" t="s">
        <v>61</v>
      </c>
    </row>
    <row r="117" spans="1:31" x14ac:dyDescent="0.35">
      <c r="A117" s="13" t="s">
        <v>355</v>
      </c>
      <c r="B117" s="13" t="s">
        <v>290</v>
      </c>
      <c r="C117" s="13" t="s">
        <v>291</v>
      </c>
      <c r="D117" s="13" t="s">
        <v>104</v>
      </c>
      <c r="E117" s="13" t="s">
        <v>77</v>
      </c>
      <c r="F117" s="13" t="s">
        <v>78</v>
      </c>
      <c r="G117" s="13" t="s">
        <v>92</v>
      </c>
      <c r="H117">
        <v>140000</v>
      </c>
      <c r="I117" s="13" t="s">
        <v>121</v>
      </c>
      <c r="J117" s="13" t="s">
        <v>122</v>
      </c>
      <c r="K117" s="13" t="s">
        <v>107</v>
      </c>
      <c r="L117" s="13" t="s">
        <v>82</v>
      </c>
      <c r="M117">
        <v>30</v>
      </c>
      <c r="N117">
        <v>2</v>
      </c>
      <c r="O117" s="14">
        <v>45881</v>
      </c>
      <c r="P117" s="14">
        <v>45911</v>
      </c>
      <c r="Q117">
        <v>2247.11</v>
      </c>
      <c r="R117">
        <v>0</v>
      </c>
      <c r="S117">
        <v>0</v>
      </c>
      <c r="T117">
        <v>0</v>
      </c>
      <c r="U117">
        <v>0</v>
      </c>
      <c r="V117">
        <v>2247.11</v>
      </c>
      <c r="W117">
        <v>0</v>
      </c>
      <c r="X117">
        <v>1</v>
      </c>
      <c r="Y117">
        <v>1</v>
      </c>
      <c r="Z117">
        <v>111</v>
      </c>
      <c r="AA117">
        <v>5</v>
      </c>
      <c r="AB117" s="13" t="s">
        <v>60</v>
      </c>
      <c r="AC117">
        <v>1</v>
      </c>
      <c r="AD117">
        <v>0</v>
      </c>
      <c r="AE117" s="13" t="s">
        <v>61</v>
      </c>
    </row>
    <row r="118" spans="1:31" x14ac:dyDescent="0.35">
      <c r="A118" s="13" t="s">
        <v>356</v>
      </c>
      <c r="B118" s="13" t="s">
        <v>357</v>
      </c>
      <c r="C118" s="13" t="s">
        <v>358</v>
      </c>
      <c r="D118" s="13" t="s">
        <v>104</v>
      </c>
      <c r="E118" s="13" t="s">
        <v>71</v>
      </c>
      <c r="F118" s="13" t="s">
        <v>214</v>
      </c>
      <c r="G118" s="13" t="s">
        <v>92</v>
      </c>
      <c r="H118">
        <v>25000</v>
      </c>
      <c r="I118" s="13" t="s">
        <v>105</v>
      </c>
      <c r="J118" s="13" t="s">
        <v>106</v>
      </c>
      <c r="K118" s="13" t="s">
        <v>107</v>
      </c>
      <c r="L118" s="13" t="s">
        <v>82</v>
      </c>
      <c r="M118">
        <v>30</v>
      </c>
      <c r="N118">
        <v>2</v>
      </c>
      <c r="O118" s="14">
        <v>45881</v>
      </c>
      <c r="P118" s="14">
        <v>45911</v>
      </c>
      <c r="Q118">
        <v>4672.34</v>
      </c>
      <c r="R118">
        <v>0</v>
      </c>
      <c r="S118">
        <v>0</v>
      </c>
      <c r="T118">
        <v>0</v>
      </c>
      <c r="U118">
        <v>0</v>
      </c>
      <c r="V118">
        <v>4672.34</v>
      </c>
      <c r="W118">
        <v>0</v>
      </c>
      <c r="X118">
        <v>1</v>
      </c>
      <c r="Y118">
        <v>1</v>
      </c>
      <c r="Z118">
        <v>111</v>
      </c>
      <c r="AA118">
        <v>5</v>
      </c>
      <c r="AB118" s="13" t="s">
        <v>60</v>
      </c>
      <c r="AC118">
        <v>1</v>
      </c>
      <c r="AD118">
        <v>0</v>
      </c>
      <c r="AE118" s="13" t="s">
        <v>61</v>
      </c>
    </row>
    <row r="119" spans="1:31" x14ac:dyDescent="0.35">
      <c r="A119" s="13" t="s">
        <v>359</v>
      </c>
      <c r="B119" s="13" t="s">
        <v>280</v>
      </c>
      <c r="C119" s="13" t="s">
        <v>281</v>
      </c>
      <c r="D119" s="13" t="s">
        <v>104</v>
      </c>
      <c r="E119" s="13" t="s">
        <v>71</v>
      </c>
      <c r="F119" s="13" t="s">
        <v>214</v>
      </c>
      <c r="G119" s="13" t="s">
        <v>92</v>
      </c>
      <c r="H119">
        <v>100000</v>
      </c>
      <c r="I119" s="13" t="s">
        <v>121</v>
      </c>
      <c r="J119" s="13" t="s">
        <v>122</v>
      </c>
      <c r="K119" s="13" t="s">
        <v>107</v>
      </c>
      <c r="L119" s="13" t="s">
        <v>88</v>
      </c>
      <c r="M119">
        <v>60</v>
      </c>
      <c r="N119">
        <v>0</v>
      </c>
      <c r="O119" s="14">
        <v>45881</v>
      </c>
      <c r="P119" s="14">
        <v>45941</v>
      </c>
      <c r="Q119">
        <v>1601.7</v>
      </c>
      <c r="R119">
        <v>0</v>
      </c>
      <c r="S119">
        <v>0</v>
      </c>
      <c r="T119">
        <v>0</v>
      </c>
      <c r="U119">
        <v>0</v>
      </c>
      <c r="V119">
        <v>1601.7</v>
      </c>
      <c r="W119">
        <v>0</v>
      </c>
      <c r="X119">
        <v>1</v>
      </c>
      <c r="Y119">
        <v>1</v>
      </c>
      <c r="Z119">
        <v>81</v>
      </c>
      <c r="AA119">
        <v>4</v>
      </c>
      <c r="AB119" s="13" t="s">
        <v>334</v>
      </c>
      <c r="AC119">
        <v>0.75</v>
      </c>
      <c r="AD119">
        <v>0</v>
      </c>
      <c r="AE119" s="13" t="s">
        <v>61</v>
      </c>
    </row>
    <row r="120" spans="1:31" x14ac:dyDescent="0.35">
      <c r="A120" s="13" t="s">
        <v>360</v>
      </c>
      <c r="B120" s="13" t="s">
        <v>361</v>
      </c>
      <c r="C120" s="13" t="s">
        <v>362</v>
      </c>
      <c r="D120" s="13" t="s">
        <v>76</v>
      </c>
      <c r="E120" s="13" t="s">
        <v>65</v>
      </c>
      <c r="F120" s="13" t="s">
        <v>66</v>
      </c>
      <c r="G120" s="13" t="s">
        <v>67</v>
      </c>
      <c r="H120">
        <v>30000</v>
      </c>
      <c r="I120" s="13" t="s">
        <v>93</v>
      </c>
      <c r="J120" s="13" t="s">
        <v>94</v>
      </c>
      <c r="K120" s="13" t="s">
        <v>81</v>
      </c>
      <c r="L120" s="13" t="s">
        <v>95</v>
      </c>
      <c r="M120">
        <v>30</v>
      </c>
      <c r="N120">
        <v>0</v>
      </c>
      <c r="O120" s="14">
        <v>45881</v>
      </c>
      <c r="P120" s="14">
        <v>45911</v>
      </c>
      <c r="Q120">
        <v>3595.83</v>
      </c>
      <c r="R120">
        <v>0</v>
      </c>
      <c r="S120">
        <v>0</v>
      </c>
      <c r="T120">
        <v>0</v>
      </c>
      <c r="U120">
        <v>0</v>
      </c>
      <c r="V120">
        <v>3595.83</v>
      </c>
      <c r="W120">
        <v>0</v>
      </c>
      <c r="X120">
        <v>1</v>
      </c>
      <c r="Y120">
        <v>1</v>
      </c>
      <c r="Z120">
        <v>111</v>
      </c>
      <c r="AA120">
        <v>5</v>
      </c>
      <c r="AB120" s="13" t="s">
        <v>60</v>
      </c>
      <c r="AC120">
        <v>1</v>
      </c>
      <c r="AD120">
        <v>0</v>
      </c>
      <c r="AE120" s="13" t="s">
        <v>61</v>
      </c>
    </row>
    <row r="121" spans="1:31" x14ac:dyDescent="0.35">
      <c r="A121" s="13" t="s">
        <v>363</v>
      </c>
      <c r="B121" s="13" t="s">
        <v>286</v>
      </c>
      <c r="C121" s="13" t="s">
        <v>287</v>
      </c>
      <c r="D121" s="13" t="s">
        <v>104</v>
      </c>
      <c r="E121" s="13" t="s">
        <v>77</v>
      </c>
      <c r="F121" s="13" t="s">
        <v>174</v>
      </c>
      <c r="G121" s="13" t="s">
        <v>92</v>
      </c>
      <c r="H121">
        <v>150000</v>
      </c>
      <c r="I121" s="13" t="s">
        <v>86</v>
      </c>
      <c r="J121" s="13" t="s">
        <v>87</v>
      </c>
      <c r="K121" s="13" t="s">
        <v>58</v>
      </c>
      <c r="L121" s="13" t="s">
        <v>95</v>
      </c>
      <c r="M121">
        <v>30</v>
      </c>
      <c r="N121">
        <v>0</v>
      </c>
      <c r="O121" s="14">
        <v>45882</v>
      </c>
      <c r="P121" s="14">
        <v>45912</v>
      </c>
      <c r="Q121">
        <v>7727.08</v>
      </c>
      <c r="R121">
        <v>0</v>
      </c>
      <c r="S121">
        <v>0</v>
      </c>
      <c r="T121">
        <v>0</v>
      </c>
      <c r="U121">
        <v>0</v>
      </c>
      <c r="V121">
        <v>7727.08</v>
      </c>
      <c r="W121">
        <v>0</v>
      </c>
      <c r="X121">
        <v>1</v>
      </c>
      <c r="Y121">
        <v>1</v>
      </c>
      <c r="Z121">
        <v>110</v>
      </c>
      <c r="AA121">
        <v>5</v>
      </c>
      <c r="AB121" s="13" t="s">
        <v>60</v>
      </c>
      <c r="AC121">
        <v>1</v>
      </c>
      <c r="AD121">
        <v>0</v>
      </c>
      <c r="AE121" s="13" t="s">
        <v>61</v>
      </c>
    </row>
    <row r="122" spans="1:31" x14ac:dyDescent="0.35">
      <c r="A122" s="13" t="s">
        <v>364</v>
      </c>
      <c r="B122" s="13" t="s">
        <v>277</v>
      </c>
      <c r="C122" s="13" t="s">
        <v>278</v>
      </c>
      <c r="D122" s="13" t="s">
        <v>104</v>
      </c>
      <c r="E122" s="13" t="s">
        <v>71</v>
      </c>
      <c r="F122" s="13" t="s">
        <v>214</v>
      </c>
      <c r="G122" s="13" t="s">
        <v>92</v>
      </c>
      <c r="H122">
        <v>105000</v>
      </c>
      <c r="I122" s="13" t="s">
        <v>105</v>
      </c>
      <c r="J122" s="13" t="s">
        <v>106</v>
      </c>
      <c r="K122" s="13" t="s">
        <v>107</v>
      </c>
      <c r="L122" s="13" t="s">
        <v>88</v>
      </c>
      <c r="M122">
        <v>60</v>
      </c>
      <c r="N122">
        <v>0</v>
      </c>
      <c r="O122" s="14">
        <v>45882</v>
      </c>
      <c r="P122" s="14">
        <v>45942</v>
      </c>
      <c r="Q122">
        <v>2630.48</v>
      </c>
      <c r="R122">
        <v>0</v>
      </c>
      <c r="S122">
        <v>0</v>
      </c>
      <c r="T122">
        <v>0</v>
      </c>
      <c r="U122">
        <v>0</v>
      </c>
      <c r="V122">
        <v>2630.48</v>
      </c>
      <c r="W122">
        <v>0</v>
      </c>
      <c r="X122">
        <v>1</v>
      </c>
      <c r="Y122">
        <v>1</v>
      </c>
      <c r="Z122">
        <v>80</v>
      </c>
      <c r="AA122">
        <v>4</v>
      </c>
      <c r="AB122" s="13" t="s">
        <v>334</v>
      </c>
      <c r="AC122">
        <v>0.75</v>
      </c>
      <c r="AD122">
        <v>0</v>
      </c>
      <c r="AE122" s="13" t="s">
        <v>61</v>
      </c>
    </row>
    <row r="123" spans="1:31" x14ac:dyDescent="0.35">
      <c r="A123" s="13" t="s">
        <v>365</v>
      </c>
      <c r="B123" s="13" t="s">
        <v>366</v>
      </c>
      <c r="C123" s="13" t="s">
        <v>367</v>
      </c>
      <c r="D123" s="13" t="s">
        <v>126</v>
      </c>
      <c r="E123" s="13" t="s">
        <v>77</v>
      </c>
      <c r="F123" s="13" t="s">
        <v>78</v>
      </c>
      <c r="G123" s="13" t="s">
        <v>67</v>
      </c>
      <c r="H123">
        <v>70000</v>
      </c>
      <c r="I123" s="13" t="s">
        <v>105</v>
      </c>
      <c r="J123" s="13" t="s">
        <v>106</v>
      </c>
      <c r="K123" s="13" t="s">
        <v>107</v>
      </c>
      <c r="L123" s="13" t="s">
        <v>368</v>
      </c>
      <c r="M123">
        <v>90</v>
      </c>
      <c r="N123">
        <v>0</v>
      </c>
      <c r="O123" s="14">
        <v>45882</v>
      </c>
      <c r="P123" s="14">
        <v>45972</v>
      </c>
      <c r="Q123">
        <v>2066.1799999999998</v>
      </c>
      <c r="R123">
        <v>1239.71</v>
      </c>
      <c r="S123">
        <v>0</v>
      </c>
      <c r="T123">
        <v>0</v>
      </c>
      <c r="U123">
        <v>0</v>
      </c>
      <c r="V123">
        <v>826.47</v>
      </c>
      <c r="W123">
        <v>0</v>
      </c>
      <c r="X123">
        <v>1</v>
      </c>
      <c r="Y123">
        <v>1</v>
      </c>
      <c r="Z123">
        <v>50</v>
      </c>
      <c r="AA123">
        <v>3</v>
      </c>
      <c r="AB123" s="13" t="s">
        <v>369</v>
      </c>
      <c r="AC123">
        <v>0.5</v>
      </c>
      <c r="AD123">
        <v>0</v>
      </c>
      <c r="AE123" s="13" t="s">
        <v>61</v>
      </c>
    </row>
    <row r="124" spans="1:31" x14ac:dyDescent="0.35">
      <c r="A124" s="13" t="s">
        <v>370</v>
      </c>
      <c r="B124" s="13" t="s">
        <v>293</v>
      </c>
      <c r="C124" s="13" t="s">
        <v>294</v>
      </c>
      <c r="D124" s="13" t="s">
        <v>104</v>
      </c>
      <c r="E124" s="13" t="s">
        <v>99</v>
      </c>
      <c r="F124" s="13" t="s">
        <v>100</v>
      </c>
      <c r="G124" s="13" t="s">
        <v>92</v>
      </c>
      <c r="H124">
        <v>145000</v>
      </c>
      <c r="I124" s="13" t="s">
        <v>121</v>
      </c>
      <c r="J124" s="13" t="s">
        <v>122</v>
      </c>
      <c r="K124" s="13" t="s">
        <v>107</v>
      </c>
      <c r="L124" s="13" t="s">
        <v>82</v>
      </c>
      <c r="M124">
        <v>30</v>
      </c>
      <c r="N124">
        <v>2</v>
      </c>
      <c r="O124" s="14">
        <v>45883</v>
      </c>
      <c r="P124" s="14">
        <v>45913</v>
      </c>
      <c r="Q124">
        <v>4885.0600000000004</v>
      </c>
      <c r="R124">
        <v>0</v>
      </c>
      <c r="S124">
        <v>0</v>
      </c>
      <c r="T124">
        <v>0</v>
      </c>
      <c r="U124">
        <v>0</v>
      </c>
      <c r="V124">
        <v>4885.0600000000004</v>
      </c>
      <c r="W124">
        <v>0</v>
      </c>
      <c r="X124">
        <v>1</v>
      </c>
      <c r="Y124">
        <v>1</v>
      </c>
      <c r="Z124">
        <v>109</v>
      </c>
      <c r="AA124">
        <v>5</v>
      </c>
      <c r="AB124" s="13" t="s">
        <v>60</v>
      </c>
      <c r="AC124">
        <v>1</v>
      </c>
      <c r="AD124">
        <v>0</v>
      </c>
      <c r="AE124" s="13" t="s">
        <v>61</v>
      </c>
    </row>
    <row r="125" spans="1:31" x14ac:dyDescent="0.35">
      <c r="A125" s="13" t="s">
        <v>371</v>
      </c>
      <c r="B125" s="13" t="s">
        <v>293</v>
      </c>
      <c r="C125" s="13" t="s">
        <v>294</v>
      </c>
      <c r="D125" s="13" t="s">
        <v>104</v>
      </c>
      <c r="E125" s="13" t="s">
        <v>99</v>
      </c>
      <c r="F125" s="13" t="s">
        <v>100</v>
      </c>
      <c r="G125" s="13" t="s">
        <v>92</v>
      </c>
      <c r="H125">
        <v>145000</v>
      </c>
      <c r="I125" s="13" t="s">
        <v>121</v>
      </c>
      <c r="J125" s="13" t="s">
        <v>122</v>
      </c>
      <c r="K125" s="13" t="s">
        <v>107</v>
      </c>
      <c r="L125" s="13" t="s">
        <v>82</v>
      </c>
      <c r="M125">
        <v>30</v>
      </c>
      <c r="N125">
        <v>2</v>
      </c>
      <c r="O125" s="14">
        <v>45884</v>
      </c>
      <c r="P125" s="14">
        <v>45914</v>
      </c>
      <c r="Q125">
        <v>2271.31</v>
      </c>
      <c r="R125">
        <v>0</v>
      </c>
      <c r="S125">
        <v>0</v>
      </c>
      <c r="T125">
        <v>0</v>
      </c>
      <c r="U125">
        <v>0</v>
      </c>
      <c r="V125">
        <v>2271.31</v>
      </c>
      <c r="W125">
        <v>0</v>
      </c>
      <c r="X125">
        <v>1</v>
      </c>
      <c r="Y125">
        <v>1</v>
      </c>
      <c r="Z125">
        <v>108</v>
      </c>
      <c r="AA125">
        <v>5</v>
      </c>
      <c r="AB125" s="13" t="s">
        <v>60</v>
      </c>
      <c r="AC125">
        <v>1</v>
      </c>
      <c r="AD125">
        <v>0</v>
      </c>
      <c r="AE125" s="13" t="s">
        <v>61</v>
      </c>
    </row>
    <row r="126" spans="1:31" x14ac:dyDescent="0.35">
      <c r="A126" s="13" t="s">
        <v>372</v>
      </c>
      <c r="B126" s="13" t="s">
        <v>280</v>
      </c>
      <c r="C126" s="13" t="s">
        <v>281</v>
      </c>
      <c r="D126" s="13" t="s">
        <v>104</v>
      </c>
      <c r="E126" s="13" t="s">
        <v>71</v>
      </c>
      <c r="F126" s="13" t="s">
        <v>214</v>
      </c>
      <c r="G126" s="13" t="s">
        <v>92</v>
      </c>
      <c r="H126">
        <v>100000</v>
      </c>
      <c r="I126" s="13" t="s">
        <v>121</v>
      </c>
      <c r="J126" s="13" t="s">
        <v>122</v>
      </c>
      <c r="K126" s="13" t="s">
        <v>107</v>
      </c>
      <c r="L126" s="13" t="s">
        <v>88</v>
      </c>
      <c r="M126">
        <v>60</v>
      </c>
      <c r="N126">
        <v>0</v>
      </c>
      <c r="O126" s="14">
        <v>45884</v>
      </c>
      <c r="P126" s="14">
        <v>45944</v>
      </c>
      <c r="Q126">
        <v>836.25</v>
      </c>
      <c r="R126">
        <v>0</v>
      </c>
      <c r="S126">
        <v>0</v>
      </c>
      <c r="T126">
        <v>0</v>
      </c>
      <c r="U126">
        <v>0</v>
      </c>
      <c r="V126">
        <v>836.25</v>
      </c>
      <c r="W126">
        <v>0</v>
      </c>
      <c r="X126">
        <v>1</v>
      </c>
      <c r="Y126">
        <v>1</v>
      </c>
      <c r="Z126">
        <v>78</v>
      </c>
      <c r="AA126">
        <v>4</v>
      </c>
      <c r="AB126" s="13" t="s">
        <v>334</v>
      </c>
      <c r="AC126">
        <v>0.75</v>
      </c>
      <c r="AD126">
        <v>0</v>
      </c>
      <c r="AE126" s="13" t="s">
        <v>61</v>
      </c>
    </row>
    <row r="127" spans="1:31" x14ac:dyDescent="0.35">
      <c r="A127" s="13" t="s">
        <v>373</v>
      </c>
      <c r="B127" s="13" t="s">
        <v>286</v>
      </c>
      <c r="C127" s="13" t="s">
        <v>287</v>
      </c>
      <c r="D127" s="13" t="s">
        <v>104</v>
      </c>
      <c r="E127" s="13" t="s">
        <v>77</v>
      </c>
      <c r="F127" s="13" t="s">
        <v>174</v>
      </c>
      <c r="G127" s="13" t="s">
        <v>92</v>
      </c>
      <c r="H127">
        <v>150000</v>
      </c>
      <c r="I127" s="13" t="s">
        <v>86</v>
      </c>
      <c r="J127" s="13" t="s">
        <v>87</v>
      </c>
      <c r="K127" s="13" t="s">
        <v>58</v>
      </c>
      <c r="L127" s="13" t="s">
        <v>95</v>
      </c>
      <c r="M127">
        <v>30</v>
      </c>
      <c r="N127">
        <v>0</v>
      </c>
      <c r="O127" s="14">
        <v>45887</v>
      </c>
      <c r="P127" s="14">
        <v>45917</v>
      </c>
      <c r="Q127">
        <v>1756.99</v>
      </c>
      <c r="R127">
        <v>0</v>
      </c>
      <c r="S127">
        <v>0</v>
      </c>
      <c r="T127">
        <v>0</v>
      </c>
      <c r="U127">
        <v>0</v>
      </c>
      <c r="V127">
        <v>1756.99</v>
      </c>
      <c r="W127">
        <v>0</v>
      </c>
      <c r="X127">
        <v>1</v>
      </c>
      <c r="Y127">
        <v>1</v>
      </c>
      <c r="Z127">
        <v>105</v>
      </c>
      <c r="AA127">
        <v>5</v>
      </c>
      <c r="AB127" s="13" t="s">
        <v>60</v>
      </c>
      <c r="AC127">
        <v>1</v>
      </c>
      <c r="AD127">
        <v>0</v>
      </c>
      <c r="AE127" s="13" t="s">
        <v>61</v>
      </c>
    </row>
    <row r="128" spans="1:31" x14ac:dyDescent="0.35">
      <c r="A128" s="13" t="s">
        <v>374</v>
      </c>
      <c r="B128" s="13" t="s">
        <v>375</v>
      </c>
      <c r="C128" s="13" t="s">
        <v>376</v>
      </c>
      <c r="D128" s="13" t="s">
        <v>52</v>
      </c>
      <c r="E128" s="13" t="s">
        <v>99</v>
      </c>
      <c r="F128" s="13" t="s">
        <v>100</v>
      </c>
      <c r="G128" s="13" t="s">
        <v>55</v>
      </c>
      <c r="H128">
        <v>395000</v>
      </c>
      <c r="I128" s="13" t="s">
        <v>56</v>
      </c>
      <c r="J128" s="13" t="s">
        <v>57</v>
      </c>
      <c r="K128" s="13" t="s">
        <v>58</v>
      </c>
      <c r="L128" s="13" t="s">
        <v>59</v>
      </c>
      <c r="M128">
        <v>45</v>
      </c>
      <c r="N128">
        <v>0</v>
      </c>
      <c r="O128" s="14">
        <v>45887</v>
      </c>
      <c r="P128" s="14">
        <v>45932</v>
      </c>
      <c r="Q128">
        <v>1820.06</v>
      </c>
      <c r="R128">
        <v>873.63</v>
      </c>
      <c r="S128">
        <v>0</v>
      </c>
      <c r="T128">
        <v>364.01</v>
      </c>
      <c r="U128">
        <v>0</v>
      </c>
      <c r="V128">
        <v>582.41999999999996</v>
      </c>
      <c r="W128">
        <v>0</v>
      </c>
      <c r="X128">
        <v>1</v>
      </c>
      <c r="Y128">
        <v>1</v>
      </c>
      <c r="Z128">
        <v>90</v>
      </c>
      <c r="AA128">
        <v>4</v>
      </c>
      <c r="AB128" s="13" t="s">
        <v>334</v>
      </c>
      <c r="AC128">
        <v>0.75</v>
      </c>
      <c r="AD128">
        <v>0</v>
      </c>
      <c r="AE128" s="13" t="s">
        <v>377</v>
      </c>
    </row>
    <row r="129" spans="1:31" x14ac:dyDescent="0.35">
      <c r="A129" s="13" t="s">
        <v>378</v>
      </c>
      <c r="B129" s="13" t="s">
        <v>379</v>
      </c>
      <c r="C129" s="13" t="s">
        <v>380</v>
      </c>
      <c r="D129" s="13" t="s">
        <v>52</v>
      </c>
      <c r="E129" s="13" t="s">
        <v>77</v>
      </c>
      <c r="F129" s="13" t="s">
        <v>78</v>
      </c>
      <c r="G129" s="13" t="s">
        <v>92</v>
      </c>
      <c r="H129">
        <v>450000</v>
      </c>
      <c r="I129" s="13" t="s">
        <v>56</v>
      </c>
      <c r="J129" s="13" t="s">
        <v>57</v>
      </c>
      <c r="K129" s="13" t="s">
        <v>58</v>
      </c>
      <c r="L129" s="13" t="s">
        <v>59</v>
      </c>
      <c r="M129">
        <v>45</v>
      </c>
      <c r="N129">
        <v>0</v>
      </c>
      <c r="O129" s="14">
        <v>45887</v>
      </c>
      <c r="P129" s="14">
        <v>45932</v>
      </c>
      <c r="Q129">
        <v>13256.78</v>
      </c>
      <c r="R129">
        <v>0</v>
      </c>
      <c r="S129">
        <v>0</v>
      </c>
      <c r="T129">
        <v>0</v>
      </c>
      <c r="U129">
        <v>0</v>
      </c>
      <c r="V129">
        <v>13256.78</v>
      </c>
      <c r="W129">
        <v>0</v>
      </c>
      <c r="X129">
        <v>1</v>
      </c>
      <c r="Y129">
        <v>1</v>
      </c>
      <c r="Z129">
        <v>90</v>
      </c>
      <c r="AA129">
        <v>4</v>
      </c>
      <c r="AB129" s="13" t="s">
        <v>334</v>
      </c>
      <c r="AC129">
        <v>0.75</v>
      </c>
      <c r="AD129">
        <v>0</v>
      </c>
      <c r="AE129" s="13" t="s">
        <v>61</v>
      </c>
    </row>
    <row r="130" spans="1:31" x14ac:dyDescent="0.35">
      <c r="A130" s="13" t="s">
        <v>381</v>
      </c>
      <c r="B130" s="13" t="s">
        <v>277</v>
      </c>
      <c r="C130" s="13" t="s">
        <v>278</v>
      </c>
      <c r="D130" s="13" t="s">
        <v>104</v>
      </c>
      <c r="E130" s="13" t="s">
        <v>71</v>
      </c>
      <c r="F130" s="13" t="s">
        <v>214</v>
      </c>
      <c r="G130" s="13" t="s">
        <v>92</v>
      </c>
      <c r="H130">
        <v>105000</v>
      </c>
      <c r="I130" s="13" t="s">
        <v>105</v>
      </c>
      <c r="J130" s="13" t="s">
        <v>106</v>
      </c>
      <c r="K130" s="13" t="s">
        <v>107</v>
      </c>
      <c r="L130" s="13" t="s">
        <v>88</v>
      </c>
      <c r="M130">
        <v>60</v>
      </c>
      <c r="N130">
        <v>0</v>
      </c>
      <c r="O130" s="14">
        <v>45888</v>
      </c>
      <c r="P130" s="14">
        <v>45948</v>
      </c>
      <c r="Q130">
        <v>5565.47</v>
      </c>
      <c r="R130">
        <v>0</v>
      </c>
      <c r="S130">
        <v>0</v>
      </c>
      <c r="T130">
        <v>0</v>
      </c>
      <c r="U130">
        <v>0</v>
      </c>
      <c r="V130">
        <v>5565.47</v>
      </c>
      <c r="W130">
        <v>0</v>
      </c>
      <c r="X130">
        <v>1</v>
      </c>
      <c r="Y130">
        <v>1</v>
      </c>
      <c r="Z130">
        <v>74</v>
      </c>
      <c r="AA130">
        <v>4</v>
      </c>
      <c r="AB130" s="13" t="s">
        <v>334</v>
      </c>
      <c r="AC130">
        <v>0.75</v>
      </c>
      <c r="AD130">
        <v>0</v>
      </c>
      <c r="AE130" s="13" t="s">
        <v>61</v>
      </c>
    </row>
    <row r="131" spans="1:31" x14ac:dyDescent="0.35">
      <c r="A131" s="13" t="s">
        <v>382</v>
      </c>
      <c r="B131" s="13" t="s">
        <v>286</v>
      </c>
      <c r="C131" s="13" t="s">
        <v>287</v>
      </c>
      <c r="D131" s="13" t="s">
        <v>104</v>
      </c>
      <c r="E131" s="13" t="s">
        <v>77</v>
      </c>
      <c r="F131" s="13" t="s">
        <v>174</v>
      </c>
      <c r="G131" s="13" t="s">
        <v>92</v>
      </c>
      <c r="H131">
        <v>150000</v>
      </c>
      <c r="I131" s="13" t="s">
        <v>86</v>
      </c>
      <c r="J131" s="13" t="s">
        <v>87</v>
      </c>
      <c r="K131" s="13" t="s">
        <v>58</v>
      </c>
      <c r="L131" s="13" t="s">
        <v>95</v>
      </c>
      <c r="M131">
        <v>30</v>
      </c>
      <c r="N131">
        <v>0</v>
      </c>
      <c r="O131" s="14">
        <v>45889</v>
      </c>
      <c r="P131" s="14">
        <v>45919</v>
      </c>
      <c r="Q131">
        <v>801.98</v>
      </c>
      <c r="R131">
        <v>0</v>
      </c>
      <c r="S131">
        <v>0</v>
      </c>
      <c r="T131">
        <v>0</v>
      </c>
      <c r="U131">
        <v>0</v>
      </c>
      <c r="V131">
        <v>801.98</v>
      </c>
      <c r="W131">
        <v>0</v>
      </c>
      <c r="X131">
        <v>1</v>
      </c>
      <c r="Y131">
        <v>1</v>
      </c>
      <c r="Z131">
        <v>103</v>
      </c>
      <c r="AA131">
        <v>5</v>
      </c>
      <c r="AB131" s="13" t="s">
        <v>60</v>
      </c>
      <c r="AC131">
        <v>1</v>
      </c>
      <c r="AD131">
        <v>0</v>
      </c>
      <c r="AE131" s="13" t="s">
        <v>61</v>
      </c>
    </row>
    <row r="132" spans="1:31" x14ac:dyDescent="0.35">
      <c r="A132" s="13" t="s">
        <v>383</v>
      </c>
      <c r="B132" s="13" t="s">
        <v>296</v>
      </c>
      <c r="C132" s="13" t="s">
        <v>297</v>
      </c>
      <c r="D132" s="13" t="s">
        <v>104</v>
      </c>
      <c r="E132" s="13" t="s">
        <v>65</v>
      </c>
      <c r="F132" s="13" t="s">
        <v>111</v>
      </c>
      <c r="G132" s="13" t="s">
        <v>92</v>
      </c>
      <c r="H132">
        <v>125000</v>
      </c>
      <c r="I132" s="13" t="s">
        <v>105</v>
      </c>
      <c r="J132" s="13" t="s">
        <v>106</v>
      </c>
      <c r="K132" s="13" t="s">
        <v>107</v>
      </c>
      <c r="L132" s="13" t="s">
        <v>82</v>
      </c>
      <c r="M132">
        <v>30</v>
      </c>
      <c r="N132">
        <v>2</v>
      </c>
      <c r="O132" s="14">
        <v>45890</v>
      </c>
      <c r="P132" s="14">
        <v>45920</v>
      </c>
      <c r="Q132">
        <v>884.67</v>
      </c>
      <c r="R132">
        <v>0</v>
      </c>
      <c r="S132">
        <v>0</v>
      </c>
      <c r="T132">
        <v>0</v>
      </c>
      <c r="U132">
        <v>0</v>
      </c>
      <c r="V132">
        <v>884.67</v>
      </c>
      <c r="W132">
        <v>0</v>
      </c>
      <c r="X132">
        <v>1</v>
      </c>
      <c r="Y132">
        <v>1</v>
      </c>
      <c r="Z132">
        <v>102</v>
      </c>
      <c r="AA132">
        <v>5</v>
      </c>
      <c r="AB132" s="13" t="s">
        <v>60</v>
      </c>
      <c r="AC132">
        <v>1</v>
      </c>
      <c r="AD132">
        <v>0</v>
      </c>
      <c r="AE132" s="13" t="s">
        <v>61</v>
      </c>
    </row>
    <row r="133" spans="1:31" x14ac:dyDescent="0.35">
      <c r="A133" s="13" t="s">
        <v>384</v>
      </c>
      <c r="B133" s="13" t="s">
        <v>280</v>
      </c>
      <c r="C133" s="13" t="s">
        <v>281</v>
      </c>
      <c r="D133" s="13" t="s">
        <v>104</v>
      </c>
      <c r="E133" s="13" t="s">
        <v>71</v>
      </c>
      <c r="F133" s="13" t="s">
        <v>214</v>
      </c>
      <c r="G133" s="13" t="s">
        <v>92</v>
      </c>
      <c r="H133">
        <v>100000</v>
      </c>
      <c r="I133" s="13" t="s">
        <v>121</v>
      </c>
      <c r="J133" s="13" t="s">
        <v>122</v>
      </c>
      <c r="K133" s="13" t="s">
        <v>107</v>
      </c>
      <c r="L133" s="13" t="s">
        <v>88</v>
      </c>
      <c r="M133">
        <v>60</v>
      </c>
      <c r="N133">
        <v>0</v>
      </c>
      <c r="O133" s="14">
        <v>45890</v>
      </c>
      <c r="P133" s="14">
        <v>45950</v>
      </c>
      <c r="Q133">
        <v>7354.36</v>
      </c>
      <c r="R133">
        <v>0</v>
      </c>
      <c r="S133">
        <v>0</v>
      </c>
      <c r="T133">
        <v>0</v>
      </c>
      <c r="U133">
        <v>0</v>
      </c>
      <c r="V133">
        <v>7354.36</v>
      </c>
      <c r="W133">
        <v>0</v>
      </c>
      <c r="X133">
        <v>1</v>
      </c>
      <c r="Y133">
        <v>1</v>
      </c>
      <c r="Z133">
        <v>72</v>
      </c>
      <c r="AA133">
        <v>4</v>
      </c>
      <c r="AB133" s="13" t="s">
        <v>334</v>
      </c>
      <c r="AC133">
        <v>0.75</v>
      </c>
      <c r="AD133">
        <v>0</v>
      </c>
      <c r="AE133" s="13" t="s">
        <v>61</v>
      </c>
    </row>
    <row r="134" spans="1:31" x14ac:dyDescent="0.35">
      <c r="A134" s="13" t="s">
        <v>385</v>
      </c>
      <c r="B134" s="13" t="s">
        <v>386</v>
      </c>
      <c r="C134" s="13" t="s">
        <v>387</v>
      </c>
      <c r="D134" s="13" t="s">
        <v>52</v>
      </c>
      <c r="E134" s="13" t="s">
        <v>65</v>
      </c>
      <c r="F134" s="13" t="s">
        <v>66</v>
      </c>
      <c r="G134" s="13" t="s">
        <v>67</v>
      </c>
      <c r="H134">
        <v>215000</v>
      </c>
      <c r="I134" s="13" t="s">
        <v>56</v>
      </c>
      <c r="J134" s="13" t="s">
        <v>57</v>
      </c>
      <c r="K134" s="13" t="s">
        <v>58</v>
      </c>
      <c r="L134" s="13" t="s">
        <v>88</v>
      </c>
      <c r="M134">
        <v>60</v>
      </c>
      <c r="N134">
        <v>0</v>
      </c>
      <c r="O134" s="14">
        <v>45891</v>
      </c>
      <c r="P134" s="14">
        <v>45951</v>
      </c>
      <c r="Q134">
        <v>2883.43</v>
      </c>
      <c r="R134">
        <v>0</v>
      </c>
      <c r="S134">
        <v>0</v>
      </c>
      <c r="T134">
        <v>0</v>
      </c>
      <c r="U134">
        <v>0</v>
      </c>
      <c r="V134">
        <v>2883.43</v>
      </c>
      <c r="W134">
        <v>0</v>
      </c>
      <c r="X134">
        <v>1</v>
      </c>
      <c r="Y134">
        <v>1</v>
      </c>
      <c r="Z134">
        <v>71</v>
      </c>
      <c r="AA134">
        <v>4</v>
      </c>
      <c r="AB134" s="13" t="s">
        <v>334</v>
      </c>
      <c r="AC134">
        <v>0.75</v>
      </c>
      <c r="AD134">
        <v>0</v>
      </c>
      <c r="AE134" s="13" t="s">
        <v>61</v>
      </c>
    </row>
    <row r="135" spans="1:31" x14ac:dyDescent="0.35">
      <c r="A135" s="13" t="s">
        <v>388</v>
      </c>
      <c r="B135" s="13" t="s">
        <v>293</v>
      </c>
      <c r="C135" s="13" t="s">
        <v>294</v>
      </c>
      <c r="D135" s="13" t="s">
        <v>104</v>
      </c>
      <c r="E135" s="13" t="s">
        <v>99</v>
      </c>
      <c r="F135" s="13" t="s">
        <v>100</v>
      </c>
      <c r="G135" s="13" t="s">
        <v>92</v>
      </c>
      <c r="H135">
        <v>145000</v>
      </c>
      <c r="I135" s="13" t="s">
        <v>121</v>
      </c>
      <c r="J135" s="13" t="s">
        <v>122</v>
      </c>
      <c r="K135" s="13" t="s">
        <v>107</v>
      </c>
      <c r="L135" s="13" t="s">
        <v>82</v>
      </c>
      <c r="M135">
        <v>30</v>
      </c>
      <c r="N135">
        <v>2</v>
      </c>
      <c r="O135" s="14">
        <v>45894</v>
      </c>
      <c r="P135" s="14">
        <v>45924</v>
      </c>
      <c r="Q135">
        <v>2695.12</v>
      </c>
      <c r="R135">
        <v>0</v>
      </c>
      <c r="S135">
        <v>0</v>
      </c>
      <c r="T135">
        <v>0</v>
      </c>
      <c r="U135">
        <v>0</v>
      </c>
      <c r="V135">
        <v>2695.12</v>
      </c>
      <c r="W135">
        <v>0</v>
      </c>
      <c r="X135">
        <v>1</v>
      </c>
      <c r="Y135">
        <v>1</v>
      </c>
      <c r="Z135">
        <v>98</v>
      </c>
      <c r="AA135">
        <v>5</v>
      </c>
      <c r="AB135" s="13" t="s">
        <v>60</v>
      </c>
      <c r="AC135">
        <v>1</v>
      </c>
      <c r="AD135">
        <v>0</v>
      </c>
      <c r="AE135" s="13" t="s">
        <v>61</v>
      </c>
    </row>
    <row r="136" spans="1:31" x14ac:dyDescent="0.35">
      <c r="A136" s="13" t="s">
        <v>389</v>
      </c>
      <c r="B136" s="13" t="s">
        <v>390</v>
      </c>
      <c r="C136" s="13" t="s">
        <v>391</v>
      </c>
      <c r="D136" s="13" t="s">
        <v>52</v>
      </c>
      <c r="E136" s="13" t="s">
        <v>71</v>
      </c>
      <c r="F136" s="13" t="s">
        <v>72</v>
      </c>
      <c r="G136" s="13" t="s">
        <v>55</v>
      </c>
      <c r="H136">
        <v>320000</v>
      </c>
      <c r="I136" s="13" t="s">
        <v>86</v>
      </c>
      <c r="J136" s="13" t="s">
        <v>87</v>
      </c>
      <c r="K136" s="13" t="s">
        <v>58</v>
      </c>
      <c r="L136" s="13" t="s">
        <v>88</v>
      </c>
      <c r="M136">
        <v>60</v>
      </c>
      <c r="N136">
        <v>0</v>
      </c>
      <c r="O136" s="14">
        <v>45894</v>
      </c>
      <c r="P136" s="14">
        <v>45954</v>
      </c>
      <c r="Q136">
        <v>10923.61</v>
      </c>
      <c r="R136">
        <v>0</v>
      </c>
      <c r="S136">
        <v>0</v>
      </c>
      <c r="T136">
        <v>0</v>
      </c>
      <c r="U136">
        <v>0</v>
      </c>
      <c r="V136">
        <v>10923.61</v>
      </c>
      <c r="W136">
        <v>0</v>
      </c>
      <c r="X136">
        <v>1</v>
      </c>
      <c r="Y136">
        <v>1</v>
      </c>
      <c r="Z136">
        <v>68</v>
      </c>
      <c r="AA136">
        <v>4</v>
      </c>
      <c r="AB136" s="13" t="s">
        <v>334</v>
      </c>
      <c r="AC136">
        <v>0.75</v>
      </c>
      <c r="AD136">
        <v>0</v>
      </c>
      <c r="AE136" s="13" t="s">
        <v>61</v>
      </c>
    </row>
    <row r="137" spans="1:31" x14ac:dyDescent="0.35">
      <c r="A137" s="13" t="s">
        <v>392</v>
      </c>
      <c r="B137" s="13" t="s">
        <v>393</v>
      </c>
      <c r="C137" s="13" t="s">
        <v>394</v>
      </c>
      <c r="D137" s="13" t="s">
        <v>76</v>
      </c>
      <c r="E137" s="13" t="s">
        <v>65</v>
      </c>
      <c r="F137" s="13" t="s">
        <v>66</v>
      </c>
      <c r="G137" s="13" t="s">
        <v>55</v>
      </c>
      <c r="H137">
        <v>50000</v>
      </c>
      <c r="I137" s="13" t="s">
        <v>93</v>
      </c>
      <c r="J137" s="13" t="s">
        <v>94</v>
      </c>
      <c r="K137" s="13" t="s">
        <v>81</v>
      </c>
      <c r="L137" s="13" t="s">
        <v>95</v>
      </c>
      <c r="M137">
        <v>30</v>
      </c>
      <c r="N137">
        <v>0</v>
      </c>
      <c r="O137" s="14">
        <v>45896</v>
      </c>
      <c r="P137" s="14">
        <v>45926</v>
      </c>
      <c r="Q137">
        <v>1576.11</v>
      </c>
      <c r="R137">
        <v>0</v>
      </c>
      <c r="S137">
        <v>0</v>
      </c>
      <c r="T137">
        <v>0</v>
      </c>
      <c r="U137">
        <v>0</v>
      </c>
      <c r="V137">
        <v>1576.11</v>
      </c>
      <c r="W137">
        <v>0</v>
      </c>
      <c r="X137">
        <v>1</v>
      </c>
      <c r="Y137">
        <v>1</v>
      </c>
      <c r="Z137">
        <v>96</v>
      </c>
      <c r="AA137">
        <v>5</v>
      </c>
      <c r="AB137" s="13" t="s">
        <v>60</v>
      </c>
      <c r="AC137">
        <v>1</v>
      </c>
      <c r="AD137">
        <v>0</v>
      </c>
      <c r="AE137" s="13" t="s">
        <v>61</v>
      </c>
    </row>
    <row r="138" spans="1:31" x14ac:dyDescent="0.35">
      <c r="A138" s="13" t="s">
        <v>395</v>
      </c>
      <c r="B138" s="13" t="s">
        <v>280</v>
      </c>
      <c r="C138" s="13" t="s">
        <v>281</v>
      </c>
      <c r="D138" s="13" t="s">
        <v>104</v>
      </c>
      <c r="E138" s="13" t="s">
        <v>71</v>
      </c>
      <c r="F138" s="13" t="s">
        <v>214</v>
      </c>
      <c r="G138" s="13" t="s">
        <v>92</v>
      </c>
      <c r="H138">
        <v>100000</v>
      </c>
      <c r="I138" s="13" t="s">
        <v>121</v>
      </c>
      <c r="J138" s="13" t="s">
        <v>122</v>
      </c>
      <c r="K138" s="13" t="s">
        <v>107</v>
      </c>
      <c r="L138" s="13" t="s">
        <v>88</v>
      </c>
      <c r="M138">
        <v>60</v>
      </c>
      <c r="N138">
        <v>0</v>
      </c>
      <c r="O138" s="14">
        <v>45896</v>
      </c>
      <c r="P138" s="14">
        <v>45956</v>
      </c>
      <c r="Q138">
        <v>1851.58</v>
      </c>
      <c r="R138">
        <v>0</v>
      </c>
      <c r="S138">
        <v>0</v>
      </c>
      <c r="T138">
        <v>0</v>
      </c>
      <c r="U138">
        <v>0</v>
      </c>
      <c r="V138">
        <v>1851.58</v>
      </c>
      <c r="W138">
        <v>0</v>
      </c>
      <c r="X138">
        <v>1</v>
      </c>
      <c r="Y138">
        <v>1</v>
      </c>
      <c r="Z138">
        <v>66</v>
      </c>
      <c r="AA138">
        <v>4</v>
      </c>
      <c r="AB138" s="13" t="s">
        <v>334</v>
      </c>
      <c r="AC138">
        <v>0.75</v>
      </c>
      <c r="AD138">
        <v>0</v>
      </c>
      <c r="AE138" s="13" t="s">
        <v>61</v>
      </c>
    </row>
    <row r="139" spans="1:31" x14ac:dyDescent="0.35">
      <c r="A139" s="13" t="s">
        <v>396</v>
      </c>
      <c r="B139" s="13" t="s">
        <v>280</v>
      </c>
      <c r="C139" s="13" t="s">
        <v>281</v>
      </c>
      <c r="D139" s="13" t="s">
        <v>104</v>
      </c>
      <c r="E139" s="13" t="s">
        <v>71</v>
      </c>
      <c r="F139" s="13" t="s">
        <v>214</v>
      </c>
      <c r="G139" s="13" t="s">
        <v>92</v>
      </c>
      <c r="H139">
        <v>100000</v>
      </c>
      <c r="I139" s="13" t="s">
        <v>121</v>
      </c>
      <c r="J139" s="13" t="s">
        <v>122</v>
      </c>
      <c r="K139" s="13" t="s">
        <v>107</v>
      </c>
      <c r="L139" s="13" t="s">
        <v>88</v>
      </c>
      <c r="M139">
        <v>60</v>
      </c>
      <c r="N139">
        <v>0</v>
      </c>
      <c r="O139" s="14">
        <v>45897</v>
      </c>
      <c r="P139" s="14">
        <v>45957</v>
      </c>
      <c r="Q139">
        <v>1471.66</v>
      </c>
      <c r="R139">
        <v>0</v>
      </c>
      <c r="S139">
        <v>0</v>
      </c>
      <c r="T139">
        <v>0</v>
      </c>
      <c r="U139">
        <v>0</v>
      </c>
      <c r="V139">
        <v>1471.66</v>
      </c>
      <c r="W139">
        <v>0</v>
      </c>
      <c r="X139">
        <v>1</v>
      </c>
      <c r="Y139">
        <v>1</v>
      </c>
      <c r="Z139">
        <v>65</v>
      </c>
      <c r="AA139">
        <v>4</v>
      </c>
      <c r="AB139" s="13" t="s">
        <v>334</v>
      </c>
      <c r="AC139">
        <v>0.75</v>
      </c>
      <c r="AD139">
        <v>0</v>
      </c>
      <c r="AE139" s="13" t="s">
        <v>61</v>
      </c>
    </row>
    <row r="140" spans="1:31" x14ac:dyDescent="0.35">
      <c r="A140" s="13" t="s">
        <v>397</v>
      </c>
      <c r="B140" s="13" t="s">
        <v>357</v>
      </c>
      <c r="C140" s="13" t="s">
        <v>358</v>
      </c>
      <c r="D140" s="13" t="s">
        <v>104</v>
      </c>
      <c r="E140" s="13" t="s">
        <v>71</v>
      </c>
      <c r="F140" s="13" t="s">
        <v>214</v>
      </c>
      <c r="G140" s="13" t="s">
        <v>92</v>
      </c>
      <c r="H140">
        <v>25000</v>
      </c>
      <c r="I140" s="13" t="s">
        <v>105</v>
      </c>
      <c r="J140" s="13" t="s">
        <v>106</v>
      </c>
      <c r="K140" s="13" t="s">
        <v>107</v>
      </c>
      <c r="L140" s="13" t="s">
        <v>82</v>
      </c>
      <c r="M140">
        <v>30</v>
      </c>
      <c r="N140">
        <v>2</v>
      </c>
      <c r="O140" s="14">
        <v>45898</v>
      </c>
      <c r="P140" s="14">
        <v>45928</v>
      </c>
      <c r="Q140">
        <v>3453.68</v>
      </c>
      <c r="R140">
        <v>0</v>
      </c>
      <c r="S140">
        <v>0</v>
      </c>
      <c r="T140">
        <v>0</v>
      </c>
      <c r="U140">
        <v>0</v>
      </c>
      <c r="V140">
        <v>3453.68</v>
      </c>
      <c r="W140">
        <v>0</v>
      </c>
      <c r="X140">
        <v>1</v>
      </c>
      <c r="Y140">
        <v>1</v>
      </c>
      <c r="Z140">
        <v>94</v>
      </c>
      <c r="AA140">
        <v>5</v>
      </c>
      <c r="AB140" s="13" t="s">
        <v>60</v>
      </c>
      <c r="AC140">
        <v>1</v>
      </c>
      <c r="AD140">
        <v>0</v>
      </c>
      <c r="AE140" s="13" t="s">
        <v>61</v>
      </c>
    </row>
    <row r="141" spans="1:31" x14ac:dyDescent="0.35">
      <c r="A141" s="13" t="s">
        <v>398</v>
      </c>
      <c r="B141" s="13" t="s">
        <v>379</v>
      </c>
      <c r="C141" s="13" t="s">
        <v>380</v>
      </c>
      <c r="D141" s="13" t="s">
        <v>52</v>
      </c>
      <c r="E141" s="13" t="s">
        <v>77</v>
      </c>
      <c r="F141" s="13" t="s">
        <v>78</v>
      </c>
      <c r="G141" s="13" t="s">
        <v>92</v>
      </c>
      <c r="H141">
        <v>450000</v>
      </c>
      <c r="I141" s="13" t="s">
        <v>56</v>
      </c>
      <c r="J141" s="13" t="s">
        <v>57</v>
      </c>
      <c r="K141" s="13" t="s">
        <v>58</v>
      </c>
      <c r="L141" s="13" t="s">
        <v>59</v>
      </c>
      <c r="M141">
        <v>45</v>
      </c>
      <c r="N141">
        <v>0</v>
      </c>
      <c r="O141" s="14">
        <v>45898</v>
      </c>
      <c r="P141" s="14">
        <v>45943</v>
      </c>
      <c r="Q141">
        <v>1916.52</v>
      </c>
      <c r="R141">
        <v>0</v>
      </c>
      <c r="S141">
        <v>0</v>
      </c>
      <c r="T141">
        <v>0</v>
      </c>
      <c r="U141">
        <v>0</v>
      </c>
      <c r="V141">
        <v>1916.52</v>
      </c>
      <c r="W141">
        <v>0</v>
      </c>
      <c r="X141">
        <v>1</v>
      </c>
      <c r="Y141">
        <v>1</v>
      </c>
      <c r="Z141">
        <v>79</v>
      </c>
      <c r="AA141">
        <v>4</v>
      </c>
      <c r="AB141" s="13" t="s">
        <v>334</v>
      </c>
      <c r="AC141">
        <v>0.75</v>
      </c>
      <c r="AD141">
        <v>0</v>
      </c>
      <c r="AE141" s="13" t="s">
        <v>61</v>
      </c>
    </row>
    <row r="142" spans="1:31" x14ac:dyDescent="0.35">
      <c r="A142" s="13" t="s">
        <v>399</v>
      </c>
      <c r="B142" s="13" t="s">
        <v>400</v>
      </c>
      <c r="C142" s="13" t="s">
        <v>401</v>
      </c>
      <c r="D142" s="13" t="s">
        <v>126</v>
      </c>
      <c r="E142" s="13" t="s">
        <v>99</v>
      </c>
      <c r="F142" s="13" t="s">
        <v>127</v>
      </c>
      <c r="G142" s="13" t="s">
        <v>67</v>
      </c>
      <c r="H142">
        <v>200000</v>
      </c>
      <c r="I142" s="13" t="s">
        <v>86</v>
      </c>
      <c r="J142" s="13" t="s">
        <v>87</v>
      </c>
      <c r="K142" s="13" t="s">
        <v>58</v>
      </c>
      <c r="L142" s="13" t="s">
        <v>368</v>
      </c>
      <c r="M142">
        <v>90</v>
      </c>
      <c r="N142">
        <v>0</v>
      </c>
      <c r="O142" s="14">
        <v>45901</v>
      </c>
      <c r="P142" s="14">
        <v>45991</v>
      </c>
      <c r="Q142">
        <v>6941.34</v>
      </c>
      <c r="R142">
        <v>0</v>
      </c>
      <c r="S142">
        <v>0</v>
      </c>
      <c r="T142">
        <v>0</v>
      </c>
      <c r="U142">
        <v>0</v>
      </c>
      <c r="V142">
        <v>6941.34</v>
      </c>
      <c r="W142">
        <v>0</v>
      </c>
      <c r="X142">
        <v>1</v>
      </c>
      <c r="Y142">
        <v>1</v>
      </c>
      <c r="Z142">
        <v>31</v>
      </c>
      <c r="AA142">
        <v>3</v>
      </c>
      <c r="AB142" s="13" t="s">
        <v>369</v>
      </c>
      <c r="AC142">
        <v>0.5</v>
      </c>
      <c r="AD142">
        <v>0</v>
      </c>
      <c r="AE142" s="13" t="s">
        <v>61</v>
      </c>
    </row>
    <row r="143" spans="1:31" x14ac:dyDescent="0.35">
      <c r="A143" s="13" t="s">
        <v>402</v>
      </c>
      <c r="B143" s="13" t="s">
        <v>403</v>
      </c>
      <c r="C143" s="13" t="s">
        <v>404</v>
      </c>
      <c r="D143" s="13" t="s">
        <v>126</v>
      </c>
      <c r="E143" s="13" t="s">
        <v>77</v>
      </c>
      <c r="F143" s="13" t="s">
        <v>78</v>
      </c>
      <c r="G143" s="13" t="s">
        <v>67</v>
      </c>
      <c r="H143">
        <v>170000</v>
      </c>
      <c r="I143" s="13" t="s">
        <v>56</v>
      </c>
      <c r="J143" s="13" t="s">
        <v>57</v>
      </c>
      <c r="K143" s="13" t="s">
        <v>58</v>
      </c>
      <c r="L143" s="13" t="s">
        <v>368</v>
      </c>
      <c r="M143">
        <v>90</v>
      </c>
      <c r="N143">
        <v>0</v>
      </c>
      <c r="O143" s="14">
        <v>45902</v>
      </c>
      <c r="P143" s="14">
        <v>45992</v>
      </c>
      <c r="Q143">
        <v>10439.25</v>
      </c>
      <c r="R143">
        <v>6263.55</v>
      </c>
      <c r="S143">
        <v>0</v>
      </c>
      <c r="T143">
        <v>0</v>
      </c>
      <c r="U143">
        <v>0</v>
      </c>
      <c r="V143">
        <v>4175.7</v>
      </c>
      <c r="W143">
        <v>0</v>
      </c>
      <c r="X143">
        <v>1</v>
      </c>
      <c r="Y143">
        <v>1</v>
      </c>
      <c r="Z143">
        <v>30</v>
      </c>
      <c r="AA143">
        <v>2</v>
      </c>
      <c r="AB143" s="13" t="s">
        <v>405</v>
      </c>
      <c r="AC143">
        <v>0.25</v>
      </c>
      <c r="AD143">
        <v>0</v>
      </c>
      <c r="AE143" s="13" t="s">
        <v>61</v>
      </c>
    </row>
    <row r="144" spans="1:31" x14ac:dyDescent="0.35">
      <c r="A144" s="13" t="s">
        <v>406</v>
      </c>
      <c r="B144" s="13" t="s">
        <v>293</v>
      </c>
      <c r="C144" s="13" t="s">
        <v>294</v>
      </c>
      <c r="D144" s="13" t="s">
        <v>104</v>
      </c>
      <c r="E144" s="13" t="s">
        <v>99</v>
      </c>
      <c r="F144" s="13" t="s">
        <v>100</v>
      </c>
      <c r="G144" s="13" t="s">
        <v>92</v>
      </c>
      <c r="H144">
        <v>145000</v>
      </c>
      <c r="I144" s="13" t="s">
        <v>121</v>
      </c>
      <c r="J144" s="13" t="s">
        <v>122</v>
      </c>
      <c r="K144" s="13" t="s">
        <v>107</v>
      </c>
      <c r="L144" s="13" t="s">
        <v>82</v>
      </c>
      <c r="M144">
        <v>30</v>
      </c>
      <c r="N144">
        <v>2</v>
      </c>
      <c r="O144" s="14">
        <v>45903</v>
      </c>
      <c r="P144" s="14">
        <v>45933</v>
      </c>
      <c r="Q144">
        <v>4323.3</v>
      </c>
      <c r="R144">
        <v>0</v>
      </c>
      <c r="S144">
        <v>0</v>
      </c>
      <c r="T144">
        <v>0</v>
      </c>
      <c r="U144">
        <v>0</v>
      </c>
      <c r="V144">
        <v>4323.3</v>
      </c>
      <c r="W144">
        <v>0</v>
      </c>
      <c r="X144">
        <v>1</v>
      </c>
      <c r="Y144">
        <v>1</v>
      </c>
      <c r="Z144">
        <v>89</v>
      </c>
      <c r="AA144">
        <v>4</v>
      </c>
      <c r="AB144" s="13" t="s">
        <v>334</v>
      </c>
      <c r="AC144">
        <v>0.75</v>
      </c>
      <c r="AD144">
        <v>0</v>
      </c>
      <c r="AE144" s="13" t="s">
        <v>61</v>
      </c>
    </row>
    <row r="145" spans="1:31" x14ac:dyDescent="0.35">
      <c r="A145" s="13" t="s">
        <v>407</v>
      </c>
      <c r="B145" s="13" t="s">
        <v>379</v>
      </c>
      <c r="C145" s="13" t="s">
        <v>380</v>
      </c>
      <c r="D145" s="13" t="s">
        <v>52</v>
      </c>
      <c r="E145" s="13" t="s">
        <v>77</v>
      </c>
      <c r="F145" s="13" t="s">
        <v>78</v>
      </c>
      <c r="G145" s="13" t="s">
        <v>92</v>
      </c>
      <c r="H145">
        <v>450000</v>
      </c>
      <c r="I145" s="13" t="s">
        <v>56</v>
      </c>
      <c r="J145" s="13" t="s">
        <v>57</v>
      </c>
      <c r="K145" s="13" t="s">
        <v>58</v>
      </c>
      <c r="L145" s="13" t="s">
        <v>59</v>
      </c>
      <c r="M145">
        <v>45</v>
      </c>
      <c r="N145">
        <v>0</v>
      </c>
      <c r="O145" s="14">
        <v>45903</v>
      </c>
      <c r="P145" s="14">
        <v>45948</v>
      </c>
      <c r="Q145">
        <v>5234.8999999999996</v>
      </c>
      <c r="R145">
        <v>0</v>
      </c>
      <c r="S145">
        <v>0</v>
      </c>
      <c r="T145">
        <v>0</v>
      </c>
      <c r="U145">
        <v>0</v>
      </c>
      <c r="V145">
        <v>5234.8999999999996</v>
      </c>
      <c r="W145">
        <v>0</v>
      </c>
      <c r="X145">
        <v>1</v>
      </c>
      <c r="Y145">
        <v>1</v>
      </c>
      <c r="Z145">
        <v>74</v>
      </c>
      <c r="AA145">
        <v>4</v>
      </c>
      <c r="AB145" s="13" t="s">
        <v>334</v>
      </c>
      <c r="AC145">
        <v>0.75</v>
      </c>
      <c r="AD145">
        <v>0</v>
      </c>
      <c r="AE145" s="13" t="s">
        <v>61</v>
      </c>
    </row>
    <row r="146" spans="1:31" x14ac:dyDescent="0.35">
      <c r="A146" s="13" t="s">
        <v>408</v>
      </c>
      <c r="B146" s="13" t="s">
        <v>409</v>
      </c>
      <c r="C146" s="13" t="s">
        <v>410</v>
      </c>
      <c r="D146" s="13" t="s">
        <v>126</v>
      </c>
      <c r="E146" s="13" t="s">
        <v>71</v>
      </c>
      <c r="F146" s="13" t="s">
        <v>72</v>
      </c>
      <c r="G146" s="13" t="s">
        <v>67</v>
      </c>
      <c r="H146">
        <v>195000</v>
      </c>
      <c r="I146" s="13" t="s">
        <v>56</v>
      </c>
      <c r="J146" s="13" t="s">
        <v>57</v>
      </c>
      <c r="K146" s="13" t="s">
        <v>58</v>
      </c>
      <c r="L146" s="13" t="s">
        <v>368</v>
      </c>
      <c r="M146">
        <v>90</v>
      </c>
      <c r="N146">
        <v>0</v>
      </c>
      <c r="O146" s="14">
        <v>45904</v>
      </c>
      <c r="P146" s="14">
        <v>45994</v>
      </c>
      <c r="Q146">
        <v>2174.9699999999998</v>
      </c>
      <c r="R146">
        <v>0</v>
      </c>
      <c r="S146">
        <v>0</v>
      </c>
      <c r="T146">
        <v>0</v>
      </c>
      <c r="U146">
        <v>0</v>
      </c>
      <c r="V146">
        <v>2174.9699999999998</v>
      </c>
      <c r="W146">
        <v>0</v>
      </c>
      <c r="X146">
        <v>1</v>
      </c>
      <c r="Y146">
        <v>1</v>
      </c>
      <c r="Z146">
        <v>28</v>
      </c>
      <c r="AA146">
        <v>2</v>
      </c>
      <c r="AB146" s="13" t="s">
        <v>405</v>
      </c>
      <c r="AC146">
        <v>0.25</v>
      </c>
      <c r="AD146">
        <v>0</v>
      </c>
      <c r="AE146" s="13" t="s">
        <v>61</v>
      </c>
    </row>
    <row r="147" spans="1:31" x14ac:dyDescent="0.35">
      <c r="A147" s="13" t="s">
        <v>411</v>
      </c>
      <c r="B147" s="13" t="s">
        <v>280</v>
      </c>
      <c r="C147" s="13" t="s">
        <v>281</v>
      </c>
      <c r="D147" s="13" t="s">
        <v>104</v>
      </c>
      <c r="E147" s="13" t="s">
        <v>71</v>
      </c>
      <c r="F147" s="13" t="s">
        <v>214</v>
      </c>
      <c r="G147" s="13" t="s">
        <v>92</v>
      </c>
      <c r="H147">
        <v>100000</v>
      </c>
      <c r="I147" s="13" t="s">
        <v>121</v>
      </c>
      <c r="J147" s="13" t="s">
        <v>122</v>
      </c>
      <c r="K147" s="13" t="s">
        <v>107</v>
      </c>
      <c r="L147" s="13" t="s">
        <v>88</v>
      </c>
      <c r="M147">
        <v>60</v>
      </c>
      <c r="N147">
        <v>0</v>
      </c>
      <c r="O147" s="14">
        <v>45904</v>
      </c>
      <c r="P147" s="14">
        <v>45964</v>
      </c>
      <c r="Q147">
        <v>4212.66</v>
      </c>
      <c r="R147">
        <v>0</v>
      </c>
      <c r="S147">
        <v>0</v>
      </c>
      <c r="T147">
        <v>0</v>
      </c>
      <c r="U147">
        <v>0</v>
      </c>
      <c r="V147">
        <v>4212.66</v>
      </c>
      <c r="W147">
        <v>0</v>
      </c>
      <c r="X147">
        <v>1</v>
      </c>
      <c r="Y147">
        <v>1</v>
      </c>
      <c r="Z147">
        <v>58</v>
      </c>
      <c r="AA147">
        <v>3</v>
      </c>
      <c r="AB147" s="13" t="s">
        <v>369</v>
      </c>
      <c r="AC147">
        <v>0.5</v>
      </c>
      <c r="AD147">
        <v>0</v>
      </c>
      <c r="AE147" s="13" t="s">
        <v>61</v>
      </c>
    </row>
    <row r="148" spans="1:31" x14ac:dyDescent="0.35">
      <c r="A148" s="13" t="s">
        <v>412</v>
      </c>
      <c r="B148" s="13" t="s">
        <v>216</v>
      </c>
      <c r="C148" s="13" t="s">
        <v>217</v>
      </c>
      <c r="D148" s="13" t="s">
        <v>52</v>
      </c>
      <c r="E148" s="13" t="s">
        <v>65</v>
      </c>
      <c r="F148" s="13" t="s">
        <v>66</v>
      </c>
      <c r="G148" s="13" t="s">
        <v>67</v>
      </c>
      <c r="H148">
        <v>515000</v>
      </c>
      <c r="I148" s="13" t="s">
        <v>86</v>
      </c>
      <c r="J148" s="13" t="s">
        <v>87</v>
      </c>
      <c r="K148" s="13" t="s">
        <v>58</v>
      </c>
      <c r="L148" s="13" t="s">
        <v>88</v>
      </c>
      <c r="M148">
        <v>60</v>
      </c>
      <c r="N148">
        <v>0</v>
      </c>
      <c r="O148" s="14">
        <v>45905</v>
      </c>
      <c r="P148" s="14">
        <v>45965</v>
      </c>
      <c r="Q148">
        <v>13565.57</v>
      </c>
      <c r="R148">
        <v>0</v>
      </c>
      <c r="S148">
        <v>0</v>
      </c>
      <c r="T148">
        <v>0</v>
      </c>
      <c r="U148">
        <v>0</v>
      </c>
      <c r="V148">
        <v>13565.57</v>
      </c>
      <c r="W148">
        <v>0</v>
      </c>
      <c r="X148">
        <v>1</v>
      </c>
      <c r="Y148">
        <v>1</v>
      </c>
      <c r="Z148">
        <v>57</v>
      </c>
      <c r="AA148">
        <v>3</v>
      </c>
      <c r="AB148" s="13" t="s">
        <v>369</v>
      </c>
      <c r="AC148">
        <v>0.5</v>
      </c>
      <c r="AD148">
        <v>0</v>
      </c>
      <c r="AE148" s="13" t="s">
        <v>61</v>
      </c>
    </row>
    <row r="149" spans="1:31" x14ac:dyDescent="0.35">
      <c r="A149" s="13" t="s">
        <v>413</v>
      </c>
      <c r="B149" s="13" t="s">
        <v>277</v>
      </c>
      <c r="C149" s="13" t="s">
        <v>278</v>
      </c>
      <c r="D149" s="13" t="s">
        <v>104</v>
      </c>
      <c r="E149" s="13" t="s">
        <v>71</v>
      </c>
      <c r="F149" s="13" t="s">
        <v>214</v>
      </c>
      <c r="G149" s="13" t="s">
        <v>92</v>
      </c>
      <c r="H149">
        <v>105000</v>
      </c>
      <c r="I149" s="13" t="s">
        <v>105</v>
      </c>
      <c r="J149" s="13" t="s">
        <v>106</v>
      </c>
      <c r="K149" s="13" t="s">
        <v>107</v>
      </c>
      <c r="L149" s="13" t="s">
        <v>88</v>
      </c>
      <c r="M149">
        <v>60</v>
      </c>
      <c r="N149">
        <v>0</v>
      </c>
      <c r="O149" s="14">
        <v>45905</v>
      </c>
      <c r="P149" s="14">
        <v>45965</v>
      </c>
      <c r="Q149">
        <v>4873.42</v>
      </c>
      <c r="R149">
        <v>0</v>
      </c>
      <c r="S149">
        <v>0</v>
      </c>
      <c r="T149">
        <v>0</v>
      </c>
      <c r="U149">
        <v>0</v>
      </c>
      <c r="V149">
        <v>4873.42</v>
      </c>
      <c r="W149">
        <v>0</v>
      </c>
      <c r="X149">
        <v>1</v>
      </c>
      <c r="Y149">
        <v>1</v>
      </c>
      <c r="Z149">
        <v>57</v>
      </c>
      <c r="AA149">
        <v>3</v>
      </c>
      <c r="AB149" s="13" t="s">
        <v>369</v>
      </c>
      <c r="AC149">
        <v>0.5</v>
      </c>
      <c r="AD149">
        <v>0</v>
      </c>
      <c r="AE149" s="13" t="s">
        <v>61</v>
      </c>
    </row>
    <row r="150" spans="1:31" x14ac:dyDescent="0.35">
      <c r="A150" s="13" t="s">
        <v>414</v>
      </c>
      <c r="B150" s="13" t="s">
        <v>379</v>
      </c>
      <c r="C150" s="13" t="s">
        <v>380</v>
      </c>
      <c r="D150" s="13" t="s">
        <v>52</v>
      </c>
      <c r="E150" s="13" t="s">
        <v>77</v>
      </c>
      <c r="F150" s="13" t="s">
        <v>78</v>
      </c>
      <c r="G150" s="13" t="s">
        <v>92</v>
      </c>
      <c r="H150">
        <v>450000</v>
      </c>
      <c r="I150" s="13" t="s">
        <v>56</v>
      </c>
      <c r="J150" s="13" t="s">
        <v>57</v>
      </c>
      <c r="K150" s="13" t="s">
        <v>58</v>
      </c>
      <c r="L150" s="13" t="s">
        <v>59</v>
      </c>
      <c r="M150">
        <v>45</v>
      </c>
      <c r="N150">
        <v>0</v>
      </c>
      <c r="O150" s="14">
        <v>45905</v>
      </c>
      <c r="P150" s="14">
        <v>45950</v>
      </c>
      <c r="Q150">
        <v>12947.16</v>
      </c>
      <c r="R150">
        <v>0</v>
      </c>
      <c r="S150">
        <v>0</v>
      </c>
      <c r="T150">
        <v>0</v>
      </c>
      <c r="U150">
        <v>0</v>
      </c>
      <c r="V150">
        <v>12947.16</v>
      </c>
      <c r="W150">
        <v>0</v>
      </c>
      <c r="X150">
        <v>1</v>
      </c>
      <c r="Y150">
        <v>1</v>
      </c>
      <c r="Z150">
        <v>72</v>
      </c>
      <c r="AA150">
        <v>4</v>
      </c>
      <c r="AB150" s="13" t="s">
        <v>334</v>
      </c>
      <c r="AC150">
        <v>0.75</v>
      </c>
      <c r="AD150">
        <v>0</v>
      </c>
      <c r="AE150" s="13" t="s">
        <v>61</v>
      </c>
    </row>
    <row r="151" spans="1:31" x14ac:dyDescent="0.35">
      <c r="A151" s="13" t="s">
        <v>415</v>
      </c>
      <c r="B151" s="13" t="s">
        <v>216</v>
      </c>
      <c r="C151" s="13" t="s">
        <v>217</v>
      </c>
      <c r="D151" s="13" t="s">
        <v>52</v>
      </c>
      <c r="E151" s="13" t="s">
        <v>65</v>
      </c>
      <c r="F151" s="13" t="s">
        <v>66</v>
      </c>
      <c r="G151" s="13" t="s">
        <v>67</v>
      </c>
      <c r="H151">
        <v>515000</v>
      </c>
      <c r="I151" s="13" t="s">
        <v>86</v>
      </c>
      <c r="J151" s="13" t="s">
        <v>87</v>
      </c>
      <c r="K151" s="13" t="s">
        <v>58</v>
      </c>
      <c r="L151" s="13" t="s">
        <v>88</v>
      </c>
      <c r="M151">
        <v>60</v>
      </c>
      <c r="N151">
        <v>0</v>
      </c>
      <c r="O151" s="14">
        <v>45908</v>
      </c>
      <c r="P151" s="14">
        <v>45968</v>
      </c>
      <c r="Q151">
        <v>7286.06</v>
      </c>
      <c r="R151">
        <v>0</v>
      </c>
      <c r="S151">
        <v>0</v>
      </c>
      <c r="T151">
        <v>0</v>
      </c>
      <c r="U151">
        <v>0</v>
      </c>
      <c r="V151">
        <v>7286.06</v>
      </c>
      <c r="W151">
        <v>0</v>
      </c>
      <c r="X151">
        <v>1</v>
      </c>
      <c r="Y151">
        <v>1</v>
      </c>
      <c r="Z151">
        <v>54</v>
      </c>
      <c r="AA151">
        <v>3</v>
      </c>
      <c r="AB151" s="13" t="s">
        <v>369</v>
      </c>
      <c r="AC151">
        <v>0.5</v>
      </c>
      <c r="AD151">
        <v>0</v>
      </c>
      <c r="AE151" s="13" t="s">
        <v>61</v>
      </c>
    </row>
    <row r="152" spans="1:31" x14ac:dyDescent="0.35">
      <c r="A152" s="13" t="s">
        <v>416</v>
      </c>
      <c r="B152" s="13" t="s">
        <v>156</v>
      </c>
      <c r="C152" s="13" t="s">
        <v>157</v>
      </c>
      <c r="D152" s="13" t="s">
        <v>52</v>
      </c>
      <c r="E152" s="13" t="s">
        <v>53</v>
      </c>
      <c r="F152" s="13" t="s">
        <v>54</v>
      </c>
      <c r="G152" s="13" t="s">
        <v>92</v>
      </c>
      <c r="H152">
        <v>600000</v>
      </c>
      <c r="I152" s="13" t="s">
        <v>56</v>
      </c>
      <c r="J152" s="13" t="s">
        <v>57</v>
      </c>
      <c r="K152" s="13" t="s">
        <v>58</v>
      </c>
      <c r="L152" s="13" t="s">
        <v>88</v>
      </c>
      <c r="M152">
        <v>60</v>
      </c>
      <c r="N152">
        <v>0</v>
      </c>
      <c r="O152" s="14">
        <v>45908</v>
      </c>
      <c r="P152" s="14">
        <v>45968</v>
      </c>
      <c r="Q152">
        <v>2610.08</v>
      </c>
      <c r="R152">
        <v>0</v>
      </c>
      <c r="S152">
        <v>0</v>
      </c>
      <c r="T152">
        <v>0</v>
      </c>
      <c r="U152">
        <v>0</v>
      </c>
      <c r="V152">
        <v>2610.08</v>
      </c>
      <c r="W152">
        <v>0</v>
      </c>
      <c r="X152">
        <v>1</v>
      </c>
      <c r="Y152">
        <v>1</v>
      </c>
      <c r="Z152">
        <v>54</v>
      </c>
      <c r="AA152">
        <v>3</v>
      </c>
      <c r="AB152" s="13" t="s">
        <v>369</v>
      </c>
      <c r="AC152">
        <v>0.5</v>
      </c>
      <c r="AD152">
        <v>0</v>
      </c>
      <c r="AE152" s="13" t="s">
        <v>61</v>
      </c>
    </row>
    <row r="153" spans="1:31" x14ac:dyDescent="0.35">
      <c r="A153" s="13" t="s">
        <v>417</v>
      </c>
      <c r="B153" s="13" t="s">
        <v>418</v>
      </c>
      <c r="C153" s="13" t="s">
        <v>419</v>
      </c>
      <c r="D153" s="13" t="s">
        <v>52</v>
      </c>
      <c r="E153" s="13" t="s">
        <v>99</v>
      </c>
      <c r="F153" s="13" t="s">
        <v>100</v>
      </c>
      <c r="G153" s="13" t="s">
        <v>67</v>
      </c>
      <c r="H153">
        <v>535000</v>
      </c>
      <c r="I153" s="13" t="s">
        <v>86</v>
      </c>
      <c r="J153" s="13" t="s">
        <v>87</v>
      </c>
      <c r="K153" s="13" t="s">
        <v>58</v>
      </c>
      <c r="L153" s="13" t="s">
        <v>59</v>
      </c>
      <c r="M153">
        <v>45</v>
      </c>
      <c r="N153">
        <v>0</v>
      </c>
      <c r="O153" s="14">
        <v>45908</v>
      </c>
      <c r="P153" s="14">
        <v>45953</v>
      </c>
      <c r="Q153">
        <v>1712.43</v>
      </c>
      <c r="R153">
        <v>0</v>
      </c>
      <c r="S153">
        <v>0</v>
      </c>
      <c r="T153">
        <v>0</v>
      </c>
      <c r="U153">
        <v>0</v>
      </c>
      <c r="V153">
        <v>1712.43</v>
      </c>
      <c r="W153">
        <v>0</v>
      </c>
      <c r="X153">
        <v>1</v>
      </c>
      <c r="Y153">
        <v>1</v>
      </c>
      <c r="Z153">
        <v>69</v>
      </c>
      <c r="AA153">
        <v>4</v>
      </c>
      <c r="AB153" s="13" t="s">
        <v>334</v>
      </c>
      <c r="AC153">
        <v>0.75</v>
      </c>
      <c r="AD153">
        <v>0</v>
      </c>
      <c r="AE153" s="13" t="s">
        <v>61</v>
      </c>
    </row>
    <row r="154" spans="1:31" x14ac:dyDescent="0.35">
      <c r="A154" s="13" t="s">
        <v>420</v>
      </c>
      <c r="B154" s="13" t="s">
        <v>283</v>
      </c>
      <c r="C154" s="13" t="s">
        <v>284</v>
      </c>
      <c r="D154" s="13" t="s">
        <v>104</v>
      </c>
      <c r="E154" s="13" t="s">
        <v>53</v>
      </c>
      <c r="F154" s="13" t="s">
        <v>135</v>
      </c>
      <c r="G154" s="13" t="s">
        <v>92</v>
      </c>
      <c r="H154">
        <v>105000</v>
      </c>
      <c r="I154" s="13" t="s">
        <v>105</v>
      </c>
      <c r="J154" s="13" t="s">
        <v>106</v>
      </c>
      <c r="K154" s="13" t="s">
        <v>107</v>
      </c>
      <c r="L154" s="13" t="s">
        <v>82</v>
      </c>
      <c r="M154">
        <v>30</v>
      </c>
      <c r="N154">
        <v>2</v>
      </c>
      <c r="O154" s="14">
        <v>45908</v>
      </c>
      <c r="P154" s="14">
        <v>45938</v>
      </c>
      <c r="Q154">
        <v>5445.17</v>
      </c>
      <c r="R154">
        <v>0</v>
      </c>
      <c r="S154">
        <v>0</v>
      </c>
      <c r="T154">
        <v>0</v>
      </c>
      <c r="U154">
        <v>0</v>
      </c>
      <c r="V154">
        <v>5445.17</v>
      </c>
      <c r="W154">
        <v>0</v>
      </c>
      <c r="X154">
        <v>1</v>
      </c>
      <c r="Y154">
        <v>1</v>
      </c>
      <c r="Z154">
        <v>84</v>
      </c>
      <c r="AA154">
        <v>4</v>
      </c>
      <c r="AB154" s="13" t="s">
        <v>334</v>
      </c>
      <c r="AC154">
        <v>0.75</v>
      </c>
      <c r="AD154">
        <v>0</v>
      </c>
      <c r="AE154" s="13" t="s">
        <v>61</v>
      </c>
    </row>
    <row r="155" spans="1:31" x14ac:dyDescent="0.35">
      <c r="A155" s="13" t="s">
        <v>421</v>
      </c>
      <c r="B155" s="13" t="s">
        <v>422</v>
      </c>
      <c r="C155" s="13" t="s">
        <v>423</v>
      </c>
      <c r="D155" s="13" t="s">
        <v>126</v>
      </c>
      <c r="E155" s="13" t="s">
        <v>77</v>
      </c>
      <c r="F155" s="13" t="s">
        <v>174</v>
      </c>
      <c r="G155" s="13" t="s">
        <v>67</v>
      </c>
      <c r="H155">
        <v>145000</v>
      </c>
      <c r="I155" s="13" t="s">
        <v>105</v>
      </c>
      <c r="J155" s="13" t="s">
        <v>106</v>
      </c>
      <c r="K155" s="13" t="s">
        <v>107</v>
      </c>
      <c r="L155" s="13" t="s">
        <v>368</v>
      </c>
      <c r="M155">
        <v>90</v>
      </c>
      <c r="N155">
        <v>0</v>
      </c>
      <c r="O155" s="14">
        <v>45908</v>
      </c>
      <c r="P155" s="14">
        <v>45998</v>
      </c>
      <c r="Q155">
        <v>3317.63</v>
      </c>
      <c r="R155">
        <v>1990.58</v>
      </c>
      <c r="S155">
        <v>0</v>
      </c>
      <c r="T155">
        <v>0</v>
      </c>
      <c r="U155">
        <v>0</v>
      </c>
      <c r="V155">
        <v>1327.05</v>
      </c>
      <c r="W155">
        <v>0</v>
      </c>
      <c r="X155">
        <v>1</v>
      </c>
      <c r="Y155">
        <v>1</v>
      </c>
      <c r="Z155">
        <v>24</v>
      </c>
      <c r="AA155">
        <v>2</v>
      </c>
      <c r="AB155" s="13" t="s">
        <v>405</v>
      </c>
      <c r="AC155">
        <v>0.25</v>
      </c>
      <c r="AD155">
        <v>0</v>
      </c>
      <c r="AE155" s="13" t="s">
        <v>61</v>
      </c>
    </row>
    <row r="156" spans="1:31" x14ac:dyDescent="0.35">
      <c r="A156" s="13" t="s">
        <v>424</v>
      </c>
      <c r="B156" s="13" t="s">
        <v>425</v>
      </c>
      <c r="C156" s="13" t="s">
        <v>426</v>
      </c>
      <c r="D156" s="13" t="s">
        <v>126</v>
      </c>
      <c r="E156" s="13" t="s">
        <v>77</v>
      </c>
      <c r="F156" s="13" t="s">
        <v>78</v>
      </c>
      <c r="G156" s="13" t="s">
        <v>67</v>
      </c>
      <c r="H156">
        <v>230000</v>
      </c>
      <c r="I156" s="13" t="s">
        <v>56</v>
      </c>
      <c r="J156" s="13" t="s">
        <v>57</v>
      </c>
      <c r="K156" s="13" t="s">
        <v>58</v>
      </c>
      <c r="L156" s="13" t="s">
        <v>368</v>
      </c>
      <c r="M156">
        <v>90</v>
      </c>
      <c r="N156">
        <v>0</v>
      </c>
      <c r="O156" s="14">
        <v>45908</v>
      </c>
      <c r="P156" s="14">
        <v>45998</v>
      </c>
      <c r="Q156">
        <v>10517.2</v>
      </c>
      <c r="R156">
        <v>0</v>
      </c>
      <c r="S156">
        <v>0</v>
      </c>
      <c r="T156">
        <v>0</v>
      </c>
      <c r="U156">
        <v>0</v>
      </c>
      <c r="V156">
        <v>10517.2</v>
      </c>
      <c r="W156">
        <v>0</v>
      </c>
      <c r="X156">
        <v>1</v>
      </c>
      <c r="Y156">
        <v>1</v>
      </c>
      <c r="Z156">
        <v>24</v>
      </c>
      <c r="AA156">
        <v>2</v>
      </c>
      <c r="AB156" s="13" t="s">
        <v>405</v>
      </c>
      <c r="AC156">
        <v>0.25</v>
      </c>
      <c r="AD156">
        <v>0</v>
      </c>
      <c r="AE156" s="13" t="s">
        <v>61</v>
      </c>
    </row>
    <row r="157" spans="1:31" x14ac:dyDescent="0.35">
      <c r="A157" s="13" t="s">
        <v>427</v>
      </c>
      <c r="B157" s="13" t="s">
        <v>379</v>
      </c>
      <c r="C157" s="13" t="s">
        <v>380</v>
      </c>
      <c r="D157" s="13" t="s">
        <v>52</v>
      </c>
      <c r="E157" s="13" t="s">
        <v>77</v>
      </c>
      <c r="F157" s="13" t="s">
        <v>78</v>
      </c>
      <c r="G157" s="13" t="s">
        <v>92</v>
      </c>
      <c r="H157">
        <v>450000</v>
      </c>
      <c r="I157" s="13" t="s">
        <v>56</v>
      </c>
      <c r="J157" s="13" t="s">
        <v>57</v>
      </c>
      <c r="K157" s="13" t="s">
        <v>58</v>
      </c>
      <c r="L157" s="13" t="s">
        <v>59</v>
      </c>
      <c r="M157">
        <v>45</v>
      </c>
      <c r="N157">
        <v>0</v>
      </c>
      <c r="O157" s="14">
        <v>45908</v>
      </c>
      <c r="P157" s="14">
        <v>45953</v>
      </c>
      <c r="Q157">
        <v>11060.48</v>
      </c>
      <c r="R157">
        <v>0</v>
      </c>
      <c r="S157">
        <v>0</v>
      </c>
      <c r="T157">
        <v>0</v>
      </c>
      <c r="U157">
        <v>0</v>
      </c>
      <c r="V157">
        <v>11060.48</v>
      </c>
      <c r="W157">
        <v>0</v>
      </c>
      <c r="X157">
        <v>1</v>
      </c>
      <c r="Y157">
        <v>1</v>
      </c>
      <c r="Z157">
        <v>69</v>
      </c>
      <c r="AA157">
        <v>4</v>
      </c>
      <c r="AB157" s="13" t="s">
        <v>334</v>
      </c>
      <c r="AC157">
        <v>0.75</v>
      </c>
      <c r="AD157">
        <v>0</v>
      </c>
      <c r="AE157" s="13" t="s">
        <v>61</v>
      </c>
    </row>
    <row r="158" spans="1:31" x14ac:dyDescent="0.35">
      <c r="A158" s="13" t="s">
        <v>428</v>
      </c>
      <c r="B158" s="13" t="s">
        <v>390</v>
      </c>
      <c r="C158" s="13" t="s">
        <v>391</v>
      </c>
      <c r="D158" s="13" t="s">
        <v>52</v>
      </c>
      <c r="E158" s="13" t="s">
        <v>71</v>
      </c>
      <c r="F158" s="13" t="s">
        <v>72</v>
      </c>
      <c r="G158" s="13" t="s">
        <v>55</v>
      </c>
      <c r="H158">
        <v>320000</v>
      </c>
      <c r="I158" s="13" t="s">
        <v>86</v>
      </c>
      <c r="J158" s="13" t="s">
        <v>87</v>
      </c>
      <c r="K158" s="13" t="s">
        <v>58</v>
      </c>
      <c r="L158" s="13" t="s">
        <v>88</v>
      </c>
      <c r="M158">
        <v>60</v>
      </c>
      <c r="N158">
        <v>0</v>
      </c>
      <c r="O158" s="14">
        <v>45909</v>
      </c>
      <c r="P158" s="14">
        <v>45969</v>
      </c>
      <c r="Q158">
        <v>16171.33</v>
      </c>
      <c r="R158">
        <v>0</v>
      </c>
      <c r="S158">
        <v>0</v>
      </c>
      <c r="T158">
        <v>0</v>
      </c>
      <c r="U158">
        <v>0</v>
      </c>
      <c r="V158">
        <v>16171.33</v>
      </c>
      <c r="W158">
        <v>0</v>
      </c>
      <c r="X158">
        <v>1</v>
      </c>
      <c r="Y158">
        <v>1</v>
      </c>
      <c r="Z158">
        <v>53</v>
      </c>
      <c r="AA158">
        <v>3</v>
      </c>
      <c r="AB158" s="13" t="s">
        <v>369</v>
      </c>
      <c r="AC158">
        <v>0.5</v>
      </c>
      <c r="AD158">
        <v>0</v>
      </c>
      <c r="AE158" s="13" t="s">
        <v>61</v>
      </c>
    </row>
    <row r="159" spans="1:31" x14ac:dyDescent="0.35">
      <c r="A159" s="13" t="s">
        <v>429</v>
      </c>
      <c r="B159" s="13" t="s">
        <v>430</v>
      </c>
      <c r="C159" s="13" t="s">
        <v>431</v>
      </c>
      <c r="D159" s="13" t="s">
        <v>126</v>
      </c>
      <c r="E159" s="13" t="s">
        <v>77</v>
      </c>
      <c r="F159" s="13" t="s">
        <v>174</v>
      </c>
      <c r="G159" s="13" t="s">
        <v>67</v>
      </c>
      <c r="H159">
        <v>195000</v>
      </c>
      <c r="I159" s="13" t="s">
        <v>56</v>
      </c>
      <c r="J159" s="13" t="s">
        <v>57</v>
      </c>
      <c r="K159" s="13" t="s">
        <v>58</v>
      </c>
      <c r="L159" s="13" t="s">
        <v>368</v>
      </c>
      <c r="M159">
        <v>90</v>
      </c>
      <c r="N159">
        <v>0</v>
      </c>
      <c r="O159" s="14">
        <v>45910</v>
      </c>
      <c r="P159" s="14">
        <v>46000</v>
      </c>
      <c r="Q159">
        <v>11385.56</v>
      </c>
      <c r="R159">
        <v>0</v>
      </c>
      <c r="S159">
        <v>0</v>
      </c>
      <c r="T159">
        <v>0</v>
      </c>
      <c r="U159">
        <v>0</v>
      </c>
      <c r="V159">
        <v>11385.56</v>
      </c>
      <c r="W159">
        <v>0</v>
      </c>
      <c r="X159">
        <v>1</v>
      </c>
      <c r="Y159">
        <v>1</v>
      </c>
      <c r="Z159">
        <v>22</v>
      </c>
      <c r="AA159">
        <v>2</v>
      </c>
      <c r="AB159" s="13" t="s">
        <v>405</v>
      </c>
      <c r="AC159">
        <v>0.25</v>
      </c>
      <c r="AD159">
        <v>0</v>
      </c>
      <c r="AE159" s="13" t="s">
        <v>61</v>
      </c>
    </row>
    <row r="160" spans="1:31" x14ac:dyDescent="0.35">
      <c r="A160" s="13" t="s">
        <v>432</v>
      </c>
      <c r="B160" s="13" t="s">
        <v>290</v>
      </c>
      <c r="C160" s="13" t="s">
        <v>291</v>
      </c>
      <c r="D160" s="13" t="s">
        <v>104</v>
      </c>
      <c r="E160" s="13" t="s">
        <v>77</v>
      </c>
      <c r="F160" s="13" t="s">
        <v>78</v>
      </c>
      <c r="G160" s="13" t="s">
        <v>92</v>
      </c>
      <c r="H160">
        <v>140000</v>
      </c>
      <c r="I160" s="13" t="s">
        <v>121</v>
      </c>
      <c r="J160" s="13" t="s">
        <v>122</v>
      </c>
      <c r="K160" s="13" t="s">
        <v>107</v>
      </c>
      <c r="L160" s="13" t="s">
        <v>82</v>
      </c>
      <c r="M160">
        <v>30</v>
      </c>
      <c r="N160">
        <v>2</v>
      </c>
      <c r="O160" s="14">
        <v>45911</v>
      </c>
      <c r="P160" s="14">
        <v>45941</v>
      </c>
      <c r="Q160">
        <v>807.82</v>
      </c>
      <c r="R160">
        <v>0</v>
      </c>
      <c r="S160">
        <v>0</v>
      </c>
      <c r="T160">
        <v>0</v>
      </c>
      <c r="U160">
        <v>0</v>
      </c>
      <c r="V160">
        <v>807.82</v>
      </c>
      <c r="W160">
        <v>0</v>
      </c>
      <c r="X160">
        <v>1</v>
      </c>
      <c r="Y160">
        <v>1</v>
      </c>
      <c r="Z160">
        <v>81</v>
      </c>
      <c r="AA160">
        <v>4</v>
      </c>
      <c r="AB160" s="13" t="s">
        <v>334</v>
      </c>
      <c r="AC160">
        <v>0.75</v>
      </c>
      <c r="AD160">
        <v>0</v>
      </c>
      <c r="AE160" s="13" t="s">
        <v>61</v>
      </c>
    </row>
    <row r="161" spans="1:31" x14ac:dyDescent="0.35">
      <c r="A161" s="13" t="s">
        <v>433</v>
      </c>
      <c r="B161" s="13" t="s">
        <v>434</v>
      </c>
      <c r="C161" s="13" t="s">
        <v>435</v>
      </c>
      <c r="D161" s="13" t="s">
        <v>52</v>
      </c>
      <c r="E161" s="13" t="s">
        <v>77</v>
      </c>
      <c r="F161" s="13" t="s">
        <v>78</v>
      </c>
      <c r="G161" s="13" t="s">
        <v>55</v>
      </c>
      <c r="H161">
        <v>510000</v>
      </c>
      <c r="I161" s="13" t="s">
        <v>56</v>
      </c>
      <c r="J161" s="13" t="s">
        <v>57</v>
      </c>
      <c r="K161" s="13" t="s">
        <v>58</v>
      </c>
      <c r="L161" s="13" t="s">
        <v>88</v>
      </c>
      <c r="M161">
        <v>60</v>
      </c>
      <c r="N161">
        <v>0</v>
      </c>
      <c r="O161" s="14">
        <v>45912</v>
      </c>
      <c r="P161" s="14">
        <v>45972</v>
      </c>
      <c r="Q161">
        <v>6661.59</v>
      </c>
      <c r="R161">
        <v>0</v>
      </c>
      <c r="S161">
        <v>0</v>
      </c>
      <c r="T161">
        <v>0</v>
      </c>
      <c r="U161">
        <v>0</v>
      </c>
      <c r="V161">
        <v>6661.59</v>
      </c>
      <c r="W161">
        <v>0</v>
      </c>
      <c r="X161">
        <v>1</v>
      </c>
      <c r="Y161">
        <v>1</v>
      </c>
      <c r="Z161">
        <v>50</v>
      </c>
      <c r="AA161">
        <v>3</v>
      </c>
      <c r="AB161" s="13" t="s">
        <v>369</v>
      </c>
      <c r="AC161">
        <v>0.5</v>
      </c>
      <c r="AD161">
        <v>0</v>
      </c>
      <c r="AE161" s="13" t="s">
        <v>61</v>
      </c>
    </row>
    <row r="162" spans="1:31" x14ac:dyDescent="0.35">
      <c r="A162" s="13" t="s">
        <v>436</v>
      </c>
      <c r="B162" s="13" t="s">
        <v>156</v>
      </c>
      <c r="C162" s="13" t="s">
        <v>157</v>
      </c>
      <c r="D162" s="13" t="s">
        <v>52</v>
      </c>
      <c r="E162" s="13" t="s">
        <v>53</v>
      </c>
      <c r="F162" s="13" t="s">
        <v>54</v>
      </c>
      <c r="G162" s="13" t="s">
        <v>92</v>
      </c>
      <c r="H162">
        <v>600000</v>
      </c>
      <c r="I162" s="13" t="s">
        <v>56</v>
      </c>
      <c r="J162" s="13" t="s">
        <v>57</v>
      </c>
      <c r="K162" s="13" t="s">
        <v>58</v>
      </c>
      <c r="L162" s="13" t="s">
        <v>88</v>
      </c>
      <c r="M162">
        <v>60</v>
      </c>
      <c r="N162">
        <v>0</v>
      </c>
      <c r="O162" s="14">
        <v>45912</v>
      </c>
      <c r="P162" s="14">
        <v>45972</v>
      </c>
      <c r="Q162">
        <v>2169.9</v>
      </c>
      <c r="R162">
        <v>1301.94</v>
      </c>
      <c r="S162">
        <v>0</v>
      </c>
      <c r="T162">
        <v>0</v>
      </c>
      <c r="U162">
        <v>0</v>
      </c>
      <c r="V162">
        <v>867.96</v>
      </c>
      <c r="W162">
        <v>0</v>
      </c>
      <c r="X162">
        <v>1</v>
      </c>
      <c r="Y162">
        <v>1</v>
      </c>
      <c r="Z162">
        <v>50</v>
      </c>
      <c r="AA162">
        <v>3</v>
      </c>
      <c r="AB162" s="13" t="s">
        <v>369</v>
      </c>
      <c r="AC162">
        <v>0.5</v>
      </c>
      <c r="AD162">
        <v>0</v>
      </c>
      <c r="AE162" s="13" t="s">
        <v>61</v>
      </c>
    </row>
    <row r="163" spans="1:31" x14ac:dyDescent="0.35">
      <c r="A163" s="13" t="s">
        <v>437</v>
      </c>
      <c r="B163" s="13" t="s">
        <v>438</v>
      </c>
      <c r="C163" s="13" t="s">
        <v>439</v>
      </c>
      <c r="D163" s="13" t="s">
        <v>126</v>
      </c>
      <c r="E163" s="13" t="s">
        <v>65</v>
      </c>
      <c r="F163" s="13" t="s">
        <v>111</v>
      </c>
      <c r="G163" s="13" t="s">
        <v>67</v>
      </c>
      <c r="H163">
        <v>155000</v>
      </c>
      <c r="I163" s="13" t="s">
        <v>86</v>
      </c>
      <c r="J163" s="13" t="s">
        <v>87</v>
      </c>
      <c r="K163" s="13" t="s">
        <v>58</v>
      </c>
      <c r="L163" s="13" t="s">
        <v>368</v>
      </c>
      <c r="M163">
        <v>90</v>
      </c>
      <c r="N163">
        <v>0</v>
      </c>
      <c r="O163" s="14">
        <v>45912</v>
      </c>
      <c r="P163" s="14">
        <v>46002</v>
      </c>
      <c r="Q163">
        <v>2748.86</v>
      </c>
      <c r="R163">
        <v>0</v>
      </c>
      <c r="S163">
        <v>0</v>
      </c>
      <c r="T163">
        <v>0</v>
      </c>
      <c r="U163">
        <v>0</v>
      </c>
      <c r="V163">
        <v>2748.86</v>
      </c>
      <c r="W163">
        <v>0</v>
      </c>
      <c r="X163">
        <v>1</v>
      </c>
      <c r="Y163">
        <v>1</v>
      </c>
      <c r="Z163">
        <v>20</v>
      </c>
      <c r="AA163">
        <v>2</v>
      </c>
      <c r="AB163" s="13" t="s">
        <v>405</v>
      </c>
      <c r="AC163">
        <v>0.25</v>
      </c>
      <c r="AD163">
        <v>0</v>
      </c>
      <c r="AE163" s="13" t="s">
        <v>61</v>
      </c>
    </row>
    <row r="164" spans="1:31" x14ac:dyDescent="0.35">
      <c r="A164" s="13" t="s">
        <v>440</v>
      </c>
      <c r="B164" s="13" t="s">
        <v>293</v>
      </c>
      <c r="C164" s="13" t="s">
        <v>294</v>
      </c>
      <c r="D164" s="13" t="s">
        <v>104</v>
      </c>
      <c r="E164" s="13" t="s">
        <v>99</v>
      </c>
      <c r="F164" s="13" t="s">
        <v>100</v>
      </c>
      <c r="G164" s="13" t="s">
        <v>92</v>
      </c>
      <c r="H164">
        <v>145000</v>
      </c>
      <c r="I164" s="13" t="s">
        <v>121</v>
      </c>
      <c r="J164" s="13" t="s">
        <v>122</v>
      </c>
      <c r="K164" s="13" t="s">
        <v>107</v>
      </c>
      <c r="L164" s="13" t="s">
        <v>82</v>
      </c>
      <c r="M164">
        <v>30</v>
      </c>
      <c r="N164">
        <v>2</v>
      </c>
      <c r="O164" s="14">
        <v>45912</v>
      </c>
      <c r="P164" s="14">
        <v>45942</v>
      </c>
      <c r="Q164">
        <v>1015.04</v>
      </c>
      <c r="R164">
        <v>0</v>
      </c>
      <c r="S164">
        <v>0</v>
      </c>
      <c r="T164">
        <v>0</v>
      </c>
      <c r="U164">
        <v>0</v>
      </c>
      <c r="V164">
        <v>1015.04</v>
      </c>
      <c r="W164">
        <v>0</v>
      </c>
      <c r="X164">
        <v>1</v>
      </c>
      <c r="Y164">
        <v>1</v>
      </c>
      <c r="Z164">
        <v>80</v>
      </c>
      <c r="AA164">
        <v>4</v>
      </c>
      <c r="AB164" s="13" t="s">
        <v>334</v>
      </c>
      <c r="AC164">
        <v>0.75</v>
      </c>
      <c r="AD164">
        <v>0</v>
      </c>
      <c r="AE164" s="13" t="s">
        <v>61</v>
      </c>
    </row>
    <row r="165" spans="1:31" x14ac:dyDescent="0.35">
      <c r="A165" s="13" t="s">
        <v>441</v>
      </c>
      <c r="B165" s="13" t="s">
        <v>442</v>
      </c>
      <c r="C165" s="13" t="s">
        <v>443</v>
      </c>
      <c r="D165" s="13" t="s">
        <v>104</v>
      </c>
      <c r="E165" s="13" t="s">
        <v>71</v>
      </c>
      <c r="F165" s="13" t="s">
        <v>214</v>
      </c>
      <c r="G165" s="13" t="s">
        <v>92</v>
      </c>
      <c r="H165">
        <v>145000</v>
      </c>
      <c r="I165" s="13" t="s">
        <v>121</v>
      </c>
      <c r="J165" s="13" t="s">
        <v>122</v>
      </c>
      <c r="K165" s="13" t="s">
        <v>107</v>
      </c>
      <c r="L165" s="13" t="s">
        <v>88</v>
      </c>
      <c r="M165">
        <v>60</v>
      </c>
      <c r="N165">
        <v>0</v>
      </c>
      <c r="O165" s="14">
        <v>45915</v>
      </c>
      <c r="P165" s="14">
        <v>45975</v>
      </c>
      <c r="Q165">
        <v>8248.7800000000007</v>
      </c>
      <c r="R165">
        <v>4949.2700000000004</v>
      </c>
      <c r="S165">
        <v>0</v>
      </c>
      <c r="T165">
        <v>0</v>
      </c>
      <c r="U165">
        <v>0</v>
      </c>
      <c r="V165">
        <v>3299.51</v>
      </c>
      <c r="W165">
        <v>0</v>
      </c>
      <c r="X165">
        <v>1</v>
      </c>
      <c r="Y165">
        <v>1</v>
      </c>
      <c r="Z165">
        <v>47</v>
      </c>
      <c r="AA165">
        <v>3</v>
      </c>
      <c r="AB165" s="13" t="s">
        <v>369</v>
      </c>
      <c r="AC165">
        <v>0.5</v>
      </c>
      <c r="AD165">
        <v>0</v>
      </c>
      <c r="AE165" s="13" t="s">
        <v>61</v>
      </c>
    </row>
    <row r="166" spans="1:31" x14ac:dyDescent="0.35">
      <c r="A166" s="13" t="s">
        <v>444</v>
      </c>
      <c r="B166" s="13" t="s">
        <v>277</v>
      </c>
      <c r="C166" s="13" t="s">
        <v>278</v>
      </c>
      <c r="D166" s="13" t="s">
        <v>104</v>
      </c>
      <c r="E166" s="13" t="s">
        <v>71</v>
      </c>
      <c r="F166" s="13" t="s">
        <v>214</v>
      </c>
      <c r="G166" s="13" t="s">
        <v>92</v>
      </c>
      <c r="H166">
        <v>105000</v>
      </c>
      <c r="I166" s="13" t="s">
        <v>105</v>
      </c>
      <c r="J166" s="13" t="s">
        <v>106</v>
      </c>
      <c r="K166" s="13" t="s">
        <v>107</v>
      </c>
      <c r="L166" s="13" t="s">
        <v>88</v>
      </c>
      <c r="M166">
        <v>60</v>
      </c>
      <c r="N166">
        <v>0</v>
      </c>
      <c r="O166" s="14">
        <v>45915</v>
      </c>
      <c r="P166" s="14">
        <v>45975</v>
      </c>
      <c r="Q166">
        <v>3439.53</v>
      </c>
      <c r="R166">
        <v>0</v>
      </c>
      <c r="S166">
        <v>0</v>
      </c>
      <c r="T166">
        <v>0</v>
      </c>
      <c r="U166">
        <v>0</v>
      </c>
      <c r="V166">
        <v>3439.53</v>
      </c>
      <c r="W166">
        <v>0</v>
      </c>
      <c r="X166">
        <v>1</v>
      </c>
      <c r="Y166">
        <v>1</v>
      </c>
      <c r="Z166">
        <v>47</v>
      </c>
      <c r="AA166">
        <v>3</v>
      </c>
      <c r="AB166" s="13" t="s">
        <v>369</v>
      </c>
      <c r="AC166">
        <v>0.5</v>
      </c>
      <c r="AD166">
        <v>0</v>
      </c>
      <c r="AE166" s="13" t="s">
        <v>61</v>
      </c>
    </row>
    <row r="167" spans="1:31" x14ac:dyDescent="0.35">
      <c r="A167" s="13" t="s">
        <v>445</v>
      </c>
      <c r="B167" s="13" t="s">
        <v>446</v>
      </c>
      <c r="C167" s="13" t="s">
        <v>447</v>
      </c>
      <c r="D167" s="13" t="s">
        <v>52</v>
      </c>
      <c r="E167" s="13" t="s">
        <v>53</v>
      </c>
      <c r="F167" s="13" t="s">
        <v>54</v>
      </c>
      <c r="G167" s="13" t="s">
        <v>67</v>
      </c>
      <c r="H167">
        <v>245000</v>
      </c>
      <c r="I167" s="13" t="s">
        <v>86</v>
      </c>
      <c r="J167" s="13" t="s">
        <v>87</v>
      </c>
      <c r="K167" s="13" t="s">
        <v>58</v>
      </c>
      <c r="L167" s="13" t="s">
        <v>88</v>
      </c>
      <c r="M167">
        <v>60</v>
      </c>
      <c r="N167">
        <v>0</v>
      </c>
      <c r="O167" s="14">
        <v>45915</v>
      </c>
      <c r="P167" s="14">
        <v>45975</v>
      </c>
      <c r="Q167">
        <v>4996.59</v>
      </c>
      <c r="R167">
        <v>0</v>
      </c>
      <c r="S167">
        <v>0</v>
      </c>
      <c r="T167">
        <v>0</v>
      </c>
      <c r="U167">
        <v>0</v>
      </c>
      <c r="V167">
        <v>4996.59</v>
      </c>
      <c r="W167">
        <v>0</v>
      </c>
      <c r="X167">
        <v>1</v>
      </c>
      <c r="Y167">
        <v>1</v>
      </c>
      <c r="Z167">
        <v>47</v>
      </c>
      <c r="AA167">
        <v>3</v>
      </c>
      <c r="AB167" s="13" t="s">
        <v>369</v>
      </c>
      <c r="AC167">
        <v>0.5</v>
      </c>
      <c r="AD167">
        <v>0</v>
      </c>
      <c r="AE167" s="13" t="s">
        <v>61</v>
      </c>
    </row>
    <row r="168" spans="1:31" x14ac:dyDescent="0.35">
      <c r="A168" s="13" t="s">
        <v>448</v>
      </c>
      <c r="B168" s="13" t="s">
        <v>449</v>
      </c>
      <c r="C168" s="13" t="s">
        <v>450</v>
      </c>
      <c r="D168" s="13" t="s">
        <v>126</v>
      </c>
      <c r="E168" s="13" t="s">
        <v>71</v>
      </c>
      <c r="F168" s="13" t="s">
        <v>72</v>
      </c>
      <c r="G168" s="13" t="s">
        <v>67</v>
      </c>
      <c r="H168">
        <v>65000</v>
      </c>
      <c r="I168" s="13" t="s">
        <v>121</v>
      </c>
      <c r="J168" s="13" t="s">
        <v>122</v>
      </c>
      <c r="K168" s="13" t="s">
        <v>107</v>
      </c>
      <c r="L168" s="13" t="s">
        <v>368</v>
      </c>
      <c r="M168">
        <v>90</v>
      </c>
      <c r="N168">
        <v>0</v>
      </c>
      <c r="O168" s="14">
        <v>45916</v>
      </c>
      <c r="P168" s="14">
        <v>46006</v>
      </c>
      <c r="Q168">
        <v>1366.1</v>
      </c>
      <c r="R168">
        <v>0</v>
      </c>
      <c r="S168">
        <v>0</v>
      </c>
      <c r="T168">
        <v>0</v>
      </c>
      <c r="U168">
        <v>0</v>
      </c>
      <c r="V168">
        <v>1366.1</v>
      </c>
      <c r="W168">
        <v>0</v>
      </c>
      <c r="X168">
        <v>1</v>
      </c>
      <c r="Y168">
        <v>1</v>
      </c>
      <c r="Z168">
        <v>16</v>
      </c>
      <c r="AA168">
        <v>2</v>
      </c>
      <c r="AB168" s="13" t="s">
        <v>405</v>
      </c>
      <c r="AC168">
        <v>0.25</v>
      </c>
      <c r="AD168">
        <v>0</v>
      </c>
      <c r="AE168" s="13" t="s">
        <v>61</v>
      </c>
    </row>
    <row r="169" spans="1:31" x14ac:dyDescent="0.35">
      <c r="A169" s="13" t="s">
        <v>451</v>
      </c>
      <c r="B169" s="13" t="s">
        <v>452</v>
      </c>
      <c r="C169" s="13" t="s">
        <v>453</v>
      </c>
      <c r="D169" s="13" t="s">
        <v>126</v>
      </c>
      <c r="E169" s="13" t="s">
        <v>71</v>
      </c>
      <c r="F169" s="13" t="s">
        <v>214</v>
      </c>
      <c r="G169" s="13" t="s">
        <v>67</v>
      </c>
      <c r="H169">
        <v>110000</v>
      </c>
      <c r="I169" s="13" t="s">
        <v>121</v>
      </c>
      <c r="J169" s="13" t="s">
        <v>122</v>
      </c>
      <c r="K169" s="13" t="s">
        <v>107</v>
      </c>
      <c r="L169" s="13" t="s">
        <v>368</v>
      </c>
      <c r="M169">
        <v>90</v>
      </c>
      <c r="N169">
        <v>0</v>
      </c>
      <c r="O169" s="14">
        <v>45916</v>
      </c>
      <c r="P169" s="14">
        <v>46006</v>
      </c>
      <c r="Q169">
        <v>1323.49</v>
      </c>
      <c r="R169">
        <v>0</v>
      </c>
      <c r="S169">
        <v>0</v>
      </c>
      <c r="T169">
        <v>0</v>
      </c>
      <c r="U169">
        <v>0</v>
      </c>
      <c r="V169">
        <v>1323.49</v>
      </c>
      <c r="W169">
        <v>0</v>
      </c>
      <c r="X169">
        <v>1</v>
      </c>
      <c r="Y169">
        <v>1</v>
      </c>
      <c r="Z169">
        <v>16</v>
      </c>
      <c r="AA169">
        <v>2</v>
      </c>
      <c r="AB169" s="13" t="s">
        <v>405</v>
      </c>
      <c r="AC169">
        <v>0.25</v>
      </c>
      <c r="AD169">
        <v>0</v>
      </c>
      <c r="AE169" s="13" t="s">
        <v>61</v>
      </c>
    </row>
    <row r="170" spans="1:31" x14ac:dyDescent="0.35">
      <c r="A170" s="13" t="s">
        <v>454</v>
      </c>
      <c r="B170" s="13" t="s">
        <v>455</v>
      </c>
      <c r="C170" s="13" t="s">
        <v>456</v>
      </c>
      <c r="D170" s="13" t="s">
        <v>126</v>
      </c>
      <c r="E170" s="13" t="s">
        <v>71</v>
      </c>
      <c r="F170" s="13" t="s">
        <v>214</v>
      </c>
      <c r="G170" s="13" t="s">
        <v>67</v>
      </c>
      <c r="H170">
        <v>120000</v>
      </c>
      <c r="I170" s="13" t="s">
        <v>105</v>
      </c>
      <c r="J170" s="13" t="s">
        <v>106</v>
      </c>
      <c r="K170" s="13" t="s">
        <v>107</v>
      </c>
      <c r="L170" s="13" t="s">
        <v>368</v>
      </c>
      <c r="M170">
        <v>90</v>
      </c>
      <c r="N170">
        <v>0</v>
      </c>
      <c r="O170" s="14">
        <v>45916</v>
      </c>
      <c r="P170" s="14">
        <v>46006</v>
      </c>
      <c r="Q170">
        <v>1056.8</v>
      </c>
      <c r="R170">
        <v>0</v>
      </c>
      <c r="S170">
        <v>0</v>
      </c>
      <c r="T170">
        <v>0</v>
      </c>
      <c r="U170">
        <v>0</v>
      </c>
      <c r="V170">
        <v>1056.8</v>
      </c>
      <c r="W170">
        <v>0</v>
      </c>
      <c r="X170">
        <v>1</v>
      </c>
      <c r="Y170">
        <v>1</v>
      </c>
      <c r="Z170">
        <v>16</v>
      </c>
      <c r="AA170">
        <v>2</v>
      </c>
      <c r="AB170" s="13" t="s">
        <v>405</v>
      </c>
      <c r="AC170">
        <v>0.25</v>
      </c>
      <c r="AD170">
        <v>0</v>
      </c>
      <c r="AE170" s="13" t="s">
        <v>61</v>
      </c>
    </row>
    <row r="171" spans="1:31" x14ac:dyDescent="0.35">
      <c r="A171" s="13" t="s">
        <v>457</v>
      </c>
      <c r="B171" s="13" t="s">
        <v>458</v>
      </c>
      <c r="C171" s="13" t="s">
        <v>459</v>
      </c>
      <c r="D171" s="13" t="s">
        <v>126</v>
      </c>
      <c r="E171" s="13" t="s">
        <v>71</v>
      </c>
      <c r="F171" s="13" t="s">
        <v>72</v>
      </c>
      <c r="G171" s="13" t="s">
        <v>67</v>
      </c>
      <c r="H171">
        <v>135000</v>
      </c>
      <c r="I171" s="13" t="s">
        <v>121</v>
      </c>
      <c r="J171" s="13" t="s">
        <v>122</v>
      </c>
      <c r="K171" s="13" t="s">
        <v>107</v>
      </c>
      <c r="L171" s="13" t="s">
        <v>368</v>
      </c>
      <c r="M171">
        <v>90</v>
      </c>
      <c r="N171">
        <v>0</v>
      </c>
      <c r="O171" s="14">
        <v>45916</v>
      </c>
      <c r="P171" s="14">
        <v>46006</v>
      </c>
      <c r="Q171">
        <v>4540.45</v>
      </c>
      <c r="R171">
        <v>0</v>
      </c>
      <c r="S171">
        <v>0</v>
      </c>
      <c r="T171">
        <v>0</v>
      </c>
      <c r="U171">
        <v>0</v>
      </c>
      <c r="V171">
        <v>4540.45</v>
      </c>
      <c r="W171">
        <v>0</v>
      </c>
      <c r="X171">
        <v>1</v>
      </c>
      <c r="Y171">
        <v>1</v>
      </c>
      <c r="Z171">
        <v>16</v>
      </c>
      <c r="AA171">
        <v>2</v>
      </c>
      <c r="AB171" s="13" t="s">
        <v>405</v>
      </c>
      <c r="AC171">
        <v>0.25</v>
      </c>
      <c r="AD171">
        <v>0</v>
      </c>
      <c r="AE171" s="13" t="s">
        <v>61</v>
      </c>
    </row>
    <row r="172" spans="1:31" x14ac:dyDescent="0.35">
      <c r="A172" s="13" t="s">
        <v>460</v>
      </c>
      <c r="B172" s="13" t="s">
        <v>290</v>
      </c>
      <c r="C172" s="13" t="s">
        <v>291</v>
      </c>
      <c r="D172" s="13" t="s">
        <v>104</v>
      </c>
      <c r="E172" s="13" t="s">
        <v>77</v>
      </c>
      <c r="F172" s="13" t="s">
        <v>78</v>
      </c>
      <c r="G172" s="13" t="s">
        <v>92</v>
      </c>
      <c r="H172">
        <v>140000</v>
      </c>
      <c r="I172" s="13" t="s">
        <v>121</v>
      </c>
      <c r="J172" s="13" t="s">
        <v>122</v>
      </c>
      <c r="K172" s="13" t="s">
        <v>107</v>
      </c>
      <c r="L172" s="13" t="s">
        <v>82</v>
      </c>
      <c r="M172">
        <v>30</v>
      </c>
      <c r="N172">
        <v>2</v>
      </c>
      <c r="O172" s="14">
        <v>45916</v>
      </c>
      <c r="P172" s="14">
        <v>45946</v>
      </c>
      <c r="Q172">
        <v>2644.11</v>
      </c>
      <c r="R172">
        <v>0</v>
      </c>
      <c r="S172">
        <v>0</v>
      </c>
      <c r="T172">
        <v>0</v>
      </c>
      <c r="U172">
        <v>0</v>
      </c>
      <c r="V172">
        <v>2644.11</v>
      </c>
      <c r="W172">
        <v>0</v>
      </c>
      <c r="X172">
        <v>1</v>
      </c>
      <c r="Y172">
        <v>1</v>
      </c>
      <c r="Z172">
        <v>76</v>
      </c>
      <c r="AA172">
        <v>4</v>
      </c>
      <c r="AB172" s="13" t="s">
        <v>334</v>
      </c>
      <c r="AC172">
        <v>0.75</v>
      </c>
      <c r="AD172">
        <v>0</v>
      </c>
      <c r="AE172" s="13" t="s">
        <v>61</v>
      </c>
    </row>
    <row r="173" spans="1:31" x14ac:dyDescent="0.35">
      <c r="A173" s="13" t="s">
        <v>461</v>
      </c>
      <c r="B173" s="13" t="s">
        <v>293</v>
      </c>
      <c r="C173" s="13" t="s">
        <v>294</v>
      </c>
      <c r="D173" s="13" t="s">
        <v>104</v>
      </c>
      <c r="E173" s="13" t="s">
        <v>99</v>
      </c>
      <c r="F173" s="13" t="s">
        <v>100</v>
      </c>
      <c r="G173" s="13" t="s">
        <v>92</v>
      </c>
      <c r="H173">
        <v>145000</v>
      </c>
      <c r="I173" s="13" t="s">
        <v>121</v>
      </c>
      <c r="J173" s="13" t="s">
        <v>122</v>
      </c>
      <c r="K173" s="13" t="s">
        <v>107</v>
      </c>
      <c r="L173" s="13" t="s">
        <v>82</v>
      </c>
      <c r="M173">
        <v>30</v>
      </c>
      <c r="N173">
        <v>2</v>
      </c>
      <c r="O173" s="14">
        <v>45916</v>
      </c>
      <c r="P173" s="14">
        <v>45946</v>
      </c>
      <c r="Q173">
        <v>3050.92</v>
      </c>
      <c r="R173">
        <v>0</v>
      </c>
      <c r="S173">
        <v>0</v>
      </c>
      <c r="T173">
        <v>0</v>
      </c>
      <c r="U173">
        <v>0</v>
      </c>
      <c r="V173">
        <v>3050.92</v>
      </c>
      <c r="W173">
        <v>0</v>
      </c>
      <c r="X173">
        <v>1</v>
      </c>
      <c r="Y173">
        <v>1</v>
      </c>
      <c r="Z173">
        <v>76</v>
      </c>
      <c r="AA173">
        <v>4</v>
      </c>
      <c r="AB173" s="13" t="s">
        <v>334</v>
      </c>
      <c r="AC173">
        <v>0.75</v>
      </c>
      <c r="AD173">
        <v>0</v>
      </c>
      <c r="AE173" s="13" t="s">
        <v>61</v>
      </c>
    </row>
    <row r="174" spans="1:31" x14ac:dyDescent="0.35">
      <c r="A174" s="13" t="s">
        <v>462</v>
      </c>
      <c r="B174" s="13" t="s">
        <v>463</v>
      </c>
      <c r="C174" s="13" t="s">
        <v>464</v>
      </c>
      <c r="D174" s="13" t="s">
        <v>76</v>
      </c>
      <c r="E174" s="13" t="s">
        <v>53</v>
      </c>
      <c r="F174" s="13" t="s">
        <v>135</v>
      </c>
      <c r="G174" s="13" t="s">
        <v>55</v>
      </c>
      <c r="H174">
        <v>75000</v>
      </c>
      <c r="I174" s="13" t="s">
        <v>93</v>
      </c>
      <c r="J174" s="13" t="s">
        <v>94</v>
      </c>
      <c r="K174" s="13" t="s">
        <v>81</v>
      </c>
      <c r="L174" s="13" t="s">
        <v>95</v>
      </c>
      <c r="M174">
        <v>30</v>
      </c>
      <c r="N174">
        <v>0</v>
      </c>
      <c r="O174" s="14">
        <v>45916</v>
      </c>
      <c r="P174" s="14">
        <v>45946</v>
      </c>
      <c r="Q174">
        <v>3910.97</v>
      </c>
      <c r="R174">
        <v>0</v>
      </c>
      <c r="S174">
        <v>0</v>
      </c>
      <c r="T174">
        <v>469.32</v>
      </c>
      <c r="U174">
        <v>0</v>
      </c>
      <c r="V174">
        <v>3441.65</v>
      </c>
      <c r="W174">
        <v>0</v>
      </c>
      <c r="X174">
        <v>1</v>
      </c>
      <c r="Y174">
        <v>1</v>
      </c>
      <c r="Z174">
        <v>76</v>
      </c>
      <c r="AA174">
        <v>4</v>
      </c>
      <c r="AB174" s="13" t="s">
        <v>334</v>
      </c>
      <c r="AC174">
        <v>0.75</v>
      </c>
      <c r="AD174">
        <v>0</v>
      </c>
      <c r="AE174" s="13" t="s">
        <v>465</v>
      </c>
    </row>
    <row r="175" spans="1:31" x14ac:dyDescent="0.35">
      <c r="A175" s="13" t="s">
        <v>466</v>
      </c>
      <c r="B175" s="13" t="s">
        <v>422</v>
      </c>
      <c r="C175" s="13" t="s">
        <v>423</v>
      </c>
      <c r="D175" s="13" t="s">
        <v>126</v>
      </c>
      <c r="E175" s="13" t="s">
        <v>77</v>
      </c>
      <c r="F175" s="13" t="s">
        <v>174</v>
      </c>
      <c r="G175" s="13" t="s">
        <v>67</v>
      </c>
      <c r="H175">
        <v>145000</v>
      </c>
      <c r="I175" s="13" t="s">
        <v>105</v>
      </c>
      <c r="J175" s="13" t="s">
        <v>106</v>
      </c>
      <c r="K175" s="13" t="s">
        <v>107</v>
      </c>
      <c r="L175" s="13" t="s">
        <v>368</v>
      </c>
      <c r="M175">
        <v>90</v>
      </c>
      <c r="N175">
        <v>0</v>
      </c>
      <c r="O175" s="14">
        <v>45917</v>
      </c>
      <c r="P175" s="14">
        <v>46007</v>
      </c>
      <c r="Q175">
        <v>8221.59</v>
      </c>
      <c r="R175">
        <v>0</v>
      </c>
      <c r="S175">
        <v>0</v>
      </c>
      <c r="T175">
        <v>0</v>
      </c>
      <c r="U175">
        <v>0</v>
      </c>
      <c r="V175">
        <v>8221.59</v>
      </c>
      <c r="W175">
        <v>0</v>
      </c>
      <c r="X175">
        <v>1</v>
      </c>
      <c r="Y175">
        <v>1</v>
      </c>
      <c r="Z175">
        <v>15</v>
      </c>
      <c r="AA175">
        <v>2</v>
      </c>
      <c r="AB175" s="13" t="s">
        <v>405</v>
      </c>
      <c r="AC175">
        <v>0.25</v>
      </c>
      <c r="AD175">
        <v>0</v>
      </c>
      <c r="AE175" s="13" t="s">
        <v>61</v>
      </c>
    </row>
    <row r="176" spans="1:31" x14ac:dyDescent="0.35">
      <c r="A176" s="13" t="s">
        <v>467</v>
      </c>
      <c r="B176" s="13" t="s">
        <v>438</v>
      </c>
      <c r="C176" s="13" t="s">
        <v>439</v>
      </c>
      <c r="D176" s="13" t="s">
        <v>126</v>
      </c>
      <c r="E176" s="13" t="s">
        <v>65</v>
      </c>
      <c r="F176" s="13" t="s">
        <v>111</v>
      </c>
      <c r="G176" s="13" t="s">
        <v>67</v>
      </c>
      <c r="H176">
        <v>155000</v>
      </c>
      <c r="I176" s="13" t="s">
        <v>86</v>
      </c>
      <c r="J176" s="13" t="s">
        <v>87</v>
      </c>
      <c r="K176" s="13" t="s">
        <v>58</v>
      </c>
      <c r="L176" s="13" t="s">
        <v>368</v>
      </c>
      <c r="M176">
        <v>90</v>
      </c>
      <c r="N176">
        <v>0</v>
      </c>
      <c r="O176" s="14">
        <v>45917</v>
      </c>
      <c r="P176" s="14">
        <v>46007</v>
      </c>
      <c r="Q176">
        <v>10673.05</v>
      </c>
      <c r="R176">
        <v>0</v>
      </c>
      <c r="S176">
        <v>0</v>
      </c>
      <c r="T176">
        <v>0</v>
      </c>
      <c r="U176">
        <v>0</v>
      </c>
      <c r="V176">
        <v>10673.05</v>
      </c>
      <c r="W176">
        <v>0</v>
      </c>
      <c r="X176">
        <v>1</v>
      </c>
      <c r="Y176">
        <v>1</v>
      </c>
      <c r="Z176">
        <v>15</v>
      </c>
      <c r="AA176">
        <v>2</v>
      </c>
      <c r="AB176" s="13" t="s">
        <v>405</v>
      </c>
      <c r="AC176">
        <v>0.25</v>
      </c>
      <c r="AD176">
        <v>0</v>
      </c>
      <c r="AE176" s="13" t="s">
        <v>61</v>
      </c>
    </row>
    <row r="177" spans="1:31" x14ac:dyDescent="0.35">
      <c r="A177" s="13" t="s">
        <v>468</v>
      </c>
      <c r="B177" s="13" t="s">
        <v>293</v>
      </c>
      <c r="C177" s="13" t="s">
        <v>294</v>
      </c>
      <c r="D177" s="13" t="s">
        <v>104</v>
      </c>
      <c r="E177" s="13" t="s">
        <v>99</v>
      </c>
      <c r="F177" s="13" t="s">
        <v>100</v>
      </c>
      <c r="G177" s="13" t="s">
        <v>92</v>
      </c>
      <c r="H177">
        <v>145000</v>
      </c>
      <c r="I177" s="13" t="s">
        <v>121</v>
      </c>
      <c r="J177" s="13" t="s">
        <v>122</v>
      </c>
      <c r="K177" s="13" t="s">
        <v>107</v>
      </c>
      <c r="L177" s="13" t="s">
        <v>82</v>
      </c>
      <c r="M177">
        <v>30</v>
      </c>
      <c r="N177">
        <v>2</v>
      </c>
      <c r="O177" s="14">
        <v>45917</v>
      </c>
      <c r="P177" s="14">
        <v>45947</v>
      </c>
      <c r="Q177">
        <v>1392.52</v>
      </c>
      <c r="R177">
        <v>0</v>
      </c>
      <c r="S177">
        <v>0</v>
      </c>
      <c r="T177">
        <v>0</v>
      </c>
      <c r="U177">
        <v>0</v>
      </c>
      <c r="V177">
        <v>1392.52</v>
      </c>
      <c r="W177">
        <v>0</v>
      </c>
      <c r="X177">
        <v>1</v>
      </c>
      <c r="Y177">
        <v>1</v>
      </c>
      <c r="Z177">
        <v>75</v>
      </c>
      <c r="AA177">
        <v>4</v>
      </c>
      <c r="AB177" s="13" t="s">
        <v>334</v>
      </c>
      <c r="AC177">
        <v>0.75</v>
      </c>
      <c r="AD177">
        <v>0</v>
      </c>
      <c r="AE177" s="13" t="s">
        <v>61</v>
      </c>
    </row>
    <row r="178" spans="1:31" x14ac:dyDescent="0.35">
      <c r="A178" s="13" t="s">
        <v>469</v>
      </c>
      <c r="B178" s="13" t="s">
        <v>340</v>
      </c>
      <c r="C178" s="13" t="s">
        <v>341</v>
      </c>
      <c r="D178" s="13" t="s">
        <v>52</v>
      </c>
      <c r="E178" s="13" t="s">
        <v>77</v>
      </c>
      <c r="F178" s="13" t="s">
        <v>78</v>
      </c>
      <c r="G178" s="13" t="s">
        <v>92</v>
      </c>
      <c r="H178">
        <v>565000</v>
      </c>
      <c r="I178" s="13" t="s">
        <v>56</v>
      </c>
      <c r="J178" s="13" t="s">
        <v>57</v>
      </c>
      <c r="K178" s="13" t="s">
        <v>58</v>
      </c>
      <c r="L178" s="13" t="s">
        <v>59</v>
      </c>
      <c r="M178">
        <v>45</v>
      </c>
      <c r="N178">
        <v>0</v>
      </c>
      <c r="O178" s="14">
        <v>45917</v>
      </c>
      <c r="P178" s="14">
        <v>45962</v>
      </c>
      <c r="Q178">
        <v>1902.49</v>
      </c>
      <c r="R178">
        <v>0</v>
      </c>
      <c r="S178">
        <v>0</v>
      </c>
      <c r="T178">
        <v>0</v>
      </c>
      <c r="U178">
        <v>0</v>
      </c>
      <c r="V178">
        <v>1902.49</v>
      </c>
      <c r="W178">
        <v>0</v>
      </c>
      <c r="X178">
        <v>1</v>
      </c>
      <c r="Y178">
        <v>1</v>
      </c>
      <c r="Z178">
        <v>60</v>
      </c>
      <c r="AA178">
        <v>3</v>
      </c>
      <c r="AB178" s="13" t="s">
        <v>369</v>
      </c>
      <c r="AC178">
        <v>0.5</v>
      </c>
      <c r="AD178">
        <v>1</v>
      </c>
      <c r="AE178" s="13" t="s">
        <v>465</v>
      </c>
    </row>
    <row r="179" spans="1:31" x14ac:dyDescent="0.35">
      <c r="A179" s="13" t="s">
        <v>470</v>
      </c>
      <c r="B179" s="13" t="s">
        <v>280</v>
      </c>
      <c r="C179" s="13" t="s">
        <v>281</v>
      </c>
      <c r="D179" s="13" t="s">
        <v>104</v>
      </c>
      <c r="E179" s="13" t="s">
        <v>71</v>
      </c>
      <c r="F179" s="13" t="s">
        <v>214</v>
      </c>
      <c r="G179" s="13" t="s">
        <v>92</v>
      </c>
      <c r="H179">
        <v>100000</v>
      </c>
      <c r="I179" s="13" t="s">
        <v>121</v>
      </c>
      <c r="J179" s="13" t="s">
        <v>122</v>
      </c>
      <c r="K179" s="13" t="s">
        <v>107</v>
      </c>
      <c r="L179" s="13" t="s">
        <v>88</v>
      </c>
      <c r="M179">
        <v>60</v>
      </c>
      <c r="N179">
        <v>0</v>
      </c>
      <c r="O179" s="14">
        <v>45917</v>
      </c>
      <c r="P179" s="14">
        <v>45977</v>
      </c>
      <c r="Q179">
        <v>3282.49</v>
      </c>
      <c r="R179">
        <v>0</v>
      </c>
      <c r="S179">
        <v>0</v>
      </c>
      <c r="T179">
        <v>0</v>
      </c>
      <c r="U179">
        <v>0</v>
      </c>
      <c r="V179">
        <v>3282.49</v>
      </c>
      <c r="W179">
        <v>0</v>
      </c>
      <c r="X179">
        <v>1</v>
      </c>
      <c r="Y179">
        <v>1</v>
      </c>
      <c r="Z179">
        <v>45</v>
      </c>
      <c r="AA179">
        <v>3</v>
      </c>
      <c r="AB179" s="13" t="s">
        <v>369</v>
      </c>
      <c r="AC179">
        <v>0.5</v>
      </c>
      <c r="AD179">
        <v>0</v>
      </c>
      <c r="AE179" s="13" t="s">
        <v>61</v>
      </c>
    </row>
    <row r="180" spans="1:31" x14ac:dyDescent="0.35">
      <c r="A180" s="13" t="s">
        <v>471</v>
      </c>
      <c r="B180" s="13" t="s">
        <v>425</v>
      </c>
      <c r="C180" s="13" t="s">
        <v>426</v>
      </c>
      <c r="D180" s="13" t="s">
        <v>126</v>
      </c>
      <c r="E180" s="13" t="s">
        <v>77</v>
      </c>
      <c r="F180" s="13" t="s">
        <v>78</v>
      </c>
      <c r="G180" s="13" t="s">
        <v>67</v>
      </c>
      <c r="H180">
        <v>230000</v>
      </c>
      <c r="I180" s="13" t="s">
        <v>56</v>
      </c>
      <c r="J180" s="13" t="s">
        <v>57</v>
      </c>
      <c r="K180" s="13" t="s">
        <v>58</v>
      </c>
      <c r="L180" s="13" t="s">
        <v>368</v>
      </c>
      <c r="M180">
        <v>90</v>
      </c>
      <c r="N180">
        <v>0</v>
      </c>
      <c r="O180" s="14">
        <v>45918</v>
      </c>
      <c r="P180" s="14">
        <v>46008</v>
      </c>
      <c r="Q180">
        <v>11054.29</v>
      </c>
      <c r="R180">
        <v>0</v>
      </c>
      <c r="S180">
        <v>0</v>
      </c>
      <c r="T180">
        <v>0</v>
      </c>
      <c r="U180">
        <v>0</v>
      </c>
      <c r="V180">
        <v>11054.29</v>
      </c>
      <c r="W180">
        <v>0</v>
      </c>
      <c r="X180">
        <v>1</v>
      </c>
      <c r="Y180">
        <v>1</v>
      </c>
      <c r="Z180">
        <v>14</v>
      </c>
      <c r="AA180">
        <v>2</v>
      </c>
      <c r="AB180" s="13" t="s">
        <v>405</v>
      </c>
      <c r="AC180">
        <v>0.25</v>
      </c>
      <c r="AD180">
        <v>0</v>
      </c>
      <c r="AE180" s="13" t="s">
        <v>61</v>
      </c>
    </row>
    <row r="181" spans="1:31" x14ac:dyDescent="0.35">
      <c r="A181" s="13" t="s">
        <v>472</v>
      </c>
      <c r="B181" s="13" t="s">
        <v>379</v>
      </c>
      <c r="C181" s="13" t="s">
        <v>380</v>
      </c>
      <c r="D181" s="13" t="s">
        <v>52</v>
      </c>
      <c r="E181" s="13" t="s">
        <v>77</v>
      </c>
      <c r="F181" s="13" t="s">
        <v>78</v>
      </c>
      <c r="G181" s="13" t="s">
        <v>92</v>
      </c>
      <c r="H181">
        <v>450000</v>
      </c>
      <c r="I181" s="13" t="s">
        <v>56</v>
      </c>
      <c r="J181" s="13" t="s">
        <v>57</v>
      </c>
      <c r="K181" s="13" t="s">
        <v>58</v>
      </c>
      <c r="L181" s="13" t="s">
        <v>59</v>
      </c>
      <c r="M181">
        <v>45</v>
      </c>
      <c r="N181">
        <v>0</v>
      </c>
      <c r="O181" s="14">
        <v>45918</v>
      </c>
      <c r="P181" s="14">
        <v>45963</v>
      </c>
      <c r="Q181">
        <v>16942.82</v>
      </c>
      <c r="R181">
        <v>10165.69</v>
      </c>
      <c r="S181">
        <v>0</v>
      </c>
      <c r="T181">
        <v>0</v>
      </c>
      <c r="U181">
        <v>0</v>
      </c>
      <c r="V181">
        <v>6777.13</v>
      </c>
      <c r="W181">
        <v>0</v>
      </c>
      <c r="X181">
        <v>1</v>
      </c>
      <c r="Y181">
        <v>1</v>
      </c>
      <c r="Z181">
        <v>59</v>
      </c>
      <c r="AA181">
        <v>3</v>
      </c>
      <c r="AB181" s="13" t="s">
        <v>369</v>
      </c>
      <c r="AC181">
        <v>0.5</v>
      </c>
      <c r="AD181">
        <v>0</v>
      </c>
      <c r="AE181" s="13" t="s">
        <v>61</v>
      </c>
    </row>
    <row r="182" spans="1:31" x14ac:dyDescent="0.35">
      <c r="A182" s="13" t="s">
        <v>473</v>
      </c>
      <c r="B182" s="13" t="s">
        <v>474</v>
      </c>
      <c r="C182" s="13" t="s">
        <v>475</v>
      </c>
      <c r="D182" s="13" t="s">
        <v>126</v>
      </c>
      <c r="E182" s="13" t="s">
        <v>77</v>
      </c>
      <c r="F182" s="13" t="s">
        <v>174</v>
      </c>
      <c r="G182" s="13" t="s">
        <v>67</v>
      </c>
      <c r="H182">
        <v>165000</v>
      </c>
      <c r="I182" s="13" t="s">
        <v>56</v>
      </c>
      <c r="J182" s="13" t="s">
        <v>57</v>
      </c>
      <c r="K182" s="13" t="s">
        <v>58</v>
      </c>
      <c r="L182" s="13" t="s">
        <v>368</v>
      </c>
      <c r="M182">
        <v>90</v>
      </c>
      <c r="N182">
        <v>0</v>
      </c>
      <c r="O182" s="14">
        <v>45918</v>
      </c>
      <c r="P182" s="14">
        <v>46008</v>
      </c>
      <c r="Q182">
        <v>6000.4</v>
      </c>
      <c r="R182">
        <v>0</v>
      </c>
      <c r="S182">
        <v>0</v>
      </c>
      <c r="T182">
        <v>0</v>
      </c>
      <c r="U182">
        <v>0</v>
      </c>
      <c r="V182">
        <v>6000.4</v>
      </c>
      <c r="W182">
        <v>0</v>
      </c>
      <c r="X182">
        <v>1</v>
      </c>
      <c r="Y182">
        <v>1</v>
      </c>
      <c r="Z182">
        <v>14</v>
      </c>
      <c r="AA182">
        <v>2</v>
      </c>
      <c r="AB182" s="13" t="s">
        <v>405</v>
      </c>
      <c r="AC182">
        <v>0.25</v>
      </c>
      <c r="AD182">
        <v>0</v>
      </c>
      <c r="AE182" s="13" t="s">
        <v>61</v>
      </c>
    </row>
    <row r="183" spans="1:31" x14ac:dyDescent="0.35">
      <c r="A183" s="13" t="s">
        <v>476</v>
      </c>
      <c r="B183" s="13" t="s">
        <v>390</v>
      </c>
      <c r="C183" s="13" t="s">
        <v>391</v>
      </c>
      <c r="D183" s="13" t="s">
        <v>52</v>
      </c>
      <c r="E183" s="13" t="s">
        <v>71</v>
      </c>
      <c r="F183" s="13" t="s">
        <v>72</v>
      </c>
      <c r="G183" s="13" t="s">
        <v>55</v>
      </c>
      <c r="H183">
        <v>320000</v>
      </c>
      <c r="I183" s="13" t="s">
        <v>86</v>
      </c>
      <c r="J183" s="13" t="s">
        <v>87</v>
      </c>
      <c r="K183" s="13" t="s">
        <v>58</v>
      </c>
      <c r="L183" s="13" t="s">
        <v>88</v>
      </c>
      <c r="M183">
        <v>60</v>
      </c>
      <c r="N183">
        <v>0</v>
      </c>
      <c r="O183" s="14">
        <v>45918</v>
      </c>
      <c r="P183" s="14">
        <v>45978</v>
      </c>
      <c r="Q183">
        <v>13314</v>
      </c>
      <c r="R183">
        <v>0</v>
      </c>
      <c r="S183">
        <v>0</v>
      </c>
      <c r="T183">
        <v>0</v>
      </c>
      <c r="U183">
        <v>0</v>
      </c>
      <c r="V183">
        <v>13314</v>
      </c>
      <c r="W183">
        <v>0</v>
      </c>
      <c r="X183">
        <v>1</v>
      </c>
      <c r="Y183">
        <v>1</v>
      </c>
      <c r="Z183">
        <v>44</v>
      </c>
      <c r="AA183">
        <v>3</v>
      </c>
      <c r="AB183" s="13" t="s">
        <v>369</v>
      </c>
      <c r="AC183">
        <v>0.5</v>
      </c>
      <c r="AD183">
        <v>0</v>
      </c>
      <c r="AE183" s="13" t="s">
        <v>61</v>
      </c>
    </row>
    <row r="184" spans="1:31" x14ac:dyDescent="0.35">
      <c r="A184" s="13" t="s">
        <v>477</v>
      </c>
      <c r="B184" s="13" t="s">
        <v>478</v>
      </c>
      <c r="C184" s="13" t="s">
        <v>479</v>
      </c>
      <c r="D184" s="13" t="s">
        <v>52</v>
      </c>
      <c r="E184" s="13" t="s">
        <v>77</v>
      </c>
      <c r="F184" s="13" t="s">
        <v>174</v>
      </c>
      <c r="G184" s="13" t="s">
        <v>55</v>
      </c>
      <c r="H184">
        <v>385000</v>
      </c>
      <c r="I184" s="13" t="s">
        <v>86</v>
      </c>
      <c r="J184" s="13" t="s">
        <v>87</v>
      </c>
      <c r="K184" s="13" t="s">
        <v>58</v>
      </c>
      <c r="L184" s="13" t="s">
        <v>88</v>
      </c>
      <c r="M184">
        <v>60</v>
      </c>
      <c r="N184">
        <v>0</v>
      </c>
      <c r="O184" s="14">
        <v>45919</v>
      </c>
      <c r="P184" s="14">
        <v>45979</v>
      </c>
      <c r="Q184">
        <v>3672.29</v>
      </c>
      <c r="R184">
        <v>0</v>
      </c>
      <c r="S184">
        <v>0</v>
      </c>
      <c r="T184">
        <v>0</v>
      </c>
      <c r="U184">
        <v>0</v>
      </c>
      <c r="V184">
        <v>3672.29</v>
      </c>
      <c r="W184">
        <v>0</v>
      </c>
      <c r="X184">
        <v>1</v>
      </c>
      <c r="Y184">
        <v>1</v>
      </c>
      <c r="Z184">
        <v>43</v>
      </c>
      <c r="AA184">
        <v>3</v>
      </c>
      <c r="AB184" s="13" t="s">
        <v>369</v>
      </c>
      <c r="AC184">
        <v>0.5</v>
      </c>
      <c r="AD184">
        <v>0</v>
      </c>
      <c r="AE184" s="13" t="s">
        <v>61</v>
      </c>
    </row>
    <row r="185" spans="1:31" x14ac:dyDescent="0.35">
      <c r="A185" s="13" t="s">
        <v>480</v>
      </c>
      <c r="B185" s="13" t="s">
        <v>481</v>
      </c>
      <c r="C185" s="13" t="s">
        <v>482</v>
      </c>
      <c r="D185" s="13" t="s">
        <v>76</v>
      </c>
      <c r="E185" s="13" t="s">
        <v>53</v>
      </c>
      <c r="F185" s="13" t="s">
        <v>54</v>
      </c>
      <c r="G185" s="13" t="s">
        <v>67</v>
      </c>
      <c r="H185">
        <v>60000</v>
      </c>
      <c r="I185" s="13" t="s">
        <v>79</v>
      </c>
      <c r="J185" s="13" t="s">
        <v>80</v>
      </c>
      <c r="K185" s="13" t="s">
        <v>81</v>
      </c>
      <c r="L185" s="13" t="s">
        <v>95</v>
      </c>
      <c r="M185">
        <v>30</v>
      </c>
      <c r="N185">
        <v>0</v>
      </c>
      <c r="O185" s="14">
        <v>45919</v>
      </c>
      <c r="P185" s="14">
        <v>45949</v>
      </c>
      <c r="Q185">
        <v>2808.25</v>
      </c>
      <c r="R185">
        <v>0</v>
      </c>
      <c r="S185">
        <v>0</v>
      </c>
      <c r="T185">
        <v>421.24</v>
      </c>
      <c r="U185">
        <v>0</v>
      </c>
      <c r="V185">
        <v>2387.0100000000002</v>
      </c>
      <c r="W185">
        <v>0</v>
      </c>
      <c r="X185">
        <v>1</v>
      </c>
      <c r="Y185">
        <v>1</v>
      </c>
      <c r="Z185">
        <v>73</v>
      </c>
      <c r="AA185">
        <v>4</v>
      </c>
      <c r="AB185" s="13" t="s">
        <v>334</v>
      </c>
      <c r="AC185">
        <v>0.75</v>
      </c>
      <c r="AD185">
        <v>0</v>
      </c>
      <c r="AE185" s="13" t="s">
        <v>465</v>
      </c>
    </row>
    <row r="186" spans="1:31" x14ac:dyDescent="0.35">
      <c r="A186" s="13" t="s">
        <v>483</v>
      </c>
      <c r="B186" s="13" t="s">
        <v>280</v>
      </c>
      <c r="C186" s="13" t="s">
        <v>281</v>
      </c>
      <c r="D186" s="13" t="s">
        <v>104</v>
      </c>
      <c r="E186" s="13" t="s">
        <v>71</v>
      </c>
      <c r="F186" s="13" t="s">
        <v>214</v>
      </c>
      <c r="G186" s="13" t="s">
        <v>92</v>
      </c>
      <c r="H186">
        <v>100000</v>
      </c>
      <c r="I186" s="13" t="s">
        <v>121</v>
      </c>
      <c r="J186" s="13" t="s">
        <v>122</v>
      </c>
      <c r="K186" s="13" t="s">
        <v>107</v>
      </c>
      <c r="L186" s="13" t="s">
        <v>88</v>
      </c>
      <c r="M186">
        <v>60</v>
      </c>
      <c r="N186">
        <v>0</v>
      </c>
      <c r="O186" s="14">
        <v>45919</v>
      </c>
      <c r="P186" s="14">
        <v>45979</v>
      </c>
      <c r="Q186">
        <v>800.84</v>
      </c>
      <c r="R186">
        <v>0</v>
      </c>
      <c r="S186">
        <v>0</v>
      </c>
      <c r="T186">
        <v>0</v>
      </c>
      <c r="U186">
        <v>0</v>
      </c>
      <c r="V186">
        <v>800.84</v>
      </c>
      <c r="W186">
        <v>0</v>
      </c>
      <c r="X186">
        <v>1</v>
      </c>
      <c r="Y186">
        <v>1</v>
      </c>
      <c r="Z186">
        <v>43</v>
      </c>
      <c r="AA186">
        <v>3</v>
      </c>
      <c r="AB186" s="13" t="s">
        <v>369</v>
      </c>
      <c r="AC186">
        <v>0.5</v>
      </c>
      <c r="AD186">
        <v>0</v>
      </c>
      <c r="AE186" s="13" t="s">
        <v>61</v>
      </c>
    </row>
    <row r="187" spans="1:31" x14ac:dyDescent="0.35">
      <c r="A187" s="13" t="s">
        <v>484</v>
      </c>
      <c r="B187" s="13" t="s">
        <v>216</v>
      </c>
      <c r="C187" s="13" t="s">
        <v>217</v>
      </c>
      <c r="D187" s="13" t="s">
        <v>52</v>
      </c>
      <c r="E187" s="13" t="s">
        <v>65</v>
      </c>
      <c r="F187" s="13" t="s">
        <v>66</v>
      </c>
      <c r="G187" s="13" t="s">
        <v>67</v>
      </c>
      <c r="H187">
        <v>515000</v>
      </c>
      <c r="I187" s="13" t="s">
        <v>86</v>
      </c>
      <c r="J187" s="13" t="s">
        <v>87</v>
      </c>
      <c r="K187" s="13" t="s">
        <v>58</v>
      </c>
      <c r="L187" s="13" t="s">
        <v>88</v>
      </c>
      <c r="M187">
        <v>60</v>
      </c>
      <c r="N187">
        <v>0</v>
      </c>
      <c r="O187" s="14">
        <v>45922</v>
      </c>
      <c r="P187" s="14">
        <v>45982</v>
      </c>
      <c r="Q187">
        <v>6104.26</v>
      </c>
      <c r="R187">
        <v>0</v>
      </c>
      <c r="S187">
        <v>0</v>
      </c>
      <c r="T187">
        <v>0</v>
      </c>
      <c r="U187">
        <v>0</v>
      </c>
      <c r="V187">
        <v>6104.26</v>
      </c>
      <c r="W187">
        <v>0</v>
      </c>
      <c r="X187">
        <v>1</v>
      </c>
      <c r="Y187">
        <v>1</v>
      </c>
      <c r="Z187">
        <v>40</v>
      </c>
      <c r="AA187">
        <v>3</v>
      </c>
      <c r="AB187" s="13" t="s">
        <v>369</v>
      </c>
      <c r="AC187">
        <v>0.5</v>
      </c>
      <c r="AD187">
        <v>0</v>
      </c>
      <c r="AE187" s="13" t="s">
        <v>61</v>
      </c>
    </row>
    <row r="188" spans="1:31" x14ac:dyDescent="0.35">
      <c r="A188" s="13" t="s">
        <v>485</v>
      </c>
      <c r="B188" s="13" t="s">
        <v>209</v>
      </c>
      <c r="C188" s="13" t="s">
        <v>210</v>
      </c>
      <c r="D188" s="13" t="s">
        <v>52</v>
      </c>
      <c r="E188" s="13" t="s">
        <v>77</v>
      </c>
      <c r="F188" s="13" t="s">
        <v>78</v>
      </c>
      <c r="G188" s="13" t="s">
        <v>55</v>
      </c>
      <c r="H188">
        <v>410000</v>
      </c>
      <c r="I188" s="13" t="s">
        <v>56</v>
      </c>
      <c r="J188" s="13" t="s">
        <v>57</v>
      </c>
      <c r="K188" s="13" t="s">
        <v>58</v>
      </c>
      <c r="L188" s="13" t="s">
        <v>88</v>
      </c>
      <c r="M188">
        <v>60</v>
      </c>
      <c r="N188">
        <v>0</v>
      </c>
      <c r="O188" s="14">
        <v>45922</v>
      </c>
      <c r="P188" s="14">
        <v>45982</v>
      </c>
      <c r="Q188">
        <v>1664.8</v>
      </c>
      <c r="R188">
        <v>998.88</v>
      </c>
      <c r="S188">
        <v>0</v>
      </c>
      <c r="T188">
        <v>0</v>
      </c>
      <c r="U188">
        <v>0</v>
      </c>
      <c r="V188">
        <v>665.92</v>
      </c>
      <c r="W188">
        <v>0</v>
      </c>
      <c r="X188">
        <v>1</v>
      </c>
      <c r="Y188">
        <v>1</v>
      </c>
      <c r="Z188">
        <v>40</v>
      </c>
      <c r="AA188">
        <v>3</v>
      </c>
      <c r="AB188" s="13" t="s">
        <v>369</v>
      </c>
      <c r="AC188">
        <v>0.5</v>
      </c>
      <c r="AD188">
        <v>0</v>
      </c>
      <c r="AE188" s="13" t="s">
        <v>61</v>
      </c>
    </row>
    <row r="189" spans="1:31" x14ac:dyDescent="0.35">
      <c r="A189" s="13" t="s">
        <v>486</v>
      </c>
      <c r="B189" s="13" t="s">
        <v>430</v>
      </c>
      <c r="C189" s="13" t="s">
        <v>431</v>
      </c>
      <c r="D189" s="13" t="s">
        <v>126</v>
      </c>
      <c r="E189" s="13" t="s">
        <v>77</v>
      </c>
      <c r="F189" s="13" t="s">
        <v>174</v>
      </c>
      <c r="G189" s="13" t="s">
        <v>67</v>
      </c>
      <c r="H189">
        <v>195000</v>
      </c>
      <c r="I189" s="13" t="s">
        <v>56</v>
      </c>
      <c r="J189" s="13" t="s">
        <v>57</v>
      </c>
      <c r="K189" s="13" t="s">
        <v>58</v>
      </c>
      <c r="L189" s="13" t="s">
        <v>368</v>
      </c>
      <c r="M189">
        <v>90</v>
      </c>
      <c r="N189">
        <v>0</v>
      </c>
      <c r="O189" s="14">
        <v>45922</v>
      </c>
      <c r="P189" s="14">
        <v>46012</v>
      </c>
      <c r="Q189">
        <v>6421.52</v>
      </c>
      <c r="R189">
        <v>0</v>
      </c>
      <c r="S189">
        <v>0</v>
      </c>
      <c r="T189">
        <v>0</v>
      </c>
      <c r="U189">
        <v>0</v>
      </c>
      <c r="V189">
        <v>6421.52</v>
      </c>
      <c r="W189">
        <v>0</v>
      </c>
      <c r="X189">
        <v>1</v>
      </c>
      <c r="Y189">
        <v>1</v>
      </c>
      <c r="Z189">
        <v>10</v>
      </c>
      <c r="AA189">
        <v>2</v>
      </c>
      <c r="AB189" s="13" t="s">
        <v>405</v>
      </c>
      <c r="AC189">
        <v>0.25</v>
      </c>
      <c r="AD189">
        <v>0</v>
      </c>
      <c r="AE189" s="13" t="s">
        <v>61</v>
      </c>
    </row>
    <row r="190" spans="1:31" x14ac:dyDescent="0.35">
      <c r="A190" s="13" t="s">
        <v>487</v>
      </c>
      <c r="B190" s="13" t="s">
        <v>206</v>
      </c>
      <c r="C190" s="13" t="s">
        <v>207</v>
      </c>
      <c r="D190" s="13" t="s">
        <v>52</v>
      </c>
      <c r="E190" s="13" t="s">
        <v>65</v>
      </c>
      <c r="F190" s="13" t="s">
        <v>111</v>
      </c>
      <c r="G190" s="13" t="s">
        <v>92</v>
      </c>
      <c r="H190">
        <v>490000</v>
      </c>
      <c r="I190" s="13" t="s">
        <v>86</v>
      </c>
      <c r="J190" s="13" t="s">
        <v>87</v>
      </c>
      <c r="K190" s="13" t="s">
        <v>58</v>
      </c>
      <c r="L190" s="13" t="s">
        <v>88</v>
      </c>
      <c r="M190">
        <v>60</v>
      </c>
      <c r="N190">
        <v>0</v>
      </c>
      <c r="O190" s="14">
        <v>45922</v>
      </c>
      <c r="P190" s="14">
        <v>45982</v>
      </c>
      <c r="Q190">
        <v>2481.33</v>
      </c>
      <c r="R190">
        <v>1488.8</v>
      </c>
      <c r="S190">
        <v>0</v>
      </c>
      <c r="T190">
        <v>0</v>
      </c>
      <c r="U190">
        <v>0</v>
      </c>
      <c r="V190">
        <v>992.53</v>
      </c>
      <c r="W190">
        <v>0</v>
      </c>
      <c r="X190">
        <v>1</v>
      </c>
      <c r="Y190">
        <v>1</v>
      </c>
      <c r="Z190">
        <v>40</v>
      </c>
      <c r="AA190">
        <v>3</v>
      </c>
      <c r="AB190" s="13" t="s">
        <v>369</v>
      </c>
      <c r="AC190">
        <v>0.5</v>
      </c>
      <c r="AD190">
        <v>0</v>
      </c>
      <c r="AE190" s="13" t="s">
        <v>61</v>
      </c>
    </row>
    <row r="191" spans="1:31" x14ac:dyDescent="0.35">
      <c r="A191" s="13" t="s">
        <v>488</v>
      </c>
      <c r="B191" s="13" t="s">
        <v>390</v>
      </c>
      <c r="C191" s="13" t="s">
        <v>391</v>
      </c>
      <c r="D191" s="13" t="s">
        <v>52</v>
      </c>
      <c r="E191" s="13" t="s">
        <v>71</v>
      </c>
      <c r="F191" s="13" t="s">
        <v>72</v>
      </c>
      <c r="G191" s="13" t="s">
        <v>55</v>
      </c>
      <c r="H191">
        <v>320000</v>
      </c>
      <c r="I191" s="13" t="s">
        <v>86</v>
      </c>
      <c r="J191" s="13" t="s">
        <v>87</v>
      </c>
      <c r="K191" s="13" t="s">
        <v>58</v>
      </c>
      <c r="L191" s="13" t="s">
        <v>88</v>
      </c>
      <c r="M191">
        <v>60</v>
      </c>
      <c r="N191">
        <v>0</v>
      </c>
      <c r="O191" s="14">
        <v>45922</v>
      </c>
      <c r="P191" s="14">
        <v>45982</v>
      </c>
      <c r="Q191">
        <v>11721.89</v>
      </c>
      <c r="R191">
        <v>0</v>
      </c>
      <c r="S191">
        <v>0</v>
      </c>
      <c r="T191">
        <v>0</v>
      </c>
      <c r="U191">
        <v>0</v>
      </c>
      <c r="V191">
        <v>11721.89</v>
      </c>
      <c r="W191">
        <v>0</v>
      </c>
      <c r="X191">
        <v>1</v>
      </c>
      <c r="Y191">
        <v>1</v>
      </c>
      <c r="Z191">
        <v>40</v>
      </c>
      <c r="AA191">
        <v>3</v>
      </c>
      <c r="AB191" s="13" t="s">
        <v>369</v>
      </c>
      <c r="AC191">
        <v>0.5</v>
      </c>
      <c r="AD191">
        <v>0</v>
      </c>
      <c r="AE191" s="13" t="s">
        <v>61</v>
      </c>
    </row>
    <row r="192" spans="1:31" x14ac:dyDescent="0.35">
      <c r="A192" s="13" t="s">
        <v>489</v>
      </c>
      <c r="B192" s="13" t="s">
        <v>280</v>
      </c>
      <c r="C192" s="13" t="s">
        <v>281</v>
      </c>
      <c r="D192" s="13" t="s">
        <v>104</v>
      </c>
      <c r="E192" s="13" t="s">
        <v>71</v>
      </c>
      <c r="F192" s="13" t="s">
        <v>214</v>
      </c>
      <c r="G192" s="13" t="s">
        <v>92</v>
      </c>
      <c r="H192">
        <v>100000</v>
      </c>
      <c r="I192" s="13" t="s">
        <v>121</v>
      </c>
      <c r="J192" s="13" t="s">
        <v>122</v>
      </c>
      <c r="K192" s="13" t="s">
        <v>107</v>
      </c>
      <c r="L192" s="13" t="s">
        <v>88</v>
      </c>
      <c r="M192">
        <v>60</v>
      </c>
      <c r="N192">
        <v>0</v>
      </c>
      <c r="O192" s="14">
        <v>45922</v>
      </c>
      <c r="P192" s="14">
        <v>45982</v>
      </c>
      <c r="Q192">
        <v>4365.41</v>
      </c>
      <c r="R192">
        <v>0</v>
      </c>
      <c r="S192">
        <v>0</v>
      </c>
      <c r="T192">
        <v>0</v>
      </c>
      <c r="U192">
        <v>0</v>
      </c>
      <c r="V192">
        <v>4365.41</v>
      </c>
      <c r="W192">
        <v>0</v>
      </c>
      <c r="X192">
        <v>1</v>
      </c>
      <c r="Y192">
        <v>1</v>
      </c>
      <c r="Z192">
        <v>40</v>
      </c>
      <c r="AA192">
        <v>3</v>
      </c>
      <c r="AB192" s="13" t="s">
        <v>369</v>
      </c>
      <c r="AC192">
        <v>0.5</v>
      </c>
      <c r="AD192">
        <v>0</v>
      </c>
      <c r="AE192" s="13" t="s">
        <v>61</v>
      </c>
    </row>
    <row r="193" spans="1:31" x14ac:dyDescent="0.35">
      <c r="A193" s="13" t="s">
        <v>490</v>
      </c>
      <c r="B193" s="13" t="s">
        <v>286</v>
      </c>
      <c r="C193" s="13" t="s">
        <v>287</v>
      </c>
      <c r="D193" s="13" t="s">
        <v>104</v>
      </c>
      <c r="E193" s="13" t="s">
        <v>77</v>
      </c>
      <c r="F193" s="13" t="s">
        <v>174</v>
      </c>
      <c r="G193" s="13" t="s">
        <v>92</v>
      </c>
      <c r="H193">
        <v>150000</v>
      </c>
      <c r="I193" s="13" t="s">
        <v>86</v>
      </c>
      <c r="J193" s="13" t="s">
        <v>87</v>
      </c>
      <c r="K193" s="13" t="s">
        <v>58</v>
      </c>
      <c r="L193" s="13" t="s">
        <v>95</v>
      </c>
      <c r="M193">
        <v>30</v>
      </c>
      <c r="N193">
        <v>0</v>
      </c>
      <c r="O193" s="14">
        <v>45923</v>
      </c>
      <c r="P193" s="14">
        <v>45953</v>
      </c>
      <c r="Q193">
        <v>6178.24</v>
      </c>
      <c r="R193">
        <v>0</v>
      </c>
      <c r="S193">
        <v>0</v>
      </c>
      <c r="T193">
        <v>0</v>
      </c>
      <c r="U193">
        <v>0</v>
      </c>
      <c r="V193">
        <v>6178.24</v>
      </c>
      <c r="W193">
        <v>0</v>
      </c>
      <c r="X193">
        <v>1</v>
      </c>
      <c r="Y193">
        <v>1</v>
      </c>
      <c r="Z193">
        <v>69</v>
      </c>
      <c r="AA193">
        <v>4</v>
      </c>
      <c r="AB193" s="13" t="s">
        <v>334</v>
      </c>
      <c r="AC193">
        <v>0.75</v>
      </c>
      <c r="AD193">
        <v>0</v>
      </c>
      <c r="AE193" s="13" t="s">
        <v>61</v>
      </c>
    </row>
    <row r="194" spans="1:31" x14ac:dyDescent="0.35">
      <c r="A194" s="13" t="s">
        <v>491</v>
      </c>
      <c r="B194" s="13" t="s">
        <v>492</v>
      </c>
      <c r="C194" s="13" t="s">
        <v>493</v>
      </c>
      <c r="D194" s="13" t="s">
        <v>126</v>
      </c>
      <c r="E194" s="13" t="s">
        <v>77</v>
      </c>
      <c r="F194" s="13" t="s">
        <v>78</v>
      </c>
      <c r="G194" s="13" t="s">
        <v>67</v>
      </c>
      <c r="H194">
        <v>210000</v>
      </c>
      <c r="I194" s="13" t="s">
        <v>56</v>
      </c>
      <c r="J194" s="13" t="s">
        <v>57</v>
      </c>
      <c r="K194" s="13" t="s">
        <v>58</v>
      </c>
      <c r="L194" s="13" t="s">
        <v>368</v>
      </c>
      <c r="M194">
        <v>90</v>
      </c>
      <c r="N194">
        <v>0</v>
      </c>
      <c r="O194" s="14">
        <v>45923</v>
      </c>
      <c r="P194" s="14">
        <v>46013</v>
      </c>
      <c r="Q194">
        <v>10069.76</v>
      </c>
      <c r="R194">
        <v>0</v>
      </c>
      <c r="S194">
        <v>0</v>
      </c>
      <c r="T194">
        <v>0</v>
      </c>
      <c r="U194">
        <v>0</v>
      </c>
      <c r="V194">
        <v>10069.76</v>
      </c>
      <c r="W194">
        <v>0</v>
      </c>
      <c r="X194">
        <v>1</v>
      </c>
      <c r="Y194">
        <v>1</v>
      </c>
      <c r="Z194">
        <v>9</v>
      </c>
      <c r="AA194">
        <v>2</v>
      </c>
      <c r="AB194" s="13" t="s">
        <v>405</v>
      </c>
      <c r="AC194">
        <v>0.25</v>
      </c>
      <c r="AD194">
        <v>0</v>
      </c>
      <c r="AE194" s="13" t="s">
        <v>61</v>
      </c>
    </row>
    <row r="195" spans="1:31" x14ac:dyDescent="0.35">
      <c r="A195" s="13" t="s">
        <v>494</v>
      </c>
      <c r="B195" s="13" t="s">
        <v>309</v>
      </c>
      <c r="C195" s="13" t="s">
        <v>310</v>
      </c>
      <c r="D195" s="13" t="s">
        <v>104</v>
      </c>
      <c r="E195" s="13" t="s">
        <v>53</v>
      </c>
      <c r="F195" s="13" t="s">
        <v>135</v>
      </c>
      <c r="G195" s="13" t="s">
        <v>67</v>
      </c>
      <c r="H195">
        <v>125000</v>
      </c>
      <c r="I195" s="13" t="s">
        <v>121</v>
      </c>
      <c r="J195" s="13" t="s">
        <v>122</v>
      </c>
      <c r="K195" s="13" t="s">
        <v>107</v>
      </c>
      <c r="L195" s="13" t="s">
        <v>88</v>
      </c>
      <c r="M195">
        <v>60</v>
      </c>
      <c r="N195">
        <v>0</v>
      </c>
      <c r="O195" s="14">
        <v>45923</v>
      </c>
      <c r="P195" s="14">
        <v>45983</v>
      </c>
      <c r="Q195">
        <v>852.14</v>
      </c>
      <c r="R195">
        <v>511.28</v>
      </c>
      <c r="S195">
        <v>0</v>
      </c>
      <c r="T195">
        <v>0</v>
      </c>
      <c r="U195">
        <v>0</v>
      </c>
      <c r="V195">
        <v>340.86</v>
      </c>
      <c r="W195">
        <v>0</v>
      </c>
      <c r="X195">
        <v>1</v>
      </c>
      <c r="Y195">
        <v>1</v>
      </c>
      <c r="Z195">
        <v>39</v>
      </c>
      <c r="AA195">
        <v>3</v>
      </c>
      <c r="AB195" s="13" t="s">
        <v>369</v>
      </c>
      <c r="AC195">
        <v>0.5</v>
      </c>
      <c r="AD195">
        <v>0</v>
      </c>
      <c r="AE195" s="13" t="s">
        <v>61</v>
      </c>
    </row>
    <row r="196" spans="1:31" x14ac:dyDescent="0.35">
      <c r="A196" s="13" t="s">
        <v>495</v>
      </c>
      <c r="B196" s="13" t="s">
        <v>496</v>
      </c>
      <c r="C196" s="13" t="s">
        <v>497</v>
      </c>
      <c r="D196" s="13" t="s">
        <v>104</v>
      </c>
      <c r="E196" s="13" t="s">
        <v>53</v>
      </c>
      <c r="F196" s="13" t="s">
        <v>135</v>
      </c>
      <c r="G196" s="13" t="s">
        <v>67</v>
      </c>
      <c r="H196">
        <v>25000</v>
      </c>
      <c r="I196" s="13" t="s">
        <v>121</v>
      </c>
      <c r="J196" s="13" t="s">
        <v>122</v>
      </c>
      <c r="K196" s="13" t="s">
        <v>107</v>
      </c>
      <c r="L196" s="13" t="s">
        <v>88</v>
      </c>
      <c r="M196">
        <v>60</v>
      </c>
      <c r="N196">
        <v>0</v>
      </c>
      <c r="O196" s="14">
        <v>45923</v>
      </c>
      <c r="P196" s="14">
        <v>45983</v>
      </c>
      <c r="Q196">
        <v>2126.1999999999998</v>
      </c>
      <c r="R196">
        <v>0</v>
      </c>
      <c r="S196">
        <v>0</v>
      </c>
      <c r="T196">
        <v>0</v>
      </c>
      <c r="U196">
        <v>0</v>
      </c>
      <c r="V196">
        <v>2126.1999999999998</v>
      </c>
      <c r="W196">
        <v>0</v>
      </c>
      <c r="X196">
        <v>1</v>
      </c>
      <c r="Y196">
        <v>1</v>
      </c>
      <c r="Z196">
        <v>39</v>
      </c>
      <c r="AA196">
        <v>3</v>
      </c>
      <c r="AB196" s="13" t="s">
        <v>369</v>
      </c>
      <c r="AC196">
        <v>0.5</v>
      </c>
      <c r="AD196">
        <v>0</v>
      </c>
      <c r="AE196" s="13" t="s">
        <v>61</v>
      </c>
    </row>
    <row r="197" spans="1:31" x14ac:dyDescent="0.35">
      <c r="A197" s="13" t="s">
        <v>498</v>
      </c>
      <c r="B197" s="13" t="s">
        <v>499</v>
      </c>
      <c r="C197" s="13" t="s">
        <v>500</v>
      </c>
      <c r="D197" s="13" t="s">
        <v>104</v>
      </c>
      <c r="E197" s="13" t="s">
        <v>53</v>
      </c>
      <c r="F197" s="13" t="s">
        <v>54</v>
      </c>
      <c r="G197" s="13" t="s">
        <v>67</v>
      </c>
      <c r="H197">
        <v>90000</v>
      </c>
      <c r="I197" s="13" t="s">
        <v>105</v>
      </c>
      <c r="J197" s="13" t="s">
        <v>106</v>
      </c>
      <c r="K197" s="13" t="s">
        <v>107</v>
      </c>
      <c r="L197" s="13" t="s">
        <v>88</v>
      </c>
      <c r="M197">
        <v>60</v>
      </c>
      <c r="N197">
        <v>0</v>
      </c>
      <c r="O197" s="14">
        <v>45923</v>
      </c>
      <c r="P197" s="14">
        <v>45983</v>
      </c>
      <c r="Q197">
        <v>6533.8</v>
      </c>
      <c r="R197">
        <v>3920.28</v>
      </c>
      <c r="S197">
        <v>0</v>
      </c>
      <c r="T197">
        <v>0</v>
      </c>
      <c r="U197">
        <v>0</v>
      </c>
      <c r="V197">
        <v>2613.52</v>
      </c>
      <c r="W197">
        <v>0</v>
      </c>
      <c r="X197">
        <v>1</v>
      </c>
      <c r="Y197">
        <v>1</v>
      </c>
      <c r="Z197">
        <v>39</v>
      </c>
      <c r="AA197">
        <v>3</v>
      </c>
      <c r="AB197" s="13" t="s">
        <v>369</v>
      </c>
      <c r="AC197">
        <v>0.5</v>
      </c>
      <c r="AD197">
        <v>0</v>
      </c>
      <c r="AE197" s="13" t="s">
        <v>61</v>
      </c>
    </row>
    <row r="198" spans="1:31" x14ac:dyDescent="0.35">
      <c r="A198" s="13" t="s">
        <v>501</v>
      </c>
      <c r="B198" s="13" t="s">
        <v>425</v>
      </c>
      <c r="C198" s="13" t="s">
        <v>426</v>
      </c>
      <c r="D198" s="13" t="s">
        <v>126</v>
      </c>
      <c r="E198" s="13" t="s">
        <v>77</v>
      </c>
      <c r="F198" s="13" t="s">
        <v>78</v>
      </c>
      <c r="G198" s="13" t="s">
        <v>67</v>
      </c>
      <c r="H198">
        <v>230000</v>
      </c>
      <c r="I198" s="13" t="s">
        <v>56</v>
      </c>
      <c r="J198" s="13" t="s">
        <v>57</v>
      </c>
      <c r="K198" s="13" t="s">
        <v>58</v>
      </c>
      <c r="L198" s="13" t="s">
        <v>368</v>
      </c>
      <c r="M198">
        <v>90</v>
      </c>
      <c r="N198">
        <v>0</v>
      </c>
      <c r="O198" s="14">
        <v>45923</v>
      </c>
      <c r="P198" s="14">
        <v>46013</v>
      </c>
      <c r="Q198">
        <v>1419.84</v>
      </c>
      <c r="R198">
        <v>0</v>
      </c>
      <c r="S198">
        <v>0</v>
      </c>
      <c r="T198">
        <v>0</v>
      </c>
      <c r="U198">
        <v>0</v>
      </c>
      <c r="V198">
        <v>1419.84</v>
      </c>
      <c r="W198">
        <v>0</v>
      </c>
      <c r="X198">
        <v>1</v>
      </c>
      <c r="Y198">
        <v>1</v>
      </c>
      <c r="Z198">
        <v>9</v>
      </c>
      <c r="AA198">
        <v>2</v>
      </c>
      <c r="AB198" s="13" t="s">
        <v>405</v>
      </c>
      <c r="AC198">
        <v>0.25</v>
      </c>
      <c r="AD198">
        <v>0</v>
      </c>
      <c r="AE198" s="13" t="s">
        <v>61</v>
      </c>
    </row>
    <row r="199" spans="1:31" x14ac:dyDescent="0.35">
      <c r="A199" s="13" t="s">
        <v>502</v>
      </c>
      <c r="B199" s="13" t="s">
        <v>379</v>
      </c>
      <c r="C199" s="13" t="s">
        <v>380</v>
      </c>
      <c r="D199" s="13" t="s">
        <v>52</v>
      </c>
      <c r="E199" s="13" t="s">
        <v>77</v>
      </c>
      <c r="F199" s="13" t="s">
        <v>78</v>
      </c>
      <c r="G199" s="13" t="s">
        <v>92</v>
      </c>
      <c r="H199">
        <v>450000</v>
      </c>
      <c r="I199" s="13" t="s">
        <v>56</v>
      </c>
      <c r="J199" s="13" t="s">
        <v>57</v>
      </c>
      <c r="K199" s="13" t="s">
        <v>58</v>
      </c>
      <c r="L199" s="13" t="s">
        <v>59</v>
      </c>
      <c r="M199">
        <v>45</v>
      </c>
      <c r="N199">
        <v>0</v>
      </c>
      <c r="O199" s="14">
        <v>45923</v>
      </c>
      <c r="P199" s="14">
        <v>45968</v>
      </c>
      <c r="Q199">
        <v>7056.36</v>
      </c>
      <c r="R199">
        <v>0</v>
      </c>
      <c r="S199">
        <v>0</v>
      </c>
      <c r="T199">
        <v>0</v>
      </c>
      <c r="U199">
        <v>0</v>
      </c>
      <c r="V199">
        <v>7056.36</v>
      </c>
      <c r="W199">
        <v>0</v>
      </c>
      <c r="X199">
        <v>1</v>
      </c>
      <c r="Y199">
        <v>1</v>
      </c>
      <c r="Z199">
        <v>54</v>
      </c>
      <c r="AA199">
        <v>3</v>
      </c>
      <c r="AB199" s="13" t="s">
        <v>369</v>
      </c>
      <c r="AC199">
        <v>0.5</v>
      </c>
      <c r="AD199">
        <v>0</v>
      </c>
      <c r="AE199" s="13" t="s">
        <v>61</v>
      </c>
    </row>
    <row r="200" spans="1:31" x14ac:dyDescent="0.35">
      <c r="A200" s="13" t="s">
        <v>503</v>
      </c>
      <c r="B200" s="13" t="s">
        <v>492</v>
      </c>
      <c r="C200" s="13" t="s">
        <v>493</v>
      </c>
      <c r="D200" s="13" t="s">
        <v>126</v>
      </c>
      <c r="E200" s="13" t="s">
        <v>77</v>
      </c>
      <c r="F200" s="13" t="s">
        <v>78</v>
      </c>
      <c r="G200" s="13" t="s">
        <v>67</v>
      </c>
      <c r="H200">
        <v>210000</v>
      </c>
      <c r="I200" s="13" t="s">
        <v>56</v>
      </c>
      <c r="J200" s="13" t="s">
        <v>57</v>
      </c>
      <c r="K200" s="13" t="s">
        <v>58</v>
      </c>
      <c r="L200" s="13" t="s">
        <v>368</v>
      </c>
      <c r="M200">
        <v>90</v>
      </c>
      <c r="N200">
        <v>0</v>
      </c>
      <c r="O200" s="14">
        <v>45924</v>
      </c>
      <c r="P200" s="14">
        <v>46014</v>
      </c>
      <c r="Q200">
        <v>1788.4</v>
      </c>
      <c r="R200">
        <v>0</v>
      </c>
      <c r="S200">
        <v>0</v>
      </c>
      <c r="T200">
        <v>0</v>
      </c>
      <c r="U200">
        <v>0</v>
      </c>
      <c r="V200">
        <v>1788.4</v>
      </c>
      <c r="W200">
        <v>0</v>
      </c>
      <c r="X200">
        <v>1</v>
      </c>
      <c r="Y200">
        <v>1</v>
      </c>
      <c r="Z200">
        <v>8</v>
      </c>
      <c r="AA200">
        <v>2</v>
      </c>
      <c r="AB200" s="13" t="s">
        <v>405</v>
      </c>
      <c r="AC200">
        <v>0.25</v>
      </c>
      <c r="AD200">
        <v>0</v>
      </c>
      <c r="AE200" s="13" t="s">
        <v>61</v>
      </c>
    </row>
    <row r="201" spans="1:31" x14ac:dyDescent="0.35">
      <c r="A201" s="13" t="s">
        <v>504</v>
      </c>
      <c r="B201" s="13" t="s">
        <v>418</v>
      </c>
      <c r="C201" s="13" t="s">
        <v>419</v>
      </c>
      <c r="D201" s="13" t="s">
        <v>52</v>
      </c>
      <c r="E201" s="13" t="s">
        <v>99</v>
      </c>
      <c r="F201" s="13" t="s">
        <v>100</v>
      </c>
      <c r="G201" s="13" t="s">
        <v>67</v>
      </c>
      <c r="H201">
        <v>535000</v>
      </c>
      <c r="I201" s="13" t="s">
        <v>86</v>
      </c>
      <c r="J201" s="13" t="s">
        <v>87</v>
      </c>
      <c r="K201" s="13" t="s">
        <v>58</v>
      </c>
      <c r="L201" s="13" t="s">
        <v>59</v>
      </c>
      <c r="M201">
        <v>45</v>
      </c>
      <c r="N201">
        <v>0</v>
      </c>
      <c r="O201" s="14">
        <v>45924</v>
      </c>
      <c r="P201" s="14">
        <v>45969</v>
      </c>
      <c r="Q201">
        <v>3451.67</v>
      </c>
      <c r="R201">
        <v>0</v>
      </c>
      <c r="S201">
        <v>0</v>
      </c>
      <c r="T201">
        <v>0</v>
      </c>
      <c r="U201">
        <v>0</v>
      </c>
      <c r="V201">
        <v>3451.67</v>
      </c>
      <c r="W201">
        <v>0</v>
      </c>
      <c r="X201">
        <v>1</v>
      </c>
      <c r="Y201">
        <v>1</v>
      </c>
      <c r="Z201">
        <v>53</v>
      </c>
      <c r="AA201">
        <v>3</v>
      </c>
      <c r="AB201" s="13" t="s">
        <v>369</v>
      </c>
      <c r="AC201">
        <v>0.5</v>
      </c>
      <c r="AD201">
        <v>0</v>
      </c>
      <c r="AE201" s="13" t="s">
        <v>61</v>
      </c>
    </row>
    <row r="202" spans="1:31" x14ac:dyDescent="0.35">
      <c r="A202" s="13" t="s">
        <v>505</v>
      </c>
      <c r="B202" s="13" t="s">
        <v>506</v>
      </c>
      <c r="C202" s="13" t="s">
        <v>507</v>
      </c>
      <c r="D202" s="13" t="s">
        <v>126</v>
      </c>
      <c r="E202" s="13" t="s">
        <v>99</v>
      </c>
      <c r="F202" s="13" t="s">
        <v>100</v>
      </c>
      <c r="G202" s="13" t="s">
        <v>67</v>
      </c>
      <c r="H202">
        <v>215000</v>
      </c>
      <c r="I202" s="13" t="s">
        <v>86</v>
      </c>
      <c r="J202" s="13" t="s">
        <v>87</v>
      </c>
      <c r="K202" s="13" t="s">
        <v>58</v>
      </c>
      <c r="L202" s="13" t="s">
        <v>368</v>
      </c>
      <c r="M202">
        <v>90</v>
      </c>
      <c r="N202">
        <v>0</v>
      </c>
      <c r="O202" s="14">
        <v>45924</v>
      </c>
      <c r="P202" s="14">
        <v>46014</v>
      </c>
      <c r="Q202">
        <v>1056.1600000000001</v>
      </c>
      <c r="R202">
        <v>0</v>
      </c>
      <c r="S202">
        <v>0</v>
      </c>
      <c r="T202">
        <v>0</v>
      </c>
      <c r="U202">
        <v>0</v>
      </c>
      <c r="V202">
        <v>1056.1600000000001</v>
      </c>
      <c r="W202">
        <v>0</v>
      </c>
      <c r="X202">
        <v>1</v>
      </c>
      <c r="Y202">
        <v>1</v>
      </c>
      <c r="Z202">
        <v>8</v>
      </c>
      <c r="AA202">
        <v>2</v>
      </c>
      <c r="AB202" s="13" t="s">
        <v>405</v>
      </c>
      <c r="AC202">
        <v>0.25</v>
      </c>
      <c r="AD202">
        <v>0</v>
      </c>
      <c r="AE202" s="13" t="s">
        <v>61</v>
      </c>
    </row>
    <row r="203" spans="1:31" x14ac:dyDescent="0.35">
      <c r="A203" s="13" t="s">
        <v>508</v>
      </c>
      <c r="B203" s="13" t="s">
        <v>438</v>
      </c>
      <c r="C203" s="13" t="s">
        <v>439</v>
      </c>
      <c r="D203" s="13" t="s">
        <v>126</v>
      </c>
      <c r="E203" s="13" t="s">
        <v>65</v>
      </c>
      <c r="F203" s="13" t="s">
        <v>111</v>
      </c>
      <c r="G203" s="13" t="s">
        <v>67</v>
      </c>
      <c r="H203">
        <v>155000</v>
      </c>
      <c r="I203" s="13" t="s">
        <v>86</v>
      </c>
      <c r="J203" s="13" t="s">
        <v>87</v>
      </c>
      <c r="K203" s="13" t="s">
        <v>58</v>
      </c>
      <c r="L203" s="13" t="s">
        <v>368</v>
      </c>
      <c r="M203">
        <v>90</v>
      </c>
      <c r="N203">
        <v>0</v>
      </c>
      <c r="O203" s="14">
        <v>45924</v>
      </c>
      <c r="P203" s="14">
        <v>46014</v>
      </c>
      <c r="Q203">
        <v>9182.14</v>
      </c>
      <c r="R203">
        <v>0</v>
      </c>
      <c r="S203">
        <v>0</v>
      </c>
      <c r="T203">
        <v>0</v>
      </c>
      <c r="U203">
        <v>0</v>
      </c>
      <c r="V203">
        <v>9182.14</v>
      </c>
      <c r="W203">
        <v>0</v>
      </c>
      <c r="X203">
        <v>1</v>
      </c>
      <c r="Y203">
        <v>1</v>
      </c>
      <c r="Z203">
        <v>8</v>
      </c>
      <c r="AA203">
        <v>2</v>
      </c>
      <c r="AB203" s="13" t="s">
        <v>405</v>
      </c>
      <c r="AC203">
        <v>0.25</v>
      </c>
      <c r="AD203">
        <v>0</v>
      </c>
      <c r="AE203" s="13" t="s">
        <v>61</v>
      </c>
    </row>
    <row r="204" spans="1:31" x14ac:dyDescent="0.35">
      <c r="A204" s="13" t="s">
        <v>509</v>
      </c>
      <c r="B204" s="13" t="s">
        <v>425</v>
      </c>
      <c r="C204" s="13" t="s">
        <v>426</v>
      </c>
      <c r="D204" s="13" t="s">
        <v>126</v>
      </c>
      <c r="E204" s="13" t="s">
        <v>77</v>
      </c>
      <c r="F204" s="13" t="s">
        <v>78</v>
      </c>
      <c r="G204" s="13" t="s">
        <v>67</v>
      </c>
      <c r="H204">
        <v>230000</v>
      </c>
      <c r="I204" s="13" t="s">
        <v>56</v>
      </c>
      <c r="J204" s="13" t="s">
        <v>57</v>
      </c>
      <c r="K204" s="13" t="s">
        <v>58</v>
      </c>
      <c r="L204" s="13" t="s">
        <v>368</v>
      </c>
      <c r="M204">
        <v>90</v>
      </c>
      <c r="N204">
        <v>0</v>
      </c>
      <c r="O204" s="14">
        <v>45924</v>
      </c>
      <c r="P204" s="14">
        <v>46014</v>
      </c>
      <c r="Q204">
        <v>4835.3100000000004</v>
      </c>
      <c r="R204">
        <v>0</v>
      </c>
      <c r="S204">
        <v>0</v>
      </c>
      <c r="T204">
        <v>1208.83</v>
      </c>
      <c r="U204">
        <v>0</v>
      </c>
      <c r="V204">
        <v>3626.48</v>
      </c>
      <c r="W204">
        <v>0</v>
      </c>
      <c r="X204">
        <v>1</v>
      </c>
      <c r="Y204">
        <v>1</v>
      </c>
      <c r="Z204">
        <v>8</v>
      </c>
      <c r="AA204">
        <v>2</v>
      </c>
      <c r="AB204" s="13" t="s">
        <v>405</v>
      </c>
      <c r="AC204">
        <v>0.25</v>
      </c>
      <c r="AD204">
        <v>0</v>
      </c>
      <c r="AE204" s="13" t="s">
        <v>377</v>
      </c>
    </row>
    <row r="205" spans="1:31" x14ac:dyDescent="0.35">
      <c r="A205" s="13" t="s">
        <v>510</v>
      </c>
      <c r="B205" s="13" t="s">
        <v>379</v>
      </c>
      <c r="C205" s="13" t="s">
        <v>380</v>
      </c>
      <c r="D205" s="13" t="s">
        <v>52</v>
      </c>
      <c r="E205" s="13" t="s">
        <v>77</v>
      </c>
      <c r="F205" s="13" t="s">
        <v>78</v>
      </c>
      <c r="G205" s="13" t="s">
        <v>92</v>
      </c>
      <c r="H205">
        <v>450000</v>
      </c>
      <c r="I205" s="13" t="s">
        <v>56</v>
      </c>
      <c r="J205" s="13" t="s">
        <v>57</v>
      </c>
      <c r="K205" s="13" t="s">
        <v>58</v>
      </c>
      <c r="L205" s="13" t="s">
        <v>59</v>
      </c>
      <c r="M205">
        <v>45</v>
      </c>
      <c r="N205">
        <v>0</v>
      </c>
      <c r="O205" s="14">
        <v>45924</v>
      </c>
      <c r="P205" s="14">
        <v>45969</v>
      </c>
      <c r="Q205">
        <v>12356</v>
      </c>
      <c r="R205">
        <v>0</v>
      </c>
      <c r="S205">
        <v>0</v>
      </c>
      <c r="T205">
        <v>0</v>
      </c>
      <c r="U205">
        <v>0</v>
      </c>
      <c r="V205">
        <v>12356</v>
      </c>
      <c r="W205">
        <v>0</v>
      </c>
      <c r="X205">
        <v>1</v>
      </c>
      <c r="Y205">
        <v>1</v>
      </c>
      <c r="Z205">
        <v>53</v>
      </c>
      <c r="AA205">
        <v>3</v>
      </c>
      <c r="AB205" s="13" t="s">
        <v>369</v>
      </c>
      <c r="AC205">
        <v>0.5</v>
      </c>
      <c r="AD205">
        <v>0</v>
      </c>
      <c r="AE205" s="13" t="s">
        <v>61</v>
      </c>
    </row>
    <row r="206" spans="1:31" x14ac:dyDescent="0.35">
      <c r="A206" s="13" t="s">
        <v>511</v>
      </c>
      <c r="B206" s="13" t="s">
        <v>280</v>
      </c>
      <c r="C206" s="13" t="s">
        <v>281</v>
      </c>
      <c r="D206" s="13" t="s">
        <v>104</v>
      </c>
      <c r="E206" s="13" t="s">
        <v>71</v>
      </c>
      <c r="F206" s="13" t="s">
        <v>214</v>
      </c>
      <c r="G206" s="13" t="s">
        <v>92</v>
      </c>
      <c r="H206">
        <v>100000</v>
      </c>
      <c r="I206" s="13" t="s">
        <v>121</v>
      </c>
      <c r="J206" s="13" t="s">
        <v>122</v>
      </c>
      <c r="K206" s="13" t="s">
        <v>107</v>
      </c>
      <c r="L206" s="13" t="s">
        <v>88</v>
      </c>
      <c r="M206">
        <v>60</v>
      </c>
      <c r="N206">
        <v>0</v>
      </c>
      <c r="O206" s="14">
        <v>45924</v>
      </c>
      <c r="P206" s="14">
        <v>45984</v>
      </c>
      <c r="Q206">
        <v>3090.81</v>
      </c>
      <c r="R206">
        <v>0</v>
      </c>
      <c r="S206">
        <v>0</v>
      </c>
      <c r="T206">
        <v>0</v>
      </c>
      <c r="U206">
        <v>0</v>
      </c>
      <c r="V206">
        <v>3090.81</v>
      </c>
      <c r="W206">
        <v>0</v>
      </c>
      <c r="X206">
        <v>1</v>
      </c>
      <c r="Y206">
        <v>1</v>
      </c>
      <c r="Z206">
        <v>38</v>
      </c>
      <c r="AA206">
        <v>3</v>
      </c>
      <c r="AB206" s="13" t="s">
        <v>369</v>
      </c>
      <c r="AC206">
        <v>0.5</v>
      </c>
      <c r="AD206">
        <v>0</v>
      </c>
      <c r="AE206" s="13" t="s">
        <v>61</v>
      </c>
    </row>
    <row r="207" spans="1:31" x14ac:dyDescent="0.35">
      <c r="A207" s="13" t="s">
        <v>512</v>
      </c>
      <c r="B207" s="13" t="s">
        <v>492</v>
      </c>
      <c r="C207" s="13" t="s">
        <v>493</v>
      </c>
      <c r="D207" s="13" t="s">
        <v>126</v>
      </c>
      <c r="E207" s="13" t="s">
        <v>77</v>
      </c>
      <c r="F207" s="13" t="s">
        <v>78</v>
      </c>
      <c r="G207" s="13" t="s">
        <v>67</v>
      </c>
      <c r="H207">
        <v>210000</v>
      </c>
      <c r="I207" s="13" t="s">
        <v>56</v>
      </c>
      <c r="J207" s="13" t="s">
        <v>57</v>
      </c>
      <c r="K207" s="13" t="s">
        <v>58</v>
      </c>
      <c r="L207" s="13" t="s">
        <v>368</v>
      </c>
      <c r="M207">
        <v>90</v>
      </c>
      <c r="N207">
        <v>0</v>
      </c>
      <c r="O207" s="14">
        <v>45925</v>
      </c>
      <c r="P207" s="14">
        <v>46015</v>
      </c>
      <c r="Q207">
        <v>1055.3399999999999</v>
      </c>
      <c r="R207">
        <v>0</v>
      </c>
      <c r="S207">
        <v>0</v>
      </c>
      <c r="T207">
        <v>0</v>
      </c>
      <c r="U207">
        <v>0</v>
      </c>
      <c r="V207">
        <v>1055.3399999999999</v>
      </c>
      <c r="W207">
        <v>0</v>
      </c>
      <c r="X207">
        <v>1</v>
      </c>
      <c r="Y207">
        <v>1</v>
      </c>
      <c r="Z207">
        <v>7</v>
      </c>
      <c r="AA207">
        <v>2</v>
      </c>
      <c r="AB207" s="13" t="s">
        <v>405</v>
      </c>
      <c r="AC207">
        <v>0.25</v>
      </c>
      <c r="AD207">
        <v>0</v>
      </c>
      <c r="AE207" s="13" t="s">
        <v>61</v>
      </c>
    </row>
    <row r="208" spans="1:31" x14ac:dyDescent="0.35">
      <c r="A208" s="13" t="s">
        <v>513</v>
      </c>
      <c r="B208" s="13" t="s">
        <v>270</v>
      </c>
      <c r="C208" s="13" t="s">
        <v>271</v>
      </c>
      <c r="D208" s="13" t="s">
        <v>52</v>
      </c>
      <c r="E208" s="13" t="s">
        <v>71</v>
      </c>
      <c r="F208" s="13" t="s">
        <v>72</v>
      </c>
      <c r="G208" s="13" t="s">
        <v>67</v>
      </c>
      <c r="H208">
        <v>555000</v>
      </c>
      <c r="I208" s="13" t="s">
        <v>56</v>
      </c>
      <c r="J208" s="13" t="s">
        <v>57</v>
      </c>
      <c r="K208" s="13" t="s">
        <v>58</v>
      </c>
      <c r="L208" s="13" t="s">
        <v>88</v>
      </c>
      <c r="M208">
        <v>60</v>
      </c>
      <c r="N208">
        <v>0</v>
      </c>
      <c r="O208" s="14">
        <v>45925</v>
      </c>
      <c r="P208" s="14">
        <v>45985</v>
      </c>
      <c r="Q208">
        <v>10004.969999999999</v>
      </c>
      <c r="R208">
        <v>6002.98</v>
      </c>
      <c r="S208">
        <v>0</v>
      </c>
      <c r="T208">
        <v>0</v>
      </c>
      <c r="U208">
        <v>0</v>
      </c>
      <c r="V208">
        <v>4001.99</v>
      </c>
      <c r="W208">
        <v>0</v>
      </c>
      <c r="X208">
        <v>1</v>
      </c>
      <c r="Y208">
        <v>1</v>
      </c>
      <c r="Z208">
        <v>37</v>
      </c>
      <c r="AA208">
        <v>3</v>
      </c>
      <c r="AB208" s="13" t="s">
        <v>369</v>
      </c>
      <c r="AC208">
        <v>0.5</v>
      </c>
      <c r="AD208">
        <v>0</v>
      </c>
      <c r="AE208" s="13" t="s">
        <v>61</v>
      </c>
    </row>
    <row r="209" spans="1:31" x14ac:dyDescent="0.35">
      <c r="A209" s="13" t="s">
        <v>514</v>
      </c>
      <c r="B209" s="13" t="s">
        <v>277</v>
      </c>
      <c r="C209" s="13" t="s">
        <v>278</v>
      </c>
      <c r="D209" s="13" t="s">
        <v>104</v>
      </c>
      <c r="E209" s="13" t="s">
        <v>71</v>
      </c>
      <c r="F209" s="13" t="s">
        <v>214</v>
      </c>
      <c r="G209" s="13" t="s">
        <v>92</v>
      </c>
      <c r="H209">
        <v>105000</v>
      </c>
      <c r="I209" s="13" t="s">
        <v>105</v>
      </c>
      <c r="J209" s="13" t="s">
        <v>106</v>
      </c>
      <c r="K209" s="13" t="s">
        <v>107</v>
      </c>
      <c r="L209" s="13" t="s">
        <v>88</v>
      </c>
      <c r="M209">
        <v>60</v>
      </c>
      <c r="N209">
        <v>0</v>
      </c>
      <c r="O209" s="14">
        <v>45925</v>
      </c>
      <c r="P209" s="14">
        <v>45985</v>
      </c>
      <c r="Q209">
        <v>2305.33</v>
      </c>
      <c r="R209">
        <v>0</v>
      </c>
      <c r="S209">
        <v>0</v>
      </c>
      <c r="T209">
        <v>0</v>
      </c>
      <c r="U209">
        <v>0</v>
      </c>
      <c r="V209">
        <v>2305.33</v>
      </c>
      <c r="W209">
        <v>0</v>
      </c>
      <c r="X209">
        <v>1</v>
      </c>
      <c r="Y209">
        <v>1</v>
      </c>
      <c r="Z209">
        <v>37</v>
      </c>
      <c r="AA209">
        <v>3</v>
      </c>
      <c r="AB209" s="13" t="s">
        <v>369</v>
      </c>
      <c r="AC209">
        <v>0.5</v>
      </c>
      <c r="AD209">
        <v>0</v>
      </c>
      <c r="AE209" s="13" t="s">
        <v>61</v>
      </c>
    </row>
    <row r="210" spans="1:31" x14ac:dyDescent="0.35">
      <c r="A210" s="13" t="s">
        <v>515</v>
      </c>
      <c r="B210" s="13" t="s">
        <v>516</v>
      </c>
      <c r="C210" s="13" t="s">
        <v>517</v>
      </c>
      <c r="D210" s="13" t="s">
        <v>52</v>
      </c>
      <c r="E210" s="13" t="s">
        <v>65</v>
      </c>
      <c r="F210" s="13" t="s">
        <v>66</v>
      </c>
      <c r="G210" s="13" t="s">
        <v>55</v>
      </c>
      <c r="H210">
        <v>305000</v>
      </c>
      <c r="I210" s="13" t="s">
        <v>56</v>
      </c>
      <c r="J210" s="13" t="s">
        <v>57</v>
      </c>
      <c r="K210" s="13" t="s">
        <v>58</v>
      </c>
      <c r="L210" s="13" t="s">
        <v>88</v>
      </c>
      <c r="M210">
        <v>60</v>
      </c>
      <c r="N210">
        <v>0</v>
      </c>
      <c r="O210" s="14">
        <v>45925</v>
      </c>
      <c r="P210" s="14">
        <v>45985</v>
      </c>
      <c r="Q210">
        <v>6751.98</v>
      </c>
      <c r="R210">
        <v>4051.19</v>
      </c>
      <c r="S210">
        <v>0</v>
      </c>
      <c r="T210">
        <v>0</v>
      </c>
      <c r="U210">
        <v>0</v>
      </c>
      <c r="V210">
        <v>2700.79</v>
      </c>
      <c r="W210">
        <v>0</v>
      </c>
      <c r="X210">
        <v>1</v>
      </c>
      <c r="Y210">
        <v>1</v>
      </c>
      <c r="Z210">
        <v>37</v>
      </c>
      <c r="AA210">
        <v>3</v>
      </c>
      <c r="AB210" s="13" t="s">
        <v>369</v>
      </c>
      <c r="AC210">
        <v>0.5</v>
      </c>
      <c r="AD210">
        <v>0</v>
      </c>
      <c r="AE210" s="13" t="s">
        <v>61</v>
      </c>
    </row>
    <row r="211" spans="1:31" x14ac:dyDescent="0.35">
      <c r="A211" s="13" t="s">
        <v>518</v>
      </c>
      <c r="B211" s="13" t="s">
        <v>296</v>
      </c>
      <c r="C211" s="13" t="s">
        <v>297</v>
      </c>
      <c r="D211" s="13" t="s">
        <v>104</v>
      </c>
      <c r="E211" s="13" t="s">
        <v>65</v>
      </c>
      <c r="F211" s="13" t="s">
        <v>111</v>
      </c>
      <c r="G211" s="13" t="s">
        <v>92</v>
      </c>
      <c r="H211">
        <v>125000</v>
      </c>
      <c r="I211" s="13" t="s">
        <v>105</v>
      </c>
      <c r="J211" s="13" t="s">
        <v>106</v>
      </c>
      <c r="K211" s="13" t="s">
        <v>107</v>
      </c>
      <c r="L211" s="13" t="s">
        <v>82</v>
      </c>
      <c r="M211">
        <v>30</v>
      </c>
      <c r="N211">
        <v>2</v>
      </c>
      <c r="O211" s="14">
        <v>45925</v>
      </c>
      <c r="P211" s="14">
        <v>45955</v>
      </c>
      <c r="Q211">
        <v>1356.15</v>
      </c>
      <c r="R211">
        <v>0</v>
      </c>
      <c r="S211">
        <v>0</v>
      </c>
      <c r="T211">
        <v>0</v>
      </c>
      <c r="U211">
        <v>0</v>
      </c>
      <c r="V211">
        <v>1356.15</v>
      </c>
      <c r="W211">
        <v>0</v>
      </c>
      <c r="X211">
        <v>1</v>
      </c>
      <c r="Y211">
        <v>1</v>
      </c>
      <c r="Z211">
        <v>67</v>
      </c>
      <c r="AA211">
        <v>4</v>
      </c>
      <c r="AB211" s="13" t="s">
        <v>334</v>
      </c>
      <c r="AC211">
        <v>0.75</v>
      </c>
      <c r="AD211">
        <v>0</v>
      </c>
      <c r="AE211" s="13" t="s">
        <v>61</v>
      </c>
    </row>
    <row r="212" spans="1:31" x14ac:dyDescent="0.35">
      <c r="A212" s="13" t="s">
        <v>519</v>
      </c>
      <c r="B212" s="13" t="s">
        <v>449</v>
      </c>
      <c r="C212" s="13" t="s">
        <v>450</v>
      </c>
      <c r="D212" s="13" t="s">
        <v>126</v>
      </c>
      <c r="E212" s="13" t="s">
        <v>71</v>
      </c>
      <c r="F212" s="13" t="s">
        <v>72</v>
      </c>
      <c r="G212" s="13" t="s">
        <v>67</v>
      </c>
      <c r="H212">
        <v>65000</v>
      </c>
      <c r="I212" s="13" t="s">
        <v>121</v>
      </c>
      <c r="J212" s="13" t="s">
        <v>122</v>
      </c>
      <c r="K212" s="13" t="s">
        <v>107</v>
      </c>
      <c r="L212" s="13" t="s">
        <v>368</v>
      </c>
      <c r="M212">
        <v>90</v>
      </c>
      <c r="N212">
        <v>0</v>
      </c>
      <c r="O212" s="14">
        <v>45926</v>
      </c>
      <c r="P212" s="14">
        <v>46016</v>
      </c>
      <c r="Q212">
        <v>1228.27</v>
      </c>
      <c r="R212">
        <v>0</v>
      </c>
      <c r="S212">
        <v>0</v>
      </c>
      <c r="T212">
        <v>0</v>
      </c>
      <c r="U212">
        <v>0</v>
      </c>
      <c r="V212">
        <v>1228.27</v>
      </c>
      <c r="W212">
        <v>0</v>
      </c>
      <c r="X212">
        <v>1</v>
      </c>
      <c r="Y212">
        <v>1</v>
      </c>
      <c r="Z212">
        <v>6</v>
      </c>
      <c r="AA212">
        <v>2</v>
      </c>
      <c r="AB212" s="13" t="s">
        <v>405</v>
      </c>
      <c r="AC212">
        <v>0.25</v>
      </c>
      <c r="AD212">
        <v>0</v>
      </c>
      <c r="AE212" s="13" t="s">
        <v>61</v>
      </c>
    </row>
    <row r="213" spans="1:31" x14ac:dyDescent="0.35">
      <c r="A213" s="13" t="s">
        <v>520</v>
      </c>
      <c r="B213" s="13" t="s">
        <v>521</v>
      </c>
      <c r="C213" s="13" t="s">
        <v>522</v>
      </c>
      <c r="D213" s="13" t="s">
        <v>126</v>
      </c>
      <c r="E213" s="13" t="s">
        <v>77</v>
      </c>
      <c r="F213" s="13" t="s">
        <v>78</v>
      </c>
      <c r="G213" s="13" t="s">
        <v>67</v>
      </c>
      <c r="H213">
        <v>155000</v>
      </c>
      <c r="I213" s="13" t="s">
        <v>86</v>
      </c>
      <c r="J213" s="13" t="s">
        <v>87</v>
      </c>
      <c r="K213" s="13" t="s">
        <v>58</v>
      </c>
      <c r="L213" s="13" t="s">
        <v>368</v>
      </c>
      <c r="M213">
        <v>90</v>
      </c>
      <c r="N213">
        <v>0</v>
      </c>
      <c r="O213" s="14">
        <v>45926</v>
      </c>
      <c r="P213" s="14">
        <v>46016</v>
      </c>
      <c r="Q213">
        <v>1612.17</v>
      </c>
      <c r="R213">
        <v>0</v>
      </c>
      <c r="S213">
        <v>0</v>
      </c>
      <c r="T213">
        <v>0</v>
      </c>
      <c r="U213">
        <v>0</v>
      </c>
      <c r="V213">
        <v>1612.17</v>
      </c>
      <c r="W213">
        <v>0</v>
      </c>
      <c r="X213">
        <v>1</v>
      </c>
      <c r="Y213">
        <v>1</v>
      </c>
      <c r="Z213">
        <v>6</v>
      </c>
      <c r="AA213">
        <v>2</v>
      </c>
      <c r="AB213" s="13" t="s">
        <v>405</v>
      </c>
      <c r="AC213">
        <v>0.25</v>
      </c>
      <c r="AD213">
        <v>0</v>
      </c>
      <c r="AE213" s="13" t="s">
        <v>61</v>
      </c>
    </row>
    <row r="214" spans="1:31" x14ac:dyDescent="0.35">
      <c r="A214" s="13" t="s">
        <v>523</v>
      </c>
      <c r="B214" s="13" t="s">
        <v>455</v>
      </c>
      <c r="C214" s="13" t="s">
        <v>456</v>
      </c>
      <c r="D214" s="13" t="s">
        <v>126</v>
      </c>
      <c r="E214" s="13" t="s">
        <v>71</v>
      </c>
      <c r="F214" s="13" t="s">
        <v>214</v>
      </c>
      <c r="G214" s="13" t="s">
        <v>67</v>
      </c>
      <c r="H214">
        <v>120000</v>
      </c>
      <c r="I214" s="13" t="s">
        <v>105</v>
      </c>
      <c r="J214" s="13" t="s">
        <v>106</v>
      </c>
      <c r="K214" s="13" t="s">
        <v>107</v>
      </c>
      <c r="L214" s="13" t="s">
        <v>368</v>
      </c>
      <c r="M214">
        <v>90</v>
      </c>
      <c r="N214">
        <v>0</v>
      </c>
      <c r="O214" s="14">
        <v>45926</v>
      </c>
      <c r="P214" s="14">
        <v>46016</v>
      </c>
      <c r="Q214">
        <v>3947.92</v>
      </c>
      <c r="R214">
        <v>0</v>
      </c>
      <c r="S214">
        <v>0</v>
      </c>
      <c r="T214">
        <v>0</v>
      </c>
      <c r="U214">
        <v>0</v>
      </c>
      <c r="V214">
        <v>3947.92</v>
      </c>
      <c r="W214">
        <v>0</v>
      </c>
      <c r="X214">
        <v>1</v>
      </c>
      <c r="Y214">
        <v>1</v>
      </c>
      <c r="Z214">
        <v>6</v>
      </c>
      <c r="AA214">
        <v>2</v>
      </c>
      <c r="AB214" s="13" t="s">
        <v>405</v>
      </c>
      <c r="AC214">
        <v>0.25</v>
      </c>
      <c r="AD214">
        <v>0</v>
      </c>
      <c r="AE214" s="13" t="s">
        <v>61</v>
      </c>
    </row>
    <row r="215" spans="1:31" x14ac:dyDescent="0.35">
      <c r="A215" s="13" t="s">
        <v>524</v>
      </c>
      <c r="B215" s="13" t="s">
        <v>525</v>
      </c>
      <c r="C215" s="13" t="s">
        <v>526</v>
      </c>
      <c r="D215" s="13" t="s">
        <v>126</v>
      </c>
      <c r="E215" s="13" t="s">
        <v>53</v>
      </c>
      <c r="F215" s="13" t="s">
        <v>54</v>
      </c>
      <c r="G215" s="13" t="s">
        <v>67</v>
      </c>
      <c r="H215">
        <v>95000</v>
      </c>
      <c r="I215" s="13" t="s">
        <v>105</v>
      </c>
      <c r="J215" s="13" t="s">
        <v>106</v>
      </c>
      <c r="K215" s="13" t="s">
        <v>107</v>
      </c>
      <c r="L215" s="13" t="s">
        <v>368</v>
      </c>
      <c r="M215">
        <v>90</v>
      </c>
      <c r="N215">
        <v>0</v>
      </c>
      <c r="O215" s="14">
        <v>45926</v>
      </c>
      <c r="P215" s="14">
        <v>46016</v>
      </c>
      <c r="Q215">
        <v>6497.77</v>
      </c>
      <c r="R215">
        <v>0</v>
      </c>
      <c r="S215">
        <v>0</v>
      </c>
      <c r="T215">
        <v>0</v>
      </c>
      <c r="U215">
        <v>0</v>
      </c>
      <c r="V215">
        <v>6497.77</v>
      </c>
      <c r="W215">
        <v>0</v>
      </c>
      <c r="X215">
        <v>1</v>
      </c>
      <c r="Y215">
        <v>1</v>
      </c>
      <c r="Z215">
        <v>6</v>
      </c>
      <c r="AA215">
        <v>2</v>
      </c>
      <c r="AB215" s="13" t="s">
        <v>405</v>
      </c>
      <c r="AC215">
        <v>0.25</v>
      </c>
      <c r="AD215">
        <v>0</v>
      </c>
      <c r="AE215" s="13" t="s">
        <v>61</v>
      </c>
    </row>
    <row r="216" spans="1:31" x14ac:dyDescent="0.35">
      <c r="A216" s="13" t="s">
        <v>527</v>
      </c>
      <c r="B216" s="13" t="s">
        <v>528</v>
      </c>
      <c r="C216" s="13" t="s">
        <v>529</v>
      </c>
      <c r="D216" s="13" t="s">
        <v>104</v>
      </c>
      <c r="E216" s="13" t="s">
        <v>71</v>
      </c>
      <c r="F216" s="13" t="s">
        <v>214</v>
      </c>
      <c r="G216" s="13" t="s">
        <v>55</v>
      </c>
      <c r="H216">
        <v>40000</v>
      </c>
      <c r="I216" s="13" t="s">
        <v>105</v>
      </c>
      <c r="J216" s="13" t="s">
        <v>106</v>
      </c>
      <c r="K216" s="13" t="s">
        <v>107</v>
      </c>
      <c r="L216" s="13" t="s">
        <v>88</v>
      </c>
      <c r="M216">
        <v>60</v>
      </c>
      <c r="N216">
        <v>0</v>
      </c>
      <c r="O216" s="14">
        <v>45926</v>
      </c>
      <c r="P216" s="14">
        <v>45986</v>
      </c>
      <c r="Q216">
        <v>1215.6199999999999</v>
      </c>
      <c r="R216">
        <v>729.37</v>
      </c>
      <c r="S216">
        <v>0</v>
      </c>
      <c r="T216">
        <v>0</v>
      </c>
      <c r="U216">
        <v>0</v>
      </c>
      <c r="V216">
        <v>486.25</v>
      </c>
      <c r="W216">
        <v>0</v>
      </c>
      <c r="X216">
        <v>1</v>
      </c>
      <c r="Y216">
        <v>1</v>
      </c>
      <c r="Z216">
        <v>36</v>
      </c>
      <c r="AA216">
        <v>3</v>
      </c>
      <c r="AB216" s="13" t="s">
        <v>369</v>
      </c>
      <c r="AC216">
        <v>0.5</v>
      </c>
      <c r="AD216">
        <v>0</v>
      </c>
      <c r="AE216" s="13" t="s">
        <v>61</v>
      </c>
    </row>
    <row r="217" spans="1:31" x14ac:dyDescent="0.35">
      <c r="A217" s="13" t="s">
        <v>530</v>
      </c>
      <c r="B217" s="13" t="s">
        <v>425</v>
      </c>
      <c r="C217" s="13" t="s">
        <v>426</v>
      </c>
      <c r="D217" s="13" t="s">
        <v>126</v>
      </c>
      <c r="E217" s="13" t="s">
        <v>77</v>
      </c>
      <c r="F217" s="13" t="s">
        <v>78</v>
      </c>
      <c r="G217" s="13" t="s">
        <v>67</v>
      </c>
      <c r="H217">
        <v>230000</v>
      </c>
      <c r="I217" s="13" t="s">
        <v>56</v>
      </c>
      <c r="J217" s="13" t="s">
        <v>57</v>
      </c>
      <c r="K217" s="13" t="s">
        <v>58</v>
      </c>
      <c r="L217" s="13" t="s">
        <v>368</v>
      </c>
      <c r="M217">
        <v>90</v>
      </c>
      <c r="N217">
        <v>0</v>
      </c>
      <c r="O217" s="14">
        <v>45926</v>
      </c>
      <c r="P217" s="14">
        <v>46016</v>
      </c>
      <c r="Q217">
        <v>3195.62</v>
      </c>
      <c r="R217">
        <v>0</v>
      </c>
      <c r="S217">
        <v>0</v>
      </c>
      <c r="T217">
        <v>0</v>
      </c>
      <c r="U217">
        <v>0</v>
      </c>
      <c r="V217">
        <v>3195.62</v>
      </c>
      <c r="W217">
        <v>0</v>
      </c>
      <c r="X217">
        <v>1</v>
      </c>
      <c r="Y217">
        <v>1</v>
      </c>
      <c r="Z217">
        <v>6</v>
      </c>
      <c r="AA217">
        <v>2</v>
      </c>
      <c r="AB217" s="13" t="s">
        <v>405</v>
      </c>
      <c r="AC217">
        <v>0.25</v>
      </c>
      <c r="AD217">
        <v>0</v>
      </c>
      <c r="AE217" s="13" t="s">
        <v>61</v>
      </c>
    </row>
    <row r="218" spans="1:31" x14ac:dyDescent="0.35">
      <c r="A218" s="13" t="s">
        <v>531</v>
      </c>
      <c r="B218" s="13" t="s">
        <v>390</v>
      </c>
      <c r="C218" s="13" t="s">
        <v>391</v>
      </c>
      <c r="D218" s="13" t="s">
        <v>52</v>
      </c>
      <c r="E218" s="13" t="s">
        <v>71</v>
      </c>
      <c r="F218" s="13" t="s">
        <v>72</v>
      </c>
      <c r="G218" s="13" t="s">
        <v>55</v>
      </c>
      <c r="H218">
        <v>320000</v>
      </c>
      <c r="I218" s="13" t="s">
        <v>86</v>
      </c>
      <c r="J218" s="13" t="s">
        <v>87</v>
      </c>
      <c r="K218" s="13" t="s">
        <v>58</v>
      </c>
      <c r="L218" s="13" t="s">
        <v>88</v>
      </c>
      <c r="M218">
        <v>60</v>
      </c>
      <c r="N218">
        <v>0</v>
      </c>
      <c r="O218" s="14">
        <v>45926</v>
      </c>
      <c r="P218" s="14">
        <v>45986</v>
      </c>
      <c r="Q218">
        <v>3418.38</v>
      </c>
      <c r="R218">
        <v>0</v>
      </c>
      <c r="S218">
        <v>0</v>
      </c>
      <c r="T218">
        <v>0</v>
      </c>
      <c r="U218">
        <v>0</v>
      </c>
      <c r="V218">
        <v>3418.38</v>
      </c>
      <c r="W218">
        <v>0</v>
      </c>
      <c r="X218">
        <v>1</v>
      </c>
      <c r="Y218">
        <v>1</v>
      </c>
      <c r="Z218">
        <v>36</v>
      </c>
      <c r="AA218">
        <v>3</v>
      </c>
      <c r="AB218" s="13" t="s">
        <v>369</v>
      </c>
      <c r="AC218">
        <v>0.5</v>
      </c>
      <c r="AD218">
        <v>0</v>
      </c>
      <c r="AE218" s="13" t="s">
        <v>61</v>
      </c>
    </row>
    <row r="219" spans="1:31" x14ac:dyDescent="0.35">
      <c r="A219" s="13" t="s">
        <v>532</v>
      </c>
      <c r="B219" s="13" t="s">
        <v>533</v>
      </c>
      <c r="C219" s="13" t="s">
        <v>534</v>
      </c>
      <c r="D219" s="13" t="s">
        <v>126</v>
      </c>
      <c r="E219" s="13" t="s">
        <v>99</v>
      </c>
      <c r="F219" s="13" t="s">
        <v>127</v>
      </c>
      <c r="G219" s="13" t="s">
        <v>67</v>
      </c>
      <c r="H219">
        <v>205000</v>
      </c>
      <c r="I219" s="13" t="s">
        <v>86</v>
      </c>
      <c r="J219" s="13" t="s">
        <v>87</v>
      </c>
      <c r="K219" s="13" t="s">
        <v>58</v>
      </c>
      <c r="L219" s="13" t="s">
        <v>368</v>
      </c>
      <c r="M219">
        <v>90</v>
      </c>
      <c r="N219">
        <v>0</v>
      </c>
      <c r="O219" s="14">
        <v>45926</v>
      </c>
      <c r="P219" s="14">
        <v>46016</v>
      </c>
      <c r="Q219">
        <v>1311.99</v>
      </c>
      <c r="R219">
        <v>0</v>
      </c>
      <c r="S219">
        <v>0</v>
      </c>
      <c r="T219">
        <v>0</v>
      </c>
      <c r="U219">
        <v>0</v>
      </c>
      <c r="V219">
        <v>1311.99</v>
      </c>
      <c r="W219">
        <v>0</v>
      </c>
      <c r="X219">
        <v>1</v>
      </c>
      <c r="Y219">
        <v>1</v>
      </c>
      <c r="Z219">
        <v>6</v>
      </c>
      <c r="AA219">
        <v>2</v>
      </c>
      <c r="AB219" s="13" t="s">
        <v>405</v>
      </c>
      <c r="AC219">
        <v>0.25</v>
      </c>
      <c r="AD219">
        <v>0</v>
      </c>
      <c r="AE219" s="13" t="s">
        <v>61</v>
      </c>
    </row>
    <row r="220" spans="1:31" x14ac:dyDescent="0.35">
      <c r="A220" s="13" t="s">
        <v>535</v>
      </c>
      <c r="B220" s="13" t="s">
        <v>409</v>
      </c>
      <c r="C220" s="13" t="s">
        <v>410</v>
      </c>
      <c r="D220" s="13" t="s">
        <v>126</v>
      </c>
      <c r="E220" s="13" t="s">
        <v>71</v>
      </c>
      <c r="F220" s="13" t="s">
        <v>72</v>
      </c>
      <c r="G220" s="13" t="s">
        <v>67</v>
      </c>
      <c r="H220">
        <v>195000</v>
      </c>
      <c r="I220" s="13" t="s">
        <v>56</v>
      </c>
      <c r="J220" s="13" t="s">
        <v>57</v>
      </c>
      <c r="K220" s="13" t="s">
        <v>58</v>
      </c>
      <c r="L220" s="13" t="s">
        <v>368</v>
      </c>
      <c r="M220">
        <v>90</v>
      </c>
      <c r="N220">
        <v>0</v>
      </c>
      <c r="O220" s="14">
        <v>45929</v>
      </c>
      <c r="P220" s="14">
        <v>46019</v>
      </c>
      <c r="Q220">
        <v>1240.28</v>
      </c>
      <c r="R220">
        <v>0</v>
      </c>
      <c r="S220">
        <v>0</v>
      </c>
      <c r="T220">
        <v>0</v>
      </c>
      <c r="U220">
        <v>0</v>
      </c>
      <c r="V220">
        <v>1240.28</v>
      </c>
      <c r="W220">
        <v>0</v>
      </c>
      <c r="X220">
        <v>1</v>
      </c>
      <c r="Y220">
        <v>1</v>
      </c>
      <c r="Z220">
        <v>3</v>
      </c>
      <c r="AA220">
        <v>2</v>
      </c>
      <c r="AB220" s="13" t="s">
        <v>405</v>
      </c>
      <c r="AC220">
        <v>0.25</v>
      </c>
      <c r="AD220">
        <v>0</v>
      </c>
      <c r="AE220" s="13" t="s">
        <v>61</v>
      </c>
    </row>
    <row r="221" spans="1:31" x14ac:dyDescent="0.35">
      <c r="A221" s="13" t="s">
        <v>536</v>
      </c>
      <c r="B221" s="13" t="s">
        <v>216</v>
      </c>
      <c r="C221" s="13" t="s">
        <v>217</v>
      </c>
      <c r="D221" s="13" t="s">
        <v>52</v>
      </c>
      <c r="E221" s="13" t="s">
        <v>65</v>
      </c>
      <c r="F221" s="13" t="s">
        <v>66</v>
      </c>
      <c r="G221" s="13" t="s">
        <v>67</v>
      </c>
      <c r="H221">
        <v>515000</v>
      </c>
      <c r="I221" s="13" t="s">
        <v>86</v>
      </c>
      <c r="J221" s="13" t="s">
        <v>87</v>
      </c>
      <c r="K221" s="13" t="s">
        <v>58</v>
      </c>
      <c r="L221" s="13" t="s">
        <v>88</v>
      </c>
      <c r="M221">
        <v>60</v>
      </c>
      <c r="N221">
        <v>0</v>
      </c>
      <c r="O221" s="14">
        <v>45929</v>
      </c>
      <c r="P221" s="14">
        <v>45989</v>
      </c>
      <c r="Q221">
        <v>15069.94</v>
      </c>
      <c r="R221">
        <v>0</v>
      </c>
      <c r="S221">
        <v>0</v>
      </c>
      <c r="T221">
        <v>0</v>
      </c>
      <c r="U221">
        <v>0</v>
      </c>
      <c r="V221">
        <v>15069.94</v>
      </c>
      <c r="W221">
        <v>0</v>
      </c>
      <c r="X221">
        <v>1</v>
      </c>
      <c r="Y221">
        <v>1</v>
      </c>
      <c r="Z221">
        <v>33</v>
      </c>
      <c r="AA221">
        <v>3</v>
      </c>
      <c r="AB221" s="13" t="s">
        <v>369</v>
      </c>
      <c r="AC221">
        <v>0.5</v>
      </c>
      <c r="AD221">
        <v>0</v>
      </c>
      <c r="AE221" s="13" t="s">
        <v>61</v>
      </c>
    </row>
    <row r="222" spans="1:31" x14ac:dyDescent="0.35">
      <c r="A222" s="13" t="s">
        <v>537</v>
      </c>
      <c r="B222" s="13" t="s">
        <v>452</v>
      </c>
      <c r="C222" s="13" t="s">
        <v>453</v>
      </c>
      <c r="D222" s="13" t="s">
        <v>126</v>
      </c>
      <c r="E222" s="13" t="s">
        <v>71</v>
      </c>
      <c r="F222" s="13" t="s">
        <v>214</v>
      </c>
      <c r="G222" s="13" t="s">
        <v>67</v>
      </c>
      <c r="H222">
        <v>110000</v>
      </c>
      <c r="I222" s="13" t="s">
        <v>121</v>
      </c>
      <c r="J222" s="13" t="s">
        <v>122</v>
      </c>
      <c r="K222" s="13" t="s">
        <v>107</v>
      </c>
      <c r="L222" s="13" t="s">
        <v>368</v>
      </c>
      <c r="M222">
        <v>90</v>
      </c>
      <c r="N222">
        <v>0</v>
      </c>
      <c r="O222" s="14">
        <v>45929</v>
      </c>
      <c r="P222" s="14">
        <v>46019</v>
      </c>
      <c r="Q222">
        <v>3299.33</v>
      </c>
      <c r="R222">
        <v>0</v>
      </c>
      <c r="S222">
        <v>0</v>
      </c>
      <c r="T222">
        <v>0</v>
      </c>
      <c r="U222">
        <v>0</v>
      </c>
      <c r="V222">
        <v>3299.33</v>
      </c>
      <c r="W222">
        <v>0</v>
      </c>
      <c r="X222">
        <v>1</v>
      </c>
      <c r="Y222">
        <v>1</v>
      </c>
      <c r="Z222">
        <v>3</v>
      </c>
      <c r="AA222">
        <v>2</v>
      </c>
      <c r="AB222" s="13" t="s">
        <v>405</v>
      </c>
      <c r="AC222">
        <v>0.25</v>
      </c>
      <c r="AD222">
        <v>0</v>
      </c>
      <c r="AE222" s="13" t="s">
        <v>61</v>
      </c>
    </row>
    <row r="223" spans="1:31" x14ac:dyDescent="0.35">
      <c r="A223" s="13" t="s">
        <v>538</v>
      </c>
      <c r="B223" s="13" t="s">
        <v>539</v>
      </c>
      <c r="C223" s="13" t="s">
        <v>540</v>
      </c>
      <c r="D223" s="13" t="s">
        <v>52</v>
      </c>
      <c r="E223" s="13" t="s">
        <v>65</v>
      </c>
      <c r="F223" s="13" t="s">
        <v>66</v>
      </c>
      <c r="G223" s="13" t="s">
        <v>67</v>
      </c>
      <c r="H223">
        <v>435000</v>
      </c>
      <c r="I223" s="13" t="s">
        <v>56</v>
      </c>
      <c r="J223" s="13" t="s">
        <v>57</v>
      </c>
      <c r="K223" s="13" t="s">
        <v>58</v>
      </c>
      <c r="L223" s="13" t="s">
        <v>59</v>
      </c>
      <c r="M223">
        <v>45</v>
      </c>
      <c r="N223">
        <v>0</v>
      </c>
      <c r="O223" s="14">
        <v>45929</v>
      </c>
      <c r="P223" s="14">
        <v>45974</v>
      </c>
      <c r="Q223">
        <v>2085.2199999999998</v>
      </c>
      <c r="R223">
        <v>1251.1300000000001</v>
      </c>
      <c r="S223">
        <v>0</v>
      </c>
      <c r="T223">
        <v>0</v>
      </c>
      <c r="U223">
        <v>0</v>
      </c>
      <c r="V223">
        <v>834.09</v>
      </c>
      <c r="W223">
        <v>0</v>
      </c>
      <c r="X223">
        <v>1</v>
      </c>
      <c r="Y223">
        <v>1</v>
      </c>
      <c r="Z223">
        <v>48</v>
      </c>
      <c r="AA223">
        <v>3</v>
      </c>
      <c r="AB223" s="13" t="s">
        <v>369</v>
      </c>
      <c r="AC223">
        <v>0.5</v>
      </c>
      <c r="AD223">
        <v>0</v>
      </c>
      <c r="AE223" s="13" t="s">
        <v>61</v>
      </c>
    </row>
    <row r="224" spans="1:31" x14ac:dyDescent="0.35">
      <c r="A224" s="13" t="s">
        <v>541</v>
      </c>
      <c r="B224" s="13" t="s">
        <v>542</v>
      </c>
      <c r="C224" s="13" t="s">
        <v>543</v>
      </c>
      <c r="D224" s="13" t="s">
        <v>126</v>
      </c>
      <c r="E224" s="13" t="s">
        <v>71</v>
      </c>
      <c r="F224" s="13" t="s">
        <v>72</v>
      </c>
      <c r="G224" s="13" t="s">
        <v>67</v>
      </c>
      <c r="H224">
        <v>95000</v>
      </c>
      <c r="I224" s="13" t="s">
        <v>121</v>
      </c>
      <c r="J224" s="13" t="s">
        <v>122</v>
      </c>
      <c r="K224" s="13" t="s">
        <v>107</v>
      </c>
      <c r="L224" s="13" t="s">
        <v>368</v>
      </c>
      <c r="M224">
        <v>90</v>
      </c>
      <c r="N224">
        <v>0</v>
      </c>
      <c r="O224" s="14">
        <v>45929</v>
      </c>
      <c r="P224" s="14">
        <v>46019</v>
      </c>
      <c r="Q224">
        <v>10466.030000000001</v>
      </c>
      <c r="R224">
        <v>0</v>
      </c>
      <c r="S224">
        <v>0</v>
      </c>
      <c r="T224">
        <v>0</v>
      </c>
      <c r="U224">
        <v>0</v>
      </c>
      <c r="V224">
        <v>10466.030000000001</v>
      </c>
      <c r="W224">
        <v>0</v>
      </c>
      <c r="X224">
        <v>1</v>
      </c>
      <c r="Y224">
        <v>1</v>
      </c>
      <c r="Z224">
        <v>3</v>
      </c>
      <c r="AA224">
        <v>2</v>
      </c>
      <c r="AB224" s="13" t="s">
        <v>405</v>
      </c>
      <c r="AC224">
        <v>0.25</v>
      </c>
      <c r="AD224">
        <v>0</v>
      </c>
      <c r="AE224" s="13" t="s">
        <v>61</v>
      </c>
    </row>
    <row r="225" spans="1:31" x14ac:dyDescent="0.35">
      <c r="A225" s="13" t="s">
        <v>544</v>
      </c>
      <c r="B225" s="13" t="s">
        <v>446</v>
      </c>
      <c r="C225" s="13" t="s">
        <v>447</v>
      </c>
      <c r="D225" s="13" t="s">
        <v>52</v>
      </c>
      <c r="E225" s="13" t="s">
        <v>53</v>
      </c>
      <c r="F225" s="13" t="s">
        <v>54</v>
      </c>
      <c r="G225" s="13" t="s">
        <v>67</v>
      </c>
      <c r="H225">
        <v>245000</v>
      </c>
      <c r="I225" s="13" t="s">
        <v>86</v>
      </c>
      <c r="J225" s="13" t="s">
        <v>87</v>
      </c>
      <c r="K225" s="13" t="s">
        <v>58</v>
      </c>
      <c r="L225" s="13" t="s">
        <v>88</v>
      </c>
      <c r="M225">
        <v>60</v>
      </c>
      <c r="N225">
        <v>0</v>
      </c>
      <c r="O225" s="14">
        <v>45929</v>
      </c>
      <c r="P225" s="14">
        <v>45989</v>
      </c>
      <c r="Q225">
        <v>5677.83</v>
      </c>
      <c r="R225">
        <v>0</v>
      </c>
      <c r="S225">
        <v>0</v>
      </c>
      <c r="T225">
        <v>0</v>
      </c>
      <c r="U225">
        <v>0</v>
      </c>
      <c r="V225">
        <v>5677.83</v>
      </c>
      <c r="W225">
        <v>0</v>
      </c>
      <c r="X225">
        <v>1</v>
      </c>
      <c r="Y225">
        <v>1</v>
      </c>
      <c r="Z225">
        <v>33</v>
      </c>
      <c r="AA225">
        <v>3</v>
      </c>
      <c r="AB225" s="13" t="s">
        <v>369</v>
      </c>
      <c r="AC225">
        <v>0.5</v>
      </c>
      <c r="AD225">
        <v>0</v>
      </c>
      <c r="AE225" s="13" t="s">
        <v>61</v>
      </c>
    </row>
    <row r="226" spans="1:31" x14ac:dyDescent="0.35">
      <c r="A226" s="13" t="s">
        <v>545</v>
      </c>
      <c r="B226" s="13" t="s">
        <v>296</v>
      </c>
      <c r="C226" s="13" t="s">
        <v>297</v>
      </c>
      <c r="D226" s="13" t="s">
        <v>104</v>
      </c>
      <c r="E226" s="13" t="s">
        <v>65</v>
      </c>
      <c r="F226" s="13" t="s">
        <v>111</v>
      </c>
      <c r="G226" s="13" t="s">
        <v>92</v>
      </c>
      <c r="H226">
        <v>125000</v>
      </c>
      <c r="I226" s="13" t="s">
        <v>105</v>
      </c>
      <c r="J226" s="13" t="s">
        <v>106</v>
      </c>
      <c r="K226" s="13" t="s">
        <v>107</v>
      </c>
      <c r="L226" s="13" t="s">
        <v>82</v>
      </c>
      <c r="M226">
        <v>30</v>
      </c>
      <c r="N226">
        <v>2</v>
      </c>
      <c r="O226" s="14">
        <v>45929</v>
      </c>
      <c r="P226" s="14">
        <v>45959</v>
      </c>
      <c r="Q226">
        <v>8147.81</v>
      </c>
      <c r="R226">
        <v>0</v>
      </c>
      <c r="S226">
        <v>0</v>
      </c>
      <c r="T226">
        <v>0</v>
      </c>
      <c r="U226">
        <v>0</v>
      </c>
      <c r="V226">
        <v>8147.81</v>
      </c>
      <c r="W226">
        <v>0</v>
      </c>
      <c r="X226">
        <v>1</v>
      </c>
      <c r="Y226">
        <v>1</v>
      </c>
      <c r="Z226">
        <v>63</v>
      </c>
      <c r="AA226">
        <v>4</v>
      </c>
      <c r="AB226" s="13" t="s">
        <v>334</v>
      </c>
      <c r="AC226">
        <v>0.75</v>
      </c>
      <c r="AD226">
        <v>0</v>
      </c>
      <c r="AE226" s="13" t="s">
        <v>61</v>
      </c>
    </row>
    <row r="227" spans="1:31" x14ac:dyDescent="0.35">
      <c r="A227" s="13" t="s">
        <v>546</v>
      </c>
      <c r="B227" s="13" t="s">
        <v>547</v>
      </c>
      <c r="C227" s="13" t="s">
        <v>548</v>
      </c>
      <c r="D227" s="13" t="s">
        <v>52</v>
      </c>
      <c r="E227" s="13" t="s">
        <v>71</v>
      </c>
      <c r="F227" s="13" t="s">
        <v>72</v>
      </c>
      <c r="G227" s="13" t="s">
        <v>92</v>
      </c>
      <c r="H227">
        <v>160000</v>
      </c>
      <c r="I227" s="13" t="s">
        <v>86</v>
      </c>
      <c r="J227" s="13" t="s">
        <v>87</v>
      </c>
      <c r="K227" s="13" t="s">
        <v>58</v>
      </c>
      <c r="L227" s="13" t="s">
        <v>88</v>
      </c>
      <c r="M227">
        <v>60</v>
      </c>
      <c r="N227">
        <v>0</v>
      </c>
      <c r="O227" s="14">
        <v>45929</v>
      </c>
      <c r="P227" s="14">
        <v>45989</v>
      </c>
      <c r="Q227">
        <v>5419.85</v>
      </c>
      <c r="R227">
        <v>0</v>
      </c>
      <c r="S227">
        <v>0</v>
      </c>
      <c r="T227">
        <v>0</v>
      </c>
      <c r="U227">
        <v>0</v>
      </c>
      <c r="V227">
        <v>5419.85</v>
      </c>
      <c r="W227">
        <v>0</v>
      </c>
      <c r="X227">
        <v>1</v>
      </c>
      <c r="Y227">
        <v>1</v>
      </c>
      <c r="Z227">
        <v>33</v>
      </c>
      <c r="AA227">
        <v>3</v>
      </c>
      <c r="AB227" s="13" t="s">
        <v>369</v>
      </c>
      <c r="AC227">
        <v>0.5</v>
      </c>
      <c r="AD227">
        <v>0</v>
      </c>
      <c r="AE227" s="13" t="s">
        <v>61</v>
      </c>
    </row>
    <row r="228" spans="1:31" x14ac:dyDescent="0.35">
      <c r="A228" s="13" t="s">
        <v>549</v>
      </c>
      <c r="B228" s="13" t="s">
        <v>550</v>
      </c>
      <c r="C228" s="13" t="s">
        <v>551</v>
      </c>
      <c r="D228" s="13" t="s">
        <v>104</v>
      </c>
      <c r="E228" s="13" t="s">
        <v>71</v>
      </c>
      <c r="F228" s="13" t="s">
        <v>214</v>
      </c>
      <c r="G228" s="13" t="s">
        <v>55</v>
      </c>
      <c r="H228">
        <v>110000</v>
      </c>
      <c r="I228" s="13" t="s">
        <v>121</v>
      </c>
      <c r="J228" s="13" t="s">
        <v>122</v>
      </c>
      <c r="K228" s="13" t="s">
        <v>107</v>
      </c>
      <c r="L228" s="13" t="s">
        <v>88</v>
      </c>
      <c r="M228">
        <v>60</v>
      </c>
      <c r="N228">
        <v>0</v>
      </c>
      <c r="O228" s="14">
        <v>45929</v>
      </c>
      <c r="P228" s="14">
        <v>45989</v>
      </c>
      <c r="Q228">
        <v>805.15</v>
      </c>
      <c r="R228">
        <v>483.09</v>
      </c>
      <c r="S228">
        <v>0</v>
      </c>
      <c r="T228">
        <v>0</v>
      </c>
      <c r="U228">
        <v>0</v>
      </c>
      <c r="V228">
        <v>322.06</v>
      </c>
      <c r="W228">
        <v>0</v>
      </c>
      <c r="X228">
        <v>1</v>
      </c>
      <c r="Y228">
        <v>1</v>
      </c>
      <c r="Z228">
        <v>33</v>
      </c>
      <c r="AA228">
        <v>3</v>
      </c>
      <c r="AB228" s="13" t="s">
        <v>369</v>
      </c>
      <c r="AC228">
        <v>0.5</v>
      </c>
      <c r="AD228">
        <v>0</v>
      </c>
      <c r="AE228" s="13" t="s">
        <v>61</v>
      </c>
    </row>
    <row r="229" spans="1:31" x14ac:dyDescent="0.35">
      <c r="A229" s="13" t="s">
        <v>552</v>
      </c>
      <c r="B229" s="13" t="s">
        <v>286</v>
      </c>
      <c r="C229" s="13" t="s">
        <v>287</v>
      </c>
      <c r="D229" s="13" t="s">
        <v>104</v>
      </c>
      <c r="E229" s="13" t="s">
        <v>77</v>
      </c>
      <c r="F229" s="13" t="s">
        <v>174</v>
      </c>
      <c r="G229" s="13" t="s">
        <v>92</v>
      </c>
      <c r="H229">
        <v>150000</v>
      </c>
      <c r="I229" s="13" t="s">
        <v>86</v>
      </c>
      <c r="J229" s="13" t="s">
        <v>87</v>
      </c>
      <c r="K229" s="13" t="s">
        <v>58</v>
      </c>
      <c r="L229" s="13" t="s">
        <v>95</v>
      </c>
      <c r="M229">
        <v>30</v>
      </c>
      <c r="N229">
        <v>0</v>
      </c>
      <c r="O229" s="14">
        <v>45930</v>
      </c>
      <c r="P229" s="14">
        <v>45960</v>
      </c>
      <c r="Q229">
        <v>2813.2</v>
      </c>
      <c r="R229">
        <v>0</v>
      </c>
      <c r="S229">
        <v>0</v>
      </c>
      <c r="T229">
        <v>0</v>
      </c>
      <c r="U229">
        <v>0</v>
      </c>
      <c r="V229">
        <v>2813.2</v>
      </c>
      <c r="W229">
        <v>0</v>
      </c>
      <c r="X229">
        <v>1</v>
      </c>
      <c r="Y229">
        <v>1</v>
      </c>
      <c r="Z229">
        <v>62</v>
      </c>
      <c r="AA229">
        <v>4</v>
      </c>
      <c r="AB229" s="13" t="s">
        <v>334</v>
      </c>
      <c r="AC229">
        <v>0.75</v>
      </c>
      <c r="AD229">
        <v>0</v>
      </c>
      <c r="AE229" s="13" t="s">
        <v>61</v>
      </c>
    </row>
    <row r="230" spans="1:31" x14ac:dyDescent="0.35">
      <c r="A230" s="13" t="s">
        <v>553</v>
      </c>
      <c r="B230" s="13" t="s">
        <v>97</v>
      </c>
      <c r="C230" s="13" t="s">
        <v>98</v>
      </c>
      <c r="D230" s="13" t="s">
        <v>76</v>
      </c>
      <c r="E230" s="13" t="s">
        <v>99</v>
      </c>
      <c r="F230" s="13" t="s">
        <v>100</v>
      </c>
      <c r="G230" s="13" t="s">
        <v>67</v>
      </c>
      <c r="H230">
        <v>60000</v>
      </c>
      <c r="I230" s="13" t="s">
        <v>93</v>
      </c>
      <c r="J230" s="13" t="s">
        <v>94</v>
      </c>
      <c r="K230" s="13" t="s">
        <v>81</v>
      </c>
      <c r="L230" s="13" t="s">
        <v>82</v>
      </c>
      <c r="M230">
        <v>30</v>
      </c>
      <c r="N230">
        <v>2</v>
      </c>
      <c r="O230" s="14">
        <v>45930</v>
      </c>
      <c r="P230" s="14">
        <v>45960</v>
      </c>
      <c r="Q230">
        <v>824.24</v>
      </c>
      <c r="R230">
        <v>0</v>
      </c>
      <c r="S230">
        <v>0</v>
      </c>
      <c r="T230">
        <v>0</v>
      </c>
      <c r="U230">
        <v>0</v>
      </c>
      <c r="V230">
        <v>824.24</v>
      </c>
      <c r="W230">
        <v>0</v>
      </c>
      <c r="X230">
        <v>1</v>
      </c>
      <c r="Y230">
        <v>1</v>
      </c>
      <c r="Z230">
        <v>62</v>
      </c>
      <c r="AA230">
        <v>4</v>
      </c>
      <c r="AB230" s="13" t="s">
        <v>334</v>
      </c>
      <c r="AC230">
        <v>0.75</v>
      </c>
      <c r="AD230">
        <v>1</v>
      </c>
      <c r="AE230" s="13" t="s">
        <v>377</v>
      </c>
    </row>
    <row r="231" spans="1:31" x14ac:dyDescent="0.35">
      <c r="A231" s="13" t="s">
        <v>554</v>
      </c>
      <c r="B231" s="13" t="s">
        <v>555</v>
      </c>
      <c r="C231" s="13" t="s">
        <v>556</v>
      </c>
      <c r="D231" s="13" t="s">
        <v>104</v>
      </c>
      <c r="E231" s="13" t="s">
        <v>65</v>
      </c>
      <c r="F231" s="13" t="s">
        <v>66</v>
      </c>
      <c r="G231" s="13" t="s">
        <v>55</v>
      </c>
      <c r="H231">
        <v>115000</v>
      </c>
      <c r="I231" s="13" t="s">
        <v>121</v>
      </c>
      <c r="J231" s="13" t="s">
        <v>122</v>
      </c>
      <c r="K231" s="13" t="s">
        <v>107</v>
      </c>
      <c r="L231" s="13" t="s">
        <v>95</v>
      </c>
      <c r="M231">
        <v>30</v>
      </c>
      <c r="N231">
        <v>0</v>
      </c>
      <c r="O231" s="14">
        <v>45930</v>
      </c>
      <c r="P231" s="14">
        <v>45960</v>
      </c>
      <c r="Q231">
        <v>5244.45</v>
      </c>
      <c r="R231">
        <v>0</v>
      </c>
      <c r="S231">
        <v>0</v>
      </c>
      <c r="T231">
        <v>1206.22</v>
      </c>
      <c r="U231">
        <v>0</v>
      </c>
      <c r="V231">
        <v>4038.23</v>
      </c>
      <c r="W231">
        <v>0</v>
      </c>
      <c r="X231">
        <v>1</v>
      </c>
      <c r="Y231">
        <v>1</v>
      </c>
      <c r="Z231">
        <v>62</v>
      </c>
      <c r="AA231">
        <v>4</v>
      </c>
      <c r="AB231" s="13" t="s">
        <v>334</v>
      </c>
      <c r="AC231">
        <v>0.75</v>
      </c>
      <c r="AD231">
        <v>0</v>
      </c>
      <c r="AE231" s="13" t="s">
        <v>465</v>
      </c>
    </row>
    <row r="232" spans="1:31" x14ac:dyDescent="0.35">
      <c r="A232" s="13" t="s">
        <v>557</v>
      </c>
      <c r="B232" s="13" t="s">
        <v>558</v>
      </c>
      <c r="C232" s="13" t="s">
        <v>559</v>
      </c>
      <c r="D232" s="13" t="s">
        <v>52</v>
      </c>
      <c r="E232" s="13" t="s">
        <v>53</v>
      </c>
      <c r="F232" s="13" t="s">
        <v>54</v>
      </c>
      <c r="G232" s="13" t="s">
        <v>55</v>
      </c>
      <c r="H232">
        <v>240000</v>
      </c>
      <c r="I232" s="13" t="s">
        <v>56</v>
      </c>
      <c r="J232" s="13" t="s">
        <v>57</v>
      </c>
      <c r="K232" s="13" t="s">
        <v>58</v>
      </c>
      <c r="L232" s="13" t="s">
        <v>59</v>
      </c>
      <c r="M232">
        <v>45</v>
      </c>
      <c r="N232">
        <v>0</v>
      </c>
      <c r="O232" s="14">
        <v>45930</v>
      </c>
      <c r="P232" s="14">
        <v>45975</v>
      </c>
      <c r="Q232">
        <v>2211.83</v>
      </c>
      <c r="R232">
        <v>0</v>
      </c>
      <c r="S232">
        <v>0</v>
      </c>
      <c r="T232">
        <v>0</v>
      </c>
      <c r="U232">
        <v>0</v>
      </c>
      <c r="V232">
        <v>2211.83</v>
      </c>
      <c r="W232">
        <v>0</v>
      </c>
      <c r="X232">
        <v>1</v>
      </c>
      <c r="Y232">
        <v>1</v>
      </c>
      <c r="Z232">
        <v>47</v>
      </c>
      <c r="AA232">
        <v>3</v>
      </c>
      <c r="AB232" s="13" t="s">
        <v>369</v>
      </c>
      <c r="AC232">
        <v>0.5</v>
      </c>
      <c r="AD232">
        <v>0</v>
      </c>
      <c r="AE232" s="13" t="s">
        <v>61</v>
      </c>
    </row>
    <row r="233" spans="1:31" x14ac:dyDescent="0.35">
      <c r="A233" s="13" t="s">
        <v>560</v>
      </c>
      <c r="B233" s="13" t="s">
        <v>561</v>
      </c>
      <c r="C233" s="13" t="s">
        <v>562</v>
      </c>
      <c r="D233" s="13" t="s">
        <v>126</v>
      </c>
      <c r="E233" s="13" t="s">
        <v>53</v>
      </c>
      <c r="F233" s="13" t="s">
        <v>135</v>
      </c>
      <c r="G233" s="13" t="s">
        <v>67</v>
      </c>
      <c r="H233">
        <v>155000</v>
      </c>
      <c r="I233" s="13" t="s">
        <v>86</v>
      </c>
      <c r="J233" s="13" t="s">
        <v>87</v>
      </c>
      <c r="K233" s="13" t="s">
        <v>58</v>
      </c>
      <c r="L233" s="13" t="s">
        <v>368</v>
      </c>
      <c r="M233">
        <v>90</v>
      </c>
      <c r="N233">
        <v>0</v>
      </c>
      <c r="O233" s="14">
        <v>45930</v>
      </c>
      <c r="P233" s="14">
        <v>46020</v>
      </c>
      <c r="Q233">
        <v>1872.16</v>
      </c>
      <c r="R233">
        <v>0</v>
      </c>
      <c r="S233">
        <v>0</v>
      </c>
      <c r="T233">
        <v>0</v>
      </c>
      <c r="U233">
        <v>0</v>
      </c>
      <c r="V233">
        <v>1872.16</v>
      </c>
      <c r="W233">
        <v>0</v>
      </c>
      <c r="X233">
        <v>1</v>
      </c>
      <c r="Y233">
        <v>1</v>
      </c>
      <c r="Z233">
        <v>2</v>
      </c>
      <c r="AA233">
        <v>2</v>
      </c>
      <c r="AB233" s="13" t="s">
        <v>405</v>
      </c>
      <c r="AC233">
        <v>0.25</v>
      </c>
      <c r="AD233">
        <v>0</v>
      </c>
      <c r="AE233" s="13" t="s">
        <v>61</v>
      </c>
    </row>
    <row r="234" spans="1:31" x14ac:dyDescent="0.35">
      <c r="A234" s="13" t="s">
        <v>563</v>
      </c>
      <c r="B234" s="13" t="s">
        <v>296</v>
      </c>
      <c r="C234" s="13" t="s">
        <v>297</v>
      </c>
      <c r="D234" s="13" t="s">
        <v>104</v>
      </c>
      <c r="E234" s="13" t="s">
        <v>65</v>
      </c>
      <c r="F234" s="13" t="s">
        <v>111</v>
      </c>
      <c r="G234" s="13" t="s">
        <v>92</v>
      </c>
      <c r="H234">
        <v>125000</v>
      </c>
      <c r="I234" s="13" t="s">
        <v>105</v>
      </c>
      <c r="J234" s="13" t="s">
        <v>106</v>
      </c>
      <c r="K234" s="13" t="s">
        <v>107</v>
      </c>
      <c r="L234" s="13" t="s">
        <v>82</v>
      </c>
      <c r="M234">
        <v>30</v>
      </c>
      <c r="N234">
        <v>2</v>
      </c>
      <c r="O234" s="14">
        <v>45930</v>
      </c>
      <c r="P234" s="14">
        <v>45960</v>
      </c>
      <c r="Q234">
        <v>5225.67</v>
      </c>
      <c r="R234">
        <v>0</v>
      </c>
      <c r="S234">
        <v>0</v>
      </c>
      <c r="T234">
        <v>0</v>
      </c>
      <c r="U234">
        <v>0</v>
      </c>
      <c r="V234">
        <v>5225.67</v>
      </c>
      <c r="W234">
        <v>0</v>
      </c>
      <c r="X234">
        <v>1</v>
      </c>
      <c r="Y234">
        <v>1</v>
      </c>
      <c r="Z234">
        <v>62</v>
      </c>
      <c r="AA234">
        <v>4</v>
      </c>
      <c r="AB234" s="13" t="s">
        <v>334</v>
      </c>
      <c r="AC234">
        <v>0.75</v>
      </c>
      <c r="AD234">
        <v>0</v>
      </c>
      <c r="AE234" s="13" t="s">
        <v>61</v>
      </c>
    </row>
    <row r="235" spans="1:31" x14ac:dyDescent="0.35">
      <c r="A235" s="13" t="s">
        <v>564</v>
      </c>
      <c r="B235" s="13" t="s">
        <v>565</v>
      </c>
      <c r="C235" s="13" t="s">
        <v>566</v>
      </c>
      <c r="D235" s="13" t="s">
        <v>126</v>
      </c>
      <c r="E235" s="13" t="s">
        <v>77</v>
      </c>
      <c r="F235" s="13" t="s">
        <v>174</v>
      </c>
      <c r="G235" s="13" t="s">
        <v>67</v>
      </c>
      <c r="H235">
        <v>145000</v>
      </c>
      <c r="I235" s="13" t="s">
        <v>121</v>
      </c>
      <c r="J235" s="13" t="s">
        <v>122</v>
      </c>
      <c r="K235" s="13" t="s">
        <v>107</v>
      </c>
      <c r="L235" s="13" t="s">
        <v>368</v>
      </c>
      <c r="M235">
        <v>90</v>
      </c>
      <c r="N235">
        <v>0</v>
      </c>
      <c r="O235" s="14">
        <v>45930</v>
      </c>
      <c r="P235" s="14">
        <v>46020</v>
      </c>
      <c r="Q235">
        <v>3961.04</v>
      </c>
      <c r="R235">
        <v>0</v>
      </c>
      <c r="S235">
        <v>0</v>
      </c>
      <c r="T235">
        <v>0</v>
      </c>
      <c r="U235">
        <v>0</v>
      </c>
      <c r="V235">
        <v>3961.04</v>
      </c>
      <c r="W235">
        <v>0</v>
      </c>
      <c r="X235">
        <v>1</v>
      </c>
      <c r="Y235">
        <v>1</v>
      </c>
      <c r="Z235">
        <v>2</v>
      </c>
      <c r="AA235">
        <v>2</v>
      </c>
      <c r="AB235" s="13" t="s">
        <v>405</v>
      </c>
      <c r="AC235">
        <v>0.25</v>
      </c>
      <c r="AD235">
        <v>0</v>
      </c>
      <c r="AE235" s="13" t="s">
        <v>61</v>
      </c>
    </row>
    <row r="236" spans="1:31" x14ac:dyDescent="0.35">
      <c r="A236" s="13" t="s">
        <v>567</v>
      </c>
      <c r="B236" s="13" t="s">
        <v>409</v>
      </c>
      <c r="C236" s="13" t="s">
        <v>410</v>
      </c>
      <c r="D236" s="13" t="s">
        <v>126</v>
      </c>
      <c r="E236" s="13" t="s">
        <v>71</v>
      </c>
      <c r="F236" s="13" t="s">
        <v>72</v>
      </c>
      <c r="G236" s="13" t="s">
        <v>67</v>
      </c>
      <c r="H236">
        <v>195000</v>
      </c>
      <c r="I236" s="13" t="s">
        <v>56</v>
      </c>
      <c r="J236" s="13" t="s">
        <v>57</v>
      </c>
      <c r="K236" s="13" t="s">
        <v>58</v>
      </c>
      <c r="L236" s="13" t="s">
        <v>368</v>
      </c>
      <c r="M236">
        <v>90</v>
      </c>
      <c r="N236">
        <v>0</v>
      </c>
      <c r="O236" s="14">
        <v>45931</v>
      </c>
      <c r="P236" s="14">
        <v>46021</v>
      </c>
      <c r="Q236">
        <v>5721.77</v>
      </c>
      <c r="R236">
        <v>0</v>
      </c>
      <c r="S236">
        <v>0</v>
      </c>
      <c r="T236">
        <v>0</v>
      </c>
      <c r="U236">
        <v>0</v>
      </c>
      <c r="V236">
        <v>5721.77</v>
      </c>
      <c r="W236">
        <v>0</v>
      </c>
      <c r="X236">
        <v>1</v>
      </c>
      <c r="Y236">
        <v>1</v>
      </c>
      <c r="Z236">
        <v>1</v>
      </c>
      <c r="AA236">
        <v>2</v>
      </c>
      <c r="AB236" s="13" t="s">
        <v>405</v>
      </c>
      <c r="AC236">
        <v>0.25</v>
      </c>
      <c r="AD236">
        <v>0</v>
      </c>
      <c r="AE236" s="13" t="s">
        <v>61</v>
      </c>
    </row>
    <row r="237" spans="1:31" x14ac:dyDescent="0.35">
      <c r="A237" s="13" t="s">
        <v>568</v>
      </c>
      <c r="B237" s="13" t="s">
        <v>521</v>
      </c>
      <c r="C237" s="13" t="s">
        <v>522</v>
      </c>
      <c r="D237" s="13" t="s">
        <v>126</v>
      </c>
      <c r="E237" s="13" t="s">
        <v>77</v>
      </c>
      <c r="F237" s="13" t="s">
        <v>78</v>
      </c>
      <c r="G237" s="13" t="s">
        <v>67</v>
      </c>
      <c r="H237">
        <v>155000</v>
      </c>
      <c r="I237" s="13" t="s">
        <v>86</v>
      </c>
      <c r="J237" s="13" t="s">
        <v>87</v>
      </c>
      <c r="K237" s="13" t="s">
        <v>58</v>
      </c>
      <c r="L237" s="13" t="s">
        <v>368</v>
      </c>
      <c r="M237">
        <v>90</v>
      </c>
      <c r="N237">
        <v>0</v>
      </c>
      <c r="O237" s="14">
        <v>45931</v>
      </c>
      <c r="P237" s="14">
        <v>46021</v>
      </c>
      <c r="Q237">
        <v>1064.33</v>
      </c>
      <c r="R237">
        <v>0</v>
      </c>
      <c r="S237">
        <v>0</v>
      </c>
      <c r="T237">
        <v>0</v>
      </c>
      <c r="U237">
        <v>0</v>
      </c>
      <c r="V237">
        <v>1064.33</v>
      </c>
      <c r="W237">
        <v>0</v>
      </c>
      <c r="X237">
        <v>1</v>
      </c>
      <c r="Y237">
        <v>1</v>
      </c>
      <c r="Z237">
        <v>1</v>
      </c>
      <c r="AA237">
        <v>2</v>
      </c>
      <c r="AB237" s="13" t="s">
        <v>405</v>
      </c>
      <c r="AC237">
        <v>0.25</v>
      </c>
      <c r="AD237">
        <v>0</v>
      </c>
      <c r="AE237" s="13" t="s">
        <v>61</v>
      </c>
    </row>
    <row r="238" spans="1:31" x14ac:dyDescent="0.35">
      <c r="A238" s="13" t="s">
        <v>569</v>
      </c>
      <c r="B238" s="13" t="s">
        <v>225</v>
      </c>
      <c r="C238" s="13" t="s">
        <v>226</v>
      </c>
      <c r="D238" s="13" t="s">
        <v>52</v>
      </c>
      <c r="E238" s="13" t="s">
        <v>77</v>
      </c>
      <c r="F238" s="13" t="s">
        <v>174</v>
      </c>
      <c r="G238" s="13" t="s">
        <v>55</v>
      </c>
      <c r="H238">
        <v>570000</v>
      </c>
      <c r="I238" s="13" t="s">
        <v>56</v>
      </c>
      <c r="J238" s="13" t="s">
        <v>57</v>
      </c>
      <c r="K238" s="13" t="s">
        <v>58</v>
      </c>
      <c r="L238" s="13" t="s">
        <v>59</v>
      </c>
      <c r="M238">
        <v>45</v>
      </c>
      <c r="N238">
        <v>0</v>
      </c>
      <c r="O238" s="14">
        <v>45931</v>
      </c>
      <c r="P238" s="14">
        <v>45976</v>
      </c>
      <c r="Q238">
        <v>3983.18</v>
      </c>
      <c r="R238">
        <v>2389.91</v>
      </c>
      <c r="S238">
        <v>0</v>
      </c>
      <c r="T238">
        <v>0</v>
      </c>
      <c r="U238">
        <v>0</v>
      </c>
      <c r="V238">
        <v>1593.27</v>
      </c>
      <c r="W238">
        <v>0</v>
      </c>
      <c r="X238">
        <v>1</v>
      </c>
      <c r="Y238">
        <v>1</v>
      </c>
      <c r="Z238">
        <v>46</v>
      </c>
      <c r="AA238">
        <v>3</v>
      </c>
      <c r="AB238" s="13" t="s">
        <v>369</v>
      </c>
      <c r="AC238">
        <v>0.5</v>
      </c>
      <c r="AD238">
        <v>0</v>
      </c>
      <c r="AE238" s="13" t="s">
        <v>61</v>
      </c>
    </row>
    <row r="239" spans="1:31" x14ac:dyDescent="0.35">
      <c r="A239" s="13" t="s">
        <v>570</v>
      </c>
      <c r="B239" s="13" t="s">
        <v>558</v>
      </c>
      <c r="C239" s="13" t="s">
        <v>559</v>
      </c>
      <c r="D239" s="13" t="s">
        <v>52</v>
      </c>
      <c r="E239" s="13" t="s">
        <v>53</v>
      </c>
      <c r="F239" s="13" t="s">
        <v>54</v>
      </c>
      <c r="G239" s="13" t="s">
        <v>55</v>
      </c>
      <c r="H239">
        <v>240000</v>
      </c>
      <c r="I239" s="13" t="s">
        <v>56</v>
      </c>
      <c r="J239" s="13" t="s">
        <v>57</v>
      </c>
      <c r="K239" s="13" t="s">
        <v>58</v>
      </c>
      <c r="L239" s="13" t="s">
        <v>59</v>
      </c>
      <c r="M239">
        <v>45</v>
      </c>
      <c r="N239">
        <v>0</v>
      </c>
      <c r="O239" s="14">
        <v>45931</v>
      </c>
      <c r="P239" s="14">
        <v>45976</v>
      </c>
      <c r="Q239">
        <v>5675.19</v>
      </c>
      <c r="R239">
        <v>0</v>
      </c>
      <c r="S239">
        <v>0</v>
      </c>
      <c r="T239">
        <v>0</v>
      </c>
      <c r="U239">
        <v>0</v>
      </c>
      <c r="V239">
        <v>5675.19</v>
      </c>
      <c r="W239">
        <v>0</v>
      </c>
      <c r="X239">
        <v>1</v>
      </c>
      <c r="Y239">
        <v>1</v>
      </c>
      <c r="Z239">
        <v>46</v>
      </c>
      <c r="AA239">
        <v>3</v>
      </c>
      <c r="AB239" s="13" t="s">
        <v>369</v>
      </c>
      <c r="AC239">
        <v>0.5</v>
      </c>
      <c r="AD239">
        <v>0</v>
      </c>
      <c r="AE239" s="13" t="s">
        <v>61</v>
      </c>
    </row>
    <row r="240" spans="1:31" x14ac:dyDescent="0.35">
      <c r="A240" s="13" t="s">
        <v>571</v>
      </c>
      <c r="B240" s="13" t="s">
        <v>422</v>
      </c>
      <c r="C240" s="13" t="s">
        <v>423</v>
      </c>
      <c r="D240" s="13" t="s">
        <v>126</v>
      </c>
      <c r="E240" s="13" t="s">
        <v>77</v>
      </c>
      <c r="F240" s="13" t="s">
        <v>174</v>
      </c>
      <c r="G240" s="13" t="s">
        <v>67</v>
      </c>
      <c r="H240">
        <v>145000</v>
      </c>
      <c r="I240" s="13" t="s">
        <v>105</v>
      </c>
      <c r="J240" s="13" t="s">
        <v>106</v>
      </c>
      <c r="K240" s="13" t="s">
        <v>107</v>
      </c>
      <c r="L240" s="13" t="s">
        <v>368</v>
      </c>
      <c r="M240">
        <v>90</v>
      </c>
      <c r="N240">
        <v>0</v>
      </c>
      <c r="O240" s="14">
        <v>45931</v>
      </c>
      <c r="P240" s="14">
        <v>46021</v>
      </c>
      <c r="Q240">
        <v>9901.9599999999991</v>
      </c>
      <c r="R240">
        <v>0</v>
      </c>
      <c r="S240">
        <v>0</v>
      </c>
      <c r="T240">
        <v>0</v>
      </c>
      <c r="U240">
        <v>0</v>
      </c>
      <c r="V240">
        <v>9901.9599999999991</v>
      </c>
      <c r="W240">
        <v>0</v>
      </c>
      <c r="X240">
        <v>1</v>
      </c>
      <c r="Y240">
        <v>1</v>
      </c>
      <c r="Z240">
        <v>1</v>
      </c>
      <c r="AA240">
        <v>2</v>
      </c>
      <c r="AB240" s="13" t="s">
        <v>405</v>
      </c>
      <c r="AC240">
        <v>0.25</v>
      </c>
      <c r="AD240">
        <v>0</v>
      </c>
      <c r="AE240" s="13" t="s">
        <v>61</v>
      </c>
    </row>
    <row r="241" spans="1:31" x14ac:dyDescent="0.35">
      <c r="A241" s="13" t="s">
        <v>572</v>
      </c>
      <c r="B241" s="13" t="s">
        <v>438</v>
      </c>
      <c r="C241" s="13" t="s">
        <v>439</v>
      </c>
      <c r="D241" s="13" t="s">
        <v>126</v>
      </c>
      <c r="E241" s="13" t="s">
        <v>65</v>
      </c>
      <c r="F241" s="13" t="s">
        <v>111</v>
      </c>
      <c r="G241" s="13" t="s">
        <v>67</v>
      </c>
      <c r="H241">
        <v>155000</v>
      </c>
      <c r="I241" s="13" t="s">
        <v>86</v>
      </c>
      <c r="J241" s="13" t="s">
        <v>87</v>
      </c>
      <c r="K241" s="13" t="s">
        <v>58</v>
      </c>
      <c r="L241" s="13" t="s">
        <v>368</v>
      </c>
      <c r="M241">
        <v>90</v>
      </c>
      <c r="N241">
        <v>0</v>
      </c>
      <c r="O241" s="14">
        <v>45931</v>
      </c>
      <c r="P241" s="14">
        <v>46021</v>
      </c>
      <c r="Q241">
        <v>3334.98</v>
      </c>
      <c r="R241">
        <v>0</v>
      </c>
      <c r="S241">
        <v>0</v>
      </c>
      <c r="T241">
        <v>0</v>
      </c>
      <c r="U241">
        <v>0</v>
      </c>
      <c r="V241">
        <v>3334.98</v>
      </c>
      <c r="W241">
        <v>0</v>
      </c>
      <c r="X241">
        <v>1</v>
      </c>
      <c r="Y241">
        <v>1</v>
      </c>
      <c r="Z241">
        <v>1</v>
      </c>
      <c r="AA241">
        <v>2</v>
      </c>
      <c r="AB241" s="13" t="s">
        <v>405</v>
      </c>
      <c r="AC241">
        <v>0.25</v>
      </c>
      <c r="AD241">
        <v>0</v>
      </c>
      <c r="AE241" s="13" t="s">
        <v>61</v>
      </c>
    </row>
    <row r="242" spans="1:31" x14ac:dyDescent="0.35">
      <c r="A242" s="13" t="s">
        <v>573</v>
      </c>
      <c r="B242" s="13" t="s">
        <v>425</v>
      </c>
      <c r="C242" s="13" t="s">
        <v>426</v>
      </c>
      <c r="D242" s="13" t="s">
        <v>126</v>
      </c>
      <c r="E242" s="13" t="s">
        <v>77</v>
      </c>
      <c r="F242" s="13" t="s">
        <v>78</v>
      </c>
      <c r="G242" s="13" t="s">
        <v>67</v>
      </c>
      <c r="H242">
        <v>230000</v>
      </c>
      <c r="I242" s="13" t="s">
        <v>56</v>
      </c>
      <c r="J242" s="13" t="s">
        <v>57</v>
      </c>
      <c r="K242" s="13" t="s">
        <v>58</v>
      </c>
      <c r="L242" s="13" t="s">
        <v>368</v>
      </c>
      <c r="M242">
        <v>90</v>
      </c>
      <c r="N242">
        <v>0</v>
      </c>
      <c r="O242" s="14">
        <v>45931</v>
      </c>
      <c r="P242" s="14">
        <v>46021</v>
      </c>
      <c r="Q242">
        <v>2169.71</v>
      </c>
      <c r="R242">
        <v>0</v>
      </c>
      <c r="S242">
        <v>0</v>
      </c>
      <c r="T242">
        <v>0</v>
      </c>
      <c r="U242">
        <v>0</v>
      </c>
      <c r="V242">
        <v>2169.71</v>
      </c>
      <c r="W242">
        <v>0</v>
      </c>
      <c r="X242">
        <v>1</v>
      </c>
      <c r="Y242">
        <v>1</v>
      </c>
      <c r="Z242">
        <v>1</v>
      </c>
      <c r="AA242">
        <v>2</v>
      </c>
      <c r="AB242" s="13" t="s">
        <v>405</v>
      </c>
      <c r="AC242">
        <v>0.25</v>
      </c>
      <c r="AD242">
        <v>0</v>
      </c>
      <c r="AE242" s="13" t="s">
        <v>61</v>
      </c>
    </row>
    <row r="243" spans="1:31" x14ac:dyDescent="0.35">
      <c r="A243" s="13" t="s">
        <v>574</v>
      </c>
      <c r="B243" s="13" t="s">
        <v>575</v>
      </c>
      <c r="C243" s="13" t="s">
        <v>576</v>
      </c>
      <c r="D243" s="13" t="s">
        <v>126</v>
      </c>
      <c r="E243" s="13" t="s">
        <v>65</v>
      </c>
      <c r="F243" s="13" t="s">
        <v>111</v>
      </c>
      <c r="G243" s="13" t="s">
        <v>55</v>
      </c>
      <c r="H243">
        <v>160000</v>
      </c>
      <c r="I243" s="13" t="s">
        <v>86</v>
      </c>
      <c r="J243" s="13" t="s">
        <v>87</v>
      </c>
      <c r="K243" s="13" t="s">
        <v>58</v>
      </c>
      <c r="L243" s="13" t="s">
        <v>368</v>
      </c>
      <c r="M243">
        <v>90</v>
      </c>
      <c r="N243">
        <v>0</v>
      </c>
      <c r="O243" s="14">
        <v>45931</v>
      </c>
      <c r="P243" s="14">
        <v>46021</v>
      </c>
      <c r="Q243">
        <v>8463.43</v>
      </c>
      <c r="R243">
        <v>0</v>
      </c>
      <c r="S243">
        <v>0</v>
      </c>
      <c r="T243">
        <v>0</v>
      </c>
      <c r="U243">
        <v>0</v>
      </c>
      <c r="V243">
        <v>8463.43</v>
      </c>
      <c r="W243">
        <v>0</v>
      </c>
      <c r="X243">
        <v>1</v>
      </c>
      <c r="Y243">
        <v>1</v>
      </c>
      <c r="Z243">
        <v>1</v>
      </c>
      <c r="AA243">
        <v>2</v>
      </c>
      <c r="AB243" s="13" t="s">
        <v>405</v>
      </c>
      <c r="AC243">
        <v>0.25</v>
      </c>
      <c r="AD243">
        <v>0</v>
      </c>
      <c r="AE243" s="13" t="s">
        <v>61</v>
      </c>
    </row>
    <row r="244" spans="1:31" x14ac:dyDescent="0.35">
      <c r="A244" s="13" t="s">
        <v>577</v>
      </c>
      <c r="B244" s="13" t="s">
        <v>390</v>
      </c>
      <c r="C244" s="13" t="s">
        <v>391</v>
      </c>
      <c r="D244" s="13" t="s">
        <v>52</v>
      </c>
      <c r="E244" s="13" t="s">
        <v>71</v>
      </c>
      <c r="F244" s="13" t="s">
        <v>72</v>
      </c>
      <c r="G244" s="13" t="s">
        <v>55</v>
      </c>
      <c r="H244">
        <v>320000</v>
      </c>
      <c r="I244" s="13" t="s">
        <v>86</v>
      </c>
      <c r="J244" s="13" t="s">
        <v>87</v>
      </c>
      <c r="K244" s="13" t="s">
        <v>58</v>
      </c>
      <c r="L244" s="13" t="s">
        <v>88</v>
      </c>
      <c r="M244">
        <v>60</v>
      </c>
      <c r="N244">
        <v>0</v>
      </c>
      <c r="O244" s="14">
        <v>45931</v>
      </c>
      <c r="P244" s="14">
        <v>45991</v>
      </c>
      <c r="Q244">
        <v>1669.95</v>
      </c>
      <c r="R244">
        <v>0</v>
      </c>
      <c r="S244">
        <v>0</v>
      </c>
      <c r="T244">
        <v>0</v>
      </c>
      <c r="U244">
        <v>0</v>
      </c>
      <c r="V244">
        <v>1669.95</v>
      </c>
      <c r="W244">
        <v>0</v>
      </c>
      <c r="X244">
        <v>1</v>
      </c>
      <c r="Y244">
        <v>1</v>
      </c>
      <c r="Z244">
        <v>31</v>
      </c>
      <c r="AA244">
        <v>3</v>
      </c>
      <c r="AB244" s="13" t="s">
        <v>369</v>
      </c>
      <c r="AC244">
        <v>0.5</v>
      </c>
      <c r="AD244">
        <v>0</v>
      </c>
      <c r="AE244" s="13" t="s">
        <v>61</v>
      </c>
    </row>
    <row r="245" spans="1:31" x14ac:dyDescent="0.35">
      <c r="A245" s="13" t="s">
        <v>578</v>
      </c>
      <c r="B245" s="13" t="s">
        <v>113</v>
      </c>
      <c r="C245" s="13" t="s">
        <v>114</v>
      </c>
      <c r="D245" s="13" t="s">
        <v>52</v>
      </c>
      <c r="E245" s="13" t="s">
        <v>77</v>
      </c>
      <c r="F245" s="13" t="s">
        <v>78</v>
      </c>
      <c r="G245" s="13" t="s">
        <v>92</v>
      </c>
      <c r="H245">
        <v>545000</v>
      </c>
      <c r="I245" s="13" t="s">
        <v>86</v>
      </c>
      <c r="J245" s="13" t="s">
        <v>87</v>
      </c>
      <c r="K245" s="13" t="s">
        <v>58</v>
      </c>
      <c r="L245" s="13" t="s">
        <v>88</v>
      </c>
      <c r="M245">
        <v>60</v>
      </c>
      <c r="N245">
        <v>0</v>
      </c>
      <c r="O245" s="14">
        <v>45931</v>
      </c>
      <c r="P245" s="14">
        <v>45991</v>
      </c>
      <c r="Q245">
        <v>15782.24</v>
      </c>
      <c r="R245">
        <v>0</v>
      </c>
      <c r="S245">
        <v>0</v>
      </c>
      <c r="T245">
        <v>0</v>
      </c>
      <c r="U245">
        <v>0</v>
      </c>
      <c r="V245">
        <v>15782.24</v>
      </c>
      <c r="W245">
        <v>0</v>
      </c>
      <c r="X245">
        <v>1</v>
      </c>
      <c r="Y245">
        <v>1</v>
      </c>
      <c r="Z245">
        <v>31</v>
      </c>
      <c r="AA245">
        <v>3</v>
      </c>
      <c r="AB245" s="13" t="s">
        <v>369</v>
      </c>
      <c r="AC245">
        <v>0.5</v>
      </c>
      <c r="AD245">
        <v>0</v>
      </c>
      <c r="AE245" s="13" t="s">
        <v>61</v>
      </c>
    </row>
    <row r="246" spans="1:31" x14ac:dyDescent="0.35">
      <c r="A246" s="13" t="s">
        <v>579</v>
      </c>
      <c r="B246" s="13" t="s">
        <v>216</v>
      </c>
      <c r="C246" s="13" t="s">
        <v>217</v>
      </c>
      <c r="D246" s="13" t="s">
        <v>52</v>
      </c>
      <c r="E246" s="13" t="s">
        <v>65</v>
      </c>
      <c r="F246" s="13" t="s">
        <v>66</v>
      </c>
      <c r="G246" s="13" t="s">
        <v>67</v>
      </c>
      <c r="H246">
        <v>515000</v>
      </c>
      <c r="I246" s="13" t="s">
        <v>86</v>
      </c>
      <c r="J246" s="13" t="s">
        <v>87</v>
      </c>
      <c r="K246" s="13" t="s">
        <v>58</v>
      </c>
      <c r="L246" s="13" t="s">
        <v>88</v>
      </c>
      <c r="M246">
        <v>60</v>
      </c>
      <c r="N246">
        <v>0</v>
      </c>
      <c r="O246" s="14">
        <v>45932</v>
      </c>
      <c r="P246" s="14">
        <v>45992</v>
      </c>
      <c r="Q246">
        <v>9348.84</v>
      </c>
      <c r="R246">
        <v>0</v>
      </c>
      <c r="S246">
        <v>0</v>
      </c>
      <c r="T246">
        <v>0</v>
      </c>
      <c r="U246">
        <v>0</v>
      </c>
      <c r="V246">
        <v>9348.84</v>
      </c>
      <c r="W246">
        <v>0</v>
      </c>
      <c r="X246">
        <v>1</v>
      </c>
      <c r="Y246">
        <v>1</v>
      </c>
      <c r="Z246">
        <v>30</v>
      </c>
      <c r="AA246">
        <v>2</v>
      </c>
      <c r="AB246" s="13" t="s">
        <v>405</v>
      </c>
      <c r="AC246">
        <v>0.25</v>
      </c>
      <c r="AD246">
        <v>0</v>
      </c>
      <c r="AE246" s="13" t="s">
        <v>348</v>
      </c>
    </row>
    <row r="247" spans="1:31" x14ac:dyDescent="0.35">
      <c r="A247" s="13" t="s">
        <v>580</v>
      </c>
      <c r="B247" s="13" t="s">
        <v>492</v>
      </c>
      <c r="C247" s="13" t="s">
        <v>493</v>
      </c>
      <c r="D247" s="13" t="s">
        <v>126</v>
      </c>
      <c r="E247" s="13" t="s">
        <v>77</v>
      </c>
      <c r="F247" s="13" t="s">
        <v>78</v>
      </c>
      <c r="G247" s="13" t="s">
        <v>67</v>
      </c>
      <c r="H247">
        <v>210000</v>
      </c>
      <c r="I247" s="13" t="s">
        <v>56</v>
      </c>
      <c r="J247" s="13" t="s">
        <v>57</v>
      </c>
      <c r="K247" s="13" t="s">
        <v>58</v>
      </c>
      <c r="L247" s="13" t="s">
        <v>368</v>
      </c>
      <c r="M247">
        <v>90</v>
      </c>
      <c r="N247">
        <v>0</v>
      </c>
      <c r="O247" s="14">
        <v>45932</v>
      </c>
      <c r="P247" s="14">
        <v>46022</v>
      </c>
      <c r="Q247">
        <v>11144.61</v>
      </c>
      <c r="R247">
        <v>0</v>
      </c>
      <c r="S247">
        <v>0</v>
      </c>
      <c r="T247">
        <v>0</v>
      </c>
      <c r="U247">
        <v>0</v>
      </c>
      <c r="V247">
        <v>11144.61</v>
      </c>
      <c r="W247">
        <v>0</v>
      </c>
      <c r="X247">
        <v>1</v>
      </c>
      <c r="Y247">
        <v>0</v>
      </c>
      <c r="Z247">
        <v>0</v>
      </c>
      <c r="AA247">
        <v>1</v>
      </c>
      <c r="AB247" s="13" t="s">
        <v>581</v>
      </c>
      <c r="AC247">
        <v>0</v>
      </c>
      <c r="AD247">
        <v>0</v>
      </c>
      <c r="AE247" s="13" t="s">
        <v>61</v>
      </c>
    </row>
    <row r="248" spans="1:31" x14ac:dyDescent="0.35">
      <c r="A248" s="13" t="s">
        <v>582</v>
      </c>
      <c r="B248" s="13" t="s">
        <v>418</v>
      </c>
      <c r="C248" s="13" t="s">
        <v>419</v>
      </c>
      <c r="D248" s="13" t="s">
        <v>52</v>
      </c>
      <c r="E248" s="13" t="s">
        <v>99</v>
      </c>
      <c r="F248" s="13" t="s">
        <v>100</v>
      </c>
      <c r="G248" s="13" t="s">
        <v>67</v>
      </c>
      <c r="H248">
        <v>535000</v>
      </c>
      <c r="I248" s="13" t="s">
        <v>86</v>
      </c>
      <c r="J248" s="13" t="s">
        <v>87</v>
      </c>
      <c r="K248" s="13" t="s">
        <v>58</v>
      </c>
      <c r="L248" s="13" t="s">
        <v>59</v>
      </c>
      <c r="M248">
        <v>45</v>
      </c>
      <c r="N248">
        <v>0</v>
      </c>
      <c r="O248" s="14">
        <v>45932</v>
      </c>
      <c r="P248" s="14">
        <v>45977</v>
      </c>
      <c r="Q248">
        <v>7379.9</v>
      </c>
      <c r="R248">
        <v>0</v>
      </c>
      <c r="S248">
        <v>0</v>
      </c>
      <c r="T248">
        <v>516.59</v>
      </c>
      <c r="U248">
        <v>0</v>
      </c>
      <c r="V248">
        <v>6863.31</v>
      </c>
      <c r="W248">
        <v>0</v>
      </c>
      <c r="X248">
        <v>1</v>
      </c>
      <c r="Y248">
        <v>1</v>
      </c>
      <c r="Z248">
        <v>45</v>
      </c>
      <c r="AA248">
        <v>3</v>
      </c>
      <c r="AB248" s="13" t="s">
        <v>369</v>
      </c>
      <c r="AC248">
        <v>0.5</v>
      </c>
      <c r="AD248">
        <v>0</v>
      </c>
      <c r="AE248" s="13" t="s">
        <v>465</v>
      </c>
    </row>
    <row r="249" spans="1:31" x14ac:dyDescent="0.35">
      <c r="A249" s="13" t="s">
        <v>583</v>
      </c>
      <c r="B249" s="13" t="s">
        <v>584</v>
      </c>
      <c r="C249" s="13" t="s">
        <v>585</v>
      </c>
      <c r="D249" s="13" t="s">
        <v>104</v>
      </c>
      <c r="E249" s="13" t="s">
        <v>53</v>
      </c>
      <c r="F249" s="13" t="s">
        <v>54</v>
      </c>
      <c r="G249" s="13" t="s">
        <v>67</v>
      </c>
      <c r="H249">
        <v>115000</v>
      </c>
      <c r="I249" s="13" t="s">
        <v>121</v>
      </c>
      <c r="J249" s="13" t="s">
        <v>122</v>
      </c>
      <c r="K249" s="13" t="s">
        <v>107</v>
      </c>
      <c r="L249" s="13" t="s">
        <v>88</v>
      </c>
      <c r="M249">
        <v>60</v>
      </c>
      <c r="N249">
        <v>0</v>
      </c>
      <c r="O249" s="14">
        <v>45932</v>
      </c>
      <c r="P249" s="14">
        <v>45992</v>
      </c>
      <c r="Q249">
        <v>6397.83</v>
      </c>
      <c r="R249">
        <v>0</v>
      </c>
      <c r="S249">
        <v>0</v>
      </c>
      <c r="T249">
        <v>0</v>
      </c>
      <c r="U249">
        <v>0</v>
      </c>
      <c r="V249">
        <v>6397.83</v>
      </c>
      <c r="W249">
        <v>0</v>
      </c>
      <c r="X249">
        <v>1</v>
      </c>
      <c r="Y249">
        <v>1</v>
      </c>
      <c r="Z249">
        <v>30</v>
      </c>
      <c r="AA249">
        <v>2</v>
      </c>
      <c r="AB249" s="13" t="s">
        <v>405</v>
      </c>
      <c r="AC249">
        <v>0.25</v>
      </c>
      <c r="AD249">
        <v>0</v>
      </c>
      <c r="AE249" s="13" t="s">
        <v>61</v>
      </c>
    </row>
    <row r="250" spans="1:31" x14ac:dyDescent="0.35">
      <c r="A250" s="13" t="s">
        <v>586</v>
      </c>
      <c r="B250" s="13" t="s">
        <v>587</v>
      </c>
      <c r="C250" s="13" t="s">
        <v>588</v>
      </c>
      <c r="D250" s="13" t="s">
        <v>126</v>
      </c>
      <c r="E250" s="13" t="s">
        <v>99</v>
      </c>
      <c r="F250" s="13" t="s">
        <v>100</v>
      </c>
      <c r="G250" s="13" t="s">
        <v>67</v>
      </c>
      <c r="H250">
        <v>190000</v>
      </c>
      <c r="I250" s="13" t="s">
        <v>86</v>
      </c>
      <c r="J250" s="13" t="s">
        <v>87</v>
      </c>
      <c r="K250" s="13" t="s">
        <v>58</v>
      </c>
      <c r="L250" s="13" t="s">
        <v>368</v>
      </c>
      <c r="M250">
        <v>90</v>
      </c>
      <c r="N250">
        <v>0</v>
      </c>
      <c r="O250" s="14">
        <v>45932</v>
      </c>
      <c r="P250" s="14">
        <v>46022</v>
      </c>
      <c r="Q250">
        <v>5205.93</v>
      </c>
      <c r="R250">
        <v>0</v>
      </c>
      <c r="S250">
        <v>0</v>
      </c>
      <c r="T250">
        <v>0</v>
      </c>
      <c r="U250">
        <v>0</v>
      </c>
      <c r="V250">
        <v>5205.93</v>
      </c>
      <c r="W250">
        <v>0</v>
      </c>
      <c r="X250">
        <v>1</v>
      </c>
      <c r="Y250">
        <v>0</v>
      </c>
      <c r="Z250">
        <v>0</v>
      </c>
      <c r="AA250">
        <v>1</v>
      </c>
      <c r="AB250" s="13" t="s">
        <v>581</v>
      </c>
      <c r="AC250">
        <v>0</v>
      </c>
      <c r="AD250">
        <v>0</v>
      </c>
      <c r="AE250" s="13" t="s">
        <v>61</v>
      </c>
    </row>
    <row r="251" spans="1:31" x14ac:dyDescent="0.35">
      <c r="A251" s="13" t="s">
        <v>589</v>
      </c>
      <c r="B251" s="13" t="s">
        <v>590</v>
      </c>
      <c r="C251" s="13" t="s">
        <v>591</v>
      </c>
      <c r="D251" s="13" t="s">
        <v>52</v>
      </c>
      <c r="E251" s="13" t="s">
        <v>53</v>
      </c>
      <c r="F251" s="13" t="s">
        <v>135</v>
      </c>
      <c r="G251" s="13" t="s">
        <v>67</v>
      </c>
      <c r="H251">
        <v>240000</v>
      </c>
      <c r="I251" s="13" t="s">
        <v>86</v>
      </c>
      <c r="J251" s="13" t="s">
        <v>87</v>
      </c>
      <c r="K251" s="13" t="s">
        <v>58</v>
      </c>
      <c r="L251" s="13" t="s">
        <v>88</v>
      </c>
      <c r="M251">
        <v>60</v>
      </c>
      <c r="N251">
        <v>0</v>
      </c>
      <c r="O251" s="14">
        <v>45932</v>
      </c>
      <c r="P251" s="14">
        <v>45992</v>
      </c>
      <c r="Q251">
        <v>2067.62</v>
      </c>
      <c r="R251">
        <v>1240.57</v>
      </c>
      <c r="S251">
        <v>0</v>
      </c>
      <c r="T251">
        <v>0</v>
      </c>
      <c r="U251">
        <v>0</v>
      </c>
      <c r="V251">
        <v>827.05</v>
      </c>
      <c r="W251">
        <v>0</v>
      </c>
      <c r="X251">
        <v>1</v>
      </c>
      <c r="Y251">
        <v>1</v>
      </c>
      <c r="Z251">
        <v>30</v>
      </c>
      <c r="AA251">
        <v>2</v>
      </c>
      <c r="AB251" s="13" t="s">
        <v>405</v>
      </c>
      <c r="AC251">
        <v>0.25</v>
      </c>
      <c r="AD251">
        <v>0</v>
      </c>
      <c r="AE251" s="13" t="s">
        <v>61</v>
      </c>
    </row>
    <row r="252" spans="1:31" x14ac:dyDescent="0.35">
      <c r="A252" s="13" t="s">
        <v>592</v>
      </c>
      <c r="B252" s="13" t="s">
        <v>259</v>
      </c>
      <c r="C252" s="13" t="s">
        <v>260</v>
      </c>
      <c r="D252" s="13" t="s">
        <v>104</v>
      </c>
      <c r="E252" s="13" t="s">
        <v>71</v>
      </c>
      <c r="F252" s="13" t="s">
        <v>72</v>
      </c>
      <c r="G252" s="13" t="s">
        <v>67</v>
      </c>
      <c r="H252">
        <v>145000</v>
      </c>
      <c r="I252" s="13" t="s">
        <v>121</v>
      </c>
      <c r="J252" s="13" t="s">
        <v>122</v>
      </c>
      <c r="K252" s="13" t="s">
        <v>107</v>
      </c>
      <c r="L252" s="13" t="s">
        <v>88</v>
      </c>
      <c r="M252">
        <v>60</v>
      </c>
      <c r="N252">
        <v>0</v>
      </c>
      <c r="O252" s="14">
        <v>45933</v>
      </c>
      <c r="P252" s="14">
        <v>45993</v>
      </c>
      <c r="Q252">
        <v>1549.15</v>
      </c>
      <c r="R252">
        <v>929.49</v>
      </c>
      <c r="S252">
        <v>0</v>
      </c>
      <c r="T252">
        <v>0</v>
      </c>
      <c r="U252">
        <v>0</v>
      </c>
      <c r="V252">
        <v>619.66</v>
      </c>
      <c r="W252">
        <v>0</v>
      </c>
      <c r="X252">
        <v>1</v>
      </c>
      <c r="Y252">
        <v>1</v>
      </c>
      <c r="Z252">
        <v>29</v>
      </c>
      <c r="AA252">
        <v>2</v>
      </c>
      <c r="AB252" s="13" t="s">
        <v>405</v>
      </c>
      <c r="AC252">
        <v>0.25</v>
      </c>
      <c r="AD252">
        <v>0</v>
      </c>
      <c r="AE252" s="13" t="s">
        <v>61</v>
      </c>
    </row>
    <row r="253" spans="1:31" x14ac:dyDescent="0.35">
      <c r="A253" s="13" t="s">
        <v>593</v>
      </c>
      <c r="B253" s="13" t="s">
        <v>286</v>
      </c>
      <c r="C253" s="13" t="s">
        <v>287</v>
      </c>
      <c r="D253" s="13" t="s">
        <v>104</v>
      </c>
      <c r="E253" s="13" t="s">
        <v>77</v>
      </c>
      <c r="F253" s="13" t="s">
        <v>174</v>
      </c>
      <c r="G253" s="13" t="s">
        <v>92</v>
      </c>
      <c r="H253">
        <v>150000</v>
      </c>
      <c r="I253" s="13" t="s">
        <v>86</v>
      </c>
      <c r="J253" s="13" t="s">
        <v>87</v>
      </c>
      <c r="K253" s="13" t="s">
        <v>58</v>
      </c>
      <c r="L253" s="13" t="s">
        <v>95</v>
      </c>
      <c r="M253">
        <v>30</v>
      </c>
      <c r="N253">
        <v>0</v>
      </c>
      <c r="O253" s="14">
        <v>45933</v>
      </c>
      <c r="P253" s="14">
        <v>45963</v>
      </c>
      <c r="Q253">
        <v>3414.96</v>
      </c>
      <c r="R253">
        <v>0</v>
      </c>
      <c r="S253">
        <v>0</v>
      </c>
      <c r="T253">
        <v>0</v>
      </c>
      <c r="U253">
        <v>0</v>
      </c>
      <c r="V253">
        <v>3414.96</v>
      </c>
      <c r="W253">
        <v>0</v>
      </c>
      <c r="X253">
        <v>1</v>
      </c>
      <c r="Y253">
        <v>1</v>
      </c>
      <c r="Z253">
        <v>59</v>
      </c>
      <c r="AA253">
        <v>3</v>
      </c>
      <c r="AB253" s="13" t="s">
        <v>369</v>
      </c>
      <c r="AC253">
        <v>0.5</v>
      </c>
      <c r="AD253">
        <v>0</v>
      </c>
      <c r="AE253" s="13" t="s">
        <v>61</v>
      </c>
    </row>
    <row r="254" spans="1:31" x14ac:dyDescent="0.35">
      <c r="A254" s="13" t="s">
        <v>594</v>
      </c>
      <c r="B254" s="13" t="s">
        <v>418</v>
      </c>
      <c r="C254" s="13" t="s">
        <v>419</v>
      </c>
      <c r="D254" s="13" t="s">
        <v>52</v>
      </c>
      <c r="E254" s="13" t="s">
        <v>99</v>
      </c>
      <c r="F254" s="13" t="s">
        <v>100</v>
      </c>
      <c r="G254" s="13" t="s">
        <v>67</v>
      </c>
      <c r="H254">
        <v>535000</v>
      </c>
      <c r="I254" s="13" t="s">
        <v>86</v>
      </c>
      <c r="J254" s="13" t="s">
        <v>87</v>
      </c>
      <c r="K254" s="13" t="s">
        <v>58</v>
      </c>
      <c r="L254" s="13" t="s">
        <v>59</v>
      </c>
      <c r="M254">
        <v>45</v>
      </c>
      <c r="N254">
        <v>0</v>
      </c>
      <c r="O254" s="14">
        <v>45933</v>
      </c>
      <c r="P254" s="14">
        <v>45978</v>
      </c>
      <c r="Q254">
        <v>4923.43</v>
      </c>
      <c r="R254">
        <v>0</v>
      </c>
      <c r="S254">
        <v>0</v>
      </c>
      <c r="T254">
        <v>0</v>
      </c>
      <c r="U254">
        <v>0</v>
      </c>
      <c r="V254">
        <v>4923.43</v>
      </c>
      <c r="W254">
        <v>0</v>
      </c>
      <c r="X254">
        <v>1</v>
      </c>
      <c r="Y254">
        <v>1</v>
      </c>
      <c r="Z254">
        <v>44</v>
      </c>
      <c r="AA254">
        <v>3</v>
      </c>
      <c r="AB254" s="13" t="s">
        <v>369</v>
      </c>
      <c r="AC254">
        <v>0.5</v>
      </c>
      <c r="AD254">
        <v>0</v>
      </c>
      <c r="AE254" s="13" t="s">
        <v>61</v>
      </c>
    </row>
    <row r="255" spans="1:31" x14ac:dyDescent="0.35">
      <c r="A255" s="13" t="s">
        <v>595</v>
      </c>
      <c r="B255" s="13" t="s">
        <v>596</v>
      </c>
      <c r="C255" s="13" t="s">
        <v>597</v>
      </c>
      <c r="D255" s="13" t="s">
        <v>126</v>
      </c>
      <c r="E255" s="13" t="s">
        <v>65</v>
      </c>
      <c r="F255" s="13" t="s">
        <v>111</v>
      </c>
      <c r="G255" s="13" t="s">
        <v>67</v>
      </c>
      <c r="H255">
        <v>165000</v>
      </c>
      <c r="I255" s="13" t="s">
        <v>56</v>
      </c>
      <c r="J255" s="13" t="s">
        <v>57</v>
      </c>
      <c r="K255" s="13" t="s">
        <v>58</v>
      </c>
      <c r="L255" s="13" t="s">
        <v>88</v>
      </c>
      <c r="M255">
        <v>60</v>
      </c>
      <c r="N255">
        <v>0</v>
      </c>
      <c r="O255" s="14">
        <v>45933</v>
      </c>
      <c r="P255" s="14">
        <v>45993</v>
      </c>
      <c r="Q255">
        <v>1050.31</v>
      </c>
      <c r="R255">
        <v>630.19000000000005</v>
      </c>
      <c r="S255">
        <v>0</v>
      </c>
      <c r="T255">
        <v>0</v>
      </c>
      <c r="U255">
        <v>0</v>
      </c>
      <c r="V255">
        <v>420.12</v>
      </c>
      <c r="W255">
        <v>0</v>
      </c>
      <c r="X255">
        <v>1</v>
      </c>
      <c r="Y255">
        <v>1</v>
      </c>
      <c r="Z255">
        <v>29</v>
      </c>
      <c r="AA255">
        <v>2</v>
      </c>
      <c r="AB255" s="13" t="s">
        <v>405</v>
      </c>
      <c r="AC255">
        <v>0.25</v>
      </c>
      <c r="AD255">
        <v>0</v>
      </c>
      <c r="AE255" s="13" t="s">
        <v>61</v>
      </c>
    </row>
    <row r="256" spans="1:31" x14ac:dyDescent="0.35">
      <c r="A256" s="13" t="s">
        <v>598</v>
      </c>
      <c r="B256" s="13" t="s">
        <v>521</v>
      </c>
      <c r="C256" s="13" t="s">
        <v>522</v>
      </c>
      <c r="D256" s="13" t="s">
        <v>126</v>
      </c>
      <c r="E256" s="13" t="s">
        <v>77</v>
      </c>
      <c r="F256" s="13" t="s">
        <v>78</v>
      </c>
      <c r="G256" s="13" t="s">
        <v>67</v>
      </c>
      <c r="H256">
        <v>155000</v>
      </c>
      <c r="I256" s="13" t="s">
        <v>86</v>
      </c>
      <c r="J256" s="13" t="s">
        <v>87</v>
      </c>
      <c r="K256" s="13" t="s">
        <v>58</v>
      </c>
      <c r="L256" s="13" t="s">
        <v>368</v>
      </c>
      <c r="M256">
        <v>90</v>
      </c>
      <c r="N256">
        <v>0</v>
      </c>
      <c r="O256" s="14">
        <v>45933</v>
      </c>
      <c r="P256" s="14">
        <v>46023</v>
      </c>
      <c r="Q256">
        <v>6761.59</v>
      </c>
      <c r="R256">
        <v>0</v>
      </c>
      <c r="S256">
        <v>0</v>
      </c>
      <c r="T256">
        <v>0</v>
      </c>
      <c r="U256">
        <v>0</v>
      </c>
      <c r="V256">
        <v>6761.59</v>
      </c>
      <c r="W256">
        <v>0</v>
      </c>
      <c r="X256">
        <v>1</v>
      </c>
      <c r="Y256">
        <v>0</v>
      </c>
      <c r="Z256">
        <v>-1</v>
      </c>
      <c r="AA256">
        <v>1</v>
      </c>
      <c r="AB256" s="13" t="s">
        <v>581</v>
      </c>
      <c r="AC256">
        <v>0</v>
      </c>
      <c r="AD256">
        <v>0</v>
      </c>
      <c r="AE256" s="13" t="s">
        <v>61</v>
      </c>
    </row>
    <row r="257" spans="1:31" x14ac:dyDescent="0.35">
      <c r="A257" s="13" t="s">
        <v>599</v>
      </c>
      <c r="B257" s="13" t="s">
        <v>458</v>
      </c>
      <c r="C257" s="13" t="s">
        <v>459</v>
      </c>
      <c r="D257" s="13" t="s">
        <v>126</v>
      </c>
      <c r="E257" s="13" t="s">
        <v>71</v>
      </c>
      <c r="F257" s="13" t="s">
        <v>72</v>
      </c>
      <c r="G257" s="13" t="s">
        <v>67</v>
      </c>
      <c r="H257">
        <v>135000</v>
      </c>
      <c r="I257" s="13" t="s">
        <v>121</v>
      </c>
      <c r="J257" s="13" t="s">
        <v>122</v>
      </c>
      <c r="K257" s="13" t="s">
        <v>107</v>
      </c>
      <c r="L257" s="13" t="s">
        <v>368</v>
      </c>
      <c r="M257">
        <v>90</v>
      </c>
      <c r="N257">
        <v>0</v>
      </c>
      <c r="O257" s="14">
        <v>45933</v>
      </c>
      <c r="P257" s="14">
        <v>46023</v>
      </c>
      <c r="Q257">
        <v>8466.36</v>
      </c>
      <c r="R257">
        <v>0</v>
      </c>
      <c r="S257">
        <v>0</v>
      </c>
      <c r="T257">
        <v>1693.27</v>
      </c>
      <c r="U257">
        <v>0</v>
      </c>
      <c r="V257">
        <v>6773.09</v>
      </c>
      <c r="W257">
        <v>0</v>
      </c>
      <c r="X257">
        <v>1</v>
      </c>
      <c r="Y257">
        <v>0</v>
      </c>
      <c r="Z257">
        <v>-1</v>
      </c>
      <c r="AA257">
        <v>1</v>
      </c>
      <c r="AB257" s="13" t="s">
        <v>581</v>
      </c>
      <c r="AC257">
        <v>0</v>
      </c>
      <c r="AD257">
        <v>0</v>
      </c>
      <c r="AE257" s="13" t="s">
        <v>377</v>
      </c>
    </row>
    <row r="258" spans="1:31" x14ac:dyDescent="0.35">
      <c r="A258" s="13" t="s">
        <v>600</v>
      </c>
      <c r="B258" s="13" t="s">
        <v>601</v>
      </c>
      <c r="C258" s="13" t="s">
        <v>602</v>
      </c>
      <c r="D258" s="13" t="s">
        <v>52</v>
      </c>
      <c r="E258" s="13" t="s">
        <v>53</v>
      </c>
      <c r="F258" s="13" t="s">
        <v>135</v>
      </c>
      <c r="G258" s="13" t="s">
        <v>67</v>
      </c>
      <c r="H258">
        <v>525000</v>
      </c>
      <c r="I258" s="13" t="s">
        <v>86</v>
      </c>
      <c r="J258" s="13" t="s">
        <v>87</v>
      </c>
      <c r="K258" s="13" t="s">
        <v>58</v>
      </c>
      <c r="L258" s="13" t="s">
        <v>59</v>
      </c>
      <c r="M258">
        <v>45</v>
      </c>
      <c r="N258">
        <v>0</v>
      </c>
      <c r="O258" s="14">
        <v>45933</v>
      </c>
      <c r="P258" s="14">
        <v>45978</v>
      </c>
      <c r="Q258">
        <v>12183.66</v>
      </c>
      <c r="R258">
        <v>7310.2</v>
      </c>
      <c r="S258">
        <v>0</v>
      </c>
      <c r="T258">
        <v>0</v>
      </c>
      <c r="U258">
        <v>0</v>
      </c>
      <c r="V258">
        <v>4873.46</v>
      </c>
      <c r="W258">
        <v>0</v>
      </c>
      <c r="X258">
        <v>1</v>
      </c>
      <c r="Y258">
        <v>1</v>
      </c>
      <c r="Z258">
        <v>44</v>
      </c>
      <c r="AA258">
        <v>3</v>
      </c>
      <c r="AB258" s="13" t="s">
        <v>369</v>
      </c>
      <c r="AC258">
        <v>0.5</v>
      </c>
      <c r="AD258">
        <v>0</v>
      </c>
      <c r="AE258" s="13" t="s">
        <v>61</v>
      </c>
    </row>
    <row r="259" spans="1:31" x14ac:dyDescent="0.35">
      <c r="A259" s="13" t="s">
        <v>603</v>
      </c>
      <c r="B259" s="13" t="s">
        <v>379</v>
      </c>
      <c r="C259" s="13" t="s">
        <v>380</v>
      </c>
      <c r="D259" s="13" t="s">
        <v>52</v>
      </c>
      <c r="E259" s="13" t="s">
        <v>77</v>
      </c>
      <c r="F259" s="13" t="s">
        <v>78</v>
      </c>
      <c r="G259" s="13" t="s">
        <v>92</v>
      </c>
      <c r="H259">
        <v>450000</v>
      </c>
      <c r="I259" s="13" t="s">
        <v>56</v>
      </c>
      <c r="J259" s="13" t="s">
        <v>57</v>
      </c>
      <c r="K259" s="13" t="s">
        <v>58</v>
      </c>
      <c r="L259" s="13" t="s">
        <v>59</v>
      </c>
      <c r="M259">
        <v>45</v>
      </c>
      <c r="N259">
        <v>0</v>
      </c>
      <c r="O259" s="14">
        <v>45933</v>
      </c>
      <c r="P259" s="14">
        <v>45978</v>
      </c>
      <c r="Q259">
        <v>2873.52</v>
      </c>
      <c r="R259">
        <v>0</v>
      </c>
      <c r="S259">
        <v>0</v>
      </c>
      <c r="T259">
        <v>0</v>
      </c>
      <c r="U259">
        <v>0</v>
      </c>
      <c r="V259">
        <v>2873.52</v>
      </c>
      <c r="W259">
        <v>0</v>
      </c>
      <c r="X259">
        <v>1</v>
      </c>
      <c r="Y259">
        <v>1</v>
      </c>
      <c r="Z259">
        <v>44</v>
      </c>
      <c r="AA259">
        <v>3</v>
      </c>
      <c r="AB259" s="13" t="s">
        <v>369</v>
      </c>
      <c r="AC259">
        <v>0.5</v>
      </c>
      <c r="AD259">
        <v>0</v>
      </c>
      <c r="AE259" s="13" t="s">
        <v>61</v>
      </c>
    </row>
    <row r="260" spans="1:31" x14ac:dyDescent="0.35">
      <c r="A260" s="13" t="s">
        <v>604</v>
      </c>
      <c r="B260" s="13" t="s">
        <v>605</v>
      </c>
      <c r="C260" s="13" t="s">
        <v>606</v>
      </c>
      <c r="D260" s="13" t="s">
        <v>52</v>
      </c>
      <c r="E260" s="13" t="s">
        <v>65</v>
      </c>
      <c r="F260" s="13" t="s">
        <v>66</v>
      </c>
      <c r="G260" s="13" t="s">
        <v>67</v>
      </c>
      <c r="H260">
        <v>335000</v>
      </c>
      <c r="I260" s="13" t="s">
        <v>86</v>
      </c>
      <c r="J260" s="13" t="s">
        <v>87</v>
      </c>
      <c r="K260" s="13" t="s">
        <v>58</v>
      </c>
      <c r="L260" s="13" t="s">
        <v>59</v>
      </c>
      <c r="M260">
        <v>45</v>
      </c>
      <c r="N260">
        <v>0</v>
      </c>
      <c r="O260" s="14">
        <v>45933</v>
      </c>
      <c r="P260" s="14">
        <v>45978</v>
      </c>
      <c r="Q260">
        <v>15891.57</v>
      </c>
      <c r="R260">
        <v>0</v>
      </c>
      <c r="S260">
        <v>0</v>
      </c>
      <c r="T260">
        <v>0</v>
      </c>
      <c r="U260">
        <v>0</v>
      </c>
      <c r="V260">
        <v>15891.57</v>
      </c>
      <c r="W260">
        <v>0</v>
      </c>
      <c r="X260">
        <v>1</v>
      </c>
      <c r="Y260">
        <v>1</v>
      </c>
      <c r="Z260">
        <v>44</v>
      </c>
      <c r="AA260">
        <v>3</v>
      </c>
      <c r="AB260" s="13" t="s">
        <v>369</v>
      </c>
      <c r="AC260">
        <v>0.5</v>
      </c>
      <c r="AD260">
        <v>0</v>
      </c>
      <c r="AE260" s="13" t="s">
        <v>61</v>
      </c>
    </row>
    <row r="261" spans="1:31" x14ac:dyDescent="0.35">
      <c r="A261" s="13" t="s">
        <v>607</v>
      </c>
      <c r="B261" s="13" t="s">
        <v>259</v>
      </c>
      <c r="C261" s="13" t="s">
        <v>260</v>
      </c>
      <c r="D261" s="13" t="s">
        <v>104</v>
      </c>
      <c r="E261" s="13" t="s">
        <v>71</v>
      </c>
      <c r="F261" s="13" t="s">
        <v>72</v>
      </c>
      <c r="G261" s="13" t="s">
        <v>67</v>
      </c>
      <c r="H261">
        <v>145000</v>
      </c>
      <c r="I261" s="13" t="s">
        <v>121</v>
      </c>
      <c r="J261" s="13" t="s">
        <v>122</v>
      </c>
      <c r="K261" s="13" t="s">
        <v>107</v>
      </c>
      <c r="L261" s="13" t="s">
        <v>88</v>
      </c>
      <c r="M261">
        <v>60</v>
      </c>
      <c r="N261">
        <v>0</v>
      </c>
      <c r="O261" s="14">
        <v>45936</v>
      </c>
      <c r="P261" s="14">
        <v>45996</v>
      </c>
      <c r="Q261">
        <v>8434.5300000000007</v>
      </c>
      <c r="R261">
        <v>5060.72</v>
      </c>
      <c r="S261">
        <v>0</v>
      </c>
      <c r="T261">
        <v>0</v>
      </c>
      <c r="U261">
        <v>0</v>
      </c>
      <c r="V261">
        <v>3373.81</v>
      </c>
      <c r="W261">
        <v>0</v>
      </c>
      <c r="X261">
        <v>1</v>
      </c>
      <c r="Y261">
        <v>1</v>
      </c>
      <c r="Z261">
        <v>26</v>
      </c>
      <c r="AA261">
        <v>2</v>
      </c>
      <c r="AB261" s="13" t="s">
        <v>405</v>
      </c>
      <c r="AC261">
        <v>0.25</v>
      </c>
      <c r="AD261">
        <v>0</v>
      </c>
      <c r="AE261" s="13" t="s">
        <v>61</v>
      </c>
    </row>
    <row r="262" spans="1:31" x14ac:dyDescent="0.35">
      <c r="A262" s="13" t="s">
        <v>608</v>
      </c>
      <c r="B262" s="13" t="s">
        <v>478</v>
      </c>
      <c r="C262" s="13" t="s">
        <v>479</v>
      </c>
      <c r="D262" s="13" t="s">
        <v>52</v>
      </c>
      <c r="E262" s="13" t="s">
        <v>77</v>
      </c>
      <c r="F262" s="13" t="s">
        <v>174</v>
      </c>
      <c r="G262" s="13" t="s">
        <v>55</v>
      </c>
      <c r="H262">
        <v>385000</v>
      </c>
      <c r="I262" s="13" t="s">
        <v>86</v>
      </c>
      <c r="J262" s="13" t="s">
        <v>87</v>
      </c>
      <c r="K262" s="13" t="s">
        <v>58</v>
      </c>
      <c r="L262" s="13" t="s">
        <v>88</v>
      </c>
      <c r="M262">
        <v>60</v>
      </c>
      <c r="N262">
        <v>0</v>
      </c>
      <c r="O262" s="14">
        <v>45936</v>
      </c>
      <c r="P262" s="14">
        <v>45996</v>
      </c>
      <c r="Q262">
        <v>5306.79</v>
      </c>
      <c r="R262">
        <v>3184.07</v>
      </c>
      <c r="S262">
        <v>0</v>
      </c>
      <c r="T262">
        <v>0</v>
      </c>
      <c r="U262">
        <v>0</v>
      </c>
      <c r="V262">
        <v>2122.7199999999998</v>
      </c>
      <c r="W262">
        <v>0</v>
      </c>
      <c r="X262">
        <v>1</v>
      </c>
      <c r="Y262">
        <v>1</v>
      </c>
      <c r="Z262">
        <v>26</v>
      </c>
      <c r="AA262">
        <v>2</v>
      </c>
      <c r="AB262" s="13" t="s">
        <v>405</v>
      </c>
      <c r="AC262">
        <v>0.25</v>
      </c>
      <c r="AD262">
        <v>0</v>
      </c>
      <c r="AE262" s="13" t="s">
        <v>61</v>
      </c>
    </row>
    <row r="263" spans="1:31" x14ac:dyDescent="0.35">
      <c r="A263" s="13" t="s">
        <v>609</v>
      </c>
      <c r="B263" s="13" t="s">
        <v>610</v>
      </c>
      <c r="C263" s="13" t="s">
        <v>611</v>
      </c>
      <c r="D263" s="13" t="s">
        <v>126</v>
      </c>
      <c r="E263" s="13" t="s">
        <v>65</v>
      </c>
      <c r="F263" s="13" t="s">
        <v>111</v>
      </c>
      <c r="G263" s="13" t="s">
        <v>67</v>
      </c>
      <c r="H263">
        <v>85000</v>
      </c>
      <c r="I263" s="13" t="s">
        <v>121</v>
      </c>
      <c r="J263" s="13" t="s">
        <v>122</v>
      </c>
      <c r="K263" s="13" t="s">
        <v>107</v>
      </c>
      <c r="L263" s="13" t="s">
        <v>88</v>
      </c>
      <c r="M263">
        <v>60</v>
      </c>
      <c r="N263">
        <v>0</v>
      </c>
      <c r="O263" s="14">
        <v>45936</v>
      </c>
      <c r="P263" s="14">
        <v>45996</v>
      </c>
      <c r="Q263">
        <v>3035.4</v>
      </c>
      <c r="R263">
        <v>0</v>
      </c>
      <c r="S263">
        <v>0</v>
      </c>
      <c r="T263">
        <v>0</v>
      </c>
      <c r="U263">
        <v>0</v>
      </c>
      <c r="V263">
        <v>3035.4</v>
      </c>
      <c r="W263">
        <v>0</v>
      </c>
      <c r="X263">
        <v>1</v>
      </c>
      <c r="Y263">
        <v>1</v>
      </c>
      <c r="Z263">
        <v>26</v>
      </c>
      <c r="AA263">
        <v>2</v>
      </c>
      <c r="AB263" s="13" t="s">
        <v>405</v>
      </c>
      <c r="AC263">
        <v>0.25</v>
      </c>
      <c r="AD263">
        <v>0</v>
      </c>
      <c r="AE263" s="13" t="s">
        <v>61</v>
      </c>
    </row>
    <row r="264" spans="1:31" x14ac:dyDescent="0.35">
      <c r="A264" s="13" t="s">
        <v>612</v>
      </c>
      <c r="B264" s="13" t="s">
        <v>283</v>
      </c>
      <c r="C264" s="13" t="s">
        <v>284</v>
      </c>
      <c r="D264" s="13" t="s">
        <v>104</v>
      </c>
      <c r="E264" s="13" t="s">
        <v>53</v>
      </c>
      <c r="F264" s="13" t="s">
        <v>135</v>
      </c>
      <c r="G264" s="13" t="s">
        <v>92</v>
      </c>
      <c r="H264">
        <v>105000</v>
      </c>
      <c r="I264" s="13" t="s">
        <v>105</v>
      </c>
      <c r="J264" s="13" t="s">
        <v>106</v>
      </c>
      <c r="K264" s="13" t="s">
        <v>107</v>
      </c>
      <c r="L264" s="13" t="s">
        <v>82</v>
      </c>
      <c r="M264">
        <v>30</v>
      </c>
      <c r="N264">
        <v>2</v>
      </c>
      <c r="O264" s="14">
        <v>45936</v>
      </c>
      <c r="P264" s="14">
        <v>45966</v>
      </c>
      <c r="Q264">
        <v>2069</v>
      </c>
      <c r="R264">
        <v>0</v>
      </c>
      <c r="S264">
        <v>0</v>
      </c>
      <c r="T264">
        <v>0</v>
      </c>
      <c r="U264">
        <v>0</v>
      </c>
      <c r="V264">
        <v>2069</v>
      </c>
      <c r="W264">
        <v>0</v>
      </c>
      <c r="X264">
        <v>1</v>
      </c>
      <c r="Y264">
        <v>1</v>
      </c>
      <c r="Z264">
        <v>56</v>
      </c>
      <c r="AA264">
        <v>3</v>
      </c>
      <c r="AB264" s="13" t="s">
        <v>369</v>
      </c>
      <c r="AC264">
        <v>0.5</v>
      </c>
      <c r="AD264">
        <v>0</v>
      </c>
      <c r="AE264" s="13" t="s">
        <v>61</v>
      </c>
    </row>
    <row r="265" spans="1:31" x14ac:dyDescent="0.35">
      <c r="A265" s="13" t="s">
        <v>613</v>
      </c>
      <c r="B265" s="13" t="s">
        <v>614</v>
      </c>
      <c r="C265" s="13" t="s">
        <v>615</v>
      </c>
      <c r="D265" s="13" t="s">
        <v>126</v>
      </c>
      <c r="E265" s="13" t="s">
        <v>65</v>
      </c>
      <c r="F265" s="13" t="s">
        <v>66</v>
      </c>
      <c r="G265" s="13" t="s">
        <v>55</v>
      </c>
      <c r="H265">
        <v>100000</v>
      </c>
      <c r="I265" s="13" t="s">
        <v>121</v>
      </c>
      <c r="J265" s="13" t="s">
        <v>122</v>
      </c>
      <c r="K265" s="13" t="s">
        <v>107</v>
      </c>
      <c r="L265" s="13" t="s">
        <v>88</v>
      </c>
      <c r="M265">
        <v>60</v>
      </c>
      <c r="N265">
        <v>0</v>
      </c>
      <c r="O265" s="14">
        <v>45936</v>
      </c>
      <c r="P265" s="14">
        <v>45996</v>
      </c>
      <c r="Q265">
        <v>5215.5200000000004</v>
      </c>
      <c r="R265">
        <v>0</v>
      </c>
      <c r="S265">
        <v>0</v>
      </c>
      <c r="T265">
        <v>0</v>
      </c>
      <c r="U265">
        <v>0</v>
      </c>
      <c r="V265">
        <v>5215.5200000000004</v>
      </c>
      <c r="W265">
        <v>0</v>
      </c>
      <c r="X265">
        <v>1</v>
      </c>
      <c r="Y265">
        <v>1</v>
      </c>
      <c r="Z265">
        <v>26</v>
      </c>
      <c r="AA265">
        <v>2</v>
      </c>
      <c r="AB265" s="13" t="s">
        <v>405</v>
      </c>
      <c r="AC265">
        <v>0.25</v>
      </c>
      <c r="AD265">
        <v>0</v>
      </c>
      <c r="AE265" s="13" t="s">
        <v>61</v>
      </c>
    </row>
    <row r="266" spans="1:31" x14ac:dyDescent="0.35">
      <c r="A266" s="13" t="s">
        <v>616</v>
      </c>
      <c r="B266" s="13" t="s">
        <v>617</v>
      </c>
      <c r="C266" s="13" t="s">
        <v>618</v>
      </c>
      <c r="D266" s="13" t="s">
        <v>126</v>
      </c>
      <c r="E266" s="13" t="s">
        <v>99</v>
      </c>
      <c r="F266" s="13" t="s">
        <v>127</v>
      </c>
      <c r="G266" s="13" t="s">
        <v>67</v>
      </c>
      <c r="H266">
        <v>70000</v>
      </c>
      <c r="I266" s="13" t="s">
        <v>121</v>
      </c>
      <c r="J266" s="13" t="s">
        <v>122</v>
      </c>
      <c r="K266" s="13" t="s">
        <v>107</v>
      </c>
      <c r="L266" s="13" t="s">
        <v>368</v>
      </c>
      <c r="M266">
        <v>90</v>
      </c>
      <c r="N266">
        <v>0</v>
      </c>
      <c r="O266" s="14">
        <v>45936</v>
      </c>
      <c r="P266" s="14">
        <v>46026</v>
      </c>
      <c r="Q266">
        <v>1422.45</v>
      </c>
      <c r="R266">
        <v>0</v>
      </c>
      <c r="S266">
        <v>0</v>
      </c>
      <c r="T266">
        <v>0</v>
      </c>
      <c r="U266">
        <v>0</v>
      </c>
      <c r="V266">
        <v>1422.45</v>
      </c>
      <c r="W266">
        <v>0</v>
      </c>
      <c r="X266">
        <v>1</v>
      </c>
      <c r="Y266">
        <v>0</v>
      </c>
      <c r="Z266">
        <v>-4</v>
      </c>
      <c r="AA266">
        <v>1</v>
      </c>
      <c r="AB266" s="13" t="s">
        <v>581</v>
      </c>
      <c r="AC266">
        <v>0</v>
      </c>
      <c r="AD266">
        <v>0</v>
      </c>
      <c r="AE266" s="13" t="s">
        <v>61</v>
      </c>
    </row>
    <row r="267" spans="1:31" x14ac:dyDescent="0.35">
      <c r="A267" s="13" t="s">
        <v>619</v>
      </c>
      <c r="B267" s="13" t="s">
        <v>277</v>
      </c>
      <c r="C267" s="13" t="s">
        <v>278</v>
      </c>
      <c r="D267" s="13" t="s">
        <v>104</v>
      </c>
      <c r="E267" s="13" t="s">
        <v>71</v>
      </c>
      <c r="F267" s="13" t="s">
        <v>214</v>
      </c>
      <c r="G267" s="13" t="s">
        <v>92</v>
      </c>
      <c r="H267">
        <v>105000</v>
      </c>
      <c r="I267" s="13" t="s">
        <v>105</v>
      </c>
      <c r="J267" s="13" t="s">
        <v>106</v>
      </c>
      <c r="K267" s="13" t="s">
        <v>107</v>
      </c>
      <c r="L267" s="13" t="s">
        <v>88</v>
      </c>
      <c r="M267">
        <v>60</v>
      </c>
      <c r="N267">
        <v>0</v>
      </c>
      <c r="O267" s="14">
        <v>45937</v>
      </c>
      <c r="P267" s="14">
        <v>45997</v>
      </c>
      <c r="Q267">
        <v>1505.14</v>
      </c>
      <c r="R267">
        <v>0</v>
      </c>
      <c r="S267">
        <v>0</v>
      </c>
      <c r="T267">
        <v>225.77</v>
      </c>
      <c r="U267">
        <v>0</v>
      </c>
      <c r="V267">
        <v>1279.3699999999999</v>
      </c>
      <c r="W267">
        <v>0</v>
      </c>
      <c r="X267">
        <v>1</v>
      </c>
      <c r="Y267">
        <v>1</v>
      </c>
      <c r="Z267">
        <v>25</v>
      </c>
      <c r="AA267">
        <v>2</v>
      </c>
      <c r="AB267" s="13" t="s">
        <v>405</v>
      </c>
      <c r="AC267">
        <v>0.25</v>
      </c>
      <c r="AD267">
        <v>0</v>
      </c>
      <c r="AE267" s="13" t="s">
        <v>465</v>
      </c>
    </row>
    <row r="268" spans="1:31" x14ac:dyDescent="0.35">
      <c r="A268" s="13" t="s">
        <v>620</v>
      </c>
      <c r="B268" s="13" t="s">
        <v>558</v>
      </c>
      <c r="C268" s="13" t="s">
        <v>559</v>
      </c>
      <c r="D268" s="13" t="s">
        <v>52</v>
      </c>
      <c r="E268" s="13" t="s">
        <v>53</v>
      </c>
      <c r="F268" s="13" t="s">
        <v>54</v>
      </c>
      <c r="G268" s="13" t="s">
        <v>55</v>
      </c>
      <c r="H268">
        <v>240000</v>
      </c>
      <c r="I268" s="13" t="s">
        <v>56</v>
      </c>
      <c r="J268" s="13" t="s">
        <v>57</v>
      </c>
      <c r="K268" s="13" t="s">
        <v>58</v>
      </c>
      <c r="L268" s="13" t="s">
        <v>59</v>
      </c>
      <c r="M268">
        <v>45</v>
      </c>
      <c r="N268">
        <v>0</v>
      </c>
      <c r="O268" s="14">
        <v>45937</v>
      </c>
      <c r="P268" s="14">
        <v>45982</v>
      </c>
      <c r="Q268">
        <v>14870.85</v>
      </c>
      <c r="R268">
        <v>0</v>
      </c>
      <c r="S268">
        <v>0</v>
      </c>
      <c r="T268">
        <v>0</v>
      </c>
      <c r="U268">
        <v>0</v>
      </c>
      <c r="V268">
        <v>14870.85</v>
      </c>
      <c r="W268">
        <v>0</v>
      </c>
      <c r="X268">
        <v>1</v>
      </c>
      <c r="Y268">
        <v>1</v>
      </c>
      <c r="Z268">
        <v>40</v>
      </c>
      <c r="AA268">
        <v>3</v>
      </c>
      <c r="AB268" s="13" t="s">
        <v>369</v>
      </c>
      <c r="AC268">
        <v>0.5</v>
      </c>
      <c r="AD268">
        <v>0</v>
      </c>
      <c r="AE268" s="13" t="s">
        <v>61</v>
      </c>
    </row>
    <row r="269" spans="1:31" x14ac:dyDescent="0.35">
      <c r="A269" s="13" t="s">
        <v>621</v>
      </c>
      <c r="B269" s="13" t="s">
        <v>290</v>
      </c>
      <c r="C269" s="13" t="s">
        <v>291</v>
      </c>
      <c r="D269" s="13" t="s">
        <v>104</v>
      </c>
      <c r="E269" s="13" t="s">
        <v>77</v>
      </c>
      <c r="F269" s="13" t="s">
        <v>78</v>
      </c>
      <c r="G269" s="13" t="s">
        <v>92</v>
      </c>
      <c r="H269">
        <v>140000</v>
      </c>
      <c r="I269" s="13" t="s">
        <v>121</v>
      </c>
      <c r="J269" s="13" t="s">
        <v>122</v>
      </c>
      <c r="K269" s="13" t="s">
        <v>107</v>
      </c>
      <c r="L269" s="13" t="s">
        <v>82</v>
      </c>
      <c r="M269">
        <v>30</v>
      </c>
      <c r="N269">
        <v>2</v>
      </c>
      <c r="O269" s="14">
        <v>45937</v>
      </c>
      <c r="P269" s="14">
        <v>45967</v>
      </c>
      <c r="Q269">
        <v>801.57</v>
      </c>
      <c r="R269">
        <v>0</v>
      </c>
      <c r="S269">
        <v>0</v>
      </c>
      <c r="T269">
        <v>0</v>
      </c>
      <c r="U269">
        <v>0</v>
      </c>
      <c r="V269">
        <v>801.57</v>
      </c>
      <c r="W269">
        <v>0</v>
      </c>
      <c r="X269">
        <v>1</v>
      </c>
      <c r="Y269">
        <v>1</v>
      </c>
      <c r="Z269">
        <v>55</v>
      </c>
      <c r="AA269">
        <v>3</v>
      </c>
      <c r="AB269" s="13" t="s">
        <v>369</v>
      </c>
      <c r="AC269">
        <v>0.5</v>
      </c>
      <c r="AD269">
        <v>0</v>
      </c>
      <c r="AE269" s="13" t="s">
        <v>61</v>
      </c>
    </row>
    <row r="270" spans="1:31" x14ac:dyDescent="0.35">
      <c r="A270" s="13" t="s">
        <v>622</v>
      </c>
      <c r="B270" s="13" t="s">
        <v>212</v>
      </c>
      <c r="C270" s="13" t="s">
        <v>213</v>
      </c>
      <c r="D270" s="13" t="s">
        <v>52</v>
      </c>
      <c r="E270" s="13" t="s">
        <v>71</v>
      </c>
      <c r="F270" s="13" t="s">
        <v>214</v>
      </c>
      <c r="G270" s="13" t="s">
        <v>92</v>
      </c>
      <c r="H270">
        <v>380000</v>
      </c>
      <c r="I270" s="13" t="s">
        <v>86</v>
      </c>
      <c r="J270" s="13" t="s">
        <v>87</v>
      </c>
      <c r="K270" s="13" t="s">
        <v>58</v>
      </c>
      <c r="L270" s="13" t="s">
        <v>88</v>
      </c>
      <c r="M270">
        <v>60</v>
      </c>
      <c r="N270">
        <v>0</v>
      </c>
      <c r="O270" s="14">
        <v>45937</v>
      </c>
      <c r="P270" s="14">
        <v>45997</v>
      </c>
      <c r="Q270">
        <v>16287.82</v>
      </c>
      <c r="R270">
        <v>0</v>
      </c>
      <c r="S270">
        <v>0</v>
      </c>
      <c r="T270">
        <v>0</v>
      </c>
      <c r="U270">
        <v>0</v>
      </c>
      <c r="V270">
        <v>16287.82</v>
      </c>
      <c r="W270">
        <v>0</v>
      </c>
      <c r="X270">
        <v>1</v>
      </c>
      <c r="Y270">
        <v>1</v>
      </c>
      <c r="Z270">
        <v>25</v>
      </c>
      <c r="AA270">
        <v>2</v>
      </c>
      <c r="AB270" s="13" t="s">
        <v>405</v>
      </c>
      <c r="AC270">
        <v>0.25</v>
      </c>
      <c r="AD270">
        <v>0</v>
      </c>
      <c r="AE270" s="13" t="s">
        <v>61</v>
      </c>
    </row>
    <row r="271" spans="1:31" x14ac:dyDescent="0.35">
      <c r="A271" s="13" t="s">
        <v>623</v>
      </c>
      <c r="B271" s="13" t="s">
        <v>575</v>
      </c>
      <c r="C271" s="13" t="s">
        <v>576</v>
      </c>
      <c r="D271" s="13" t="s">
        <v>126</v>
      </c>
      <c r="E271" s="13" t="s">
        <v>65</v>
      </c>
      <c r="F271" s="13" t="s">
        <v>111</v>
      </c>
      <c r="G271" s="13" t="s">
        <v>55</v>
      </c>
      <c r="H271">
        <v>160000</v>
      </c>
      <c r="I271" s="13" t="s">
        <v>86</v>
      </c>
      <c r="J271" s="13" t="s">
        <v>87</v>
      </c>
      <c r="K271" s="13" t="s">
        <v>58</v>
      </c>
      <c r="L271" s="13" t="s">
        <v>368</v>
      </c>
      <c r="M271">
        <v>90</v>
      </c>
      <c r="N271">
        <v>0</v>
      </c>
      <c r="O271" s="14">
        <v>45937</v>
      </c>
      <c r="P271" s="14">
        <v>46027</v>
      </c>
      <c r="Q271">
        <v>1107.1500000000001</v>
      </c>
      <c r="R271">
        <v>0</v>
      </c>
      <c r="S271">
        <v>0</v>
      </c>
      <c r="T271">
        <v>0</v>
      </c>
      <c r="U271">
        <v>0</v>
      </c>
      <c r="V271">
        <v>1107.1500000000001</v>
      </c>
      <c r="W271">
        <v>0</v>
      </c>
      <c r="X271">
        <v>1</v>
      </c>
      <c r="Y271">
        <v>0</v>
      </c>
      <c r="Z271">
        <v>-5</v>
      </c>
      <c r="AA271">
        <v>1</v>
      </c>
      <c r="AB271" s="13" t="s">
        <v>581</v>
      </c>
      <c r="AC271">
        <v>0</v>
      </c>
      <c r="AD271">
        <v>0</v>
      </c>
      <c r="AE271" s="13" t="s">
        <v>61</v>
      </c>
    </row>
    <row r="272" spans="1:31" x14ac:dyDescent="0.35">
      <c r="A272" s="13" t="s">
        <v>624</v>
      </c>
      <c r="B272" s="13" t="s">
        <v>625</v>
      </c>
      <c r="C272" s="13" t="s">
        <v>626</v>
      </c>
      <c r="D272" s="13" t="s">
        <v>104</v>
      </c>
      <c r="E272" s="13" t="s">
        <v>71</v>
      </c>
      <c r="F272" s="13" t="s">
        <v>214</v>
      </c>
      <c r="G272" s="13" t="s">
        <v>67</v>
      </c>
      <c r="H272">
        <v>85000</v>
      </c>
      <c r="I272" s="13" t="s">
        <v>105</v>
      </c>
      <c r="J272" s="13" t="s">
        <v>106</v>
      </c>
      <c r="K272" s="13" t="s">
        <v>107</v>
      </c>
      <c r="L272" s="13" t="s">
        <v>88</v>
      </c>
      <c r="M272">
        <v>60</v>
      </c>
      <c r="N272">
        <v>0</v>
      </c>
      <c r="O272" s="14">
        <v>45937</v>
      </c>
      <c r="P272" s="14">
        <v>45997</v>
      </c>
      <c r="Q272">
        <v>6171.13</v>
      </c>
      <c r="R272">
        <v>3702.68</v>
      </c>
      <c r="S272">
        <v>0</v>
      </c>
      <c r="T272">
        <v>0</v>
      </c>
      <c r="U272">
        <v>0</v>
      </c>
      <c r="V272">
        <v>2468.4499999999998</v>
      </c>
      <c r="W272">
        <v>0</v>
      </c>
      <c r="X272">
        <v>1</v>
      </c>
      <c r="Y272">
        <v>1</v>
      </c>
      <c r="Z272">
        <v>25</v>
      </c>
      <c r="AA272">
        <v>2</v>
      </c>
      <c r="AB272" s="13" t="s">
        <v>405</v>
      </c>
      <c r="AC272">
        <v>0.25</v>
      </c>
      <c r="AD272">
        <v>0</v>
      </c>
      <c r="AE272" s="13" t="s">
        <v>61</v>
      </c>
    </row>
    <row r="273" spans="1:31" x14ac:dyDescent="0.35">
      <c r="A273" s="13" t="s">
        <v>627</v>
      </c>
      <c r="B273" s="13" t="s">
        <v>442</v>
      </c>
      <c r="C273" s="13" t="s">
        <v>443</v>
      </c>
      <c r="D273" s="13" t="s">
        <v>104</v>
      </c>
      <c r="E273" s="13" t="s">
        <v>71</v>
      </c>
      <c r="F273" s="13" t="s">
        <v>214</v>
      </c>
      <c r="G273" s="13" t="s">
        <v>92</v>
      </c>
      <c r="H273">
        <v>145000</v>
      </c>
      <c r="I273" s="13" t="s">
        <v>121</v>
      </c>
      <c r="J273" s="13" t="s">
        <v>122</v>
      </c>
      <c r="K273" s="13" t="s">
        <v>107</v>
      </c>
      <c r="L273" s="13" t="s">
        <v>88</v>
      </c>
      <c r="M273">
        <v>60</v>
      </c>
      <c r="N273">
        <v>0</v>
      </c>
      <c r="O273" s="14">
        <v>45938</v>
      </c>
      <c r="P273" s="14">
        <v>45998</v>
      </c>
      <c r="Q273">
        <v>948.97</v>
      </c>
      <c r="R273">
        <v>0</v>
      </c>
      <c r="S273">
        <v>0</v>
      </c>
      <c r="T273">
        <v>0</v>
      </c>
      <c r="U273">
        <v>0</v>
      </c>
      <c r="V273">
        <v>948.97</v>
      </c>
      <c r="W273">
        <v>0</v>
      </c>
      <c r="X273">
        <v>1</v>
      </c>
      <c r="Y273">
        <v>1</v>
      </c>
      <c r="Z273">
        <v>24</v>
      </c>
      <c r="AA273">
        <v>2</v>
      </c>
      <c r="AB273" s="13" t="s">
        <v>405</v>
      </c>
      <c r="AC273">
        <v>0.25</v>
      </c>
      <c r="AD273">
        <v>0</v>
      </c>
      <c r="AE273" s="13" t="s">
        <v>61</v>
      </c>
    </row>
    <row r="274" spans="1:31" x14ac:dyDescent="0.35">
      <c r="A274" s="13" t="s">
        <v>628</v>
      </c>
      <c r="B274" s="13" t="s">
        <v>84</v>
      </c>
      <c r="C274" s="13" t="s">
        <v>85</v>
      </c>
      <c r="D274" s="13" t="s">
        <v>52</v>
      </c>
      <c r="E274" s="13" t="s">
        <v>71</v>
      </c>
      <c r="F274" s="13" t="s">
        <v>72</v>
      </c>
      <c r="G274" s="13" t="s">
        <v>67</v>
      </c>
      <c r="H274">
        <v>600000</v>
      </c>
      <c r="I274" s="13" t="s">
        <v>86</v>
      </c>
      <c r="J274" s="13" t="s">
        <v>87</v>
      </c>
      <c r="K274" s="13" t="s">
        <v>58</v>
      </c>
      <c r="L274" s="13" t="s">
        <v>88</v>
      </c>
      <c r="M274">
        <v>60</v>
      </c>
      <c r="N274">
        <v>0</v>
      </c>
      <c r="O274" s="14">
        <v>45938</v>
      </c>
      <c r="P274" s="14">
        <v>45998</v>
      </c>
      <c r="Q274">
        <v>16123.5</v>
      </c>
      <c r="R274">
        <v>0</v>
      </c>
      <c r="S274">
        <v>0</v>
      </c>
      <c r="T274">
        <v>0</v>
      </c>
      <c r="U274">
        <v>0</v>
      </c>
      <c r="V274">
        <v>16123.5</v>
      </c>
      <c r="W274">
        <v>0</v>
      </c>
      <c r="X274">
        <v>1</v>
      </c>
      <c r="Y274">
        <v>1</v>
      </c>
      <c r="Z274">
        <v>24</v>
      </c>
      <c r="AA274">
        <v>2</v>
      </c>
      <c r="AB274" s="13" t="s">
        <v>405</v>
      </c>
      <c r="AC274">
        <v>0.25</v>
      </c>
      <c r="AD274">
        <v>1</v>
      </c>
      <c r="AE274" s="13" t="s">
        <v>629</v>
      </c>
    </row>
    <row r="275" spans="1:31" x14ac:dyDescent="0.35">
      <c r="A275" s="13" t="s">
        <v>630</v>
      </c>
      <c r="B275" s="13" t="s">
        <v>455</v>
      </c>
      <c r="C275" s="13" t="s">
        <v>456</v>
      </c>
      <c r="D275" s="13" t="s">
        <v>126</v>
      </c>
      <c r="E275" s="13" t="s">
        <v>71</v>
      </c>
      <c r="F275" s="13" t="s">
        <v>214</v>
      </c>
      <c r="G275" s="13" t="s">
        <v>67</v>
      </c>
      <c r="H275">
        <v>120000</v>
      </c>
      <c r="I275" s="13" t="s">
        <v>105</v>
      </c>
      <c r="J275" s="13" t="s">
        <v>106</v>
      </c>
      <c r="K275" s="13" t="s">
        <v>107</v>
      </c>
      <c r="L275" s="13" t="s">
        <v>368</v>
      </c>
      <c r="M275">
        <v>90</v>
      </c>
      <c r="N275">
        <v>0</v>
      </c>
      <c r="O275" s="14">
        <v>45938</v>
      </c>
      <c r="P275" s="14">
        <v>46028</v>
      </c>
      <c r="Q275">
        <v>5033.95</v>
      </c>
      <c r="R275">
        <v>0</v>
      </c>
      <c r="S275">
        <v>0</v>
      </c>
      <c r="T275">
        <v>0</v>
      </c>
      <c r="U275">
        <v>0</v>
      </c>
      <c r="V275">
        <v>5033.95</v>
      </c>
      <c r="W275">
        <v>0</v>
      </c>
      <c r="X275">
        <v>1</v>
      </c>
      <c r="Y275">
        <v>0</v>
      </c>
      <c r="Z275">
        <v>-6</v>
      </c>
      <c r="AA275">
        <v>1</v>
      </c>
      <c r="AB275" s="13" t="s">
        <v>581</v>
      </c>
      <c r="AC275">
        <v>0</v>
      </c>
      <c r="AD275">
        <v>0</v>
      </c>
      <c r="AE275" s="13" t="s">
        <v>61</v>
      </c>
    </row>
    <row r="276" spans="1:31" x14ac:dyDescent="0.35">
      <c r="A276" s="13" t="s">
        <v>631</v>
      </c>
      <c r="B276" s="13" t="s">
        <v>446</v>
      </c>
      <c r="C276" s="13" t="s">
        <v>447</v>
      </c>
      <c r="D276" s="13" t="s">
        <v>52</v>
      </c>
      <c r="E276" s="13" t="s">
        <v>53</v>
      </c>
      <c r="F276" s="13" t="s">
        <v>54</v>
      </c>
      <c r="G276" s="13" t="s">
        <v>67</v>
      </c>
      <c r="H276">
        <v>245000</v>
      </c>
      <c r="I276" s="13" t="s">
        <v>86</v>
      </c>
      <c r="J276" s="13" t="s">
        <v>87</v>
      </c>
      <c r="K276" s="13" t="s">
        <v>58</v>
      </c>
      <c r="L276" s="13" t="s">
        <v>88</v>
      </c>
      <c r="M276">
        <v>60</v>
      </c>
      <c r="N276">
        <v>0</v>
      </c>
      <c r="O276" s="14">
        <v>45938</v>
      </c>
      <c r="P276" s="14">
        <v>45998</v>
      </c>
      <c r="Q276">
        <v>13253.25</v>
      </c>
      <c r="R276">
        <v>0</v>
      </c>
      <c r="S276">
        <v>0</v>
      </c>
      <c r="T276">
        <v>0</v>
      </c>
      <c r="U276">
        <v>0</v>
      </c>
      <c r="V276">
        <v>13253.25</v>
      </c>
      <c r="W276">
        <v>0</v>
      </c>
      <c r="X276">
        <v>1</v>
      </c>
      <c r="Y276">
        <v>1</v>
      </c>
      <c r="Z276">
        <v>24</v>
      </c>
      <c r="AA276">
        <v>2</v>
      </c>
      <c r="AB276" s="13" t="s">
        <v>405</v>
      </c>
      <c r="AC276">
        <v>0.25</v>
      </c>
      <c r="AD276">
        <v>0</v>
      </c>
      <c r="AE276" s="13" t="s">
        <v>61</v>
      </c>
    </row>
    <row r="277" spans="1:31" x14ac:dyDescent="0.35">
      <c r="A277" s="13" t="s">
        <v>632</v>
      </c>
      <c r="B277" s="13" t="s">
        <v>633</v>
      </c>
      <c r="C277" s="13" t="s">
        <v>634</v>
      </c>
      <c r="D277" s="13" t="s">
        <v>126</v>
      </c>
      <c r="E277" s="13" t="s">
        <v>53</v>
      </c>
      <c r="F277" s="13" t="s">
        <v>135</v>
      </c>
      <c r="G277" s="13" t="s">
        <v>67</v>
      </c>
      <c r="H277">
        <v>90000</v>
      </c>
      <c r="I277" s="13" t="s">
        <v>121</v>
      </c>
      <c r="J277" s="13" t="s">
        <v>122</v>
      </c>
      <c r="K277" s="13" t="s">
        <v>107</v>
      </c>
      <c r="L277" s="13" t="s">
        <v>368</v>
      </c>
      <c r="M277">
        <v>90</v>
      </c>
      <c r="N277">
        <v>0</v>
      </c>
      <c r="O277" s="14">
        <v>45938</v>
      </c>
      <c r="P277" s="14">
        <v>46028</v>
      </c>
      <c r="Q277">
        <v>8716.93</v>
      </c>
      <c r="R277">
        <v>0</v>
      </c>
      <c r="S277">
        <v>0</v>
      </c>
      <c r="T277">
        <v>0</v>
      </c>
      <c r="U277">
        <v>0</v>
      </c>
      <c r="V277">
        <v>8716.93</v>
      </c>
      <c r="W277">
        <v>0</v>
      </c>
      <c r="X277">
        <v>1</v>
      </c>
      <c r="Y277">
        <v>0</v>
      </c>
      <c r="Z277">
        <v>-6</v>
      </c>
      <c r="AA277">
        <v>1</v>
      </c>
      <c r="AB277" s="13" t="s">
        <v>581</v>
      </c>
      <c r="AC277">
        <v>0</v>
      </c>
      <c r="AD277">
        <v>0</v>
      </c>
      <c r="AE277" s="13" t="s">
        <v>61</v>
      </c>
    </row>
    <row r="278" spans="1:31" x14ac:dyDescent="0.35">
      <c r="A278" s="13" t="s">
        <v>635</v>
      </c>
      <c r="B278" s="13" t="s">
        <v>636</v>
      </c>
      <c r="C278" s="13" t="s">
        <v>637</v>
      </c>
      <c r="D278" s="13" t="s">
        <v>126</v>
      </c>
      <c r="E278" s="13" t="s">
        <v>65</v>
      </c>
      <c r="F278" s="13" t="s">
        <v>111</v>
      </c>
      <c r="G278" s="13" t="s">
        <v>67</v>
      </c>
      <c r="H278">
        <v>130000</v>
      </c>
      <c r="I278" s="13" t="s">
        <v>105</v>
      </c>
      <c r="J278" s="13" t="s">
        <v>106</v>
      </c>
      <c r="K278" s="13" t="s">
        <v>107</v>
      </c>
      <c r="L278" s="13" t="s">
        <v>368</v>
      </c>
      <c r="M278">
        <v>90</v>
      </c>
      <c r="N278">
        <v>0</v>
      </c>
      <c r="O278" s="14">
        <v>45939</v>
      </c>
      <c r="P278" s="14">
        <v>46029</v>
      </c>
      <c r="Q278">
        <v>4780.68</v>
      </c>
      <c r="R278">
        <v>0</v>
      </c>
      <c r="S278">
        <v>0</v>
      </c>
      <c r="T278">
        <v>0</v>
      </c>
      <c r="U278">
        <v>0</v>
      </c>
      <c r="V278">
        <v>4780.68</v>
      </c>
      <c r="W278">
        <v>0</v>
      </c>
      <c r="X278">
        <v>1</v>
      </c>
      <c r="Y278">
        <v>0</v>
      </c>
      <c r="Z278">
        <v>-7</v>
      </c>
      <c r="AA278">
        <v>1</v>
      </c>
      <c r="AB278" s="13" t="s">
        <v>581</v>
      </c>
      <c r="AC278">
        <v>0</v>
      </c>
      <c r="AD278">
        <v>0</v>
      </c>
      <c r="AE278" s="13" t="s">
        <v>61</v>
      </c>
    </row>
    <row r="279" spans="1:31" x14ac:dyDescent="0.35">
      <c r="A279" s="13" t="s">
        <v>638</v>
      </c>
      <c r="B279" s="13" t="s">
        <v>286</v>
      </c>
      <c r="C279" s="13" t="s">
        <v>287</v>
      </c>
      <c r="D279" s="13" t="s">
        <v>104</v>
      </c>
      <c r="E279" s="13" t="s">
        <v>77</v>
      </c>
      <c r="F279" s="13" t="s">
        <v>174</v>
      </c>
      <c r="G279" s="13" t="s">
        <v>92</v>
      </c>
      <c r="H279">
        <v>150000</v>
      </c>
      <c r="I279" s="13" t="s">
        <v>86</v>
      </c>
      <c r="J279" s="13" t="s">
        <v>87</v>
      </c>
      <c r="K279" s="13" t="s">
        <v>58</v>
      </c>
      <c r="L279" s="13" t="s">
        <v>95</v>
      </c>
      <c r="M279">
        <v>30</v>
      </c>
      <c r="N279">
        <v>0</v>
      </c>
      <c r="O279" s="14">
        <v>45939</v>
      </c>
      <c r="P279" s="14">
        <v>45969</v>
      </c>
      <c r="Q279">
        <v>8673.5499999999993</v>
      </c>
      <c r="R279">
        <v>0</v>
      </c>
      <c r="S279">
        <v>0</v>
      </c>
      <c r="T279">
        <v>0</v>
      </c>
      <c r="U279">
        <v>0</v>
      </c>
      <c r="V279">
        <v>8673.5499999999993</v>
      </c>
      <c r="W279">
        <v>0</v>
      </c>
      <c r="X279">
        <v>1</v>
      </c>
      <c r="Y279">
        <v>1</v>
      </c>
      <c r="Z279">
        <v>53</v>
      </c>
      <c r="AA279">
        <v>3</v>
      </c>
      <c r="AB279" s="13" t="s">
        <v>369</v>
      </c>
      <c r="AC279">
        <v>0.5</v>
      </c>
      <c r="AD279">
        <v>0</v>
      </c>
      <c r="AE279" s="13" t="s">
        <v>61</v>
      </c>
    </row>
    <row r="280" spans="1:31" x14ac:dyDescent="0.35">
      <c r="A280" s="13" t="s">
        <v>639</v>
      </c>
      <c r="B280" s="13" t="s">
        <v>277</v>
      </c>
      <c r="C280" s="13" t="s">
        <v>278</v>
      </c>
      <c r="D280" s="13" t="s">
        <v>104</v>
      </c>
      <c r="E280" s="13" t="s">
        <v>71</v>
      </c>
      <c r="F280" s="13" t="s">
        <v>214</v>
      </c>
      <c r="G280" s="13" t="s">
        <v>92</v>
      </c>
      <c r="H280">
        <v>105000</v>
      </c>
      <c r="I280" s="13" t="s">
        <v>105</v>
      </c>
      <c r="J280" s="13" t="s">
        <v>106</v>
      </c>
      <c r="K280" s="13" t="s">
        <v>107</v>
      </c>
      <c r="L280" s="13" t="s">
        <v>88</v>
      </c>
      <c r="M280">
        <v>60</v>
      </c>
      <c r="N280">
        <v>0</v>
      </c>
      <c r="O280" s="14">
        <v>45939</v>
      </c>
      <c r="P280" s="14">
        <v>45999</v>
      </c>
      <c r="Q280">
        <v>2856.13</v>
      </c>
      <c r="R280">
        <v>0</v>
      </c>
      <c r="S280">
        <v>0</v>
      </c>
      <c r="T280">
        <v>0</v>
      </c>
      <c r="U280">
        <v>0</v>
      </c>
      <c r="V280">
        <v>2856.13</v>
      </c>
      <c r="W280">
        <v>0</v>
      </c>
      <c r="X280">
        <v>1</v>
      </c>
      <c r="Y280">
        <v>1</v>
      </c>
      <c r="Z280">
        <v>23</v>
      </c>
      <c r="AA280">
        <v>2</v>
      </c>
      <c r="AB280" s="13" t="s">
        <v>405</v>
      </c>
      <c r="AC280">
        <v>0.25</v>
      </c>
      <c r="AD280">
        <v>0</v>
      </c>
      <c r="AE280" s="13" t="s">
        <v>61</v>
      </c>
    </row>
    <row r="281" spans="1:31" x14ac:dyDescent="0.35">
      <c r="A281" s="13" t="s">
        <v>640</v>
      </c>
      <c r="B281" s="13" t="s">
        <v>641</v>
      </c>
      <c r="C281" s="13" t="s">
        <v>642</v>
      </c>
      <c r="D281" s="13" t="s">
        <v>52</v>
      </c>
      <c r="E281" s="13" t="s">
        <v>99</v>
      </c>
      <c r="F281" s="13" t="s">
        <v>127</v>
      </c>
      <c r="G281" s="13" t="s">
        <v>67</v>
      </c>
      <c r="H281">
        <v>315000</v>
      </c>
      <c r="I281" s="13" t="s">
        <v>56</v>
      </c>
      <c r="J281" s="13" t="s">
        <v>57</v>
      </c>
      <c r="K281" s="13" t="s">
        <v>58</v>
      </c>
      <c r="L281" s="13" t="s">
        <v>88</v>
      </c>
      <c r="M281">
        <v>60</v>
      </c>
      <c r="N281">
        <v>0</v>
      </c>
      <c r="O281" s="14">
        <v>45939</v>
      </c>
      <c r="P281" s="14">
        <v>45999</v>
      </c>
      <c r="Q281">
        <v>2342.64</v>
      </c>
      <c r="R281">
        <v>1405.58</v>
      </c>
      <c r="S281">
        <v>0</v>
      </c>
      <c r="T281">
        <v>0</v>
      </c>
      <c r="U281">
        <v>0</v>
      </c>
      <c r="V281">
        <v>937.06</v>
      </c>
      <c r="W281">
        <v>0</v>
      </c>
      <c r="X281">
        <v>1</v>
      </c>
      <c r="Y281">
        <v>1</v>
      </c>
      <c r="Z281">
        <v>23</v>
      </c>
      <c r="AA281">
        <v>2</v>
      </c>
      <c r="AB281" s="13" t="s">
        <v>405</v>
      </c>
      <c r="AC281">
        <v>0.25</v>
      </c>
      <c r="AD281">
        <v>0</v>
      </c>
      <c r="AE281" s="13" t="s">
        <v>61</v>
      </c>
    </row>
    <row r="282" spans="1:31" x14ac:dyDescent="0.35">
      <c r="A282" s="13" t="s">
        <v>643</v>
      </c>
      <c r="B282" s="13" t="s">
        <v>644</v>
      </c>
      <c r="C282" s="13" t="s">
        <v>645</v>
      </c>
      <c r="D282" s="13" t="s">
        <v>76</v>
      </c>
      <c r="E282" s="13" t="s">
        <v>53</v>
      </c>
      <c r="F282" s="13" t="s">
        <v>54</v>
      </c>
      <c r="G282" s="13" t="s">
        <v>92</v>
      </c>
      <c r="H282">
        <v>35000</v>
      </c>
      <c r="I282" s="13" t="s">
        <v>79</v>
      </c>
      <c r="J282" s="13" t="s">
        <v>80</v>
      </c>
      <c r="K282" s="13" t="s">
        <v>81</v>
      </c>
      <c r="L282" s="13" t="s">
        <v>95</v>
      </c>
      <c r="M282">
        <v>30</v>
      </c>
      <c r="N282">
        <v>0</v>
      </c>
      <c r="O282" s="14">
        <v>45939</v>
      </c>
      <c r="P282" s="14">
        <v>45969</v>
      </c>
      <c r="Q282">
        <v>4138.57</v>
      </c>
      <c r="R282">
        <v>2483.14</v>
      </c>
      <c r="S282">
        <v>0</v>
      </c>
      <c r="T282">
        <v>0</v>
      </c>
      <c r="U282">
        <v>0</v>
      </c>
      <c r="V282">
        <v>1655.43</v>
      </c>
      <c r="W282">
        <v>0</v>
      </c>
      <c r="X282">
        <v>1</v>
      </c>
      <c r="Y282">
        <v>1</v>
      </c>
      <c r="Z282">
        <v>53</v>
      </c>
      <c r="AA282">
        <v>3</v>
      </c>
      <c r="AB282" s="13" t="s">
        <v>369</v>
      </c>
      <c r="AC282">
        <v>0.5</v>
      </c>
      <c r="AD282">
        <v>0</v>
      </c>
      <c r="AE282" s="13" t="s">
        <v>61</v>
      </c>
    </row>
    <row r="283" spans="1:31" x14ac:dyDescent="0.35">
      <c r="A283" s="13" t="s">
        <v>646</v>
      </c>
      <c r="B283" s="13" t="s">
        <v>283</v>
      </c>
      <c r="C283" s="13" t="s">
        <v>284</v>
      </c>
      <c r="D283" s="13" t="s">
        <v>104</v>
      </c>
      <c r="E283" s="13" t="s">
        <v>53</v>
      </c>
      <c r="F283" s="13" t="s">
        <v>135</v>
      </c>
      <c r="G283" s="13" t="s">
        <v>92</v>
      </c>
      <c r="H283">
        <v>105000</v>
      </c>
      <c r="I283" s="13" t="s">
        <v>105</v>
      </c>
      <c r="J283" s="13" t="s">
        <v>106</v>
      </c>
      <c r="K283" s="13" t="s">
        <v>107</v>
      </c>
      <c r="L283" s="13" t="s">
        <v>82</v>
      </c>
      <c r="M283">
        <v>30</v>
      </c>
      <c r="N283">
        <v>2</v>
      </c>
      <c r="O283" s="14">
        <v>45939</v>
      </c>
      <c r="P283" s="14">
        <v>45969</v>
      </c>
      <c r="Q283">
        <v>810.53</v>
      </c>
      <c r="R283">
        <v>0</v>
      </c>
      <c r="S283">
        <v>0</v>
      </c>
      <c r="T283">
        <v>0</v>
      </c>
      <c r="U283">
        <v>0</v>
      </c>
      <c r="V283">
        <v>810.53</v>
      </c>
      <c r="W283">
        <v>0</v>
      </c>
      <c r="X283">
        <v>1</v>
      </c>
      <c r="Y283">
        <v>1</v>
      </c>
      <c r="Z283">
        <v>53</v>
      </c>
      <c r="AA283">
        <v>3</v>
      </c>
      <c r="AB283" s="13" t="s">
        <v>369</v>
      </c>
      <c r="AC283">
        <v>0.5</v>
      </c>
      <c r="AD283">
        <v>0</v>
      </c>
      <c r="AE283" s="13" t="s">
        <v>61</v>
      </c>
    </row>
    <row r="284" spans="1:31" x14ac:dyDescent="0.35">
      <c r="A284" s="13" t="s">
        <v>647</v>
      </c>
      <c r="B284" s="13" t="s">
        <v>438</v>
      </c>
      <c r="C284" s="13" t="s">
        <v>439</v>
      </c>
      <c r="D284" s="13" t="s">
        <v>126</v>
      </c>
      <c r="E284" s="13" t="s">
        <v>65</v>
      </c>
      <c r="F284" s="13" t="s">
        <v>111</v>
      </c>
      <c r="G284" s="13" t="s">
        <v>67</v>
      </c>
      <c r="H284">
        <v>155000</v>
      </c>
      <c r="I284" s="13" t="s">
        <v>86</v>
      </c>
      <c r="J284" s="13" t="s">
        <v>87</v>
      </c>
      <c r="K284" s="13" t="s">
        <v>58</v>
      </c>
      <c r="L284" s="13" t="s">
        <v>368</v>
      </c>
      <c r="M284">
        <v>90</v>
      </c>
      <c r="N284">
        <v>0</v>
      </c>
      <c r="O284" s="14">
        <v>45939</v>
      </c>
      <c r="P284" s="14">
        <v>46029</v>
      </c>
      <c r="Q284">
        <v>1870.79</v>
      </c>
      <c r="R284">
        <v>0</v>
      </c>
      <c r="S284">
        <v>0</v>
      </c>
      <c r="T284">
        <v>0</v>
      </c>
      <c r="U284">
        <v>0</v>
      </c>
      <c r="V284">
        <v>1870.79</v>
      </c>
      <c r="W284">
        <v>0</v>
      </c>
      <c r="X284">
        <v>1</v>
      </c>
      <c r="Y284">
        <v>0</v>
      </c>
      <c r="Z284">
        <v>-7</v>
      </c>
      <c r="AA284">
        <v>1</v>
      </c>
      <c r="AB284" s="13" t="s">
        <v>581</v>
      </c>
      <c r="AC284">
        <v>0</v>
      </c>
      <c r="AD284">
        <v>0</v>
      </c>
      <c r="AE284" s="13" t="s">
        <v>61</v>
      </c>
    </row>
    <row r="285" spans="1:31" x14ac:dyDescent="0.35">
      <c r="A285" s="13" t="s">
        <v>648</v>
      </c>
      <c r="B285" s="13" t="s">
        <v>379</v>
      </c>
      <c r="C285" s="13" t="s">
        <v>380</v>
      </c>
      <c r="D285" s="13" t="s">
        <v>52</v>
      </c>
      <c r="E285" s="13" t="s">
        <v>77</v>
      </c>
      <c r="F285" s="13" t="s">
        <v>78</v>
      </c>
      <c r="G285" s="13" t="s">
        <v>92</v>
      </c>
      <c r="H285">
        <v>450000</v>
      </c>
      <c r="I285" s="13" t="s">
        <v>56</v>
      </c>
      <c r="J285" s="13" t="s">
        <v>57</v>
      </c>
      <c r="K285" s="13" t="s">
        <v>58</v>
      </c>
      <c r="L285" s="13" t="s">
        <v>59</v>
      </c>
      <c r="M285">
        <v>45</v>
      </c>
      <c r="N285">
        <v>0</v>
      </c>
      <c r="O285" s="14">
        <v>45939</v>
      </c>
      <c r="P285" s="14">
        <v>45984</v>
      </c>
      <c r="Q285">
        <v>4058.36</v>
      </c>
      <c r="R285">
        <v>0</v>
      </c>
      <c r="S285">
        <v>0</v>
      </c>
      <c r="T285">
        <v>0</v>
      </c>
      <c r="U285">
        <v>0</v>
      </c>
      <c r="V285">
        <v>4058.36</v>
      </c>
      <c r="W285">
        <v>0</v>
      </c>
      <c r="X285">
        <v>1</v>
      </c>
      <c r="Y285">
        <v>1</v>
      </c>
      <c r="Z285">
        <v>38</v>
      </c>
      <c r="AA285">
        <v>3</v>
      </c>
      <c r="AB285" s="13" t="s">
        <v>369</v>
      </c>
      <c r="AC285">
        <v>0.5</v>
      </c>
      <c r="AD285">
        <v>0</v>
      </c>
      <c r="AE285" s="13" t="s">
        <v>61</v>
      </c>
    </row>
    <row r="286" spans="1:31" x14ac:dyDescent="0.35">
      <c r="A286" s="13" t="s">
        <v>649</v>
      </c>
      <c r="B286" s="13" t="s">
        <v>575</v>
      </c>
      <c r="C286" s="13" t="s">
        <v>576</v>
      </c>
      <c r="D286" s="13" t="s">
        <v>126</v>
      </c>
      <c r="E286" s="13" t="s">
        <v>65</v>
      </c>
      <c r="F286" s="13" t="s">
        <v>111</v>
      </c>
      <c r="G286" s="13" t="s">
        <v>55</v>
      </c>
      <c r="H286">
        <v>160000</v>
      </c>
      <c r="I286" s="13" t="s">
        <v>86</v>
      </c>
      <c r="J286" s="13" t="s">
        <v>87</v>
      </c>
      <c r="K286" s="13" t="s">
        <v>58</v>
      </c>
      <c r="L286" s="13" t="s">
        <v>368</v>
      </c>
      <c r="M286">
        <v>90</v>
      </c>
      <c r="N286">
        <v>0</v>
      </c>
      <c r="O286" s="14">
        <v>45939</v>
      </c>
      <c r="P286" s="14">
        <v>46029</v>
      </c>
      <c r="Q286">
        <v>2229.1999999999998</v>
      </c>
      <c r="R286">
        <v>0</v>
      </c>
      <c r="S286">
        <v>0</v>
      </c>
      <c r="T286">
        <v>0</v>
      </c>
      <c r="U286">
        <v>0</v>
      </c>
      <c r="V286">
        <v>2229.1999999999998</v>
      </c>
      <c r="W286">
        <v>0</v>
      </c>
      <c r="X286">
        <v>1</v>
      </c>
      <c r="Y286">
        <v>0</v>
      </c>
      <c r="Z286">
        <v>-7</v>
      </c>
      <c r="AA286">
        <v>1</v>
      </c>
      <c r="AB286" s="13" t="s">
        <v>581</v>
      </c>
      <c r="AC286">
        <v>0</v>
      </c>
      <c r="AD286">
        <v>0</v>
      </c>
      <c r="AE286" s="13" t="s">
        <v>61</v>
      </c>
    </row>
    <row r="287" spans="1:31" x14ac:dyDescent="0.35">
      <c r="A287" s="13" t="s">
        <v>650</v>
      </c>
      <c r="B287" s="13" t="s">
        <v>605</v>
      </c>
      <c r="C287" s="13" t="s">
        <v>606</v>
      </c>
      <c r="D287" s="13" t="s">
        <v>52</v>
      </c>
      <c r="E287" s="13" t="s">
        <v>65</v>
      </c>
      <c r="F287" s="13" t="s">
        <v>66</v>
      </c>
      <c r="G287" s="13" t="s">
        <v>67</v>
      </c>
      <c r="H287">
        <v>335000</v>
      </c>
      <c r="I287" s="13" t="s">
        <v>86</v>
      </c>
      <c r="J287" s="13" t="s">
        <v>87</v>
      </c>
      <c r="K287" s="13" t="s">
        <v>58</v>
      </c>
      <c r="L287" s="13" t="s">
        <v>59</v>
      </c>
      <c r="M287">
        <v>45</v>
      </c>
      <c r="N287">
        <v>0</v>
      </c>
      <c r="O287" s="14">
        <v>45939</v>
      </c>
      <c r="P287" s="14">
        <v>45984</v>
      </c>
      <c r="Q287">
        <v>7343.7</v>
      </c>
      <c r="R287">
        <v>0</v>
      </c>
      <c r="S287">
        <v>0</v>
      </c>
      <c r="T287">
        <v>0</v>
      </c>
      <c r="U287">
        <v>0</v>
      </c>
      <c r="V287">
        <v>7343.7</v>
      </c>
      <c r="W287">
        <v>0</v>
      </c>
      <c r="X287">
        <v>1</v>
      </c>
      <c r="Y287">
        <v>1</v>
      </c>
      <c r="Z287">
        <v>38</v>
      </c>
      <c r="AA287">
        <v>3</v>
      </c>
      <c r="AB287" s="13" t="s">
        <v>369</v>
      </c>
      <c r="AC287">
        <v>0.5</v>
      </c>
      <c r="AD287">
        <v>0</v>
      </c>
      <c r="AE287" s="13" t="s">
        <v>61</v>
      </c>
    </row>
    <row r="288" spans="1:31" x14ac:dyDescent="0.35">
      <c r="A288" s="13" t="s">
        <v>651</v>
      </c>
      <c r="B288" s="13" t="s">
        <v>280</v>
      </c>
      <c r="C288" s="13" t="s">
        <v>281</v>
      </c>
      <c r="D288" s="13" t="s">
        <v>104</v>
      </c>
      <c r="E288" s="13" t="s">
        <v>71</v>
      </c>
      <c r="F288" s="13" t="s">
        <v>214</v>
      </c>
      <c r="G288" s="13" t="s">
        <v>92</v>
      </c>
      <c r="H288">
        <v>100000</v>
      </c>
      <c r="I288" s="13" t="s">
        <v>121</v>
      </c>
      <c r="J288" s="13" t="s">
        <v>122</v>
      </c>
      <c r="K288" s="13" t="s">
        <v>107</v>
      </c>
      <c r="L288" s="13" t="s">
        <v>88</v>
      </c>
      <c r="M288">
        <v>60</v>
      </c>
      <c r="N288">
        <v>0</v>
      </c>
      <c r="O288" s="14">
        <v>45939</v>
      </c>
      <c r="P288" s="14">
        <v>45999</v>
      </c>
      <c r="Q288">
        <v>1300.3399999999999</v>
      </c>
      <c r="R288">
        <v>0</v>
      </c>
      <c r="S288">
        <v>0</v>
      </c>
      <c r="T288">
        <v>0</v>
      </c>
      <c r="U288">
        <v>0</v>
      </c>
      <c r="V288">
        <v>1300.3399999999999</v>
      </c>
      <c r="W288">
        <v>0</v>
      </c>
      <c r="X288">
        <v>1</v>
      </c>
      <c r="Y288">
        <v>1</v>
      </c>
      <c r="Z288">
        <v>23</v>
      </c>
      <c r="AA288">
        <v>2</v>
      </c>
      <c r="AB288" s="13" t="s">
        <v>405</v>
      </c>
      <c r="AC288">
        <v>0.25</v>
      </c>
      <c r="AD288">
        <v>0</v>
      </c>
      <c r="AE288" s="13" t="s">
        <v>61</v>
      </c>
    </row>
    <row r="289" spans="1:31" x14ac:dyDescent="0.35">
      <c r="A289" s="13" t="s">
        <v>652</v>
      </c>
      <c r="B289" s="13" t="s">
        <v>409</v>
      </c>
      <c r="C289" s="13" t="s">
        <v>410</v>
      </c>
      <c r="D289" s="13" t="s">
        <v>126</v>
      </c>
      <c r="E289" s="13" t="s">
        <v>71</v>
      </c>
      <c r="F289" s="13" t="s">
        <v>72</v>
      </c>
      <c r="G289" s="13" t="s">
        <v>67</v>
      </c>
      <c r="H289">
        <v>195000</v>
      </c>
      <c r="I289" s="13" t="s">
        <v>56</v>
      </c>
      <c r="J289" s="13" t="s">
        <v>57</v>
      </c>
      <c r="K289" s="13" t="s">
        <v>58</v>
      </c>
      <c r="L289" s="13" t="s">
        <v>368</v>
      </c>
      <c r="M289">
        <v>90</v>
      </c>
      <c r="N289">
        <v>0</v>
      </c>
      <c r="O289" s="14">
        <v>45940</v>
      </c>
      <c r="P289" s="14">
        <v>46030</v>
      </c>
      <c r="Q289">
        <v>3337.35</v>
      </c>
      <c r="R289">
        <v>0</v>
      </c>
      <c r="S289">
        <v>0</v>
      </c>
      <c r="T289">
        <v>0</v>
      </c>
      <c r="U289">
        <v>0</v>
      </c>
      <c r="V289">
        <v>3337.35</v>
      </c>
      <c r="W289">
        <v>0</v>
      </c>
      <c r="X289">
        <v>1</v>
      </c>
      <c r="Y289">
        <v>0</v>
      </c>
      <c r="Z289">
        <v>-8</v>
      </c>
      <c r="AA289">
        <v>1</v>
      </c>
      <c r="AB289" s="13" t="s">
        <v>581</v>
      </c>
      <c r="AC289">
        <v>0</v>
      </c>
      <c r="AD289">
        <v>0</v>
      </c>
      <c r="AE289" s="13" t="s">
        <v>61</v>
      </c>
    </row>
    <row r="290" spans="1:31" x14ac:dyDescent="0.35">
      <c r="A290" s="13" t="s">
        <v>653</v>
      </c>
      <c r="B290" s="13" t="s">
        <v>449</v>
      </c>
      <c r="C290" s="13" t="s">
        <v>450</v>
      </c>
      <c r="D290" s="13" t="s">
        <v>126</v>
      </c>
      <c r="E290" s="13" t="s">
        <v>71</v>
      </c>
      <c r="F290" s="13" t="s">
        <v>72</v>
      </c>
      <c r="G290" s="13" t="s">
        <v>67</v>
      </c>
      <c r="H290">
        <v>65000</v>
      </c>
      <c r="I290" s="13" t="s">
        <v>121</v>
      </c>
      <c r="J290" s="13" t="s">
        <v>122</v>
      </c>
      <c r="K290" s="13" t="s">
        <v>107</v>
      </c>
      <c r="L290" s="13" t="s">
        <v>368</v>
      </c>
      <c r="M290">
        <v>90</v>
      </c>
      <c r="N290">
        <v>0</v>
      </c>
      <c r="O290" s="14">
        <v>45940</v>
      </c>
      <c r="P290" s="14">
        <v>46030</v>
      </c>
      <c r="Q290">
        <v>2800.96</v>
      </c>
      <c r="R290">
        <v>0</v>
      </c>
      <c r="S290">
        <v>0</v>
      </c>
      <c r="T290">
        <v>0</v>
      </c>
      <c r="U290">
        <v>0</v>
      </c>
      <c r="V290">
        <v>2800.96</v>
      </c>
      <c r="W290">
        <v>0</v>
      </c>
      <c r="X290">
        <v>1</v>
      </c>
      <c r="Y290">
        <v>0</v>
      </c>
      <c r="Z290">
        <v>-8</v>
      </c>
      <c r="AA290">
        <v>1</v>
      </c>
      <c r="AB290" s="13" t="s">
        <v>581</v>
      </c>
      <c r="AC290">
        <v>0</v>
      </c>
      <c r="AD290">
        <v>0</v>
      </c>
      <c r="AE290" s="13" t="s">
        <v>61</v>
      </c>
    </row>
    <row r="291" spans="1:31" x14ac:dyDescent="0.35">
      <c r="A291" s="13" t="s">
        <v>654</v>
      </c>
      <c r="B291" s="13" t="s">
        <v>216</v>
      </c>
      <c r="C291" s="13" t="s">
        <v>217</v>
      </c>
      <c r="D291" s="13" t="s">
        <v>52</v>
      </c>
      <c r="E291" s="13" t="s">
        <v>65</v>
      </c>
      <c r="F291" s="13" t="s">
        <v>66</v>
      </c>
      <c r="G291" s="13" t="s">
        <v>67</v>
      </c>
      <c r="H291">
        <v>515000</v>
      </c>
      <c r="I291" s="13" t="s">
        <v>86</v>
      </c>
      <c r="J291" s="13" t="s">
        <v>87</v>
      </c>
      <c r="K291" s="13" t="s">
        <v>58</v>
      </c>
      <c r="L291" s="13" t="s">
        <v>88</v>
      </c>
      <c r="M291">
        <v>60</v>
      </c>
      <c r="N291">
        <v>0</v>
      </c>
      <c r="O291" s="14">
        <v>45940</v>
      </c>
      <c r="P291" s="14">
        <v>46000</v>
      </c>
      <c r="Q291">
        <v>12004.55</v>
      </c>
      <c r="R291">
        <v>0</v>
      </c>
      <c r="S291">
        <v>0</v>
      </c>
      <c r="T291">
        <v>0</v>
      </c>
      <c r="U291">
        <v>0</v>
      </c>
      <c r="V291">
        <v>12004.55</v>
      </c>
      <c r="W291">
        <v>0</v>
      </c>
      <c r="X291">
        <v>1</v>
      </c>
      <c r="Y291">
        <v>1</v>
      </c>
      <c r="Z291">
        <v>22</v>
      </c>
      <c r="AA291">
        <v>2</v>
      </c>
      <c r="AB291" s="13" t="s">
        <v>405</v>
      </c>
      <c r="AC291">
        <v>0.25</v>
      </c>
      <c r="AD291">
        <v>0</v>
      </c>
      <c r="AE291" s="13" t="s">
        <v>61</v>
      </c>
    </row>
    <row r="292" spans="1:31" x14ac:dyDescent="0.35">
      <c r="A292" s="13" t="s">
        <v>655</v>
      </c>
      <c r="B292" s="13" t="s">
        <v>137</v>
      </c>
      <c r="C292" s="13" t="s">
        <v>138</v>
      </c>
      <c r="D292" s="13" t="s">
        <v>52</v>
      </c>
      <c r="E292" s="13" t="s">
        <v>53</v>
      </c>
      <c r="F292" s="13" t="s">
        <v>135</v>
      </c>
      <c r="G292" s="13" t="s">
        <v>92</v>
      </c>
      <c r="H292">
        <v>355000</v>
      </c>
      <c r="I292" s="13" t="s">
        <v>56</v>
      </c>
      <c r="J292" s="13" t="s">
        <v>57</v>
      </c>
      <c r="K292" s="13" t="s">
        <v>58</v>
      </c>
      <c r="L292" s="13" t="s">
        <v>88</v>
      </c>
      <c r="M292">
        <v>60</v>
      </c>
      <c r="N292">
        <v>0</v>
      </c>
      <c r="O292" s="14">
        <v>45940</v>
      </c>
      <c r="P292" s="14">
        <v>46000</v>
      </c>
      <c r="Q292">
        <v>1673.6</v>
      </c>
      <c r="R292">
        <v>0</v>
      </c>
      <c r="S292">
        <v>0</v>
      </c>
      <c r="T292">
        <v>0</v>
      </c>
      <c r="U292">
        <v>0</v>
      </c>
      <c r="V292">
        <v>1673.6</v>
      </c>
      <c r="W292">
        <v>0</v>
      </c>
      <c r="X292">
        <v>1</v>
      </c>
      <c r="Y292">
        <v>1</v>
      </c>
      <c r="Z292">
        <v>22</v>
      </c>
      <c r="AA292">
        <v>2</v>
      </c>
      <c r="AB292" s="13" t="s">
        <v>405</v>
      </c>
      <c r="AC292">
        <v>0.25</v>
      </c>
      <c r="AD292">
        <v>0</v>
      </c>
      <c r="AE292" s="13" t="s">
        <v>61</v>
      </c>
    </row>
    <row r="293" spans="1:31" x14ac:dyDescent="0.35">
      <c r="A293" s="13" t="s">
        <v>656</v>
      </c>
      <c r="B293" s="13" t="s">
        <v>455</v>
      </c>
      <c r="C293" s="13" t="s">
        <v>456</v>
      </c>
      <c r="D293" s="13" t="s">
        <v>126</v>
      </c>
      <c r="E293" s="13" t="s">
        <v>71</v>
      </c>
      <c r="F293" s="13" t="s">
        <v>214</v>
      </c>
      <c r="G293" s="13" t="s">
        <v>67</v>
      </c>
      <c r="H293">
        <v>120000</v>
      </c>
      <c r="I293" s="13" t="s">
        <v>105</v>
      </c>
      <c r="J293" s="13" t="s">
        <v>106</v>
      </c>
      <c r="K293" s="13" t="s">
        <v>107</v>
      </c>
      <c r="L293" s="13" t="s">
        <v>368</v>
      </c>
      <c r="M293">
        <v>90</v>
      </c>
      <c r="N293">
        <v>0</v>
      </c>
      <c r="O293" s="14">
        <v>45940</v>
      </c>
      <c r="P293" s="14">
        <v>46030</v>
      </c>
      <c r="Q293">
        <v>1596.41</v>
      </c>
      <c r="R293">
        <v>0</v>
      </c>
      <c r="S293">
        <v>0</v>
      </c>
      <c r="T293">
        <v>0</v>
      </c>
      <c r="U293">
        <v>0</v>
      </c>
      <c r="V293">
        <v>1596.41</v>
      </c>
      <c r="W293">
        <v>0</v>
      </c>
      <c r="X293">
        <v>1</v>
      </c>
      <c r="Y293">
        <v>0</v>
      </c>
      <c r="Z293">
        <v>-8</v>
      </c>
      <c r="AA293">
        <v>1</v>
      </c>
      <c r="AB293" s="13" t="s">
        <v>581</v>
      </c>
      <c r="AC293">
        <v>0</v>
      </c>
      <c r="AD293">
        <v>0</v>
      </c>
      <c r="AE293" s="13" t="s">
        <v>61</v>
      </c>
    </row>
    <row r="294" spans="1:31" x14ac:dyDescent="0.35">
      <c r="A294" s="13" t="s">
        <v>657</v>
      </c>
      <c r="B294" s="13" t="s">
        <v>290</v>
      </c>
      <c r="C294" s="13" t="s">
        <v>291</v>
      </c>
      <c r="D294" s="13" t="s">
        <v>104</v>
      </c>
      <c r="E294" s="13" t="s">
        <v>77</v>
      </c>
      <c r="F294" s="13" t="s">
        <v>78</v>
      </c>
      <c r="G294" s="13" t="s">
        <v>92</v>
      </c>
      <c r="H294">
        <v>140000</v>
      </c>
      <c r="I294" s="13" t="s">
        <v>121</v>
      </c>
      <c r="J294" s="13" t="s">
        <v>122</v>
      </c>
      <c r="K294" s="13" t="s">
        <v>107</v>
      </c>
      <c r="L294" s="13" t="s">
        <v>82</v>
      </c>
      <c r="M294">
        <v>30</v>
      </c>
      <c r="N294">
        <v>2</v>
      </c>
      <c r="O294" s="14">
        <v>45940</v>
      </c>
      <c r="P294" s="14">
        <v>45970</v>
      </c>
      <c r="Q294">
        <v>7572.21</v>
      </c>
      <c r="R294">
        <v>0</v>
      </c>
      <c r="S294">
        <v>0</v>
      </c>
      <c r="T294">
        <v>0</v>
      </c>
      <c r="U294">
        <v>0</v>
      </c>
      <c r="V294">
        <v>7572.21</v>
      </c>
      <c r="W294">
        <v>0</v>
      </c>
      <c r="X294">
        <v>1</v>
      </c>
      <c r="Y294">
        <v>1</v>
      </c>
      <c r="Z294">
        <v>52</v>
      </c>
      <c r="AA294">
        <v>3</v>
      </c>
      <c r="AB294" s="13" t="s">
        <v>369</v>
      </c>
      <c r="AC294">
        <v>0.5</v>
      </c>
      <c r="AD294">
        <v>0</v>
      </c>
      <c r="AE294" s="13" t="s">
        <v>61</v>
      </c>
    </row>
    <row r="295" spans="1:31" x14ac:dyDescent="0.35">
      <c r="A295" s="13" t="s">
        <v>658</v>
      </c>
      <c r="B295" s="13" t="s">
        <v>659</v>
      </c>
      <c r="C295" s="13" t="s">
        <v>660</v>
      </c>
      <c r="D295" s="13" t="s">
        <v>126</v>
      </c>
      <c r="E295" s="13" t="s">
        <v>65</v>
      </c>
      <c r="F295" s="13" t="s">
        <v>66</v>
      </c>
      <c r="G295" s="13" t="s">
        <v>67</v>
      </c>
      <c r="H295">
        <v>105000</v>
      </c>
      <c r="I295" s="13" t="s">
        <v>105</v>
      </c>
      <c r="J295" s="13" t="s">
        <v>106</v>
      </c>
      <c r="K295" s="13" t="s">
        <v>107</v>
      </c>
      <c r="L295" s="13" t="s">
        <v>368</v>
      </c>
      <c r="M295">
        <v>90</v>
      </c>
      <c r="N295">
        <v>0</v>
      </c>
      <c r="O295" s="14">
        <v>45940</v>
      </c>
      <c r="P295" s="14">
        <v>46030</v>
      </c>
      <c r="Q295">
        <v>3253.07</v>
      </c>
      <c r="R295">
        <v>0</v>
      </c>
      <c r="S295">
        <v>0</v>
      </c>
      <c r="T295">
        <v>0</v>
      </c>
      <c r="U295">
        <v>0</v>
      </c>
      <c r="V295">
        <v>3253.07</v>
      </c>
      <c r="W295">
        <v>0</v>
      </c>
      <c r="X295">
        <v>1</v>
      </c>
      <c r="Y295">
        <v>0</v>
      </c>
      <c r="Z295">
        <v>-8</v>
      </c>
      <c r="AA295">
        <v>1</v>
      </c>
      <c r="AB295" s="13" t="s">
        <v>581</v>
      </c>
      <c r="AC295">
        <v>0</v>
      </c>
      <c r="AD295">
        <v>0</v>
      </c>
      <c r="AE295" s="13" t="s">
        <v>61</v>
      </c>
    </row>
    <row r="296" spans="1:31" x14ac:dyDescent="0.35">
      <c r="A296" s="13" t="s">
        <v>661</v>
      </c>
      <c r="B296" s="13" t="s">
        <v>605</v>
      </c>
      <c r="C296" s="13" t="s">
        <v>606</v>
      </c>
      <c r="D296" s="13" t="s">
        <v>52</v>
      </c>
      <c r="E296" s="13" t="s">
        <v>65</v>
      </c>
      <c r="F296" s="13" t="s">
        <v>66</v>
      </c>
      <c r="G296" s="13" t="s">
        <v>67</v>
      </c>
      <c r="H296">
        <v>335000</v>
      </c>
      <c r="I296" s="13" t="s">
        <v>86</v>
      </c>
      <c r="J296" s="13" t="s">
        <v>87</v>
      </c>
      <c r="K296" s="13" t="s">
        <v>58</v>
      </c>
      <c r="L296" s="13" t="s">
        <v>59</v>
      </c>
      <c r="M296">
        <v>45</v>
      </c>
      <c r="N296">
        <v>0</v>
      </c>
      <c r="O296" s="14">
        <v>45940</v>
      </c>
      <c r="P296" s="14">
        <v>45985</v>
      </c>
      <c r="Q296">
        <v>4207.21</v>
      </c>
      <c r="R296">
        <v>0</v>
      </c>
      <c r="S296">
        <v>0</v>
      </c>
      <c r="T296">
        <v>0</v>
      </c>
      <c r="U296">
        <v>0</v>
      </c>
      <c r="V296">
        <v>4207.21</v>
      </c>
      <c r="W296">
        <v>0</v>
      </c>
      <c r="X296">
        <v>1</v>
      </c>
      <c r="Y296">
        <v>1</v>
      </c>
      <c r="Z296">
        <v>37</v>
      </c>
      <c r="AA296">
        <v>3</v>
      </c>
      <c r="AB296" s="13" t="s">
        <v>369</v>
      </c>
      <c r="AC296">
        <v>0.5</v>
      </c>
      <c r="AD296">
        <v>0</v>
      </c>
      <c r="AE296" s="13" t="s">
        <v>61</v>
      </c>
    </row>
    <row r="297" spans="1:31" x14ac:dyDescent="0.35">
      <c r="A297" s="13" t="s">
        <v>662</v>
      </c>
      <c r="B297" s="13" t="s">
        <v>390</v>
      </c>
      <c r="C297" s="13" t="s">
        <v>391</v>
      </c>
      <c r="D297" s="13" t="s">
        <v>52</v>
      </c>
      <c r="E297" s="13" t="s">
        <v>71</v>
      </c>
      <c r="F297" s="13" t="s">
        <v>72</v>
      </c>
      <c r="G297" s="13" t="s">
        <v>55</v>
      </c>
      <c r="H297">
        <v>320000</v>
      </c>
      <c r="I297" s="13" t="s">
        <v>86</v>
      </c>
      <c r="J297" s="13" t="s">
        <v>87</v>
      </c>
      <c r="K297" s="13" t="s">
        <v>58</v>
      </c>
      <c r="L297" s="13" t="s">
        <v>88</v>
      </c>
      <c r="M297">
        <v>60</v>
      </c>
      <c r="N297">
        <v>0</v>
      </c>
      <c r="O297" s="14">
        <v>45940</v>
      </c>
      <c r="P297" s="14">
        <v>46000</v>
      </c>
      <c r="Q297">
        <v>10889.74</v>
      </c>
      <c r="R297">
        <v>0</v>
      </c>
      <c r="S297">
        <v>0</v>
      </c>
      <c r="T297">
        <v>0</v>
      </c>
      <c r="U297">
        <v>0</v>
      </c>
      <c r="V297">
        <v>10889.74</v>
      </c>
      <c r="W297">
        <v>0</v>
      </c>
      <c r="X297">
        <v>1</v>
      </c>
      <c r="Y297">
        <v>1</v>
      </c>
      <c r="Z297">
        <v>22</v>
      </c>
      <c r="AA297">
        <v>2</v>
      </c>
      <c r="AB297" s="13" t="s">
        <v>405</v>
      </c>
      <c r="AC297">
        <v>0.25</v>
      </c>
      <c r="AD297">
        <v>0</v>
      </c>
      <c r="AE297" s="13" t="s">
        <v>61</v>
      </c>
    </row>
    <row r="298" spans="1:31" x14ac:dyDescent="0.35">
      <c r="A298" s="13" t="s">
        <v>663</v>
      </c>
      <c r="B298" s="13" t="s">
        <v>113</v>
      </c>
      <c r="C298" s="13" t="s">
        <v>114</v>
      </c>
      <c r="D298" s="13" t="s">
        <v>52</v>
      </c>
      <c r="E298" s="13" t="s">
        <v>77</v>
      </c>
      <c r="F298" s="13" t="s">
        <v>78</v>
      </c>
      <c r="G298" s="13" t="s">
        <v>92</v>
      </c>
      <c r="H298">
        <v>545000</v>
      </c>
      <c r="I298" s="13" t="s">
        <v>86</v>
      </c>
      <c r="J298" s="13" t="s">
        <v>87</v>
      </c>
      <c r="K298" s="13" t="s">
        <v>58</v>
      </c>
      <c r="L298" s="13" t="s">
        <v>88</v>
      </c>
      <c r="M298">
        <v>60</v>
      </c>
      <c r="N298">
        <v>0</v>
      </c>
      <c r="O298" s="14">
        <v>45940</v>
      </c>
      <c r="P298" s="14">
        <v>46000</v>
      </c>
      <c r="Q298">
        <v>2947.38</v>
      </c>
      <c r="R298">
        <v>0</v>
      </c>
      <c r="S298">
        <v>0</v>
      </c>
      <c r="T298">
        <v>0</v>
      </c>
      <c r="U298">
        <v>0</v>
      </c>
      <c r="V298">
        <v>2947.38</v>
      </c>
      <c r="W298">
        <v>0</v>
      </c>
      <c r="X298">
        <v>1</v>
      </c>
      <c r="Y298">
        <v>1</v>
      </c>
      <c r="Z298">
        <v>22</v>
      </c>
      <c r="AA298">
        <v>2</v>
      </c>
      <c r="AB298" s="13" t="s">
        <v>405</v>
      </c>
      <c r="AC298">
        <v>0.25</v>
      </c>
      <c r="AD298">
        <v>1</v>
      </c>
      <c r="AE298" s="13" t="s">
        <v>377</v>
      </c>
    </row>
    <row r="299" spans="1:31" x14ac:dyDescent="0.35">
      <c r="A299" s="13" t="s">
        <v>664</v>
      </c>
      <c r="B299" s="13" t="s">
        <v>418</v>
      </c>
      <c r="C299" s="13" t="s">
        <v>419</v>
      </c>
      <c r="D299" s="13" t="s">
        <v>52</v>
      </c>
      <c r="E299" s="13" t="s">
        <v>99</v>
      </c>
      <c r="F299" s="13" t="s">
        <v>100</v>
      </c>
      <c r="G299" s="13" t="s">
        <v>67</v>
      </c>
      <c r="H299">
        <v>535000</v>
      </c>
      <c r="I299" s="13" t="s">
        <v>86</v>
      </c>
      <c r="J299" s="13" t="s">
        <v>87</v>
      </c>
      <c r="K299" s="13" t="s">
        <v>58</v>
      </c>
      <c r="L299" s="13" t="s">
        <v>59</v>
      </c>
      <c r="M299">
        <v>45</v>
      </c>
      <c r="N299">
        <v>0</v>
      </c>
      <c r="O299" s="14">
        <v>45943</v>
      </c>
      <c r="P299" s="14">
        <v>45988</v>
      </c>
      <c r="Q299">
        <v>1785.61</v>
      </c>
      <c r="R299">
        <v>0</v>
      </c>
      <c r="S299">
        <v>0</v>
      </c>
      <c r="T299">
        <v>0</v>
      </c>
      <c r="U299">
        <v>0</v>
      </c>
      <c r="V299">
        <v>1785.61</v>
      </c>
      <c r="W299">
        <v>0</v>
      </c>
      <c r="X299">
        <v>1</v>
      </c>
      <c r="Y299">
        <v>1</v>
      </c>
      <c r="Z299">
        <v>34</v>
      </c>
      <c r="AA299">
        <v>3</v>
      </c>
      <c r="AB299" s="13" t="s">
        <v>369</v>
      </c>
      <c r="AC299">
        <v>0.5</v>
      </c>
      <c r="AD299">
        <v>1</v>
      </c>
      <c r="AE299" s="13" t="s">
        <v>665</v>
      </c>
    </row>
    <row r="300" spans="1:31" x14ac:dyDescent="0.35">
      <c r="A300" s="13" t="s">
        <v>666</v>
      </c>
      <c r="B300" s="13" t="s">
        <v>667</v>
      </c>
      <c r="C300" s="13" t="s">
        <v>668</v>
      </c>
      <c r="D300" s="13" t="s">
        <v>126</v>
      </c>
      <c r="E300" s="13" t="s">
        <v>65</v>
      </c>
      <c r="F300" s="13" t="s">
        <v>66</v>
      </c>
      <c r="G300" s="13" t="s">
        <v>67</v>
      </c>
      <c r="H300">
        <v>180000</v>
      </c>
      <c r="I300" s="13" t="s">
        <v>86</v>
      </c>
      <c r="J300" s="13" t="s">
        <v>87</v>
      </c>
      <c r="K300" s="13" t="s">
        <v>58</v>
      </c>
      <c r="L300" s="13" t="s">
        <v>88</v>
      </c>
      <c r="M300">
        <v>60</v>
      </c>
      <c r="N300">
        <v>0</v>
      </c>
      <c r="O300" s="14">
        <v>45943</v>
      </c>
      <c r="P300" s="14">
        <v>46003</v>
      </c>
      <c r="Q300">
        <v>7158.44</v>
      </c>
      <c r="R300">
        <v>0</v>
      </c>
      <c r="S300">
        <v>0</v>
      </c>
      <c r="T300">
        <v>0</v>
      </c>
      <c r="U300">
        <v>0</v>
      </c>
      <c r="V300">
        <v>7158.44</v>
      </c>
      <c r="W300">
        <v>0</v>
      </c>
      <c r="X300">
        <v>1</v>
      </c>
      <c r="Y300">
        <v>1</v>
      </c>
      <c r="Z300">
        <v>19</v>
      </c>
      <c r="AA300">
        <v>2</v>
      </c>
      <c r="AB300" s="13" t="s">
        <v>405</v>
      </c>
      <c r="AC300">
        <v>0.25</v>
      </c>
      <c r="AD300">
        <v>0</v>
      </c>
      <c r="AE300" s="13" t="s">
        <v>61</v>
      </c>
    </row>
    <row r="301" spans="1:31" x14ac:dyDescent="0.35">
      <c r="A301" s="13" t="s">
        <v>669</v>
      </c>
      <c r="B301" s="13" t="s">
        <v>277</v>
      </c>
      <c r="C301" s="13" t="s">
        <v>278</v>
      </c>
      <c r="D301" s="13" t="s">
        <v>104</v>
      </c>
      <c r="E301" s="13" t="s">
        <v>71</v>
      </c>
      <c r="F301" s="13" t="s">
        <v>214</v>
      </c>
      <c r="G301" s="13" t="s">
        <v>92</v>
      </c>
      <c r="H301">
        <v>105000</v>
      </c>
      <c r="I301" s="13" t="s">
        <v>105</v>
      </c>
      <c r="J301" s="13" t="s">
        <v>106</v>
      </c>
      <c r="K301" s="13" t="s">
        <v>107</v>
      </c>
      <c r="L301" s="13" t="s">
        <v>88</v>
      </c>
      <c r="M301">
        <v>60</v>
      </c>
      <c r="N301">
        <v>0</v>
      </c>
      <c r="O301" s="14">
        <v>45943</v>
      </c>
      <c r="P301" s="14">
        <v>46003</v>
      </c>
      <c r="Q301">
        <v>2645.13</v>
      </c>
      <c r="R301">
        <v>0</v>
      </c>
      <c r="S301">
        <v>0</v>
      </c>
      <c r="T301">
        <v>0</v>
      </c>
      <c r="U301">
        <v>0</v>
      </c>
      <c r="V301">
        <v>2645.13</v>
      </c>
      <c r="W301">
        <v>0</v>
      </c>
      <c r="X301">
        <v>1</v>
      </c>
      <c r="Y301">
        <v>1</v>
      </c>
      <c r="Z301">
        <v>19</v>
      </c>
      <c r="AA301">
        <v>2</v>
      </c>
      <c r="AB301" s="13" t="s">
        <v>405</v>
      </c>
      <c r="AC301">
        <v>0.25</v>
      </c>
      <c r="AD301">
        <v>0</v>
      </c>
      <c r="AE301" s="13" t="s">
        <v>61</v>
      </c>
    </row>
    <row r="302" spans="1:31" x14ac:dyDescent="0.35">
      <c r="A302" s="13" t="s">
        <v>670</v>
      </c>
      <c r="B302" s="13" t="s">
        <v>400</v>
      </c>
      <c r="C302" s="13" t="s">
        <v>401</v>
      </c>
      <c r="D302" s="13" t="s">
        <v>126</v>
      </c>
      <c r="E302" s="13" t="s">
        <v>99</v>
      </c>
      <c r="F302" s="13" t="s">
        <v>127</v>
      </c>
      <c r="G302" s="13" t="s">
        <v>67</v>
      </c>
      <c r="H302">
        <v>200000</v>
      </c>
      <c r="I302" s="13" t="s">
        <v>86</v>
      </c>
      <c r="J302" s="13" t="s">
        <v>87</v>
      </c>
      <c r="K302" s="13" t="s">
        <v>58</v>
      </c>
      <c r="L302" s="13" t="s">
        <v>368</v>
      </c>
      <c r="M302">
        <v>90</v>
      </c>
      <c r="N302">
        <v>0</v>
      </c>
      <c r="O302" s="14">
        <v>45943</v>
      </c>
      <c r="P302" s="14">
        <v>46033</v>
      </c>
      <c r="Q302">
        <v>11054.11</v>
      </c>
      <c r="R302">
        <v>0</v>
      </c>
      <c r="S302">
        <v>0</v>
      </c>
      <c r="T302">
        <v>2542.4499999999998</v>
      </c>
      <c r="U302">
        <v>0</v>
      </c>
      <c r="V302">
        <v>8511.66</v>
      </c>
      <c r="W302">
        <v>0</v>
      </c>
      <c r="X302">
        <v>1</v>
      </c>
      <c r="Y302">
        <v>0</v>
      </c>
      <c r="Z302">
        <v>-11</v>
      </c>
      <c r="AA302">
        <v>1</v>
      </c>
      <c r="AB302" s="13" t="s">
        <v>581</v>
      </c>
      <c r="AC302">
        <v>0</v>
      </c>
      <c r="AD302">
        <v>0</v>
      </c>
      <c r="AE302" s="13" t="s">
        <v>465</v>
      </c>
    </row>
    <row r="303" spans="1:31" x14ac:dyDescent="0.35">
      <c r="A303" s="13" t="s">
        <v>671</v>
      </c>
      <c r="B303" s="13" t="s">
        <v>144</v>
      </c>
      <c r="C303" s="13" t="s">
        <v>145</v>
      </c>
      <c r="D303" s="13" t="s">
        <v>52</v>
      </c>
      <c r="E303" s="13" t="s">
        <v>99</v>
      </c>
      <c r="F303" s="13" t="s">
        <v>100</v>
      </c>
      <c r="G303" s="13" t="s">
        <v>55</v>
      </c>
      <c r="H303">
        <v>590000</v>
      </c>
      <c r="I303" s="13" t="s">
        <v>56</v>
      </c>
      <c r="J303" s="13" t="s">
        <v>57</v>
      </c>
      <c r="K303" s="13" t="s">
        <v>58</v>
      </c>
      <c r="L303" s="13" t="s">
        <v>88</v>
      </c>
      <c r="M303">
        <v>60</v>
      </c>
      <c r="N303">
        <v>0</v>
      </c>
      <c r="O303" s="14">
        <v>45943</v>
      </c>
      <c r="P303" s="14">
        <v>46003</v>
      </c>
      <c r="Q303">
        <v>2983.24</v>
      </c>
      <c r="R303">
        <v>1789.94</v>
      </c>
      <c r="S303">
        <v>0</v>
      </c>
      <c r="T303">
        <v>0</v>
      </c>
      <c r="U303">
        <v>0</v>
      </c>
      <c r="V303">
        <v>1193.3</v>
      </c>
      <c r="W303">
        <v>0</v>
      </c>
      <c r="X303">
        <v>1</v>
      </c>
      <c r="Y303">
        <v>1</v>
      </c>
      <c r="Z303">
        <v>19</v>
      </c>
      <c r="AA303">
        <v>2</v>
      </c>
      <c r="AB303" s="13" t="s">
        <v>405</v>
      </c>
      <c r="AC303">
        <v>0.25</v>
      </c>
      <c r="AD303">
        <v>0</v>
      </c>
      <c r="AE303" s="13" t="s">
        <v>61</v>
      </c>
    </row>
    <row r="304" spans="1:31" x14ac:dyDescent="0.35">
      <c r="A304" s="13" t="s">
        <v>672</v>
      </c>
      <c r="B304" s="13" t="s">
        <v>673</v>
      </c>
      <c r="C304" s="13" t="s">
        <v>674</v>
      </c>
      <c r="D304" s="13" t="s">
        <v>52</v>
      </c>
      <c r="E304" s="13" t="s">
        <v>77</v>
      </c>
      <c r="F304" s="13" t="s">
        <v>78</v>
      </c>
      <c r="G304" s="13" t="s">
        <v>67</v>
      </c>
      <c r="H304">
        <v>275000</v>
      </c>
      <c r="I304" s="13" t="s">
        <v>86</v>
      </c>
      <c r="J304" s="13" t="s">
        <v>87</v>
      </c>
      <c r="K304" s="13" t="s">
        <v>58</v>
      </c>
      <c r="L304" s="13" t="s">
        <v>88</v>
      </c>
      <c r="M304">
        <v>60</v>
      </c>
      <c r="N304">
        <v>0</v>
      </c>
      <c r="O304" s="14">
        <v>45943</v>
      </c>
      <c r="P304" s="14">
        <v>46003</v>
      </c>
      <c r="Q304">
        <v>1736.21</v>
      </c>
      <c r="R304">
        <v>0</v>
      </c>
      <c r="S304">
        <v>0</v>
      </c>
      <c r="T304">
        <v>0</v>
      </c>
      <c r="U304">
        <v>0</v>
      </c>
      <c r="V304">
        <v>1736.21</v>
      </c>
      <c r="W304">
        <v>0</v>
      </c>
      <c r="X304">
        <v>1</v>
      </c>
      <c r="Y304">
        <v>1</v>
      </c>
      <c r="Z304">
        <v>19</v>
      </c>
      <c r="AA304">
        <v>2</v>
      </c>
      <c r="AB304" s="13" t="s">
        <v>405</v>
      </c>
      <c r="AC304">
        <v>0.25</v>
      </c>
      <c r="AD304">
        <v>1</v>
      </c>
      <c r="AE304" s="13" t="s">
        <v>465</v>
      </c>
    </row>
    <row r="305" spans="1:31" x14ac:dyDescent="0.35">
      <c r="A305" s="13" t="s">
        <v>675</v>
      </c>
      <c r="B305" s="13" t="s">
        <v>676</v>
      </c>
      <c r="C305" s="13" t="s">
        <v>677</v>
      </c>
      <c r="D305" s="13" t="s">
        <v>126</v>
      </c>
      <c r="E305" s="13" t="s">
        <v>71</v>
      </c>
      <c r="F305" s="13" t="s">
        <v>72</v>
      </c>
      <c r="G305" s="13" t="s">
        <v>67</v>
      </c>
      <c r="H305">
        <v>80000</v>
      </c>
      <c r="I305" s="13" t="s">
        <v>121</v>
      </c>
      <c r="J305" s="13" t="s">
        <v>122</v>
      </c>
      <c r="K305" s="13" t="s">
        <v>107</v>
      </c>
      <c r="L305" s="13" t="s">
        <v>88</v>
      </c>
      <c r="M305">
        <v>60</v>
      </c>
      <c r="N305">
        <v>0</v>
      </c>
      <c r="O305" s="14">
        <v>45943</v>
      </c>
      <c r="P305" s="14">
        <v>46003</v>
      </c>
      <c r="Q305">
        <v>1954.9</v>
      </c>
      <c r="R305">
        <v>0</v>
      </c>
      <c r="S305">
        <v>0</v>
      </c>
      <c r="T305">
        <v>0</v>
      </c>
      <c r="U305">
        <v>0</v>
      </c>
      <c r="V305">
        <v>1954.9</v>
      </c>
      <c r="W305">
        <v>0</v>
      </c>
      <c r="X305">
        <v>1</v>
      </c>
      <c r="Y305">
        <v>1</v>
      </c>
      <c r="Z305">
        <v>19</v>
      </c>
      <c r="AA305">
        <v>2</v>
      </c>
      <c r="AB305" s="13" t="s">
        <v>405</v>
      </c>
      <c r="AC305">
        <v>0.25</v>
      </c>
      <c r="AD305">
        <v>0</v>
      </c>
      <c r="AE305" s="13" t="s">
        <v>61</v>
      </c>
    </row>
    <row r="306" spans="1:31" x14ac:dyDescent="0.35">
      <c r="A306" s="13" t="s">
        <v>678</v>
      </c>
      <c r="B306" s="13" t="s">
        <v>422</v>
      </c>
      <c r="C306" s="13" t="s">
        <v>423</v>
      </c>
      <c r="D306" s="13" t="s">
        <v>126</v>
      </c>
      <c r="E306" s="13" t="s">
        <v>77</v>
      </c>
      <c r="F306" s="13" t="s">
        <v>174</v>
      </c>
      <c r="G306" s="13" t="s">
        <v>67</v>
      </c>
      <c r="H306">
        <v>145000</v>
      </c>
      <c r="I306" s="13" t="s">
        <v>105</v>
      </c>
      <c r="J306" s="13" t="s">
        <v>106</v>
      </c>
      <c r="K306" s="13" t="s">
        <v>107</v>
      </c>
      <c r="L306" s="13" t="s">
        <v>368</v>
      </c>
      <c r="M306">
        <v>90</v>
      </c>
      <c r="N306">
        <v>0</v>
      </c>
      <c r="O306" s="14">
        <v>45943</v>
      </c>
      <c r="P306" s="14">
        <v>46033</v>
      </c>
      <c r="Q306">
        <v>4126.54</v>
      </c>
      <c r="R306">
        <v>0</v>
      </c>
      <c r="S306">
        <v>0</v>
      </c>
      <c r="T306">
        <v>0</v>
      </c>
      <c r="U306">
        <v>0</v>
      </c>
      <c r="V306">
        <v>4126.54</v>
      </c>
      <c r="W306">
        <v>0</v>
      </c>
      <c r="X306">
        <v>1</v>
      </c>
      <c r="Y306">
        <v>0</v>
      </c>
      <c r="Z306">
        <v>-11</v>
      </c>
      <c r="AA306">
        <v>1</v>
      </c>
      <c r="AB306" s="13" t="s">
        <v>581</v>
      </c>
      <c r="AC306">
        <v>0</v>
      </c>
      <c r="AD306">
        <v>0</v>
      </c>
      <c r="AE306" s="13" t="s">
        <v>61</v>
      </c>
    </row>
    <row r="307" spans="1:31" x14ac:dyDescent="0.35">
      <c r="A307" s="13" t="s">
        <v>679</v>
      </c>
      <c r="B307" s="13" t="s">
        <v>290</v>
      </c>
      <c r="C307" s="13" t="s">
        <v>291</v>
      </c>
      <c r="D307" s="13" t="s">
        <v>104</v>
      </c>
      <c r="E307" s="13" t="s">
        <v>77</v>
      </c>
      <c r="F307" s="13" t="s">
        <v>78</v>
      </c>
      <c r="G307" s="13" t="s">
        <v>92</v>
      </c>
      <c r="H307">
        <v>140000</v>
      </c>
      <c r="I307" s="13" t="s">
        <v>121</v>
      </c>
      <c r="J307" s="13" t="s">
        <v>122</v>
      </c>
      <c r="K307" s="13" t="s">
        <v>107</v>
      </c>
      <c r="L307" s="13" t="s">
        <v>82</v>
      </c>
      <c r="M307">
        <v>30</v>
      </c>
      <c r="N307">
        <v>2</v>
      </c>
      <c r="O307" s="14">
        <v>45943</v>
      </c>
      <c r="P307" s="14">
        <v>45973</v>
      </c>
      <c r="Q307">
        <v>2411.81</v>
      </c>
      <c r="R307">
        <v>0</v>
      </c>
      <c r="S307">
        <v>0</v>
      </c>
      <c r="T307">
        <v>0</v>
      </c>
      <c r="U307">
        <v>0</v>
      </c>
      <c r="V307">
        <v>2411.81</v>
      </c>
      <c r="W307">
        <v>0</v>
      </c>
      <c r="X307">
        <v>1</v>
      </c>
      <c r="Y307">
        <v>1</v>
      </c>
      <c r="Z307">
        <v>49</v>
      </c>
      <c r="AA307">
        <v>3</v>
      </c>
      <c r="AB307" s="13" t="s">
        <v>369</v>
      </c>
      <c r="AC307">
        <v>0.5</v>
      </c>
      <c r="AD307">
        <v>0</v>
      </c>
      <c r="AE307" s="13" t="s">
        <v>61</v>
      </c>
    </row>
    <row r="308" spans="1:31" x14ac:dyDescent="0.35">
      <c r="A308" s="13" t="s">
        <v>680</v>
      </c>
      <c r="B308" s="13" t="s">
        <v>300</v>
      </c>
      <c r="C308" s="13" t="s">
        <v>301</v>
      </c>
      <c r="D308" s="13" t="s">
        <v>104</v>
      </c>
      <c r="E308" s="13" t="s">
        <v>99</v>
      </c>
      <c r="F308" s="13" t="s">
        <v>100</v>
      </c>
      <c r="G308" s="13" t="s">
        <v>92</v>
      </c>
      <c r="H308">
        <v>30000</v>
      </c>
      <c r="I308" s="13" t="s">
        <v>105</v>
      </c>
      <c r="J308" s="13" t="s">
        <v>106</v>
      </c>
      <c r="K308" s="13" t="s">
        <v>107</v>
      </c>
      <c r="L308" s="13" t="s">
        <v>95</v>
      </c>
      <c r="M308">
        <v>30</v>
      </c>
      <c r="N308">
        <v>0</v>
      </c>
      <c r="O308" s="14">
        <v>45943</v>
      </c>
      <c r="P308" s="14">
        <v>45973</v>
      </c>
      <c r="Q308">
        <v>1687.53</v>
      </c>
      <c r="R308">
        <v>0</v>
      </c>
      <c r="S308">
        <v>0</v>
      </c>
      <c r="T308">
        <v>0</v>
      </c>
      <c r="U308">
        <v>0</v>
      </c>
      <c r="V308">
        <v>1687.53</v>
      </c>
      <c r="W308">
        <v>0</v>
      </c>
      <c r="X308">
        <v>1</v>
      </c>
      <c r="Y308">
        <v>1</v>
      </c>
      <c r="Z308">
        <v>49</v>
      </c>
      <c r="AA308">
        <v>3</v>
      </c>
      <c r="AB308" s="13" t="s">
        <v>369</v>
      </c>
      <c r="AC308">
        <v>0.5</v>
      </c>
      <c r="AD308">
        <v>0</v>
      </c>
      <c r="AE308" s="13" t="s">
        <v>61</v>
      </c>
    </row>
    <row r="309" spans="1:31" x14ac:dyDescent="0.35">
      <c r="A309" s="13" t="s">
        <v>681</v>
      </c>
      <c r="B309" s="13" t="s">
        <v>587</v>
      </c>
      <c r="C309" s="13" t="s">
        <v>588</v>
      </c>
      <c r="D309" s="13" t="s">
        <v>126</v>
      </c>
      <c r="E309" s="13" t="s">
        <v>99</v>
      </c>
      <c r="F309" s="13" t="s">
        <v>100</v>
      </c>
      <c r="G309" s="13" t="s">
        <v>67</v>
      </c>
      <c r="H309">
        <v>190000</v>
      </c>
      <c r="I309" s="13" t="s">
        <v>86</v>
      </c>
      <c r="J309" s="13" t="s">
        <v>87</v>
      </c>
      <c r="K309" s="13" t="s">
        <v>58</v>
      </c>
      <c r="L309" s="13" t="s">
        <v>368</v>
      </c>
      <c r="M309">
        <v>90</v>
      </c>
      <c r="N309">
        <v>0</v>
      </c>
      <c r="O309" s="14">
        <v>45943</v>
      </c>
      <c r="P309" s="14">
        <v>46033</v>
      </c>
      <c r="Q309">
        <v>7489.08</v>
      </c>
      <c r="R309">
        <v>0</v>
      </c>
      <c r="S309">
        <v>0</v>
      </c>
      <c r="T309">
        <v>0</v>
      </c>
      <c r="U309">
        <v>0</v>
      </c>
      <c r="V309">
        <v>7489.08</v>
      </c>
      <c r="W309">
        <v>0</v>
      </c>
      <c r="X309">
        <v>1</v>
      </c>
      <c r="Y309">
        <v>0</v>
      </c>
      <c r="Z309">
        <v>-11</v>
      </c>
      <c r="AA309">
        <v>1</v>
      </c>
      <c r="AB309" s="13" t="s">
        <v>581</v>
      </c>
      <c r="AC309">
        <v>0</v>
      </c>
      <c r="AD309">
        <v>0</v>
      </c>
      <c r="AE309" s="13" t="s">
        <v>61</v>
      </c>
    </row>
    <row r="310" spans="1:31" x14ac:dyDescent="0.35">
      <c r="A310" s="13" t="s">
        <v>682</v>
      </c>
      <c r="B310" s="13" t="s">
        <v>212</v>
      </c>
      <c r="C310" s="13" t="s">
        <v>213</v>
      </c>
      <c r="D310" s="13" t="s">
        <v>52</v>
      </c>
      <c r="E310" s="13" t="s">
        <v>71</v>
      </c>
      <c r="F310" s="13" t="s">
        <v>214</v>
      </c>
      <c r="G310" s="13" t="s">
        <v>92</v>
      </c>
      <c r="H310">
        <v>380000</v>
      </c>
      <c r="I310" s="13" t="s">
        <v>86</v>
      </c>
      <c r="J310" s="13" t="s">
        <v>87</v>
      </c>
      <c r="K310" s="13" t="s">
        <v>58</v>
      </c>
      <c r="L310" s="13" t="s">
        <v>88</v>
      </c>
      <c r="M310">
        <v>60</v>
      </c>
      <c r="N310">
        <v>0</v>
      </c>
      <c r="O310" s="14">
        <v>45943</v>
      </c>
      <c r="P310" s="14">
        <v>46003</v>
      </c>
      <c r="Q310">
        <v>2412.54</v>
      </c>
      <c r="R310">
        <v>0</v>
      </c>
      <c r="S310">
        <v>0</v>
      </c>
      <c r="T310">
        <v>0</v>
      </c>
      <c r="U310">
        <v>0</v>
      </c>
      <c r="V310">
        <v>2412.54</v>
      </c>
      <c r="W310">
        <v>0</v>
      </c>
      <c r="X310">
        <v>1</v>
      </c>
      <c r="Y310">
        <v>1</v>
      </c>
      <c r="Z310">
        <v>19</v>
      </c>
      <c r="AA310">
        <v>2</v>
      </c>
      <c r="AB310" s="13" t="s">
        <v>405</v>
      </c>
      <c r="AC310">
        <v>0.25</v>
      </c>
      <c r="AD310">
        <v>0</v>
      </c>
      <c r="AE310" s="13" t="s">
        <v>61</v>
      </c>
    </row>
    <row r="311" spans="1:31" x14ac:dyDescent="0.35">
      <c r="A311" s="13" t="s">
        <v>683</v>
      </c>
      <c r="B311" s="13" t="s">
        <v>575</v>
      </c>
      <c r="C311" s="13" t="s">
        <v>576</v>
      </c>
      <c r="D311" s="13" t="s">
        <v>126</v>
      </c>
      <c r="E311" s="13" t="s">
        <v>65</v>
      </c>
      <c r="F311" s="13" t="s">
        <v>111</v>
      </c>
      <c r="G311" s="13" t="s">
        <v>55</v>
      </c>
      <c r="H311">
        <v>160000</v>
      </c>
      <c r="I311" s="13" t="s">
        <v>86</v>
      </c>
      <c r="J311" s="13" t="s">
        <v>87</v>
      </c>
      <c r="K311" s="13" t="s">
        <v>58</v>
      </c>
      <c r="L311" s="13" t="s">
        <v>368</v>
      </c>
      <c r="M311">
        <v>90</v>
      </c>
      <c r="N311">
        <v>0</v>
      </c>
      <c r="O311" s="14">
        <v>45943</v>
      </c>
      <c r="P311" s="14">
        <v>46033</v>
      </c>
      <c r="Q311">
        <v>1179.31</v>
      </c>
      <c r="R311">
        <v>0</v>
      </c>
      <c r="S311">
        <v>0</v>
      </c>
      <c r="T311">
        <v>0</v>
      </c>
      <c r="U311">
        <v>0</v>
      </c>
      <c r="V311">
        <v>1179.31</v>
      </c>
      <c r="W311">
        <v>0</v>
      </c>
      <c r="X311">
        <v>1</v>
      </c>
      <c r="Y311">
        <v>0</v>
      </c>
      <c r="Z311">
        <v>-11</v>
      </c>
      <c r="AA311">
        <v>1</v>
      </c>
      <c r="AB311" s="13" t="s">
        <v>581</v>
      </c>
      <c r="AC311">
        <v>0</v>
      </c>
      <c r="AD311">
        <v>0</v>
      </c>
      <c r="AE311" s="13" t="s">
        <v>61</v>
      </c>
    </row>
    <row r="312" spans="1:31" x14ac:dyDescent="0.35">
      <c r="A312" s="13" t="s">
        <v>684</v>
      </c>
      <c r="B312" s="13" t="s">
        <v>113</v>
      </c>
      <c r="C312" s="13" t="s">
        <v>114</v>
      </c>
      <c r="D312" s="13" t="s">
        <v>52</v>
      </c>
      <c r="E312" s="13" t="s">
        <v>77</v>
      </c>
      <c r="F312" s="13" t="s">
        <v>78</v>
      </c>
      <c r="G312" s="13" t="s">
        <v>92</v>
      </c>
      <c r="H312">
        <v>545000</v>
      </c>
      <c r="I312" s="13" t="s">
        <v>86</v>
      </c>
      <c r="J312" s="13" t="s">
        <v>87</v>
      </c>
      <c r="K312" s="13" t="s">
        <v>58</v>
      </c>
      <c r="L312" s="13" t="s">
        <v>88</v>
      </c>
      <c r="M312">
        <v>60</v>
      </c>
      <c r="N312">
        <v>0</v>
      </c>
      <c r="O312" s="14">
        <v>45943</v>
      </c>
      <c r="P312" s="14">
        <v>46003</v>
      </c>
      <c r="Q312">
        <v>11408.27</v>
      </c>
      <c r="R312">
        <v>0</v>
      </c>
      <c r="S312">
        <v>0</v>
      </c>
      <c r="T312">
        <v>0</v>
      </c>
      <c r="U312">
        <v>0</v>
      </c>
      <c r="V312">
        <v>11408.27</v>
      </c>
      <c r="W312">
        <v>0</v>
      </c>
      <c r="X312">
        <v>1</v>
      </c>
      <c r="Y312">
        <v>1</v>
      </c>
      <c r="Z312">
        <v>19</v>
      </c>
      <c r="AA312">
        <v>2</v>
      </c>
      <c r="AB312" s="13" t="s">
        <v>405</v>
      </c>
      <c r="AC312">
        <v>0.25</v>
      </c>
      <c r="AD312">
        <v>0</v>
      </c>
      <c r="AE312" s="13" t="s">
        <v>61</v>
      </c>
    </row>
    <row r="313" spans="1:31" x14ac:dyDescent="0.35">
      <c r="A313" s="13" t="s">
        <v>685</v>
      </c>
      <c r="B313" s="13" t="s">
        <v>442</v>
      </c>
      <c r="C313" s="13" t="s">
        <v>443</v>
      </c>
      <c r="D313" s="13" t="s">
        <v>104</v>
      </c>
      <c r="E313" s="13" t="s">
        <v>71</v>
      </c>
      <c r="F313" s="13" t="s">
        <v>214</v>
      </c>
      <c r="G313" s="13" t="s">
        <v>92</v>
      </c>
      <c r="H313">
        <v>145000</v>
      </c>
      <c r="I313" s="13" t="s">
        <v>121</v>
      </c>
      <c r="J313" s="13" t="s">
        <v>122</v>
      </c>
      <c r="K313" s="13" t="s">
        <v>107</v>
      </c>
      <c r="L313" s="13" t="s">
        <v>88</v>
      </c>
      <c r="M313">
        <v>60</v>
      </c>
      <c r="N313">
        <v>0</v>
      </c>
      <c r="O313" s="14">
        <v>45944</v>
      </c>
      <c r="P313" s="14">
        <v>46004</v>
      </c>
      <c r="Q313">
        <v>1897.61</v>
      </c>
      <c r="R313">
        <v>0</v>
      </c>
      <c r="S313">
        <v>0</v>
      </c>
      <c r="T313">
        <v>0</v>
      </c>
      <c r="U313">
        <v>0</v>
      </c>
      <c r="V313">
        <v>1897.61</v>
      </c>
      <c r="W313">
        <v>0</v>
      </c>
      <c r="X313">
        <v>1</v>
      </c>
      <c r="Y313">
        <v>1</v>
      </c>
      <c r="Z313">
        <v>18</v>
      </c>
      <c r="AA313">
        <v>2</v>
      </c>
      <c r="AB313" s="13" t="s">
        <v>405</v>
      </c>
      <c r="AC313">
        <v>0.25</v>
      </c>
      <c r="AD313">
        <v>0</v>
      </c>
      <c r="AE313" s="13" t="s">
        <v>61</v>
      </c>
    </row>
    <row r="314" spans="1:31" x14ac:dyDescent="0.35">
      <c r="A314" s="13" t="s">
        <v>686</v>
      </c>
      <c r="B314" s="13" t="s">
        <v>247</v>
      </c>
      <c r="C314" s="13" t="s">
        <v>248</v>
      </c>
      <c r="D314" s="13" t="s">
        <v>104</v>
      </c>
      <c r="E314" s="13" t="s">
        <v>65</v>
      </c>
      <c r="F314" s="13" t="s">
        <v>111</v>
      </c>
      <c r="G314" s="13" t="s">
        <v>55</v>
      </c>
      <c r="H314">
        <v>105000</v>
      </c>
      <c r="I314" s="13" t="s">
        <v>105</v>
      </c>
      <c r="J314" s="13" t="s">
        <v>106</v>
      </c>
      <c r="K314" s="13" t="s">
        <v>107</v>
      </c>
      <c r="L314" s="13" t="s">
        <v>82</v>
      </c>
      <c r="M314">
        <v>30</v>
      </c>
      <c r="N314">
        <v>2</v>
      </c>
      <c r="O314" s="14">
        <v>45944</v>
      </c>
      <c r="P314" s="14">
        <v>45974</v>
      </c>
      <c r="Q314">
        <v>1736.92</v>
      </c>
      <c r="R314">
        <v>0</v>
      </c>
      <c r="S314">
        <v>0</v>
      </c>
      <c r="T314">
        <v>0</v>
      </c>
      <c r="U314">
        <v>0</v>
      </c>
      <c r="V314">
        <v>1736.92</v>
      </c>
      <c r="W314">
        <v>0</v>
      </c>
      <c r="X314">
        <v>1</v>
      </c>
      <c r="Y314">
        <v>1</v>
      </c>
      <c r="Z314">
        <v>48</v>
      </c>
      <c r="AA314">
        <v>3</v>
      </c>
      <c r="AB314" s="13" t="s">
        <v>369</v>
      </c>
      <c r="AC314">
        <v>0.5</v>
      </c>
      <c r="AD314">
        <v>1</v>
      </c>
      <c r="AE314" s="13" t="s">
        <v>465</v>
      </c>
    </row>
    <row r="315" spans="1:31" x14ac:dyDescent="0.35">
      <c r="A315" s="13" t="s">
        <v>687</v>
      </c>
      <c r="B315" s="13" t="s">
        <v>688</v>
      </c>
      <c r="C315" s="13" t="s">
        <v>689</v>
      </c>
      <c r="D315" s="13" t="s">
        <v>104</v>
      </c>
      <c r="E315" s="13" t="s">
        <v>99</v>
      </c>
      <c r="F315" s="13" t="s">
        <v>100</v>
      </c>
      <c r="G315" s="13" t="s">
        <v>67</v>
      </c>
      <c r="H315">
        <v>140000</v>
      </c>
      <c r="I315" s="13" t="s">
        <v>105</v>
      </c>
      <c r="J315" s="13" t="s">
        <v>106</v>
      </c>
      <c r="K315" s="13" t="s">
        <v>107</v>
      </c>
      <c r="L315" s="13" t="s">
        <v>95</v>
      </c>
      <c r="M315">
        <v>30</v>
      </c>
      <c r="N315">
        <v>0</v>
      </c>
      <c r="O315" s="14">
        <v>45944</v>
      </c>
      <c r="P315" s="14">
        <v>45974</v>
      </c>
      <c r="Q315">
        <v>1690.76</v>
      </c>
      <c r="R315">
        <v>0</v>
      </c>
      <c r="S315">
        <v>0</v>
      </c>
      <c r="T315">
        <v>304.33999999999997</v>
      </c>
      <c r="U315">
        <v>0</v>
      </c>
      <c r="V315">
        <v>1386.42</v>
      </c>
      <c r="W315">
        <v>0</v>
      </c>
      <c r="X315">
        <v>1</v>
      </c>
      <c r="Y315">
        <v>1</v>
      </c>
      <c r="Z315">
        <v>48</v>
      </c>
      <c r="AA315">
        <v>3</v>
      </c>
      <c r="AB315" s="13" t="s">
        <v>369</v>
      </c>
      <c r="AC315">
        <v>0.5</v>
      </c>
      <c r="AD315">
        <v>0</v>
      </c>
      <c r="AE315" s="13" t="s">
        <v>665</v>
      </c>
    </row>
    <row r="316" spans="1:31" x14ac:dyDescent="0.35">
      <c r="A316" s="13" t="s">
        <v>690</v>
      </c>
      <c r="B316" s="13" t="s">
        <v>558</v>
      </c>
      <c r="C316" s="13" t="s">
        <v>559</v>
      </c>
      <c r="D316" s="13" t="s">
        <v>52</v>
      </c>
      <c r="E316" s="13" t="s">
        <v>53</v>
      </c>
      <c r="F316" s="13" t="s">
        <v>54</v>
      </c>
      <c r="G316" s="13" t="s">
        <v>55</v>
      </c>
      <c r="H316">
        <v>240000</v>
      </c>
      <c r="I316" s="13" t="s">
        <v>56</v>
      </c>
      <c r="J316" s="13" t="s">
        <v>57</v>
      </c>
      <c r="K316" s="13" t="s">
        <v>58</v>
      </c>
      <c r="L316" s="13" t="s">
        <v>59</v>
      </c>
      <c r="M316">
        <v>45</v>
      </c>
      <c r="N316">
        <v>0</v>
      </c>
      <c r="O316" s="14">
        <v>45944</v>
      </c>
      <c r="P316" s="14">
        <v>45989</v>
      </c>
      <c r="Q316">
        <v>8907.27</v>
      </c>
      <c r="R316">
        <v>0</v>
      </c>
      <c r="S316">
        <v>0</v>
      </c>
      <c r="T316">
        <v>0</v>
      </c>
      <c r="U316">
        <v>0</v>
      </c>
      <c r="V316">
        <v>8907.27</v>
      </c>
      <c r="W316">
        <v>0</v>
      </c>
      <c r="X316">
        <v>1</v>
      </c>
      <c r="Y316">
        <v>1</v>
      </c>
      <c r="Z316">
        <v>33</v>
      </c>
      <c r="AA316">
        <v>3</v>
      </c>
      <c r="AB316" s="13" t="s">
        <v>369</v>
      </c>
      <c r="AC316">
        <v>0.5</v>
      </c>
      <c r="AD316">
        <v>0</v>
      </c>
      <c r="AE316" s="13" t="s">
        <v>61</v>
      </c>
    </row>
    <row r="317" spans="1:31" x14ac:dyDescent="0.35">
      <c r="A317" s="13" t="s">
        <v>691</v>
      </c>
      <c r="B317" s="13" t="s">
        <v>692</v>
      </c>
      <c r="C317" s="13" t="s">
        <v>693</v>
      </c>
      <c r="D317" s="13" t="s">
        <v>52</v>
      </c>
      <c r="E317" s="13" t="s">
        <v>53</v>
      </c>
      <c r="F317" s="13" t="s">
        <v>135</v>
      </c>
      <c r="G317" s="13" t="s">
        <v>55</v>
      </c>
      <c r="H317">
        <v>360000</v>
      </c>
      <c r="I317" s="13" t="s">
        <v>56</v>
      </c>
      <c r="J317" s="13" t="s">
        <v>57</v>
      </c>
      <c r="K317" s="13" t="s">
        <v>58</v>
      </c>
      <c r="L317" s="13" t="s">
        <v>88</v>
      </c>
      <c r="M317">
        <v>60</v>
      </c>
      <c r="N317">
        <v>0</v>
      </c>
      <c r="O317" s="14">
        <v>45944</v>
      </c>
      <c r="P317" s="14">
        <v>46004</v>
      </c>
      <c r="Q317">
        <v>4996.8900000000003</v>
      </c>
      <c r="R317">
        <v>0</v>
      </c>
      <c r="S317">
        <v>0</v>
      </c>
      <c r="T317">
        <v>0</v>
      </c>
      <c r="U317">
        <v>0</v>
      </c>
      <c r="V317">
        <v>4996.8900000000003</v>
      </c>
      <c r="W317">
        <v>0</v>
      </c>
      <c r="X317">
        <v>1</v>
      </c>
      <c r="Y317">
        <v>1</v>
      </c>
      <c r="Z317">
        <v>18</v>
      </c>
      <c r="AA317">
        <v>2</v>
      </c>
      <c r="AB317" s="13" t="s">
        <v>405</v>
      </c>
      <c r="AC317">
        <v>0.25</v>
      </c>
      <c r="AD317">
        <v>0</v>
      </c>
      <c r="AE317" s="13" t="s">
        <v>61</v>
      </c>
    </row>
    <row r="318" spans="1:31" x14ac:dyDescent="0.35">
      <c r="A318" s="13" t="s">
        <v>694</v>
      </c>
      <c r="B318" s="13" t="s">
        <v>695</v>
      </c>
      <c r="C318" s="13" t="s">
        <v>696</v>
      </c>
      <c r="D318" s="13" t="s">
        <v>52</v>
      </c>
      <c r="E318" s="13" t="s">
        <v>53</v>
      </c>
      <c r="F318" s="13" t="s">
        <v>54</v>
      </c>
      <c r="G318" s="13" t="s">
        <v>92</v>
      </c>
      <c r="H318">
        <v>535000</v>
      </c>
      <c r="I318" s="13" t="s">
        <v>56</v>
      </c>
      <c r="J318" s="13" t="s">
        <v>57</v>
      </c>
      <c r="K318" s="13" t="s">
        <v>58</v>
      </c>
      <c r="L318" s="13" t="s">
        <v>88</v>
      </c>
      <c r="M318">
        <v>60</v>
      </c>
      <c r="N318">
        <v>0</v>
      </c>
      <c r="O318" s="14">
        <v>45944</v>
      </c>
      <c r="P318" s="14">
        <v>46004</v>
      </c>
      <c r="Q318">
        <v>1658.08</v>
      </c>
      <c r="R318">
        <v>0</v>
      </c>
      <c r="S318">
        <v>0</v>
      </c>
      <c r="T318">
        <v>0</v>
      </c>
      <c r="U318">
        <v>0</v>
      </c>
      <c r="V318">
        <v>1658.08</v>
      </c>
      <c r="W318">
        <v>0</v>
      </c>
      <c r="X318">
        <v>1</v>
      </c>
      <c r="Y318">
        <v>1</v>
      </c>
      <c r="Z318">
        <v>18</v>
      </c>
      <c r="AA318">
        <v>2</v>
      </c>
      <c r="AB318" s="13" t="s">
        <v>405</v>
      </c>
      <c r="AC318">
        <v>0.25</v>
      </c>
      <c r="AD318">
        <v>0</v>
      </c>
      <c r="AE318" s="13" t="s">
        <v>61</v>
      </c>
    </row>
    <row r="319" spans="1:31" x14ac:dyDescent="0.35">
      <c r="A319" s="13" t="s">
        <v>697</v>
      </c>
      <c r="B319" s="13" t="s">
        <v>206</v>
      </c>
      <c r="C319" s="13" t="s">
        <v>207</v>
      </c>
      <c r="D319" s="13" t="s">
        <v>52</v>
      </c>
      <c r="E319" s="13" t="s">
        <v>65</v>
      </c>
      <c r="F319" s="13" t="s">
        <v>111</v>
      </c>
      <c r="G319" s="13" t="s">
        <v>92</v>
      </c>
      <c r="H319">
        <v>490000</v>
      </c>
      <c r="I319" s="13" t="s">
        <v>86</v>
      </c>
      <c r="J319" s="13" t="s">
        <v>87</v>
      </c>
      <c r="K319" s="13" t="s">
        <v>58</v>
      </c>
      <c r="L319" s="13" t="s">
        <v>88</v>
      </c>
      <c r="M319">
        <v>60</v>
      </c>
      <c r="N319">
        <v>0</v>
      </c>
      <c r="O319" s="14">
        <v>45944</v>
      </c>
      <c r="P319" s="14">
        <v>46004</v>
      </c>
      <c r="Q319">
        <v>3810.89</v>
      </c>
      <c r="R319">
        <v>0</v>
      </c>
      <c r="S319">
        <v>0</v>
      </c>
      <c r="T319">
        <v>0</v>
      </c>
      <c r="U319">
        <v>0</v>
      </c>
      <c r="V319">
        <v>3810.89</v>
      </c>
      <c r="W319">
        <v>0</v>
      </c>
      <c r="X319">
        <v>1</v>
      </c>
      <c r="Y319">
        <v>1</v>
      </c>
      <c r="Z319">
        <v>18</v>
      </c>
      <c r="AA319">
        <v>2</v>
      </c>
      <c r="AB319" s="13" t="s">
        <v>405</v>
      </c>
      <c r="AC319">
        <v>0.25</v>
      </c>
      <c r="AD319">
        <v>0</v>
      </c>
      <c r="AE319" s="13" t="s">
        <v>61</v>
      </c>
    </row>
    <row r="320" spans="1:31" x14ac:dyDescent="0.35">
      <c r="A320" s="13" t="s">
        <v>698</v>
      </c>
      <c r="B320" s="13" t="s">
        <v>379</v>
      </c>
      <c r="C320" s="13" t="s">
        <v>380</v>
      </c>
      <c r="D320" s="13" t="s">
        <v>52</v>
      </c>
      <c r="E320" s="13" t="s">
        <v>77</v>
      </c>
      <c r="F320" s="13" t="s">
        <v>78</v>
      </c>
      <c r="G320" s="13" t="s">
        <v>92</v>
      </c>
      <c r="H320">
        <v>450000</v>
      </c>
      <c r="I320" s="13" t="s">
        <v>56</v>
      </c>
      <c r="J320" s="13" t="s">
        <v>57</v>
      </c>
      <c r="K320" s="13" t="s">
        <v>58</v>
      </c>
      <c r="L320" s="13" t="s">
        <v>59</v>
      </c>
      <c r="M320">
        <v>45</v>
      </c>
      <c r="N320">
        <v>0</v>
      </c>
      <c r="O320" s="14">
        <v>45944</v>
      </c>
      <c r="P320" s="14">
        <v>45989</v>
      </c>
      <c r="Q320">
        <v>2011.23</v>
      </c>
      <c r="R320">
        <v>0</v>
      </c>
      <c r="S320">
        <v>0</v>
      </c>
      <c r="T320">
        <v>0</v>
      </c>
      <c r="U320">
        <v>0</v>
      </c>
      <c r="V320">
        <v>2011.23</v>
      </c>
      <c r="W320">
        <v>0</v>
      </c>
      <c r="X320">
        <v>1</v>
      </c>
      <c r="Y320">
        <v>1</v>
      </c>
      <c r="Z320">
        <v>33</v>
      </c>
      <c r="AA320">
        <v>3</v>
      </c>
      <c r="AB320" s="13" t="s">
        <v>369</v>
      </c>
      <c r="AC320">
        <v>0.5</v>
      </c>
      <c r="AD320">
        <v>0</v>
      </c>
      <c r="AE320" s="13" t="s">
        <v>61</v>
      </c>
    </row>
    <row r="321" spans="1:31" x14ac:dyDescent="0.35">
      <c r="A321" s="13" t="s">
        <v>699</v>
      </c>
      <c r="B321" s="13" t="s">
        <v>212</v>
      </c>
      <c r="C321" s="13" t="s">
        <v>213</v>
      </c>
      <c r="D321" s="13" t="s">
        <v>52</v>
      </c>
      <c r="E321" s="13" t="s">
        <v>71</v>
      </c>
      <c r="F321" s="13" t="s">
        <v>214</v>
      </c>
      <c r="G321" s="13" t="s">
        <v>92</v>
      </c>
      <c r="H321">
        <v>380000</v>
      </c>
      <c r="I321" s="13" t="s">
        <v>86</v>
      </c>
      <c r="J321" s="13" t="s">
        <v>87</v>
      </c>
      <c r="K321" s="13" t="s">
        <v>58</v>
      </c>
      <c r="L321" s="13" t="s">
        <v>88</v>
      </c>
      <c r="M321">
        <v>60</v>
      </c>
      <c r="N321">
        <v>0</v>
      </c>
      <c r="O321" s="14">
        <v>45944</v>
      </c>
      <c r="P321" s="14">
        <v>46004</v>
      </c>
      <c r="Q321">
        <v>16955.650000000001</v>
      </c>
      <c r="R321">
        <v>0</v>
      </c>
      <c r="S321">
        <v>0</v>
      </c>
      <c r="T321">
        <v>0</v>
      </c>
      <c r="U321">
        <v>0</v>
      </c>
      <c r="V321">
        <v>16955.650000000001</v>
      </c>
      <c r="W321">
        <v>0</v>
      </c>
      <c r="X321">
        <v>1</v>
      </c>
      <c r="Y321">
        <v>1</v>
      </c>
      <c r="Z321">
        <v>18</v>
      </c>
      <c r="AA321">
        <v>2</v>
      </c>
      <c r="AB321" s="13" t="s">
        <v>405</v>
      </c>
      <c r="AC321">
        <v>0.25</v>
      </c>
      <c r="AD321">
        <v>0</v>
      </c>
      <c r="AE321" s="13" t="s">
        <v>61</v>
      </c>
    </row>
    <row r="322" spans="1:31" x14ac:dyDescent="0.35">
      <c r="A322" s="13" t="s">
        <v>700</v>
      </c>
      <c r="B322" s="13" t="s">
        <v>113</v>
      </c>
      <c r="C322" s="13" t="s">
        <v>114</v>
      </c>
      <c r="D322" s="13" t="s">
        <v>52</v>
      </c>
      <c r="E322" s="13" t="s">
        <v>77</v>
      </c>
      <c r="F322" s="13" t="s">
        <v>78</v>
      </c>
      <c r="G322" s="13" t="s">
        <v>92</v>
      </c>
      <c r="H322">
        <v>545000</v>
      </c>
      <c r="I322" s="13" t="s">
        <v>86</v>
      </c>
      <c r="J322" s="13" t="s">
        <v>87</v>
      </c>
      <c r="K322" s="13" t="s">
        <v>58</v>
      </c>
      <c r="L322" s="13" t="s">
        <v>88</v>
      </c>
      <c r="M322">
        <v>60</v>
      </c>
      <c r="N322">
        <v>0</v>
      </c>
      <c r="O322" s="14">
        <v>45944</v>
      </c>
      <c r="P322" s="14">
        <v>46004</v>
      </c>
      <c r="Q322">
        <v>2985.13</v>
      </c>
      <c r="R322">
        <v>0</v>
      </c>
      <c r="S322">
        <v>0</v>
      </c>
      <c r="T322">
        <v>0</v>
      </c>
      <c r="U322">
        <v>0</v>
      </c>
      <c r="V322">
        <v>2985.13</v>
      </c>
      <c r="W322">
        <v>0</v>
      </c>
      <c r="X322">
        <v>1</v>
      </c>
      <c r="Y322">
        <v>1</v>
      </c>
      <c r="Z322">
        <v>18</v>
      </c>
      <c r="AA322">
        <v>2</v>
      </c>
      <c r="AB322" s="13" t="s">
        <v>405</v>
      </c>
      <c r="AC322">
        <v>0.25</v>
      </c>
      <c r="AD322">
        <v>0</v>
      </c>
      <c r="AE322" s="13" t="s">
        <v>61</v>
      </c>
    </row>
    <row r="323" spans="1:31" x14ac:dyDescent="0.35">
      <c r="A323" s="13" t="s">
        <v>701</v>
      </c>
      <c r="B323" s="13" t="s">
        <v>702</v>
      </c>
      <c r="C323" s="13" t="s">
        <v>703</v>
      </c>
      <c r="D323" s="13" t="s">
        <v>52</v>
      </c>
      <c r="E323" s="13" t="s">
        <v>65</v>
      </c>
      <c r="F323" s="13" t="s">
        <v>111</v>
      </c>
      <c r="G323" s="13" t="s">
        <v>67</v>
      </c>
      <c r="H323">
        <v>435000</v>
      </c>
      <c r="I323" s="13" t="s">
        <v>86</v>
      </c>
      <c r="J323" s="13" t="s">
        <v>87</v>
      </c>
      <c r="K323" s="13" t="s">
        <v>58</v>
      </c>
      <c r="L323" s="13" t="s">
        <v>59</v>
      </c>
      <c r="M323">
        <v>45</v>
      </c>
      <c r="N323">
        <v>0</v>
      </c>
      <c r="O323" s="14">
        <v>45945</v>
      </c>
      <c r="P323" s="14">
        <v>45990</v>
      </c>
      <c r="Q323">
        <v>10840.77</v>
      </c>
      <c r="R323">
        <v>6504.46</v>
      </c>
      <c r="S323">
        <v>0</v>
      </c>
      <c r="T323">
        <v>0</v>
      </c>
      <c r="U323">
        <v>0</v>
      </c>
      <c r="V323">
        <v>4336.3100000000004</v>
      </c>
      <c r="W323">
        <v>0</v>
      </c>
      <c r="X323">
        <v>1</v>
      </c>
      <c r="Y323">
        <v>1</v>
      </c>
      <c r="Z323">
        <v>32</v>
      </c>
      <c r="AA323">
        <v>3</v>
      </c>
      <c r="AB323" s="13" t="s">
        <v>369</v>
      </c>
      <c r="AC323">
        <v>0.5</v>
      </c>
      <c r="AD323">
        <v>0</v>
      </c>
      <c r="AE323" s="13" t="s">
        <v>61</v>
      </c>
    </row>
    <row r="324" spans="1:31" x14ac:dyDescent="0.35">
      <c r="A324" s="13" t="s">
        <v>704</v>
      </c>
      <c r="B324" s="13" t="s">
        <v>273</v>
      </c>
      <c r="C324" s="13" t="s">
        <v>274</v>
      </c>
      <c r="D324" s="13" t="s">
        <v>104</v>
      </c>
      <c r="E324" s="13" t="s">
        <v>71</v>
      </c>
      <c r="F324" s="13" t="s">
        <v>72</v>
      </c>
      <c r="G324" s="13" t="s">
        <v>92</v>
      </c>
      <c r="H324">
        <v>120000</v>
      </c>
      <c r="I324" s="13" t="s">
        <v>105</v>
      </c>
      <c r="J324" s="13" t="s">
        <v>106</v>
      </c>
      <c r="K324" s="13" t="s">
        <v>107</v>
      </c>
      <c r="L324" s="13" t="s">
        <v>88</v>
      </c>
      <c r="M324">
        <v>60</v>
      </c>
      <c r="N324">
        <v>0</v>
      </c>
      <c r="O324" s="14">
        <v>45945</v>
      </c>
      <c r="P324" s="14">
        <v>46005</v>
      </c>
      <c r="Q324">
        <v>1850.58</v>
      </c>
      <c r="R324">
        <v>0</v>
      </c>
      <c r="S324">
        <v>0</v>
      </c>
      <c r="T324">
        <v>0</v>
      </c>
      <c r="U324">
        <v>0</v>
      </c>
      <c r="V324">
        <v>1850.58</v>
      </c>
      <c r="W324">
        <v>0</v>
      </c>
      <c r="X324">
        <v>1</v>
      </c>
      <c r="Y324">
        <v>1</v>
      </c>
      <c r="Z324">
        <v>17</v>
      </c>
      <c r="AA324">
        <v>2</v>
      </c>
      <c r="AB324" s="13" t="s">
        <v>405</v>
      </c>
      <c r="AC324">
        <v>0.25</v>
      </c>
      <c r="AD324">
        <v>1</v>
      </c>
      <c r="AE324" s="13" t="s">
        <v>465</v>
      </c>
    </row>
    <row r="325" spans="1:31" x14ac:dyDescent="0.35">
      <c r="A325" s="13" t="s">
        <v>705</v>
      </c>
      <c r="B325" s="13" t="s">
        <v>216</v>
      </c>
      <c r="C325" s="13" t="s">
        <v>217</v>
      </c>
      <c r="D325" s="13" t="s">
        <v>52</v>
      </c>
      <c r="E325" s="13" t="s">
        <v>65</v>
      </c>
      <c r="F325" s="13" t="s">
        <v>66</v>
      </c>
      <c r="G325" s="13" t="s">
        <v>67</v>
      </c>
      <c r="H325">
        <v>515000</v>
      </c>
      <c r="I325" s="13" t="s">
        <v>86</v>
      </c>
      <c r="J325" s="13" t="s">
        <v>87</v>
      </c>
      <c r="K325" s="13" t="s">
        <v>58</v>
      </c>
      <c r="L325" s="13" t="s">
        <v>88</v>
      </c>
      <c r="M325">
        <v>60</v>
      </c>
      <c r="N325">
        <v>0</v>
      </c>
      <c r="O325" s="14">
        <v>45945</v>
      </c>
      <c r="P325" s="14">
        <v>46005</v>
      </c>
      <c r="Q325">
        <v>5591.63</v>
      </c>
      <c r="R325">
        <v>0</v>
      </c>
      <c r="S325">
        <v>0</v>
      </c>
      <c r="T325">
        <v>0</v>
      </c>
      <c r="U325">
        <v>0</v>
      </c>
      <c r="V325">
        <v>5591.63</v>
      </c>
      <c r="W325">
        <v>0</v>
      </c>
      <c r="X325">
        <v>1</v>
      </c>
      <c r="Y325">
        <v>1</v>
      </c>
      <c r="Z325">
        <v>17</v>
      </c>
      <c r="AA325">
        <v>2</v>
      </c>
      <c r="AB325" s="13" t="s">
        <v>405</v>
      </c>
      <c r="AC325">
        <v>0.25</v>
      </c>
      <c r="AD325">
        <v>0</v>
      </c>
      <c r="AE325" s="13" t="s">
        <v>61</v>
      </c>
    </row>
    <row r="326" spans="1:31" x14ac:dyDescent="0.35">
      <c r="A326" s="13" t="s">
        <v>706</v>
      </c>
      <c r="B326" s="13" t="s">
        <v>137</v>
      </c>
      <c r="C326" s="13" t="s">
        <v>138</v>
      </c>
      <c r="D326" s="13" t="s">
        <v>52</v>
      </c>
      <c r="E326" s="13" t="s">
        <v>53</v>
      </c>
      <c r="F326" s="13" t="s">
        <v>135</v>
      </c>
      <c r="G326" s="13" t="s">
        <v>92</v>
      </c>
      <c r="H326">
        <v>355000</v>
      </c>
      <c r="I326" s="13" t="s">
        <v>56</v>
      </c>
      <c r="J326" s="13" t="s">
        <v>57</v>
      </c>
      <c r="K326" s="13" t="s">
        <v>58</v>
      </c>
      <c r="L326" s="13" t="s">
        <v>88</v>
      </c>
      <c r="M326">
        <v>60</v>
      </c>
      <c r="N326">
        <v>0</v>
      </c>
      <c r="O326" s="14">
        <v>45945</v>
      </c>
      <c r="P326" s="14">
        <v>46005</v>
      </c>
      <c r="Q326">
        <v>11216.69</v>
      </c>
      <c r="R326">
        <v>0</v>
      </c>
      <c r="S326">
        <v>0</v>
      </c>
      <c r="T326">
        <v>0</v>
      </c>
      <c r="U326">
        <v>0</v>
      </c>
      <c r="V326">
        <v>11216.69</v>
      </c>
      <c r="W326">
        <v>0</v>
      </c>
      <c r="X326">
        <v>1</v>
      </c>
      <c r="Y326">
        <v>1</v>
      </c>
      <c r="Z326">
        <v>17</v>
      </c>
      <c r="AA326">
        <v>2</v>
      </c>
      <c r="AB326" s="13" t="s">
        <v>405</v>
      </c>
      <c r="AC326">
        <v>0.25</v>
      </c>
      <c r="AD326">
        <v>0</v>
      </c>
      <c r="AE326" s="13" t="s">
        <v>61</v>
      </c>
    </row>
    <row r="327" spans="1:31" x14ac:dyDescent="0.35">
      <c r="A327" s="13" t="s">
        <v>707</v>
      </c>
      <c r="B327" s="13" t="s">
        <v>119</v>
      </c>
      <c r="C327" s="13" t="s">
        <v>120</v>
      </c>
      <c r="D327" s="13" t="s">
        <v>104</v>
      </c>
      <c r="E327" s="13" t="s">
        <v>53</v>
      </c>
      <c r="F327" s="13" t="s">
        <v>54</v>
      </c>
      <c r="G327" s="13" t="s">
        <v>55</v>
      </c>
      <c r="H327">
        <v>145000</v>
      </c>
      <c r="I327" s="13" t="s">
        <v>121</v>
      </c>
      <c r="J327" s="13" t="s">
        <v>122</v>
      </c>
      <c r="K327" s="13" t="s">
        <v>107</v>
      </c>
      <c r="L327" s="13" t="s">
        <v>82</v>
      </c>
      <c r="M327">
        <v>30</v>
      </c>
      <c r="N327">
        <v>2</v>
      </c>
      <c r="O327" s="14">
        <v>45945</v>
      </c>
      <c r="P327" s="14">
        <v>45975</v>
      </c>
      <c r="Q327">
        <v>857.4</v>
      </c>
      <c r="R327">
        <v>0</v>
      </c>
      <c r="S327">
        <v>0</v>
      </c>
      <c r="T327">
        <v>0</v>
      </c>
      <c r="U327">
        <v>0</v>
      </c>
      <c r="V327">
        <v>857.4</v>
      </c>
      <c r="W327">
        <v>0</v>
      </c>
      <c r="X327">
        <v>1</v>
      </c>
      <c r="Y327">
        <v>1</v>
      </c>
      <c r="Z327">
        <v>47</v>
      </c>
      <c r="AA327">
        <v>3</v>
      </c>
      <c r="AB327" s="13" t="s">
        <v>369</v>
      </c>
      <c r="AC327">
        <v>0.5</v>
      </c>
      <c r="AD327">
        <v>0</v>
      </c>
      <c r="AE327" s="13" t="s">
        <v>61</v>
      </c>
    </row>
    <row r="328" spans="1:31" x14ac:dyDescent="0.35">
      <c r="A328" s="13" t="s">
        <v>708</v>
      </c>
      <c r="B328" s="13" t="s">
        <v>418</v>
      </c>
      <c r="C328" s="13" t="s">
        <v>419</v>
      </c>
      <c r="D328" s="13" t="s">
        <v>52</v>
      </c>
      <c r="E328" s="13" t="s">
        <v>99</v>
      </c>
      <c r="F328" s="13" t="s">
        <v>100</v>
      </c>
      <c r="G328" s="13" t="s">
        <v>67</v>
      </c>
      <c r="H328">
        <v>535000</v>
      </c>
      <c r="I328" s="13" t="s">
        <v>86</v>
      </c>
      <c r="J328" s="13" t="s">
        <v>87</v>
      </c>
      <c r="K328" s="13" t="s">
        <v>58</v>
      </c>
      <c r="L328" s="13" t="s">
        <v>59</v>
      </c>
      <c r="M328">
        <v>45</v>
      </c>
      <c r="N328">
        <v>0</v>
      </c>
      <c r="O328" s="14">
        <v>45945</v>
      </c>
      <c r="P328" s="14">
        <v>45990</v>
      </c>
      <c r="Q328">
        <v>3354.2</v>
      </c>
      <c r="R328">
        <v>0</v>
      </c>
      <c r="S328">
        <v>0</v>
      </c>
      <c r="T328">
        <v>0</v>
      </c>
      <c r="U328">
        <v>0</v>
      </c>
      <c r="V328">
        <v>3354.2</v>
      </c>
      <c r="W328">
        <v>0</v>
      </c>
      <c r="X328">
        <v>1</v>
      </c>
      <c r="Y328">
        <v>1</v>
      </c>
      <c r="Z328">
        <v>32</v>
      </c>
      <c r="AA328">
        <v>3</v>
      </c>
      <c r="AB328" s="13" t="s">
        <v>369</v>
      </c>
      <c r="AC328">
        <v>0.5</v>
      </c>
      <c r="AD328">
        <v>0</v>
      </c>
      <c r="AE328" s="13" t="s">
        <v>61</v>
      </c>
    </row>
    <row r="329" spans="1:31" x14ac:dyDescent="0.35">
      <c r="A329" s="13" t="s">
        <v>709</v>
      </c>
      <c r="B329" s="13" t="s">
        <v>446</v>
      </c>
      <c r="C329" s="13" t="s">
        <v>447</v>
      </c>
      <c r="D329" s="13" t="s">
        <v>52</v>
      </c>
      <c r="E329" s="13" t="s">
        <v>53</v>
      </c>
      <c r="F329" s="13" t="s">
        <v>54</v>
      </c>
      <c r="G329" s="13" t="s">
        <v>67</v>
      </c>
      <c r="H329">
        <v>245000</v>
      </c>
      <c r="I329" s="13" t="s">
        <v>86</v>
      </c>
      <c r="J329" s="13" t="s">
        <v>87</v>
      </c>
      <c r="K329" s="13" t="s">
        <v>58</v>
      </c>
      <c r="L329" s="13" t="s">
        <v>88</v>
      </c>
      <c r="M329">
        <v>60</v>
      </c>
      <c r="N329">
        <v>0</v>
      </c>
      <c r="O329" s="14">
        <v>45945</v>
      </c>
      <c r="P329" s="14">
        <v>46005</v>
      </c>
      <c r="Q329">
        <v>9987.4</v>
      </c>
      <c r="R329">
        <v>0</v>
      </c>
      <c r="S329">
        <v>0</v>
      </c>
      <c r="T329">
        <v>0</v>
      </c>
      <c r="U329">
        <v>0</v>
      </c>
      <c r="V329">
        <v>9987.4</v>
      </c>
      <c r="W329">
        <v>0</v>
      </c>
      <c r="X329">
        <v>1</v>
      </c>
      <c r="Y329">
        <v>1</v>
      </c>
      <c r="Z329">
        <v>17</v>
      </c>
      <c r="AA329">
        <v>2</v>
      </c>
      <c r="AB329" s="13" t="s">
        <v>405</v>
      </c>
      <c r="AC329">
        <v>0.25</v>
      </c>
      <c r="AD329">
        <v>1</v>
      </c>
      <c r="AE329" s="13" t="s">
        <v>348</v>
      </c>
    </row>
    <row r="330" spans="1:31" x14ac:dyDescent="0.35">
      <c r="A330" s="13" t="s">
        <v>710</v>
      </c>
      <c r="B330" s="13" t="s">
        <v>711</v>
      </c>
      <c r="C330" s="13" t="s">
        <v>712</v>
      </c>
      <c r="D330" s="13" t="s">
        <v>126</v>
      </c>
      <c r="E330" s="13" t="s">
        <v>71</v>
      </c>
      <c r="F330" s="13" t="s">
        <v>72</v>
      </c>
      <c r="G330" s="13" t="s">
        <v>67</v>
      </c>
      <c r="H330">
        <v>190000</v>
      </c>
      <c r="I330" s="13" t="s">
        <v>56</v>
      </c>
      <c r="J330" s="13" t="s">
        <v>57</v>
      </c>
      <c r="K330" s="13" t="s">
        <v>58</v>
      </c>
      <c r="L330" s="13" t="s">
        <v>368</v>
      </c>
      <c r="M330">
        <v>90</v>
      </c>
      <c r="N330">
        <v>0</v>
      </c>
      <c r="O330" s="14">
        <v>45945</v>
      </c>
      <c r="P330" s="14">
        <v>46035</v>
      </c>
      <c r="Q330">
        <v>4002.42</v>
      </c>
      <c r="R330">
        <v>0</v>
      </c>
      <c r="S330">
        <v>0</v>
      </c>
      <c r="T330">
        <v>0</v>
      </c>
      <c r="U330">
        <v>0</v>
      </c>
      <c r="V330">
        <v>4002.42</v>
      </c>
      <c r="W330">
        <v>0</v>
      </c>
      <c r="X330">
        <v>1</v>
      </c>
      <c r="Y330">
        <v>0</v>
      </c>
      <c r="Z330">
        <v>-13</v>
      </c>
      <c r="AA330">
        <v>1</v>
      </c>
      <c r="AB330" s="13" t="s">
        <v>581</v>
      </c>
      <c r="AC330">
        <v>0</v>
      </c>
      <c r="AD330">
        <v>0</v>
      </c>
      <c r="AE330" s="13" t="s">
        <v>61</v>
      </c>
    </row>
    <row r="331" spans="1:31" x14ac:dyDescent="0.35">
      <c r="A331" s="13" t="s">
        <v>713</v>
      </c>
      <c r="B331" s="13" t="s">
        <v>273</v>
      </c>
      <c r="C331" s="13" t="s">
        <v>274</v>
      </c>
      <c r="D331" s="13" t="s">
        <v>104</v>
      </c>
      <c r="E331" s="13" t="s">
        <v>71</v>
      </c>
      <c r="F331" s="13" t="s">
        <v>72</v>
      </c>
      <c r="G331" s="13" t="s">
        <v>92</v>
      </c>
      <c r="H331">
        <v>120000</v>
      </c>
      <c r="I331" s="13" t="s">
        <v>105</v>
      </c>
      <c r="J331" s="13" t="s">
        <v>106</v>
      </c>
      <c r="K331" s="13" t="s">
        <v>107</v>
      </c>
      <c r="L331" s="13" t="s">
        <v>88</v>
      </c>
      <c r="M331">
        <v>60</v>
      </c>
      <c r="N331">
        <v>0</v>
      </c>
      <c r="O331" s="14">
        <v>45946</v>
      </c>
      <c r="P331" s="14">
        <v>46006</v>
      </c>
      <c r="Q331">
        <v>4896.21</v>
      </c>
      <c r="R331">
        <v>0</v>
      </c>
      <c r="S331">
        <v>0</v>
      </c>
      <c r="T331">
        <v>0</v>
      </c>
      <c r="U331">
        <v>0</v>
      </c>
      <c r="V331">
        <v>4896.21</v>
      </c>
      <c r="W331">
        <v>0</v>
      </c>
      <c r="X331">
        <v>1</v>
      </c>
      <c r="Y331">
        <v>1</v>
      </c>
      <c r="Z331">
        <v>16</v>
      </c>
      <c r="AA331">
        <v>2</v>
      </c>
      <c r="AB331" s="13" t="s">
        <v>405</v>
      </c>
      <c r="AC331">
        <v>0.25</v>
      </c>
      <c r="AD331">
        <v>0</v>
      </c>
      <c r="AE331" s="13" t="s">
        <v>61</v>
      </c>
    </row>
    <row r="332" spans="1:31" x14ac:dyDescent="0.35">
      <c r="A332" s="13" t="s">
        <v>714</v>
      </c>
      <c r="B332" s="13" t="s">
        <v>216</v>
      </c>
      <c r="C332" s="13" t="s">
        <v>217</v>
      </c>
      <c r="D332" s="13" t="s">
        <v>52</v>
      </c>
      <c r="E332" s="13" t="s">
        <v>65</v>
      </c>
      <c r="F332" s="13" t="s">
        <v>66</v>
      </c>
      <c r="G332" s="13" t="s">
        <v>67</v>
      </c>
      <c r="H332">
        <v>515000</v>
      </c>
      <c r="I332" s="13" t="s">
        <v>86</v>
      </c>
      <c r="J332" s="13" t="s">
        <v>87</v>
      </c>
      <c r="K332" s="13" t="s">
        <v>58</v>
      </c>
      <c r="L332" s="13" t="s">
        <v>88</v>
      </c>
      <c r="M332">
        <v>60</v>
      </c>
      <c r="N332">
        <v>0</v>
      </c>
      <c r="O332" s="14">
        <v>45946</v>
      </c>
      <c r="P332" s="14">
        <v>46006</v>
      </c>
      <c r="Q332">
        <v>1627.93</v>
      </c>
      <c r="R332">
        <v>0</v>
      </c>
      <c r="S332">
        <v>0</v>
      </c>
      <c r="T332">
        <v>0</v>
      </c>
      <c r="U332">
        <v>0</v>
      </c>
      <c r="V332">
        <v>1627.93</v>
      </c>
      <c r="W332">
        <v>0</v>
      </c>
      <c r="X332">
        <v>1</v>
      </c>
      <c r="Y332">
        <v>1</v>
      </c>
      <c r="Z332">
        <v>16</v>
      </c>
      <c r="AA332">
        <v>2</v>
      </c>
      <c r="AB332" s="13" t="s">
        <v>405</v>
      </c>
      <c r="AC332">
        <v>0.25</v>
      </c>
      <c r="AD332">
        <v>0</v>
      </c>
      <c r="AE332" s="13" t="s">
        <v>61</v>
      </c>
    </row>
    <row r="333" spans="1:31" x14ac:dyDescent="0.35">
      <c r="A333" s="13" t="s">
        <v>715</v>
      </c>
      <c r="B333" s="13" t="s">
        <v>716</v>
      </c>
      <c r="C333" s="13" t="s">
        <v>717</v>
      </c>
      <c r="D333" s="13" t="s">
        <v>126</v>
      </c>
      <c r="E333" s="13" t="s">
        <v>99</v>
      </c>
      <c r="F333" s="13" t="s">
        <v>127</v>
      </c>
      <c r="G333" s="13" t="s">
        <v>67</v>
      </c>
      <c r="H333">
        <v>195000</v>
      </c>
      <c r="I333" s="13" t="s">
        <v>86</v>
      </c>
      <c r="J333" s="13" t="s">
        <v>87</v>
      </c>
      <c r="K333" s="13" t="s">
        <v>58</v>
      </c>
      <c r="L333" s="13" t="s">
        <v>88</v>
      </c>
      <c r="M333">
        <v>60</v>
      </c>
      <c r="N333">
        <v>0</v>
      </c>
      <c r="O333" s="14">
        <v>45946</v>
      </c>
      <c r="P333" s="14">
        <v>46006</v>
      </c>
      <c r="Q333">
        <v>11276.65</v>
      </c>
      <c r="R333">
        <v>0</v>
      </c>
      <c r="S333">
        <v>0</v>
      </c>
      <c r="T333">
        <v>0</v>
      </c>
      <c r="U333">
        <v>0</v>
      </c>
      <c r="V333">
        <v>11276.65</v>
      </c>
      <c r="W333">
        <v>0</v>
      </c>
      <c r="X333">
        <v>1</v>
      </c>
      <c r="Y333">
        <v>1</v>
      </c>
      <c r="Z333">
        <v>16</v>
      </c>
      <c r="AA333">
        <v>2</v>
      </c>
      <c r="AB333" s="13" t="s">
        <v>405</v>
      </c>
      <c r="AC333">
        <v>0.25</v>
      </c>
      <c r="AD333">
        <v>0</v>
      </c>
      <c r="AE333" s="13" t="s">
        <v>61</v>
      </c>
    </row>
    <row r="334" spans="1:31" x14ac:dyDescent="0.35">
      <c r="A334" s="13" t="s">
        <v>718</v>
      </c>
      <c r="B334" s="13" t="s">
        <v>719</v>
      </c>
      <c r="C334" s="13" t="s">
        <v>720</v>
      </c>
      <c r="D334" s="13" t="s">
        <v>126</v>
      </c>
      <c r="E334" s="13" t="s">
        <v>99</v>
      </c>
      <c r="F334" s="13" t="s">
        <v>127</v>
      </c>
      <c r="G334" s="13" t="s">
        <v>67</v>
      </c>
      <c r="H334">
        <v>150000</v>
      </c>
      <c r="I334" s="13" t="s">
        <v>86</v>
      </c>
      <c r="J334" s="13" t="s">
        <v>87</v>
      </c>
      <c r="K334" s="13" t="s">
        <v>58</v>
      </c>
      <c r="L334" s="13" t="s">
        <v>88</v>
      </c>
      <c r="M334">
        <v>60</v>
      </c>
      <c r="N334">
        <v>0</v>
      </c>
      <c r="O334" s="14">
        <v>45946</v>
      </c>
      <c r="P334" s="14">
        <v>46006</v>
      </c>
      <c r="Q334">
        <v>8645.1200000000008</v>
      </c>
      <c r="R334">
        <v>0</v>
      </c>
      <c r="S334">
        <v>0</v>
      </c>
      <c r="T334">
        <v>0</v>
      </c>
      <c r="U334">
        <v>0</v>
      </c>
      <c r="V334">
        <v>8645.1200000000008</v>
      </c>
      <c r="W334">
        <v>0</v>
      </c>
      <c r="X334">
        <v>1</v>
      </c>
      <c r="Y334">
        <v>1</v>
      </c>
      <c r="Z334">
        <v>16</v>
      </c>
      <c r="AA334">
        <v>2</v>
      </c>
      <c r="AB334" s="13" t="s">
        <v>405</v>
      </c>
      <c r="AC334">
        <v>0.25</v>
      </c>
      <c r="AD334">
        <v>0</v>
      </c>
      <c r="AE334" s="13" t="s">
        <v>61</v>
      </c>
    </row>
    <row r="335" spans="1:31" x14ac:dyDescent="0.35">
      <c r="A335" s="13" t="s">
        <v>721</v>
      </c>
      <c r="B335" s="13" t="s">
        <v>722</v>
      </c>
      <c r="C335" s="13" t="s">
        <v>723</v>
      </c>
      <c r="D335" s="13" t="s">
        <v>104</v>
      </c>
      <c r="E335" s="13" t="s">
        <v>71</v>
      </c>
      <c r="F335" s="13" t="s">
        <v>72</v>
      </c>
      <c r="G335" s="13" t="s">
        <v>67</v>
      </c>
      <c r="H335">
        <v>45000</v>
      </c>
      <c r="I335" s="13" t="s">
        <v>105</v>
      </c>
      <c r="J335" s="13" t="s">
        <v>106</v>
      </c>
      <c r="K335" s="13" t="s">
        <v>107</v>
      </c>
      <c r="L335" s="13" t="s">
        <v>88</v>
      </c>
      <c r="M335">
        <v>60</v>
      </c>
      <c r="N335">
        <v>0</v>
      </c>
      <c r="O335" s="14">
        <v>45946</v>
      </c>
      <c r="P335" s="14">
        <v>46006</v>
      </c>
      <c r="Q335">
        <v>1486.43</v>
      </c>
      <c r="R335">
        <v>891.86</v>
      </c>
      <c r="S335">
        <v>0</v>
      </c>
      <c r="T335">
        <v>0</v>
      </c>
      <c r="U335">
        <v>0</v>
      </c>
      <c r="V335">
        <v>594.57000000000005</v>
      </c>
      <c r="W335">
        <v>0</v>
      </c>
      <c r="X335">
        <v>1</v>
      </c>
      <c r="Y335">
        <v>1</v>
      </c>
      <c r="Z335">
        <v>16</v>
      </c>
      <c r="AA335">
        <v>2</v>
      </c>
      <c r="AB335" s="13" t="s">
        <v>405</v>
      </c>
      <c r="AC335">
        <v>0.25</v>
      </c>
      <c r="AD335">
        <v>0</v>
      </c>
      <c r="AE335" s="13" t="s">
        <v>61</v>
      </c>
    </row>
    <row r="336" spans="1:31" x14ac:dyDescent="0.35">
      <c r="A336" s="13" t="s">
        <v>724</v>
      </c>
      <c r="B336" s="13" t="s">
        <v>296</v>
      </c>
      <c r="C336" s="13" t="s">
        <v>297</v>
      </c>
      <c r="D336" s="13" t="s">
        <v>104</v>
      </c>
      <c r="E336" s="13" t="s">
        <v>65</v>
      </c>
      <c r="F336" s="13" t="s">
        <v>111</v>
      </c>
      <c r="G336" s="13" t="s">
        <v>92</v>
      </c>
      <c r="H336">
        <v>125000</v>
      </c>
      <c r="I336" s="13" t="s">
        <v>105</v>
      </c>
      <c r="J336" s="13" t="s">
        <v>106</v>
      </c>
      <c r="K336" s="13" t="s">
        <v>107</v>
      </c>
      <c r="L336" s="13" t="s">
        <v>82</v>
      </c>
      <c r="M336">
        <v>30</v>
      </c>
      <c r="N336">
        <v>2</v>
      </c>
      <c r="O336" s="14">
        <v>45946</v>
      </c>
      <c r="P336" s="14">
        <v>45976</v>
      </c>
      <c r="Q336">
        <v>2540.5</v>
      </c>
      <c r="R336">
        <v>0</v>
      </c>
      <c r="S336">
        <v>0</v>
      </c>
      <c r="T336">
        <v>0</v>
      </c>
      <c r="U336">
        <v>0</v>
      </c>
      <c r="V336">
        <v>2540.5</v>
      </c>
      <c r="W336">
        <v>0</v>
      </c>
      <c r="X336">
        <v>1</v>
      </c>
      <c r="Y336">
        <v>1</v>
      </c>
      <c r="Z336">
        <v>46</v>
      </c>
      <c r="AA336">
        <v>3</v>
      </c>
      <c r="AB336" s="13" t="s">
        <v>369</v>
      </c>
      <c r="AC336">
        <v>0.5</v>
      </c>
      <c r="AD336">
        <v>0</v>
      </c>
      <c r="AE336" s="13" t="s">
        <v>61</v>
      </c>
    </row>
    <row r="337" spans="1:31" x14ac:dyDescent="0.35">
      <c r="A337" s="13" t="s">
        <v>725</v>
      </c>
      <c r="B337" s="13" t="s">
        <v>726</v>
      </c>
      <c r="C337" s="13" t="s">
        <v>727</v>
      </c>
      <c r="D337" s="13" t="s">
        <v>104</v>
      </c>
      <c r="E337" s="13" t="s">
        <v>65</v>
      </c>
      <c r="F337" s="13" t="s">
        <v>66</v>
      </c>
      <c r="G337" s="13" t="s">
        <v>55</v>
      </c>
      <c r="H337">
        <v>100000</v>
      </c>
      <c r="I337" s="13" t="s">
        <v>105</v>
      </c>
      <c r="J337" s="13" t="s">
        <v>106</v>
      </c>
      <c r="K337" s="13" t="s">
        <v>107</v>
      </c>
      <c r="L337" s="13" t="s">
        <v>95</v>
      </c>
      <c r="M337">
        <v>30</v>
      </c>
      <c r="N337">
        <v>0</v>
      </c>
      <c r="O337" s="14">
        <v>45946</v>
      </c>
      <c r="P337" s="14">
        <v>45976</v>
      </c>
      <c r="Q337">
        <v>1007.58</v>
      </c>
      <c r="R337">
        <v>604.54999999999995</v>
      </c>
      <c r="S337">
        <v>0</v>
      </c>
      <c r="T337">
        <v>0</v>
      </c>
      <c r="U337">
        <v>0</v>
      </c>
      <c r="V337">
        <v>403.03</v>
      </c>
      <c r="W337">
        <v>0</v>
      </c>
      <c r="X337">
        <v>1</v>
      </c>
      <c r="Y337">
        <v>1</v>
      </c>
      <c r="Z337">
        <v>46</v>
      </c>
      <c r="AA337">
        <v>3</v>
      </c>
      <c r="AB337" s="13" t="s">
        <v>369</v>
      </c>
      <c r="AC337">
        <v>0.5</v>
      </c>
      <c r="AD337">
        <v>0</v>
      </c>
      <c r="AE337" s="13" t="s">
        <v>61</v>
      </c>
    </row>
    <row r="338" spans="1:31" x14ac:dyDescent="0.35">
      <c r="A338" s="13" t="s">
        <v>728</v>
      </c>
      <c r="B338" s="13" t="s">
        <v>403</v>
      </c>
      <c r="C338" s="13" t="s">
        <v>404</v>
      </c>
      <c r="D338" s="13" t="s">
        <v>126</v>
      </c>
      <c r="E338" s="13" t="s">
        <v>77</v>
      </c>
      <c r="F338" s="13" t="s">
        <v>78</v>
      </c>
      <c r="G338" s="13" t="s">
        <v>67</v>
      </c>
      <c r="H338">
        <v>170000</v>
      </c>
      <c r="I338" s="13" t="s">
        <v>56</v>
      </c>
      <c r="J338" s="13" t="s">
        <v>57</v>
      </c>
      <c r="K338" s="13" t="s">
        <v>58</v>
      </c>
      <c r="L338" s="13" t="s">
        <v>368</v>
      </c>
      <c r="M338">
        <v>90</v>
      </c>
      <c r="N338">
        <v>0</v>
      </c>
      <c r="O338" s="14">
        <v>45946</v>
      </c>
      <c r="P338" s="14">
        <v>46036</v>
      </c>
      <c r="Q338">
        <v>1831.15</v>
      </c>
      <c r="R338">
        <v>0</v>
      </c>
      <c r="S338">
        <v>0</v>
      </c>
      <c r="T338">
        <v>0</v>
      </c>
      <c r="U338">
        <v>0</v>
      </c>
      <c r="V338">
        <v>1831.15</v>
      </c>
      <c r="W338">
        <v>0</v>
      </c>
      <c r="X338">
        <v>1</v>
      </c>
      <c r="Y338">
        <v>0</v>
      </c>
      <c r="Z338">
        <v>-14</v>
      </c>
      <c r="AA338">
        <v>1</v>
      </c>
      <c r="AB338" s="13" t="s">
        <v>581</v>
      </c>
      <c r="AC338">
        <v>0</v>
      </c>
      <c r="AD338">
        <v>0</v>
      </c>
      <c r="AE338" s="13" t="s">
        <v>61</v>
      </c>
    </row>
    <row r="339" spans="1:31" x14ac:dyDescent="0.35">
      <c r="A339" s="13" t="s">
        <v>729</v>
      </c>
      <c r="B339" s="13" t="s">
        <v>730</v>
      </c>
      <c r="C339" s="13" t="s">
        <v>731</v>
      </c>
      <c r="D339" s="13" t="s">
        <v>126</v>
      </c>
      <c r="E339" s="13" t="s">
        <v>53</v>
      </c>
      <c r="F339" s="13" t="s">
        <v>135</v>
      </c>
      <c r="G339" s="13" t="s">
        <v>67</v>
      </c>
      <c r="H339">
        <v>70000</v>
      </c>
      <c r="I339" s="13" t="s">
        <v>105</v>
      </c>
      <c r="J339" s="13" t="s">
        <v>106</v>
      </c>
      <c r="K339" s="13" t="s">
        <v>107</v>
      </c>
      <c r="L339" s="13" t="s">
        <v>88</v>
      </c>
      <c r="M339">
        <v>60</v>
      </c>
      <c r="N339">
        <v>0</v>
      </c>
      <c r="O339" s="14">
        <v>45946</v>
      </c>
      <c r="P339" s="14">
        <v>46006</v>
      </c>
      <c r="Q339">
        <v>6310.56</v>
      </c>
      <c r="R339">
        <v>0</v>
      </c>
      <c r="S339">
        <v>0</v>
      </c>
      <c r="T339">
        <v>820.37</v>
      </c>
      <c r="U339">
        <v>0</v>
      </c>
      <c r="V339">
        <v>5490.19</v>
      </c>
      <c r="W339">
        <v>0</v>
      </c>
      <c r="X339">
        <v>1</v>
      </c>
      <c r="Y339">
        <v>1</v>
      </c>
      <c r="Z339">
        <v>16</v>
      </c>
      <c r="AA339">
        <v>2</v>
      </c>
      <c r="AB339" s="13" t="s">
        <v>405</v>
      </c>
      <c r="AC339">
        <v>0.25</v>
      </c>
      <c r="AD339">
        <v>0</v>
      </c>
      <c r="AE339" s="13" t="s">
        <v>377</v>
      </c>
    </row>
    <row r="340" spans="1:31" x14ac:dyDescent="0.35">
      <c r="A340" s="13" t="s">
        <v>732</v>
      </c>
      <c r="B340" s="13" t="s">
        <v>430</v>
      </c>
      <c r="C340" s="13" t="s">
        <v>431</v>
      </c>
      <c r="D340" s="13" t="s">
        <v>126</v>
      </c>
      <c r="E340" s="13" t="s">
        <v>77</v>
      </c>
      <c r="F340" s="13" t="s">
        <v>174</v>
      </c>
      <c r="G340" s="13" t="s">
        <v>67</v>
      </c>
      <c r="H340">
        <v>195000</v>
      </c>
      <c r="I340" s="13" t="s">
        <v>56</v>
      </c>
      <c r="J340" s="13" t="s">
        <v>57</v>
      </c>
      <c r="K340" s="13" t="s">
        <v>58</v>
      </c>
      <c r="L340" s="13" t="s">
        <v>368</v>
      </c>
      <c r="M340">
        <v>90</v>
      </c>
      <c r="N340">
        <v>0</v>
      </c>
      <c r="O340" s="14">
        <v>45946</v>
      </c>
      <c r="P340" s="14">
        <v>46036</v>
      </c>
      <c r="Q340">
        <v>5996.19</v>
      </c>
      <c r="R340">
        <v>0</v>
      </c>
      <c r="S340">
        <v>0</v>
      </c>
      <c r="T340">
        <v>0</v>
      </c>
      <c r="U340">
        <v>0</v>
      </c>
      <c r="V340">
        <v>5996.19</v>
      </c>
      <c r="W340">
        <v>0</v>
      </c>
      <c r="X340">
        <v>1</v>
      </c>
      <c r="Y340">
        <v>0</v>
      </c>
      <c r="Z340">
        <v>-14</v>
      </c>
      <c r="AA340">
        <v>1</v>
      </c>
      <c r="AB340" s="13" t="s">
        <v>581</v>
      </c>
      <c r="AC340">
        <v>0</v>
      </c>
      <c r="AD340">
        <v>0</v>
      </c>
      <c r="AE340" s="13" t="s">
        <v>61</v>
      </c>
    </row>
    <row r="341" spans="1:31" x14ac:dyDescent="0.35">
      <c r="A341" s="13" t="s">
        <v>733</v>
      </c>
      <c r="B341" s="13" t="s">
        <v>379</v>
      </c>
      <c r="C341" s="13" t="s">
        <v>380</v>
      </c>
      <c r="D341" s="13" t="s">
        <v>52</v>
      </c>
      <c r="E341" s="13" t="s">
        <v>77</v>
      </c>
      <c r="F341" s="13" t="s">
        <v>78</v>
      </c>
      <c r="G341" s="13" t="s">
        <v>92</v>
      </c>
      <c r="H341">
        <v>450000</v>
      </c>
      <c r="I341" s="13" t="s">
        <v>56</v>
      </c>
      <c r="J341" s="13" t="s">
        <v>57</v>
      </c>
      <c r="K341" s="13" t="s">
        <v>58</v>
      </c>
      <c r="L341" s="13" t="s">
        <v>59</v>
      </c>
      <c r="M341">
        <v>45</v>
      </c>
      <c r="N341">
        <v>0</v>
      </c>
      <c r="O341" s="14">
        <v>45946</v>
      </c>
      <c r="P341" s="14">
        <v>45991</v>
      </c>
      <c r="Q341">
        <v>1883.9</v>
      </c>
      <c r="R341">
        <v>0</v>
      </c>
      <c r="S341">
        <v>0</v>
      </c>
      <c r="T341">
        <v>0</v>
      </c>
      <c r="U341">
        <v>0</v>
      </c>
      <c r="V341">
        <v>1883.9</v>
      </c>
      <c r="W341">
        <v>0</v>
      </c>
      <c r="X341">
        <v>1</v>
      </c>
      <c r="Y341">
        <v>1</v>
      </c>
      <c r="Z341">
        <v>31</v>
      </c>
      <c r="AA341">
        <v>3</v>
      </c>
      <c r="AB341" s="13" t="s">
        <v>369</v>
      </c>
      <c r="AC341">
        <v>0.5</v>
      </c>
      <c r="AD341">
        <v>0</v>
      </c>
      <c r="AE341" s="13" t="s">
        <v>61</v>
      </c>
    </row>
    <row r="342" spans="1:31" x14ac:dyDescent="0.35">
      <c r="A342" s="13" t="s">
        <v>734</v>
      </c>
      <c r="B342" s="13" t="s">
        <v>550</v>
      </c>
      <c r="C342" s="13" t="s">
        <v>551</v>
      </c>
      <c r="D342" s="13" t="s">
        <v>104</v>
      </c>
      <c r="E342" s="13" t="s">
        <v>71</v>
      </c>
      <c r="F342" s="13" t="s">
        <v>214</v>
      </c>
      <c r="G342" s="13" t="s">
        <v>55</v>
      </c>
      <c r="H342">
        <v>110000</v>
      </c>
      <c r="I342" s="13" t="s">
        <v>121</v>
      </c>
      <c r="J342" s="13" t="s">
        <v>122</v>
      </c>
      <c r="K342" s="13" t="s">
        <v>107</v>
      </c>
      <c r="L342" s="13" t="s">
        <v>88</v>
      </c>
      <c r="M342">
        <v>60</v>
      </c>
      <c r="N342">
        <v>0</v>
      </c>
      <c r="O342" s="14">
        <v>45946</v>
      </c>
      <c r="P342" s="14">
        <v>46006</v>
      </c>
      <c r="Q342">
        <v>1027.21</v>
      </c>
      <c r="R342">
        <v>616.33000000000004</v>
      </c>
      <c r="S342">
        <v>0</v>
      </c>
      <c r="T342">
        <v>0</v>
      </c>
      <c r="U342">
        <v>0</v>
      </c>
      <c r="V342">
        <v>410.88</v>
      </c>
      <c r="W342">
        <v>0</v>
      </c>
      <c r="X342">
        <v>1</v>
      </c>
      <c r="Y342">
        <v>1</v>
      </c>
      <c r="Z342">
        <v>16</v>
      </c>
      <c r="AA342">
        <v>2</v>
      </c>
      <c r="AB342" s="13" t="s">
        <v>405</v>
      </c>
      <c r="AC342">
        <v>0.25</v>
      </c>
      <c r="AD342">
        <v>0</v>
      </c>
      <c r="AE342" s="13" t="s">
        <v>61</v>
      </c>
    </row>
    <row r="343" spans="1:31" x14ac:dyDescent="0.35">
      <c r="A343" s="13" t="s">
        <v>735</v>
      </c>
      <c r="B343" s="13" t="s">
        <v>452</v>
      </c>
      <c r="C343" s="13" t="s">
        <v>453</v>
      </c>
      <c r="D343" s="13" t="s">
        <v>126</v>
      </c>
      <c r="E343" s="13" t="s">
        <v>71</v>
      </c>
      <c r="F343" s="13" t="s">
        <v>214</v>
      </c>
      <c r="G343" s="13" t="s">
        <v>67</v>
      </c>
      <c r="H343">
        <v>110000</v>
      </c>
      <c r="I343" s="13" t="s">
        <v>121</v>
      </c>
      <c r="J343" s="13" t="s">
        <v>122</v>
      </c>
      <c r="K343" s="13" t="s">
        <v>107</v>
      </c>
      <c r="L343" s="13" t="s">
        <v>368</v>
      </c>
      <c r="M343">
        <v>90</v>
      </c>
      <c r="N343">
        <v>0</v>
      </c>
      <c r="O343" s="14">
        <v>45947</v>
      </c>
      <c r="P343" s="14">
        <v>46037</v>
      </c>
      <c r="Q343">
        <v>9711.14</v>
      </c>
      <c r="R343">
        <v>0</v>
      </c>
      <c r="S343">
        <v>0</v>
      </c>
      <c r="T343">
        <v>0</v>
      </c>
      <c r="U343">
        <v>0</v>
      </c>
      <c r="V343">
        <v>9711.14</v>
      </c>
      <c r="W343">
        <v>0</v>
      </c>
      <c r="X343">
        <v>1</v>
      </c>
      <c r="Y343">
        <v>0</v>
      </c>
      <c r="Z343">
        <v>-15</v>
      </c>
      <c r="AA343">
        <v>1</v>
      </c>
      <c r="AB343" s="13" t="s">
        <v>581</v>
      </c>
      <c r="AC343">
        <v>0</v>
      </c>
      <c r="AD343">
        <v>0</v>
      </c>
      <c r="AE343" s="13" t="s">
        <v>61</v>
      </c>
    </row>
    <row r="344" spans="1:31" x14ac:dyDescent="0.35">
      <c r="A344" s="13" t="s">
        <v>736</v>
      </c>
      <c r="B344" s="13" t="s">
        <v>312</v>
      </c>
      <c r="C344" s="13" t="s">
        <v>313</v>
      </c>
      <c r="D344" s="13" t="s">
        <v>52</v>
      </c>
      <c r="E344" s="13" t="s">
        <v>77</v>
      </c>
      <c r="F344" s="13" t="s">
        <v>174</v>
      </c>
      <c r="G344" s="13" t="s">
        <v>55</v>
      </c>
      <c r="H344">
        <v>600000</v>
      </c>
      <c r="I344" s="13" t="s">
        <v>56</v>
      </c>
      <c r="J344" s="13" t="s">
        <v>57</v>
      </c>
      <c r="K344" s="13" t="s">
        <v>58</v>
      </c>
      <c r="L344" s="13" t="s">
        <v>88</v>
      </c>
      <c r="M344">
        <v>60</v>
      </c>
      <c r="N344">
        <v>0</v>
      </c>
      <c r="O344" s="14">
        <v>45947</v>
      </c>
      <c r="P344" s="14">
        <v>46007</v>
      </c>
      <c r="Q344">
        <v>14982.41</v>
      </c>
      <c r="R344">
        <v>0</v>
      </c>
      <c r="S344">
        <v>0</v>
      </c>
      <c r="T344">
        <v>0</v>
      </c>
      <c r="U344">
        <v>0</v>
      </c>
      <c r="V344">
        <v>14982.41</v>
      </c>
      <c r="W344">
        <v>0</v>
      </c>
      <c r="X344">
        <v>1</v>
      </c>
      <c r="Y344">
        <v>1</v>
      </c>
      <c r="Z344">
        <v>15</v>
      </c>
      <c r="AA344">
        <v>2</v>
      </c>
      <c r="AB344" s="13" t="s">
        <v>405</v>
      </c>
      <c r="AC344">
        <v>0.25</v>
      </c>
      <c r="AD344">
        <v>0</v>
      </c>
      <c r="AE344" s="13" t="s">
        <v>61</v>
      </c>
    </row>
    <row r="345" spans="1:31" x14ac:dyDescent="0.35">
      <c r="A345" s="13" t="s">
        <v>737</v>
      </c>
      <c r="B345" s="13" t="s">
        <v>558</v>
      </c>
      <c r="C345" s="13" t="s">
        <v>559</v>
      </c>
      <c r="D345" s="13" t="s">
        <v>52</v>
      </c>
      <c r="E345" s="13" t="s">
        <v>53</v>
      </c>
      <c r="F345" s="13" t="s">
        <v>54</v>
      </c>
      <c r="G345" s="13" t="s">
        <v>55</v>
      </c>
      <c r="H345">
        <v>240000</v>
      </c>
      <c r="I345" s="13" t="s">
        <v>56</v>
      </c>
      <c r="J345" s="13" t="s">
        <v>57</v>
      </c>
      <c r="K345" s="13" t="s">
        <v>58</v>
      </c>
      <c r="L345" s="13" t="s">
        <v>59</v>
      </c>
      <c r="M345">
        <v>45</v>
      </c>
      <c r="N345">
        <v>0</v>
      </c>
      <c r="O345" s="14">
        <v>45947</v>
      </c>
      <c r="P345" s="14">
        <v>45992</v>
      </c>
      <c r="Q345">
        <v>11931.47</v>
      </c>
      <c r="R345">
        <v>0</v>
      </c>
      <c r="S345">
        <v>0</v>
      </c>
      <c r="T345">
        <v>0</v>
      </c>
      <c r="U345">
        <v>0</v>
      </c>
      <c r="V345">
        <v>11931.47</v>
      </c>
      <c r="W345">
        <v>0</v>
      </c>
      <c r="X345">
        <v>1</v>
      </c>
      <c r="Y345">
        <v>1</v>
      </c>
      <c r="Z345">
        <v>30</v>
      </c>
      <c r="AA345">
        <v>2</v>
      </c>
      <c r="AB345" s="13" t="s">
        <v>405</v>
      </c>
      <c r="AC345">
        <v>0.25</v>
      </c>
      <c r="AD345">
        <v>0</v>
      </c>
      <c r="AE345" s="13" t="s">
        <v>61</v>
      </c>
    </row>
    <row r="346" spans="1:31" x14ac:dyDescent="0.35">
      <c r="A346" s="13" t="s">
        <v>738</v>
      </c>
      <c r="B346" s="13" t="s">
        <v>601</v>
      </c>
      <c r="C346" s="13" t="s">
        <v>602</v>
      </c>
      <c r="D346" s="13" t="s">
        <v>52</v>
      </c>
      <c r="E346" s="13" t="s">
        <v>53</v>
      </c>
      <c r="F346" s="13" t="s">
        <v>135</v>
      </c>
      <c r="G346" s="13" t="s">
        <v>67</v>
      </c>
      <c r="H346">
        <v>525000</v>
      </c>
      <c r="I346" s="13" t="s">
        <v>86</v>
      </c>
      <c r="J346" s="13" t="s">
        <v>87</v>
      </c>
      <c r="K346" s="13" t="s">
        <v>58</v>
      </c>
      <c r="L346" s="13" t="s">
        <v>59</v>
      </c>
      <c r="M346">
        <v>45</v>
      </c>
      <c r="N346">
        <v>0</v>
      </c>
      <c r="O346" s="14">
        <v>45947</v>
      </c>
      <c r="P346" s="14">
        <v>45992</v>
      </c>
      <c r="Q346">
        <v>12695.1</v>
      </c>
      <c r="R346">
        <v>0</v>
      </c>
      <c r="S346">
        <v>0</v>
      </c>
      <c r="T346">
        <v>0</v>
      </c>
      <c r="U346">
        <v>0</v>
      </c>
      <c r="V346">
        <v>12695.1</v>
      </c>
      <c r="W346">
        <v>0</v>
      </c>
      <c r="X346">
        <v>1</v>
      </c>
      <c r="Y346">
        <v>1</v>
      </c>
      <c r="Z346">
        <v>30</v>
      </c>
      <c r="AA346">
        <v>2</v>
      </c>
      <c r="AB346" s="13" t="s">
        <v>405</v>
      </c>
      <c r="AC346">
        <v>0.25</v>
      </c>
      <c r="AD346">
        <v>1</v>
      </c>
      <c r="AE346" s="13" t="s">
        <v>665</v>
      </c>
    </row>
    <row r="347" spans="1:31" x14ac:dyDescent="0.35">
      <c r="A347" s="13" t="s">
        <v>739</v>
      </c>
      <c r="B347" s="13" t="s">
        <v>610</v>
      </c>
      <c r="C347" s="13" t="s">
        <v>611</v>
      </c>
      <c r="D347" s="13" t="s">
        <v>126</v>
      </c>
      <c r="E347" s="13" t="s">
        <v>65</v>
      </c>
      <c r="F347" s="13" t="s">
        <v>111</v>
      </c>
      <c r="G347" s="13" t="s">
        <v>67</v>
      </c>
      <c r="H347">
        <v>85000</v>
      </c>
      <c r="I347" s="13" t="s">
        <v>121</v>
      </c>
      <c r="J347" s="13" t="s">
        <v>122</v>
      </c>
      <c r="K347" s="13" t="s">
        <v>107</v>
      </c>
      <c r="L347" s="13" t="s">
        <v>88</v>
      </c>
      <c r="M347">
        <v>60</v>
      </c>
      <c r="N347">
        <v>0</v>
      </c>
      <c r="O347" s="14">
        <v>45947</v>
      </c>
      <c r="P347" s="14">
        <v>46007</v>
      </c>
      <c r="Q347">
        <v>1904.44</v>
      </c>
      <c r="R347">
        <v>0</v>
      </c>
      <c r="S347">
        <v>0</v>
      </c>
      <c r="T347">
        <v>0</v>
      </c>
      <c r="U347">
        <v>0</v>
      </c>
      <c r="V347">
        <v>1904.44</v>
      </c>
      <c r="W347">
        <v>0</v>
      </c>
      <c r="X347">
        <v>1</v>
      </c>
      <c r="Y347">
        <v>1</v>
      </c>
      <c r="Z347">
        <v>15</v>
      </c>
      <c r="AA347">
        <v>2</v>
      </c>
      <c r="AB347" s="13" t="s">
        <v>405</v>
      </c>
      <c r="AC347">
        <v>0.25</v>
      </c>
      <c r="AD347">
        <v>0</v>
      </c>
      <c r="AE347" s="13" t="s">
        <v>61</v>
      </c>
    </row>
    <row r="348" spans="1:31" x14ac:dyDescent="0.35">
      <c r="A348" s="13" t="s">
        <v>740</v>
      </c>
      <c r="B348" s="13" t="s">
        <v>561</v>
      </c>
      <c r="C348" s="13" t="s">
        <v>562</v>
      </c>
      <c r="D348" s="13" t="s">
        <v>126</v>
      </c>
      <c r="E348" s="13" t="s">
        <v>53</v>
      </c>
      <c r="F348" s="13" t="s">
        <v>135</v>
      </c>
      <c r="G348" s="13" t="s">
        <v>67</v>
      </c>
      <c r="H348">
        <v>155000</v>
      </c>
      <c r="I348" s="13" t="s">
        <v>86</v>
      </c>
      <c r="J348" s="13" t="s">
        <v>87</v>
      </c>
      <c r="K348" s="13" t="s">
        <v>58</v>
      </c>
      <c r="L348" s="13" t="s">
        <v>368</v>
      </c>
      <c r="M348">
        <v>90</v>
      </c>
      <c r="N348">
        <v>0</v>
      </c>
      <c r="O348" s="14">
        <v>45947</v>
      </c>
      <c r="P348" s="14">
        <v>46037</v>
      </c>
      <c r="Q348">
        <v>2857.29</v>
      </c>
      <c r="R348">
        <v>0</v>
      </c>
      <c r="S348">
        <v>0</v>
      </c>
      <c r="T348">
        <v>0</v>
      </c>
      <c r="U348">
        <v>0</v>
      </c>
      <c r="V348">
        <v>2857.29</v>
      </c>
      <c r="W348">
        <v>0</v>
      </c>
      <c r="X348">
        <v>1</v>
      </c>
      <c r="Y348">
        <v>0</v>
      </c>
      <c r="Z348">
        <v>-15</v>
      </c>
      <c r="AA348">
        <v>1</v>
      </c>
      <c r="AB348" s="13" t="s">
        <v>581</v>
      </c>
      <c r="AC348">
        <v>0</v>
      </c>
      <c r="AD348">
        <v>0</v>
      </c>
      <c r="AE348" s="13" t="s">
        <v>61</v>
      </c>
    </row>
    <row r="349" spans="1:31" x14ac:dyDescent="0.35">
      <c r="A349" s="13" t="s">
        <v>741</v>
      </c>
      <c r="B349" s="13" t="s">
        <v>296</v>
      </c>
      <c r="C349" s="13" t="s">
        <v>297</v>
      </c>
      <c r="D349" s="13" t="s">
        <v>104</v>
      </c>
      <c r="E349" s="13" t="s">
        <v>65</v>
      </c>
      <c r="F349" s="13" t="s">
        <v>111</v>
      </c>
      <c r="G349" s="13" t="s">
        <v>92</v>
      </c>
      <c r="H349">
        <v>125000</v>
      </c>
      <c r="I349" s="13" t="s">
        <v>105</v>
      </c>
      <c r="J349" s="13" t="s">
        <v>106</v>
      </c>
      <c r="K349" s="13" t="s">
        <v>107</v>
      </c>
      <c r="L349" s="13" t="s">
        <v>82</v>
      </c>
      <c r="M349">
        <v>30</v>
      </c>
      <c r="N349">
        <v>2</v>
      </c>
      <c r="O349" s="14">
        <v>45947</v>
      </c>
      <c r="P349" s="14">
        <v>45977</v>
      </c>
      <c r="Q349">
        <v>859.8</v>
      </c>
      <c r="R349">
        <v>0</v>
      </c>
      <c r="S349">
        <v>0</v>
      </c>
      <c r="T349">
        <v>0</v>
      </c>
      <c r="U349">
        <v>0</v>
      </c>
      <c r="V349">
        <v>859.8</v>
      </c>
      <c r="W349">
        <v>0</v>
      </c>
      <c r="X349">
        <v>1</v>
      </c>
      <c r="Y349">
        <v>1</v>
      </c>
      <c r="Z349">
        <v>45</v>
      </c>
      <c r="AA349">
        <v>3</v>
      </c>
      <c r="AB349" s="13" t="s">
        <v>369</v>
      </c>
      <c r="AC349">
        <v>0.5</v>
      </c>
      <c r="AD349">
        <v>0</v>
      </c>
      <c r="AE349" s="13" t="s">
        <v>61</v>
      </c>
    </row>
    <row r="350" spans="1:31" x14ac:dyDescent="0.35">
      <c r="A350" s="13" t="s">
        <v>742</v>
      </c>
      <c r="B350" s="13" t="s">
        <v>659</v>
      </c>
      <c r="C350" s="13" t="s">
        <v>660</v>
      </c>
      <c r="D350" s="13" t="s">
        <v>126</v>
      </c>
      <c r="E350" s="13" t="s">
        <v>65</v>
      </c>
      <c r="F350" s="13" t="s">
        <v>66</v>
      </c>
      <c r="G350" s="13" t="s">
        <v>67</v>
      </c>
      <c r="H350">
        <v>105000</v>
      </c>
      <c r="I350" s="13" t="s">
        <v>105</v>
      </c>
      <c r="J350" s="13" t="s">
        <v>106</v>
      </c>
      <c r="K350" s="13" t="s">
        <v>107</v>
      </c>
      <c r="L350" s="13" t="s">
        <v>368</v>
      </c>
      <c r="M350">
        <v>90</v>
      </c>
      <c r="N350">
        <v>0</v>
      </c>
      <c r="O350" s="14">
        <v>45947</v>
      </c>
      <c r="P350" s="14">
        <v>46037</v>
      </c>
      <c r="Q350">
        <v>2826.36</v>
      </c>
      <c r="R350">
        <v>0</v>
      </c>
      <c r="S350">
        <v>0</v>
      </c>
      <c r="T350">
        <v>0</v>
      </c>
      <c r="U350">
        <v>0</v>
      </c>
      <c r="V350">
        <v>2826.36</v>
      </c>
      <c r="W350">
        <v>0</v>
      </c>
      <c r="X350">
        <v>1</v>
      </c>
      <c r="Y350">
        <v>0</v>
      </c>
      <c r="Z350">
        <v>-15</v>
      </c>
      <c r="AA350">
        <v>1</v>
      </c>
      <c r="AB350" s="13" t="s">
        <v>581</v>
      </c>
      <c r="AC350">
        <v>0</v>
      </c>
      <c r="AD350">
        <v>0</v>
      </c>
      <c r="AE350" s="13" t="s">
        <v>61</v>
      </c>
    </row>
    <row r="351" spans="1:31" x14ac:dyDescent="0.35">
      <c r="A351" s="13" t="s">
        <v>743</v>
      </c>
      <c r="B351" s="13" t="s">
        <v>216</v>
      </c>
      <c r="C351" s="13" t="s">
        <v>217</v>
      </c>
      <c r="D351" s="13" t="s">
        <v>52</v>
      </c>
      <c r="E351" s="13" t="s">
        <v>65</v>
      </c>
      <c r="F351" s="13" t="s">
        <v>66</v>
      </c>
      <c r="G351" s="13" t="s">
        <v>67</v>
      </c>
      <c r="H351">
        <v>515000</v>
      </c>
      <c r="I351" s="13" t="s">
        <v>86</v>
      </c>
      <c r="J351" s="13" t="s">
        <v>87</v>
      </c>
      <c r="K351" s="13" t="s">
        <v>58</v>
      </c>
      <c r="L351" s="13" t="s">
        <v>88</v>
      </c>
      <c r="M351">
        <v>60</v>
      </c>
      <c r="N351">
        <v>0</v>
      </c>
      <c r="O351" s="14">
        <v>45950</v>
      </c>
      <c r="P351" s="14">
        <v>46010</v>
      </c>
      <c r="Q351">
        <v>1703.55</v>
      </c>
      <c r="R351">
        <v>0</v>
      </c>
      <c r="S351">
        <v>0</v>
      </c>
      <c r="T351">
        <v>0</v>
      </c>
      <c r="U351">
        <v>0</v>
      </c>
      <c r="V351">
        <v>1703.55</v>
      </c>
      <c r="W351">
        <v>0</v>
      </c>
      <c r="X351">
        <v>1</v>
      </c>
      <c r="Y351">
        <v>1</v>
      </c>
      <c r="Z351">
        <v>12</v>
      </c>
      <c r="AA351">
        <v>2</v>
      </c>
      <c r="AB351" s="13" t="s">
        <v>405</v>
      </c>
      <c r="AC351">
        <v>0.25</v>
      </c>
      <c r="AD351">
        <v>0</v>
      </c>
      <c r="AE351" s="13" t="s">
        <v>61</v>
      </c>
    </row>
    <row r="352" spans="1:31" x14ac:dyDescent="0.35">
      <c r="A352" s="13" t="s">
        <v>744</v>
      </c>
      <c r="B352" s="13" t="s">
        <v>137</v>
      </c>
      <c r="C352" s="13" t="s">
        <v>138</v>
      </c>
      <c r="D352" s="13" t="s">
        <v>52</v>
      </c>
      <c r="E352" s="13" t="s">
        <v>53</v>
      </c>
      <c r="F352" s="13" t="s">
        <v>135</v>
      </c>
      <c r="G352" s="13" t="s">
        <v>92</v>
      </c>
      <c r="H352">
        <v>355000</v>
      </c>
      <c r="I352" s="13" t="s">
        <v>56</v>
      </c>
      <c r="J352" s="13" t="s">
        <v>57</v>
      </c>
      <c r="K352" s="13" t="s">
        <v>58</v>
      </c>
      <c r="L352" s="13" t="s">
        <v>88</v>
      </c>
      <c r="M352">
        <v>60</v>
      </c>
      <c r="N352">
        <v>0</v>
      </c>
      <c r="O352" s="14">
        <v>45950</v>
      </c>
      <c r="P352" s="14">
        <v>46010</v>
      </c>
      <c r="Q352">
        <v>6169.13</v>
      </c>
      <c r="R352">
        <v>0</v>
      </c>
      <c r="S352">
        <v>0</v>
      </c>
      <c r="T352">
        <v>0</v>
      </c>
      <c r="U352">
        <v>0</v>
      </c>
      <c r="V352">
        <v>6169.13</v>
      </c>
      <c r="W352">
        <v>0</v>
      </c>
      <c r="X352">
        <v>1</v>
      </c>
      <c r="Y352">
        <v>1</v>
      </c>
      <c r="Z352">
        <v>12</v>
      </c>
      <c r="AA352">
        <v>2</v>
      </c>
      <c r="AB352" s="13" t="s">
        <v>405</v>
      </c>
      <c r="AC352">
        <v>0.25</v>
      </c>
      <c r="AD352">
        <v>0</v>
      </c>
      <c r="AE352" s="13" t="s">
        <v>61</v>
      </c>
    </row>
    <row r="353" spans="1:31" x14ac:dyDescent="0.35">
      <c r="A353" s="13" t="s">
        <v>745</v>
      </c>
      <c r="B353" s="13" t="s">
        <v>746</v>
      </c>
      <c r="C353" s="13" t="s">
        <v>747</v>
      </c>
      <c r="D353" s="13" t="s">
        <v>126</v>
      </c>
      <c r="E353" s="13" t="s">
        <v>99</v>
      </c>
      <c r="F353" s="13" t="s">
        <v>100</v>
      </c>
      <c r="G353" s="13" t="s">
        <v>67</v>
      </c>
      <c r="H353">
        <v>80000</v>
      </c>
      <c r="I353" s="13" t="s">
        <v>121</v>
      </c>
      <c r="J353" s="13" t="s">
        <v>122</v>
      </c>
      <c r="K353" s="13" t="s">
        <v>107</v>
      </c>
      <c r="L353" s="13" t="s">
        <v>88</v>
      </c>
      <c r="M353">
        <v>60</v>
      </c>
      <c r="N353">
        <v>0</v>
      </c>
      <c r="O353" s="14">
        <v>45950</v>
      </c>
      <c r="P353" s="14">
        <v>46010</v>
      </c>
      <c r="Q353">
        <v>1416.5</v>
      </c>
      <c r="R353">
        <v>0</v>
      </c>
      <c r="S353">
        <v>0</v>
      </c>
      <c r="T353">
        <v>0</v>
      </c>
      <c r="U353">
        <v>0</v>
      </c>
      <c r="V353">
        <v>1416.5</v>
      </c>
      <c r="W353">
        <v>0</v>
      </c>
      <c r="X353">
        <v>1</v>
      </c>
      <c r="Y353">
        <v>1</v>
      </c>
      <c r="Z353">
        <v>12</v>
      </c>
      <c r="AA353">
        <v>2</v>
      </c>
      <c r="AB353" s="13" t="s">
        <v>405</v>
      </c>
      <c r="AC353">
        <v>0.25</v>
      </c>
      <c r="AD353">
        <v>0</v>
      </c>
      <c r="AE353" s="13" t="s">
        <v>61</v>
      </c>
    </row>
    <row r="354" spans="1:31" x14ac:dyDescent="0.35">
      <c r="A354" s="13" t="s">
        <v>748</v>
      </c>
      <c r="B354" s="13" t="s">
        <v>749</v>
      </c>
      <c r="C354" s="13" t="s">
        <v>750</v>
      </c>
      <c r="D354" s="13" t="s">
        <v>76</v>
      </c>
      <c r="E354" s="13" t="s">
        <v>53</v>
      </c>
      <c r="F354" s="13" t="s">
        <v>54</v>
      </c>
      <c r="G354" s="13" t="s">
        <v>67</v>
      </c>
      <c r="H354">
        <v>65000</v>
      </c>
      <c r="I354" s="13" t="s">
        <v>79</v>
      </c>
      <c r="J354" s="13" t="s">
        <v>80</v>
      </c>
      <c r="K354" s="13" t="s">
        <v>81</v>
      </c>
      <c r="L354" s="13" t="s">
        <v>82</v>
      </c>
      <c r="M354">
        <v>30</v>
      </c>
      <c r="N354">
        <v>2</v>
      </c>
      <c r="O354" s="14">
        <v>45950</v>
      </c>
      <c r="P354" s="14">
        <v>45980</v>
      </c>
      <c r="Q354">
        <v>1871.17</v>
      </c>
      <c r="R354">
        <v>1122.7</v>
      </c>
      <c r="S354">
        <v>0</v>
      </c>
      <c r="T354">
        <v>0</v>
      </c>
      <c r="U354">
        <v>0</v>
      </c>
      <c r="V354">
        <v>748.47</v>
      </c>
      <c r="W354">
        <v>0</v>
      </c>
      <c r="X354">
        <v>1</v>
      </c>
      <c r="Y354">
        <v>1</v>
      </c>
      <c r="Z354">
        <v>42</v>
      </c>
      <c r="AA354">
        <v>3</v>
      </c>
      <c r="AB354" s="13" t="s">
        <v>369</v>
      </c>
      <c r="AC354">
        <v>0.5</v>
      </c>
      <c r="AD354">
        <v>0</v>
      </c>
      <c r="AE354" s="13" t="s">
        <v>61</v>
      </c>
    </row>
    <row r="355" spans="1:31" x14ac:dyDescent="0.35">
      <c r="A355" s="13" t="s">
        <v>751</v>
      </c>
      <c r="B355" s="13" t="s">
        <v>403</v>
      </c>
      <c r="C355" s="13" t="s">
        <v>404</v>
      </c>
      <c r="D355" s="13" t="s">
        <v>126</v>
      </c>
      <c r="E355" s="13" t="s">
        <v>77</v>
      </c>
      <c r="F355" s="13" t="s">
        <v>78</v>
      </c>
      <c r="G355" s="13" t="s">
        <v>67</v>
      </c>
      <c r="H355">
        <v>170000</v>
      </c>
      <c r="I355" s="13" t="s">
        <v>56</v>
      </c>
      <c r="J355" s="13" t="s">
        <v>57</v>
      </c>
      <c r="K355" s="13" t="s">
        <v>58</v>
      </c>
      <c r="L355" s="13" t="s">
        <v>368</v>
      </c>
      <c r="M355">
        <v>90</v>
      </c>
      <c r="N355">
        <v>0</v>
      </c>
      <c r="O355" s="14">
        <v>45950</v>
      </c>
      <c r="P355" s="14">
        <v>46040</v>
      </c>
      <c r="Q355">
        <v>1282.3699999999999</v>
      </c>
      <c r="R355">
        <v>0</v>
      </c>
      <c r="S355">
        <v>0</v>
      </c>
      <c r="T355">
        <v>0</v>
      </c>
      <c r="U355">
        <v>0</v>
      </c>
      <c r="V355">
        <v>1282.3699999999999</v>
      </c>
      <c r="W355">
        <v>0</v>
      </c>
      <c r="X355">
        <v>1</v>
      </c>
      <c r="Y355">
        <v>0</v>
      </c>
      <c r="Z355">
        <v>-18</v>
      </c>
      <c r="AA355">
        <v>1</v>
      </c>
      <c r="AB355" s="13" t="s">
        <v>581</v>
      </c>
      <c r="AC355">
        <v>0</v>
      </c>
      <c r="AD355">
        <v>0</v>
      </c>
      <c r="AE355" s="13" t="s">
        <v>61</v>
      </c>
    </row>
    <row r="356" spans="1:31" x14ac:dyDescent="0.35">
      <c r="A356" s="13" t="s">
        <v>752</v>
      </c>
      <c r="B356" s="13" t="s">
        <v>659</v>
      </c>
      <c r="C356" s="13" t="s">
        <v>660</v>
      </c>
      <c r="D356" s="13" t="s">
        <v>126</v>
      </c>
      <c r="E356" s="13" t="s">
        <v>65</v>
      </c>
      <c r="F356" s="13" t="s">
        <v>66</v>
      </c>
      <c r="G356" s="13" t="s">
        <v>67</v>
      </c>
      <c r="H356">
        <v>105000</v>
      </c>
      <c r="I356" s="13" t="s">
        <v>105</v>
      </c>
      <c r="J356" s="13" t="s">
        <v>106</v>
      </c>
      <c r="K356" s="13" t="s">
        <v>107</v>
      </c>
      <c r="L356" s="13" t="s">
        <v>368</v>
      </c>
      <c r="M356">
        <v>90</v>
      </c>
      <c r="N356">
        <v>0</v>
      </c>
      <c r="O356" s="14">
        <v>45950</v>
      </c>
      <c r="P356" s="14">
        <v>46040</v>
      </c>
      <c r="Q356">
        <v>3947.16</v>
      </c>
      <c r="R356">
        <v>0</v>
      </c>
      <c r="S356">
        <v>0</v>
      </c>
      <c r="T356">
        <v>828.9</v>
      </c>
      <c r="U356">
        <v>0</v>
      </c>
      <c r="V356">
        <v>3118.26</v>
      </c>
      <c r="W356">
        <v>0</v>
      </c>
      <c r="X356">
        <v>1</v>
      </c>
      <c r="Y356">
        <v>0</v>
      </c>
      <c r="Z356">
        <v>-18</v>
      </c>
      <c r="AA356">
        <v>1</v>
      </c>
      <c r="AB356" s="13" t="s">
        <v>581</v>
      </c>
      <c r="AC356">
        <v>0</v>
      </c>
      <c r="AD356">
        <v>0</v>
      </c>
      <c r="AE356" s="13" t="s">
        <v>665</v>
      </c>
    </row>
    <row r="357" spans="1:31" x14ac:dyDescent="0.35">
      <c r="A357" s="13" t="s">
        <v>753</v>
      </c>
      <c r="B357" s="13" t="s">
        <v>711</v>
      </c>
      <c r="C357" s="13" t="s">
        <v>712</v>
      </c>
      <c r="D357" s="13" t="s">
        <v>126</v>
      </c>
      <c r="E357" s="13" t="s">
        <v>71</v>
      </c>
      <c r="F357" s="13" t="s">
        <v>72</v>
      </c>
      <c r="G357" s="13" t="s">
        <v>67</v>
      </c>
      <c r="H357">
        <v>190000</v>
      </c>
      <c r="I357" s="13" t="s">
        <v>56</v>
      </c>
      <c r="J357" s="13" t="s">
        <v>57</v>
      </c>
      <c r="K357" s="13" t="s">
        <v>58</v>
      </c>
      <c r="L357" s="13" t="s">
        <v>368</v>
      </c>
      <c r="M357">
        <v>90</v>
      </c>
      <c r="N357">
        <v>0</v>
      </c>
      <c r="O357" s="14">
        <v>45950</v>
      </c>
      <c r="P357" s="14">
        <v>46040</v>
      </c>
      <c r="Q357">
        <v>1510.17</v>
      </c>
      <c r="R357">
        <v>0</v>
      </c>
      <c r="S357">
        <v>0</v>
      </c>
      <c r="T357">
        <v>0</v>
      </c>
      <c r="U357">
        <v>0</v>
      </c>
      <c r="V357">
        <v>1510.17</v>
      </c>
      <c r="W357">
        <v>0</v>
      </c>
      <c r="X357">
        <v>1</v>
      </c>
      <c r="Y357">
        <v>0</v>
      </c>
      <c r="Z357">
        <v>-18</v>
      </c>
      <c r="AA357">
        <v>1</v>
      </c>
      <c r="AB357" s="13" t="s">
        <v>581</v>
      </c>
      <c r="AC357">
        <v>0</v>
      </c>
      <c r="AD357">
        <v>0</v>
      </c>
      <c r="AE357" s="13" t="s">
        <v>61</v>
      </c>
    </row>
    <row r="358" spans="1:31" x14ac:dyDescent="0.35">
      <c r="A358" s="13" t="s">
        <v>754</v>
      </c>
      <c r="B358" s="13" t="s">
        <v>755</v>
      </c>
      <c r="C358" s="13" t="s">
        <v>756</v>
      </c>
      <c r="D358" s="13" t="s">
        <v>126</v>
      </c>
      <c r="E358" s="13" t="s">
        <v>99</v>
      </c>
      <c r="F358" s="13" t="s">
        <v>100</v>
      </c>
      <c r="G358" s="13" t="s">
        <v>67</v>
      </c>
      <c r="H358">
        <v>80000</v>
      </c>
      <c r="I358" s="13" t="s">
        <v>121</v>
      </c>
      <c r="J358" s="13" t="s">
        <v>122</v>
      </c>
      <c r="K358" s="13" t="s">
        <v>107</v>
      </c>
      <c r="L358" s="13" t="s">
        <v>88</v>
      </c>
      <c r="M358">
        <v>60</v>
      </c>
      <c r="N358">
        <v>0</v>
      </c>
      <c r="O358" s="14">
        <v>45950</v>
      </c>
      <c r="P358" s="14">
        <v>46010</v>
      </c>
      <c r="Q358">
        <v>1700.79</v>
      </c>
      <c r="R358">
        <v>0</v>
      </c>
      <c r="S358">
        <v>0</v>
      </c>
      <c r="T358">
        <v>0</v>
      </c>
      <c r="U358">
        <v>0</v>
      </c>
      <c r="V358">
        <v>1700.79</v>
      </c>
      <c r="W358">
        <v>0</v>
      </c>
      <c r="X358">
        <v>1</v>
      </c>
      <c r="Y358">
        <v>1</v>
      </c>
      <c r="Z358">
        <v>12</v>
      </c>
      <c r="AA358">
        <v>2</v>
      </c>
      <c r="AB358" s="13" t="s">
        <v>405</v>
      </c>
      <c r="AC358">
        <v>0.25</v>
      </c>
      <c r="AD358">
        <v>0</v>
      </c>
      <c r="AE358" s="13" t="s">
        <v>61</v>
      </c>
    </row>
    <row r="359" spans="1:31" x14ac:dyDescent="0.35">
      <c r="A359" s="13" t="s">
        <v>757</v>
      </c>
      <c r="B359" s="13" t="s">
        <v>340</v>
      </c>
      <c r="C359" s="13" t="s">
        <v>341</v>
      </c>
      <c r="D359" s="13" t="s">
        <v>52</v>
      </c>
      <c r="E359" s="13" t="s">
        <v>77</v>
      </c>
      <c r="F359" s="13" t="s">
        <v>78</v>
      </c>
      <c r="G359" s="13" t="s">
        <v>92</v>
      </c>
      <c r="H359">
        <v>565000</v>
      </c>
      <c r="I359" s="13" t="s">
        <v>56</v>
      </c>
      <c r="J359" s="13" t="s">
        <v>57</v>
      </c>
      <c r="K359" s="13" t="s">
        <v>58</v>
      </c>
      <c r="L359" s="13" t="s">
        <v>59</v>
      </c>
      <c r="M359">
        <v>45</v>
      </c>
      <c r="N359">
        <v>0</v>
      </c>
      <c r="O359" s="14">
        <v>45950</v>
      </c>
      <c r="P359" s="14">
        <v>45995</v>
      </c>
      <c r="Q359">
        <v>8122.1</v>
      </c>
      <c r="R359">
        <v>0</v>
      </c>
      <c r="S359">
        <v>0</v>
      </c>
      <c r="T359">
        <v>0</v>
      </c>
      <c r="U359">
        <v>0</v>
      </c>
      <c r="V359">
        <v>8122.1</v>
      </c>
      <c r="W359">
        <v>0</v>
      </c>
      <c r="X359">
        <v>1</v>
      </c>
      <c r="Y359">
        <v>1</v>
      </c>
      <c r="Z359">
        <v>27</v>
      </c>
      <c r="AA359">
        <v>2</v>
      </c>
      <c r="AB359" s="13" t="s">
        <v>405</v>
      </c>
      <c r="AC359">
        <v>0.25</v>
      </c>
      <c r="AD359">
        <v>0</v>
      </c>
      <c r="AE359" s="13" t="s">
        <v>61</v>
      </c>
    </row>
    <row r="360" spans="1:31" x14ac:dyDescent="0.35">
      <c r="A360" s="13" t="s">
        <v>758</v>
      </c>
      <c r="B360" s="13" t="s">
        <v>263</v>
      </c>
      <c r="C360" s="13" t="s">
        <v>264</v>
      </c>
      <c r="D360" s="13" t="s">
        <v>52</v>
      </c>
      <c r="E360" s="13" t="s">
        <v>99</v>
      </c>
      <c r="F360" s="13" t="s">
        <v>100</v>
      </c>
      <c r="G360" s="13" t="s">
        <v>55</v>
      </c>
      <c r="H360">
        <v>590000</v>
      </c>
      <c r="I360" s="13" t="s">
        <v>86</v>
      </c>
      <c r="J360" s="13" t="s">
        <v>87</v>
      </c>
      <c r="K360" s="13" t="s">
        <v>58</v>
      </c>
      <c r="L360" s="13" t="s">
        <v>88</v>
      </c>
      <c r="M360">
        <v>60</v>
      </c>
      <c r="N360">
        <v>0</v>
      </c>
      <c r="O360" s="14">
        <v>45950</v>
      </c>
      <c r="P360" s="14">
        <v>46010</v>
      </c>
      <c r="Q360">
        <v>1943.29</v>
      </c>
      <c r="R360">
        <v>0</v>
      </c>
      <c r="S360">
        <v>0</v>
      </c>
      <c r="T360">
        <v>0</v>
      </c>
      <c r="U360">
        <v>0</v>
      </c>
      <c r="V360">
        <v>1943.29</v>
      </c>
      <c r="W360">
        <v>0</v>
      </c>
      <c r="X360">
        <v>1</v>
      </c>
      <c r="Y360">
        <v>1</v>
      </c>
      <c r="Z360">
        <v>12</v>
      </c>
      <c r="AA360">
        <v>2</v>
      </c>
      <c r="AB360" s="13" t="s">
        <v>405</v>
      </c>
      <c r="AC360">
        <v>0.25</v>
      </c>
      <c r="AD360">
        <v>0</v>
      </c>
      <c r="AE360" s="13" t="s">
        <v>61</v>
      </c>
    </row>
    <row r="361" spans="1:31" x14ac:dyDescent="0.35">
      <c r="A361" s="13" t="s">
        <v>759</v>
      </c>
      <c r="B361" s="13" t="s">
        <v>273</v>
      </c>
      <c r="C361" s="13" t="s">
        <v>274</v>
      </c>
      <c r="D361" s="13" t="s">
        <v>104</v>
      </c>
      <c r="E361" s="13" t="s">
        <v>71</v>
      </c>
      <c r="F361" s="13" t="s">
        <v>72</v>
      </c>
      <c r="G361" s="13" t="s">
        <v>92</v>
      </c>
      <c r="H361">
        <v>120000</v>
      </c>
      <c r="I361" s="13" t="s">
        <v>105</v>
      </c>
      <c r="J361" s="13" t="s">
        <v>106</v>
      </c>
      <c r="K361" s="13" t="s">
        <v>107</v>
      </c>
      <c r="L361" s="13" t="s">
        <v>88</v>
      </c>
      <c r="M361">
        <v>60</v>
      </c>
      <c r="N361">
        <v>0</v>
      </c>
      <c r="O361" s="14">
        <v>45951</v>
      </c>
      <c r="P361" s="14">
        <v>46011</v>
      </c>
      <c r="Q361">
        <v>3389.43</v>
      </c>
      <c r="R361">
        <v>0</v>
      </c>
      <c r="S361">
        <v>0</v>
      </c>
      <c r="T361">
        <v>0</v>
      </c>
      <c r="U361">
        <v>0</v>
      </c>
      <c r="V361">
        <v>3389.43</v>
      </c>
      <c r="W361">
        <v>0</v>
      </c>
      <c r="X361">
        <v>1</v>
      </c>
      <c r="Y361">
        <v>1</v>
      </c>
      <c r="Z361">
        <v>11</v>
      </c>
      <c r="AA361">
        <v>2</v>
      </c>
      <c r="AB361" s="13" t="s">
        <v>405</v>
      </c>
      <c r="AC361">
        <v>0.25</v>
      </c>
      <c r="AD361">
        <v>0</v>
      </c>
      <c r="AE361" s="13" t="s">
        <v>61</v>
      </c>
    </row>
    <row r="362" spans="1:31" x14ac:dyDescent="0.35">
      <c r="A362" s="13" t="s">
        <v>760</v>
      </c>
      <c r="B362" s="13" t="s">
        <v>761</v>
      </c>
      <c r="C362" s="13" t="s">
        <v>762</v>
      </c>
      <c r="D362" s="13" t="s">
        <v>52</v>
      </c>
      <c r="E362" s="13" t="s">
        <v>71</v>
      </c>
      <c r="F362" s="13" t="s">
        <v>72</v>
      </c>
      <c r="G362" s="13" t="s">
        <v>67</v>
      </c>
      <c r="H362">
        <v>340000</v>
      </c>
      <c r="I362" s="13" t="s">
        <v>86</v>
      </c>
      <c r="J362" s="13" t="s">
        <v>87</v>
      </c>
      <c r="K362" s="13" t="s">
        <v>58</v>
      </c>
      <c r="L362" s="13" t="s">
        <v>59</v>
      </c>
      <c r="M362">
        <v>45</v>
      </c>
      <c r="N362">
        <v>0</v>
      </c>
      <c r="O362" s="14">
        <v>45951</v>
      </c>
      <c r="P362" s="14">
        <v>45996</v>
      </c>
      <c r="Q362">
        <v>2429.7399999999998</v>
      </c>
      <c r="R362">
        <v>1457.84</v>
      </c>
      <c r="S362">
        <v>0</v>
      </c>
      <c r="T362">
        <v>0</v>
      </c>
      <c r="U362">
        <v>0</v>
      </c>
      <c r="V362">
        <v>971.9</v>
      </c>
      <c r="W362">
        <v>0</v>
      </c>
      <c r="X362">
        <v>1</v>
      </c>
      <c r="Y362">
        <v>1</v>
      </c>
      <c r="Z362">
        <v>26</v>
      </c>
      <c r="AA362">
        <v>2</v>
      </c>
      <c r="AB362" s="13" t="s">
        <v>405</v>
      </c>
      <c r="AC362">
        <v>0.25</v>
      </c>
      <c r="AD362">
        <v>0</v>
      </c>
      <c r="AE362" s="13" t="s">
        <v>61</v>
      </c>
    </row>
    <row r="363" spans="1:31" x14ac:dyDescent="0.35">
      <c r="A363" s="13" t="s">
        <v>763</v>
      </c>
      <c r="B363" s="13" t="s">
        <v>434</v>
      </c>
      <c r="C363" s="13" t="s">
        <v>435</v>
      </c>
      <c r="D363" s="13" t="s">
        <v>52</v>
      </c>
      <c r="E363" s="13" t="s">
        <v>77</v>
      </c>
      <c r="F363" s="13" t="s">
        <v>78</v>
      </c>
      <c r="G363" s="13" t="s">
        <v>55</v>
      </c>
      <c r="H363">
        <v>510000</v>
      </c>
      <c r="I363" s="13" t="s">
        <v>56</v>
      </c>
      <c r="J363" s="13" t="s">
        <v>57</v>
      </c>
      <c r="K363" s="13" t="s">
        <v>58</v>
      </c>
      <c r="L363" s="13" t="s">
        <v>88</v>
      </c>
      <c r="M363">
        <v>60</v>
      </c>
      <c r="N363">
        <v>0</v>
      </c>
      <c r="O363" s="14">
        <v>45951</v>
      </c>
      <c r="P363" s="14">
        <v>46011</v>
      </c>
      <c r="Q363">
        <v>14310.52</v>
      </c>
      <c r="R363">
        <v>0</v>
      </c>
      <c r="S363">
        <v>0</v>
      </c>
      <c r="T363">
        <v>0</v>
      </c>
      <c r="U363">
        <v>0</v>
      </c>
      <c r="V363">
        <v>14310.52</v>
      </c>
      <c r="W363">
        <v>0</v>
      </c>
      <c r="X363">
        <v>1</v>
      </c>
      <c r="Y363">
        <v>1</v>
      </c>
      <c r="Z363">
        <v>11</v>
      </c>
      <c r="AA363">
        <v>2</v>
      </c>
      <c r="AB363" s="13" t="s">
        <v>405</v>
      </c>
      <c r="AC363">
        <v>0.25</v>
      </c>
      <c r="AD363">
        <v>0</v>
      </c>
      <c r="AE363" s="13" t="s">
        <v>61</v>
      </c>
    </row>
    <row r="364" spans="1:31" x14ac:dyDescent="0.35">
      <c r="A364" s="13" t="s">
        <v>764</v>
      </c>
      <c r="B364" s="13" t="s">
        <v>418</v>
      </c>
      <c r="C364" s="13" t="s">
        <v>419</v>
      </c>
      <c r="D364" s="13" t="s">
        <v>52</v>
      </c>
      <c r="E364" s="13" t="s">
        <v>99</v>
      </c>
      <c r="F364" s="13" t="s">
        <v>100</v>
      </c>
      <c r="G364" s="13" t="s">
        <v>67</v>
      </c>
      <c r="H364">
        <v>535000</v>
      </c>
      <c r="I364" s="13" t="s">
        <v>86</v>
      </c>
      <c r="J364" s="13" t="s">
        <v>87</v>
      </c>
      <c r="K364" s="13" t="s">
        <v>58</v>
      </c>
      <c r="L364" s="13" t="s">
        <v>59</v>
      </c>
      <c r="M364">
        <v>45</v>
      </c>
      <c r="N364">
        <v>0</v>
      </c>
      <c r="O364" s="14">
        <v>45951</v>
      </c>
      <c r="P364" s="14">
        <v>45996</v>
      </c>
      <c r="Q364">
        <v>11780.55</v>
      </c>
      <c r="R364">
        <v>0</v>
      </c>
      <c r="S364">
        <v>0</v>
      </c>
      <c r="T364">
        <v>0</v>
      </c>
      <c r="U364">
        <v>0</v>
      </c>
      <c r="V364">
        <v>11780.55</v>
      </c>
      <c r="W364">
        <v>0</v>
      </c>
      <c r="X364">
        <v>1</v>
      </c>
      <c r="Y364">
        <v>1</v>
      </c>
      <c r="Z364">
        <v>26</v>
      </c>
      <c r="AA364">
        <v>2</v>
      </c>
      <c r="AB364" s="13" t="s">
        <v>405</v>
      </c>
      <c r="AC364">
        <v>0.25</v>
      </c>
      <c r="AD364">
        <v>0</v>
      </c>
      <c r="AE364" s="13" t="s">
        <v>61</v>
      </c>
    </row>
    <row r="365" spans="1:31" x14ac:dyDescent="0.35">
      <c r="A365" s="13" t="s">
        <v>765</v>
      </c>
      <c r="B365" s="13" t="s">
        <v>766</v>
      </c>
      <c r="C365" s="13" t="s">
        <v>767</v>
      </c>
      <c r="D365" s="13" t="s">
        <v>104</v>
      </c>
      <c r="E365" s="13" t="s">
        <v>53</v>
      </c>
      <c r="F365" s="13" t="s">
        <v>135</v>
      </c>
      <c r="G365" s="13" t="s">
        <v>92</v>
      </c>
      <c r="H365">
        <v>90000</v>
      </c>
      <c r="I365" s="13" t="s">
        <v>105</v>
      </c>
      <c r="J365" s="13" t="s">
        <v>106</v>
      </c>
      <c r="K365" s="13" t="s">
        <v>107</v>
      </c>
      <c r="L365" s="13" t="s">
        <v>88</v>
      </c>
      <c r="M365">
        <v>60</v>
      </c>
      <c r="N365">
        <v>0</v>
      </c>
      <c r="O365" s="14">
        <v>45951</v>
      </c>
      <c r="P365" s="14">
        <v>46011</v>
      </c>
      <c r="Q365">
        <v>1860.09</v>
      </c>
      <c r="R365">
        <v>0</v>
      </c>
      <c r="S365">
        <v>0</v>
      </c>
      <c r="T365">
        <v>0</v>
      </c>
      <c r="U365">
        <v>0</v>
      </c>
      <c r="V365">
        <v>1860.09</v>
      </c>
      <c r="W365">
        <v>0</v>
      </c>
      <c r="X365">
        <v>1</v>
      </c>
      <c r="Y365">
        <v>1</v>
      </c>
      <c r="Z365">
        <v>11</v>
      </c>
      <c r="AA365">
        <v>2</v>
      </c>
      <c r="AB365" s="13" t="s">
        <v>405</v>
      </c>
      <c r="AC365">
        <v>0.25</v>
      </c>
      <c r="AD365">
        <v>0</v>
      </c>
      <c r="AE365" s="13" t="s">
        <v>61</v>
      </c>
    </row>
    <row r="366" spans="1:31" x14ac:dyDescent="0.35">
      <c r="A366" s="13" t="s">
        <v>768</v>
      </c>
      <c r="B366" s="13" t="s">
        <v>124</v>
      </c>
      <c r="C366" s="13" t="s">
        <v>125</v>
      </c>
      <c r="D366" s="13" t="s">
        <v>126</v>
      </c>
      <c r="E366" s="13" t="s">
        <v>99</v>
      </c>
      <c r="F366" s="13" t="s">
        <v>127</v>
      </c>
      <c r="G366" s="13" t="s">
        <v>67</v>
      </c>
      <c r="H366">
        <v>155000</v>
      </c>
      <c r="I366" s="13" t="s">
        <v>86</v>
      </c>
      <c r="J366" s="13" t="s">
        <v>87</v>
      </c>
      <c r="K366" s="13" t="s">
        <v>58</v>
      </c>
      <c r="L366" s="13" t="s">
        <v>88</v>
      </c>
      <c r="M366">
        <v>60</v>
      </c>
      <c r="N366">
        <v>0</v>
      </c>
      <c r="O366" s="14">
        <v>45951</v>
      </c>
      <c r="P366" s="14">
        <v>46011</v>
      </c>
      <c r="Q366">
        <v>1543.72</v>
      </c>
      <c r="R366">
        <v>0</v>
      </c>
      <c r="S366">
        <v>0</v>
      </c>
      <c r="T366">
        <v>0</v>
      </c>
      <c r="U366">
        <v>0</v>
      </c>
      <c r="V366">
        <v>1543.72</v>
      </c>
      <c r="W366">
        <v>0</v>
      </c>
      <c r="X366">
        <v>1</v>
      </c>
      <c r="Y366">
        <v>1</v>
      </c>
      <c r="Z366">
        <v>11</v>
      </c>
      <c r="AA366">
        <v>2</v>
      </c>
      <c r="AB366" s="13" t="s">
        <v>405</v>
      </c>
      <c r="AC366">
        <v>0.25</v>
      </c>
      <c r="AD366">
        <v>0</v>
      </c>
      <c r="AE366" s="13" t="s">
        <v>61</v>
      </c>
    </row>
    <row r="367" spans="1:31" x14ac:dyDescent="0.35">
      <c r="A367" s="13" t="s">
        <v>769</v>
      </c>
      <c r="B367" s="13" t="s">
        <v>695</v>
      </c>
      <c r="C367" s="13" t="s">
        <v>696</v>
      </c>
      <c r="D367" s="13" t="s">
        <v>52</v>
      </c>
      <c r="E367" s="13" t="s">
        <v>53</v>
      </c>
      <c r="F367" s="13" t="s">
        <v>54</v>
      </c>
      <c r="G367" s="13" t="s">
        <v>92</v>
      </c>
      <c r="H367">
        <v>535000</v>
      </c>
      <c r="I367" s="13" t="s">
        <v>56</v>
      </c>
      <c r="J367" s="13" t="s">
        <v>57</v>
      </c>
      <c r="K367" s="13" t="s">
        <v>58</v>
      </c>
      <c r="L367" s="13" t="s">
        <v>88</v>
      </c>
      <c r="M367">
        <v>60</v>
      </c>
      <c r="N367">
        <v>0</v>
      </c>
      <c r="O367" s="14">
        <v>45951</v>
      </c>
      <c r="P367" s="14">
        <v>46011</v>
      </c>
      <c r="Q367">
        <v>11493.11</v>
      </c>
      <c r="R367">
        <v>0</v>
      </c>
      <c r="S367">
        <v>0</v>
      </c>
      <c r="T367">
        <v>0</v>
      </c>
      <c r="U367">
        <v>0</v>
      </c>
      <c r="V367">
        <v>11493.11</v>
      </c>
      <c r="W367">
        <v>0</v>
      </c>
      <c r="X367">
        <v>1</v>
      </c>
      <c r="Y367">
        <v>1</v>
      </c>
      <c r="Z367">
        <v>11</v>
      </c>
      <c r="AA367">
        <v>2</v>
      </c>
      <c r="AB367" s="13" t="s">
        <v>405</v>
      </c>
      <c r="AC367">
        <v>0.25</v>
      </c>
      <c r="AD367">
        <v>0</v>
      </c>
      <c r="AE367" s="13" t="s">
        <v>61</v>
      </c>
    </row>
    <row r="368" spans="1:31" x14ac:dyDescent="0.35">
      <c r="A368" s="13" t="s">
        <v>770</v>
      </c>
      <c r="B368" s="13" t="s">
        <v>379</v>
      </c>
      <c r="C368" s="13" t="s">
        <v>380</v>
      </c>
      <c r="D368" s="13" t="s">
        <v>52</v>
      </c>
      <c r="E368" s="13" t="s">
        <v>77</v>
      </c>
      <c r="F368" s="13" t="s">
        <v>78</v>
      </c>
      <c r="G368" s="13" t="s">
        <v>92</v>
      </c>
      <c r="H368">
        <v>450000</v>
      </c>
      <c r="I368" s="13" t="s">
        <v>56</v>
      </c>
      <c r="J368" s="13" t="s">
        <v>57</v>
      </c>
      <c r="K368" s="13" t="s">
        <v>58</v>
      </c>
      <c r="L368" s="13" t="s">
        <v>59</v>
      </c>
      <c r="M368">
        <v>45</v>
      </c>
      <c r="N368">
        <v>0</v>
      </c>
      <c r="O368" s="14">
        <v>45951</v>
      </c>
      <c r="P368" s="14">
        <v>45996</v>
      </c>
      <c r="Q368">
        <v>6323.5</v>
      </c>
      <c r="R368">
        <v>0</v>
      </c>
      <c r="S368">
        <v>0</v>
      </c>
      <c r="T368">
        <v>0</v>
      </c>
      <c r="U368">
        <v>0</v>
      </c>
      <c r="V368">
        <v>6323.5</v>
      </c>
      <c r="W368">
        <v>0</v>
      </c>
      <c r="X368">
        <v>1</v>
      </c>
      <c r="Y368">
        <v>1</v>
      </c>
      <c r="Z368">
        <v>26</v>
      </c>
      <c r="AA368">
        <v>2</v>
      </c>
      <c r="AB368" s="13" t="s">
        <v>405</v>
      </c>
      <c r="AC368">
        <v>0.25</v>
      </c>
      <c r="AD368">
        <v>0</v>
      </c>
      <c r="AE368" s="13" t="s">
        <v>61</v>
      </c>
    </row>
    <row r="369" spans="1:31" x14ac:dyDescent="0.35">
      <c r="A369" s="13" t="s">
        <v>771</v>
      </c>
      <c r="B369" s="13" t="s">
        <v>772</v>
      </c>
      <c r="C369" s="13" t="s">
        <v>773</v>
      </c>
      <c r="D369" s="13" t="s">
        <v>76</v>
      </c>
      <c r="E369" s="13" t="s">
        <v>99</v>
      </c>
      <c r="F369" s="13" t="s">
        <v>100</v>
      </c>
      <c r="G369" s="13" t="s">
        <v>55</v>
      </c>
      <c r="H369">
        <v>105000</v>
      </c>
      <c r="I369" s="13" t="s">
        <v>79</v>
      </c>
      <c r="J369" s="13" t="s">
        <v>80</v>
      </c>
      <c r="K369" s="13" t="s">
        <v>81</v>
      </c>
      <c r="L369" s="13" t="s">
        <v>82</v>
      </c>
      <c r="M369">
        <v>30</v>
      </c>
      <c r="N369">
        <v>2</v>
      </c>
      <c r="O369" s="14">
        <v>45951</v>
      </c>
      <c r="P369" s="14">
        <v>45981</v>
      </c>
      <c r="Q369">
        <v>1563.62</v>
      </c>
      <c r="R369">
        <v>0</v>
      </c>
      <c r="S369">
        <v>0</v>
      </c>
      <c r="T369">
        <v>0</v>
      </c>
      <c r="U369">
        <v>0</v>
      </c>
      <c r="V369">
        <v>1563.62</v>
      </c>
      <c r="W369">
        <v>0</v>
      </c>
      <c r="X369">
        <v>1</v>
      </c>
      <c r="Y369">
        <v>1</v>
      </c>
      <c r="Z369">
        <v>41</v>
      </c>
      <c r="AA369">
        <v>3</v>
      </c>
      <c r="AB369" s="13" t="s">
        <v>369</v>
      </c>
      <c r="AC369">
        <v>0.5</v>
      </c>
      <c r="AD369">
        <v>1</v>
      </c>
      <c r="AE369" s="13" t="s">
        <v>465</v>
      </c>
    </row>
    <row r="370" spans="1:31" x14ac:dyDescent="0.35">
      <c r="A370" s="13" t="s">
        <v>774</v>
      </c>
      <c r="B370" s="13" t="s">
        <v>636</v>
      </c>
      <c r="C370" s="13" t="s">
        <v>637</v>
      </c>
      <c r="D370" s="13" t="s">
        <v>126</v>
      </c>
      <c r="E370" s="13" t="s">
        <v>65</v>
      </c>
      <c r="F370" s="13" t="s">
        <v>111</v>
      </c>
      <c r="G370" s="13" t="s">
        <v>67</v>
      </c>
      <c r="H370">
        <v>130000</v>
      </c>
      <c r="I370" s="13" t="s">
        <v>105</v>
      </c>
      <c r="J370" s="13" t="s">
        <v>106</v>
      </c>
      <c r="K370" s="13" t="s">
        <v>107</v>
      </c>
      <c r="L370" s="13" t="s">
        <v>368</v>
      </c>
      <c r="M370">
        <v>90</v>
      </c>
      <c r="N370">
        <v>0</v>
      </c>
      <c r="O370" s="14">
        <v>45952</v>
      </c>
      <c r="P370" s="14">
        <v>46042</v>
      </c>
      <c r="Q370">
        <v>1702.85</v>
      </c>
      <c r="R370">
        <v>0</v>
      </c>
      <c r="S370">
        <v>0</v>
      </c>
      <c r="T370">
        <v>0</v>
      </c>
      <c r="U370">
        <v>0</v>
      </c>
      <c r="V370">
        <v>1702.85</v>
      </c>
      <c r="W370">
        <v>0</v>
      </c>
      <c r="X370">
        <v>1</v>
      </c>
      <c r="Y370">
        <v>0</v>
      </c>
      <c r="Z370">
        <v>-20</v>
      </c>
      <c r="AA370">
        <v>1</v>
      </c>
      <c r="AB370" s="13" t="s">
        <v>581</v>
      </c>
      <c r="AC370">
        <v>0</v>
      </c>
      <c r="AD370">
        <v>0</v>
      </c>
      <c r="AE370" s="13" t="s">
        <v>61</v>
      </c>
    </row>
    <row r="371" spans="1:31" x14ac:dyDescent="0.35">
      <c r="A371" s="13" t="s">
        <v>775</v>
      </c>
      <c r="B371" s="13" t="s">
        <v>452</v>
      </c>
      <c r="C371" s="13" t="s">
        <v>453</v>
      </c>
      <c r="D371" s="13" t="s">
        <v>126</v>
      </c>
      <c r="E371" s="13" t="s">
        <v>71</v>
      </c>
      <c r="F371" s="13" t="s">
        <v>214</v>
      </c>
      <c r="G371" s="13" t="s">
        <v>67</v>
      </c>
      <c r="H371">
        <v>110000</v>
      </c>
      <c r="I371" s="13" t="s">
        <v>121</v>
      </c>
      <c r="J371" s="13" t="s">
        <v>122</v>
      </c>
      <c r="K371" s="13" t="s">
        <v>107</v>
      </c>
      <c r="L371" s="13" t="s">
        <v>368</v>
      </c>
      <c r="M371">
        <v>90</v>
      </c>
      <c r="N371">
        <v>0</v>
      </c>
      <c r="O371" s="14">
        <v>45952</v>
      </c>
      <c r="P371" s="14">
        <v>46042</v>
      </c>
      <c r="Q371">
        <v>1054.45</v>
      </c>
      <c r="R371">
        <v>0</v>
      </c>
      <c r="S371">
        <v>0</v>
      </c>
      <c r="T371">
        <v>0</v>
      </c>
      <c r="U371">
        <v>0</v>
      </c>
      <c r="V371">
        <v>1054.45</v>
      </c>
      <c r="W371">
        <v>0</v>
      </c>
      <c r="X371">
        <v>1</v>
      </c>
      <c r="Y371">
        <v>0</v>
      </c>
      <c r="Z371">
        <v>-20</v>
      </c>
      <c r="AA371">
        <v>1</v>
      </c>
      <c r="AB371" s="13" t="s">
        <v>581</v>
      </c>
      <c r="AC371">
        <v>0</v>
      </c>
      <c r="AD371">
        <v>0</v>
      </c>
      <c r="AE371" s="13" t="s">
        <v>61</v>
      </c>
    </row>
    <row r="372" spans="1:31" x14ac:dyDescent="0.35">
      <c r="A372" s="13" t="s">
        <v>776</v>
      </c>
      <c r="B372" s="13" t="s">
        <v>418</v>
      </c>
      <c r="C372" s="13" t="s">
        <v>419</v>
      </c>
      <c r="D372" s="13" t="s">
        <v>52</v>
      </c>
      <c r="E372" s="13" t="s">
        <v>99</v>
      </c>
      <c r="F372" s="13" t="s">
        <v>100</v>
      </c>
      <c r="G372" s="13" t="s">
        <v>67</v>
      </c>
      <c r="H372">
        <v>535000</v>
      </c>
      <c r="I372" s="13" t="s">
        <v>86</v>
      </c>
      <c r="J372" s="13" t="s">
        <v>87</v>
      </c>
      <c r="K372" s="13" t="s">
        <v>58</v>
      </c>
      <c r="L372" s="13" t="s">
        <v>59</v>
      </c>
      <c r="M372">
        <v>45</v>
      </c>
      <c r="N372">
        <v>0</v>
      </c>
      <c r="O372" s="14">
        <v>45952</v>
      </c>
      <c r="P372" s="14">
        <v>45997</v>
      </c>
      <c r="Q372">
        <v>1634.5</v>
      </c>
      <c r="R372">
        <v>0</v>
      </c>
      <c r="S372">
        <v>0</v>
      </c>
      <c r="T372">
        <v>0</v>
      </c>
      <c r="U372">
        <v>0</v>
      </c>
      <c r="V372">
        <v>1634.5</v>
      </c>
      <c r="W372">
        <v>0</v>
      </c>
      <c r="X372">
        <v>1</v>
      </c>
      <c r="Y372">
        <v>1</v>
      </c>
      <c r="Z372">
        <v>25</v>
      </c>
      <c r="AA372">
        <v>2</v>
      </c>
      <c r="AB372" s="13" t="s">
        <v>405</v>
      </c>
      <c r="AC372">
        <v>0.25</v>
      </c>
      <c r="AD372">
        <v>0</v>
      </c>
      <c r="AE372" s="13" t="s">
        <v>61</v>
      </c>
    </row>
    <row r="373" spans="1:31" x14ac:dyDescent="0.35">
      <c r="A373" s="13" t="s">
        <v>777</v>
      </c>
      <c r="B373" s="13" t="s">
        <v>746</v>
      </c>
      <c r="C373" s="13" t="s">
        <v>747</v>
      </c>
      <c r="D373" s="13" t="s">
        <v>126</v>
      </c>
      <c r="E373" s="13" t="s">
        <v>99</v>
      </c>
      <c r="F373" s="13" t="s">
        <v>100</v>
      </c>
      <c r="G373" s="13" t="s">
        <v>67</v>
      </c>
      <c r="H373">
        <v>80000</v>
      </c>
      <c r="I373" s="13" t="s">
        <v>121</v>
      </c>
      <c r="J373" s="13" t="s">
        <v>122</v>
      </c>
      <c r="K373" s="13" t="s">
        <v>107</v>
      </c>
      <c r="L373" s="13" t="s">
        <v>88</v>
      </c>
      <c r="M373">
        <v>60</v>
      </c>
      <c r="N373">
        <v>0</v>
      </c>
      <c r="O373" s="14">
        <v>45952</v>
      </c>
      <c r="P373" s="14">
        <v>46012</v>
      </c>
      <c r="Q373">
        <v>2603.5100000000002</v>
      </c>
      <c r="R373">
        <v>0</v>
      </c>
      <c r="S373">
        <v>0</v>
      </c>
      <c r="T373">
        <v>0</v>
      </c>
      <c r="U373">
        <v>0</v>
      </c>
      <c r="V373">
        <v>2603.5100000000002</v>
      </c>
      <c r="W373">
        <v>0</v>
      </c>
      <c r="X373">
        <v>1</v>
      </c>
      <c r="Y373">
        <v>1</v>
      </c>
      <c r="Z373">
        <v>10</v>
      </c>
      <c r="AA373">
        <v>2</v>
      </c>
      <c r="AB373" s="13" t="s">
        <v>405</v>
      </c>
      <c r="AC373">
        <v>0.25</v>
      </c>
      <c r="AD373">
        <v>0</v>
      </c>
      <c r="AE373" s="13" t="s">
        <v>61</v>
      </c>
    </row>
    <row r="374" spans="1:31" x14ac:dyDescent="0.35">
      <c r="A374" s="13" t="s">
        <v>778</v>
      </c>
      <c r="B374" s="13" t="s">
        <v>312</v>
      </c>
      <c r="C374" s="13" t="s">
        <v>313</v>
      </c>
      <c r="D374" s="13" t="s">
        <v>52</v>
      </c>
      <c r="E374" s="13" t="s">
        <v>77</v>
      </c>
      <c r="F374" s="13" t="s">
        <v>174</v>
      </c>
      <c r="G374" s="13" t="s">
        <v>55</v>
      </c>
      <c r="H374">
        <v>600000</v>
      </c>
      <c r="I374" s="13" t="s">
        <v>56</v>
      </c>
      <c r="J374" s="13" t="s">
        <v>57</v>
      </c>
      <c r="K374" s="13" t="s">
        <v>58</v>
      </c>
      <c r="L374" s="13" t="s">
        <v>88</v>
      </c>
      <c r="M374">
        <v>60</v>
      </c>
      <c r="N374">
        <v>0</v>
      </c>
      <c r="O374" s="14">
        <v>45952</v>
      </c>
      <c r="P374" s="14">
        <v>46012</v>
      </c>
      <c r="Q374">
        <v>2641.38</v>
      </c>
      <c r="R374">
        <v>0</v>
      </c>
      <c r="S374">
        <v>0</v>
      </c>
      <c r="T374">
        <v>633.92999999999995</v>
      </c>
      <c r="U374">
        <v>0</v>
      </c>
      <c r="V374">
        <v>2007.45</v>
      </c>
      <c r="W374">
        <v>0</v>
      </c>
      <c r="X374">
        <v>1</v>
      </c>
      <c r="Y374">
        <v>1</v>
      </c>
      <c r="Z374">
        <v>10</v>
      </c>
      <c r="AA374">
        <v>2</v>
      </c>
      <c r="AB374" s="13" t="s">
        <v>405</v>
      </c>
      <c r="AC374">
        <v>0.25</v>
      </c>
      <c r="AD374">
        <v>0</v>
      </c>
      <c r="AE374" s="13" t="s">
        <v>377</v>
      </c>
    </row>
    <row r="375" spans="1:31" x14ac:dyDescent="0.35">
      <c r="A375" s="13" t="s">
        <v>779</v>
      </c>
      <c r="B375" s="13" t="s">
        <v>780</v>
      </c>
      <c r="C375" s="13" t="s">
        <v>781</v>
      </c>
      <c r="D375" s="13" t="s">
        <v>52</v>
      </c>
      <c r="E375" s="13" t="s">
        <v>77</v>
      </c>
      <c r="F375" s="13" t="s">
        <v>174</v>
      </c>
      <c r="G375" s="13" t="s">
        <v>55</v>
      </c>
      <c r="H375">
        <v>290000</v>
      </c>
      <c r="I375" s="13" t="s">
        <v>86</v>
      </c>
      <c r="J375" s="13" t="s">
        <v>87</v>
      </c>
      <c r="K375" s="13" t="s">
        <v>58</v>
      </c>
      <c r="L375" s="13" t="s">
        <v>88</v>
      </c>
      <c r="M375">
        <v>60</v>
      </c>
      <c r="N375">
        <v>0</v>
      </c>
      <c r="O375" s="14">
        <v>45952</v>
      </c>
      <c r="P375" s="14">
        <v>46012</v>
      </c>
      <c r="Q375">
        <v>4898.97</v>
      </c>
      <c r="R375">
        <v>0</v>
      </c>
      <c r="S375">
        <v>0</v>
      </c>
      <c r="T375">
        <v>0</v>
      </c>
      <c r="U375">
        <v>0</v>
      </c>
      <c r="V375">
        <v>4898.97</v>
      </c>
      <c r="W375">
        <v>0</v>
      </c>
      <c r="X375">
        <v>1</v>
      </c>
      <c r="Y375">
        <v>1</v>
      </c>
      <c r="Z375">
        <v>10</v>
      </c>
      <c r="AA375">
        <v>2</v>
      </c>
      <c r="AB375" s="13" t="s">
        <v>405</v>
      </c>
      <c r="AC375">
        <v>0.25</v>
      </c>
      <c r="AD375">
        <v>0</v>
      </c>
      <c r="AE375" s="13" t="s">
        <v>61</v>
      </c>
    </row>
    <row r="376" spans="1:31" x14ac:dyDescent="0.35">
      <c r="A376" s="13" t="s">
        <v>782</v>
      </c>
      <c r="B376" s="13" t="s">
        <v>144</v>
      </c>
      <c r="C376" s="13" t="s">
        <v>145</v>
      </c>
      <c r="D376" s="13" t="s">
        <v>52</v>
      </c>
      <c r="E376" s="13" t="s">
        <v>99</v>
      </c>
      <c r="F376" s="13" t="s">
        <v>100</v>
      </c>
      <c r="G376" s="13" t="s">
        <v>55</v>
      </c>
      <c r="H376">
        <v>590000</v>
      </c>
      <c r="I376" s="13" t="s">
        <v>56</v>
      </c>
      <c r="J376" s="13" t="s">
        <v>57</v>
      </c>
      <c r="K376" s="13" t="s">
        <v>58</v>
      </c>
      <c r="L376" s="13" t="s">
        <v>88</v>
      </c>
      <c r="M376">
        <v>60</v>
      </c>
      <c r="N376">
        <v>0</v>
      </c>
      <c r="O376" s="14">
        <v>45952</v>
      </c>
      <c r="P376" s="14">
        <v>46012</v>
      </c>
      <c r="Q376">
        <v>16594.09</v>
      </c>
      <c r="R376">
        <v>9956.4500000000007</v>
      </c>
      <c r="S376">
        <v>0</v>
      </c>
      <c r="T376">
        <v>0</v>
      </c>
      <c r="U376">
        <v>0</v>
      </c>
      <c r="V376">
        <v>6637.64</v>
      </c>
      <c r="W376">
        <v>0</v>
      </c>
      <c r="X376">
        <v>1</v>
      </c>
      <c r="Y376">
        <v>1</v>
      </c>
      <c r="Z376">
        <v>10</v>
      </c>
      <c r="AA376">
        <v>2</v>
      </c>
      <c r="AB376" s="13" t="s">
        <v>405</v>
      </c>
      <c r="AC376">
        <v>0.25</v>
      </c>
      <c r="AD376">
        <v>0</v>
      </c>
      <c r="AE376" s="13" t="s">
        <v>61</v>
      </c>
    </row>
    <row r="377" spans="1:31" x14ac:dyDescent="0.35">
      <c r="A377" s="13" t="s">
        <v>783</v>
      </c>
      <c r="B377" s="13" t="s">
        <v>784</v>
      </c>
      <c r="C377" s="13" t="s">
        <v>785</v>
      </c>
      <c r="D377" s="13" t="s">
        <v>104</v>
      </c>
      <c r="E377" s="13" t="s">
        <v>65</v>
      </c>
      <c r="F377" s="13" t="s">
        <v>66</v>
      </c>
      <c r="G377" s="13" t="s">
        <v>55</v>
      </c>
      <c r="H377">
        <v>110000</v>
      </c>
      <c r="I377" s="13" t="s">
        <v>121</v>
      </c>
      <c r="J377" s="13" t="s">
        <v>122</v>
      </c>
      <c r="K377" s="13" t="s">
        <v>107</v>
      </c>
      <c r="L377" s="13" t="s">
        <v>82</v>
      </c>
      <c r="M377">
        <v>30</v>
      </c>
      <c r="N377">
        <v>2</v>
      </c>
      <c r="O377" s="14">
        <v>45952</v>
      </c>
      <c r="P377" s="14">
        <v>45982</v>
      </c>
      <c r="Q377">
        <v>3072.69</v>
      </c>
      <c r="R377">
        <v>1843.61</v>
      </c>
      <c r="S377">
        <v>0</v>
      </c>
      <c r="T377">
        <v>0</v>
      </c>
      <c r="U377">
        <v>0</v>
      </c>
      <c r="V377">
        <v>1229.08</v>
      </c>
      <c r="W377">
        <v>0</v>
      </c>
      <c r="X377">
        <v>1</v>
      </c>
      <c r="Y377">
        <v>1</v>
      </c>
      <c r="Z377">
        <v>40</v>
      </c>
      <c r="AA377">
        <v>3</v>
      </c>
      <c r="AB377" s="13" t="s">
        <v>369</v>
      </c>
      <c r="AC377">
        <v>0.5</v>
      </c>
      <c r="AD377">
        <v>0</v>
      </c>
      <c r="AE377" s="13" t="s">
        <v>61</v>
      </c>
    </row>
    <row r="378" spans="1:31" x14ac:dyDescent="0.35">
      <c r="A378" s="13" t="s">
        <v>786</v>
      </c>
      <c r="B378" s="13" t="s">
        <v>617</v>
      </c>
      <c r="C378" s="13" t="s">
        <v>618</v>
      </c>
      <c r="D378" s="13" t="s">
        <v>126</v>
      </c>
      <c r="E378" s="13" t="s">
        <v>99</v>
      </c>
      <c r="F378" s="13" t="s">
        <v>127</v>
      </c>
      <c r="G378" s="13" t="s">
        <v>67</v>
      </c>
      <c r="H378">
        <v>70000</v>
      </c>
      <c r="I378" s="13" t="s">
        <v>121</v>
      </c>
      <c r="J378" s="13" t="s">
        <v>122</v>
      </c>
      <c r="K378" s="13" t="s">
        <v>107</v>
      </c>
      <c r="L378" s="13" t="s">
        <v>368</v>
      </c>
      <c r="M378">
        <v>90</v>
      </c>
      <c r="N378">
        <v>0</v>
      </c>
      <c r="O378" s="14">
        <v>45952</v>
      </c>
      <c r="P378" s="14">
        <v>46042</v>
      </c>
      <c r="Q378">
        <v>4905.1000000000004</v>
      </c>
      <c r="R378">
        <v>0</v>
      </c>
      <c r="S378">
        <v>0</v>
      </c>
      <c r="T378">
        <v>0</v>
      </c>
      <c r="U378">
        <v>0</v>
      </c>
      <c r="V378">
        <v>4905.1000000000004</v>
      </c>
      <c r="W378">
        <v>0</v>
      </c>
      <c r="X378">
        <v>1</v>
      </c>
      <c r="Y378">
        <v>0</v>
      </c>
      <c r="Z378">
        <v>-20</v>
      </c>
      <c r="AA378">
        <v>1</v>
      </c>
      <c r="AB378" s="13" t="s">
        <v>581</v>
      </c>
      <c r="AC378">
        <v>0</v>
      </c>
      <c r="AD378">
        <v>0</v>
      </c>
      <c r="AE378" s="13" t="s">
        <v>61</v>
      </c>
    </row>
    <row r="379" spans="1:31" x14ac:dyDescent="0.35">
      <c r="A379" s="13" t="s">
        <v>787</v>
      </c>
      <c r="B379" s="13" t="s">
        <v>788</v>
      </c>
      <c r="C379" s="13" t="s">
        <v>789</v>
      </c>
      <c r="D379" s="13" t="s">
        <v>52</v>
      </c>
      <c r="E379" s="13" t="s">
        <v>53</v>
      </c>
      <c r="F379" s="13" t="s">
        <v>54</v>
      </c>
      <c r="G379" s="13" t="s">
        <v>67</v>
      </c>
      <c r="H379">
        <v>405000</v>
      </c>
      <c r="I379" s="13" t="s">
        <v>86</v>
      </c>
      <c r="J379" s="13" t="s">
        <v>87</v>
      </c>
      <c r="K379" s="13" t="s">
        <v>58</v>
      </c>
      <c r="L379" s="13" t="s">
        <v>88</v>
      </c>
      <c r="M379">
        <v>60</v>
      </c>
      <c r="N379">
        <v>0</v>
      </c>
      <c r="O379" s="14">
        <v>45952</v>
      </c>
      <c r="P379" s="14">
        <v>46012</v>
      </c>
      <c r="Q379">
        <v>4253.33</v>
      </c>
      <c r="R379">
        <v>0</v>
      </c>
      <c r="S379">
        <v>0</v>
      </c>
      <c r="T379">
        <v>0</v>
      </c>
      <c r="U379">
        <v>0</v>
      </c>
      <c r="V379">
        <v>4253.33</v>
      </c>
      <c r="W379">
        <v>0</v>
      </c>
      <c r="X379">
        <v>1</v>
      </c>
      <c r="Y379">
        <v>1</v>
      </c>
      <c r="Z379">
        <v>10</v>
      </c>
      <c r="AA379">
        <v>2</v>
      </c>
      <c r="AB379" s="13" t="s">
        <v>405</v>
      </c>
      <c r="AC379">
        <v>0.25</v>
      </c>
      <c r="AD379">
        <v>1</v>
      </c>
      <c r="AE379" s="13" t="s">
        <v>465</v>
      </c>
    </row>
    <row r="380" spans="1:31" x14ac:dyDescent="0.35">
      <c r="A380" s="13" t="s">
        <v>790</v>
      </c>
      <c r="B380" s="13" t="s">
        <v>791</v>
      </c>
      <c r="C380" s="13" t="s">
        <v>792</v>
      </c>
      <c r="D380" s="13" t="s">
        <v>104</v>
      </c>
      <c r="E380" s="13" t="s">
        <v>53</v>
      </c>
      <c r="F380" s="13" t="s">
        <v>54</v>
      </c>
      <c r="G380" s="13" t="s">
        <v>67</v>
      </c>
      <c r="H380">
        <v>95000</v>
      </c>
      <c r="I380" s="13" t="s">
        <v>121</v>
      </c>
      <c r="J380" s="13" t="s">
        <v>122</v>
      </c>
      <c r="K380" s="13" t="s">
        <v>107</v>
      </c>
      <c r="L380" s="13" t="s">
        <v>88</v>
      </c>
      <c r="M380">
        <v>60</v>
      </c>
      <c r="N380">
        <v>0</v>
      </c>
      <c r="O380" s="14">
        <v>45952</v>
      </c>
      <c r="P380" s="14">
        <v>46012</v>
      </c>
      <c r="Q380">
        <v>1024.1099999999999</v>
      </c>
      <c r="R380">
        <v>614.47</v>
      </c>
      <c r="S380">
        <v>0</v>
      </c>
      <c r="T380">
        <v>0</v>
      </c>
      <c r="U380">
        <v>0</v>
      </c>
      <c r="V380">
        <v>409.64</v>
      </c>
      <c r="W380">
        <v>0</v>
      </c>
      <c r="X380">
        <v>1</v>
      </c>
      <c r="Y380">
        <v>1</v>
      </c>
      <c r="Z380">
        <v>10</v>
      </c>
      <c r="AA380">
        <v>2</v>
      </c>
      <c r="AB380" s="13" t="s">
        <v>405</v>
      </c>
      <c r="AC380">
        <v>0.25</v>
      </c>
      <c r="AD380">
        <v>0</v>
      </c>
      <c r="AE380" s="13" t="s">
        <v>61</v>
      </c>
    </row>
    <row r="381" spans="1:31" x14ac:dyDescent="0.35">
      <c r="A381" s="13" t="s">
        <v>793</v>
      </c>
      <c r="B381" s="13" t="s">
        <v>206</v>
      </c>
      <c r="C381" s="13" t="s">
        <v>207</v>
      </c>
      <c r="D381" s="13" t="s">
        <v>52</v>
      </c>
      <c r="E381" s="13" t="s">
        <v>65</v>
      </c>
      <c r="F381" s="13" t="s">
        <v>111</v>
      </c>
      <c r="G381" s="13" t="s">
        <v>92</v>
      </c>
      <c r="H381">
        <v>490000</v>
      </c>
      <c r="I381" s="13" t="s">
        <v>86</v>
      </c>
      <c r="J381" s="13" t="s">
        <v>87</v>
      </c>
      <c r="K381" s="13" t="s">
        <v>58</v>
      </c>
      <c r="L381" s="13" t="s">
        <v>88</v>
      </c>
      <c r="M381">
        <v>60</v>
      </c>
      <c r="N381">
        <v>0</v>
      </c>
      <c r="O381" s="14">
        <v>45952</v>
      </c>
      <c r="P381" s="14">
        <v>46012</v>
      </c>
      <c r="Q381">
        <v>2463.1</v>
      </c>
      <c r="R381">
        <v>0</v>
      </c>
      <c r="S381">
        <v>0</v>
      </c>
      <c r="T381">
        <v>0</v>
      </c>
      <c r="U381">
        <v>0</v>
      </c>
      <c r="V381">
        <v>2463.1</v>
      </c>
      <c r="W381">
        <v>0</v>
      </c>
      <c r="X381">
        <v>1</v>
      </c>
      <c r="Y381">
        <v>1</v>
      </c>
      <c r="Z381">
        <v>10</v>
      </c>
      <c r="AA381">
        <v>2</v>
      </c>
      <c r="AB381" s="13" t="s">
        <v>405</v>
      </c>
      <c r="AC381">
        <v>0.25</v>
      </c>
      <c r="AD381">
        <v>0</v>
      </c>
      <c r="AE381" s="13" t="s">
        <v>61</v>
      </c>
    </row>
    <row r="382" spans="1:31" x14ac:dyDescent="0.35">
      <c r="A382" s="13" t="s">
        <v>794</v>
      </c>
      <c r="B382" s="13" t="s">
        <v>575</v>
      </c>
      <c r="C382" s="13" t="s">
        <v>576</v>
      </c>
      <c r="D382" s="13" t="s">
        <v>126</v>
      </c>
      <c r="E382" s="13" t="s">
        <v>65</v>
      </c>
      <c r="F382" s="13" t="s">
        <v>111</v>
      </c>
      <c r="G382" s="13" t="s">
        <v>55</v>
      </c>
      <c r="H382">
        <v>160000</v>
      </c>
      <c r="I382" s="13" t="s">
        <v>86</v>
      </c>
      <c r="J382" s="13" t="s">
        <v>87</v>
      </c>
      <c r="K382" s="13" t="s">
        <v>58</v>
      </c>
      <c r="L382" s="13" t="s">
        <v>368</v>
      </c>
      <c r="M382">
        <v>90</v>
      </c>
      <c r="N382">
        <v>0</v>
      </c>
      <c r="O382" s="14">
        <v>45952</v>
      </c>
      <c r="P382" s="14">
        <v>46042</v>
      </c>
      <c r="Q382">
        <v>9746.59</v>
      </c>
      <c r="R382">
        <v>0</v>
      </c>
      <c r="S382">
        <v>0</v>
      </c>
      <c r="T382">
        <v>0</v>
      </c>
      <c r="U382">
        <v>0</v>
      </c>
      <c r="V382">
        <v>9746.59</v>
      </c>
      <c r="W382">
        <v>0</v>
      </c>
      <c r="X382">
        <v>1</v>
      </c>
      <c r="Y382">
        <v>0</v>
      </c>
      <c r="Z382">
        <v>-20</v>
      </c>
      <c r="AA382">
        <v>1</v>
      </c>
      <c r="AB382" s="13" t="s">
        <v>581</v>
      </c>
      <c r="AC382">
        <v>0</v>
      </c>
      <c r="AD382">
        <v>0</v>
      </c>
      <c r="AE382" s="13" t="s">
        <v>61</v>
      </c>
    </row>
    <row r="383" spans="1:31" x14ac:dyDescent="0.35">
      <c r="A383" s="13" t="s">
        <v>795</v>
      </c>
      <c r="B383" s="13" t="s">
        <v>796</v>
      </c>
      <c r="C383" s="13" t="s">
        <v>797</v>
      </c>
      <c r="D383" s="13" t="s">
        <v>104</v>
      </c>
      <c r="E383" s="13" t="s">
        <v>99</v>
      </c>
      <c r="F383" s="13" t="s">
        <v>100</v>
      </c>
      <c r="G383" s="13" t="s">
        <v>55</v>
      </c>
      <c r="H383">
        <v>25000</v>
      </c>
      <c r="I383" s="13" t="s">
        <v>105</v>
      </c>
      <c r="J383" s="13" t="s">
        <v>106</v>
      </c>
      <c r="K383" s="13" t="s">
        <v>107</v>
      </c>
      <c r="L383" s="13" t="s">
        <v>82</v>
      </c>
      <c r="M383">
        <v>30</v>
      </c>
      <c r="N383">
        <v>2</v>
      </c>
      <c r="O383" s="14">
        <v>45952</v>
      </c>
      <c r="P383" s="14">
        <v>45982</v>
      </c>
      <c r="Q383">
        <v>2615.71</v>
      </c>
      <c r="R383">
        <v>1224.1500000000001</v>
      </c>
      <c r="S383">
        <v>0</v>
      </c>
      <c r="T383">
        <v>575.46</v>
      </c>
      <c r="U383">
        <v>0</v>
      </c>
      <c r="V383">
        <v>816.1</v>
      </c>
      <c r="W383">
        <v>0</v>
      </c>
      <c r="X383">
        <v>1</v>
      </c>
      <c r="Y383">
        <v>1</v>
      </c>
      <c r="Z383">
        <v>40</v>
      </c>
      <c r="AA383">
        <v>3</v>
      </c>
      <c r="AB383" s="13" t="s">
        <v>369</v>
      </c>
      <c r="AC383">
        <v>0.5</v>
      </c>
      <c r="AD383">
        <v>0</v>
      </c>
      <c r="AE383" s="13" t="s">
        <v>377</v>
      </c>
    </row>
    <row r="384" spans="1:31" x14ac:dyDescent="0.35">
      <c r="A384" s="13" t="s">
        <v>798</v>
      </c>
      <c r="B384" s="13" t="s">
        <v>533</v>
      </c>
      <c r="C384" s="13" t="s">
        <v>534</v>
      </c>
      <c r="D384" s="13" t="s">
        <v>126</v>
      </c>
      <c r="E384" s="13" t="s">
        <v>99</v>
      </c>
      <c r="F384" s="13" t="s">
        <v>127</v>
      </c>
      <c r="G384" s="13" t="s">
        <v>67</v>
      </c>
      <c r="H384">
        <v>205000</v>
      </c>
      <c r="I384" s="13" t="s">
        <v>86</v>
      </c>
      <c r="J384" s="13" t="s">
        <v>87</v>
      </c>
      <c r="K384" s="13" t="s">
        <v>58</v>
      </c>
      <c r="L384" s="13" t="s">
        <v>368</v>
      </c>
      <c r="M384">
        <v>90</v>
      </c>
      <c r="N384">
        <v>0</v>
      </c>
      <c r="O384" s="14">
        <v>45952</v>
      </c>
      <c r="P384" s="14">
        <v>46042</v>
      </c>
      <c r="Q384">
        <v>1422.48</v>
      </c>
      <c r="R384">
        <v>0</v>
      </c>
      <c r="S384">
        <v>0</v>
      </c>
      <c r="T384">
        <v>0</v>
      </c>
      <c r="U384">
        <v>0</v>
      </c>
      <c r="V384">
        <v>1422.48</v>
      </c>
      <c r="W384">
        <v>0</v>
      </c>
      <c r="X384">
        <v>1</v>
      </c>
      <c r="Y384">
        <v>0</v>
      </c>
      <c r="Z384">
        <v>-20</v>
      </c>
      <c r="AA384">
        <v>1</v>
      </c>
      <c r="AB384" s="13" t="s">
        <v>581</v>
      </c>
      <c r="AC384">
        <v>0</v>
      </c>
      <c r="AD384">
        <v>0</v>
      </c>
      <c r="AE384" s="13" t="s">
        <v>61</v>
      </c>
    </row>
    <row r="385" spans="1:31" x14ac:dyDescent="0.35">
      <c r="A385" s="13" t="s">
        <v>799</v>
      </c>
      <c r="B385" s="13" t="s">
        <v>216</v>
      </c>
      <c r="C385" s="13" t="s">
        <v>217</v>
      </c>
      <c r="D385" s="13" t="s">
        <v>52</v>
      </c>
      <c r="E385" s="13" t="s">
        <v>65</v>
      </c>
      <c r="F385" s="13" t="s">
        <v>66</v>
      </c>
      <c r="G385" s="13" t="s">
        <v>67</v>
      </c>
      <c r="H385">
        <v>515000</v>
      </c>
      <c r="I385" s="13" t="s">
        <v>86</v>
      </c>
      <c r="J385" s="13" t="s">
        <v>87</v>
      </c>
      <c r="K385" s="13" t="s">
        <v>58</v>
      </c>
      <c r="L385" s="13" t="s">
        <v>88</v>
      </c>
      <c r="M385">
        <v>60</v>
      </c>
      <c r="N385">
        <v>0</v>
      </c>
      <c r="O385" s="14">
        <v>45953</v>
      </c>
      <c r="P385" s="14">
        <v>46013</v>
      </c>
      <c r="Q385">
        <v>6763.98</v>
      </c>
      <c r="R385">
        <v>0</v>
      </c>
      <c r="S385">
        <v>0</v>
      </c>
      <c r="T385">
        <v>0</v>
      </c>
      <c r="U385">
        <v>0</v>
      </c>
      <c r="V385">
        <v>6763.98</v>
      </c>
      <c r="W385">
        <v>0</v>
      </c>
      <c r="X385">
        <v>1</v>
      </c>
      <c r="Y385">
        <v>1</v>
      </c>
      <c r="Z385">
        <v>9</v>
      </c>
      <c r="AA385">
        <v>2</v>
      </c>
      <c r="AB385" s="13" t="s">
        <v>405</v>
      </c>
      <c r="AC385">
        <v>0.25</v>
      </c>
      <c r="AD385">
        <v>0</v>
      </c>
      <c r="AE385" s="13" t="s">
        <v>61</v>
      </c>
    </row>
    <row r="386" spans="1:31" x14ac:dyDescent="0.35">
      <c r="A386" s="13" t="s">
        <v>800</v>
      </c>
      <c r="B386" s="13" t="s">
        <v>492</v>
      </c>
      <c r="C386" s="13" t="s">
        <v>493</v>
      </c>
      <c r="D386" s="13" t="s">
        <v>126</v>
      </c>
      <c r="E386" s="13" t="s">
        <v>77</v>
      </c>
      <c r="F386" s="13" t="s">
        <v>78</v>
      </c>
      <c r="G386" s="13" t="s">
        <v>67</v>
      </c>
      <c r="H386">
        <v>210000</v>
      </c>
      <c r="I386" s="13" t="s">
        <v>56</v>
      </c>
      <c r="J386" s="13" t="s">
        <v>57</v>
      </c>
      <c r="K386" s="13" t="s">
        <v>58</v>
      </c>
      <c r="L386" s="13" t="s">
        <v>368</v>
      </c>
      <c r="M386">
        <v>90</v>
      </c>
      <c r="N386">
        <v>0</v>
      </c>
      <c r="O386" s="14">
        <v>45953</v>
      </c>
      <c r="P386" s="14">
        <v>46043</v>
      </c>
      <c r="Q386">
        <v>5997.48</v>
      </c>
      <c r="R386">
        <v>0</v>
      </c>
      <c r="S386">
        <v>0</v>
      </c>
      <c r="T386">
        <v>0</v>
      </c>
      <c r="U386">
        <v>0</v>
      </c>
      <c r="V386">
        <v>5997.48</v>
      </c>
      <c r="W386">
        <v>0</v>
      </c>
      <c r="X386">
        <v>1</v>
      </c>
      <c r="Y386">
        <v>0</v>
      </c>
      <c r="Z386">
        <v>-21</v>
      </c>
      <c r="AA386">
        <v>1</v>
      </c>
      <c r="AB386" s="13" t="s">
        <v>581</v>
      </c>
      <c r="AC386">
        <v>0</v>
      </c>
      <c r="AD386">
        <v>0</v>
      </c>
      <c r="AE386" s="13" t="s">
        <v>61</v>
      </c>
    </row>
    <row r="387" spans="1:31" x14ac:dyDescent="0.35">
      <c r="A387" s="13" t="s">
        <v>801</v>
      </c>
      <c r="B387" s="13" t="s">
        <v>156</v>
      </c>
      <c r="C387" s="13" t="s">
        <v>157</v>
      </c>
      <c r="D387" s="13" t="s">
        <v>52</v>
      </c>
      <c r="E387" s="13" t="s">
        <v>53</v>
      </c>
      <c r="F387" s="13" t="s">
        <v>54</v>
      </c>
      <c r="G387" s="13" t="s">
        <v>92</v>
      </c>
      <c r="H387">
        <v>600000</v>
      </c>
      <c r="I387" s="13" t="s">
        <v>56</v>
      </c>
      <c r="J387" s="13" t="s">
        <v>57</v>
      </c>
      <c r="K387" s="13" t="s">
        <v>58</v>
      </c>
      <c r="L387" s="13" t="s">
        <v>88</v>
      </c>
      <c r="M387">
        <v>60</v>
      </c>
      <c r="N387">
        <v>0</v>
      </c>
      <c r="O387" s="14">
        <v>45953</v>
      </c>
      <c r="P387" s="14">
        <v>46013</v>
      </c>
      <c r="Q387">
        <v>15696.87</v>
      </c>
      <c r="R387">
        <v>0</v>
      </c>
      <c r="S387">
        <v>0</v>
      </c>
      <c r="T387">
        <v>0</v>
      </c>
      <c r="U387">
        <v>0</v>
      </c>
      <c r="V387">
        <v>15696.87</v>
      </c>
      <c r="W387">
        <v>0</v>
      </c>
      <c r="X387">
        <v>1</v>
      </c>
      <c r="Y387">
        <v>1</v>
      </c>
      <c r="Z387">
        <v>9</v>
      </c>
      <c r="AA387">
        <v>2</v>
      </c>
      <c r="AB387" s="13" t="s">
        <v>405</v>
      </c>
      <c r="AC387">
        <v>0.25</v>
      </c>
      <c r="AD387">
        <v>0</v>
      </c>
      <c r="AE387" s="13" t="s">
        <v>61</v>
      </c>
    </row>
    <row r="388" spans="1:31" x14ac:dyDescent="0.35">
      <c r="A388" s="13" t="s">
        <v>802</v>
      </c>
      <c r="B388" s="13" t="s">
        <v>521</v>
      </c>
      <c r="C388" s="13" t="s">
        <v>522</v>
      </c>
      <c r="D388" s="13" t="s">
        <v>126</v>
      </c>
      <c r="E388" s="13" t="s">
        <v>77</v>
      </c>
      <c r="F388" s="13" t="s">
        <v>78</v>
      </c>
      <c r="G388" s="13" t="s">
        <v>67</v>
      </c>
      <c r="H388">
        <v>155000</v>
      </c>
      <c r="I388" s="13" t="s">
        <v>86</v>
      </c>
      <c r="J388" s="13" t="s">
        <v>87</v>
      </c>
      <c r="K388" s="13" t="s">
        <v>58</v>
      </c>
      <c r="L388" s="13" t="s">
        <v>368</v>
      </c>
      <c r="M388">
        <v>90</v>
      </c>
      <c r="N388">
        <v>0</v>
      </c>
      <c r="O388" s="14">
        <v>45953</v>
      </c>
      <c r="P388" s="14">
        <v>46043</v>
      </c>
      <c r="Q388">
        <v>1248.7</v>
      </c>
      <c r="R388">
        <v>0</v>
      </c>
      <c r="S388">
        <v>0</v>
      </c>
      <c r="T388">
        <v>0</v>
      </c>
      <c r="U388">
        <v>0</v>
      </c>
      <c r="V388">
        <v>1248.7</v>
      </c>
      <c r="W388">
        <v>0</v>
      </c>
      <c r="X388">
        <v>1</v>
      </c>
      <c r="Y388">
        <v>0</v>
      </c>
      <c r="Z388">
        <v>-21</v>
      </c>
      <c r="AA388">
        <v>1</v>
      </c>
      <c r="AB388" s="13" t="s">
        <v>581</v>
      </c>
      <c r="AC388">
        <v>0</v>
      </c>
      <c r="AD388">
        <v>0</v>
      </c>
      <c r="AE388" s="13" t="s">
        <v>61</v>
      </c>
    </row>
    <row r="389" spans="1:31" x14ac:dyDescent="0.35">
      <c r="A389" s="13" t="s">
        <v>803</v>
      </c>
      <c r="B389" s="13" t="s">
        <v>558</v>
      </c>
      <c r="C389" s="13" t="s">
        <v>559</v>
      </c>
      <c r="D389" s="13" t="s">
        <v>52</v>
      </c>
      <c r="E389" s="13" t="s">
        <v>53</v>
      </c>
      <c r="F389" s="13" t="s">
        <v>54</v>
      </c>
      <c r="G389" s="13" t="s">
        <v>55</v>
      </c>
      <c r="H389">
        <v>240000</v>
      </c>
      <c r="I389" s="13" t="s">
        <v>56</v>
      </c>
      <c r="J389" s="13" t="s">
        <v>57</v>
      </c>
      <c r="K389" s="13" t="s">
        <v>58</v>
      </c>
      <c r="L389" s="13" t="s">
        <v>59</v>
      </c>
      <c r="M389">
        <v>45</v>
      </c>
      <c r="N389">
        <v>0</v>
      </c>
      <c r="O389" s="14">
        <v>45953</v>
      </c>
      <c r="P389" s="14">
        <v>45998</v>
      </c>
      <c r="Q389">
        <v>1626.21</v>
      </c>
      <c r="R389">
        <v>0</v>
      </c>
      <c r="S389">
        <v>0</v>
      </c>
      <c r="T389">
        <v>0</v>
      </c>
      <c r="U389">
        <v>0</v>
      </c>
      <c r="V389">
        <v>1626.21</v>
      </c>
      <c r="W389">
        <v>0</v>
      </c>
      <c r="X389">
        <v>1</v>
      </c>
      <c r="Y389">
        <v>1</v>
      </c>
      <c r="Z389">
        <v>24</v>
      </c>
      <c r="AA389">
        <v>2</v>
      </c>
      <c r="AB389" s="13" t="s">
        <v>405</v>
      </c>
      <c r="AC389">
        <v>0.25</v>
      </c>
      <c r="AD389">
        <v>0</v>
      </c>
      <c r="AE389" s="13" t="s">
        <v>61</v>
      </c>
    </row>
    <row r="390" spans="1:31" x14ac:dyDescent="0.35">
      <c r="A390" s="13" t="s">
        <v>804</v>
      </c>
      <c r="B390" s="13" t="s">
        <v>766</v>
      </c>
      <c r="C390" s="13" t="s">
        <v>767</v>
      </c>
      <c r="D390" s="13" t="s">
        <v>104</v>
      </c>
      <c r="E390" s="13" t="s">
        <v>53</v>
      </c>
      <c r="F390" s="13" t="s">
        <v>135</v>
      </c>
      <c r="G390" s="13" t="s">
        <v>92</v>
      </c>
      <c r="H390">
        <v>90000</v>
      </c>
      <c r="I390" s="13" t="s">
        <v>105</v>
      </c>
      <c r="J390" s="13" t="s">
        <v>106</v>
      </c>
      <c r="K390" s="13" t="s">
        <v>107</v>
      </c>
      <c r="L390" s="13" t="s">
        <v>88</v>
      </c>
      <c r="M390">
        <v>60</v>
      </c>
      <c r="N390">
        <v>0</v>
      </c>
      <c r="O390" s="14">
        <v>45953</v>
      </c>
      <c r="P390" s="14">
        <v>46013</v>
      </c>
      <c r="Q390">
        <v>5023.0600000000004</v>
      </c>
      <c r="R390">
        <v>0</v>
      </c>
      <c r="S390">
        <v>0</v>
      </c>
      <c r="T390">
        <v>301.38</v>
      </c>
      <c r="U390">
        <v>0</v>
      </c>
      <c r="V390">
        <v>4721.68</v>
      </c>
      <c r="W390">
        <v>0</v>
      </c>
      <c r="X390">
        <v>1</v>
      </c>
      <c r="Y390">
        <v>1</v>
      </c>
      <c r="Z390">
        <v>9</v>
      </c>
      <c r="AA390">
        <v>2</v>
      </c>
      <c r="AB390" s="13" t="s">
        <v>405</v>
      </c>
      <c r="AC390">
        <v>0.25</v>
      </c>
      <c r="AD390">
        <v>0</v>
      </c>
      <c r="AE390" s="13" t="s">
        <v>377</v>
      </c>
    </row>
    <row r="391" spans="1:31" x14ac:dyDescent="0.35">
      <c r="A391" s="13" t="s">
        <v>805</v>
      </c>
      <c r="B391" s="13" t="s">
        <v>525</v>
      </c>
      <c r="C391" s="13" t="s">
        <v>526</v>
      </c>
      <c r="D391" s="13" t="s">
        <v>126</v>
      </c>
      <c r="E391" s="13" t="s">
        <v>53</v>
      </c>
      <c r="F391" s="13" t="s">
        <v>54</v>
      </c>
      <c r="G391" s="13" t="s">
        <v>67</v>
      </c>
      <c r="H391">
        <v>95000</v>
      </c>
      <c r="I391" s="13" t="s">
        <v>105</v>
      </c>
      <c r="J391" s="13" t="s">
        <v>106</v>
      </c>
      <c r="K391" s="13" t="s">
        <v>107</v>
      </c>
      <c r="L391" s="13" t="s">
        <v>368</v>
      </c>
      <c r="M391">
        <v>90</v>
      </c>
      <c r="N391">
        <v>0</v>
      </c>
      <c r="O391" s="14">
        <v>45953</v>
      </c>
      <c r="P391" s="14">
        <v>46043</v>
      </c>
      <c r="Q391">
        <v>1396.88</v>
      </c>
      <c r="R391">
        <v>0</v>
      </c>
      <c r="S391">
        <v>0</v>
      </c>
      <c r="T391">
        <v>0</v>
      </c>
      <c r="U391">
        <v>0</v>
      </c>
      <c r="V391">
        <v>1396.88</v>
      </c>
      <c r="W391">
        <v>0</v>
      </c>
      <c r="X391">
        <v>1</v>
      </c>
      <c r="Y391">
        <v>0</v>
      </c>
      <c r="Z391">
        <v>-21</v>
      </c>
      <c r="AA391">
        <v>1</v>
      </c>
      <c r="AB391" s="13" t="s">
        <v>581</v>
      </c>
      <c r="AC391">
        <v>0</v>
      </c>
      <c r="AD391">
        <v>0</v>
      </c>
      <c r="AE391" s="13" t="s">
        <v>61</v>
      </c>
    </row>
    <row r="392" spans="1:31" x14ac:dyDescent="0.35">
      <c r="A392" s="13" t="s">
        <v>806</v>
      </c>
      <c r="B392" s="13" t="s">
        <v>283</v>
      </c>
      <c r="C392" s="13" t="s">
        <v>284</v>
      </c>
      <c r="D392" s="13" t="s">
        <v>104</v>
      </c>
      <c r="E392" s="13" t="s">
        <v>53</v>
      </c>
      <c r="F392" s="13" t="s">
        <v>135</v>
      </c>
      <c r="G392" s="13" t="s">
        <v>92</v>
      </c>
      <c r="H392">
        <v>105000</v>
      </c>
      <c r="I392" s="13" t="s">
        <v>105</v>
      </c>
      <c r="J392" s="13" t="s">
        <v>106</v>
      </c>
      <c r="K392" s="13" t="s">
        <v>107</v>
      </c>
      <c r="L392" s="13" t="s">
        <v>82</v>
      </c>
      <c r="M392">
        <v>30</v>
      </c>
      <c r="N392">
        <v>2</v>
      </c>
      <c r="O392" s="14">
        <v>45953</v>
      </c>
      <c r="P392" s="14">
        <v>45983</v>
      </c>
      <c r="Q392">
        <v>4760.62</v>
      </c>
      <c r="R392">
        <v>0</v>
      </c>
      <c r="S392">
        <v>0</v>
      </c>
      <c r="T392">
        <v>0</v>
      </c>
      <c r="U392">
        <v>0</v>
      </c>
      <c r="V392">
        <v>4760.62</v>
      </c>
      <c r="W392">
        <v>0</v>
      </c>
      <c r="X392">
        <v>1</v>
      </c>
      <c r="Y392">
        <v>1</v>
      </c>
      <c r="Z392">
        <v>39</v>
      </c>
      <c r="AA392">
        <v>3</v>
      </c>
      <c r="AB392" s="13" t="s">
        <v>369</v>
      </c>
      <c r="AC392">
        <v>0.5</v>
      </c>
      <c r="AD392">
        <v>0</v>
      </c>
      <c r="AE392" s="13" t="s">
        <v>61</v>
      </c>
    </row>
    <row r="393" spans="1:31" x14ac:dyDescent="0.35">
      <c r="A393" s="13" t="s">
        <v>807</v>
      </c>
      <c r="B393" s="13" t="s">
        <v>159</v>
      </c>
      <c r="C393" s="13" t="s">
        <v>160</v>
      </c>
      <c r="D393" s="13" t="s">
        <v>104</v>
      </c>
      <c r="E393" s="13" t="s">
        <v>53</v>
      </c>
      <c r="F393" s="13" t="s">
        <v>135</v>
      </c>
      <c r="G393" s="13" t="s">
        <v>67</v>
      </c>
      <c r="H393">
        <v>140000</v>
      </c>
      <c r="I393" s="13" t="s">
        <v>105</v>
      </c>
      <c r="J393" s="13" t="s">
        <v>106</v>
      </c>
      <c r="K393" s="13" t="s">
        <v>107</v>
      </c>
      <c r="L393" s="13" t="s">
        <v>88</v>
      </c>
      <c r="M393">
        <v>60</v>
      </c>
      <c r="N393">
        <v>0</v>
      </c>
      <c r="O393" s="14">
        <v>45953</v>
      </c>
      <c r="P393" s="14">
        <v>46013</v>
      </c>
      <c r="Q393">
        <v>3265.24</v>
      </c>
      <c r="R393">
        <v>0</v>
      </c>
      <c r="S393">
        <v>0</v>
      </c>
      <c r="T393">
        <v>0</v>
      </c>
      <c r="U393">
        <v>0</v>
      </c>
      <c r="V393">
        <v>3265.24</v>
      </c>
      <c r="W393">
        <v>0</v>
      </c>
      <c r="X393">
        <v>1</v>
      </c>
      <c r="Y393">
        <v>1</v>
      </c>
      <c r="Z393">
        <v>9</v>
      </c>
      <c r="AA393">
        <v>2</v>
      </c>
      <c r="AB393" s="13" t="s">
        <v>405</v>
      </c>
      <c r="AC393">
        <v>0.25</v>
      </c>
      <c r="AD393">
        <v>0</v>
      </c>
      <c r="AE393" s="13" t="s">
        <v>61</v>
      </c>
    </row>
    <row r="394" spans="1:31" x14ac:dyDescent="0.35">
      <c r="A394" s="13" t="s">
        <v>808</v>
      </c>
      <c r="B394" s="13" t="s">
        <v>542</v>
      </c>
      <c r="C394" s="13" t="s">
        <v>543</v>
      </c>
      <c r="D394" s="13" t="s">
        <v>126</v>
      </c>
      <c r="E394" s="13" t="s">
        <v>71</v>
      </c>
      <c r="F394" s="13" t="s">
        <v>72</v>
      </c>
      <c r="G394" s="13" t="s">
        <v>67</v>
      </c>
      <c r="H394">
        <v>95000</v>
      </c>
      <c r="I394" s="13" t="s">
        <v>121</v>
      </c>
      <c r="J394" s="13" t="s">
        <v>122</v>
      </c>
      <c r="K394" s="13" t="s">
        <v>107</v>
      </c>
      <c r="L394" s="13" t="s">
        <v>368</v>
      </c>
      <c r="M394">
        <v>90</v>
      </c>
      <c r="N394">
        <v>0</v>
      </c>
      <c r="O394" s="14">
        <v>45953</v>
      </c>
      <c r="P394" s="14">
        <v>46043</v>
      </c>
      <c r="Q394">
        <v>5413.17</v>
      </c>
      <c r="R394">
        <v>0</v>
      </c>
      <c r="S394">
        <v>0</v>
      </c>
      <c r="T394">
        <v>0</v>
      </c>
      <c r="U394">
        <v>0</v>
      </c>
      <c r="V394">
        <v>5413.17</v>
      </c>
      <c r="W394">
        <v>0</v>
      </c>
      <c r="X394">
        <v>1</v>
      </c>
      <c r="Y394">
        <v>0</v>
      </c>
      <c r="Z394">
        <v>-21</v>
      </c>
      <c r="AA394">
        <v>1</v>
      </c>
      <c r="AB394" s="13" t="s">
        <v>581</v>
      </c>
      <c r="AC394">
        <v>0</v>
      </c>
      <c r="AD394">
        <v>0</v>
      </c>
      <c r="AE394" s="13" t="s">
        <v>61</v>
      </c>
    </row>
    <row r="395" spans="1:31" x14ac:dyDescent="0.35">
      <c r="A395" s="13" t="s">
        <v>809</v>
      </c>
      <c r="B395" s="13" t="s">
        <v>695</v>
      </c>
      <c r="C395" s="13" t="s">
        <v>696</v>
      </c>
      <c r="D395" s="13" t="s">
        <v>52</v>
      </c>
      <c r="E395" s="13" t="s">
        <v>53</v>
      </c>
      <c r="F395" s="13" t="s">
        <v>54</v>
      </c>
      <c r="G395" s="13" t="s">
        <v>92</v>
      </c>
      <c r="H395">
        <v>535000</v>
      </c>
      <c r="I395" s="13" t="s">
        <v>56</v>
      </c>
      <c r="J395" s="13" t="s">
        <v>57</v>
      </c>
      <c r="K395" s="13" t="s">
        <v>58</v>
      </c>
      <c r="L395" s="13" t="s">
        <v>88</v>
      </c>
      <c r="M395">
        <v>60</v>
      </c>
      <c r="N395">
        <v>0</v>
      </c>
      <c r="O395" s="14">
        <v>45953</v>
      </c>
      <c r="P395" s="14">
        <v>46013</v>
      </c>
      <c r="Q395">
        <v>11027.76</v>
      </c>
      <c r="R395">
        <v>0</v>
      </c>
      <c r="S395">
        <v>0</v>
      </c>
      <c r="T395">
        <v>0</v>
      </c>
      <c r="U395">
        <v>0</v>
      </c>
      <c r="V395">
        <v>11027.76</v>
      </c>
      <c r="W395">
        <v>0</v>
      </c>
      <c r="X395">
        <v>1</v>
      </c>
      <c r="Y395">
        <v>1</v>
      </c>
      <c r="Z395">
        <v>9</v>
      </c>
      <c r="AA395">
        <v>2</v>
      </c>
      <c r="AB395" s="13" t="s">
        <v>405</v>
      </c>
      <c r="AC395">
        <v>0.25</v>
      </c>
      <c r="AD395">
        <v>0</v>
      </c>
      <c r="AE395" s="13" t="s">
        <v>61</v>
      </c>
    </row>
    <row r="396" spans="1:31" x14ac:dyDescent="0.35">
      <c r="A396" s="13" t="s">
        <v>810</v>
      </c>
      <c r="B396" s="13" t="s">
        <v>438</v>
      </c>
      <c r="C396" s="13" t="s">
        <v>439</v>
      </c>
      <c r="D396" s="13" t="s">
        <v>126</v>
      </c>
      <c r="E396" s="13" t="s">
        <v>65</v>
      </c>
      <c r="F396" s="13" t="s">
        <v>111</v>
      </c>
      <c r="G396" s="13" t="s">
        <v>67</v>
      </c>
      <c r="H396">
        <v>155000</v>
      </c>
      <c r="I396" s="13" t="s">
        <v>86</v>
      </c>
      <c r="J396" s="13" t="s">
        <v>87</v>
      </c>
      <c r="K396" s="13" t="s">
        <v>58</v>
      </c>
      <c r="L396" s="13" t="s">
        <v>368</v>
      </c>
      <c r="M396">
        <v>90</v>
      </c>
      <c r="N396">
        <v>0</v>
      </c>
      <c r="O396" s="14">
        <v>45953</v>
      </c>
      <c r="P396" s="14">
        <v>46043</v>
      </c>
      <c r="Q396">
        <v>3608.39</v>
      </c>
      <c r="R396">
        <v>0</v>
      </c>
      <c r="S396">
        <v>0</v>
      </c>
      <c r="T396">
        <v>0</v>
      </c>
      <c r="U396">
        <v>0</v>
      </c>
      <c r="V396">
        <v>3608.39</v>
      </c>
      <c r="W396">
        <v>0</v>
      </c>
      <c r="X396">
        <v>1</v>
      </c>
      <c r="Y396">
        <v>0</v>
      </c>
      <c r="Z396">
        <v>-21</v>
      </c>
      <c r="AA396">
        <v>1</v>
      </c>
      <c r="AB396" s="13" t="s">
        <v>581</v>
      </c>
      <c r="AC396">
        <v>0</v>
      </c>
      <c r="AD396">
        <v>0</v>
      </c>
      <c r="AE396" s="13" t="s">
        <v>61</v>
      </c>
    </row>
    <row r="397" spans="1:31" x14ac:dyDescent="0.35">
      <c r="A397" s="13" t="s">
        <v>811</v>
      </c>
      <c r="B397" s="13" t="s">
        <v>812</v>
      </c>
      <c r="C397" s="13" t="s">
        <v>813</v>
      </c>
      <c r="D397" s="13" t="s">
        <v>126</v>
      </c>
      <c r="E397" s="13" t="s">
        <v>53</v>
      </c>
      <c r="F397" s="13" t="s">
        <v>135</v>
      </c>
      <c r="G397" s="13" t="s">
        <v>67</v>
      </c>
      <c r="H397">
        <v>175000</v>
      </c>
      <c r="I397" s="13" t="s">
        <v>56</v>
      </c>
      <c r="J397" s="13" t="s">
        <v>57</v>
      </c>
      <c r="K397" s="13" t="s">
        <v>58</v>
      </c>
      <c r="L397" s="13" t="s">
        <v>368</v>
      </c>
      <c r="M397">
        <v>90</v>
      </c>
      <c r="N397">
        <v>0</v>
      </c>
      <c r="O397" s="14">
        <v>45953</v>
      </c>
      <c r="P397" s="14">
        <v>46043</v>
      </c>
      <c r="Q397">
        <v>6688.02</v>
      </c>
      <c r="R397">
        <v>0</v>
      </c>
      <c r="S397">
        <v>0</v>
      </c>
      <c r="T397">
        <v>0</v>
      </c>
      <c r="U397">
        <v>0</v>
      </c>
      <c r="V397">
        <v>6688.02</v>
      </c>
      <c r="W397">
        <v>0</v>
      </c>
      <c r="X397">
        <v>1</v>
      </c>
      <c r="Y397">
        <v>0</v>
      </c>
      <c r="Z397">
        <v>-21</v>
      </c>
      <c r="AA397">
        <v>1</v>
      </c>
      <c r="AB397" s="13" t="s">
        <v>581</v>
      </c>
      <c r="AC397">
        <v>0</v>
      </c>
      <c r="AD397">
        <v>0</v>
      </c>
      <c r="AE397" s="13" t="s">
        <v>61</v>
      </c>
    </row>
    <row r="398" spans="1:31" x14ac:dyDescent="0.35">
      <c r="A398" s="13" t="s">
        <v>814</v>
      </c>
      <c r="B398" s="13" t="s">
        <v>755</v>
      </c>
      <c r="C398" s="13" t="s">
        <v>756</v>
      </c>
      <c r="D398" s="13" t="s">
        <v>126</v>
      </c>
      <c r="E398" s="13" t="s">
        <v>99</v>
      </c>
      <c r="F398" s="13" t="s">
        <v>100</v>
      </c>
      <c r="G398" s="13" t="s">
        <v>67</v>
      </c>
      <c r="H398">
        <v>80000</v>
      </c>
      <c r="I398" s="13" t="s">
        <v>121</v>
      </c>
      <c r="J398" s="13" t="s">
        <v>122</v>
      </c>
      <c r="K398" s="13" t="s">
        <v>107</v>
      </c>
      <c r="L398" s="13" t="s">
        <v>88</v>
      </c>
      <c r="M398">
        <v>60</v>
      </c>
      <c r="N398">
        <v>0</v>
      </c>
      <c r="O398" s="14">
        <v>45953</v>
      </c>
      <c r="P398" s="14">
        <v>46013</v>
      </c>
      <c r="Q398">
        <v>3224.95</v>
      </c>
      <c r="R398">
        <v>0</v>
      </c>
      <c r="S398">
        <v>0</v>
      </c>
      <c r="T398">
        <v>0</v>
      </c>
      <c r="U398">
        <v>0</v>
      </c>
      <c r="V398">
        <v>3224.95</v>
      </c>
      <c r="W398">
        <v>0</v>
      </c>
      <c r="X398">
        <v>1</v>
      </c>
      <c r="Y398">
        <v>1</v>
      </c>
      <c r="Z398">
        <v>9</v>
      </c>
      <c r="AA398">
        <v>2</v>
      </c>
      <c r="AB398" s="13" t="s">
        <v>405</v>
      </c>
      <c r="AC398">
        <v>0.25</v>
      </c>
      <c r="AD398">
        <v>0</v>
      </c>
      <c r="AE398" s="13" t="s">
        <v>61</v>
      </c>
    </row>
    <row r="399" spans="1:31" x14ac:dyDescent="0.35">
      <c r="A399" s="13" t="s">
        <v>815</v>
      </c>
      <c r="B399" s="13" t="s">
        <v>379</v>
      </c>
      <c r="C399" s="13" t="s">
        <v>380</v>
      </c>
      <c r="D399" s="13" t="s">
        <v>52</v>
      </c>
      <c r="E399" s="13" t="s">
        <v>77</v>
      </c>
      <c r="F399" s="13" t="s">
        <v>78</v>
      </c>
      <c r="G399" s="13" t="s">
        <v>92</v>
      </c>
      <c r="H399">
        <v>450000</v>
      </c>
      <c r="I399" s="13" t="s">
        <v>56</v>
      </c>
      <c r="J399" s="13" t="s">
        <v>57</v>
      </c>
      <c r="K399" s="13" t="s">
        <v>58</v>
      </c>
      <c r="L399" s="13" t="s">
        <v>59</v>
      </c>
      <c r="M399">
        <v>45</v>
      </c>
      <c r="N399">
        <v>0</v>
      </c>
      <c r="O399" s="14">
        <v>45953</v>
      </c>
      <c r="P399" s="14">
        <v>45998</v>
      </c>
      <c r="Q399">
        <v>11283.59</v>
      </c>
      <c r="R399">
        <v>0</v>
      </c>
      <c r="S399">
        <v>0</v>
      </c>
      <c r="T399">
        <v>1015.52</v>
      </c>
      <c r="U399">
        <v>0</v>
      </c>
      <c r="V399">
        <v>10268.07</v>
      </c>
      <c r="W399">
        <v>0</v>
      </c>
      <c r="X399">
        <v>1</v>
      </c>
      <c r="Y399">
        <v>1</v>
      </c>
      <c r="Z399">
        <v>24</v>
      </c>
      <c r="AA399">
        <v>2</v>
      </c>
      <c r="AB399" s="13" t="s">
        <v>405</v>
      </c>
      <c r="AC399">
        <v>0.25</v>
      </c>
      <c r="AD399">
        <v>0</v>
      </c>
      <c r="AE399" s="13" t="s">
        <v>377</v>
      </c>
    </row>
    <row r="400" spans="1:31" x14ac:dyDescent="0.35">
      <c r="A400" s="13" t="s">
        <v>816</v>
      </c>
      <c r="B400" s="13" t="s">
        <v>605</v>
      </c>
      <c r="C400" s="13" t="s">
        <v>606</v>
      </c>
      <c r="D400" s="13" t="s">
        <v>52</v>
      </c>
      <c r="E400" s="13" t="s">
        <v>65</v>
      </c>
      <c r="F400" s="13" t="s">
        <v>66</v>
      </c>
      <c r="G400" s="13" t="s">
        <v>67</v>
      </c>
      <c r="H400">
        <v>335000</v>
      </c>
      <c r="I400" s="13" t="s">
        <v>86</v>
      </c>
      <c r="J400" s="13" t="s">
        <v>87</v>
      </c>
      <c r="K400" s="13" t="s">
        <v>58</v>
      </c>
      <c r="L400" s="13" t="s">
        <v>59</v>
      </c>
      <c r="M400">
        <v>45</v>
      </c>
      <c r="N400">
        <v>0</v>
      </c>
      <c r="O400" s="14">
        <v>45953</v>
      </c>
      <c r="P400" s="14">
        <v>45998</v>
      </c>
      <c r="Q400">
        <v>15521.39</v>
      </c>
      <c r="R400">
        <v>0</v>
      </c>
      <c r="S400">
        <v>0</v>
      </c>
      <c r="T400">
        <v>0</v>
      </c>
      <c r="U400">
        <v>0</v>
      </c>
      <c r="V400">
        <v>15521.39</v>
      </c>
      <c r="W400">
        <v>0</v>
      </c>
      <c r="X400">
        <v>1</v>
      </c>
      <c r="Y400">
        <v>1</v>
      </c>
      <c r="Z400">
        <v>24</v>
      </c>
      <c r="AA400">
        <v>2</v>
      </c>
      <c r="AB400" s="13" t="s">
        <v>405</v>
      </c>
      <c r="AC400">
        <v>0.25</v>
      </c>
      <c r="AD400">
        <v>0</v>
      </c>
      <c r="AE400" s="13" t="s">
        <v>61</v>
      </c>
    </row>
    <row r="401" spans="1:31" x14ac:dyDescent="0.35">
      <c r="A401" s="13" t="s">
        <v>817</v>
      </c>
      <c r="B401" s="13" t="s">
        <v>390</v>
      </c>
      <c r="C401" s="13" t="s">
        <v>391</v>
      </c>
      <c r="D401" s="13" t="s">
        <v>52</v>
      </c>
      <c r="E401" s="13" t="s">
        <v>71</v>
      </c>
      <c r="F401" s="13" t="s">
        <v>72</v>
      </c>
      <c r="G401" s="13" t="s">
        <v>55</v>
      </c>
      <c r="H401">
        <v>320000</v>
      </c>
      <c r="I401" s="13" t="s">
        <v>86</v>
      </c>
      <c r="J401" s="13" t="s">
        <v>87</v>
      </c>
      <c r="K401" s="13" t="s">
        <v>58</v>
      </c>
      <c r="L401" s="13" t="s">
        <v>88</v>
      </c>
      <c r="M401">
        <v>60</v>
      </c>
      <c r="N401">
        <v>0</v>
      </c>
      <c r="O401" s="14">
        <v>45953</v>
      </c>
      <c r="P401" s="14">
        <v>46013</v>
      </c>
      <c r="Q401">
        <v>2949.05</v>
      </c>
      <c r="R401">
        <v>0</v>
      </c>
      <c r="S401">
        <v>0</v>
      </c>
      <c r="T401">
        <v>0</v>
      </c>
      <c r="U401">
        <v>0</v>
      </c>
      <c r="V401">
        <v>2949.05</v>
      </c>
      <c r="W401">
        <v>0</v>
      </c>
      <c r="X401">
        <v>1</v>
      </c>
      <c r="Y401">
        <v>1</v>
      </c>
      <c r="Z401">
        <v>9</v>
      </c>
      <c r="AA401">
        <v>2</v>
      </c>
      <c r="AB401" s="13" t="s">
        <v>405</v>
      </c>
      <c r="AC401">
        <v>0.25</v>
      </c>
      <c r="AD401">
        <v>0</v>
      </c>
      <c r="AE401" s="13" t="s">
        <v>348</v>
      </c>
    </row>
    <row r="402" spans="1:31" x14ac:dyDescent="0.35">
      <c r="A402" s="13" t="s">
        <v>818</v>
      </c>
      <c r="B402" s="13" t="s">
        <v>113</v>
      </c>
      <c r="C402" s="13" t="s">
        <v>114</v>
      </c>
      <c r="D402" s="13" t="s">
        <v>52</v>
      </c>
      <c r="E402" s="13" t="s">
        <v>77</v>
      </c>
      <c r="F402" s="13" t="s">
        <v>78</v>
      </c>
      <c r="G402" s="13" t="s">
        <v>92</v>
      </c>
      <c r="H402">
        <v>545000</v>
      </c>
      <c r="I402" s="13" t="s">
        <v>86</v>
      </c>
      <c r="J402" s="13" t="s">
        <v>87</v>
      </c>
      <c r="K402" s="13" t="s">
        <v>58</v>
      </c>
      <c r="L402" s="13" t="s">
        <v>88</v>
      </c>
      <c r="M402">
        <v>60</v>
      </c>
      <c r="N402">
        <v>0</v>
      </c>
      <c r="O402" s="14">
        <v>45953</v>
      </c>
      <c r="P402" s="14">
        <v>46013</v>
      </c>
      <c r="Q402">
        <v>2920.93</v>
      </c>
      <c r="R402">
        <v>0</v>
      </c>
      <c r="S402">
        <v>0</v>
      </c>
      <c r="T402">
        <v>0</v>
      </c>
      <c r="U402">
        <v>0</v>
      </c>
      <c r="V402">
        <v>2920.93</v>
      </c>
      <c r="W402">
        <v>0</v>
      </c>
      <c r="X402">
        <v>1</v>
      </c>
      <c r="Y402">
        <v>1</v>
      </c>
      <c r="Z402">
        <v>9</v>
      </c>
      <c r="AA402">
        <v>2</v>
      </c>
      <c r="AB402" s="13" t="s">
        <v>405</v>
      </c>
      <c r="AC402">
        <v>0.25</v>
      </c>
      <c r="AD402">
        <v>0</v>
      </c>
      <c r="AE402" s="13" t="s">
        <v>61</v>
      </c>
    </row>
    <row r="403" spans="1:31" x14ac:dyDescent="0.35">
      <c r="A403" s="13" t="s">
        <v>819</v>
      </c>
      <c r="B403" s="13" t="s">
        <v>820</v>
      </c>
      <c r="C403" s="13" t="s">
        <v>821</v>
      </c>
      <c r="D403" s="13" t="s">
        <v>104</v>
      </c>
      <c r="E403" s="13" t="s">
        <v>71</v>
      </c>
      <c r="F403" s="13" t="s">
        <v>214</v>
      </c>
      <c r="G403" s="13" t="s">
        <v>92</v>
      </c>
      <c r="H403">
        <v>35000</v>
      </c>
      <c r="I403" s="13" t="s">
        <v>121</v>
      </c>
      <c r="J403" s="13" t="s">
        <v>122</v>
      </c>
      <c r="K403" s="13" t="s">
        <v>107</v>
      </c>
      <c r="L403" s="13" t="s">
        <v>88</v>
      </c>
      <c r="M403">
        <v>60</v>
      </c>
      <c r="N403">
        <v>0</v>
      </c>
      <c r="O403" s="14">
        <v>45953</v>
      </c>
      <c r="P403" s="14">
        <v>46013</v>
      </c>
      <c r="Q403">
        <v>2068.44</v>
      </c>
      <c r="R403">
        <v>0</v>
      </c>
      <c r="S403">
        <v>0</v>
      </c>
      <c r="T403">
        <v>0</v>
      </c>
      <c r="U403">
        <v>0</v>
      </c>
      <c r="V403">
        <v>2068.44</v>
      </c>
      <c r="W403">
        <v>0</v>
      </c>
      <c r="X403">
        <v>1</v>
      </c>
      <c r="Y403">
        <v>1</v>
      </c>
      <c r="Z403">
        <v>9</v>
      </c>
      <c r="AA403">
        <v>2</v>
      </c>
      <c r="AB403" s="13" t="s">
        <v>405</v>
      </c>
      <c r="AC403">
        <v>0.25</v>
      </c>
      <c r="AD403">
        <v>0</v>
      </c>
      <c r="AE403" s="13" t="s">
        <v>61</v>
      </c>
    </row>
    <row r="404" spans="1:31" x14ac:dyDescent="0.35">
      <c r="A404" s="13" t="s">
        <v>822</v>
      </c>
      <c r="B404" s="13" t="s">
        <v>547</v>
      </c>
      <c r="C404" s="13" t="s">
        <v>548</v>
      </c>
      <c r="D404" s="13" t="s">
        <v>52</v>
      </c>
      <c r="E404" s="13" t="s">
        <v>71</v>
      </c>
      <c r="F404" s="13" t="s">
        <v>72</v>
      </c>
      <c r="G404" s="13" t="s">
        <v>92</v>
      </c>
      <c r="H404">
        <v>160000</v>
      </c>
      <c r="I404" s="13" t="s">
        <v>86</v>
      </c>
      <c r="J404" s="13" t="s">
        <v>87</v>
      </c>
      <c r="K404" s="13" t="s">
        <v>58</v>
      </c>
      <c r="L404" s="13" t="s">
        <v>88</v>
      </c>
      <c r="M404">
        <v>60</v>
      </c>
      <c r="N404">
        <v>0</v>
      </c>
      <c r="O404" s="14">
        <v>45953</v>
      </c>
      <c r="P404" s="14">
        <v>46013</v>
      </c>
      <c r="Q404">
        <v>16209.13</v>
      </c>
      <c r="R404">
        <v>0</v>
      </c>
      <c r="S404">
        <v>0</v>
      </c>
      <c r="T404">
        <v>0</v>
      </c>
      <c r="U404">
        <v>0</v>
      </c>
      <c r="V404">
        <v>16209.13</v>
      </c>
      <c r="W404">
        <v>0</v>
      </c>
      <c r="X404">
        <v>1</v>
      </c>
      <c r="Y404">
        <v>1</v>
      </c>
      <c r="Z404">
        <v>9</v>
      </c>
      <c r="AA404">
        <v>2</v>
      </c>
      <c r="AB404" s="13" t="s">
        <v>405</v>
      </c>
      <c r="AC404">
        <v>0.25</v>
      </c>
      <c r="AD404">
        <v>0</v>
      </c>
      <c r="AE404" s="13" t="s">
        <v>61</v>
      </c>
    </row>
    <row r="405" spans="1:31" x14ac:dyDescent="0.35">
      <c r="A405" s="13" t="s">
        <v>823</v>
      </c>
      <c r="B405" s="13" t="s">
        <v>409</v>
      </c>
      <c r="C405" s="13" t="s">
        <v>410</v>
      </c>
      <c r="D405" s="13" t="s">
        <v>126</v>
      </c>
      <c r="E405" s="13" t="s">
        <v>71</v>
      </c>
      <c r="F405" s="13" t="s">
        <v>72</v>
      </c>
      <c r="G405" s="13" t="s">
        <v>67</v>
      </c>
      <c r="H405">
        <v>195000</v>
      </c>
      <c r="I405" s="13" t="s">
        <v>56</v>
      </c>
      <c r="J405" s="13" t="s">
        <v>57</v>
      </c>
      <c r="K405" s="13" t="s">
        <v>58</v>
      </c>
      <c r="L405" s="13" t="s">
        <v>368</v>
      </c>
      <c r="M405">
        <v>90</v>
      </c>
      <c r="N405">
        <v>0</v>
      </c>
      <c r="O405" s="14">
        <v>45954</v>
      </c>
      <c r="P405" s="14">
        <v>46044</v>
      </c>
      <c r="Q405">
        <v>1620.31</v>
      </c>
      <c r="R405">
        <v>0</v>
      </c>
      <c r="S405">
        <v>0</v>
      </c>
      <c r="T405">
        <v>0</v>
      </c>
      <c r="U405">
        <v>0</v>
      </c>
      <c r="V405">
        <v>1620.31</v>
      </c>
      <c r="W405">
        <v>0</v>
      </c>
      <c r="X405">
        <v>1</v>
      </c>
      <c r="Y405">
        <v>0</v>
      </c>
      <c r="Z405">
        <v>-22</v>
      </c>
      <c r="AA405">
        <v>1</v>
      </c>
      <c r="AB405" s="13" t="s">
        <v>581</v>
      </c>
      <c r="AC405">
        <v>0</v>
      </c>
      <c r="AD405">
        <v>0</v>
      </c>
      <c r="AE405" s="13" t="s">
        <v>61</v>
      </c>
    </row>
    <row r="406" spans="1:31" x14ac:dyDescent="0.35">
      <c r="A406" s="13" t="s">
        <v>824</v>
      </c>
      <c r="B406" s="13" t="s">
        <v>825</v>
      </c>
      <c r="C406" s="13" t="s">
        <v>826</v>
      </c>
      <c r="D406" s="13" t="s">
        <v>104</v>
      </c>
      <c r="E406" s="13" t="s">
        <v>53</v>
      </c>
      <c r="F406" s="13" t="s">
        <v>135</v>
      </c>
      <c r="G406" s="13" t="s">
        <v>55</v>
      </c>
      <c r="H406">
        <v>75000</v>
      </c>
      <c r="I406" s="13" t="s">
        <v>105</v>
      </c>
      <c r="J406" s="13" t="s">
        <v>106</v>
      </c>
      <c r="K406" s="13" t="s">
        <v>107</v>
      </c>
      <c r="L406" s="13" t="s">
        <v>88</v>
      </c>
      <c r="M406">
        <v>60</v>
      </c>
      <c r="N406">
        <v>0</v>
      </c>
      <c r="O406" s="14">
        <v>45954</v>
      </c>
      <c r="P406" s="14">
        <v>46014</v>
      </c>
      <c r="Q406">
        <v>1707.74</v>
      </c>
      <c r="R406">
        <v>0</v>
      </c>
      <c r="S406">
        <v>0</v>
      </c>
      <c r="T406">
        <v>0</v>
      </c>
      <c r="U406">
        <v>0</v>
      </c>
      <c r="V406">
        <v>1707.74</v>
      </c>
      <c r="W406">
        <v>0</v>
      </c>
      <c r="X406">
        <v>1</v>
      </c>
      <c r="Y406">
        <v>1</v>
      </c>
      <c r="Z406">
        <v>8</v>
      </c>
      <c r="AA406">
        <v>2</v>
      </c>
      <c r="AB406" s="13" t="s">
        <v>405</v>
      </c>
      <c r="AC406">
        <v>0.25</v>
      </c>
      <c r="AD406">
        <v>0</v>
      </c>
      <c r="AE406" s="13" t="s">
        <v>61</v>
      </c>
    </row>
    <row r="407" spans="1:31" x14ac:dyDescent="0.35">
      <c r="A407" s="13" t="s">
        <v>827</v>
      </c>
      <c r="B407" s="13" t="s">
        <v>761</v>
      </c>
      <c r="C407" s="13" t="s">
        <v>762</v>
      </c>
      <c r="D407" s="13" t="s">
        <v>52</v>
      </c>
      <c r="E407" s="13" t="s">
        <v>71</v>
      </c>
      <c r="F407" s="13" t="s">
        <v>72</v>
      </c>
      <c r="G407" s="13" t="s">
        <v>67</v>
      </c>
      <c r="H407">
        <v>340000</v>
      </c>
      <c r="I407" s="13" t="s">
        <v>86</v>
      </c>
      <c r="J407" s="13" t="s">
        <v>87</v>
      </c>
      <c r="K407" s="13" t="s">
        <v>58</v>
      </c>
      <c r="L407" s="13" t="s">
        <v>59</v>
      </c>
      <c r="M407">
        <v>45</v>
      </c>
      <c r="N407">
        <v>0</v>
      </c>
      <c r="O407" s="14">
        <v>45954</v>
      </c>
      <c r="P407" s="14">
        <v>45999</v>
      </c>
      <c r="Q407">
        <v>2504.63</v>
      </c>
      <c r="R407">
        <v>1502.78</v>
      </c>
      <c r="S407">
        <v>0</v>
      </c>
      <c r="T407">
        <v>0</v>
      </c>
      <c r="U407">
        <v>0</v>
      </c>
      <c r="V407">
        <v>1001.85</v>
      </c>
      <c r="W407">
        <v>0</v>
      </c>
      <c r="X407">
        <v>1</v>
      </c>
      <c r="Y407">
        <v>1</v>
      </c>
      <c r="Z407">
        <v>23</v>
      </c>
      <c r="AA407">
        <v>2</v>
      </c>
      <c r="AB407" s="13" t="s">
        <v>405</v>
      </c>
      <c r="AC407">
        <v>0.25</v>
      </c>
      <c r="AD407">
        <v>0</v>
      </c>
      <c r="AE407" s="13" t="s">
        <v>61</v>
      </c>
    </row>
    <row r="408" spans="1:31" x14ac:dyDescent="0.35">
      <c r="A408" s="13" t="s">
        <v>828</v>
      </c>
      <c r="B408" s="13" t="s">
        <v>253</v>
      </c>
      <c r="C408" s="13" t="s">
        <v>254</v>
      </c>
      <c r="D408" s="13" t="s">
        <v>52</v>
      </c>
      <c r="E408" s="13" t="s">
        <v>65</v>
      </c>
      <c r="F408" s="13" t="s">
        <v>111</v>
      </c>
      <c r="G408" s="13" t="s">
        <v>55</v>
      </c>
      <c r="H408">
        <v>415000</v>
      </c>
      <c r="I408" s="13" t="s">
        <v>56</v>
      </c>
      <c r="J408" s="13" t="s">
        <v>57</v>
      </c>
      <c r="K408" s="13" t="s">
        <v>58</v>
      </c>
      <c r="L408" s="13" t="s">
        <v>59</v>
      </c>
      <c r="M408">
        <v>45</v>
      </c>
      <c r="N408">
        <v>0</v>
      </c>
      <c r="O408" s="14">
        <v>45954</v>
      </c>
      <c r="P408" s="14">
        <v>45999</v>
      </c>
      <c r="Q408">
        <v>14660.98</v>
      </c>
      <c r="R408">
        <v>8796.59</v>
      </c>
      <c r="S408">
        <v>0</v>
      </c>
      <c r="T408">
        <v>0</v>
      </c>
      <c r="U408">
        <v>0</v>
      </c>
      <c r="V408">
        <v>5864.39</v>
      </c>
      <c r="W408">
        <v>0</v>
      </c>
      <c r="X408">
        <v>1</v>
      </c>
      <c r="Y408">
        <v>1</v>
      </c>
      <c r="Z408">
        <v>23</v>
      </c>
      <c r="AA408">
        <v>2</v>
      </c>
      <c r="AB408" s="13" t="s">
        <v>405</v>
      </c>
      <c r="AC408">
        <v>0.25</v>
      </c>
      <c r="AD408">
        <v>0</v>
      </c>
      <c r="AE408" s="13" t="s">
        <v>61</v>
      </c>
    </row>
    <row r="409" spans="1:31" x14ac:dyDescent="0.35">
      <c r="A409" s="13" t="s">
        <v>829</v>
      </c>
      <c r="B409" s="13" t="s">
        <v>636</v>
      </c>
      <c r="C409" s="13" t="s">
        <v>637</v>
      </c>
      <c r="D409" s="13" t="s">
        <v>126</v>
      </c>
      <c r="E409" s="13" t="s">
        <v>65</v>
      </c>
      <c r="F409" s="13" t="s">
        <v>111</v>
      </c>
      <c r="G409" s="13" t="s">
        <v>67</v>
      </c>
      <c r="H409">
        <v>130000</v>
      </c>
      <c r="I409" s="13" t="s">
        <v>105</v>
      </c>
      <c r="J409" s="13" t="s">
        <v>106</v>
      </c>
      <c r="K409" s="13" t="s">
        <v>107</v>
      </c>
      <c r="L409" s="13" t="s">
        <v>368</v>
      </c>
      <c r="M409">
        <v>90</v>
      </c>
      <c r="N409">
        <v>0</v>
      </c>
      <c r="O409" s="14">
        <v>45954</v>
      </c>
      <c r="P409" s="14">
        <v>46044</v>
      </c>
      <c r="Q409">
        <v>7189.36</v>
      </c>
      <c r="R409">
        <v>0</v>
      </c>
      <c r="S409">
        <v>0</v>
      </c>
      <c r="T409">
        <v>0</v>
      </c>
      <c r="U409">
        <v>0</v>
      </c>
      <c r="V409">
        <v>7189.36</v>
      </c>
      <c r="W409">
        <v>0</v>
      </c>
      <c r="X409">
        <v>1</v>
      </c>
      <c r="Y409">
        <v>0</v>
      </c>
      <c r="Z409">
        <v>-22</v>
      </c>
      <c r="AA409">
        <v>1</v>
      </c>
      <c r="AB409" s="13" t="s">
        <v>581</v>
      </c>
      <c r="AC409">
        <v>0</v>
      </c>
      <c r="AD409">
        <v>0</v>
      </c>
      <c r="AE409" s="13" t="s">
        <v>61</v>
      </c>
    </row>
    <row r="410" spans="1:31" x14ac:dyDescent="0.35">
      <c r="A410" s="13" t="s">
        <v>830</v>
      </c>
      <c r="B410" s="13" t="s">
        <v>286</v>
      </c>
      <c r="C410" s="13" t="s">
        <v>287</v>
      </c>
      <c r="D410" s="13" t="s">
        <v>104</v>
      </c>
      <c r="E410" s="13" t="s">
        <v>77</v>
      </c>
      <c r="F410" s="13" t="s">
        <v>174</v>
      </c>
      <c r="G410" s="13" t="s">
        <v>92</v>
      </c>
      <c r="H410">
        <v>150000</v>
      </c>
      <c r="I410" s="13" t="s">
        <v>86</v>
      </c>
      <c r="J410" s="13" t="s">
        <v>87</v>
      </c>
      <c r="K410" s="13" t="s">
        <v>58</v>
      </c>
      <c r="L410" s="13" t="s">
        <v>95</v>
      </c>
      <c r="M410">
        <v>30</v>
      </c>
      <c r="N410">
        <v>0</v>
      </c>
      <c r="O410" s="14">
        <v>45954</v>
      </c>
      <c r="P410" s="14">
        <v>45984</v>
      </c>
      <c r="Q410">
        <v>903.75</v>
      </c>
      <c r="R410">
        <v>0</v>
      </c>
      <c r="S410">
        <v>0</v>
      </c>
      <c r="T410">
        <v>0</v>
      </c>
      <c r="U410">
        <v>0</v>
      </c>
      <c r="V410">
        <v>903.75</v>
      </c>
      <c r="W410">
        <v>0</v>
      </c>
      <c r="X410">
        <v>1</v>
      </c>
      <c r="Y410">
        <v>1</v>
      </c>
      <c r="Z410">
        <v>38</v>
      </c>
      <c r="AA410">
        <v>3</v>
      </c>
      <c r="AB410" s="13" t="s">
        <v>369</v>
      </c>
      <c r="AC410">
        <v>0.5</v>
      </c>
      <c r="AD410">
        <v>0</v>
      </c>
      <c r="AE410" s="13" t="s">
        <v>61</v>
      </c>
    </row>
    <row r="411" spans="1:31" x14ac:dyDescent="0.35">
      <c r="A411" s="13" t="s">
        <v>831</v>
      </c>
      <c r="B411" s="13" t="s">
        <v>442</v>
      </c>
      <c r="C411" s="13" t="s">
        <v>443</v>
      </c>
      <c r="D411" s="13" t="s">
        <v>104</v>
      </c>
      <c r="E411" s="13" t="s">
        <v>71</v>
      </c>
      <c r="F411" s="13" t="s">
        <v>214</v>
      </c>
      <c r="G411" s="13" t="s">
        <v>92</v>
      </c>
      <c r="H411">
        <v>145000</v>
      </c>
      <c r="I411" s="13" t="s">
        <v>121</v>
      </c>
      <c r="J411" s="13" t="s">
        <v>122</v>
      </c>
      <c r="K411" s="13" t="s">
        <v>107</v>
      </c>
      <c r="L411" s="13" t="s">
        <v>88</v>
      </c>
      <c r="M411">
        <v>60</v>
      </c>
      <c r="N411">
        <v>0</v>
      </c>
      <c r="O411" s="14">
        <v>45954</v>
      </c>
      <c r="P411" s="14">
        <v>46014</v>
      </c>
      <c r="Q411">
        <v>1665.47</v>
      </c>
      <c r="R411">
        <v>0</v>
      </c>
      <c r="S411">
        <v>0</v>
      </c>
      <c r="T411">
        <v>0</v>
      </c>
      <c r="U411">
        <v>0</v>
      </c>
      <c r="V411">
        <v>1665.47</v>
      </c>
      <c r="W411">
        <v>0</v>
      </c>
      <c r="X411">
        <v>1</v>
      </c>
      <c r="Y411">
        <v>1</v>
      </c>
      <c r="Z411">
        <v>8</v>
      </c>
      <c r="AA411">
        <v>2</v>
      </c>
      <c r="AB411" s="13" t="s">
        <v>405</v>
      </c>
      <c r="AC411">
        <v>0.25</v>
      </c>
      <c r="AD411">
        <v>0</v>
      </c>
      <c r="AE411" s="13" t="s">
        <v>61</v>
      </c>
    </row>
    <row r="412" spans="1:31" x14ac:dyDescent="0.35">
      <c r="A412" s="13" t="s">
        <v>832</v>
      </c>
      <c r="B412" s="13" t="s">
        <v>418</v>
      </c>
      <c r="C412" s="13" t="s">
        <v>419</v>
      </c>
      <c r="D412" s="13" t="s">
        <v>52</v>
      </c>
      <c r="E412" s="13" t="s">
        <v>99</v>
      </c>
      <c r="F412" s="13" t="s">
        <v>100</v>
      </c>
      <c r="G412" s="13" t="s">
        <v>67</v>
      </c>
      <c r="H412">
        <v>535000</v>
      </c>
      <c r="I412" s="13" t="s">
        <v>86</v>
      </c>
      <c r="J412" s="13" t="s">
        <v>87</v>
      </c>
      <c r="K412" s="13" t="s">
        <v>58</v>
      </c>
      <c r="L412" s="13" t="s">
        <v>59</v>
      </c>
      <c r="M412">
        <v>45</v>
      </c>
      <c r="N412">
        <v>0</v>
      </c>
      <c r="O412" s="14">
        <v>45954</v>
      </c>
      <c r="P412" s="14">
        <v>45999</v>
      </c>
      <c r="Q412">
        <v>1628.52</v>
      </c>
      <c r="R412">
        <v>0</v>
      </c>
      <c r="S412">
        <v>0</v>
      </c>
      <c r="T412">
        <v>0</v>
      </c>
      <c r="U412">
        <v>0</v>
      </c>
      <c r="V412">
        <v>1628.52</v>
      </c>
      <c r="W412">
        <v>0</v>
      </c>
      <c r="X412">
        <v>1</v>
      </c>
      <c r="Y412">
        <v>1</v>
      </c>
      <c r="Z412">
        <v>23</v>
      </c>
      <c r="AA412">
        <v>2</v>
      </c>
      <c r="AB412" s="13" t="s">
        <v>405</v>
      </c>
      <c r="AC412">
        <v>0.25</v>
      </c>
      <c r="AD412">
        <v>0</v>
      </c>
      <c r="AE412" s="13" t="s">
        <v>61</v>
      </c>
    </row>
    <row r="413" spans="1:31" x14ac:dyDescent="0.35">
      <c r="A413" s="13" t="s">
        <v>833</v>
      </c>
      <c r="B413" s="13" t="s">
        <v>834</v>
      </c>
      <c r="C413" s="13" t="s">
        <v>835</v>
      </c>
      <c r="D413" s="13" t="s">
        <v>104</v>
      </c>
      <c r="E413" s="13" t="s">
        <v>77</v>
      </c>
      <c r="F413" s="13" t="s">
        <v>174</v>
      </c>
      <c r="G413" s="13" t="s">
        <v>67</v>
      </c>
      <c r="H413">
        <v>140000</v>
      </c>
      <c r="I413" s="13" t="s">
        <v>105</v>
      </c>
      <c r="J413" s="13" t="s">
        <v>106</v>
      </c>
      <c r="K413" s="13" t="s">
        <v>107</v>
      </c>
      <c r="L413" s="13" t="s">
        <v>95</v>
      </c>
      <c r="M413">
        <v>30</v>
      </c>
      <c r="N413">
        <v>0</v>
      </c>
      <c r="O413" s="14">
        <v>45954</v>
      </c>
      <c r="P413" s="14">
        <v>45984</v>
      </c>
      <c r="Q413">
        <v>5718.64</v>
      </c>
      <c r="R413">
        <v>0</v>
      </c>
      <c r="S413">
        <v>0</v>
      </c>
      <c r="T413">
        <v>0</v>
      </c>
      <c r="U413">
        <v>0</v>
      </c>
      <c r="V413">
        <v>5718.64</v>
      </c>
      <c r="W413">
        <v>0</v>
      </c>
      <c r="X413">
        <v>1</v>
      </c>
      <c r="Y413">
        <v>1</v>
      </c>
      <c r="Z413">
        <v>38</v>
      </c>
      <c r="AA413">
        <v>3</v>
      </c>
      <c r="AB413" s="13" t="s">
        <v>369</v>
      </c>
      <c r="AC413">
        <v>0.5</v>
      </c>
      <c r="AD413">
        <v>0</v>
      </c>
      <c r="AE413" s="13" t="s">
        <v>61</v>
      </c>
    </row>
    <row r="414" spans="1:31" x14ac:dyDescent="0.35">
      <c r="A414" s="13" t="s">
        <v>836</v>
      </c>
      <c r="B414" s="13" t="s">
        <v>837</v>
      </c>
      <c r="C414" s="13" t="s">
        <v>838</v>
      </c>
      <c r="D414" s="13" t="s">
        <v>104</v>
      </c>
      <c r="E414" s="13" t="s">
        <v>99</v>
      </c>
      <c r="F414" s="13" t="s">
        <v>100</v>
      </c>
      <c r="G414" s="13" t="s">
        <v>67</v>
      </c>
      <c r="H414">
        <v>135000</v>
      </c>
      <c r="I414" s="13" t="s">
        <v>105</v>
      </c>
      <c r="J414" s="13" t="s">
        <v>106</v>
      </c>
      <c r="K414" s="13" t="s">
        <v>107</v>
      </c>
      <c r="L414" s="13" t="s">
        <v>95</v>
      </c>
      <c r="M414">
        <v>30</v>
      </c>
      <c r="N414">
        <v>0</v>
      </c>
      <c r="O414" s="14">
        <v>45954</v>
      </c>
      <c r="P414" s="14">
        <v>45984</v>
      </c>
      <c r="Q414">
        <v>1196.6199999999999</v>
      </c>
      <c r="R414">
        <v>717.97</v>
      </c>
      <c r="S414">
        <v>0</v>
      </c>
      <c r="T414">
        <v>0</v>
      </c>
      <c r="U414">
        <v>0</v>
      </c>
      <c r="V414">
        <v>478.65</v>
      </c>
      <c r="W414">
        <v>0</v>
      </c>
      <c r="X414">
        <v>1</v>
      </c>
      <c r="Y414">
        <v>1</v>
      </c>
      <c r="Z414">
        <v>38</v>
      </c>
      <c r="AA414">
        <v>3</v>
      </c>
      <c r="AB414" s="13" t="s">
        <v>369</v>
      </c>
      <c r="AC414">
        <v>0.5</v>
      </c>
      <c r="AD414">
        <v>0</v>
      </c>
      <c r="AE414" s="13" t="s">
        <v>61</v>
      </c>
    </row>
    <row r="415" spans="1:31" x14ac:dyDescent="0.35">
      <c r="A415" s="13" t="s">
        <v>839</v>
      </c>
      <c r="B415" s="13" t="s">
        <v>209</v>
      </c>
      <c r="C415" s="13" t="s">
        <v>210</v>
      </c>
      <c r="D415" s="13" t="s">
        <v>52</v>
      </c>
      <c r="E415" s="13" t="s">
        <v>77</v>
      </c>
      <c r="F415" s="13" t="s">
        <v>78</v>
      </c>
      <c r="G415" s="13" t="s">
        <v>55</v>
      </c>
      <c r="H415">
        <v>410000</v>
      </c>
      <c r="I415" s="13" t="s">
        <v>56</v>
      </c>
      <c r="J415" s="13" t="s">
        <v>57</v>
      </c>
      <c r="K415" s="13" t="s">
        <v>58</v>
      </c>
      <c r="L415" s="13" t="s">
        <v>88</v>
      </c>
      <c r="M415">
        <v>60</v>
      </c>
      <c r="N415">
        <v>0</v>
      </c>
      <c r="O415" s="14">
        <v>45954</v>
      </c>
      <c r="P415" s="14">
        <v>46014</v>
      </c>
      <c r="Q415">
        <v>4536.3599999999997</v>
      </c>
      <c r="R415">
        <v>0</v>
      </c>
      <c r="S415">
        <v>0</v>
      </c>
      <c r="T415">
        <v>0</v>
      </c>
      <c r="U415">
        <v>0</v>
      </c>
      <c r="V415">
        <v>4536.3599999999997</v>
      </c>
      <c r="W415">
        <v>0</v>
      </c>
      <c r="X415">
        <v>1</v>
      </c>
      <c r="Y415">
        <v>1</v>
      </c>
      <c r="Z415">
        <v>8</v>
      </c>
      <c r="AA415">
        <v>2</v>
      </c>
      <c r="AB415" s="13" t="s">
        <v>405</v>
      </c>
      <c r="AC415">
        <v>0.25</v>
      </c>
      <c r="AD415">
        <v>0</v>
      </c>
      <c r="AE415" s="13" t="s">
        <v>61</v>
      </c>
    </row>
    <row r="416" spans="1:31" x14ac:dyDescent="0.35">
      <c r="A416" s="13" t="s">
        <v>840</v>
      </c>
      <c r="B416" s="13" t="s">
        <v>516</v>
      </c>
      <c r="C416" s="13" t="s">
        <v>517</v>
      </c>
      <c r="D416" s="13" t="s">
        <v>52</v>
      </c>
      <c r="E416" s="13" t="s">
        <v>65</v>
      </c>
      <c r="F416" s="13" t="s">
        <v>66</v>
      </c>
      <c r="G416" s="13" t="s">
        <v>55</v>
      </c>
      <c r="H416">
        <v>305000</v>
      </c>
      <c r="I416" s="13" t="s">
        <v>56</v>
      </c>
      <c r="J416" s="13" t="s">
        <v>57</v>
      </c>
      <c r="K416" s="13" t="s">
        <v>58</v>
      </c>
      <c r="L416" s="13" t="s">
        <v>88</v>
      </c>
      <c r="M416">
        <v>60</v>
      </c>
      <c r="N416">
        <v>0</v>
      </c>
      <c r="O416" s="14">
        <v>45954</v>
      </c>
      <c r="P416" s="14">
        <v>46014</v>
      </c>
      <c r="Q416">
        <v>6785.93</v>
      </c>
      <c r="R416">
        <v>0</v>
      </c>
      <c r="S416">
        <v>0</v>
      </c>
      <c r="T416">
        <v>0</v>
      </c>
      <c r="U416">
        <v>0</v>
      </c>
      <c r="V416">
        <v>6785.93</v>
      </c>
      <c r="W416">
        <v>0</v>
      </c>
      <c r="X416">
        <v>1</v>
      </c>
      <c r="Y416">
        <v>1</v>
      </c>
      <c r="Z416">
        <v>8</v>
      </c>
      <c r="AA416">
        <v>2</v>
      </c>
      <c r="AB416" s="13" t="s">
        <v>405</v>
      </c>
      <c r="AC416">
        <v>0.25</v>
      </c>
      <c r="AD416">
        <v>0</v>
      </c>
      <c r="AE416" s="13" t="s">
        <v>61</v>
      </c>
    </row>
    <row r="417" spans="1:31" x14ac:dyDescent="0.35">
      <c r="A417" s="13" t="s">
        <v>841</v>
      </c>
      <c r="B417" s="13" t="s">
        <v>317</v>
      </c>
      <c r="C417" s="13" t="s">
        <v>318</v>
      </c>
      <c r="D417" s="13" t="s">
        <v>52</v>
      </c>
      <c r="E417" s="13" t="s">
        <v>77</v>
      </c>
      <c r="F417" s="13" t="s">
        <v>78</v>
      </c>
      <c r="G417" s="13" t="s">
        <v>67</v>
      </c>
      <c r="H417">
        <v>390000</v>
      </c>
      <c r="I417" s="13" t="s">
        <v>56</v>
      </c>
      <c r="J417" s="13" t="s">
        <v>57</v>
      </c>
      <c r="K417" s="13" t="s">
        <v>58</v>
      </c>
      <c r="L417" s="13" t="s">
        <v>88</v>
      </c>
      <c r="M417">
        <v>60</v>
      </c>
      <c r="N417">
        <v>0</v>
      </c>
      <c r="O417" s="14">
        <v>45954</v>
      </c>
      <c r="P417" s="14">
        <v>46014</v>
      </c>
      <c r="Q417">
        <v>3953.49</v>
      </c>
      <c r="R417">
        <v>0</v>
      </c>
      <c r="S417">
        <v>0</v>
      </c>
      <c r="T417">
        <v>0</v>
      </c>
      <c r="U417">
        <v>0</v>
      </c>
      <c r="V417">
        <v>3953.49</v>
      </c>
      <c r="W417">
        <v>0</v>
      </c>
      <c r="X417">
        <v>1</v>
      </c>
      <c r="Y417">
        <v>1</v>
      </c>
      <c r="Z417">
        <v>8</v>
      </c>
      <c r="AA417">
        <v>2</v>
      </c>
      <c r="AB417" s="13" t="s">
        <v>405</v>
      </c>
      <c r="AC417">
        <v>0.25</v>
      </c>
      <c r="AD417">
        <v>0</v>
      </c>
      <c r="AE417" s="13" t="s">
        <v>61</v>
      </c>
    </row>
    <row r="418" spans="1:31" x14ac:dyDescent="0.35">
      <c r="A418" s="13" t="s">
        <v>842</v>
      </c>
      <c r="B418" s="13" t="s">
        <v>788</v>
      </c>
      <c r="C418" s="13" t="s">
        <v>789</v>
      </c>
      <c r="D418" s="13" t="s">
        <v>52</v>
      </c>
      <c r="E418" s="13" t="s">
        <v>53</v>
      </c>
      <c r="F418" s="13" t="s">
        <v>54</v>
      </c>
      <c r="G418" s="13" t="s">
        <v>67</v>
      </c>
      <c r="H418">
        <v>405000</v>
      </c>
      <c r="I418" s="13" t="s">
        <v>86</v>
      </c>
      <c r="J418" s="13" t="s">
        <v>87</v>
      </c>
      <c r="K418" s="13" t="s">
        <v>58</v>
      </c>
      <c r="L418" s="13" t="s">
        <v>88</v>
      </c>
      <c r="M418">
        <v>60</v>
      </c>
      <c r="N418">
        <v>0</v>
      </c>
      <c r="O418" s="14">
        <v>45954</v>
      </c>
      <c r="P418" s="14">
        <v>46014</v>
      </c>
      <c r="Q418">
        <v>2503.0300000000002</v>
      </c>
      <c r="R418">
        <v>0</v>
      </c>
      <c r="S418">
        <v>0</v>
      </c>
      <c r="T418">
        <v>0</v>
      </c>
      <c r="U418">
        <v>0</v>
      </c>
      <c r="V418">
        <v>2503.0300000000002</v>
      </c>
      <c r="W418">
        <v>0</v>
      </c>
      <c r="X418">
        <v>1</v>
      </c>
      <c r="Y418">
        <v>1</v>
      </c>
      <c r="Z418">
        <v>8</v>
      </c>
      <c r="AA418">
        <v>2</v>
      </c>
      <c r="AB418" s="13" t="s">
        <v>405</v>
      </c>
      <c r="AC418">
        <v>0.25</v>
      </c>
      <c r="AD418">
        <v>0</v>
      </c>
      <c r="AE418" s="13" t="s">
        <v>61</v>
      </c>
    </row>
    <row r="419" spans="1:31" x14ac:dyDescent="0.35">
      <c r="A419" s="13" t="s">
        <v>843</v>
      </c>
      <c r="B419" s="13" t="s">
        <v>296</v>
      </c>
      <c r="C419" s="13" t="s">
        <v>297</v>
      </c>
      <c r="D419" s="13" t="s">
        <v>104</v>
      </c>
      <c r="E419" s="13" t="s">
        <v>65</v>
      </c>
      <c r="F419" s="13" t="s">
        <v>111</v>
      </c>
      <c r="G419" s="13" t="s">
        <v>92</v>
      </c>
      <c r="H419">
        <v>125000</v>
      </c>
      <c r="I419" s="13" t="s">
        <v>105</v>
      </c>
      <c r="J419" s="13" t="s">
        <v>106</v>
      </c>
      <c r="K419" s="13" t="s">
        <v>107</v>
      </c>
      <c r="L419" s="13" t="s">
        <v>82</v>
      </c>
      <c r="M419">
        <v>30</v>
      </c>
      <c r="N419">
        <v>2</v>
      </c>
      <c r="O419" s="14">
        <v>45954</v>
      </c>
      <c r="P419" s="14">
        <v>45984</v>
      </c>
      <c r="Q419">
        <v>8722.01</v>
      </c>
      <c r="R419">
        <v>0</v>
      </c>
      <c r="S419">
        <v>0</v>
      </c>
      <c r="T419">
        <v>0</v>
      </c>
      <c r="U419">
        <v>0</v>
      </c>
      <c r="V419">
        <v>8722.01</v>
      </c>
      <c r="W419">
        <v>0</v>
      </c>
      <c r="X419">
        <v>1</v>
      </c>
      <c r="Y419">
        <v>1</v>
      </c>
      <c r="Z419">
        <v>38</v>
      </c>
      <c r="AA419">
        <v>3</v>
      </c>
      <c r="AB419" s="13" t="s">
        <v>369</v>
      </c>
      <c r="AC419">
        <v>0.5</v>
      </c>
      <c r="AD419">
        <v>0</v>
      </c>
      <c r="AE419" s="13" t="s">
        <v>61</v>
      </c>
    </row>
    <row r="420" spans="1:31" x14ac:dyDescent="0.35">
      <c r="A420" s="13" t="s">
        <v>844</v>
      </c>
      <c r="B420" s="13" t="s">
        <v>430</v>
      </c>
      <c r="C420" s="13" t="s">
        <v>431</v>
      </c>
      <c r="D420" s="13" t="s">
        <v>126</v>
      </c>
      <c r="E420" s="13" t="s">
        <v>77</v>
      </c>
      <c r="F420" s="13" t="s">
        <v>174</v>
      </c>
      <c r="G420" s="13" t="s">
        <v>67</v>
      </c>
      <c r="H420">
        <v>195000</v>
      </c>
      <c r="I420" s="13" t="s">
        <v>56</v>
      </c>
      <c r="J420" s="13" t="s">
        <v>57</v>
      </c>
      <c r="K420" s="13" t="s">
        <v>58</v>
      </c>
      <c r="L420" s="13" t="s">
        <v>368</v>
      </c>
      <c r="M420">
        <v>90</v>
      </c>
      <c r="N420">
        <v>0</v>
      </c>
      <c r="O420" s="14">
        <v>45954</v>
      </c>
      <c r="P420" s="14">
        <v>46044</v>
      </c>
      <c r="Q420">
        <v>4770.28</v>
      </c>
      <c r="R420">
        <v>0</v>
      </c>
      <c r="S420">
        <v>0</v>
      </c>
      <c r="T420">
        <v>0</v>
      </c>
      <c r="U420">
        <v>0</v>
      </c>
      <c r="V420">
        <v>4770.28</v>
      </c>
      <c r="W420">
        <v>0</v>
      </c>
      <c r="X420">
        <v>1</v>
      </c>
      <c r="Y420">
        <v>0</v>
      </c>
      <c r="Z420">
        <v>-22</v>
      </c>
      <c r="AA420">
        <v>1</v>
      </c>
      <c r="AB420" s="13" t="s">
        <v>581</v>
      </c>
      <c r="AC420">
        <v>0</v>
      </c>
      <c r="AD420">
        <v>0</v>
      </c>
      <c r="AE420" s="13" t="s">
        <v>61</v>
      </c>
    </row>
    <row r="421" spans="1:31" x14ac:dyDescent="0.35">
      <c r="A421" s="13" t="s">
        <v>845</v>
      </c>
      <c r="B421" s="13" t="s">
        <v>206</v>
      </c>
      <c r="C421" s="13" t="s">
        <v>207</v>
      </c>
      <c r="D421" s="13" t="s">
        <v>52</v>
      </c>
      <c r="E421" s="13" t="s">
        <v>65</v>
      </c>
      <c r="F421" s="13" t="s">
        <v>111</v>
      </c>
      <c r="G421" s="13" t="s">
        <v>92</v>
      </c>
      <c r="H421">
        <v>490000</v>
      </c>
      <c r="I421" s="13" t="s">
        <v>86</v>
      </c>
      <c r="J421" s="13" t="s">
        <v>87</v>
      </c>
      <c r="K421" s="13" t="s">
        <v>58</v>
      </c>
      <c r="L421" s="13" t="s">
        <v>88</v>
      </c>
      <c r="M421">
        <v>60</v>
      </c>
      <c r="N421">
        <v>0</v>
      </c>
      <c r="O421" s="14">
        <v>45954</v>
      </c>
      <c r="P421" s="14">
        <v>46014</v>
      </c>
      <c r="Q421">
        <v>2318.59</v>
      </c>
      <c r="R421">
        <v>0</v>
      </c>
      <c r="S421">
        <v>0</v>
      </c>
      <c r="T421">
        <v>0</v>
      </c>
      <c r="U421">
        <v>0</v>
      </c>
      <c r="V421">
        <v>2318.59</v>
      </c>
      <c r="W421">
        <v>0</v>
      </c>
      <c r="X421">
        <v>1</v>
      </c>
      <c r="Y421">
        <v>1</v>
      </c>
      <c r="Z421">
        <v>8</v>
      </c>
      <c r="AA421">
        <v>2</v>
      </c>
      <c r="AB421" s="13" t="s">
        <v>405</v>
      </c>
      <c r="AC421">
        <v>0.25</v>
      </c>
      <c r="AD421">
        <v>0</v>
      </c>
      <c r="AE421" s="13" t="s">
        <v>61</v>
      </c>
    </row>
    <row r="422" spans="1:31" x14ac:dyDescent="0.35">
      <c r="A422" s="13" t="s">
        <v>846</v>
      </c>
      <c r="B422" s="13" t="s">
        <v>212</v>
      </c>
      <c r="C422" s="13" t="s">
        <v>213</v>
      </c>
      <c r="D422" s="13" t="s">
        <v>52</v>
      </c>
      <c r="E422" s="13" t="s">
        <v>71</v>
      </c>
      <c r="F422" s="13" t="s">
        <v>214</v>
      </c>
      <c r="G422" s="13" t="s">
        <v>92</v>
      </c>
      <c r="H422">
        <v>380000</v>
      </c>
      <c r="I422" s="13" t="s">
        <v>86</v>
      </c>
      <c r="J422" s="13" t="s">
        <v>87</v>
      </c>
      <c r="K422" s="13" t="s">
        <v>58</v>
      </c>
      <c r="L422" s="13" t="s">
        <v>88</v>
      </c>
      <c r="M422">
        <v>60</v>
      </c>
      <c r="N422">
        <v>0</v>
      </c>
      <c r="O422" s="14">
        <v>45954</v>
      </c>
      <c r="P422" s="14">
        <v>46014</v>
      </c>
      <c r="Q422">
        <v>4016.93</v>
      </c>
      <c r="R422">
        <v>0</v>
      </c>
      <c r="S422">
        <v>0</v>
      </c>
      <c r="T422">
        <v>0</v>
      </c>
      <c r="U422">
        <v>0</v>
      </c>
      <c r="V422">
        <v>4016.93</v>
      </c>
      <c r="W422">
        <v>0</v>
      </c>
      <c r="X422">
        <v>1</v>
      </c>
      <c r="Y422">
        <v>1</v>
      </c>
      <c r="Z422">
        <v>8</v>
      </c>
      <c r="AA422">
        <v>2</v>
      </c>
      <c r="AB422" s="13" t="s">
        <v>405</v>
      </c>
      <c r="AC422">
        <v>0.25</v>
      </c>
      <c r="AD422">
        <v>0</v>
      </c>
      <c r="AE422" s="13" t="s">
        <v>61</v>
      </c>
    </row>
    <row r="423" spans="1:31" x14ac:dyDescent="0.35">
      <c r="A423" s="13" t="s">
        <v>847</v>
      </c>
      <c r="B423" s="13" t="s">
        <v>273</v>
      </c>
      <c r="C423" s="13" t="s">
        <v>274</v>
      </c>
      <c r="D423" s="13" t="s">
        <v>104</v>
      </c>
      <c r="E423" s="13" t="s">
        <v>71</v>
      </c>
      <c r="F423" s="13" t="s">
        <v>72</v>
      </c>
      <c r="G423" s="13" t="s">
        <v>92</v>
      </c>
      <c r="H423">
        <v>120000</v>
      </c>
      <c r="I423" s="13" t="s">
        <v>105</v>
      </c>
      <c r="J423" s="13" t="s">
        <v>106</v>
      </c>
      <c r="K423" s="13" t="s">
        <v>107</v>
      </c>
      <c r="L423" s="13" t="s">
        <v>88</v>
      </c>
      <c r="M423">
        <v>60</v>
      </c>
      <c r="N423">
        <v>0</v>
      </c>
      <c r="O423" s="14">
        <v>45957</v>
      </c>
      <c r="P423" s="14">
        <v>46017</v>
      </c>
      <c r="Q423">
        <v>1607.31</v>
      </c>
      <c r="R423">
        <v>0</v>
      </c>
      <c r="S423">
        <v>0</v>
      </c>
      <c r="T423">
        <v>0</v>
      </c>
      <c r="U423">
        <v>0</v>
      </c>
      <c r="V423">
        <v>1607.31</v>
      </c>
      <c r="W423">
        <v>0</v>
      </c>
      <c r="X423">
        <v>1</v>
      </c>
      <c r="Y423">
        <v>1</v>
      </c>
      <c r="Z423">
        <v>5</v>
      </c>
      <c r="AA423">
        <v>2</v>
      </c>
      <c r="AB423" s="13" t="s">
        <v>405</v>
      </c>
      <c r="AC423">
        <v>0.25</v>
      </c>
      <c r="AD423">
        <v>0</v>
      </c>
      <c r="AE423" s="13" t="s">
        <v>61</v>
      </c>
    </row>
    <row r="424" spans="1:31" x14ac:dyDescent="0.35">
      <c r="A424" s="13" t="s">
        <v>848</v>
      </c>
      <c r="B424" s="13" t="s">
        <v>137</v>
      </c>
      <c r="C424" s="13" t="s">
        <v>138</v>
      </c>
      <c r="D424" s="13" t="s">
        <v>52</v>
      </c>
      <c r="E424" s="13" t="s">
        <v>53</v>
      </c>
      <c r="F424" s="13" t="s">
        <v>135</v>
      </c>
      <c r="G424" s="13" t="s">
        <v>92</v>
      </c>
      <c r="H424">
        <v>355000</v>
      </c>
      <c r="I424" s="13" t="s">
        <v>56</v>
      </c>
      <c r="J424" s="13" t="s">
        <v>57</v>
      </c>
      <c r="K424" s="13" t="s">
        <v>58</v>
      </c>
      <c r="L424" s="13" t="s">
        <v>88</v>
      </c>
      <c r="M424">
        <v>60</v>
      </c>
      <c r="N424">
        <v>0</v>
      </c>
      <c r="O424" s="14">
        <v>45957</v>
      </c>
      <c r="P424" s="14">
        <v>46017</v>
      </c>
      <c r="Q424">
        <v>5113.7299999999996</v>
      </c>
      <c r="R424">
        <v>0</v>
      </c>
      <c r="S424">
        <v>0</v>
      </c>
      <c r="T424">
        <v>0</v>
      </c>
      <c r="U424">
        <v>0</v>
      </c>
      <c r="V424">
        <v>5113.7299999999996</v>
      </c>
      <c r="W424">
        <v>0</v>
      </c>
      <c r="X424">
        <v>1</v>
      </c>
      <c r="Y424">
        <v>1</v>
      </c>
      <c r="Z424">
        <v>5</v>
      </c>
      <c r="AA424">
        <v>2</v>
      </c>
      <c r="AB424" s="13" t="s">
        <v>405</v>
      </c>
      <c r="AC424">
        <v>0.25</v>
      </c>
      <c r="AD424">
        <v>0</v>
      </c>
      <c r="AE424" s="13" t="s">
        <v>61</v>
      </c>
    </row>
    <row r="425" spans="1:31" x14ac:dyDescent="0.35">
      <c r="A425" s="13" t="s">
        <v>849</v>
      </c>
      <c r="B425" s="13" t="s">
        <v>716</v>
      </c>
      <c r="C425" s="13" t="s">
        <v>717</v>
      </c>
      <c r="D425" s="13" t="s">
        <v>126</v>
      </c>
      <c r="E425" s="13" t="s">
        <v>99</v>
      </c>
      <c r="F425" s="13" t="s">
        <v>127</v>
      </c>
      <c r="G425" s="13" t="s">
        <v>67</v>
      </c>
      <c r="H425">
        <v>195000</v>
      </c>
      <c r="I425" s="13" t="s">
        <v>86</v>
      </c>
      <c r="J425" s="13" t="s">
        <v>87</v>
      </c>
      <c r="K425" s="13" t="s">
        <v>58</v>
      </c>
      <c r="L425" s="13" t="s">
        <v>88</v>
      </c>
      <c r="M425">
        <v>60</v>
      </c>
      <c r="N425">
        <v>0</v>
      </c>
      <c r="O425" s="14">
        <v>45957</v>
      </c>
      <c r="P425" s="14">
        <v>46017</v>
      </c>
      <c r="Q425">
        <v>1071.04</v>
      </c>
      <c r="R425">
        <v>0</v>
      </c>
      <c r="S425">
        <v>0</v>
      </c>
      <c r="T425">
        <v>0</v>
      </c>
      <c r="U425">
        <v>0</v>
      </c>
      <c r="V425">
        <v>1071.04</v>
      </c>
      <c r="W425">
        <v>0</v>
      </c>
      <c r="X425">
        <v>1</v>
      </c>
      <c r="Y425">
        <v>1</v>
      </c>
      <c r="Z425">
        <v>5</v>
      </c>
      <c r="AA425">
        <v>2</v>
      </c>
      <c r="AB425" s="13" t="s">
        <v>405</v>
      </c>
      <c r="AC425">
        <v>0.25</v>
      </c>
      <c r="AD425">
        <v>0</v>
      </c>
      <c r="AE425" s="13" t="s">
        <v>61</v>
      </c>
    </row>
    <row r="426" spans="1:31" x14ac:dyDescent="0.35">
      <c r="A426" s="13" t="s">
        <v>850</v>
      </c>
      <c r="B426" s="13" t="s">
        <v>478</v>
      </c>
      <c r="C426" s="13" t="s">
        <v>479</v>
      </c>
      <c r="D426" s="13" t="s">
        <v>52</v>
      </c>
      <c r="E426" s="13" t="s">
        <v>77</v>
      </c>
      <c r="F426" s="13" t="s">
        <v>174</v>
      </c>
      <c r="G426" s="13" t="s">
        <v>55</v>
      </c>
      <c r="H426">
        <v>385000</v>
      </c>
      <c r="I426" s="13" t="s">
        <v>86</v>
      </c>
      <c r="J426" s="13" t="s">
        <v>87</v>
      </c>
      <c r="K426" s="13" t="s">
        <v>58</v>
      </c>
      <c r="L426" s="13" t="s">
        <v>88</v>
      </c>
      <c r="M426">
        <v>60</v>
      </c>
      <c r="N426">
        <v>0</v>
      </c>
      <c r="O426" s="14">
        <v>45957</v>
      </c>
      <c r="P426" s="14">
        <v>46017</v>
      </c>
      <c r="Q426">
        <v>1626.35</v>
      </c>
      <c r="R426">
        <v>0</v>
      </c>
      <c r="S426">
        <v>0</v>
      </c>
      <c r="T426">
        <v>0</v>
      </c>
      <c r="U426">
        <v>0</v>
      </c>
      <c r="V426">
        <v>1626.35</v>
      </c>
      <c r="W426">
        <v>0</v>
      </c>
      <c r="X426">
        <v>1</v>
      </c>
      <c r="Y426">
        <v>1</v>
      </c>
      <c r="Z426">
        <v>5</v>
      </c>
      <c r="AA426">
        <v>2</v>
      </c>
      <c r="AB426" s="13" t="s">
        <v>405</v>
      </c>
      <c r="AC426">
        <v>0.25</v>
      </c>
      <c r="AD426">
        <v>0</v>
      </c>
      <c r="AE426" s="13" t="s">
        <v>61</v>
      </c>
    </row>
    <row r="427" spans="1:31" x14ac:dyDescent="0.35">
      <c r="A427" s="13" t="s">
        <v>851</v>
      </c>
      <c r="B427" s="13" t="s">
        <v>442</v>
      </c>
      <c r="C427" s="13" t="s">
        <v>443</v>
      </c>
      <c r="D427" s="13" t="s">
        <v>104</v>
      </c>
      <c r="E427" s="13" t="s">
        <v>71</v>
      </c>
      <c r="F427" s="13" t="s">
        <v>214</v>
      </c>
      <c r="G427" s="13" t="s">
        <v>92</v>
      </c>
      <c r="H427">
        <v>145000</v>
      </c>
      <c r="I427" s="13" t="s">
        <v>121</v>
      </c>
      <c r="J427" s="13" t="s">
        <v>122</v>
      </c>
      <c r="K427" s="13" t="s">
        <v>107</v>
      </c>
      <c r="L427" s="13" t="s">
        <v>88</v>
      </c>
      <c r="M427">
        <v>60</v>
      </c>
      <c r="N427">
        <v>0</v>
      </c>
      <c r="O427" s="14">
        <v>45957</v>
      </c>
      <c r="P427" s="14">
        <v>46017</v>
      </c>
      <c r="Q427">
        <v>6470.55</v>
      </c>
      <c r="R427">
        <v>0</v>
      </c>
      <c r="S427">
        <v>0</v>
      </c>
      <c r="T427">
        <v>0</v>
      </c>
      <c r="U427">
        <v>0</v>
      </c>
      <c r="V427">
        <v>6470.55</v>
      </c>
      <c r="W427">
        <v>0</v>
      </c>
      <c r="X427">
        <v>1</v>
      </c>
      <c r="Y427">
        <v>1</v>
      </c>
      <c r="Z427">
        <v>5</v>
      </c>
      <c r="AA427">
        <v>2</v>
      </c>
      <c r="AB427" s="13" t="s">
        <v>405</v>
      </c>
      <c r="AC427">
        <v>0.25</v>
      </c>
      <c r="AD427">
        <v>0</v>
      </c>
      <c r="AE427" s="13" t="s">
        <v>61</v>
      </c>
    </row>
    <row r="428" spans="1:31" x14ac:dyDescent="0.35">
      <c r="A428" s="13" t="s">
        <v>852</v>
      </c>
      <c r="B428" s="13" t="s">
        <v>418</v>
      </c>
      <c r="C428" s="13" t="s">
        <v>419</v>
      </c>
      <c r="D428" s="13" t="s">
        <v>52</v>
      </c>
      <c r="E428" s="13" t="s">
        <v>99</v>
      </c>
      <c r="F428" s="13" t="s">
        <v>100</v>
      </c>
      <c r="G428" s="13" t="s">
        <v>67</v>
      </c>
      <c r="H428">
        <v>535000</v>
      </c>
      <c r="I428" s="13" t="s">
        <v>86</v>
      </c>
      <c r="J428" s="13" t="s">
        <v>87</v>
      </c>
      <c r="K428" s="13" t="s">
        <v>58</v>
      </c>
      <c r="L428" s="13" t="s">
        <v>59</v>
      </c>
      <c r="M428">
        <v>45</v>
      </c>
      <c r="N428">
        <v>0</v>
      </c>
      <c r="O428" s="14">
        <v>45957</v>
      </c>
      <c r="P428" s="14">
        <v>46002</v>
      </c>
      <c r="Q428">
        <v>14103.1</v>
      </c>
      <c r="R428">
        <v>0</v>
      </c>
      <c r="S428">
        <v>0</v>
      </c>
      <c r="T428">
        <v>0</v>
      </c>
      <c r="U428">
        <v>0</v>
      </c>
      <c r="V428">
        <v>14103.1</v>
      </c>
      <c r="W428">
        <v>0</v>
      </c>
      <c r="X428">
        <v>1</v>
      </c>
      <c r="Y428">
        <v>1</v>
      </c>
      <c r="Z428">
        <v>20</v>
      </c>
      <c r="AA428">
        <v>2</v>
      </c>
      <c r="AB428" s="13" t="s">
        <v>405</v>
      </c>
      <c r="AC428">
        <v>0.25</v>
      </c>
      <c r="AD428">
        <v>0</v>
      </c>
      <c r="AE428" s="13" t="s">
        <v>61</v>
      </c>
    </row>
    <row r="429" spans="1:31" x14ac:dyDescent="0.35">
      <c r="A429" s="13" t="s">
        <v>853</v>
      </c>
      <c r="B429" s="13" t="s">
        <v>854</v>
      </c>
      <c r="C429" s="13" t="s">
        <v>855</v>
      </c>
      <c r="D429" s="13" t="s">
        <v>52</v>
      </c>
      <c r="E429" s="13" t="s">
        <v>77</v>
      </c>
      <c r="F429" s="13" t="s">
        <v>78</v>
      </c>
      <c r="G429" s="13" t="s">
        <v>67</v>
      </c>
      <c r="H429">
        <v>385000</v>
      </c>
      <c r="I429" s="13" t="s">
        <v>86</v>
      </c>
      <c r="J429" s="13" t="s">
        <v>87</v>
      </c>
      <c r="K429" s="13" t="s">
        <v>58</v>
      </c>
      <c r="L429" s="13" t="s">
        <v>88</v>
      </c>
      <c r="M429">
        <v>60</v>
      </c>
      <c r="N429">
        <v>0</v>
      </c>
      <c r="O429" s="14">
        <v>45957</v>
      </c>
      <c r="P429" s="14">
        <v>46017</v>
      </c>
      <c r="Q429">
        <v>15767.53</v>
      </c>
      <c r="R429">
        <v>0</v>
      </c>
      <c r="S429">
        <v>0</v>
      </c>
      <c r="T429">
        <v>0</v>
      </c>
      <c r="U429">
        <v>0</v>
      </c>
      <c r="V429">
        <v>15767.53</v>
      </c>
      <c r="W429">
        <v>0</v>
      </c>
      <c r="X429">
        <v>1</v>
      </c>
      <c r="Y429">
        <v>1</v>
      </c>
      <c r="Z429">
        <v>5</v>
      </c>
      <c r="AA429">
        <v>2</v>
      </c>
      <c r="AB429" s="13" t="s">
        <v>405</v>
      </c>
      <c r="AC429">
        <v>0.25</v>
      </c>
      <c r="AD429">
        <v>0</v>
      </c>
      <c r="AE429" s="13" t="s">
        <v>61</v>
      </c>
    </row>
    <row r="430" spans="1:31" x14ac:dyDescent="0.35">
      <c r="A430" s="13" t="s">
        <v>856</v>
      </c>
      <c r="B430" s="13" t="s">
        <v>857</v>
      </c>
      <c r="C430" s="13" t="s">
        <v>858</v>
      </c>
      <c r="D430" s="13" t="s">
        <v>126</v>
      </c>
      <c r="E430" s="13" t="s">
        <v>99</v>
      </c>
      <c r="F430" s="13" t="s">
        <v>127</v>
      </c>
      <c r="G430" s="13" t="s">
        <v>55</v>
      </c>
      <c r="H430">
        <v>160000</v>
      </c>
      <c r="I430" s="13" t="s">
        <v>56</v>
      </c>
      <c r="J430" s="13" t="s">
        <v>57</v>
      </c>
      <c r="K430" s="13" t="s">
        <v>58</v>
      </c>
      <c r="L430" s="13" t="s">
        <v>88</v>
      </c>
      <c r="M430">
        <v>60</v>
      </c>
      <c r="N430">
        <v>0</v>
      </c>
      <c r="O430" s="14">
        <v>45957</v>
      </c>
      <c r="P430" s="14">
        <v>46017</v>
      </c>
      <c r="Q430">
        <v>6695.63</v>
      </c>
      <c r="R430">
        <v>0</v>
      </c>
      <c r="S430">
        <v>0</v>
      </c>
      <c r="T430">
        <v>0</v>
      </c>
      <c r="U430">
        <v>0</v>
      </c>
      <c r="V430">
        <v>6695.63</v>
      </c>
      <c r="W430">
        <v>0</v>
      </c>
      <c r="X430">
        <v>1</v>
      </c>
      <c r="Y430">
        <v>1</v>
      </c>
      <c r="Z430">
        <v>5</v>
      </c>
      <c r="AA430">
        <v>2</v>
      </c>
      <c r="AB430" s="13" t="s">
        <v>405</v>
      </c>
      <c r="AC430">
        <v>0.25</v>
      </c>
      <c r="AD430">
        <v>0</v>
      </c>
      <c r="AE430" s="13" t="s">
        <v>61</v>
      </c>
    </row>
    <row r="431" spans="1:31" x14ac:dyDescent="0.35">
      <c r="A431" s="13" t="s">
        <v>859</v>
      </c>
      <c r="B431" s="13" t="s">
        <v>525</v>
      </c>
      <c r="C431" s="13" t="s">
        <v>526</v>
      </c>
      <c r="D431" s="13" t="s">
        <v>126</v>
      </c>
      <c r="E431" s="13" t="s">
        <v>53</v>
      </c>
      <c r="F431" s="13" t="s">
        <v>54</v>
      </c>
      <c r="G431" s="13" t="s">
        <v>67</v>
      </c>
      <c r="H431">
        <v>95000</v>
      </c>
      <c r="I431" s="13" t="s">
        <v>105</v>
      </c>
      <c r="J431" s="13" t="s">
        <v>106</v>
      </c>
      <c r="K431" s="13" t="s">
        <v>107</v>
      </c>
      <c r="L431" s="13" t="s">
        <v>368</v>
      </c>
      <c r="M431">
        <v>90</v>
      </c>
      <c r="N431">
        <v>0</v>
      </c>
      <c r="O431" s="14">
        <v>45957</v>
      </c>
      <c r="P431" s="14">
        <v>46047</v>
      </c>
      <c r="Q431">
        <v>1710.93</v>
      </c>
      <c r="R431">
        <v>0</v>
      </c>
      <c r="S431">
        <v>0</v>
      </c>
      <c r="T431">
        <v>0</v>
      </c>
      <c r="U431">
        <v>0</v>
      </c>
      <c r="V431">
        <v>1710.93</v>
      </c>
      <c r="W431">
        <v>0</v>
      </c>
      <c r="X431">
        <v>1</v>
      </c>
      <c r="Y431">
        <v>0</v>
      </c>
      <c r="Z431">
        <v>-25</v>
      </c>
      <c r="AA431">
        <v>1</v>
      </c>
      <c r="AB431" s="13" t="s">
        <v>581</v>
      </c>
      <c r="AC431">
        <v>0</v>
      </c>
      <c r="AD431">
        <v>0</v>
      </c>
      <c r="AE431" s="13" t="s">
        <v>61</v>
      </c>
    </row>
    <row r="432" spans="1:31" x14ac:dyDescent="0.35">
      <c r="A432" s="13" t="s">
        <v>860</v>
      </c>
      <c r="B432" s="13" t="s">
        <v>209</v>
      </c>
      <c r="C432" s="13" t="s">
        <v>210</v>
      </c>
      <c r="D432" s="13" t="s">
        <v>52</v>
      </c>
      <c r="E432" s="13" t="s">
        <v>77</v>
      </c>
      <c r="F432" s="13" t="s">
        <v>78</v>
      </c>
      <c r="G432" s="13" t="s">
        <v>55</v>
      </c>
      <c r="H432">
        <v>410000</v>
      </c>
      <c r="I432" s="13" t="s">
        <v>56</v>
      </c>
      <c r="J432" s="13" t="s">
        <v>57</v>
      </c>
      <c r="K432" s="13" t="s">
        <v>58</v>
      </c>
      <c r="L432" s="13" t="s">
        <v>88</v>
      </c>
      <c r="M432">
        <v>60</v>
      </c>
      <c r="N432">
        <v>0</v>
      </c>
      <c r="O432" s="14">
        <v>45957</v>
      </c>
      <c r="P432" s="14">
        <v>46017</v>
      </c>
      <c r="Q432">
        <v>3198.16</v>
      </c>
      <c r="R432">
        <v>0</v>
      </c>
      <c r="S432">
        <v>0</v>
      </c>
      <c r="T432">
        <v>0</v>
      </c>
      <c r="U432">
        <v>0</v>
      </c>
      <c r="V432">
        <v>3198.16</v>
      </c>
      <c r="W432">
        <v>0</v>
      </c>
      <c r="X432">
        <v>1</v>
      </c>
      <c r="Y432">
        <v>1</v>
      </c>
      <c r="Z432">
        <v>5</v>
      </c>
      <c r="AA432">
        <v>2</v>
      </c>
      <c r="AB432" s="13" t="s">
        <v>405</v>
      </c>
      <c r="AC432">
        <v>0.25</v>
      </c>
      <c r="AD432">
        <v>0</v>
      </c>
      <c r="AE432" s="13" t="s">
        <v>61</v>
      </c>
    </row>
    <row r="433" spans="1:31" x14ac:dyDescent="0.35">
      <c r="A433" s="13" t="s">
        <v>861</v>
      </c>
      <c r="B433" s="13" t="s">
        <v>862</v>
      </c>
      <c r="C433" s="13" t="s">
        <v>863</v>
      </c>
      <c r="D433" s="13" t="s">
        <v>126</v>
      </c>
      <c r="E433" s="13" t="s">
        <v>99</v>
      </c>
      <c r="F433" s="13" t="s">
        <v>127</v>
      </c>
      <c r="G433" s="13" t="s">
        <v>67</v>
      </c>
      <c r="H433">
        <v>110000</v>
      </c>
      <c r="I433" s="13" t="s">
        <v>105</v>
      </c>
      <c r="J433" s="13" t="s">
        <v>106</v>
      </c>
      <c r="K433" s="13" t="s">
        <v>107</v>
      </c>
      <c r="L433" s="13" t="s">
        <v>88</v>
      </c>
      <c r="M433">
        <v>60</v>
      </c>
      <c r="N433">
        <v>0</v>
      </c>
      <c r="O433" s="14">
        <v>45957</v>
      </c>
      <c r="P433" s="14">
        <v>46017</v>
      </c>
      <c r="Q433">
        <v>9480.86</v>
      </c>
      <c r="R433">
        <v>0</v>
      </c>
      <c r="S433">
        <v>0</v>
      </c>
      <c r="T433">
        <v>0</v>
      </c>
      <c r="U433">
        <v>0</v>
      </c>
      <c r="V433">
        <v>9480.86</v>
      </c>
      <c r="W433">
        <v>0</v>
      </c>
      <c r="X433">
        <v>1</v>
      </c>
      <c r="Y433">
        <v>1</v>
      </c>
      <c r="Z433">
        <v>5</v>
      </c>
      <c r="AA433">
        <v>2</v>
      </c>
      <c r="AB433" s="13" t="s">
        <v>405</v>
      </c>
      <c r="AC433">
        <v>0.25</v>
      </c>
      <c r="AD433">
        <v>0</v>
      </c>
      <c r="AE433" s="13" t="s">
        <v>61</v>
      </c>
    </row>
    <row r="434" spans="1:31" x14ac:dyDescent="0.35">
      <c r="A434" s="13" t="s">
        <v>864</v>
      </c>
      <c r="B434" s="13" t="s">
        <v>516</v>
      </c>
      <c r="C434" s="13" t="s">
        <v>517</v>
      </c>
      <c r="D434" s="13" t="s">
        <v>52</v>
      </c>
      <c r="E434" s="13" t="s">
        <v>65</v>
      </c>
      <c r="F434" s="13" t="s">
        <v>66</v>
      </c>
      <c r="G434" s="13" t="s">
        <v>55</v>
      </c>
      <c r="H434">
        <v>305000</v>
      </c>
      <c r="I434" s="13" t="s">
        <v>56</v>
      </c>
      <c r="J434" s="13" t="s">
        <v>57</v>
      </c>
      <c r="K434" s="13" t="s">
        <v>58</v>
      </c>
      <c r="L434" s="13" t="s">
        <v>88</v>
      </c>
      <c r="M434">
        <v>60</v>
      </c>
      <c r="N434">
        <v>0</v>
      </c>
      <c r="O434" s="14">
        <v>45957</v>
      </c>
      <c r="P434" s="14">
        <v>46017</v>
      </c>
      <c r="Q434">
        <v>10288.14</v>
      </c>
      <c r="R434">
        <v>0</v>
      </c>
      <c r="S434">
        <v>0</v>
      </c>
      <c r="T434">
        <v>0</v>
      </c>
      <c r="U434">
        <v>0</v>
      </c>
      <c r="V434">
        <v>10288.14</v>
      </c>
      <c r="W434">
        <v>0</v>
      </c>
      <c r="X434">
        <v>1</v>
      </c>
      <c r="Y434">
        <v>1</v>
      </c>
      <c r="Z434">
        <v>5</v>
      </c>
      <c r="AA434">
        <v>2</v>
      </c>
      <c r="AB434" s="13" t="s">
        <v>405</v>
      </c>
      <c r="AC434">
        <v>0.25</v>
      </c>
      <c r="AD434">
        <v>0</v>
      </c>
      <c r="AE434" s="13" t="s">
        <v>61</v>
      </c>
    </row>
    <row r="435" spans="1:31" x14ac:dyDescent="0.35">
      <c r="A435" s="13" t="s">
        <v>865</v>
      </c>
      <c r="B435" s="13" t="s">
        <v>866</v>
      </c>
      <c r="C435" s="13" t="s">
        <v>867</v>
      </c>
      <c r="D435" s="13" t="s">
        <v>104</v>
      </c>
      <c r="E435" s="13" t="s">
        <v>71</v>
      </c>
      <c r="F435" s="13" t="s">
        <v>214</v>
      </c>
      <c r="G435" s="13" t="s">
        <v>55</v>
      </c>
      <c r="H435">
        <v>50000</v>
      </c>
      <c r="I435" s="13" t="s">
        <v>105</v>
      </c>
      <c r="J435" s="13" t="s">
        <v>106</v>
      </c>
      <c r="K435" s="13" t="s">
        <v>107</v>
      </c>
      <c r="L435" s="13" t="s">
        <v>88</v>
      </c>
      <c r="M435">
        <v>60</v>
      </c>
      <c r="N435">
        <v>0</v>
      </c>
      <c r="O435" s="14">
        <v>45957</v>
      </c>
      <c r="P435" s="14">
        <v>46017</v>
      </c>
      <c r="Q435">
        <v>2200.41</v>
      </c>
      <c r="R435">
        <v>0</v>
      </c>
      <c r="S435">
        <v>0</v>
      </c>
      <c r="T435">
        <v>0</v>
      </c>
      <c r="U435">
        <v>0</v>
      </c>
      <c r="V435">
        <v>2200.41</v>
      </c>
      <c r="W435">
        <v>0</v>
      </c>
      <c r="X435">
        <v>1</v>
      </c>
      <c r="Y435">
        <v>1</v>
      </c>
      <c r="Z435">
        <v>5</v>
      </c>
      <c r="AA435">
        <v>2</v>
      </c>
      <c r="AB435" s="13" t="s">
        <v>405</v>
      </c>
      <c r="AC435">
        <v>0.25</v>
      </c>
      <c r="AD435">
        <v>0</v>
      </c>
      <c r="AE435" s="13" t="s">
        <v>61</v>
      </c>
    </row>
    <row r="436" spans="1:31" x14ac:dyDescent="0.35">
      <c r="A436" s="13" t="s">
        <v>868</v>
      </c>
      <c r="B436" s="13" t="s">
        <v>446</v>
      </c>
      <c r="C436" s="13" t="s">
        <v>447</v>
      </c>
      <c r="D436" s="13" t="s">
        <v>52</v>
      </c>
      <c r="E436" s="13" t="s">
        <v>53</v>
      </c>
      <c r="F436" s="13" t="s">
        <v>54</v>
      </c>
      <c r="G436" s="13" t="s">
        <v>67</v>
      </c>
      <c r="H436">
        <v>245000</v>
      </c>
      <c r="I436" s="13" t="s">
        <v>86</v>
      </c>
      <c r="J436" s="13" t="s">
        <v>87</v>
      </c>
      <c r="K436" s="13" t="s">
        <v>58</v>
      </c>
      <c r="L436" s="13" t="s">
        <v>88</v>
      </c>
      <c r="M436">
        <v>60</v>
      </c>
      <c r="N436">
        <v>0</v>
      </c>
      <c r="O436" s="14">
        <v>45957</v>
      </c>
      <c r="P436" s="14">
        <v>46017</v>
      </c>
      <c r="Q436">
        <v>7623.65</v>
      </c>
      <c r="R436">
        <v>0</v>
      </c>
      <c r="S436">
        <v>0</v>
      </c>
      <c r="T436">
        <v>0</v>
      </c>
      <c r="U436">
        <v>0</v>
      </c>
      <c r="V436">
        <v>7623.65</v>
      </c>
      <c r="W436">
        <v>0</v>
      </c>
      <c r="X436">
        <v>1</v>
      </c>
      <c r="Y436">
        <v>1</v>
      </c>
      <c r="Z436">
        <v>5</v>
      </c>
      <c r="AA436">
        <v>2</v>
      </c>
      <c r="AB436" s="13" t="s">
        <v>405</v>
      </c>
      <c r="AC436">
        <v>0.25</v>
      </c>
      <c r="AD436">
        <v>0</v>
      </c>
      <c r="AE436" s="13" t="s">
        <v>61</v>
      </c>
    </row>
    <row r="437" spans="1:31" x14ac:dyDescent="0.35">
      <c r="A437" s="13" t="s">
        <v>869</v>
      </c>
      <c r="B437" s="13" t="s">
        <v>870</v>
      </c>
      <c r="C437" s="13" t="s">
        <v>871</v>
      </c>
      <c r="D437" s="13" t="s">
        <v>104</v>
      </c>
      <c r="E437" s="13" t="s">
        <v>71</v>
      </c>
      <c r="F437" s="13" t="s">
        <v>72</v>
      </c>
      <c r="G437" s="13" t="s">
        <v>55</v>
      </c>
      <c r="H437">
        <v>60000</v>
      </c>
      <c r="I437" s="13" t="s">
        <v>121</v>
      </c>
      <c r="J437" s="13" t="s">
        <v>122</v>
      </c>
      <c r="K437" s="13" t="s">
        <v>107</v>
      </c>
      <c r="L437" s="13" t="s">
        <v>88</v>
      </c>
      <c r="M437">
        <v>60</v>
      </c>
      <c r="N437">
        <v>0</v>
      </c>
      <c r="O437" s="14">
        <v>45957</v>
      </c>
      <c r="P437" s="14">
        <v>46017</v>
      </c>
      <c r="Q437">
        <v>5691.82</v>
      </c>
      <c r="R437">
        <v>0</v>
      </c>
      <c r="S437">
        <v>0</v>
      </c>
      <c r="T437">
        <v>0</v>
      </c>
      <c r="U437">
        <v>0</v>
      </c>
      <c r="V437">
        <v>5691.82</v>
      </c>
      <c r="W437">
        <v>0</v>
      </c>
      <c r="X437">
        <v>1</v>
      </c>
      <c r="Y437">
        <v>1</v>
      </c>
      <c r="Z437">
        <v>5</v>
      </c>
      <c r="AA437">
        <v>2</v>
      </c>
      <c r="AB437" s="13" t="s">
        <v>405</v>
      </c>
      <c r="AC437">
        <v>0.25</v>
      </c>
      <c r="AD437">
        <v>0</v>
      </c>
      <c r="AE437" s="13" t="s">
        <v>61</v>
      </c>
    </row>
    <row r="438" spans="1:31" x14ac:dyDescent="0.35">
      <c r="A438" s="13" t="s">
        <v>872</v>
      </c>
      <c r="B438" s="13" t="s">
        <v>293</v>
      </c>
      <c r="C438" s="13" t="s">
        <v>294</v>
      </c>
      <c r="D438" s="13" t="s">
        <v>104</v>
      </c>
      <c r="E438" s="13" t="s">
        <v>99</v>
      </c>
      <c r="F438" s="13" t="s">
        <v>100</v>
      </c>
      <c r="G438" s="13" t="s">
        <v>92</v>
      </c>
      <c r="H438">
        <v>145000</v>
      </c>
      <c r="I438" s="13" t="s">
        <v>121</v>
      </c>
      <c r="J438" s="13" t="s">
        <v>122</v>
      </c>
      <c r="K438" s="13" t="s">
        <v>107</v>
      </c>
      <c r="L438" s="13" t="s">
        <v>82</v>
      </c>
      <c r="M438">
        <v>30</v>
      </c>
      <c r="N438">
        <v>2</v>
      </c>
      <c r="O438" s="14">
        <v>45957</v>
      </c>
      <c r="P438" s="14">
        <v>45987</v>
      </c>
      <c r="Q438">
        <v>2949.14</v>
      </c>
      <c r="R438">
        <v>0</v>
      </c>
      <c r="S438">
        <v>0</v>
      </c>
      <c r="T438">
        <v>0</v>
      </c>
      <c r="U438">
        <v>0</v>
      </c>
      <c r="V438">
        <v>2949.14</v>
      </c>
      <c r="W438">
        <v>0</v>
      </c>
      <c r="X438">
        <v>1</v>
      </c>
      <c r="Y438">
        <v>1</v>
      </c>
      <c r="Z438">
        <v>35</v>
      </c>
      <c r="AA438">
        <v>3</v>
      </c>
      <c r="AB438" s="13" t="s">
        <v>369</v>
      </c>
      <c r="AC438">
        <v>0.5</v>
      </c>
      <c r="AD438">
        <v>0</v>
      </c>
      <c r="AE438" s="13" t="s">
        <v>61</v>
      </c>
    </row>
    <row r="439" spans="1:31" x14ac:dyDescent="0.35">
      <c r="A439" s="13" t="s">
        <v>873</v>
      </c>
      <c r="B439" s="13" t="s">
        <v>791</v>
      </c>
      <c r="C439" s="13" t="s">
        <v>792</v>
      </c>
      <c r="D439" s="13" t="s">
        <v>104</v>
      </c>
      <c r="E439" s="13" t="s">
        <v>53</v>
      </c>
      <c r="F439" s="13" t="s">
        <v>54</v>
      </c>
      <c r="G439" s="13" t="s">
        <v>67</v>
      </c>
      <c r="H439">
        <v>95000</v>
      </c>
      <c r="I439" s="13" t="s">
        <v>121</v>
      </c>
      <c r="J439" s="13" t="s">
        <v>122</v>
      </c>
      <c r="K439" s="13" t="s">
        <v>107</v>
      </c>
      <c r="L439" s="13" t="s">
        <v>88</v>
      </c>
      <c r="M439">
        <v>60</v>
      </c>
      <c r="N439">
        <v>0</v>
      </c>
      <c r="O439" s="14">
        <v>45957</v>
      </c>
      <c r="P439" s="14">
        <v>46017</v>
      </c>
      <c r="Q439">
        <v>1965.88</v>
      </c>
      <c r="R439">
        <v>0</v>
      </c>
      <c r="S439">
        <v>0</v>
      </c>
      <c r="T439">
        <v>0</v>
      </c>
      <c r="U439">
        <v>0</v>
      </c>
      <c r="V439">
        <v>1965.88</v>
      </c>
      <c r="W439">
        <v>0</v>
      </c>
      <c r="X439">
        <v>1</v>
      </c>
      <c r="Y439">
        <v>1</v>
      </c>
      <c r="Z439">
        <v>5</v>
      </c>
      <c r="AA439">
        <v>2</v>
      </c>
      <c r="AB439" s="13" t="s">
        <v>405</v>
      </c>
      <c r="AC439">
        <v>0.25</v>
      </c>
      <c r="AD439">
        <v>0</v>
      </c>
      <c r="AE439" s="13" t="s">
        <v>61</v>
      </c>
    </row>
    <row r="440" spans="1:31" x14ac:dyDescent="0.35">
      <c r="A440" s="13" t="s">
        <v>874</v>
      </c>
      <c r="B440" s="13" t="s">
        <v>206</v>
      </c>
      <c r="C440" s="13" t="s">
        <v>207</v>
      </c>
      <c r="D440" s="13" t="s">
        <v>52</v>
      </c>
      <c r="E440" s="13" t="s">
        <v>65</v>
      </c>
      <c r="F440" s="13" t="s">
        <v>111</v>
      </c>
      <c r="G440" s="13" t="s">
        <v>92</v>
      </c>
      <c r="H440">
        <v>490000</v>
      </c>
      <c r="I440" s="13" t="s">
        <v>86</v>
      </c>
      <c r="J440" s="13" t="s">
        <v>87</v>
      </c>
      <c r="K440" s="13" t="s">
        <v>58</v>
      </c>
      <c r="L440" s="13" t="s">
        <v>88</v>
      </c>
      <c r="M440">
        <v>60</v>
      </c>
      <c r="N440">
        <v>0</v>
      </c>
      <c r="O440" s="14">
        <v>45957</v>
      </c>
      <c r="P440" s="14">
        <v>46017</v>
      </c>
      <c r="Q440">
        <v>14478.47</v>
      </c>
      <c r="R440">
        <v>0</v>
      </c>
      <c r="S440">
        <v>0</v>
      </c>
      <c r="T440">
        <v>0</v>
      </c>
      <c r="U440">
        <v>0</v>
      </c>
      <c r="V440">
        <v>14478.47</v>
      </c>
      <c r="W440">
        <v>0</v>
      </c>
      <c r="X440">
        <v>1</v>
      </c>
      <c r="Y440">
        <v>1</v>
      </c>
      <c r="Z440">
        <v>5</v>
      </c>
      <c r="AA440">
        <v>2</v>
      </c>
      <c r="AB440" s="13" t="s">
        <v>405</v>
      </c>
      <c r="AC440">
        <v>0.25</v>
      </c>
      <c r="AD440">
        <v>0</v>
      </c>
      <c r="AE440" s="13" t="s">
        <v>61</v>
      </c>
    </row>
    <row r="441" spans="1:31" x14ac:dyDescent="0.35">
      <c r="A441" s="13" t="s">
        <v>875</v>
      </c>
      <c r="B441" s="13" t="s">
        <v>876</v>
      </c>
      <c r="C441" s="13" t="s">
        <v>877</v>
      </c>
      <c r="D441" s="13" t="s">
        <v>126</v>
      </c>
      <c r="E441" s="13" t="s">
        <v>77</v>
      </c>
      <c r="F441" s="13" t="s">
        <v>174</v>
      </c>
      <c r="G441" s="13" t="s">
        <v>67</v>
      </c>
      <c r="H441">
        <v>105000</v>
      </c>
      <c r="I441" s="13" t="s">
        <v>121</v>
      </c>
      <c r="J441" s="13" t="s">
        <v>122</v>
      </c>
      <c r="K441" s="13" t="s">
        <v>107</v>
      </c>
      <c r="L441" s="13" t="s">
        <v>88</v>
      </c>
      <c r="M441">
        <v>60</v>
      </c>
      <c r="N441">
        <v>0</v>
      </c>
      <c r="O441" s="14">
        <v>45957</v>
      </c>
      <c r="P441" s="14">
        <v>46017</v>
      </c>
      <c r="Q441">
        <v>7767.59</v>
      </c>
      <c r="R441">
        <v>0</v>
      </c>
      <c r="S441">
        <v>0</v>
      </c>
      <c r="T441">
        <v>0</v>
      </c>
      <c r="U441">
        <v>0</v>
      </c>
      <c r="V441">
        <v>7767.59</v>
      </c>
      <c r="W441">
        <v>0</v>
      </c>
      <c r="X441">
        <v>1</v>
      </c>
      <c r="Y441">
        <v>1</v>
      </c>
      <c r="Z441">
        <v>5</v>
      </c>
      <c r="AA441">
        <v>2</v>
      </c>
      <c r="AB441" s="13" t="s">
        <v>405</v>
      </c>
      <c r="AC441">
        <v>0.25</v>
      </c>
      <c r="AD441">
        <v>0</v>
      </c>
      <c r="AE441" s="13" t="s">
        <v>61</v>
      </c>
    </row>
    <row r="442" spans="1:31" x14ac:dyDescent="0.35">
      <c r="A442" s="13" t="s">
        <v>878</v>
      </c>
      <c r="B442" s="13" t="s">
        <v>879</v>
      </c>
      <c r="C442" s="13" t="s">
        <v>880</v>
      </c>
      <c r="D442" s="13" t="s">
        <v>104</v>
      </c>
      <c r="E442" s="13" t="s">
        <v>71</v>
      </c>
      <c r="F442" s="13" t="s">
        <v>214</v>
      </c>
      <c r="G442" s="13" t="s">
        <v>67</v>
      </c>
      <c r="H442">
        <v>135000</v>
      </c>
      <c r="I442" s="13" t="s">
        <v>121</v>
      </c>
      <c r="J442" s="13" t="s">
        <v>122</v>
      </c>
      <c r="K442" s="13" t="s">
        <v>107</v>
      </c>
      <c r="L442" s="13" t="s">
        <v>88</v>
      </c>
      <c r="M442">
        <v>60</v>
      </c>
      <c r="N442">
        <v>0</v>
      </c>
      <c r="O442" s="14">
        <v>45957</v>
      </c>
      <c r="P442" s="14">
        <v>46017</v>
      </c>
      <c r="Q442">
        <v>813.25</v>
      </c>
      <c r="R442">
        <v>0</v>
      </c>
      <c r="S442">
        <v>0</v>
      </c>
      <c r="T442">
        <v>0</v>
      </c>
      <c r="U442">
        <v>0</v>
      </c>
      <c r="V442">
        <v>813.25</v>
      </c>
      <c r="W442">
        <v>0</v>
      </c>
      <c r="X442">
        <v>1</v>
      </c>
      <c r="Y442">
        <v>1</v>
      </c>
      <c r="Z442">
        <v>5</v>
      </c>
      <c r="AA442">
        <v>2</v>
      </c>
      <c r="AB442" s="13" t="s">
        <v>405</v>
      </c>
      <c r="AC442">
        <v>0.25</v>
      </c>
      <c r="AD442">
        <v>0</v>
      </c>
      <c r="AE442" s="13" t="s">
        <v>61</v>
      </c>
    </row>
    <row r="443" spans="1:31" x14ac:dyDescent="0.35">
      <c r="A443" s="13" t="s">
        <v>881</v>
      </c>
      <c r="B443" s="13" t="s">
        <v>533</v>
      </c>
      <c r="C443" s="13" t="s">
        <v>534</v>
      </c>
      <c r="D443" s="13" t="s">
        <v>126</v>
      </c>
      <c r="E443" s="13" t="s">
        <v>99</v>
      </c>
      <c r="F443" s="13" t="s">
        <v>127</v>
      </c>
      <c r="G443" s="13" t="s">
        <v>67</v>
      </c>
      <c r="H443">
        <v>205000</v>
      </c>
      <c r="I443" s="13" t="s">
        <v>86</v>
      </c>
      <c r="J443" s="13" t="s">
        <v>87</v>
      </c>
      <c r="K443" s="13" t="s">
        <v>58</v>
      </c>
      <c r="L443" s="13" t="s">
        <v>368</v>
      </c>
      <c r="M443">
        <v>90</v>
      </c>
      <c r="N443">
        <v>0</v>
      </c>
      <c r="O443" s="14">
        <v>45957</v>
      </c>
      <c r="P443" s="14">
        <v>46047</v>
      </c>
      <c r="Q443">
        <v>1075.08</v>
      </c>
      <c r="R443">
        <v>0</v>
      </c>
      <c r="S443">
        <v>0</v>
      </c>
      <c r="T443">
        <v>0</v>
      </c>
      <c r="U443">
        <v>0</v>
      </c>
      <c r="V443">
        <v>1075.08</v>
      </c>
      <c r="W443">
        <v>0</v>
      </c>
      <c r="X443">
        <v>1</v>
      </c>
      <c r="Y443">
        <v>0</v>
      </c>
      <c r="Z443">
        <v>-25</v>
      </c>
      <c r="AA443">
        <v>1</v>
      </c>
      <c r="AB443" s="13" t="s">
        <v>581</v>
      </c>
      <c r="AC443">
        <v>0</v>
      </c>
      <c r="AD443">
        <v>0</v>
      </c>
      <c r="AE443" s="13" t="s">
        <v>61</v>
      </c>
    </row>
    <row r="444" spans="1:31" x14ac:dyDescent="0.35">
      <c r="A444" s="13" t="s">
        <v>882</v>
      </c>
      <c r="B444" s="13" t="s">
        <v>216</v>
      </c>
      <c r="C444" s="13" t="s">
        <v>217</v>
      </c>
      <c r="D444" s="13" t="s">
        <v>52</v>
      </c>
      <c r="E444" s="13" t="s">
        <v>65</v>
      </c>
      <c r="F444" s="13" t="s">
        <v>66</v>
      </c>
      <c r="G444" s="13" t="s">
        <v>67</v>
      </c>
      <c r="H444">
        <v>515000</v>
      </c>
      <c r="I444" s="13" t="s">
        <v>86</v>
      </c>
      <c r="J444" s="13" t="s">
        <v>87</v>
      </c>
      <c r="K444" s="13" t="s">
        <v>58</v>
      </c>
      <c r="L444" s="13" t="s">
        <v>88</v>
      </c>
      <c r="M444">
        <v>60</v>
      </c>
      <c r="N444">
        <v>0</v>
      </c>
      <c r="O444" s="14">
        <v>45958</v>
      </c>
      <c r="P444" s="14">
        <v>46018</v>
      </c>
      <c r="Q444">
        <v>1630.38</v>
      </c>
      <c r="R444">
        <v>0</v>
      </c>
      <c r="S444">
        <v>0</v>
      </c>
      <c r="T444">
        <v>0</v>
      </c>
      <c r="U444">
        <v>0</v>
      </c>
      <c r="V444">
        <v>1630.38</v>
      </c>
      <c r="W444">
        <v>0</v>
      </c>
      <c r="X444">
        <v>1</v>
      </c>
      <c r="Y444">
        <v>1</v>
      </c>
      <c r="Z444">
        <v>4</v>
      </c>
      <c r="AA444">
        <v>2</v>
      </c>
      <c r="AB444" s="13" t="s">
        <v>405</v>
      </c>
      <c r="AC444">
        <v>0.25</v>
      </c>
      <c r="AD444">
        <v>0</v>
      </c>
      <c r="AE444" s="13" t="s">
        <v>61</v>
      </c>
    </row>
    <row r="445" spans="1:31" x14ac:dyDescent="0.35">
      <c r="A445" s="13" t="s">
        <v>883</v>
      </c>
      <c r="B445" s="13" t="s">
        <v>137</v>
      </c>
      <c r="C445" s="13" t="s">
        <v>138</v>
      </c>
      <c r="D445" s="13" t="s">
        <v>52</v>
      </c>
      <c r="E445" s="13" t="s">
        <v>53</v>
      </c>
      <c r="F445" s="13" t="s">
        <v>135</v>
      </c>
      <c r="G445" s="13" t="s">
        <v>92</v>
      </c>
      <c r="H445">
        <v>355000</v>
      </c>
      <c r="I445" s="13" t="s">
        <v>56</v>
      </c>
      <c r="J445" s="13" t="s">
        <v>57</v>
      </c>
      <c r="K445" s="13" t="s">
        <v>58</v>
      </c>
      <c r="L445" s="13" t="s">
        <v>88</v>
      </c>
      <c r="M445">
        <v>60</v>
      </c>
      <c r="N445">
        <v>0</v>
      </c>
      <c r="O445" s="14">
        <v>45958</v>
      </c>
      <c r="P445" s="14">
        <v>46018</v>
      </c>
      <c r="Q445">
        <v>17040.75</v>
      </c>
      <c r="R445">
        <v>0</v>
      </c>
      <c r="S445">
        <v>0</v>
      </c>
      <c r="T445">
        <v>0</v>
      </c>
      <c r="U445">
        <v>0</v>
      </c>
      <c r="V445">
        <v>17040.75</v>
      </c>
      <c r="W445">
        <v>0</v>
      </c>
      <c r="X445">
        <v>1</v>
      </c>
      <c r="Y445">
        <v>1</v>
      </c>
      <c r="Z445">
        <v>4</v>
      </c>
      <c r="AA445">
        <v>2</v>
      </c>
      <c r="AB445" s="13" t="s">
        <v>405</v>
      </c>
      <c r="AC445">
        <v>0.25</v>
      </c>
      <c r="AD445">
        <v>0</v>
      </c>
      <c r="AE445" s="13" t="s">
        <v>61</v>
      </c>
    </row>
    <row r="446" spans="1:31" x14ac:dyDescent="0.35">
      <c r="A446" s="13" t="s">
        <v>884</v>
      </c>
      <c r="B446" s="13" t="s">
        <v>885</v>
      </c>
      <c r="C446" s="13" t="s">
        <v>886</v>
      </c>
      <c r="D446" s="13" t="s">
        <v>126</v>
      </c>
      <c r="E446" s="13" t="s">
        <v>99</v>
      </c>
      <c r="F446" s="13" t="s">
        <v>100</v>
      </c>
      <c r="G446" s="13" t="s">
        <v>67</v>
      </c>
      <c r="H446">
        <v>70000</v>
      </c>
      <c r="I446" s="13" t="s">
        <v>121</v>
      </c>
      <c r="J446" s="13" t="s">
        <v>122</v>
      </c>
      <c r="K446" s="13" t="s">
        <v>107</v>
      </c>
      <c r="L446" s="13" t="s">
        <v>88</v>
      </c>
      <c r="M446">
        <v>60</v>
      </c>
      <c r="N446">
        <v>0</v>
      </c>
      <c r="O446" s="14">
        <v>45958</v>
      </c>
      <c r="P446" s="14">
        <v>46018</v>
      </c>
      <c r="Q446">
        <v>2231.35</v>
      </c>
      <c r="R446">
        <v>0</v>
      </c>
      <c r="S446">
        <v>0</v>
      </c>
      <c r="T446">
        <v>0</v>
      </c>
      <c r="U446">
        <v>0</v>
      </c>
      <c r="V446">
        <v>2231.35</v>
      </c>
      <c r="W446">
        <v>0</v>
      </c>
      <c r="X446">
        <v>1</v>
      </c>
      <c r="Y446">
        <v>1</v>
      </c>
      <c r="Z446">
        <v>4</v>
      </c>
      <c r="AA446">
        <v>2</v>
      </c>
      <c r="AB446" s="13" t="s">
        <v>405</v>
      </c>
      <c r="AC446">
        <v>0.25</v>
      </c>
      <c r="AD446">
        <v>0</v>
      </c>
      <c r="AE446" s="13" t="s">
        <v>61</v>
      </c>
    </row>
    <row r="447" spans="1:31" x14ac:dyDescent="0.35">
      <c r="A447" s="13" t="s">
        <v>887</v>
      </c>
      <c r="B447" s="13" t="s">
        <v>418</v>
      </c>
      <c r="C447" s="13" t="s">
        <v>419</v>
      </c>
      <c r="D447" s="13" t="s">
        <v>52</v>
      </c>
      <c r="E447" s="13" t="s">
        <v>99</v>
      </c>
      <c r="F447" s="13" t="s">
        <v>100</v>
      </c>
      <c r="G447" s="13" t="s">
        <v>67</v>
      </c>
      <c r="H447">
        <v>535000</v>
      </c>
      <c r="I447" s="13" t="s">
        <v>86</v>
      </c>
      <c r="J447" s="13" t="s">
        <v>87</v>
      </c>
      <c r="K447" s="13" t="s">
        <v>58</v>
      </c>
      <c r="L447" s="13" t="s">
        <v>59</v>
      </c>
      <c r="M447">
        <v>45</v>
      </c>
      <c r="N447">
        <v>0</v>
      </c>
      <c r="O447" s="14">
        <v>45958</v>
      </c>
      <c r="P447" s="14">
        <v>46003</v>
      </c>
      <c r="Q447">
        <v>3434.67</v>
      </c>
      <c r="R447">
        <v>0</v>
      </c>
      <c r="S447">
        <v>0</v>
      </c>
      <c r="T447">
        <v>0</v>
      </c>
      <c r="U447">
        <v>0</v>
      </c>
      <c r="V447">
        <v>3434.67</v>
      </c>
      <c r="W447">
        <v>0</v>
      </c>
      <c r="X447">
        <v>1</v>
      </c>
      <c r="Y447">
        <v>1</v>
      </c>
      <c r="Z447">
        <v>19</v>
      </c>
      <c r="AA447">
        <v>2</v>
      </c>
      <c r="AB447" s="13" t="s">
        <v>405</v>
      </c>
      <c r="AC447">
        <v>0.25</v>
      </c>
      <c r="AD447">
        <v>0</v>
      </c>
      <c r="AE447" s="13" t="s">
        <v>61</v>
      </c>
    </row>
    <row r="448" spans="1:31" x14ac:dyDescent="0.35">
      <c r="A448" s="13" t="s">
        <v>888</v>
      </c>
      <c r="B448" s="13" t="s">
        <v>688</v>
      </c>
      <c r="C448" s="13" t="s">
        <v>689</v>
      </c>
      <c r="D448" s="13" t="s">
        <v>104</v>
      </c>
      <c r="E448" s="13" t="s">
        <v>99</v>
      </c>
      <c r="F448" s="13" t="s">
        <v>100</v>
      </c>
      <c r="G448" s="13" t="s">
        <v>67</v>
      </c>
      <c r="H448">
        <v>140000</v>
      </c>
      <c r="I448" s="13" t="s">
        <v>105</v>
      </c>
      <c r="J448" s="13" t="s">
        <v>106</v>
      </c>
      <c r="K448" s="13" t="s">
        <v>107</v>
      </c>
      <c r="L448" s="13" t="s">
        <v>95</v>
      </c>
      <c r="M448">
        <v>30</v>
      </c>
      <c r="N448">
        <v>0</v>
      </c>
      <c r="O448" s="14">
        <v>45958</v>
      </c>
      <c r="P448" s="14">
        <v>45988</v>
      </c>
      <c r="Q448">
        <v>2059.88</v>
      </c>
      <c r="R448">
        <v>0</v>
      </c>
      <c r="S448">
        <v>0</v>
      </c>
      <c r="T448">
        <v>102.99</v>
      </c>
      <c r="U448">
        <v>0</v>
      </c>
      <c r="V448">
        <v>1956.89</v>
      </c>
      <c r="W448">
        <v>0</v>
      </c>
      <c r="X448">
        <v>1</v>
      </c>
      <c r="Y448">
        <v>1</v>
      </c>
      <c r="Z448">
        <v>34</v>
      </c>
      <c r="AA448">
        <v>3</v>
      </c>
      <c r="AB448" s="13" t="s">
        <v>369</v>
      </c>
      <c r="AC448">
        <v>0.5</v>
      </c>
      <c r="AD448">
        <v>0</v>
      </c>
      <c r="AE448" s="13" t="s">
        <v>377</v>
      </c>
    </row>
    <row r="449" spans="1:31" x14ac:dyDescent="0.35">
      <c r="A449" s="13" t="s">
        <v>889</v>
      </c>
      <c r="B449" s="13" t="s">
        <v>890</v>
      </c>
      <c r="C449" s="13" t="s">
        <v>891</v>
      </c>
      <c r="D449" s="13" t="s">
        <v>76</v>
      </c>
      <c r="E449" s="13" t="s">
        <v>99</v>
      </c>
      <c r="F449" s="13" t="s">
        <v>100</v>
      </c>
      <c r="G449" s="13" t="s">
        <v>67</v>
      </c>
      <c r="H449">
        <v>110000</v>
      </c>
      <c r="I449" s="13" t="s">
        <v>79</v>
      </c>
      <c r="J449" s="13" t="s">
        <v>80</v>
      </c>
      <c r="K449" s="13" t="s">
        <v>81</v>
      </c>
      <c r="L449" s="13" t="s">
        <v>95</v>
      </c>
      <c r="M449">
        <v>30</v>
      </c>
      <c r="N449">
        <v>0</v>
      </c>
      <c r="O449" s="14">
        <v>45958</v>
      </c>
      <c r="P449" s="14">
        <v>45988</v>
      </c>
      <c r="Q449">
        <v>861.66</v>
      </c>
      <c r="R449">
        <v>517</v>
      </c>
      <c r="S449">
        <v>0</v>
      </c>
      <c r="T449">
        <v>0</v>
      </c>
      <c r="U449">
        <v>0</v>
      </c>
      <c r="V449">
        <v>344.66</v>
      </c>
      <c r="W449">
        <v>0</v>
      </c>
      <c r="X449">
        <v>1</v>
      </c>
      <c r="Y449">
        <v>1</v>
      </c>
      <c r="Z449">
        <v>34</v>
      </c>
      <c r="AA449">
        <v>3</v>
      </c>
      <c r="AB449" s="13" t="s">
        <v>369</v>
      </c>
      <c r="AC449">
        <v>0.5</v>
      </c>
      <c r="AD449">
        <v>0</v>
      </c>
      <c r="AE449" s="13" t="s">
        <v>61</v>
      </c>
    </row>
    <row r="450" spans="1:31" x14ac:dyDescent="0.35">
      <c r="A450" s="13" t="s">
        <v>892</v>
      </c>
      <c r="B450" s="13" t="s">
        <v>525</v>
      </c>
      <c r="C450" s="13" t="s">
        <v>526</v>
      </c>
      <c r="D450" s="13" t="s">
        <v>126</v>
      </c>
      <c r="E450" s="13" t="s">
        <v>53</v>
      </c>
      <c r="F450" s="13" t="s">
        <v>54</v>
      </c>
      <c r="G450" s="13" t="s">
        <v>67</v>
      </c>
      <c r="H450">
        <v>95000</v>
      </c>
      <c r="I450" s="13" t="s">
        <v>105</v>
      </c>
      <c r="J450" s="13" t="s">
        <v>106</v>
      </c>
      <c r="K450" s="13" t="s">
        <v>107</v>
      </c>
      <c r="L450" s="13" t="s">
        <v>368</v>
      </c>
      <c r="M450">
        <v>90</v>
      </c>
      <c r="N450">
        <v>0</v>
      </c>
      <c r="O450" s="14">
        <v>45958</v>
      </c>
      <c r="P450" s="14">
        <v>46048</v>
      </c>
      <c r="Q450">
        <v>2513.2199999999998</v>
      </c>
      <c r="R450">
        <v>0</v>
      </c>
      <c r="S450">
        <v>0</v>
      </c>
      <c r="T450">
        <v>251.32</v>
      </c>
      <c r="U450">
        <v>0</v>
      </c>
      <c r="V450">
        <v>2261.9</v>
      </c>
      <c r="W450">
        <v>0</v>
      </c>
      <c r="X450">
        <v>1</v>
      </c>
      <c r="Y450">
        <v>0</v>
      </c>
      <c r="Z450">
        <v>-26</v>
      </c>
      <c r="AA450">
        <v>1</v>
      </c>
      <c r="AB450" s="13" t="s">
        <v>581</v>
      </c>
      <c r="AC450">
        <v>0</v>
      </c>
      <c r="AD450">
        <v>0</v>
      </c>
      <c r="AE450" s="13" t="s">
        <v>377</v>
      </c>
    </row>
    <row r="451" spans="1:31" x14ac:dyDescent="0.35">
      <c r="A451" s="13" t="s">
        <v>893</v>
      </c>
      <c r="B451" s="13" t="s">
        <v>894</v>
      </c>
      <c r="C451" s="13" t="s">
        <v>895</v>
      </c>
      <c r="D451" s="13" t="s">
        <v>104</v>
      </c>
      <c r="E451" s="13" t="s">
        <v>71</v>
      </c>
      <c r="F451" s="13" t="s">
        <v>72</v>
      </c>
      <c r="G451" s="13" t="s">
        <v>67</v>
      </c>
      <c r="H451">
        <v>85000</v>
      </c>
      <c r="I451" s="13" t="s">
        <v>105</v>
      </c>
      <c r="J451" s="13" t="s">
        <v>106</v>
      </c>
      <c r="K451" s="13" t="s">
        <v>107</v>
      </c>
      <c r="L451" s="13" t="s">
        <v>88</v>
      </c>
      <c r="M451">
        <v>60</v>
      </c>
      <c r="N451">
        <v>0</v>
      </c>
      <c r="O451" s="14">
        <v>45958</v>
      </c>
      <c r="P451" s="14">
        <v>46018</v>
      </c>
      <c r="Q451">
        <v>2751.15</v>
      </c>
      <c r="R451">
        <v>0</v>
      </c>
      <c r="S451">
        <v>0</v>
      </c>
      <c r="T451">
        <v>0</v>
      </c>
      <c r="U451">
        <v>0</v>
      </c>
      <c r="V451">
        <v>2751.15</v>
      </c>
      <c r="W451">
        <v>0</v>
      </c>
      <c r="X451">
        <v>1</v>
      </c>
      <c r="Y451">
        <v>1</v>
      </c>
      <c r="Z451">
        <v>4</v>
      </c>
      <c r="AA451">
        <v>2</v>
      </c>
      <c r="AB451" s="13" t="s">
        <v>405</v>
      </c>
      <c r="AC451">
        <v>0.25</v>
      </c>
      <c r="AD451">
        <v>0</v>
      </c>
      <c r="AE451" s="13" t="s">
        <v>61</v>
      </c>
    </row>
    <row r="452" spans="1:31" x14ac:dyDescent="0.35">
      <c r="A452" s="13" t="s">
        <v>896</v>
      </c>
      <c r="B452" s="13" t="s">
        <v>124</v>
      </c>
      <c r="C452" s="13" t="s">
        <v>125</v>
      </c>
      <c r="D452" s="13" t="s">
        <v>126</v>
      </c>
      <c r="E452" s="13" t="s">
        <v>99</v>
      </c>
      <c r="F452" s="13" t="s">
        <v>127</v>
      </c>
      <c r="G452" s="13" t="s">
        <v>67</v>
      </c>
      <c r="H452">
        <v>155000</v>
      </c>
      <c r="I452" s="13" t="s">
        <v>86</v>
      </c>
      <c r="J452" s="13" t="s">
        <v>87</v>
      </c>
      <c r="K452" s="13" t="s">
        <v>58</v>
      </c>
      <c r="L452" s="13" t="s">
        <v>88</v>
      </c>
      <c r="M452">
        <v>60</v>
      </c>
      <c r="N452">
        <v>0</v>
      </c>
      <c r="O452" s="14">
        <v>45958</v>
      </c>
      <c r="P452" s="14">
        <v>46018</v>
      </c>
      <c r="Q452">
        <v>1050.06</v>
      </c>
      <c r="R452">
        <v>0</v>
      </c>
      <c r="S452">
        <v>0</v>
      </c>
      <c r="T452">
        <v>0</v>
      </c>
      <c r="U452">
        <v>0</v>
      </c>
      <c r="V452">
        <v>1050.06</v>
      </c>
      <c r="W452">
        <v>0</v>
      </c>
      <c r="X452">
        <v>1</v>
      </c>
      <c r="Y452">
        <v>1</v>
      </c>
      <c r="Z452">
        <v>4</v>
      </c>
      <c r="AA452">
        <v>2</v>
      </c>
      <c r="AB452" s="13" t="s">
        <v>405</v>
      </c>
      <c r="AC452">
        <v>0.25</v>
      </c>
      <c r="AD452">
        <v>0</v>
      </c>
      <c r="AE452" s="13" t="s">
        <v>61</v>
      </c>
    </row>
    <row r="453" spans="1:31" x14ac:dyDescent="0.35">
      <c r="A453" s="13" t="s">
        <v>897</v>
      </c>
      <c r="B453" s="13" t="s">
        <v>209</v>
      </c>
      <c r="C453" s="13" t="s">
        <v>210</v>
      </c>
      <c r="D453" s="13" t="s">
        <v>52</v>
      </c>
      <c r="E453" s="13" t="s">
        <v>77</v>
      </c>
      <c r="F453" s="13" t="s">
        <v>78</v>
      </c>
      <c r="G453" s="13" t="s">
        <v>55</v>
      </c>
      <c r="H453">
        <v>410000</v>
      </c>
      <c r="I453" s="13" t="s">
        <v>56</v>
      </c>
      <c r="J453" s="13" t="s">
        <v>57</v>
      </c>
      <c r="K453" s="13" t="s">
        <v>58</v>
      </c>
      <c r="L453" s="13" t="s">
        <v>88</v>
      </c>
      <c r="M453">
        <v>60</v>
      </c>
      <c r="N453">
        <v>0</v>
      </c>
      <c r="O453" s="14">
        <v>45958</v>
      </c>
      <c r="P453" s="14">
        <v>46018</v>
      </c>
      <c r="Q453">
        <v>14191.84</v>
      </c>
      <c r="R453">
        <v>0</v>
      </c>
      <c r="S453">
        <v>0</v>
      </c>
      <c r="T453">
        <v>0</v>
      </c>
      <c r="U453">
        <v>0</v>
      </c>
      <c r="V453">
        <v>14191.84</v>
      </c>
      <c r="W453">
        <v>0</v>
      </c>
      <c r="X453">
        <v>1</v>
      </c>
      <c r="Y453">
        <v>1</v>
      </c>
      <c r="Z453">
        <v>4</v>
      </c>
      <c r="AA453">
        <v>2</v>
      </c>
      <c r="AB453" s="13" t="s">
        <v>405</v>
      </c>
      <c r="AC453">
        <v>0.25</v>
      </c>
      <c r="AD453">
        <v>0</v>
      </c>
      <c r="AE453" s="13" t="s">
        <v>61</v>
      </c>
    </row>
    <row r="454" spans="1:31" x14ac:dyDescent="0.35">
      <c r="A454" s="13" t="s">
        <v>898</v>
      </c>
      <c r="B454" s="13" t="s">
        <v>899</v>
      </c>
      <c r="C454" s="13" t="s">
        <v>900</v>
      </c>
      <c r="D454" s="13" t="s">
        <v>76</v>
      </c>
      <c r="E454" s="13" t="s">
        <v>71</v>
      </c>
      <c r="F454" s="13" t="s">
        <v>72</v>
      </c>
      <c r="G454" s="13" t="s">
        <v>92</v>
      </c>
      <c r="H454">
        <v>85000</v>
      </c>
      <c r="I454" s="13" t="s">
        <v>93</v>
      </c>
      <c r="J454" s="13" t="s">
        <v>94</v>
      </c>
      <c r="K454" s="13" t="s">
        <v>81</v>
      </c>
      <c r="L454" s="13" t="s">
        <v>82</v>
      </c>
      <c r="M454">
        <v>30</v>
      </c>
      <c r="N454">
        <v>2</v>
      </c>
      <c r="O454" s="14">
        <v>45958</v>
      </c>
      <c r="P454" s="14">
        <v>45988</v>
      </c>
      <c r="Q454">
        <v>837.58</v>
      </c>
      <c r="R454">
        <v>0</v>
      </c>
      <c r="S454">
        <v>0</v>
      </c>
      <c r="T454">
        <v>0</v>
      </c>
      <c r="U454">
        <v>0</v>
      </c>
      <c r="V454">
        <v>837.58</v>
      </c>
      <c r="W454">
        <v>0</v>
      </c>
      <c r="X454">
        <v>1</v>
      </c>
      <c r="Y454">
        <v>1</v>
      </c>
      <c r="Z454">
        <v>34</v>
      </c>
      <c r="AA454">
        <v>3</v>
      </c>
      <c r="AB454" s="13" t="s">
        <v>369</v>
      </c>
      <c r="AC454">
        <v>0.5</v>
      </c>
      <c r="AD454">
        <v>0</v>
      </c>
      <c r="AE454" s="13" t="s">
        <v>61</v>
      </c>
    </row>
    <row r="455" spans="1:31" x14ac:dyDescent="0.35">
      <c r="A455" s="13" t="s">
        <v>901</v>
      </c>
      <c r="B455" s="13" t="s">
        <v>902</v>
      </c>
      <c r="C455" s="13" t="s">
        <v>903</v>
      </c>
      <c r="D455" s="13" t="s">
        <v>52</v>
      </c>
      <c r="E455" s="13" t="s">
        <v>65</v>
      </c>
      <c r="F455" s="13" t="s">
        <v>111</v>
      </c>
      <c r="G455" s="13" t="s">
        <v>67</v>
      </c>
      <c r="H455">
        <v>540000</v>
      </c>
      <c r="I455" s="13" t="s">
        <v>56</v>
      </c>
      <c r="J455" s="13" t="s">
        <v>57</v>
      </c>
      <c r="K455" s="13" t="s">
        <v>58</v>
      </c>
      <c r="L455" s="13" t="s">
        <v>59</v>
      </c>
      <c r="M455">
        <v>45</v>
      </c>
      <c r="N455">
        <v>0</v>
      </c>
      <c r="O455" s="14">
        <v>45958</v>
      </c>
      <c r="P455" s="14">
        <v>46003</v>
      </c>
      <c r="Q455">
        <v>10376.74</v>
      </c>
      <c r="R455">
        <v>6226.04</v>
      </c>
      <c r="S455">
        <v>0</v>
      </c>
      <c r="T455">
        <v>0</v>
      </c>
      <c r="U455">
        <v>0</v>
      </c>
      <c r="V455">
        <v>4150.7</v>
      </c>
      <c r="W455">
        <v>0</v>
      </c>
      <c r="X455">
        <v>1</v>
      </c>
      <c r="Y455">
        <v>1</v>
      </c>
      <c r="Z455">
        <v>19</v>
      </c>
      <c r="AA455">
        <v>2</v>
      </c>
      <c r="AB455" s="13" t="s">
        <v>405</v>
      </c>
      <c r="AC455">
        <v>0.25</v>
      </c>
      <c r="AD455">
        <v>0</v>
      </c>
      <c r="AE455" s="13" t="s">
        <v>61</v>
      </c>
    </row>
    <row r="456" spans="1:31" x14ac:dyDescent="0.35">
      <c r="A456" s="13" t="s">
        <v>904</v>
      </c>
      <c r="B456" s="13" t="s">
        <v>605</v>
      </c>
      <c r="C456" s="13" t="s">
        <v>606</v>
      </c>
      <c r="D456" s="13" t="s">
        <v>52</v>
      </c>
      <c r="E456" s="13" t="s">
        <v>65</v>
      </c>
      <c r="F456" s="13" t="s">
        <v>66</v>
      </c>
      <c r="G456" s="13" t="s">
        <v>67</v>
      </c>
      <c r="H456">
        <v>335000</v>
      </c>
      <c r="I456" s="13" t="s">
        <v>86</v>
      </c>
      <c r="J456" s="13" t="s">
        <v>87</v>
      </c>
      <c r="K456" s="13" t="s">
        <v>58</v>
      </c>
      <c r="L456" s="13" t="s">
        <v>59</v>
      </c>
      <c r="M456">
        <v>45</v>
      </c>
      <c r="N456">
        <v>0</v>
      </c>
      <c r="O456" s="14">
        <v>45958</v>
      </c>
      <c r="P456" s="14">
        <v>46003</v>
      </c>
      <c r="Q456">
        <v>10762.34</v>
      </c>
      <c r="R456">
        <v>0</v>
      </c>
      <c r="S456">
        <v>0</v>
      </c>
      <c r="T456">
        <v>0</v>
      </c>
      <c r="U456">
        <v>0</v>
      </c>
      <c r="V456">
        <v>10762.34</v>
      </c>
      <c r="W456">
        <v>0</v>
      </c>
      <c r="X456">
        <v>1</v>
      </c>
      <c r="Y456">
        <v>1</v>
      </c>
      <c r="Z456">
        <v>19</v>
      </c>
      <c r="AA456">
        <v>2</v>
      </c>
      <c r="AB456" s="13" t="s">
        <v>405</v>
      </c>
      <c r="AC456">
        <v>0.25</v>
      </c>
      <c r="AD456">
        <v>0</v>
      </c>
      <c r="AE456" s="13" t="s">
        <v>61</v>
      </c>
    </row>
    <row r="457" spans="1:31" x14ac:dyDescent="0.35">
      <c r="A457" s="13" t="s">
        <v>905</v>
      </c>
      <c r="B457" s="13" t="s">
        <v>390</v>
      </c>
      <c r="C457" s="13" t="s">
        <v>391</v>
      </c>
      <c r="D457" s="13" t="s">
        <v>52</v>
      </c>
      <c r="E457" s="13" t="s">
        <v>71</v>
      </c>
      <c r="F457" s="13" t="s">
        <v>72</v>
      </c>
      <c r="G457" s="13" t="s">
        <v>55</v>
      </c>
      <c r="H457">
        <v>320000</v>
      </c>
      <c r="I457" s="13" t="s">
        <v>86</v>
      </c>
      <c r="J457" s="13" t="s">
        <v>87</v>
      </c>
      <c r="K457" s="13" t="s">
        <v>58</v>
      </c>
      <c r="L457" s="13" t="s">
        <v>88</v>
      </c>
      <c r="M457">
        <v>60</v>
      </c>
      <c r="N457">
        <v>0</v>
      </c>
      <c r="O457" s="14">
        <v>45958</v>
      </c>
      <c r="P457" s="14">
        <v>46018</v>
      </c>
      <c r="Q457">
        <v>11799.58</v>
      </c>
      <c r="R457">
        <v>0</v>
      </c>
      <c r="S457">
        <v>0</v>
      </c>
      <c r="T457">
        <v>0</v>
      </c>
      <c r="U457">
        <v>0</v>
      </c>
      <c r="V457">
        <v>11799.58</v>
      </c>
      <c r="W457">
        <v>0</v>
      </c>
      <c r="X457">
        <v>1</v>
      </c>
      <c r="Y457">
        <v>1</v>
      </c>
      <c r="Z457">
        <v>4</v>
      </c>
      <c r="AA457">
        <v>2</v>
      </c>
      <c r="AB457" s="13" t="s">
        <v>405</v>
      </c>
      <c r="AC457">
        <v>0.25</v>
      </c>
      <c r="AD457">
        <v>0</v>
      </c>
      <c r="AE457" s="13" t="s">
        <v>61</v>
      </c>
    </row>
    <row r="458" spans="1:31" x14ac:dyDescent="0.35">
      <c r="A458" s="13" t="s">
        <v>906</v>
      </c>
      <c r="B458" s="13" t="s">
        <v>550</v>
      </c>
      <c r="C458" s="13" t="s">
        <v>551</v>
      </c>
      <c r="D458" s="13" t="s">
        <v>104</v>
      </c>
      <c r="E458" s="13" t="s">
        <v>71</v>
      </c>
      <c r="F458" s="13" t="s">
        <v>214</v>
      </c>
      <c r="G458" s="13" t="s">
        <v>55</v>
      </c>
      <c r="H458">
        <v>110000</v>
      </c>
      <c r="I458" s="13" t="s">
        <v>121</v>
      </c>
      <c r="J458" s="13" t="s">
        <v>122</v>
      </c>
      <c r="K458" s="13" t="s">
        <v>107</v>
      </c>
      <c r="L458" s="13" t="s">
        <v>88</v>
      </c>
      <c r="M458">
        <v>60</v>
      </c>
      <c r="N458">
        <v>0</v>
      </c>
      <c r="O458" s="14">
        <v>45958</v>
      </c>
      <c r="P458" s="14">
        <v>46018</v>
      </c>
      <c r="Q458">
        <v>8421.44</v>
      </c>
      <c r="R458">
        <v>0</v>
      </c>
      <c r="S458">
        <v>0</v>
      </c>
      <c r="T458">
        <v>0</v>
      </c>
      <c r="U458">
        <v>0</v>
      </c>
      <c r="V458">
        <v>8421.44</v>
      </c>
      <c r="W458">
        <v>0</v>
      </c>
      <c r="X458">
        <v>1</v>
      </c>
      <c r="Y458">
        <v>1</v>
      </c>
      <c r="Z458">
        <v>4</v>
      </c>
      <c r="AA458">
        <v>2</v>
      </c>
      <c r="AB458" s="13" t="s">
        <v>405</v>
      </c>
      <c r="AC458">
        <v>0.25</v>
      </c>
      <c r="AD458">
        <v>0</v>
      </c>
      <c r="AE458" s="13" t="s">
        <v>61</v>
      </c>
    </row>
    <row r="459" spans="1:31" x14ac:dyDescent="0.35">
      <c r="A459" s="13" t="s">
        <v>907</v>
      </c>
      <c r="B459" s="13" t="s">
        <v>273</v>
      </c>
      <c r="C459" s="13" t="s">
        <v>274</v>
      </c>
      <c r="D459" s="13" t="s">
        <v>104</v>
      </c>
      <c r="E459" s="13" t="s">
        <v>71</v>
      </c>
      <c r="F459" s="13" t="s">
        <v>72</v>
      </c>
      <c r="G459" s="13" t="s">
        <v>92</v>
      </c>
      <c r="H459">
        <v>120000</v>
      </c>
      <c r="I459" s="13" t="s">
        <v>105</v>
      </c>
      <c r="J459" s="13" t="s">
        <v>106</v>
      </c>
      <c r="K459" s="13" t="s">
        <v>107</v>
      </c>
      <c r="L459" s="13" t="s">
        <v>88</v>
      </c>
      <c r="M459">
        <v>60</v>
      </c>
      <c r="N459">
        <v>0</v>
      </c>
      <c r="O459" s="14">
        <v>45959</v>
      </c>
      <c r="P459" s="14">
        <v>46019</v>
      </c>
      <c r="Q459">
        <v>2150.12</v>
      </c>
      <c r="R459">
        <v>0</v>
      </c>
      <c r="S459">
        <v>0</v>
      </c>
      <c r="T459">
        <v>0</v>
      </c>
      <c r="U459">
        <v>0</v>
      </c>
      <c r="V459">
        <v>2150.12</v>
      </c>
      <c r="W459">
        <v>0</v>
      </c>
      <c r="X459">
        <v>1</v>
      </c>
      <c r="Y459">
        <v>1</v>
      </c>
      <c r="Z459">
        <v>3</v>
      </c>
      <c r="AA459">
        <v>2</v>
      </c>
      <c r="AB459" s="13" t="s">
        <v>405</v>
      </c>
      <c r="AC459">
        <v>0.25</v>
      </c>
      <c r="AD459">
        <v>0</v>
      </c>
      <c r="AE459" s="13" t="s">
        <v>61</v>
      </c>
    </row>
    <row r="460" spans="1:31" x14ac:dyDescent="0.35">
      <c r="A460" s="13" t="s">
        <v>908</v>
      </c>
      <c r="B460" s="13" t="s">
        <v>137</v>
      </c>
      <c r="C460" s="13" t="s">
        <v>138</v>
      </c>
      <c r="D460" s="13" t="s">
        <v>52</v>
      </c>
      <c r="E460" s="13" t="s">
        <v>53</v>
      </c>
      <c r="F460" s="13" t="s">
        <v>135</v>
      </c>
      <c r="G460" s="13" t="s">
        <v>92</v>
      </c>
      <c r="H460">
        <v>355000</v>
      </c>
      <c r="I460" s="13" t="s">
        <v>56</v>
      </c>
      <c r="J460" s="13" t="s">
        <v>57</v>
      </c>
      <c r="K460" s="13" t="s">
        <v>58</v>
      </c>
      <c r="L460" s="13" t="s">
        <v>88</v>
      </c>
      <c r="M460">
        <v>60</v>
      </c>
      <c r="N460">
        <v>0</v>
      </c>
      <c r="O460" s="14">
        <v>45959</v>
      </c>
      <c r="P460" s="14">
        <v>46019</v>
      </c>
      <c r="Q460">
        <v>8669.4500000000007</v>
      </c>
      <c r="R460">
        <v>0</v>
      </c>
      <c r="S460">
        <v>0</v>
      </c>
      <c r="T460">
        <v>0</v>
      </c>
      <c r="U460">
        <v>0</v>
      </c>
      <c r="V460">
        <v>8669.4500000000007</v>
      </c>
      <c r="W460">
        <v>0</v>
      </c>
      <c r="X460">
        <v>1</v>
      </c>
      <c r="Y460">
        <v>1</v>
      </c>
      <c r="Z460">
        <v>3</v>
      </c>
      <c r="AA460">
        <v>2</v>
      </c>
      <c r="AB460" s="13" t="s">
        <v>405</v>
      </c>
      <c r="AC460">
        <v>0.25</v>
      </c>
      <c r="AD460">
        <v>0</v>
      </c>
      <c r="AE460" s="13" t="s">
        <v>61</v>
      </c>
    </row>
    <row r="461" spans="1:31" x14ac:dyDescent="0.35">
      <c r="A461" s="13" t="s">
        <v>909</v>
      </c>
      <c r="B461" s="13" t="s">
        <v>910</v>
      </c>
      <c r="C461" s="13" t="s">
        <v>911</v>
      </c>
      <c r="D461" s="13" t="s">
        <v>52</v>
      </c>
      <c r="E461" s="13" t="s">
        <v>53</v>
      </c>
      <c r="F461" s="13" t="s">
        <v>135</v>
      </c>
      <c r="G461" s="13" t="s">
        <v>55</v>
      </c>
      <c r="H461">
        <v>240000</v>
      </c>
      <c r="I461" s="13" t="s">
        <v>56</v>
      </c>
      <c r="J461" s="13" t="s">
        <v>57</v>
      </c>
      <c r="K461" s="13" t="s">
        <v>58</v>
      </c>
      <c r="L461" s="13" t="s">
        <v>88</v>
      </c>
      <c r="M461">
        <v>60</v>
      </c>
      <c r="N461">
        <v>0</v>
      </c>
      <c r="O461" s="14">
        <v>45959</v>
      </c>
      <c r="P461" s="14">
        <v>46019</v>
      </c>
      <c r="Q461">
        <v>14025.85</v>
      </c>
      <c r="R461">
        <v>0</v>
      </c>
      <c r="S461">
        <v>0</v>
      </c>
      <c r="T461">
        <v>0</v>
      </c>
      <c r="U461">
        <v>0</v>
      </c>
      <c r="V461">
        <v>14025.85</v>
      </c>
      <c r="W461">
        <v>0</v>
      </c>
      <c r="X461">
        <v>1</v>
      </c>
      <c r="Y461">
        <v>1</v>
      </c>
      <c r="Z461">
        <v>3</v>
      </c>
      <c r="AA461">
        <v>2</v>
      </c>
      <c r="AB461" s="13" t="s">
        <v>405</v>
      </c>
      <c r="AC461">
        <v>0.25</v>
      </c>
      <c r="AD461">
        <v>0</v>
      </c>
      <c r="AE461" s="13" t="s">
        <v>61</v>
      </c>
    </row>
    <row r="462" spans="1:31" x14ac:dyDescent="0.35">
      <c r="A462" s="13" t="s">
        <v>912</v>
      </c>
      <c r="B462" s="13" t="s">
        <v>156</v>
      </c>
      <c r="C462" s="13" t="s">
        <v>157</v>
      </c>
      <c r="D462" s="13" t="s">
        <v>52</v>
      </c>
      <c r="E462" s="13" t="s">
        <v>53</v>
      </c>
      <c r="F462" s="13" t="s">
        <v>54</v>
      </c>
      <c r="G462" s="13" t="s">
        <v>92</v>
      </c>
      <c r="H462">
        <v>600000</v>
      </c>
      <c r="I462" s="13" t="s">
        <v>56</v>
      </c>
      <c r="J462" s="13" t="s">
        <v>57</v>
      </c>
      <c r="K462" s="13" t="s">
        <v>58</v>
      </c>
      <c r="L462" s="13" t="s">
        <v>88</v>
      </c>
      <c r="M462">
        <v>60</v>
      </c>
      <c r="N462">
        <v>0</v>
      </c>
      <c r="O462" s="14">
        <v>45959</v>
      </c>
      <c r="P462" s="14">
        <v>46019</v>
      </c>
      <c r="Q462">
        <v>4636.1000000000004</v>
      </c>
      <c r="R462">
        <v>0</v>
      </c>
      <c r="S462">
        <v>0</v>
      </c>
      <c r="T462">
        <v>0</v>
      </c>
      <c r="U462">
        <v>0</v>
      </c>
      <c r="V462">
        <v>4636.1000000000004</v>
      </c>
      <c r="W462">
        <v>0</v>
      </c>
      <c r="X462">
        <v>1</v>
      </c>
      <c r="Y462">
        <v>1</v>
      </c>
      <c r="Z462">
        <v>3</v>
      </c>
      <c r="AA462">
        <v>2</v>
      </c>
      <c r="AB462" s="13" t="s">
        <v>405</v>
      </c>
      <c r="AC462">
        <v>0.25</v>
      </c>
      <c r="AD462">
        <v>0</v>
      </c>
      <c r="AE462" s="13" t="s">
        <v>61</v>
      </c>
    </row>
    <row r="463" spans="1:31" x14ac:dyDescent="0.35">
      <c r="A463" s="13" t="s">
        <v>913</v>
      </c>
      <c r="B463" s="13" t="s">
        <v>914</v>
      </c>
      <c r="C463" s="13" t="s">
        <v>915</v>
      </c>
      <c r="D463" s="13" t="s">
        <v>76</v>
      </c>
      <c r="E463" s="13" t="s">
        <v>99</v>
      </c>
      <c r="F463" s="13" t="s">
        <v>100</v>
      </c>
      <c r="G463" s="13" t="s">
        <v>55</v>
      </c>
      <c r="H463">
        <v>95000</v>
      </c>
      <c r="I463" s="13" t="s">
        <v>93</v>
      </c>
      <c r="J463" s="13" t="s">
        <v>94</v>
      </c>
      <c r="K463" s="13" t="s">
        <v>81</v>
      </c>
      <c r="L463" s="13" t="s">
        <v>95</v>
      </c>
      <c r="M463">
        <v>30</v>
      </c>
      <c r="N463">
        <v>0</v>
      </c>
      <c r="O463" s="14">
        <v>45959</v>
      </c>
      <c r="P463" s="14">
        <v>45989</v>
      </c>
      <c r="Q463">
        <v>2125.75</v>
      </c>
      <c r="R463">
        <v>1275.45</v>
      </c>
      <c r="S463">
        <v>0</v>
      </c>
      <c r="T463">
        <v>0</v>
      </c>
      <c r="U463">
        <v>0</v>
      </c>
      <c r="V463">
        <v>850.3</v>
      </c>
      <c r="W463">
        <v>0</v>
      </c>
      <c r="X463">
        <v>1</v>
      </c>
      <c r="Y463">
        <v>1</v>
      </c>
      <c r="Z463">
        <v>33</v>
      </c>
      <c r="AA463">
        <v>3</v>
      </c>
      <c r="AB463" s="13" t="s">
        <v>369</v>
      </c>
      <c r="AC463">
        <v>0.5</v>
      </c>
      <c r="AD463">
        <v>0</v>
      </c>
      <c r="AE463" s="13" t="s">
        <v>61</v>
      </c>
    </row>
    <row r="464" spans="1:31" x14ac:dyDescent="0.35">
      <c r="A464" s="13" t="s">
        <v>916</v>
      </c>
      <c r="B464" s="13" t="s">
        <v>917</v>
      </c>
      <c r="C464" s="13" t="s">
        <v>918</v>
      </c>
      <c r="D464" s="13" t="s">
        <v>126</v>
      </c>
      <c r="E464" s="13" t="s">
        <v>53</v>
      </c>
      <c r="F464" s="13" t="s">
        <v>54</v>
      </c>
      <c r="G464" s="13" t="s">
        <v>67</v>
      </c>
      <c r="H464">
        <v>65000</v>
      </c>
      <c r="I464" s="13" t="s">
        <v>105</v>
      </c>
      <c r="J464" s="13" t="s">
        <v>106</v>
      </c>
      <c r="K464" s="13" t="s">
        <v>107</v>
      </c>
      <c r="L464" s="13" t="s">
        <v>368</v>
      </c>
      <c r="M464">
        <v>90</v>
      </c>
      <c r="N464">
        <v>0</v>
      </c>
      <c r="O464" s="14">
        <v>45959</v>
      </c>
      <c r="P464" s="14">
        <v>46049</v>
      </c>
      <c r="Q464">
        <v>5382.16</v>
      </c>
      <c r="R464">
        <v>0</v>
      </c>
      <c r="S464">
        <v>0</v>
      </c>
      <c r="T464">
        <v>0</v>
      </c>
      <c r="U464">
        <v>0</v>
      </c>
      <c r="V464">
        <v>5382.16</v>
      </c>
      <c r="W464">
        <v>0</v>
      </c>
      <c r="X464">
        <v>1</v>
      </c>
      <c r="Y464">
        <v>0</v>
      </c>
      <c r="Z464">
        <v>-27</v>
      </c>
      <c r="AA464">
        <v>1</v>
      </c>
      <c r="AB464" s="13" t="s">
        <v>581</v>
      </c>
      <c r="AC464">
        <v>0</v>
      </c>
      <c r="AD464">
        <v>0</v>
      </c>
      <c r="AE464" s="13" t="s">
        <v>61</v>
      </c>
    </row>
    <row r="465" spans="1:31" x14ac:dyDescent="0.35">
      <c r="A465" s="13" t="s">
        <v>919</v>
      </c>
      <c r="B465" s="13" t="s">
        <v>920</v>
      </c>
      <c r="C465" s="13" t="s">
        <v>921</v>
      </c>
      <c r="D465" s="13" t="s">
        <v>104</v>
      </c>
      <c r="E465" s="13" t="s">
        <v>99</v>
      </c>
      <c r="F465" s="13" t="s">
        <v>100</v>
      </c>
      <c r="G465" s="13" t="s">
        <v>92</v>
      </c>
      <c r="H465">
        <v>100000</v>
      </c>
      <c r="I465" s="13" t="s">
        <v>121</v>
      </c>
      <c r="J465" s="13" t="s">
        <v>122</v>
      </c>
      <c r="K465" s="13" t="s">
        <v>107</v>
      </c>
      <c r="L465" s="13" t="s">
        <v>95</v>
      </c>
      <c r="M465">
        <v>30</v>
      </c>
      <c r="N465">
        <v>0</v>
      </c>
      <c r="O465" s="14">
        <v>45959</v>
      </c>
      <c r="P465" s="14">
        <v>45989</v>
      </c>
      <c r="Q465">
        <v>2810.64</v>
      </c>
      <c r="R465">
        <v>1686.38</v>
      </c>
      <c r="S465">
        <v>0</v>
      </c>
      <c r="T465">
        <v>0</v>
      </c>
      <c r="U465">
        <v>0</v>
      </c>
      <c r="V465">
        <v>1124.26</v>
      </c>
      <c r="W465">
        <v>0</v>
      </c>
      <c r="X465">
        <v>1</v>
      </c>
      <c r="Y465">
        <v>1</v>
      </c>
      <c r="Z465">
        <v>33</v>
      </c>
      <c r="AA465">
        <v>3</v>
      </c>
      <c r="AB465" s="13" t="s">
        <v>369</v>
      </c>
      <c r="AC465">
        <v>0.5</v>
      </c>
      <c r="AD465">
        <v>0</v>
      </c>
      <c r="AE465" s="13" t="s">
        <v>61</v>
      </c>
    </row>
    <row r="466" spans="1:31" x14ac:dyDescent="0.35">
      <c r="A466" s="13" t="s">
        <v>922</v>
      </c>
      <c r="B466" s="13" t="s">
        <v>312</v>
      </c>
      <c r="C466" s="13" t="s">
        <v>313</v>
      </c>
      <c r="D466" s="13" t="s">
        <v>52</v>
      </c>
      <c r="E466" s="13" t="s">
        <v>77</v>
      </c>
      <c r="F466" s="13" t="s">
        <v>174</v>
      </c>
      <c r="G466" s="13" t="s">
        <v>55</v>
      </c>
      <c r="H466">
        <v>600000</v>
      </c>
      <c r="I466" s="13" t="s">
        <v>56</v>
      </c>
      <c r="J466" s="13" t="s">
        <v>57</v>
      </c>
      <c r="K466" s="13" t="s">
        <v>58</v>
      </c>
      <c r="L466" s="13" t="s">
        <v>88</v>
      </c>
      <c r="M466">
        <v>60</v>
      </c>
      <c r="N466">
        <v>0</v>
      </c>
      <c r="O466" s="14">
        <v>45959</v>
      </c>
      <c r="P466" s="14">
        <v>46019</v>
      </c>
      <c r="Q466">
        <v>4490.87</v>
      </c>
      <c r="R466">
        <v>0</v>
      </c>
      <c r="S466">
        <v>0</v>
      </c>
      <c r="T466">
        <v>0</v>
      </c>
      <c r="U466">
        <v>0</v>
      </c>
      <c r="V466">
        <v>4490.87</v>
      </c>
      <c r="W466">
        <v>0</v>
      </c>
      <c r="X466">
        <v>1</v>
      </c>
      <c r="Y466">
        <v>1</v>
      </c>
      <c r="Z466">
        <v>3</v>
      </c>
      <c r="AA466">
        <v>2</v>
      </c>
      <c r="AB466" s="13" t="s">
        <v>405</v>
      </c>
      <c r="AC466">
        <v>0.25</v>
      </c>
      <c r="AD466">
        <v>0</v>
      </c>
      <c r="AE466" s="13" t="s">
        <v>61</v>
      </c>
    </row>
    <row r="467" spans="1:31" x14ac:dyDescent="0.35">
      <c r="A467" s="13" t="s">
        <v>923</v>
      </c>
      <c r="B467" s="13" t="s">
        <v>147</v>
      </c>
      <c r="C467" s="13" t="s">
        <v>148</v>
      </c>
      <c r="D467" s="13" t="s">
        <v>104</v>
      </c>
      <c r="E467" s="13" t="s">
        <v>53</v>
      </c>
      <c r="F467" s="13" t="s">
        <v>54</v>
      </c>
      <c r="G467" s="13" t="s">
        <v>67</v>
      </c>
      <c r="H467">
        <v>80000</v>
      </c>
      <c r="I467" s="13" t="s">
        <v>105</v>
      </c>
      <c r="J467" s="13" t="s">
        <v>106</v>
      </c>
      <c r="K467" s="13" t="s">
        <v>107</v>
      </c>
      <c r="L467" s="13" t="s">
        <v>88</v>
      </c>
      <c r="M467">
        <v>60</v>
      </c>
      <c r="N467">
        <v>0</v>
      </c>
      <c r="O467" s="14">
        <v>45959</v>
      </c>
      <c r="P467" s="14">
        <v>46019</v>
      </c>
      <c r="Q467">
        <v>8001.93</v>
      </c>
      <c r="R467">
        <v>0</v>
      </c>
      <c r="S467">
        <v>0</v>
      </c>
      <c r="T467">
        <v>0</v>
      </c>
      <c r="U467">
        <v>0</v>
      </c>
      <c r="V467">
        <v>8001.93</v>
      </c>
      <c r="W467">
        <v>0</v>
      </c>
      <c r="X467">
        <v>1</v>
      </c>
      <c r="Y467">
        <v>1</v>
      </c>
      <c r="Z467">
        <v>3</v>
      </c>
      <c r="AA467">
        <v>2</v>
      </c>
      <c r="AB467" s="13" t="s">
        <v>405</v>
      </c>
      <c r="AC467">
        <v>0.25</v>
      </c>
      <c r="AD467">
        <v>0</v>
      </c>
      <c r="AE467" s="13" t="s">
        <v>61</v>
      </c>
    </row>
    <row r="468" spans="1:31" x14ac:dyDescent="0.35">
      <c r="A468" s="13" t="s">
        <v>924</v>
      </c>
      <c r="B468" s="13" t="s">
        <v>894</v>
      </c>
      <c r="C468" s="13" t="s">
        <v>895</v>
      </c>
      <c r="D468" s="13" t="s">
        <v>104</v>
      </c>
      <c r="E468" s="13" t="s">
        <v>71</v>
      </c>
      <c r="F468" s="13" t="s">
        <v>72</v>
      </c>
      <c r="G468" s="13" t="s">
        <v>67</v>
      </c>
      <c r="H468">
        <v>85000</v>
      </c>
      <c r="I468" s="13" t="s">
        <v>105</v>
      </c>
      <c r="J468" s="13" t="s">
        <v>106</v>
      </c>
      <c r="K468" s="13" t="s">
        <v>107</v>
      </c>
      <c r="L468" s="13" t="s">
        <v>88</v>
      </c>
      <c r="M468">
        <v>60</v>
      </c>
      <c r="N468">
        <v>0</v>
      </c>
      <c r="O468" s="14">
        <v>45959</v>
      </c>
      <c r="P468" s="14">
        <v>46019</v>
      </c>
      <c r="Q468">
        <v>2982.07</v>
      </c>
      <c r="R468">
        <v>0</v>
      </c>
      <c r="S468">
        <v>0</v>
      </c>
      <c r="T468">
        <v>0</v>
      </c>
      <c r="U468">
        <v>0</v>
      </c>
      <c r="V468">
        <v>2982.07</v>
      </c>
      <c r="W468">
        <v>0</v>
      </c>
      <c r="X468">
        <v>1</v>
      </c>
      <c r="Y468">
        <v>1</v>
      </c>
      <c r="Z468">
        <v>3</v>
      </c>
      <c r="AA468">
        <v>2</v>
      </c>
      <c r="AB468" s="13" t="s">
        <v>405</v>
      </c>
      <c r="AC468">
        <v>0.25</v>
      </c>
      <c r="AD468">
        <v>0</v>
      </c>
      <c r="AE468" s="13" t="s">
        <v>61</v>
      </c>
    </row>
    <row r="469" spans="1:31" x14ac:dyDescent="0.35">
      <c r="A469" s="13" t="s">
        <v>925</v>
      </c>
      <c r="B469" s="13" t="s">
        <v>584</v>
      </c>
      <c r="C469" s="13" t="s">
        <v>585</v>
      </c>
      <c r="D469" s="13" t="s">
        <v>104</v>
      </c>
      <c r="E469" s="13" t="s">
        <v>53</v>
      </c>
      <c r="F469" s="13" t="s">
        <v>54</v>
      </c>
      <c r="G469" s="13" t="s">
        <v>67</v>
      </c>
      <c r="H469">
        <v>115000</v>
      </c>
      <c r="I469" s="13" t="s">
        <v>121</v>
      </c>
      <c r="J469" s="13" t="s">
        <v>122</v>
      </c>
      <c r="K469" s="13" t="s">
        <v>107</v>
      </c>
      <c r="L469" s="13" t="s">
        <v>88</v>
      </c>
      <c r="M469">
        <v>60</v>
      </c>
      <c r="N469">
        <v>0</v>
      </c>
      <c r="O469" s="14">
        <v>45959</v>
      </c>
      <c r="P469" s="14">
        <v>46019</v>
      </c>
      <c r="Q469">
        <v>7807.42</v>
      </c>
      <c r="R469">
        <v>0</v>
      </c>
      <c r="S469">
        <v>0</v>
      </c>
      <c r="T469">
        <v>0</v>
      </c>
      <c r="U469">
        <v>0</v>
      </c>
      <c r="V469">
        <v>7807.42</v>
      </c>
      <c r="W469">
        <v>0</v>
      </c>
      <c r="X469">
        <v>1</v>
      </c>
      <c r="Y469">
        <v>1</v>
      </c>
      <c r="Z469">
        <v>3</v>
      </c>
      <c r="AA469">
        <v>2</v>
      </c>
      <c r="AB469" s="13" t="s">
        <v>405</v>
      </c>
      <c r="AC469">
        <v>0.25</v>
      </c>
      <c r="AD469">
        <v>0</v>
      </c>
      <c r="AE469" s="13" t="s">
        <v>61</v>
      </c>
    </row>
    <row r="470" spans="1:31" x14ac:dyDescent="0.35">
      <c r="A470" s="13" t="s">
        <v>926</v>
      </c>
      <c r="B470" s="13" t="s">
        <v>927</v>
      </c>
      <c r="C470" s="13" t="s">
        <v>928</v>
      </c>
      <c r="D470" s="13" t="s">
        <v>52</v>
      </c>
      <c r="E470" s="13" t="s">
        <v>99</v>
      </c>
      <c r="F470" s="13" t="s">
        <v>100</v>
      </c>
      <c r="G470" s="13" t="s">
        <v>67</v>
      </c>
      <c r="H470">
        <v>185000</v>
      </c>
      <c r="I470" s="13" t="s">
        <v>56</v>
      </c>
      <c r="J470" s="13" t="s">
        <v>57</v>
      </c>
      <c r="K470" s="13" t="s">
        <v>58</v>
      </c>
      <c r="L470" s="13" t="s">
        <v>88</v>
      </c>
      <c r="M470">
        <v>60</v>
      </c>
      <c r="N470">
        <v>0</v>
      </c>
      <c r="O470" s="14">
        <v>45959</v>
      </c>
      <c r="P470" s="14">
        <v>46019</v>
      </c>
      <c r="Q470">
        <v>5103.41</v>
      </c>
      <c r="R470">
        <v>0</v>
      </c>
      <c r="S470">
        <v>0</v>
      </c>
      <c r="T470">
        <v>0</v>
      </c>
      <c r="U470">
        <v>0</v>
      </c>
      <c r="V470">
        <v>5103.41</v>
      </c>
      <c r="W470">
        <v>0</v>
      </c>
      <c r="X470">
        <v>1</v>
      </c>
      <c r="Y470">
        <v>1</v>
      </c>
      <c r="Z470">
        <v>3</v>
      </c>
      <c r="AA470">
        <v>2</v>
      </c>
      <c r="AB470" s="13" t="s">
        <v>405</v>
      </c>
      <c r="AC470">
        <v>0.25</v>
      </c>
      <c r="AD470">
        <v>0</v>
      </c>
      <c r="AE470" s="13" t="s">
        <v>61</v>
      </c>
    </row>
    <row r="471" spans="1:31" x14ac:dyDescent="0.35">
      <c r="A471" s="13" t="s">
        <v>929</v>
      </c>
      <c r="B471" s="13" t="s">
        <v>930</v>
      </c>
      <c r="C471" s="13" t="s">
        <v>931</v>
      </c>
      <c r="D471" s="13" t="s">
        <v>104</v>
      </c>
      <c r="E471" s="13" t="s">
        <v>71</v>
      </c>
      <c r="F471" s="13" t="s">
        <v>214</v>
      </c>
      <c r="G471" s="13" t="s">
        <v>55</v>
      </c>
      <c r="H471">
        <v>120000</v>
      </c>
      <c r="I471" s="13" t="s">
        <v>121</v>
      </c>
      <c r="J471" s="13" t="s">
        <v>122</v>
      </c>
      <c r="K471" s="13" t="s">
        <v>107</v>
      </c>
      <c r="L471" s="13" t="s">
        <v>88</v>
      </c>
      <c r="M471">
        <v>60</v>
      </c>
      <c r="N471">
        <v>0</v>
      </c>
      <c r="O471" s="14">
        <v>45959</v>
      </c>
      <c r="P471" s="14">
        <v>46019</v>
      </c>
      <c r="Q471">
        <v>3413.26</v>
      </c>
      <c r="R471">
        <v>0</v>
      </c>
      <c r="S471">
        <v>0</v>
      </c>
      <c r="T471">
        <v>0</v>
      </c>
      <c r="U471">
        <v>0</v>
      </c>
      <c r="V471">
        <v>3413.26</v>
      </c>
      <c r="W471">
        <v>0</v>
      </c>
      <c r="X471">
        <v>1</v>
      </c>
      <c r="Y471">
        <v>1</v>
      </c>
      <c r="Z471">
        <v>3</v>
      </c>
      <c r="AA471">
        <v>2</v>
      </c>
      <c r="AB471" s="13" t="s">
        <v>405</v>
      </c>
      <c r="AC471">
        <v>0.25</v>
      </c>
      <c r="AD471">
        <v>0</v>
      </c>
      <c r="AE471" s="13" t="s">
        <v>61</v>
      </c>
    </row>
    <row r="472" spans="1:31" x14ac:dyDescent="0.35">
      <c r="A472" s="13" t="s">
        <v>932</v>
      </c>
      <c r="B472" s="13" t="s">
        <v>933</v>
      </c>
      <c r="C472" s="13" t="s">
        <v>934</v>
      </c>
      <c r="D472" s="13" t="s">
        <v>76</v>
      </c>
      <c r="E472" s="13" t="s">
        <v>71</v>
      </c>
      <c r="F472" s="13" t="s">
        <v>214</v>
      </c>
      <c r="G472" s="13" t="s">
        <v>67</v>
      </c>
      <c r="H472">
        <v>115000</v>
      </c>
      <c r="I472" s="13" t="s">
        <v>79</v>
      </c>
      <c r="J472" s="13" t="s">
        <v>80</v>
      </c>
      <c r="K472" s="13" t="s">
        <v>81</v>
      </c>
      <c r="L472" s="13" t="s">
        <v>95</v>
      </c>
      <c r="M472">
        <v>30</v>
      </c>
      <c r="N472">
        <v>0</v>
      </c>
      <c r="O472" s="14">
        <v>45959</v>
      </c>
      <c r="P472" s="14">
        <v>45989</v>
      </c>
      <c r="Q472">
        <v>2165.87</v>
      </c>
      <c r="R472">
        <v>1299.52</v>
      </c>
      <c r="S472">
        <v>0</v>
      </c>
      <c r="T472">
        <v>0</v>
      </c>
      <c r="U472">
        <v>0</v>
      </c>
      <c r="V472">
        <v>866.35</v>
      </c>
      <c r="W472">
        <v>0</v>
      </c>
      <c r="X472">
        <v>1</v>
      </c>
      <c r="Y472">
        <v>1</v>
      </c>
      <c r="Z472">
        <v>33</v>
      </c>
      <c r="AA472">
        <v>3</v>
      </c>
      <c r="AB472" s="13" t="s">
        <v>369</v>
      </c>
      <c r="AC472">
        <v>0.5</v>
      </c>
      <c r="AD472">
        <v>0</v>
      </c>
      <c r="AE472" s="13" t="s">
        <v>61</v>
      </c>
    </row>
    <row r="473" spans="1:31" x14ac:dyDescent="0.35">
      <c r="A473" s="13" t="s">
        <v>935</v>
      </c>
      <c r="B473" s="13" t="s">
        <v>206</v>
      </c>
      <c r="C473" s="13" t="s">
        <v>207</v>
      </c>
      <c r="D473" s="13" t="s">
        <v>52</v>
      </c>
      <c r="E473" s="13" t="s">
        <v>65</v>
      </c>
      <c r="F473" s="13" t="s">
        <v>111</v>
      </c>
      <c r="G473" s="13" t="s">
        <v>92</v>
      </c>
      <c r="H473">
        <v>490000</v>
      </c>
      <c r="I473" s="13" t="s">
        <v>86</v>
      </c>
      <c r="J473" s="13" t="s">
        <v>87</v>
      </c>
      <c r="K473" s="13" t="s">
        <v>58</v>
      </c>
      <c r="L473" s="13" t="s">
        <v>88</v>
      </c>
      <c r="M473">
        <v>60</v>
      </c>
      <c r="N473">
        <v>0</v>
      </c>
      <c r="O473" s="14">
        <v>45959</v>
      </c>
      <c r="P473" s="14">
        <v>46019</v>
      </c>
      <c r="Q473">
        <v>10442.959999999999</v>
      </c>
      <c r="R473">
        <v>0</v>
      </c>
      <c r="S473">
        <v>0</v>
      </c>
      <c r="T473">
        <v>0</v>
      </c>
      <c r="U473">
        <v>0</v>
      </c>
      <c r="V473">
        <v>10442.959999999999</v>
      </c>
      <c r="W473">
        <v>0</v>
      </c>
      <c r="X473">
        <v>1</v>
      </c>
      <c r="Y473">
        <v>1</v>
      </c>
      <c r="Z473">
        <v>3</v>
      </c>
      <c r="AA473">
        <v>2</v>
      </c>
      <c r="AB473" s="13" t="s">
        <v>405</v>
      </c>
      <c r="AC473">
        <v>0.25</v>
      </c>
      <c r="AD473">
        <v>0</v>
      </c>
      <c r="AE473" s="13" t="s">
        <v>61</v>
      </c>
    </row>
    <row r="474" spans="1:31" x14ac:dyDescent="0.35">
      <c r="A474" s="13" t="s">
        <v>936</v>
      </c>
      <c r="B474" s="13" t="s">
        <v>50</v>
      </c>
      <c r="C474" s="13" t="s">
        <v>51</v>
      </c>
      <c r="D474" s="13" t="s">
        <v>52</v>
      </c>
      <c r="E474" s="13" t="s">
        <v>53</v>
      </c>
      <c r="F474" s="13" t="s">
        <v>54</v>
      </c>
      <c r="G474" s="13" t="s">
        <v>55</v>
      </c>
      <c r="H474">
        <v>585000</v>
      </c>
      <c r="I474" s="13" t="s">
        <v>56</v>
      </c>
      <c r="J474" s="13" t="s">
        <v>57</v>
      </c>
      <c r="K474" s="13" t="s">
        <v>58</v>
      </c>
      <c r="L474" s="13" t="s">
        <v>59</v>
      </c>
      <c r="M474">
        <v>45</v>
      </c>
      <c r="N474">
        <v>0</v>
      </c>
      <c r="O474" s="14">
        <v>45959</v>
      </c>
      <c r="P474" s="14">
        <v>46004</v>
      </c>
      <c r="Q474">
        <v>14638.73</v>
      </c>
      <c r="R474">
        <v>8783.24</v>
      </c>
      <c r="S474">
        <v>0</v>
      </c>
      <c r="T474">
        <v>0</v>
      </c>
      <c r="U474">
        <v>0</v>
      </c>
      <c r="V474">
        <v>5855.49</v>
      </c>
      <c r="W474">
        <v>0</v>
      </c>
      <c r="X474">
        <v>1</v>
      </c>
      <c r="Y474">
        <v>1</v>
      </c>
      <c r="Z474">
        <v>18</v>
      </c>
      <c r="AA474">
        <v>2</v>
      </c>
      <c r="AB474" s="13" t="s">
        <v>405</v>
      </c>
      <c r="AC474">
        <v>0.25</v>
      </c>
      <c r="AD474">
        <v>0</v>
      </c>
      <c r="AE474" s="13" t="s">
        <v>61</v>
      </c>
    </row>
    <row r="475" spans="1:31" x14ac:dyDescent="0.35">
      <c r="A475" s="13" t="s">
        <v>937</v>
      </c>
      <c r="B475" s="13" t="s">
        <v>84</v>
      </c>
      <c r="C475" s="13" t="s">
        <v>85</v>
      </c>
      <c r="D475" s="13" t="s">
        <v>52</v>
      </c>
      <c r="E475" s="13" t="s">
        <v>71</v>
      </c>
      <c r="F475" s="13" t="s">
        <v>72</v>
      </c>
      <c r="G475" s="13" t="s">
        <v>67</v>
      </c>
      <c r="H475">
        <v>600000</v>
      </c>
      <c r="I475" s="13" t="s">
        <v>86</v>
      </c>
      <c r="J475" s="13" t="s">
        <v>87</v>
      </c>
      <c r="K475" s="13" t="s">
        <v>58</v>
      </c>
      <c r="L475" s="13" t="s">
        <v>88</v>
      </c>
      <c r="M475">
        <v>60</v>
      </c>
      <c r="N475">
        <v>0</v>
      </c>
      <c r="O475" s="14">
        <v>45960</v>
      </c>
      <c r="P475" s="14">
        <v>46020</v>
      </c>
      <c r="Q475">
        <v>3801.1</v>
      </c>
      <c r="R475">
        <v>0</v>
      </c>
      <c r="S475">
        <v>0</v>
      </c>
      <c r="T475">
        <v>874.25</v>
      </c>
      <c r="U475">
        <v>0</v>
      </c>
      <c r="V475">
        <v>2926.85</v>
      </c>
      <c r="W475">
        <v>0</v>
      </c>
      <c r="X475">
        <v>1</v>
      </c>
      <c r="Y475">
        <v>1</v>
      </c>
      <c r="Z475">
        <v>2</v>
      </c>
      <c r="AA475">
        <v>2</v>
      </c>
      <c r="AB475" s="13" t="s">
        <v>405</v>
      </c>
      <c r="AC475">
        <v>0.25</v>
      </c>
      <c r="AD475">
        <v>0</v>
      </c>
      <c r="AE475" s="13" t="s">
        <v>465</v>
      </c>
    </row>
    <row r="476" spans="1:31" x14ac:dyDescent="0.35">
      <c r="A476" s="13" t="s">
        <v>938</v>
      </c>
      <c r="B476" s="13" t="s">
        <v>109</v>
      </c>
      <c r="C476" s="13" t="s">
        <v>110</v>
      </c>
      <c r="D476" s="13" t="s">
        <v>52</v>
      </c>
      <c r="E476" s="13" t="s">
        <v>65</v>
      </c>
      <c r="F476" s="13" t="s">
        <v>111</v>
      </c>
      <c r="G476" s="13" t="s">
        <v>67</v>
      </c>
      <c r="H476">
        <v>455000</v>
      </c>
      <c r="I476" s="13" t="s">
        <v>86</v>
      </c>
      <c r="J476" s="13" t="s">
        <v>87</v>
      </c>
      <c r="K476" s="13" t="s">
        <v>58</v>
      </c>
      <c r="L476" s="13" t="s">
        <v>59</v>
      </c>
      <c r="M476">
        <v>45</v>
      </c>
      <c r="N476">
        <v>0</v>
      </c>
      <c r="O476" s="14">
        <v>45960</v>
      </c>
      <c r="P476" s="14">
        <v>46005</v>
      </c>
      <c r="Q476">
        <v>1906.4</v>
      </c>
      <c r="R476">
        <v>1143.8399999999999</v>
      </c>
      <c r="S476">
        <v>0</v>
      </c>
      <c r="T476">
        <v>0</v>
      </c>
      <c r="U476">
        <v>0</v>
      </c>
      <c r="V476">
        <v>762.56</v>
      </c>
      <c r="W476">
        <v>0</v>
      </c>
      <c r="X476">
        <v>1</v>
      </c>
      <c r="Y476">
        <v>1</v>
      </c>
      <c r="Z476">
        <v>17</v>
      </c>
      <c r="AA476">
        <v>2</v>
      </c>
      <c r="AB476" s="13" t="s">
        <v>405</v>
      </c>
      <c r="AC476">
        <v>0.25</v>
      </c>
      <c r="AD476">
        <v>0</v>
      </c>
      <c r="AE476" s="13" t="s">
        <v>61</v>
      </c>
    </row>
    <row r="477" spans="1:31" x14ac:dyDescent="0.35">
      <c r="A477" s="13" t="s">
        <v>939</v>
      </c>
      <c r="B477" s="13" t="s">
        <v>312</v>
      </c>
      <c r="C477" s="13" t="s">
        <v>313</v>
      </c>
      <c r="D477" s="13" t="s">
        <v>52</v>
      </c>
      <c r="E477" s="13" t="s">
        <v>77</v>
      </c>
      <c r="F477" s="13" t="s">
        <v>174</v>
      </c>
      <c r="G477" s="13" t="s">
        <v>55</v>
      </c>
      <c r="H477">
        <v>600000</v>
      </c>
      <c r="I477" s="13" t="s">
        <v>56</v>
      </c>
      <c r="J477" s="13" t="s">
        <v>57</v>
      </c>
      <c r="K477" s="13" t="s">
        <v>58</v>
      </c>
      <c r="L477" s="13" t="s">
        <v>88</v>
      </c>
      <c r="M477">
        <v>60</v>
      </c>
      <c r="N477">
        <v>0</v>
      </c>
      <c r="O477" s="14">
        <v>45960</v>
      </c>
      <c r="P477" s="14">
        <v>46020</v>
      </c>
      <c r="Q477">
        <v>8642.27</v>
      </c>
      <c r="R477">
        <v>0</v>
      </c>
      <c r="S477">
        <v>0</v>
      </c>
      <c r="T477">
        <v>0</v>
      </c>
      <c r="U477">
        <v>0</v>
      </c>
      <c r="V477">
        <v>8642.27</v>
      </c>
      <c r="W477">
        <v>0</v>
      </c>
      <c r="X477">
        <v>1</v>
      </c>
      <c r="Y477">
        <v>1</v>
      </c>
      <c r="Z477">
        <v>2</v>
      </c>
      <c r="AA477">
        <v>2</v>
      </c>
      <c r="AB477" s="13" t="s">
        <v>405</v>
      </c>
      <c r="AC477">
        <v>0.25</v>
      </c>
      <c r="AD477">
        <v>0</v>
      </c>
      <c r="AE477" s="13" t="s">
        <v>61</v>
      </c>
    </row>
    <row r="478" spans="1:31" x14ac:dyDescent="0.35">
      <c r="A478" s="13" t="s">
        <v>940</v>
      </c>
      <c r="B478" s="13" t="s">
        <v>446</v>
      </c>
      <c r="C478" s="13" t="s">
        <v>447</v>
      </c>
      <c r="D478" s="13" t="s">
        <v>52</v>
      </c>
      <c r="E478" s="13" t="s">
        <v>53</v>
      </c>
      <c r="F478" s="13" t="s">
        <v>54</v>
      </c>
      <c r="G478" s="13" t="s">
        <v>67</v>
      </c>
      <c r="H478">
        <v>245000</v>
      </c>
      <c r="I478" s="13" t="s">
        <v>86</v>
      </c>
      <c r="J478" s="13" t="s">
        <v>87</v>
      </c>
      <c r="K478" s="13" t="s">
        <v>58</v>
      </c>
      <c r="L478" s="13" t="s">
        <v>88</v>
      </c>
      <c r="M478">
        <v>60</v>
      </c>
      <c r="N478">
        <v>0</v>
      </c>
      <c r="O478" s="14">
        <v>45960</v>
      </c>
      <c r="P478" s="14">
        <v>46020</v>
      </c>
      <c r="Q478">
        <v>11125.34</v>
      </c>
      <c r="R478">
        <v>0</v>
      </c>
      <c r="S478">
        <v>0</v>
      </c>
      <c r="T478">
        <v>0</v>
      </c>
      <c r="U478">
        <v>0</v>
      </c>
      <c r="V478">
        <v>11125.34</v>
      </c>
      <c r="W478">
        <v>0</v>
      </c>
      <c r="X478">
        <v>1</v>
      </c>
      <c r="Y478">
        <v>1</v>
      </c>
      <c r="Z478">
        <v>2</v>
      </c>
      <c r="AA478">
        <v>2</v>
      </c>
      <c r="AB478" s="13" t="s">
        <v>405</v>
      </c>
      <c r="AC478">
        <v>0.25</v>
      </c>
      <c r="AD478">
        <v>0</v>
      </c>
      <c r="AE478" s="13" t="s">
        <v>61</v>
      </c>
    </row>
    <row r="479" spans="1:31" x14ac:dyDescent="0.35">
      <c r="A479" s="13" t="s">
        <v>941</v>
      </c>
      <c r="B479" s="13" t="s">
        <v>235</v>
      </c>
      <c r="C479" s="13" t="s">
        <v>236</v>
      </c>
      <c r="D479" s="13" t="s">
        <v>76</v>
      </c>
      <c r="E479" s="13" t="s">
        <v>71</v>
      </c>
      <c r="F479" s="13" t="s">
        <v>72</v>
      </c>
      <c r="G479" s="13" t="s">
        <v>55</v>
      </c>
      <c r="H479">
        <v>40000</v>
      </c>
      <c r="I479" s="13" t="s">
        <v>79</v>
      </c>
      <c r="J479" s="13" t="s">
        <v>80</v>
      </c>
      <c r="K479" s="13" t="s">
        <v>81</v>
      </c>
      <c r="L479" s="13" t="s">
        <v>95</v>
      </c>
      <c r="M479">
        <v>30</v>
      </c>
      <c r="N479">
        <v>0</v>
      </c>
      <c r="O479" s="14">
        <v>45960</v>
      </c>
      <c r="P479" s="14">
        <v>45990</v>
      </c>
      <c r="Q479">
        <v>3453.9</v>
      </c>
      <c r="R479">
        <v>2072.34</v>
      </c>
      <c r="S479">
        <v>0</v>
      </c>
      <c r="T479">
        <v>0</v>
      </c>
      <c r="U479">
        <v>0</v>
      </c>
      <c r="V479">
        <v>1381.56</v>
      </c>
      <c r="W479">
        <v>0</v>
      </c>
      <c r="X479">
        <v>1</v>
      </c>
      <c r="Y479">
        <v>1</v>
      </c>
      <c r="Z479">
        <v>32</v>
      </c>
      <c r="AA479">
        <v>3</v>
      </c>
      <c r="AB479" s="13" t="s">
        <v>369</v>
      </c>
      <c r="AC479">
        <v>0.5</v>
      </c>
      <c r="AD479">
        <v>0</v>
      </c>
      <c r="AE479" s="13" t="s">
        <v>61</v>
      </c>
    </row>
    <row r="480" spans="1:31" x14ac:dyDescent="0.35">
      <c r="A480" s="13" t="s">
        <v>942</v>
      </c>
      <c r="B480" s="13" t="s">
        <v>375</v>
      </c>
      <c r="C480" s="13" t="s">
        <v>376</v>
      </c>
      <c r="D480" s="13" t="s">
        <v>52</v>
      </c>
      <c r="E480" s="13" t="s">
        <v>99</v>
      </c>
      <c r="F480" s="13" t="s">
        <v>100</v>
      </c>
      <c r="G480" s="13" t="s">
        <v>55</v>
      </c>
      <c r="H480">
        <v>395000</v>
      </c>
      <c r="I480" s="13" t="s">
        <v>56</v>
      </c>
      <c r="J480" s="13" t="s">
        <v>57</v>
      </c>
      <c r="K480" s="13" t="s">
        <v>58</v>
      </c>
      <c r="L480" s="13" t="s">
        <v>59</v>
      </c>
      <c r="M480">
        <v>45</v>
      </c>
      <c r="N480">
        <v>0</v>
      </c>
      <c r="O480" s="14">
        <v>45960</v>
      </c>
      <c r="P480" s="14">
        <v>46005</v>
      </c>
      <c r="Q480">
        <v>3323.86</v>
      </c>
      <c r="R480">
        <v>0</v>
      </c>
      <c r="S480">
        <v>0</v>
      </c>
      <c r="T480">
        <v>0</v>
      </c>
      <c r="U480">
        <v>0</v>
      </c>
      <c r="V480">
        <v>3323.86</v>
      </c>
      <c r="W480">
        <v>0</v>
      </c>
      <c r="X480">
        <v>1</v>
      </c>
      <c r="Y480">
        <v>1</v>
      </c>
      <c r="Z480">
        <v>17</v>
      </c>
      <c r="AA480">
        <v>2</v>
      </c>
      <c r="AB480" s="13" t="s">
        <v>405</v>
      </c>
      <c r="AC480">
        <v>0.25</v>
      </c>
      <c r="AD480">
        <v>1</v>
      </c>
      <c r="AE480" s="13" t="s">
        <v>348</v>
      </c>
    </row>
    <row r="481" spans="1:31" x14ac:dyDescent="0.35">
      <c r="A481" s="13" t="s">
        <v>943</v>
      </c>
      <c r="B481" s="13" t="s">
        <v>695</v>
      </c>
      <c r="C481" s="13" t="s">
        <v>696</v>
      </c>
      <c r="D481" s="13" t="s">
        <v>52</v>
      </c>
      <c r="E481" s="13" t="s">
        <v>53</v>
      </c>
      <c r="F481" s="13" t="s">
        <v>54</v>
      </c>
      <c r="G481" s="13" t="s">
        <v>92</v>
      </c>
      <c r="H481">
        <v>535000</v>
      </c>
      <c r="I481" s="13" t="s">
        <v>56</v>
      </c>
      <c r="J481" s="13" t="s">
        <v>57</v>
      </c>
      <c r="K481" s="13" t="s">
        <v>58</v>
      </c>
      <c r="L481" s="13" t="s">
        <v>88</v>
      </c>
      <c r="M481">
        <v>60</v>
      </c>
      <c r="N481">
        <v>0</v>
      </c>
      <c r="O481" s="14">
        <v>45960</v>
      </c>
      <c r="P481" s="14">
        <v>46020</v>
      </c>
      <c r="Q481">
        <v>10283.200000000001</v>
      </c>
      <c r="R481">
        <v>0</v>
      </c>
      <c r="S481">
        <v>0</v>
      </c>
      <c r="T481">
        <v>0</v>
      </c>
      <c r="U481">
        <v>0</v>
      </c>
      <c r="V481">
        <v>10283.200000000001</v>
      </c>
      <c r="W481">
        <v>0</v>
      </c>
      <c r="X481">
        <v>1</v>
      </c>
      <c r="Y481">
        <v>1</v>
      </c>
      <c r="Z481">
        <v>2</v>
      </c>
      <c r="AA481">
        <v>2</v>
      </c>
      <c r="AB481" s="13" t="s">
        <v>405</v>
      </c>
      <c r="AC481">
        <v>0.25</v>
      </c>
      <c r="AD481">
        <v>0</v>
      </c>
      <c r="AE481" s="13" t="s">
        <v>61</v>
      </c>
    </row>
    <row r="482" spans="1:31" x14ac:dyDescent="0.35">
      <c r="A482" s="13" t="s">
        <v>944</v>
      </c>
      <c r="B482" s="13" t="s">
        <v>357</v>
      </c>
      <c r="C482" s="13" t="s">
        <v>358</v>
      </c>
      <c r="D482" s="13" t="s">
        <v>104</v>
      </c>
      <c r="E482" s="13" t="s">
        <v>71</v>
      </c>
      <c r="F482" s="13" t="s">
        <v>214</v>
      </c>
      <c r="G482" s="13" t="s">
        <v>92</v>
      </c>
      <c r="H482">
        <v>25000</v>
      </c>
      <c r="I482" s="13" t="s">
        <v>105</v>
      </c>
      <c r="J482" s="13" t="s">
        <v>106</v>
      </c>
      <c r="K482" s="13" t="s">
        <v>107</v>
      </c>
      <c r="L482" s="13" t="s">
        <v>82</v>
      </c>
      <c r="M482">
        <v>30</v>
      </c>
      <c r="N482">
        <v>2</v>
      </c>
      <c r="O482" s="14">
        <v>45960</v>
      </c>
      <c r="P482" s="14">
        <v>45990</v>
      </c>
      <c r="Q482">
        <v>8723.7999999999993</v>
      </c>
      <c r="R482">
        <v>0</v>
      </c>
      <c r="S482">
        <v>0</v>
      </c>
      <c r="T482">
        <v>0</v>
      </c>
      <c r="U482">
        <v>0</v>
      </c>
      <c r="V482">
        <v>8723.7999999999993</v>
      </c>
      <c r="W482">
        <v>0</v>
      </c>
      <c r="X482">
        <v>1</v>
      </c>
      <c r="Y482">
        <v>1</v>
      </c>
      <c r="Z482">
        <v>32</v>
      </c>
      <c r="AA482">
        <v>3</v>
      </c>
      <c r="AB482" s="13" t="s">
        <v>369</v>
      </c>
      <c r="AC482">
        <v>0.5</v>
      </c>
      <c r="AD482">
        <v>0</v>
      </c>
      <c r="AE482" s="13" t="s">
        <v>61</v>
      </c>
    </row>
    <row r="483" spans="1:31" x14ac:dyDescent="0.35">
      <c r="A483" s="13" t="s">
        <v>945</v>
      </c>
      <c r="B483" s="13" t="s">
        <v>317</v>
      </c>
      <c r="C483" s="13" t="s">
        <v>318</v>
      </c>
      <c r="D483" s="13" t="s">
        <v>52</v>
      </c>
      <c r="E483" s="13" t="s">
        <v>77</v>
      </c>
      <c r="F483" s="13" t="s">
        <v>78</v>
      </c>
      <c r="G483" s="13" t="s">
        <v>67</v>
      </c>
      <c r="H483">
        <v>390000</v>
      </c>
      <c r="I483" s="13" t="s">
        <v>56</v>
      </c>
      <c r="J483" s="13" t="s">
        <v>57</v>
      </c>
      <c r="K483" s="13" t="s">
        <v>58</v>
      </c>
      <c r="L483" s="13" t="s">
        <v>88</v>
      </c>
      <c r="M483">
        <v>60</v>
      </c>
      <c r="N483">
        <v>0</v>
      </c>
      <c r="O483" s="14">
        <v>45960</v>
      </c>
      <c r="P483" s="14">
        <v>46020</v>
      </c>
      <c r="Q483">
        <v>1999.2</v>
      </c>
      <c r="R483">
        <v>0</v>
      </c>
      <c r="S483">
        <v>0</v>
      </c>
      <c r="T483">
        <v>0</v>
      </c>
      <c r="U483">
        <v>0</v>
      </c>
      <c r="V483">
        <v>1999.2</v>
      </c>
      <c r="W483">
        <v>0</v>
      </c>
      <c r="X483">
        <v>1</v>
      </c>
      <c r="Y483">
        <v>1</v>
      </c>
      <c r="Z483">
        <v>2</v>
      </c>
      <c r="AA483">
        <v>2</v>
      </c>
      <c r="AB483" s="13" t="s">
        <v>405</v>
      </c>
      <c r="AC483">
        <v>0.25</v>
      </c>
      <c r="AD483">
        <v>0</v>
      </c>
      <c r="AE483" s="13" t="s">
        <v>61</v>
      </c>
    </row>
    <row r="484" spans="1:31" x14ac:dyDescent="0.35">
      <c r="A484" s="13" t="s">
        <v>946</v>
      </c>
      <c r="B484" s="13" t="s">
        <v>561</v>
      </c>
      <c r="C484" s="13" t="s">
        <v>562</v>
      </c>
      <c r="D484" s="13" t="s">
        <v>126</v>
      </c>
      <c r="E484" s="13" t="s">
        <v>53</v>
      </c>
      <c r="F484" s="13" t="s">
        <v>135</v>
      </c>
      <c r="G484" s="13" t="s">
        <v>67</v>
      </c>
      <c r="H484">
        <v>155000</v>
      </c>
      <c r="I484" s="13" t="s">
        <v>86</v>
      </c>
      <c r="J484" s="13" t="s">
        <v>87</v>
      </c>
      <c r="K484" s="13" t="s">
        <v>58</v>
      </c>
      <c r="L484" s="13" t="s">
        <v>368</v>
      </c>
      <c r="M484">
        <v>90</v>
      </c>
      <c r="N484">
        <v>0</v>
      </c>
      <c r="O484" s="14">
        <v>45960</v>
      </c>
      <c r="P484" s="14">
        <v>46050</v>
      </c>
      <c r="Q484">
        <v>5213.46</v>
      </c>
      <c r="R484">
        <v>0</v>
      </c>
      <c r="S484">
        <v>0</v>
      </c>
      <c r="T484">
        <v>0</v>
      </c>
      <c r="U484">
        <v>0</v>
      </c>
      <c r="V484">
        <v>5213.46</v>
      </c>
      <c r="W484">
        <v>0</v>
      </c>
      <c r="X484">
        <v>1</v>
      </c>
      <c r="Y484">
        <v>0</v>
      </c>
      <c r="Z484">
        <v>-28</v>
      </c>
      <c r="AA484">
        <v>1</v>
      </c>
      <c r="AB484" s="13" t="s">
        <v>581</v>
      </c>
      <c r="AC484">
        <v>0</v>
      </c>
      <c r="AD484">
        <v>0</v>
      </c>
      <c r="AE484" s="13" t="s">
        <v>61</v>
      </c>
    </row>
    <row r="485" spans="1:31" x14ac:dyDescent="0.35">
      <c r="A485" s="13" t="s">
        <v>947</v>
      </c>
      <c r="B485" s="13" t="s">
        <v>293</v>
      </c>
      <c r="C485" s="13" t="s">
        <v>294</v>
      </c>
      <c r="D485" s="13" t="s">
        <v>104</v>
      </c>
      <c r="E485" s="13" t="s">
        <v>99</v>
      </c>
      <c r="F485" s="13" t="s">
        <v>100</v>
      </c>
      <c r="G485" s="13" t="s">
        <v>92</v>
      </c>
      <c r="H485">
        <v>145000</v>
      </c>
      <c r="I485" s="13" t="s">
        <v>121</v>
      </c>
      <c r="J485" s="13" t="s">
        <v>122</v>
      </c>
      <c r="K485" s="13" t="s">
        <v>107</v>
      </c>
      <c r="L485" s="13" t="s">
        <v>82</v>
      </c>
      <c r="M485">
        <v>30</v>
      </c>
      <c r="N485">
        <v>2</v>
      </c>
      <c r="O485" s="14">
        <v>45960</v>
      </c>
      <c r="P485" s="14">
        <v>45990</v>
      </c>
      <c r="Q485">
        <v>1085.74</v>
      </c>
      <c r="R485">
        <v>0</v>
      </c>
      <c r="S485">
        <v>0</v>
      </c>
      <c r="T485">
        <v>0</v>
      </c>
      <c r="U485">
        <v>0</v>
      </c>
      <c r="V485">
        <v>1085.74</v>
      </c>
      <c r="W485">
        <v>0</v>
      </c>
      <c r="X485">
        <v>1</v>
      </c>
      <c r="Y485">
        <v>1</v>
      </c>
      <c r="Z485">
        <v>32</v>
      </c>
      <c r="AA485">
        <v>3</v>
      </c>
      <c r="AB485" s="13" t="s">
        <v>369</v>
      </c>
      <c r="AC485">
        <v>0.5</v>
      </c>
      <c r="AD485">
        <v>0</v>
      </c>
      <c r="AE485" s="13" t="s">
        <v>61</v>
      </c>
    </row>
    <row r="486" spans="1:31" x14ac:dyDescent="0.35">
      <c r="A486" s="13" t="s">
        <v>948</v>
      </c>
      <c r="B486" s="13" t="s">
        <v>949</v>
      </c>
      <c r="C486" s="13" t="s">
        <v>950</v>
      </c>
      <c r="D486" s="13" t="s">
        <v>52</v>
      </c>
      <c r="E486" s="13" t="s">
        <v>99</v>
      </c>
      <c r="F486" s="13" t="s">
        <v>100</v>
      </c>
      <c r="G486" s="13" t="s">
        <v>67</v>
      </c>
      <c r="H486">
        <v>330000</v>
      </c>
      <c r="I486" s="13" t="s">
        <v>56</v>
      </c>
      <c r="J486" s="13" t="s">
        <v>57</v>
      </c>
      <c r="K486" s="13" t="s">
        <v>58</v>
      </c>
      <c r="L486" s="13" t="s">
        <v>88</v>
      </c>
      <c r="M486">
        <v>60</v>
      </c>
      <c r="N486">
        <v>0</v>
      </c>
      <c r="O486" s="14">
        <v>45960</v>
      </c>
      <c r="P486" s="14">
        <v>46020</v>
      </c>
      <c r="Q486">
        <v>5548.02</v>
      </c>
      <c r="R486">
        <v>0</v>
      </c>
      <c r="S486">
        <v>0</v>
      </c>
      <c r="T486">
        <v>0</v>
      </c>
      <c r="U486">
        <v>0</v>
      </c>
      <c r="V486">
        <v>5548.02</v>
      </c>
      <c r="W486">
        <v>0</v>
      </c>
      <c r="X486">
        <v>1</v>
      </c>
      <c r="Y486">
        <v>1</v>
      </c>
      <c r="Z486">
        <v>2</v>
      </c>
      <c r="AA486">
        <v>2</v>
      </c>
      <c r="AB486" s="13" t="s">
        <v>405</v>
      </c>
      <c r="AC486">
        <v>0.25</v>
      </c>
      <c r="AD486">
        <v>0</v>
      </c>
      <c r="AE486" s="13" t="s">
        <v>61</v>
      </c>
    </row>
    <row r="487" spans="1:31" x14ac:dyDescent="0.35">
      <c r="A487" s="13" t="s">
        <v>951</v>
      </c>
      <c r="B487" s="13" t="s">
        <v>933</v>
      </c>
      <c r="C487" s="13" t="s">
        <v>934</v>
      </c>
      <c r="D487" s="13" t="s">
        <v>76</v>
      </c>
      <c r="E487" s="13" t="s">
        <v>71</v>
      </c>
      <c r="F487" s="13" t="s">
        <v>214</v>
      </c>
      <c r="G487" s="13" t="s">
        <v>67</v>
      </c>
      <c r="H487">
        <v>115000</v>
      </c>
      <c r="I487" s="13" t="s">
        <v>79</v>
      </c>
      <c r="J487" s="13" t="s">
        <v>80</v>
      </c>
      <c r="K487" s="13" t="s">
        <v>81</v>
      </c>
      <c r="L487" s="13" t="s">
        <v>95</v>
      </c>
      <c r="M487">
        <v>30</v>
      </c>
      <c r="N487">
        <v>0</v>
      </c>
      <c r="O487" s="14">
        <v>45960</v>
      </c>
      <c r="P487" s="14">
        <v>45990</v>
      </c>
      <c r="Q487">
        <v>2927.23</v>
      </c>
      <c r="R487">
        <v>1756.34</v>
      </c>
      <c r="S487">
        <v>0</v>
      </c>
      <c r="T487">
        <v>0</v>
      </c>
      <c r="U487">
        <v>0</v>
      </c>
      <c r="V487">
        <v>1170.8900000000001</v>
      </c>
      <c r="W487">
        <v>0</v>
      </c>
      <c r="X487">
        <v>1</v>
      </c>
      <c r="Y487">
        <v>1</v>
      </c>
      <c r="Z487">
        <v>32</v>
      </c>
      <c r="AA487">
        <v>3</v>
      </c>
      <c r="AB487" s="13" t="s">
        <v>369</v>
      </c>
      <c r="AC487">
        <v>0.5</v>
      </c>
      <c r="AD487">
        <v>0</v>
      </c>
      <c r="AE487" s="13" t="s">
        <v>61</v>
      </c>
    </row>
    <row r="488" spans="1:31" x14ac:dyDescent="0.35">
      <c r="A488" s="13" t="s">
        <v>952</v>
      </c>
      <c r="B488" s="13" t="s">
        <v>206</v>
      </c>
      <c r="C488" s="13" t="s">
        <v>207</v>
      </c>
      <c r="D488" s="13" t="s">
        <v>52</v>
      </c>
      <c r="E488" s="13" t="s">
        <v>65</v>
      </c>
      <c r="F488" s="13" t="s">
        <v>111</v>
      </c>
      <c r="G488" s="13" t="s">
        <v>92</v>
      </c>
      <c r="H488">
        <v>490000</v>
      </c>
      <c r="I488" s="13" t="s">
        <v>86</v>
      </c>
      <c r="J488" s="13" t="s">
        <v>87</v>
      </c>
      <c r="K488" s="13" t="s">
        <v>58</v>
      </c>
      <c r="L488" s="13" t="s">
        <v>88</v>
      </c>
      <c r="M488">
        <v>60</v>
      </c>
      <c r="N488">
        <v>0</v>
      </c>
      <c r="O488" s="14">
        <v>45960</v>
      </c>
      <c r="P488" s="14">
        <v>46020</v>
      </c>
      <c r="Q488">
        <v>1638.59</v>
      </c>
      <c r="R488">
        <v>0</v>
      </c>
      <c r="S488">
        <v>0</v>
      </c>
      <c r="T488">
        <v>0</v>
      </c>
      <c r="U488">
        <v>0</v>
      </c>
      <c r="V488">
        <v>1638.59</v>
      </c>
      <c r="W488">
        <v>0</v>
      </c>
      <c r="X488">
        <v>1</v>
      </c>
      <c r="Y488">
        <v>1</v>
      </c>
      <c r="Z488">
        <v>2</v>
      </c>
      <c r="AA488">
        <v>2</v>
      </c>
      <c r="AB488" s="13" t="s">
        <v>405</v>
      </c>
      <c r="AC488">
        <v>0.25</v>
      </c>
      <c r="AD488">
        <v>0</v>
      </c>
      <c r="AE488" s="13" t="s">
        <v>61</v>
      </c>
    </row>
    <row r="489" spans="1:31" x14ac:dyDescent="0.35">
      <c r="A489" s="13" t="s">
        <v>953</v>
      </c>
      <c r="B489" s="13" t="s">
        <v>212</v>
      </c>
      <c r="C489" s="13" t="s">
        <v>213</v>
      </c>
      <c r="D489" s="13" t="s">
        <v>52</v>
      </c>
      <c r="E489" s="13" t="s">
        <v>71</v>
      </c>
      <c r="F489" s="13" t="s">
        <v>214</v>
      </c>
      <c r="G489" s="13" t="s">
        <v>92</v>
      </c>
      <c r="H489">
        <v>380000</v>
      </c>
      <c r="I489" s="13" t="s">
        <v>86</v>
      </c>
      <c r="J489" s="13" t="s">
        <v>87</v>
      </c>
      <c r="K489" s="13" t="s">
        <v>58</v>
      </c>
      <c r="L489" s="13" t="s">
        <v>88</v>
      </c>
      <c r="M489">
        <v>60</v>
      </c>
      <c r="N489">
        <v>0</v>
      </c>
      <c r="O489" s="14">
        <v>45960</v>
      </c>
      <c r="P489" s="14">
        <v>46020</v>
      </c>
      <c r="Q489">
        <v>3965.21</v>
      </c>
      <c r="R489">
        <v>0</v>
      </c>
      <c r="S489">
        <v>0</v>
      </c>
      <c r="T489">
        <v>0</v>
      </c>
      <c r="U489">
        <v>0</v>
      </c>
      <c r="V489">
        <v>3965.21</v>
      </c>
      <c r="W489">
        <v>0</v>
      </c>
      <c r="X489">
        <v>1</v>
      </c>
      <c r="Y489">
        <v>1</v>
      </c>
      <c r="Z489">
        <v>2</v>
      </c>
      <c r="AA489">
        <v>2</v>
      </c>
      <c r="AB489" s="13" t="s">
        <v>405</v>
      </c>
      <c r="AC489">
        <v>0.25</v>
      </c>
      <c r="AD489">
        <v>0</v>
      </c>
      <c r="AE489" s="13" t="s">
        <v>61</v>
      </c>
    </row>
    <row r="490" spans="1:31" x14ac:dyDescent="0.35">
      <c r="A490" s="13" t="s">
        <v>954</v>
      </c>
      <c r="B490" s="13" t="s">
        <v>474</v>
      </c>
      <c r="C490" s="13" t="s">
        <v>475</v>
      </c>
      <c r="D490" s="13" t="s">
        <v>126</v>
      </c>
      <c r="E490" s="13" t="s">
        <v>77</v>
      </c>
      <c r="F490" s="13" t="s">
        <v>174</v>
      </c>
      <c r="G490" s="13" t="s">
        <v>67</v>
      </c>
      <c r="H490">
        <v>165000</v>
      </c>
      <c r="I490" s="13" t="s">
        <v>56</v>
      </c>
      <c r="J490" s="13" t="s">
        <v>57</v>
      </c>
      <c r="K490" s="13" t="s">
        <v>58</v>
      </c>
      <c r="L490" s="13" t="s">
        <v>368</v>
      </c>
      <c r="M490">
        <v>90</v>
      </c>
      <c r="N490">
        <v>0</v>
      </c>
      <c r="O490" s="14">
        <v>45960</v>
      </c>
      <c r="P490" s="14">
        <v>46050</v>
      </c>
      <c r="Q490">
        <v>1264.73</v>
      </c>
      <c r="R490">
        <v>0</v>
      </c>
      <c r="S490">
        <v>0</v>
      </c>
      <c r="T490">
        <v>88.53</v>
      </c>
      <c r="U490">
        <v>0</v>
      </c>
      <c r="V490">
        <v>1176.2</v>
      </c>
      <c r="W490">
        <v>0</v>
      </c>
      <c r="X490">
        <v>1</v>
      </c>
      <c r="Y490">
        <v>0</v>
      </c>
      <c r="Z490">
        <v>-28</v>
      </c>
      <c r="AA490">
        <v>1</v>
      </c>
      <c r="AB490" s="13" t="s">
        <v>581</v>
      </c>
      <c r="AC490">
        <v>0</v>
      </c>
      <c r="AD490">
        <v>0</v>
      </c>
      <c r="AE490" s="13" t="s">
        <v>465</v>
      </c>
    </row>
    <row r="491" spans="1:31" x14ac:dyDescent="0.35">
      <c r="A491" s="13" t="s">
        <v>955</v>
      </c>
      <c r="B491" s="13" t="s">
        <v>50</v>
      </c>
      <c r="C491" s="13" t="s">
        <v>51</v>
      </c>
      <c r="D491" s="13" t="s">
        <v>52</v>
      </c>
      <c r="E491" s="13" t="s">
        <v>53</v>
      </c>
      <c r="F491" s="13" t="s">
        <v>54</v>
      </c>
      <c r="G491" s="13" t="s">
        <v>55</v>
      </c>
      <c r="H491">
        <v>585000</v>
      </c>
      <c r="I491" s="13" t="s">
        <v>56</v>
      </c>
      <c r="J491" s="13" t="s">
        <v>57</v>
      </c>
      <c r="K491" s="13" t="s">
        <v>58</v>
      </c>
      <c r="L491" s="13" t="s">
        <v>59</v>
      </c>
      <c r="M491">
        <v>45</v>
      </c>
      <c r="N491">
        <v>0</v>
      </c>
      <c r="O491" s="14">
        <v>45960</v>
      </c>
      <c r="P491" s="14">
        <v>46005</v>
      </c>
      <c r="Q491">
        <v>4012.43</v>
      </c>
      <c r="R491">
        <v>2407.46</v>
      </c>
      <c r="S491">
        <v>0</v>
      </c>
      <c r="T491">
        <v>0</v>
      </c>
      <c r="U491">
        <v>0</v>
      </c>
      <c r="V491">
        <v>1604.97</v>
      </c>
      <c r="W491">
        <v>0</v>
      </c>
      <c r="X491">
        <v>1</v>
      </c>
      <c r="Y491">
        <v>1</v>
      </c>
      <c r="Z491">
        <v>17</v>
      </c>
      <c r="AA491">
        <v>2</v>
      </c>
      <c r="AB491" s="13" t="s">
        <v>405</v>
      </c>
      <c r="AC491">
        <v>0.25</v>
      </c>
      <c r="AD491">
        <v>0</v>
      </c>
      <c r="AE491" s="13" t="s">
        <v>61</v>
      </c>
    </row>
    <row r="492" spans="1:31" x14ac:dyDescent="0.35">
      <c r="A492" s="13" t="s">
        <v>956</v>
      </c>
      <c r="B492" s="13" t="s">
        <v>263</v>
      </c>
      <c r="C492" s="13" t="s">
        <v>264</v>
      </c>
      <c r="D492" s="13" t="s">
        <v>52</v>
      </c>
      <c r="E492" s="13" t="s">
        <v>99</v>
      </c>
      <c r="F492" s="13" t="s">
        <v>100</v>
      </c>
      <c r="G492" s="13" t="s">
        <v>55</v>
      </c>
      <c r="H492">
        <v>590000</v>
      </c>
      <c r="I492" s="13" t="s">
        <v>86</v>
      </c>
      <c r="J492" s="13" t="s">
        <v>87</v>
      </c>
      <c r="K492" s="13" t="s">
        <v>58</v>
      </c>
      <c r="L492" s="13" t="s">
        <v>88</v>
      </c>
      <c r="M492">
        <v>60</v>
      </c>
      <c r="N492">
        <v>0</v>
      </c>
      <c r="O492" s="14">
        <v>45960</v>
      </c>
      <c r="P492" s="14">
        <v>46020</v>
      </c>
      <c r="Q492">
        <v>1629.08</v>
      </c>
      <c r="R492">
        <v>0</v>
      </c>
      <c r="S492">
        <v>0</v>
      </c>
      <c r="T492">
        <v>0</v>
      </c>
      <c r="U492">
        <v>0</v>
      </c>
      <c r="V492">
        <v>1629.08</v>
      </c>
      <c r="W492">
        <v>0</v>
      </c>
      <c r="X492">
        <v>1</v>
      </c>
      <c r="Y492">
        <v>1</v>
      </c>
      <c r="Z492">
        <v>2</v>
      </c>
      <c r="AA492">
        <v>2</v>
      </c>
      <c r="AB492" s="13" t="s">
        <v>405</v>
      </c>
      <c r="AC492">
        <v>0.25</v>
      </c>
      <c r="AD492">
        <v>0</v>
      </c>
      <c r="AE492" s="13" t="s">
        <v>61</v>
      </c>
    </row>
    <row r="493" spans="1:31" x14ac:dyDescent="0.35">
      <c r="A493" s="13" t="s">
        <v>957</v>
      </c>
      <c r="B493" s="13" t="s">
        <v>958</v>
      </c>
      <c r="C493" s="13" t="s">
        <v>959</v>
      </c>
      <c r="D493" s="13" t="s">
        <v>52</v>
      </c>
      <c r="E493" s="13" t="s">
        <v>99</v>
      </c>
      <c r="F493" s="13" t="s">
        <v>100</v>
      </c>
      <c r="G493" s="13" t="s">
        <v>55</v>
      </c>
      <c r="H493">
        <v>270000</v>
      </c>
      <c r="I493" s="13" t="s">
        <v>56</v>
      </c>
      <c r="J493" s="13" t="s">
        <v>57</v>
      </c>
      <c r="K493" s="13" t="s">
        <v>58</v>
      </c>
      <c r="L493" s="13" t="s">
        <v>59</v>
      </c>
      <c r="M493">
        <v>45</v>
      </c>
      <c r="N493">
        <v>0</v>
      </c>
      <c r="O493" s="14">
        <v>45960</v>
      </c>
      <c r="P493" s="14">
        <v>46005</v>
      </c>
      <c r="Q493">
        <v>2090.9499999999998</v>
      </c>
      <c r="R493">
        <v>0</v>
      </c>
      <c r="S493">
        <v>0</v>
      </c>
      <c r="T493">
        <v>0</v>
      </c>
      <c r="U493">
        <v>0</v>
      </c>
      <c r="V493">
        <v>2090.9499999999998</v>
      </c>
      <c r="W493">
        <v>0</v>
      </c>
      <c r="X493">
        <v>1</v>
      </c>
      <c r="Y493">
        <v>1</v>
      </c>
      <c r="Z493">
        <v>17</v>
      </c>
      <c r="AA493">
        <v>2</v>
      </c>
      <c r="AB493" s="13" t="s">
        <v>405</v>
      </c>
      <c r="AC493">
        <v>0.25</v>
      </c>
      <c r="AD493">
        <v>1</v>
      </c>
      <c r="AE493" s="13" t="s">
        <v>465</v>
      </c>
    </row>
    <row r="494" spans="1:31" x14ac:dyDescent="0.35">
      <c r="A494" s="13" t="s">
        <v>960</v>
      </c>
      <c r="B494" s="13" t="s">
        <v>550</v>
      </c>
      <c r="C494" s="13" t="s">
        <v>551</v>
      </c>
      <c r="D494" s="13" t="s">
        <v>104</v>
      </c>
      <c r="E494" s="13" t="s">
        <v>71</v>
      </c>
      <c r="F494" s="13" t="s">
        <v>214</v>
      </c>
      <c r="G494" s="13" t="s">
        <v>55</v>
      </c>
      <c r="H494">
        <v>110000</v>
      </c>
      <c r="I494" s="13" t="s">
        <v>121</v>
      </c>
      <c r="J494" s="13" t="s">
        <v>122</v>
      </c>
      <c r="K494" s="13" t="s">
        <v>107</v>
      </c>
      <c r="L494" s="13" t="s">
        <v>88</v>
      </c>
      <c r="M494">
        <v>60</v>
      </c>
      <c r="N494">
        <v>0</v>
      </c>
      <c r="O494" s="14">
        <v>45960</v>
      </c>
      <c r="P494" s="14">
        <v>46020</v>
      </c>
      <c r="Q494">
        <v>3090.13</v>
      </c>
      <c r="R494">
        <v>0</v>
      </c>
      <c r="S494">
        <v>0</v>
      </c>
      <c r="T494">
        <v>0</v>
      </c>
      <c r="U494">
        <v>0</v>
      </c>
      <c r="V494">
        <v>3090.13</v>
      </c>
      <c r="W494">
        <v>0</v>
      </c>
      <c r="X494">
        <v>1</v>
      </c>
      <c r="Y494">
        <v>1</v>
      </c>
      <c r="Z494">
        <v>2</v>
      </c>
      <c r="AA494">
        <v>2</v>
      </c>
      <c r="AB494" s="13" t="s">
        <v>405</v>
      </c>
      <c r="AC494">
        <v>0.25</v>
      </c>
      <c r="AD494">
        <v>0</v>
      </c>
      <c r="AE494" s="13" t="s">
        <v>61</v>
      </c>
    </row>
    <row r="495" spans="1:31" x14ac:dyDescent="0.35">
      <c r="A495" s="13" t="s">
        <v>961</v>
      </c>
      <c r="B495" s="13" t="s">
        <v>222</v>
      </c>
      <c r="C495" s="13" t="s">
        <v>223</v>
      </c>
      <c r="D495" s="13" t="s">
        <v>52</v>
      </c>
      <c r="E495" s="13" t="s">
        <v>65</v>
      </c>
      <c r="F495" s="13" t="s">
        <v>66</v>
      </c>
      <c r="G495" s="13" t="s">
        <v>92</v>
      </c>
      <c r="H495">
        <v>430000</v>
      </c>
      <c r="I495" s="13" t="s">
        <v>56</v>
      </c>
      <c r="J495" s="13" t="s">
        <v>57</v>
      </c>
      <c r="K495" s="13" t="s">
        <v>58</v>
      </c>
      <c r="L495" s="13" t="s">
        <v>59</v>
      </c>
      <c r="M495">
        <v>45</v>
      </c>
      <c r="N495">
        <v>0</v>
      </c>
      <c r="O495" s="14">
        <v>45961</v>
      </c>
      <c r="P495" s="14">
        <v>46006</v>
      </c>
      <c r="Q495">
        <v>1680.74</v>
      </c>
      <c r="R495">
        <v>0</v>
      </c>
      <c r="S495">
        <v>0</v>
      </c>
      <c r="T495">
        <v>0</v>
      </c>
      <c r="U495">
        <v>0</v>
      </c>
      <c r="V495">
        <v>1680.74</v>
      </c>
      <c r="W495">
        <v>0</v>
      </c>
      <c r="X495">
        <v>1</v>
      </c>
      <c r="Y495">
        <v>1</v>
      </c>
      <c r="Z495">
        <v>16</v>
      </c>
      <c r="AA495">
        <v>2</v>
      </c>
      <c r="AB495" s="13" t="s">
        <v>405</v>
      </c>
      <c r="AC495">
        <v>0.25</v>
      </c>
      <c r="AD495">
        <v>0</v>
      </c>
      <c r="AE495" s="13" t="s">
        <v>61</v>
      </c>
    </row>
    <row r="496" spans="1:31" x14ac:dyDescent="0.35">
      <c r="A496" s="13" t="s">
        <v>962</v>
      </c>
      <c r="B496" s="13" t="s">
        <v>478</v>
      </c>
      <c r="C496" s="13" t="s">
        <v>479</v>
      </c>
      <c r="D496" s="13" t="s">
        <v>52</v>
      </c>
      <c r="E496" s="13" t="s">
        <v>77</v>
      </c>
      <c r="F496" s="13" t="s">
        <v>174</v>
      </c>
      <c r="G496" s="13" t="s">
        <v>55</v>
      </c>
      <c r="H496">
        <v>385000</v>
      </c>
      <c r="I496" s="13" t="s">
        <v>86</v>
      </c>
      <c r="J496" s="13" t="s">
        <v>87</v>
      </c>
      <c r="K496" s="13" t="s">
        <v>58</v>
      </c>
      <c r="L496" s="13" t="s">
        <v>88</v>
      </c>
      <c r="M496">
        <v>60</v>
      </c>
      <c r="N496">
        <v>0</v>
      </c>
      <c r="O496" s="14">
        <v>45961</v>
      </c>
      <c r="P496" s="14">
        <v>46021</v>
      </c>
      <c r="Q496">
        <v>7328.9</v>
      </c>
      <c r="R496">
        <v>0</v>
      </c>
      <c r="S496">
        <v>0</v>
      </c>
      <c r="T496">
        <v>0</v>
      </c>
      <c r="U496">
        <v>0</v>
      </c>
      <c r="V496">
        <v>7328.9</v>
      </c>
      <c r="W496">
        <v>0</v>
      </c>
      <c r="X496">
        <v>1</v>
      </c>
      <c r="Y496">
        <v>1</v>
      </c>
      <c r="Z496">
        <v>1</v>
      </c>
      <c r="AA496">
        <v>2</v>
      </c>
      <c r="AB496" s="13" t="s">
        <v>405</v>
      </c>
      <c r="AC496">
        <v>0.25</v>
      </c>
      <c r="AD496">
        <v>0</v>
      </c>
      <c r="AE496" s="13" t="s">
        <v>61</v>
      </c>
    </row>
    <row r="497" spans="1:31" x14ac:dyDescent="0.35">
      <c r="A497" s="13" t="s">
        <v>963</v>
      </c>
      <c r="B497" s="13" t="s">
        <v>270</v>
      </c>
      <c r="C497" s="13" t="s">
        <v>271</v>
      </c>
      <c r="D497" s="13" t="s">
        <v>52</v>
      </c>
      <c r="E497" s="13" t="s">
        <v>71</v>
      </c>
      <c r="F497" s="13" t="s">
        <v>72</v>
      </c>
      <c r="G497" s="13" t="s">
        <v>67</v>
      </c>
      <c r="H497">
        <v>555000</v>
      </c>
      <c r="I497" s="13" t="s">
        <v>56</v>
      </c>
      <c r="J497" s="13" t="s">
        <v>57</v>
      </c>
      <c r="K497" s="13" t="s">
        <v>58</v>
      </c>
      <c r="L497" s="13" t="s">
        <v>88</v>
      </c>
      <c r="M497">
        <v>60</v>
      </c>
      <c r="N497">
        <v>0</v>
      </c>
      <c r="O497" s="14">
        <v>45961</v>
      </c>
      <c r="P497" s="14">
        <v>46021</v>
      </c>
      <c r="Q497">
        <v>11133.32</v>
      </c>
      <c r="R497">
        <v>0</v>
      </c>
      <c r="S497">
        <v>0</v>
      </c>
      <c r="T497">
        <v>0</v>
      </c>
      <c r="U497">
        <v>0</v>
      </c>
      <c r="V497">
        <v>11133.32</v>
      </c>
      <c r="W497">
        <v>0</v>
      </c>
      <c r="X497">
        <v>1</v>
      </c>
      <c r="Y497">
        <v>1</v>
      </c>
      <c r="Z497">
        <v>1</v>
      </c>
      <c r="AA497">
        <v>2</v>
      </c>
      <c r="AB497" s="13" t="s">
        <v>405</v>
      </c>
      <c r="AC497">
        <v>0.25</v>
      </c>
      <c r="AD497">
        <v>0</v>
      </c>
      <c r="AE497" s="13" t="s">
        <v>61</v>
      </c>
    </row>
    <row r="498" spans="1:31" x14ac:dyDescent="0.35">
      <c r="A498" s="13" t="s">
        <v>964</v>
      </c>
      <c r="B498" s="13" t="s">
        <v>418</v>
      </c>
      <c r="C498" s="13" t="s">
        <v>419</v>
      </c>
      <c r="D498" s="13" t="s">
        <v>52</v>
      </c>
      <c r="E498" s="13" t="s">
        <v>99</v>
      </c>
      <c r="F498" s="13" t="s">
        <v>100</v>
      </c>
      <c r="G498" s="13" t="s">
        <v>67</v>
      </c>
      <c r="H498">
        <v>535000</v>
      </c>
      <c r="I498" s="13" t="s">
        <v>86</v>
      </c>
      <c r="J498" s="13" t="s">
        <v>87</v>
      </c>
      <c r="K498" s="13" t="s">
        <v>58</v>
      </c>
      <c r="L498" s="13" t="s">
        <v>59</v>
      </c>
      <c r="M498">
        <v>45</v>
      </c>
      <c r="N498">
        <v>0</v>
      </c>
      <c r="O498" s="14">
        <v>45961</v>
      </c>
      <c r="P498" s="14">
        <v>46006</v>
      </c>
      <c r="Q498">
        <v>3362.17</v>
      </c>
      <c r="R498">
        <v>0</v>
      </c>
      <c r="S498">
        <v>0</v>
      </c>
      <c r="T498">
        <v>0</v>
      </c>
      <c r="U498">
        <v>0</v>
      </c>
      <c r="V498">
        <v>3362.17</v>
      </c>
      <c r="W498">
        <v>0</v>
      </c>
      <c r="X498">
        <v>1</v>
      </c>
      <c r="Y498">
        <v>1</v>
      </c>
      <c r="Z498">
        <v>16</v>
      </c>
      <c r="AA498">
        <v>2</v>
      </c>
      <c r="AB498" s="13" t="s">
        <v>405</v>
      </c>
      <c r="AC498">
        <v>0.25</v>
      </c>
      <c r="AD498">
        <v>0</v>
      </c>
      <c r="AE498" s="13" t="s">
        <v>61</v>
      </c>
    </row>
    <row r="499" spans="1:31" x14ac:dyDescent="0.35">
      <c r="A499" s="13" t="s">
        <v>965</v>
      </c>
      <c r="B499" s="13" t="s">
        <v>506</v>
      </c>
      <c r="C499" s="13" t="s">
        <v>507</v>
      </c>
      <c r="D499" s="13" t="s">
        <v>126</v>
      </c>
      <c r="E499" s="13" t="s">
        <v>99</v>
      </c>
      <c r="F499" s="13" t="s">
        <v>100</v>
      </c>
      <c r="G499" s="13" t="s">
        <v>67</v>
      </c>
      <c r="H499">
        <v>215000</v>
      </c>
      <c r="I499" s="13" t="s">
        <v>86</v>
      </c>
      <c r="J499" s="13" t="s">
        <v>87</v>
      </c>
      <c r="K499" s="13" t="s">
        <v>58</v>
      </c>
      <c r="L499" s="13" t="s">
        <v>368</v>
      </c>
      <c r="M499">
        <v>90</v>
      </c>
      <c r="N499">
        <v>0</v>
      </c>
      <c r="O499" s="14">
        <v>45961</v>
      </c>
      <c r="P499" s="14">
        <v>46051</v>
      </c>
      <c r="Q499">
        <v>3860.47</v>
      </c>
      <c r="R499">
        <v>0</v>
      </c>
      <c r="S499">
        <v>0</v>
      </c>
      <c r="T499">
        <v>0</v>
      </c>
      <c r="U499">
        <v>0</v>
      </c>
      <c r="V499">
        <v>3860.47</v>
      </c>
      <c r="W499">
        <v>0</v>
      </c>
      <c r="X499">
        <v>1</v>
      </c>
      <c r="Y499">
        <v>0</v>
      </c>
      <c r="Z499">
        <v>-29</v>
      </c>
      <c r="AA499">
        <v>1</v>
      </c>
      <c r="AB499" s="13" t="s">
        <v>581</v>
      </c>
      <c r="AC499">
        <v>0</v>
      </c>
      <c r="AD499">
        <v>0</v>
      </c>
      <c r="AE499" s="13" t="s">
        <v>61</v>
      </c>
    </row>
    <row r="500" spans="1:31" x14ac:dyDescent="0.35">
      <c r="A500" s="13" t="s">
        <v>966</v>
      </c>
      <c r="B500" s="13" t="s">
        <v>688</v>
      </c>
      <c r="C500" s="13" t="s">
        <v>689</v>
      </c>
      <c r="D500" s="13" t="s">
        <v>104</v>
      </c>
      <c r="E500" s="13" t="s">
        <v>99</v>
      </c>
      <c r="F500" s="13" t="s">
        <v>100</v>
      </c>
      <c r="G500" s="13" t="s">
        <v>67</v>
      </c>
      <c r="H500">
        <v>140000</v>
      </c>
      <c r="I500" s="13" t="s">
        <v>105</v>
      </c>
      <c r="J500" s="13" t="s">
        <v>106</v>
      </c>
      <c r="K500" s="13" t="s">
        <v>107</v>
      </c>
      <c r="L500" s="13" t="s">
        <v>95</v>
      </c>
      <c r="M500">
        <v>30</v>
      </c>
      <c r="N500">
        <v>0</v>
      </c>
      <c r="O500" s="14">
        <v>45961</v>
      </c>
      <c r="P500" s="14">
        <v>45991</v>
      </c>
      <c r="Q500">
        <v>818.76</v>
      </c>
      <c r="R500">
        <v>0</v>
      </c>
      <c r="S500">
        <v>0</v>
      </c>
      <c r="T500">
        <v>0</v>
      </c>
      <c r="U500">
        <v>0</v>
      </c>
      <c r="V500">
        <v>818.76</v>
      </c>
      <c r="W500">
        <v>0</v>
      </c>
      <c r="X500">
        <v>1</v>
      </c>
      <c r="Y500">
        <v>1</v>
      </c>
      <c r="Z500">
        <v>31</v>
      </c>
      <c r="AA500">
        <v>3</v>
      </c>
      <c r="AB500" s="13" t="s">
        <v>369</v>
      </c>
      <c r="AC500">
        <v>0.5</v>
      </c>
      <c r="AD500">
        <v>0</v>
      </c>
      <c r="AE500" s="13" t="s">
        <v>61</v>
      </c>
    </row>
    <row r="501" spans="1:31" x14ac:dyDescent="0.35">
      <c r="A501" s="13" t="s">
        <v>967</v>
      </c>
      <c r="B501" s="13" t="s">
        <v>277</v>
      </c>
      <c r="C501" s="13" t="s">
        <v>278</v>
      </c>
      <c r="D501" s="13" t="s">
        <v>104</v>
      </c>
      <c r="E501" s="13" t="s">
        <v>71</v>
      </c>
      <c r="F501" s="13" t="s">
        <v>214</v>
      </c>
      <c r="G501" s="13" t="s">
        <v>92</v>
      </c>
      <c r="H501">
        <v>105000</v>
      </c>
      <c r="I501" s="13" t="s">
        <v>105</v>
      </c>
      <c r="J501" s="13" t="s">
        <v>106</v>
      </c>
      <c r="K501" s="13" t="s">
        <v>107</v>
      </c>
      <c r="L501" s="13" t="s">
        <v>88</v>
      </c>
      <c r="M501">
        <v>60</v>
      </c>
      <c r="N501">
        <v>0</v>
      </c>
      <c r="O501" s="14">
        <v>45961</v>
      </c>
      <c r="P501" s="14">
        <v>46021</v>
      </c>
      <c r="Q501">
        <v>4179.18</v>
      </c>
      <c r="R501">
        <v>0</v>
      </c>
      <c r="S501">
        <v>0</v>
      </c>
      <c r="T501">
        <v>0</v>
      </c>
      <c r="U501">
        <v>0</v>
      </c>
      <c r="V501">
        <v>4179.18</v>
      </c>
      <c r="W501">
        <v>0</v>
      </c>
      <c r="X501">
        <v>1</v>
      </c>
      <c r="Y501">
        <v>1</v>
      </c>
      <c r="Z501">
        <v>1</v>
      </c>
      <c r="AA501">
        <v>2</v>
      </c>
      <c r="AB501" s="13" t="s">
        <v>405</v>
      </c>
      <c r="AC501">
        <v>0.25</v>
      </c>
      <c r="AD501">
        <v>0</v>
      </c>
      <c r="AE501" s="13" t="s">
        <v>61</v>
      </c>
    </row>
    <row r="502" spans="1:31" x14ac:dyDescent="0.35">
      <c r="A502" s="13" t="s">
        <v>968</v>
      </c>
      <c r="B502" s="13" t="s">
        <v>458</v>
      </c>
      <c r="C502" s="13" t="s">
        <v>459</v>
      </c>
      <c r="D502" s="13" t="s">
        <v>126</v>
      </c>
      <c r="E502" s="13" t="s">
        <v>71</v>
      </c>
      <c r="F502" s="13" t="s">
        <v>72</v>
      </c>
      <c r="G502" s="13" t="s">
        <v>67</v>
      </c>
      <c r="H502">
        <v>135000</v>
      </c>
      <c r="I502" s="13" t="s">
        <v>121</v>
      </c>
      <c r="J502" s="13" t="s">
        <v>122</v>
      </c>
      <c r="K502" s="13" t="s">
        <v>107</v>
      </c>
      <c r="L502" s="13" t="s">
        <v>368</v>
      </c>
      <c r="M502">
        <v>90</v>
      </c>
      <c r="N502">
        <v>0</v>
      </c>
      <c r="O502" s="14">
        <v>45961</v>
      </c>
      <c r="P502" s="14">
        <v>46051</v>
      </c>
      <c r="Q502">
        <v>1294.71</v>
      </c>
      <c r="R502">
        <v>0</v>
      </c>
      <c r="S502">
        <v>0</v>
      </c>
      <c r="T502">
        <v>0</v>
      </c>
      <c r="U502">
        <v>0</v>
      </c>
      <c r="V502">
        <v>1294.71</v>
      </c>
      <c r="W502">
        <v>0</v>
      </c>
      <c r="X502">
        <v>1</v>
      </c>
      <c r="Y502">
        <v>0</v>
      </c>
      <c r="Z502">
        <v>-29</v>
      </c>
      <c r="AA502">
        <v>1</v>
      </c>
      <c r="AB502" s="13" t="s">
        <v>581</v>
      </c>
      <c r="AC502">
        <v>0</v>
      </c>
      <c r="AD502">
        <v>0</v>
      </c>
      <c r="AE502" s="13" t="s">
        <v>61</v>
      </c>
    </row>
    <row r="503" spans="1:31" x14ac:dyDescent="0.35">
      <c r="A503" s="13" t="s">
        <v>969</v>
      </c>
      <c r="B503" s="13" t="s">
        <v>719</v>
      </c>
      <c r="C503" s="13" t="s">
        <v>720</v>
      </c>
      <c r="D503" s="13" t="s">
        <v>126</v>
      </c>
      <c r="E503" s="13" t="s">
        <v>99</v>
      </c>
      <c r="F503" s="13" t="s">
        <v>127</v>
      </c>
      <c r="G503" s="13" t="s">
        <v>67</v>
      </c>
      <c r="H503">
        <v>150000</v>
      </c>
      <c r="I503" s="13" t="s">
        <v>86</v>
      </c>
      <c r="J503" s="13" t="s">
        <v>87</v>
      </c>
      <c r="K503" s="13" t="s">
        <v>58</v>
      </c>
      <c r="L503" s="13" t="s">
        <v>88</v>
      </c>
      <c r="M503">
        <v>60</v>
      </c>
      <c r="N503">
        <v>0</v>
      </c>
      <c r="O503" s="14">
        <v>45961</v>
      </c>
      <c r="P503" s="14">
        <v>46021</v>
      </c>
      <c r="Q503">
        <v>1755.42</v>
      </c>
      <c r="R503">
        <v>0</v>
      </c>
      <c r="S503">
        <v>0</v>
      </c>
      <c r="T503">
        <v>0</v>
      </c>
      <c r="U503">
        <v>0</v>
      </c>
      <c r="V503">
        <v>1755.42</v>
      </c>
      <c r="W503">
        <v>0</v>
      </c>
      <c r="X503">
        <v>1</v>
      </c>
      <c r="Y503">
        <v>1</v>
      </c>
      <c r="Z503">
        <v>1</v>
      </c>
      <c r="AA503">
        <v>2</v>
      </c>
      <c r="AB503" s="13" t="s">
        <v>405</v>
      </c>
      <c r="AC503">
        <v>0.25</v>
      </c>
      <c r="AD503">
        <v>0</v>
      </c>
      <c r="AE503" s="13" t="s">
        <v>61</v>
      </c>
    </row>
    <row r="504" spans="1:31" x14ac:dyDescent="0.35">
      <c r="A504" s="13" t="s">
        <v>970</v>
      </c>
      <c r="B504" s="13" t="s">
        <v>971</v>
      </c>
      <c r="C504" s="13" t="s">
        <v>972</v>
      </c>
      <c r="D504" s="13" t="s">
        <v>104</v>
      </c>
      <c r="E504" s="13" t="s">
        <v>99</v>
      </c>
      <c r="F504" s="13" t="s">
        <v>100</v>
      </c>
      <c r="G504" s="13" t="s">
        <v>55</v>
      </c>
      <c r="H504">
        <v>55000</v>
      </c>
      <c r="I504" s="13" t="s">
        <v>121</v>
      </c>
      <c r="J504" s="13" t="s">
        <v>122</v>
      </c>
      <c r="K504" s="13" t="s">
        <v>107</v>
      </c>
      <c r="L504" s="13" t="s">
        <v>95</v>
      </c>
      <c r="M504">
        <v>30</v>
      </c>
      <c r="N504">
        <v>0</v>
      </c>
      <c r="O504" s="14">
        <v>45961</v>
      </c>
      <c r="P504" s="14">
        <v>45991</v>
      </c>
      <c r="Q504">
        <v>945.23</v>
      </c>
      <c r="R504">
        <v>0</v>
      </c>
      <c r="S504">
        <v>0</v>
      </c>
      <c r="T504">
        <v>0</v>
      </c>
      <c r="U504">
        <v>0</v>
      </c>
      <c r="V504">
        <v>945.23</v>
      </c>
      <c r="W504">
        <v>0</v>
      </c>
      <c r="X504">
        <v>1</v>
      </c>
      <c r="Y504">
        <v>1</v>
      </c>
      <c r="Z504">
        <v>31</v>
      </c>
      <c r="AA504">
        <v>3</v>
      </c>
      <c r="AB504" s="13" t="s">
        <v>369</v>
      </c>
      <c r="AC504">
        <v>0.5</v>
      </c>
      <c r="AD504">
        <v>1</v>
      </c>
      <c r="AE504" s="13" t="s">
        <v>377</v>
      </c>
    </row>
    <row r="505" spans="1:31" x14ac:dyDescent="0.35">
      <c r="A505" s="13" t="s">
        <v>973</v>
      </c>
      <c r="B505" s="13" t="s">
        <v>144</v>
      </c>
      <c r="C505" s="13" t="s">
        <v>145</v>
      </c>
      <c r="D505" s="13" t="s">
        <v>52</v>
      </c>
      <c r="E505" s="13" t="s">
        <v>99</v>
      </c>
      <c r="F505" s="13" t="s">
        <v>100</v>
      </c>
      <c r="G505" s="13" t="s">
        <v>55</v>
      </c>
      <c r="H505">
        <v>590000</v>
      </c>
      <c r="I505" s="13" t="s">
        <v>56</v>
      </c>
      <c r="J505" s="13" t="s">
        <v>57</v>
      </c>
      <c r="K505" s="13" t="s">
        <v>58</v>
      </c>
      <c r="L505" s="13" t="s">
        <v>88</v>
      </c>
      <c r="M505">
        <v>60</v>
      </c>
      <c r="N505">
        <v>0</v>
      </c>
      <c r="O505" s="14">
        <v>45961</v>
      </c>
      <c r="P505" s="14">
        <v>46021</v>
      </c>
      <c r="Q505">
        <v>7099.99</v>
      </c>
      <c r="R505">
        <v>0</v>
      </c>
      <c r="S505">
        <v>0</v>
      </c>
      <c r="T505">
        <v>0</v>
      </c>
      <c r="U505">
        <v>0</v>
      </c>
      <c r="V505">
        <v>7099.99</v>
      </c>
      <c r="W505">
        <v>0</v>
      </c>
      <c r="X505">
        <v>1</v>
      </c>
      <c r="Y505">
        <v>1</v>
      </c>
      <c r="Z505">
        <v>1</v>
      </c>
      <c r="AA505">
        <v>2</v>
      </c>
      <c r="AB505" s="13" t="s">
        <v>405</v>
      </c>
      <c r="AC505">
        <v>0.25</v>
      </c>
      <c r="AD505">
        <v>0</v>
      </c>
      <c r="AE505" s="13" t="s">
        <v>61</v>
      </c>
    </row>
    <row r="506" spans="1:31" x14ac:dyDescent="0.35">
      <c r="A506" s="13" t="s">
        <v>974</v>
      </c>
      <c r="B506" s="13" t="s">
        <v>147</v>
      </c>
      <c r="C506" s="13" t="s">
        <v>148</v>
      </c>
      <c r="D506" s="13" t="s">
        <v>104</v>
      </c>
      <c r="E506" s="13" t="s">
        <v>53</v>
      </c>
      <c r="F506" s="13" t="s">
        <v>54</v>
      </c>
      <c r="G506" s="13" t="s">
        <v>67</v>
      </c>
      <c r="H506">
        <v>80000</v>
      </c>
      <c r="I506" s="13" t="s">
        <v>105</v>
      </c>
      <c r="J506" s="13" t="s">
        <v>106</v>
      </c>
      <c r="K506" s="13" t="s">
        <v>107</v>
      </c>
      <c r="L506" s="13" t="s">
        <v>88</v>
      </c>
      <c r="M506">
        <v>60</v>
      </c>
      <c r="N506">
        <v>0</v>
      </c>
      <c r="O506" s="14">
        <v>45961</v>
      </c>
      <c r="P506" s="14">
        <v>46021</v>
      </c>
      <c r="Q506">
        <v>822.88</v>
      </c>
      <c r="R506">
        <v>0</v>
      </c>
      <c r="S506">
        <v>0</v>
      </c>
      <c r="T506">
        <v>0</v>
      </c>
      <c r="U506">
        <v>0</v>
      </c>
      <c r="V506">
        <v>822.88</v>
      </c>
      <c r="W506">
        <v>0</v>
      </c>
      <c r="X506">
        <v>1</v>
      </c>
      <c r="Y506">
        <v>1</v>
      </c>
      <c r="Z506">
        <v>1</v>
      </c>
      <c r="AA506">
        <v>2</v>
      </c>
      <c r="AB506" s="13" t="s">
        <v>405</v>
      </c>
      <c r="AC506">
        <v>0.25</v>
      </c>
      <c r="AD506">
        <v>0</v>
      </c>
      <c r="AE506" s="13" t="s">
        <v>61</v>
      </c>
    </row>
    <row r="507" spans="1:31" x14ac:dyDescent="0.35">
      <c r="A507" s="13" t="s">
        <v>975</v>
      </c>
      <c r="B507" s="13" t="s">
        <v>528</v>
      </c>
      <c r="C507" s="13" t="s">
        <v>529</v>
      </c>
      <c r="D507" s="13" t="s">
        <v>104</v>
      </c>
      <c r="E507" s="13" t="s">
        <v>71</v>
      </c>
      <c r="F507" s="13" t="s">
        <v>214</v>
      </c>
      <c r="G507" s="13" t="s">
        <v>55</v>
      </c>
      <c r="H507">
        <v>40000</v>
      </c>
      <c r="I507" s="13" t="s">
        <v>105</v>
      </c>
      <c r="J507" s="13" t="s">
        <v>106</v>
      </c>
      <c r="K507" s="13" t="s">
        <v>107</v>
      </c>
      <c r="L507" s="13" t="s">
        <v>88</v>
      </c>
      <c r="M507">
        <v>60</v>
      </c>
      <c r="N507">
        <v>0</v>
      </c>
      <c r="O507" s="14">
        <v>45961</v>
      </c>
      <c r="P507" s="14">
        <v>46021</v>
      </c>
      <c r="Q507">
        <v>7940.77</v>
      </c>
      <c r="R507">
        <v>0</v>
      </c>
      <c r="S507">
        <v>0</v>
      </c>
      <c r="T507">
        <v>0</v>
      </c>
      <c r="U507">
        <v>0</v>
      </c>
      <c r="V507">
        <v>7940.77</v>
      </c>
      <c r="W507">
        <v>0</v>
      </c>
      <c r="X507">
        <v>1</v>
      </c>
      <c r="Y507">
        <v>1</v>
      </c>
      <c r="Z507">
        <v>1</v>
      </c>
      <c r="AA507">
        <v>2</v>
      </c>
      <c r="AB507" s="13" t="s">
        <v>405</v>
      </c>
      <c r="AC507">
        <v>0.25</v>
      </c>
      <c r="AD507">
        <v>0</v>
      </c>
      <c r="AE507" s="13" t="s">
        <v>61</v>
      </c>
    </row>
    <row r="508" spans="1:31" x14ac:dyDescent="0.35">
      <c r="A508" s="13" t="s">
        <v>976</v>
      </c>
      <c r="B508" s="13" t="s">
        <v>283</v>
      </c>
      <c r="C508" s="13" t="s">
        <v>284</v>
      </c>
      <c r="D508" s="13" t="s">
        <v>104</v>
      </c>
      <c r="E508" s="13" t="s">
        <v>53</v>
      </c>
      <c r="F508" s="13" t="s">
        <v>135</v>
      </c>
      <c r="G508" s="13" t="s">
        <v>92</v>
      </c>
      <c r="H508">
        <v>105000</v>
      </c>
      <c r="I508" s="13" t="s">
        <v>105</v>
      </c>
      <c r="J508" s="13" t="s">
        <v>106</v>
      </c>
      <c r="K508" s="13" t="s">
        <v>107</v>
      </c>
      <c r="L508" s="13" t="s">
        <v>82</v>
      </c>
      <c r="M508">
        <v>30</v>
      </c>
      <c r="N508">
        <v>2</v>
      </c>
      <c r="O508" s="14">
        <v>45961</v>
      </c>
      <c r="P508" s="14">
        <v>45991</v>
      </c>
      <c r="Q508">
        <v>2563.31</v>
      </c>
      <c r="R508">
        <v>0</v>
      </c>
      <c r="S508">
        <v>0</v>
      </c>
      <c r="T508">
        <v>0</v>
      </c>
      <c r="U508">
        <v>0</v>
      </c>
      <c r="V508">
        <v>2563.31</v>
      </c>
      <c r="W508">
        <v>0</v>
      </c>
      <c r="X508">
        <v>1</v>
      </c>
      <c r="Y508">
        <v>1</v>
      </c>
      <c r="Z508">
        <v>31</v>
      </c>
      <c r="AA508">
        <v>3</v>
      </c>
      <c r="AB508" s="13" t="s">
        <v>369</v>
      </c>
      <c r="AC508">
        <v>0.5</v>
      </c>
      <c r="AD508">
        <v>0</v>
      </c>
      <c r="AE508" s="13" t="s">
        <v>61</v>
      </c>
    </row>
    <row r="509" spans="1:31" x14ac:dyDescent="0.35">
      <c r="A509" s="13" t="s">
        <v>977</v>
      </c>
      <c r="B509" s="13" t="s">
        <v>899</v>
      </c>
      <c r="C509" s="13" t="s">
        <v>900</v>
      </c>
      <c r="D509" s="13" t="s">
        <v>76</v>
      </c>
      <c r="E509" s="13" t="s">
        <v>71</v>
      </c>
      <c r="F509" s="13" t="s">
        <v>72</v>
      </c>
      <c r="G509" s="13" t="s">
        <v>92</v>
      </c>
      <c r="H509">
        <v>85000</v>
      </c>
      <c r="I509" s="13" t="s">
        <v>93</v>
      </c>
      <c r="J509" s="13" t="s">
        <v>94</v>
      </c>
      <c r="K509" s="13" t="s">
        <v>81</v>
      </c>
      <c r="L509" s="13" t="s">
        <v>82</v>
      </c>
      <c r="M509">
        <v>30</v>
      </c>
      <c r="N509">
        <v>2</v>
      </c>
      <c r="O509" s="14">
        <v>45961</v>
      </c>
      <c r="P509" s="14">
        <v>45991</v>
      </c>
      <c r="Q509">
        <v>469.34</v>
      </c>
      <c r="R509">
        <v>281.60000000000002</v>
      </c>
      <c r="S509">
        <v>0</v>
      </c>
      <c r="T509">
        <v>0</v>
      </c>
      <c r="U509">
        <v>0</v>
      </c>
      <c r="V509">
        <v>187.74</v>
      </c>
      <c r="W509">
        <v>0</v>
      </c>
      <c r="X509">
        <v>1</v>
      </c>
      <c r="Y509">
        <v>1</v>
      </c>
      <c r="Z509">
        <v>31</v>
      </c>
      <c r="AA509">
        <v>3</v>
      </c>
      <c r="AB509" s="13" t="s">
        <v>369</v>
      </c>
      <c r="AC509">
        <v>0.5</v>
      </c>
      <c r="AD509">
        <v>0</v>
      </c>
      <c r="AE509" s="13" t="s">
        <v>61</v>
      </c>
    </row>
    <row r="510" spans="1:31" x14ac:dyDescent="0.35">
      <c r="A510" s="13" t="s">
        <v>978</v>
      </c>
      <c r="B510" s="13" t="s">
        <v>159</v>
      </c>
      <c r="C510" s="13" t="s">
        <v>160</v>
      </c>
      <c r="D510" s="13" t="s">
        <v>104</v>
      </c>
      <c r="E510" s="13" t="s">
        <v>53</v>
      </c>
      <c r="F510" s="13" t="s">
        <v>135</v>
      </c>
      <c r="G510" s="13" t="s">
        <v>67</v>
      </c>
      <c r="H510">
        <v>140000</v>
      </c>
      <c r="I510" s="13" t="s">
        <v>105</v>
      </c>
      <c r="J510" s="13" t="s">
        <v>106</v>
      </c>
      <c r="K510" s="13" t="s">
        <v>107</v>
      </c>
      <c r="L510" s="13" t="s">
        <v>88</v>
      </c>
      <c r="M510">
        <v>60</v>
      </c>
      <c r="N510">
        <v>0</v>
      </c>
      <c r="O510" s="14">
        <v>45961</v>
      </c>
      <c r="P510" s="14">
        <v>46021</v>
      </c>
      <c r="Q510">
        <v>858.94</v>
      </c>
      <c r="R510">
        <v>0</v>
      </c>
      <c r="S510">
        <v>0</v>
      </c>
      <c r="T510">
        <v>0</v>
      </c>
      <c r="U510">
        <v>0</v>
      </c>
      <c r="V510">
        <v>858.94</v>
      </c>
      <c r="W510">
        <v>0</v>
      </c>
      <c r="X510">
        <v>1</v>
      </c>
      <c r="Y510">
        <v>1</v>
      </c>
      <c r="Z510">
        <v>1</v>
      </c>
      <c r="AA510">
        <v>2</v>
      </c>
      <c r="AB510" s="13" t="s">
        <v>405</v>
      </c>
      <c r="AC510">
        <v>0.25</v>
      </c>
      <c r="AD510">
        <v>0</v>
      </c>
      <c r="AE510" s="13" t="s">
        <v>61</v>
      </c>
    </row>
    <row r="511" spans="1:31" x14ac:dyDescent="0.35">
      <c r="A511" s="13" t="s">
        <v>979</v>
      </c>
      <c r="B511" s="13" t="s">
        <v>695</v>
      </c>
      <c r="C511" s="13" t="s">
        <v>696</v>
      </c>
      <c r="D511" s="13" t="s">
        <v>52</v>
      </c>
      <c r="E511" s="13" t="s">
        <v>53</v>
      </c>
      <c r="F511" s="13" t="s">
        <v>54</v>
      </c>
      <c r="G511" s="13" t="s">
        <v>92</v>
      </c>
      <c r="H511">
        <v>535000</v>
      </c>
      <c r="I511" s="13" t="s">
        <v>56</v>
      </c>
      <c r="J511" s="13" t="s">
        <v>57</v>
      </c>
      <c r="K511" s="13" t="s">
        <v>58</v>
      </c>
      <c r="L511" s="13" t="s">
        <v>88</v>
      </c>
      <c r="M511">
        <v>60</v>
      </c>
      <c r="N511">
        <v>0</v>
      </c>
      <c r="O511" s="14">
        <v>45961</v>
      </c>
      <c r="P511" s="14">
        <v>46021</v>
      </c>
      <c r="Q511">
        <v>16474.099999999999</v>
      </c>
      <c r="R511">
        <v>0</v>
      </c>
      <c r="S511">
        <v>0</v>
      </c>
      <c r="T511">
        <v>0</v>
      </c>
      <c r="U511">
        <v>0</v>
      </c>
      <c r="V511">
        <v>16474.099999999999</v>
      </c>
      <c r="W511">
        <v>0</v>
      </c>
      <c r="X511">
        <v>1</v>
      </c>
      <c r="Y511">
        <v>1</v>
      </c>
      <c r="Z511">
        <v>1</v>
      </c>
      <c r="AA511">
        <v>2</v>
      </c>
      <c r="AB511" s="13" t="s">
        <v>405</v>
      </c>
      <c r="AC511">
        <v>0.25</v>
      </c>
      <c r="AD511">
        <v>0</v>
      </c>
      <c r="AE511" s="13" t="s">
        <v>61</v>
      </c>
    </row>
    <row r="512" spans="1:31" x14ac:dyDescent="0.35">
      <c r="A512" s="13" t="s">
        <v>980</v>
      </c>
      <c r="B512" s="13" t="s">
        <v>981</v>
      </c>
      <c r="C512" s="13" t="s">
        <v>982</v>
      </c>
      <c r="D512" s="13" t="s">
        <v>52</v>
      </c>
      <c r="E512" s="13" t="s">
        <v>53</v>
      </c>
      <c r="F512" s="13" t="s">
        <v>54</v>
      </c>
      <c r="G512" s="13" t="s">
        <v>67</v>
      </c>
      <c r="H512">
        <v>275000</v>
      </c>
      <c r="I512" s="13" t="s">
        <v>86</v>
      </c>
      <c r="J512" s="13" t="s">
        <v>87</v>
      </c>
      <c r="K512" s="13" t="s">
        <v>58</v>
      </c>
      <c r="L512" s="13" t="s">
        <v>88</v>
      </c>
      <c r="M512">
        <v>60</v>
      </c>
      <c r="N512">
        <v>0</v>
      </c>
      <c r="O512" s="14">
        <v>45961</v>
      </c>
      <c r="P512" s="14">
        <v>46021</v>
      </c>
      <c r="Q512">
        <v>1643.24</v>
      </c>
      <c r="R512">
        <v>0</v>
      </c>
      <c r="S512">
        <v>0</v>
      </c>
      <c r="T512">
        <v>0</v>
      </c>
      <c r="U512">
        <v>0</v>
      </c>
      <c r="V512">
        <v>1643.24</v>
      </c>
      <c r="W512">
        <v>0</v>
      </c>
      <c r="X512">
        <v>1</v>
      </c>
      <c r="Y512">
        <v>1</v>
      </c>
      <c r="Z512">
        <v>1</v>
      </c>
      <c r="AA512">
        <v>2</v>
      </c>
      <c r="AB512" s="13" t="s">
        <v>405</v>
      </c>
      <c r="AC512">
        <v>0.25</v>
      </c>
      <c r="AD512">
        <v>0</v>
      </c>
      <c r="AE512" s="13" t="s">
        <v>61</v>
      </c>
    </row>
    <row r="513" spans="1:31" x14ac:dyDescent="0.35">
      <c r="A513" s="13" t="s">
        <v>983</v>
      </c>
      <c r="B513" s="13" t="s">
        <v>788</v>
      </c>
      <c r="C513" s="13" t="s">
        <v>789</v>
      </c>
      <c r="D513" s="13" t="s">
        <v>52</v>
      </c>
      <c r="E513" s="13" t="s">
        <v>53</v>
      </c>
      <c r="F513" s="13" t="s">
        <v>54</v>
      </c>
      <c r="G513" s="13" t="s">
        <v>67</v>
      </c>
      <c r="H513">
        <v>405000</v>
      </c>
      <c r="I513" s="13" t="s">
        <v>86</v>
      </c>
      <c r="J513" s="13" t="s">
        <v>87</v>
      </c>
      <c r="K513" s="13" t="s">
        <v>58</v>
      </c>
      <c r="L513" s="13" t="s">
        <v>88</v>
      </c>
      <c r="M513">
        <v>60</v>
      </c>
      <c r="N513">
        <v>0</v>
      </c>
      <c r="O513" s="14">
        <v>45961</v>
      </c>
      <c r="P513" s="14">
        <v>46021</v>
      </c>
      <c r="Q513">
        <v>13077.15</v>
      </c>
      <c r="R513">
        <v>0</v>
      </c>
      <c r="S513">
        <v>0</v>
      </c>
      <c r="T513">
        <v>0</v>
      </c>
      <c r="U513">
        <v>0</v>
      </c>
      <c r="V513">
        <v>13077.15</v>
      </c>
      <c r="W513">
        <v>0</v>
      </c>
      <c r="X513">
        <v>1</v>
      </c>
      <c r="Y513">
        <v>1</v>
      </c>
      <c r="Z513">
        <v>1</v>
      </c>
      <c r="AA513">
        <v>2</v>
      </c>
      <c r="AB513" s="13" t="s">
        <v>405</v>
      </c>
      <c r="AC513">
        <v>0.25</v>
      </c>
      <c r="AD513">
        <v>0</v>
      </c>
      <c r="AE513" s="13" t="s">
        <v>61</v>
      </c>
    </row>
    <row r="514" spans="1:31" x14ac:dyDescent="0.35">
      <c r="A514" s="13" t="s">
        <v>984</v>
      </c>
      <c r="B514" s="13" t="s">
        <v>711</v>
      </c>
      <c r="C514" s="13" t="s">
        <v>712</v>
      </c>
      <c r="D514" s="13" t="s">
        <v>126</v>
      </c>
      <c r="E514" s="13" t="s">
        <v>71</v>
      </c>
      <c r="F514" s="13" t="s">
        <v>72</v>
      </c>
      <c r="G514" s="13" t="s">
        <v>67</v>
      </c>
      <c r="H514">
        <v>190000</v>
      </c>
      <c r="I514" s="13" t="s">
        <v>56</v>
      </c>
      <c r="J514" s="13" t="s">
        <v>57</v>
      </c>
      <c r="K514" s="13" t="s">
        <v>58</v>
      </c>
      <c r="L514" s="13" t="s">
        <v>368</v>
      </c>
      <c r="M514">
        <v>90</v>
      </c>
      <c r="N514">
        <v>0</v>
      </c>
      <c r="O514" s="14">
        <v>45961</v>
      </c>
      <c r="P514" s="14">
        <v>46051</v>
      </c>
      <c r="Q514">
        <v>2866.86</v>
      </c>
      <c r="R514">
        <v>0</v>
      </c>
      <c r="S514">
        <v>0</v>
      </c>
      <c r="T514">
        <v>0</v>
      </c>
      <c r="U514">
        <v>0</v>
      </c>
      <c r="V514">
        <v>2866.86</v>
      </c>
      <c r="W514">
        <v>0</v>
      </c>
      <c r="X514">
        <v>1</v>
      </c>
      <c r="Y514">
        <v>0</v>
      </c>
      <c r="Z514">
        <v>-29</v>
      </c>
      <c r="AA514">
        <v>1</v>
      </c>
      <c r="AB514" s="13" t="s">
        <v>581</v>
      </c>
      <c r="AC514">
        <v>0</v>
      </c>
      <c r="AD514">
        <v>0</v>
      </c>
      <c r="AE514" s="13" t="s">
        <v>61</v>
      </c>
    </row>
    <row r="515" spans="1:31" x14ac:dyDescent="0.35">
      <c r="A515" s="13" t="s">
        <v>985</v>
      </c>
      <c r="B515" s="13" t="s">
        <v>986</v>
      </c>
      <c r="C515" s="13" t="s">
        <v>987</v>
      </c>
      <c r="D515" s="13" t="s">
        <v>104</v>
      </c>
      <c r="E515" s="13" t="s">
        <v>71</v>
      </c>
      <c r="F515" s="13" t="s">
        <v>72</v>
      </c>
      <c r="G515" s="13" t="s">
        <v>67</v>
      </c>
      <c r="H515">
        <v>125000</v>
      </c>
      <c r="I515" s="13" t="s">
        <v>105</v>
      </c>
      <c r="J515" s="13" t="s">
        <v>106</v>
      </c>
      <c r="K515" s="13" t="s">
        <v>107</v>
      </c>
      <c r="L515" s="13" t="s">
        <v>88</v>
      </c>
      <c r="M515">
        <v>60</v>
      </c>
      <c r="N515">
        <v>0</v>
      </c>
      <c r="O515" s="14">
        <v>45961</v>
      </c>
      <c r="P515" s="14">
        <v>46021</v>
      </c>
      <c r="Q515">
        <v>2164.11</v>
      </c>
      <c r="R515">
        <v>0</v>
      </c>
      <c r="S515">
        <v>0</v>
      </c>
      <c r="T515">
        <v>0</v>
      </c>
      <c r="U515">
        <v>0</v>
      </c>
      <c r="V515">
        <v>2164.11</v>
      </c>
      <c r="W515">
        <v>0</v>
      </c>
      <c r="X515">
        <v>1</v>
      </c>
      <c r="Y515">
        <v>1</v>
      </c>
      <c r="Z515">
        <v>1</v>
      </c>
      <c r="AA515">
        <v>2</v>
      </c>
      <c r="AB515" s="13" t="s">
        <v>405</v>
      </c>
      <c r="AC515">
        <v>0.25</v>
      </c>
      <c r="AD515">
        <v>0</v>
      </c>
      <c r="AE515" s="13" t="s">
        <v>61</v>
      </c>
    </row>
    <row r="516" spans="1:31" x14ac:dyDescent="0.35">
      <c r="A516" s="13" t="s">
        <v>988</v>
      </c>
      <c r="B516" s="13" t="s">
        <v>113</v>
      </c>
      <c r="C516" s="13" t="s">
        <v>114</v>
      </c>
      <c r="D516" s="13" t="s">
        <v>52</v>
      </c>
      <c r="E516" s="13" t="s">
        <v>77</v>
      </c>
      <c r="F516" s="13" t="s">
        <v>78</v>
      </c>
      <c r="G516" s="13" t="s">
        <v>92</v>
      </c>
      <c r="H516">
        <v>545000</v>
      </c>
      <c r="I516" s="13" t="s">
        <v>86</v>
      </c>
      <c r="J516" s="13" t="s">
        <v>87</v>
      </c>
      <c r="K516" s="13" t="s">
        <v>58</v>
      </c>
      <c r="L516" s="13" t="s">
        <v>88</v>
      </c>
      <c r="M516">
        <v>60</v>
      </c>
      <c r="N516">
        <v>0</v>
      </c>
      <c r="O516" s="14">
        <v>45961</v>
      </c>
      <c r="P516" s="14">
        <v>46021</v>
      </c>
      <c r="Q516">
        <v>2067.61</v>
      </c>
      <c r="R516">
        <v>0</v>
      </c>
      <c r="S516">
        <v>0</v>
      </c>
      <c r="T516">
        <v>0</v>
      </c>
      <c r="U516">
        <v>0</v>
      </c>
      <c r="V516">
        <v>2067.61</v>
      </c>
      <c r="W516">
        <v>0</v>
      </c>
      <c r="X516">
        <v>1</v>
      </c>
      <c r="Y516">
        <v>1</v>
      </c>
      <c r="Z516">
        <v>1</v>
      </c>
      <c r="AA516">
        <v>2</v>
      </c>
      <c r="AB516" s="13" t="s">
        <v>405</v>
      </c>
      <c r="AC516">
        <v>0.25</v>
      </c>
      <c r="AD516">
        <v>0</v>
      </c>
      <c r="AE516" s="13" t="s">
        <v>61</v>
      </c>
    </row>
    <row r="517" spans="1:31" x14ac:dyDescent="0.35">
      <c r="A517" s="13" t="s">
        <v>989</v>
      </c>
      <c r="B517" s="13" t="s">
        <v>50</v>
      </c>
      <c r="C517" s="13" t="s">
        <v>51</v>
      </c>
      <c r="D517" s="13" t="s">
        <v>52</v>
      </c>
      <c r="E517" s="13" t="s">
        <v>53</v>
      </c>
      <c r="F517" s="13" t="s">
        <v>54</v>
      </c>
      <c r="G517" s="13" t="s">
        <v>55</v>
      </c>
      <c r="H517">
        <v>585000</v>
      </c>
      <c r="I517" s="13" t="s">
        <v>56</v>
      </c>
      <c r="J517" s="13" t="s">
        <v>57</v>
      </c>
      <c r="K517" s="13" t="s">
        <v>58</v>
      </c>
      <c r="L517" s="13" t="s">
        <v>59</v>
      </c>
      <c r="M517">
        <v>45</v>
      </c>
      <c r="N517">
        <v>0</v>
      </c>
      <c r="O517" s="14">
        <v>45961</v>
      </c>
      <c r="P517" s="14">
        <v>46006</v>
      </c>
      <c r="Q517">
        <v>4987.0200000000004</v>
      </c>
      <c r="R517">
        <v>0</v>
      </c>
      <c r="S517">
        <v>0</v>
      </c>
      <c r="T517">
        <v>0</v>
      </c>
      <c r="U517">
        <v>0</v>
      </c>
      <c r="V517">
        <v>4987.0200000000004</v>
      </c>
      <c r="W517">
        <v>0</v>
      </c>
      <c r="X517">
        <v>1</v>
      </c>
      <c r="Y517">
        <v>1</v>
      </c>
      <c r="Z517">
        <v>16</v>
      </c>
      <c r="AA517">
        <v>2</v>
      </c>
      <c r="AB517" s="13" t="s">
        <v>405</v>
      </c>
      <c r="AC517">
        <v>0.25</v>
      </c>
      <c r="AD517">
        <v>1</v>
      </c>
      <c r="AE517" s="13" t="s">
        <v>348</v>
      </c>
    </row>
    <row r="518" spans="1:31" x14ac:dyDescent="0.35">
      <c r="A518" s="13" t="s">
        <v>990</v>
      </c>
      <c r="B518" s="13" t="s">
        <v>409</v>
      </c>
      <c r="C518" s="13" t="s">
        <v>410</v>
      </c>
      <c r="D518" s="13" t="s">
        <v>126</v>
      </c>
      <c r="E518" s="13" t="s">
        <v>71</v>
      </c>
      <c r="F518" s="13" t="s">
        <v>72</v>
      </c>
      <c r="G518" s="13" t="s">
        <v>67</v>
      </c>
      <c r="H518">
        <v>195000</v>
      </c>
      <c r="I518" s="13" t="s">
        <v>56</v>
      </c>
      <c r="J518" s="13" t="s">
        <v>57</v>
      </c>
      <c r="K518" s="13" t="s">
        <v>58</v>
      </c>
      <c r="L518" s="13" t="s">
        <v>368</v>
      </c>
      <c r="M518">
        <v>90</v>
      </c>
      <c r="N518">
        <v>0</v>
      </c>
      <c r="O518" s="14">
        <v>45964</v>
      </c>
      <c r="P518" s="14">
        <v>46054</v>
      </c>
      <c r="Q518">
        <v>3424.9</v>
      </c>
      <c r="R518">
        <v>0</v>
      </c>
      <c r="S518">
        <v>0</v>
      </c>
      <c r="T518">
        <v>0</v>
      </c>
      <c r="U518">
        <v>0</v>
      </c>
      <c r="V518">
        <v>3424.9</v>
      </c>
      <c r="W518">
        <v>0</v>
      </c>
      <c r="X518">
        <v>1</v>
      </c>
      <c r="Y518">
        <v>0</v>
      </c>
      <c r="Z518">
        <v>-32</v>
      </c>
      <c r="AA518">
        <v>1</v>
      </c>
      <c r="AB518" s="13" t="s">
        <v>581</v>
      </c>
      <c r="AC518">
        <v>0</v>
      </c>
      <c r="AD518">
        <v>0</v>
      </c>
      <c r="AE518" s="13" t="s">
        <v>61</v>
      </c>
    </row>
    <row r="519" spans="1:31" x14ac:dyDescent="0.35">
      <c r="A519" s="13" t="s">
        <v>991</v>
      </c>
      <c r="B519" s="13" t="s">
        <v>244</v>
      </c>
      <c r="C519" s="13" t="s">
        <v>245</v>
      </c>
      <c r="D519" s="13" t="s">
        <v>52</v>
      </c>
      <c r="E519" s="13" t="s">
        <v>65</v>
      </c>
      <c r="F519" s="13" t="s">
        <v>111</v>
      </c>
      <c r="G519" s="13" t="s">
        <v>55</v>
      </c>
      <c r="H519">
        <v>590000</v>
      </c>
      <c r="I519" s="13" t="s">
        <v>86</v>
      </c>
      <c r="J519" s="13" t="s">
        <v>87</v>
      </c>
      <c r="K519" s="13" t="s">
        <v>58</v>
      </c>
      <c r="L519" s="13" t="s">
        <v>59</v>
      </c>
      <c r="M519">
        <v>45</v>
      </c>
      <c r="N519">
        <v>0</v>
      </c>
      <c r="O519" s="14">
        <v>45964</v>
      </c>
      <c r="P519" s="14">
        <v>46009</v>
      </c>
      <c r="Q519">
        <v>1625.91</v>
      </c>
      <c r="R519">
        <v>0</v>
      </c>
      <c r="S519">
        <v>0</v>
      </c>
      <c r="T519">
        <v>0</v>
      </c>
      <c r="U519">
        <v>0</v>
      </c>
      <c r="V519">
        <v>1625.91</v>
      </c>
      <c r="W519">
        <v>0</v>
      </c>
      <c r="X519">
        <v>1</v>
      </c>
      <c r="Y519">
        <v>1</v>
      </c>
      <c r="Z519">
        <v>13</v>
      </c>
      <c r="AA519">
        <v>2</v>
      </c>
      <c r="AB519" s="13" t="s">
        <v>405</v>
      </c>
      <c r="AC519">
        <v>0.25</v>
      </c>
      <c r="AD519">
        <v>1</v>
      </c>
      <c r="AE519" s="13" t="s">
        <v>377</v>
      </c>
    </row>
    <row r="520" spans="1:31" x14ac:dyDescent="0.35">
      <c r="A520" s="13" t="s">
        <v>992</v>
      </c>
      <c r="B520" s="13" t="s">
        <v>200</v>
      </c>
      <c r="C520" s="13" t="s">
        <v>201</v>
      </c>
      <c r="D520" s="13" t="s">
        <v>104</v>
      </c>
      <c r="E520" s="13" t="s">
        <v>53</v>
      </c>
      <c r="F520" s="13" t="s">
        <v>54</v>
      </c>
      <c r="G520" s="13" t="s">
        <v>55</v>
      </c>
      <c r="H520">
        <v>145000</v>
      </c>
      <c r="I520" s="13" t="s">
        <v>121</v>
      </c>
      <c r="J520" s="13" t="s">
        <v>122</v>
      </c>
      <c r="K520" s="13" t="s">
        <v>107</v>
      </c>
      <c r="L520" s="13" t="s">
        <v>82</v>
      </c>
      <c r="M520">
        <v>30</v>
      </c>
      <c r="N520">
        <v>2</v>
      </c>
      <c r="O520" s="14">
        <v>45964</v>
      </c>
      <c r="P520" s="14">
        <v>45994</v>
      </c>
      <c r="Q520">
        <v>8319.4699999999993</v>
      </c>
      <c r="R520">
        <v>4991.68</v>
      </c>
      <c r="S520">
        <v>0</v>
      </c>
      <c r="T520">
        <v>0</v>
      </c>
      <c r="U520">
        <v>0</v>
      </c>
      <c r="V520">
        <v>3327.79</v>
      </c>
      <c r="W520">
        <v>0</v>
      </c>
      <c r="X520">
        <v>1</v>
      </c>
      <c r="Y520">
        <v>1</v>
      </c>
      <c r="Z520">
        <v>28</v>
      </c>
      <c r="AA520">
        <v>2</v>
      </c>
      <c r="AB520" s="13" t="s">
        <v>405</v>
      </c>
      <c r="AC520">
        <v>0.25</v>
      </c>
      <c r="AD520">
        <v>0</v>
      </c>
      <c r="AE520" s="13" t="s">
        <v>61</v>
      </c>
    </row>
    <row r="521" spans="1:31" x14ac:dyDescent="0.35">
      <c r="A521" s="13" t="s">
        <v>993</v>
      </c>
      <c r="B521" s="13" t="s">
        <v>994</v>
      </c>
      <c r="C521" s="13" t="s">
        <v>995</v>
      </c>
      <c r="D521" s="13" t="s">
        <v>52</v>
      </c>
      <c r="E521" s="13" t="s">
        <v>71</v>
      </c>
      <c r="F521" s="13" t="s">
        <v>214</v>
      </c>
      <c r="G521" s="13" t="s">
        <v>67</v>
      </c>
      <c r="H521">
        <v>275000</v>
      </c>
      <c r="I521" s="13" t="s">
        <v>86</v>
      </c>
      <c r="J521" s="13" t="s">
        <v>87</v>
      </c>
      <c r="K521" s="13" t="s">
        <v>58</v>
      </c>
      <c r="L521" s="13" t="s">
        <v>88</v>
      </c>
      <c r="M521">
        <v>60</v>
      </c>
      <c r="N521">
        <v>0</v>
      </c>
      <c r="O521" s="14">
        <v>45964</v>
      </c>
      <c r="P521" s="14">
        <v>46024</v>
      </c>
      <c r="Q521">
        <v>1764.26</v>
      </c>
      <c r="R521">
        <v>0</v>
      </c>
      <c r="S521">
        <v>0</v>
      </c>
      <c r="T521">
        <v>0</v>
      </c>
      <c r="U521">
        <v>0</v>
      </c>
      <c r="V521">
        <v>1764.26</v>
      </c>
      <c r="W521">
        <v>0</v>
      </c>
      <c r="X521">
        <v>1</v>
      </c>
      <c r="Y521">
        <v>0</v>
      </c>
      <c r="Z521">
        <v>-2</v>
      </c>
      <c r="AA521">
        <v>1</v>
      </c>
      <c r="AB521" s="13" t="s">
        <v>581</v>
      </c>
      <c r="AC521">
        <v>0</v>
      </c>
      <c r="AD521">
        <v>0</v>
      </c>
      <c r="AE521" s="13" t="s">
        <v>61</v>
      </c>
    </row>
    <row r="522" spans="1:31" x14ac:dyDescent="0.35">
      <c r="A522" s="13" t="s">
        <v>996</v>
      </c>
      <c r="B522" s="13" t="s">
        <v>997</v>
      </c>
      <c r="C522" s="13" t="s">
        <v>998</v>
      </c>
      <c r="D522" s="13" t="s">
        <v>52</v>
      </c>
      <c r="E522" s="13" t="s">
        <v>71</v>
      </c>
      <c r="F522" s="13" t="s">
        <v>72</v>
      </c>
      <c r="G522" s="13" t="s">
        <v>55</v>
      </c>
      <c r="H522">
        <v>405000</v>
      </c>
      <c r="I522" s="13" t="s">
        <v>86</v>
      </c>
      <c r="J522" s="13" t="s">
        <v>87</v>
      </c>
      <c r="K522" s="13" t="s">
        <v>58</v>
      </c>
      <c r="L522" s="13" t="s">
        <v>59</v>
      </c>
      <c r="M522">
        <v>45</v>
      </c>
      <c r="N522">
        <v>0</v>
      </c>
      <c r="O522" s="14">
        <v>45964</v>
      </c>
      <c r="P522" s="14">
        <v>46009</v>
      </c>
      <c r="Q522">
        <v>10462.36</v>
      </c>
      <c r="R522">
        <v>0</v>
      </c>
      <c r="S522">
        <v>0</v>
      </c>
      <c r="T522">
        <v>0</v>
      </c>
      <c r="U522">
        <v>0</v>
      </c>
      <c r="V522">
        <v>10462.36</v>
      </c>
      <c r="W522">
        <v>0</v>
      </c>
      <c r="X522">
        <v>1</v>
      </c>
      <c r="Y522">
        <v>1</v>
      </c>
      <c r="Z522">
        <v>13</v>
      </c>
      <c r="AA522">
        <v>2</v>
      </c>
      <c r="AB522" s="13" t="s">
        <v>405</v>
      </c>
      <c r="AC522">
        <v>0.25</v>
      </c>
      <c r="AD522">
        <v>1</v>
      </c>
      <c r="AE522" s="13" t="s">
        <v>665</v>
      </c>
    </row>
    <row r="523" spans="1:31" x14ac:dyDescent="0.35">
      <c r="A523" s="13" t="s">
        <v>999</v>
      </c>
      <c r="B523" s="13" t="s">
        <v>854</v>
      </c>
      <c r="C523" s="13" t="s">
        <v>855</v>
      </c>
      <c r="D523" s="13" t="s">
        <v>52</v>
      </c>
      <c r="E523" s="13" t="s">
        <v>77</v>
      </c>
      <c r="F523" s="13" t="s">
        <v>78</v>
      </c>
      <c r="G523" s="13" t="s">
        <v>67</v>
      </c>
      <c r="H523">
        <v>385000</v>
      </c>
      <c r="I523" s="13" t="s">
        <v>86</v>
      </c>
      <c r="J523" s="13" t="s">
        <v>87</v>
      </c>
      <c r="K523" s="13" t="s">
        <v>58</v>
      </c>
      <c r="L523" s="13" t="s">
        <v>88</v>
      </c>
      <c r="M523">
        <v>60</v>
      </c>
      <c r="N523">
        <v>0</v>
      </c>
      <c r="O523" s="14">
        <v>45964</v>
      </c>
      <c r="P523" s="14">
        <v>46024</v>
      </c>
      <c r="Q523">
        <v>11530.26</v>
      </c>
      <c r="R523">
        <v>0</v>
      </c>
      <c r="S523">
        <v>0</v>
      </c>
      <c r="T523">
        <v>0</v>
      </c>
      <c r="U523">
        <v>0</v>
      </c>
      <c r="V523">
        <v>11530.26</v>
      </c>
      <c r="W523">
        <v>0</v>
      </c>
      <c r="X523">
        <v>1</v>
      </c>
      <c r="Y523">
        <v>0</v>
      </c>
      <c r="Z523">
        <v>-2</v>
      </c>
      <c r="AA523">
        <v>1</v>
      </c>
      <c r="AB523" s="13" t="s">
        <v>581</v>
      </c>
      <c r="AC523">
        <v>0</v>
      </c>
      <c r="AD523">
        <v>0</v>
      </c>
      <c r="AE523" s="13" t="s">
        <v>61</v>
      </c>
    </row>
    <row r="524" spans="1:31" x14ac:dyDescent="0.35">
      <c r="A524" s="13" t="s">
        <v>1000</v>
      </c>
      <c r="B524" s="13" t="s">
        <v>1001</v>
      </c>
      <c r="C524" s="13" t="s">
        <v>1002</v>
      </c>
      <c r="D524" s="13" t="s">
        <v>76</v>
      </c>
      <c r="E524" s="13" t="s">
        <v>99</v>
      </c>
      <c r="F524" s="13" t="s">
        <v>127</v>
      </c>
      <c r="G524" s="13" t="s">
        <v>55</v>
      </c>
      <c r="H524">
        <v>90000</v>
      </c>
      <c r="I524" s="13" t="s">
        <v>93</v>
      </c>
      <c r="J524" s="13" t="s">
        <v>94</v>
      </c>
      <c r="K524" s="13" t="s">
        <v>81</v>
      </c>
      <c r="L524" s="13" t="s">
        <v>95</v>
      </c>
      <c r="M524">
        <v>30</v>
      </c>
      <c r="N524">
        <v>0</v>
      </c>
      <c r="O524" s="14">
        <v>45964</v>
      </c>
      <c r="P524" s="14">
        <v>45994</v>
      </c>
      <c r="Q524">
        <v>1667.17</v>
      </c>
      <c r="R524">
        <v>1000.3</v>
      </c>
      <c r="S524">
        <v>0</v>
      </c>
      <c r="T524">
        <v>0</v>
      </c>
      <c r="U524">
        <v>0</v>
      </c>
      <c r="V524">
        <v>666.87</v>
      </c>
      <c r="W524">
        <v>0</v>
      </c>
      <c r="X524">
        <v>1</v>
      </c>
      <c r="Y524">
        <v>1</v>
      </c>
      <c r="Z524">
        <v>28</v>
      </c>
      <c r="AA524">
        <v>2</v>
      </c>
      <c r="AB524" s="13" t="s">
        <v>405</v>
      </c>
      <c r="AC524">
        <v>0.25</v>
      </c>
      <c r="AD524">
        <v>0</v>
      </c>
      <c r="AE524" s="13" t="s">
        <v>61</v>
      </c>
    </row>
    <row r="525" spans="1:31" x14ac:dyDescent="0.35">
      <c r="A525" s="13" t="s">
        <v>1003</v>
      </c>
      <c r="B525" s="13" t="s">
        <v>1004</v>
      </c>
      <c r="C525" s="13" t="s">
        <v>1005</v>
      </c>
      <c r="D525" s="13" t="s">
        <v>104</v>
      </c>
      <c r="E525" s="13" t="s">
        <v>53</v>
      </c>
      <c r="F525" s="13" t="s">
        <v>135</v>
      </c>
      <c r="G525" s="13" t="s">
        <v>55</v>
      </c>
      <c r="H525">
        <v>55000</v>
      </c>
      <c r="I525" s="13" t="s">
        <v>121</v>
      </c>
      <c r="J525" s="13" t="s">
        <v>122</v>
      </c>
      <c r="K525" s="13" t="s">
        <v>107</v>
      </c>
      <c r="L525" s="13" t="s">
        <v>88</v>
      </c>
      <c r="M525">
        <v>60</v>
      </c>
      <c r="N525">
        <v>0</v>
      </c>
      <c r="O525" s="14">
        <v>45964</v>
      </c>
      <c r="P525" s="14">
        <v>46024</v>
      </c>
      <c r="Q525">
        <v>7554.02</v>
      </c>
      <c r="R525">
        <v>0</v>
      </c>
      <c r="S525">
        <v>0</v>
      </c>
      <c r="T525">
        <v>0</v>
      </c>
      <c r="U525">
        <v>0</v>
      </c>
      <c r="V525">
        <v>7554.02</v>
      </c>
      <c r="W525">
        <v>0</v>
      </c>
      <c r="X525">
        <v>1</v>
      </c>
      <c r="Y525">
        <v>0</v>
      </c>
      <c r="Z525">
        <v>-2</v>
      </c>
      <c r="AA525">
        <v>1</v>
      </c>
      <c r="AB525" s="13" t="s">
        <v>581</v>
      </c>
      <c r="AC525">
        <v>0</v>
      </c>
      <c r="AD525">
        <v>0</v>
      </c>
      <c r="AE525" s="13" t="s">
        <v>61</v>
      </c>
    </row>
    <row r="526" spans="1:31" x14ac:dyDescent="0.35">
      <c r="A526" s="13" t="s">
        <v>1006</v>
      </c>
      <c r="B526" s="13" t="s">
        <v>692</v>
      </c>
      <c r="C526" s="13" t="s">
        <v>693</v>
      </c>
      <c r="D526" s="13" t="s">
        <v>52</v>
      </c>
      <c r="E526" s="13" t="s">
        <v>53</v>
      </c>
      <c r="F526" s="13" t="s">
        <v>135</v>
      </c>
      <c r="G526" s="13" t="s">
        <v>55</v>
      </c>
      <c r="H526">
        <v>360000</v>
      </c>
      <c r="I526" s="13" t="s">
        <v>56</v>
      </c>
      <c r="J526" s="13" t="s">
        <v>57</v>
      </c>
      <c r="K526" s="13" t="s">
        <v>58</v>
      </c>
      <c r="L526" s="13" t="s">
        <v>88</v>
      </c>
      <c r="M526">
        <v>60</v>
      </c>
      <c r="N526">
        <v>0</v>
      </c>
      <c r="O526" s="14">
        <v>45964</v>
      </c>
      <c r="P526" s="14">
        <v>46024</v>
      </c>
      <c r="Q526">
        <v>4627.13</v>
      </c>
      <c r="R526">
        <v>0</v>
      </c>
      <c r="S526">
        <v>0</v>
      </c>
      <c r="T526">
        <v>0</v>
      </c>
      <c r="U526">
        <v>0</v>
      </c>
      <c r="V526">
        <v>4627.13</v>
      </c>
      <c r="W526">
        <v>0</v>
      </c>
      <c r="X526">
        <v>1</v>
      </c>
      <c r="Y526">
        <v>0</v>
      </c>
      <c r="Z526">
        <v>-2</v>
      </c>
      <c r="AA526">
        <v>1</v>
      </c>
      <c r="AB526" s="13" t="s">
        <v>581</v>
      </c>
      <c r="AC526">
        <v>0</v>
      </c>
      <c r="AD526">
        <v>0</v>
      </c>
      <c r="AE526" s="13" t="s">
        <v>61</v>
      </c>
    </row>
    <row r="527" spans="1:31" x14ac:dyDescent="0.35">
      <c r="A527" s="13" t="s">
        <v>1007</v>
      </c>
      <c r="B527" s="13" t="s">
        <v>1008</v>
      </c>
      <c r="C527" s="13" t="s">
        <v>1009</v>
      </c>
      <c r="D527" s="13" t="s">
        <v>104</v>
      </c>
      <c r="E527" s="13" t="s">
        <v>77</v>
      </c>
      <c r="F527" s="13" t="s">
        <v>174</v>
      </c>
      <c r="G527" s="13" t="s">
        <v>67</v>
      </c>
      <c r="H527">
        <v>95000</v>
      </c>
      <c r="I527" s="13" t="s">
        <v>121</v>
      </c>
      <c r="J527" s="13" t="s">
        <v>122</v>
      </c>
      <c r="K527" s="13" t="s">
        <v>107</v>
      </c>
      <c r="L527" s="13" t="s">
        <v>95</v>
      </c>
      <c r="M527">
        <v>30</v>
      </c>
      <c r="N527">
        <v>0</v>
      </c>
      <c r="O527" s="14">
        <v>45964</v>
      </c>
      <c r="P527" s="14">
        <v>45994</v>
      </c>
      <c r="Q527">
        <v>4062.75</v>
      </c>
      <c r="R527">
        <v>2437.65</v>
      </c>
      <c r="S527">
        <v>0</v>
      </c>
      <c r="T527">
        <v>0</v>
      </c>
      <c r="U527">
        <v>0</v>
      </c>
      <c r="V527">
        <v>1625.1</v>
      </c>
      <c r="W527">
        <v>0</v>
      </c>
      <c r="X527">
        <v>1</v>
      </c>
      <c r="Y527">
        <v>1</v>
      </c>
      <c r="Z527">
        <v>28</v>
      </c>
      <c r="AA527">
        <v>2</v>
      </c>
      <c r="AB527" s="13" t="s">
        <v>405</v>
      </c>
      <c r="AC527">
        <v>0.25</v>
      </c>
      <c r="AD527">
        <v>0</v>
      </c>
      <c r="AE527" s="13" t="s">
        <v>61</v>
      </c>
    </row>
    <row r="528" spans="1:31" x14ac:dyDescent="0.35">
      <c r="A528" s="13" t="s">
        <v>1010</v>
      </c>
      <c r="B528" s="13" t="s">
        <v>862</v>
      </c>
      <c r="C528" s="13" t="s">
        <v>863</v>
      </c>
      <c r="D528" s="13" t="s">
        <v>126</v>
      </c>
      <c r="E528" s="13" t="s">
        <v>99</v>
      </c>
      <c r="F528" s="13" t="s">
        <v>127</v>
      </c>
      <c r="G528" s="13" t="s">
        <v>67</v>
      </c>
      <c r="H528">
        <v>110000</v>
      </c>
      <c r="I528" s="13" t="s">
        <v>105</v>
      </c>
      <c r="J528" s="13" t="s">
        <v>106</v>
      </c>
      <c r="K528" s="13" t="s">
        <v>107</v>
      </c>
      <c r="L528" s="13" t="s">
        <v>88</v>
      </c>
      <c r="M528">
        <v>60</v>
      </c>
      <c r="N528">
        <v>0</v>
      </c>
      <c r="O528" s="14">
        <v>45964</v>
      </c>
      <c r="P528" s="14">
        <v>46024</v>
      </c>
      <c r="Q528">
        <v>1179.27</v>
      </c>
      <c r="R528">
        <v>0</v>
      </c>
      <c r="S528">
        <v>0</v>
      </c>
      <c r="T528">
        <v>0</v>
      </c>
      <c r="U528">
        <v>0</v>
      </c>
      <c r="V528">
        <v>1179.27</v>
      </c>
      <c r="W528">
        <v>0</v>
      </c>
      <c r="X528">
        <v>1</v>
      </c>
      <c r="Y528">
        <v>0</v>
      </c>
      <c r="Z528">
        <v>-2</v>
      </c>
      <c r="AA528">
        <v>1</v>
      </c>
      <c r="AB528" s="13" t="s">
        <v>581</v>
      </c>
      <c r="AC528">
        <v>0</v>
      </c>
      <c r="AD528">
        <v>0</v>
      </c>
      <c r="AE528" s="13" t="s">
        <v>61</v>
      </c>
    </row>
    <row r="529" spans="1:31" x14ac:dyDescent="0.35">
      <c r="A529" s="13" t="s">
        <v>1011</v>
      </c>
      <c r="B529" s="13" t="s">
        <v>422</v>
      </c>
      <c r="C529" s="13" t="s">
        <v>423</v>
      </c>
      <c r="D529" s="13" t="s">
        <v>126</v>
      </c>
      <c r="E529" s="13" t="s">
        <v>77</v>
      </c>
      <c r="F529" s="13" t="s">
        <v>174</v>
      </c>
      <c r="G529" s="13" t="s">
        <v>67</v>
      </c>
      <c r="H529">
        <v>145000</v>
      </c>
      <c r="I529" s="13" t="s">
        <v>105</v>
      </c>
      <c r="J529" s="13" t="s">
        <v>106</v>
      </c>
      <c r="K529" s="13" t="s">
        <v>107</v>
      </c>
      <c r="L529" s="13" t="s">
        <v>368</v>
      </c>
      <c r="M529">
        <v>90</v>
      </c>
      <c r="N529">
        <v>0</v>
      </c>
      <c r="O529" s="14">
        <v>45964</v>
      </c>
      <c r="P529" s="14">
        <v>46054</v>
      </c>
      <c r="Q529">
        <v>2618.29</v>
      </c>
      <c r="R529">
        <v>0</v>
      </c>
      <c r="S529">
        <v>0</v>
      </c>
      <c r="T529">
        <v>0</v>
      </c>
      <c r="U529">
        <v>0</v>
      </c>
      <c r="V529">
        <v>2618.29</v>
      </c>
      <c r="W529">
        <v>0</v>
      </c>
      <c r="X529">
        <v>1</v>
      </c>
      <c r="Y529">
        <v>0</v>
      </c>
      <c r="Z529">
        <v>-32</v>
      </c>
      <c r="AA529">
        <v>1</v>
      </c>
      <c r="AB529" s="13" t="s">
        <v>581</v>
      </c>
      <c r="AC529">
        <v>0</v>
      </c>
      <c r="AD529">
        <v>0</v>
      </c>
      <c r="AE529" s="13" t="s">
        <v>348</v>
      </c>
    </row>
    <row r="530" spans="1:31" x14ac:dyDescent="0.35">
      <c r="A530" s="13" t="s">
        <v>1012</v>
      </c>
      <c r="B530" s="13" t="s">
        <v>159</v>
      </c>
      <c r="C530" s="13" t="s">
        <v>160</v>
      </c>
      <c r="D530" s="13" t="s">
        <v>104</v>
      </c>
      <c r="E530" s="13" t="s">
        <v>53</v>
      </c>
      <c r="F530" s="13" t="s">
        <v>135</v>
      </c>
      <c r="G530" s="13" t="s">
        <v>67</v>
      </c>
      <c r="H530">
        <v>140000</v>
      </c>
      <c r="I530" s="13" t="s">
        <v>105</v>
      </c>
      <c r="J530" s="13" t="s">
        <v>106</v>
      </c>
      <c r="K530" s="13" t="s">
        <v>107</v>
      </c>
      <c r="L530" s="13" t="s">
        <v>88</v>
      </c>
      <c r="M530">
        <v>60</v>
      </c>
      <c r="N530">
        <v>0</v>
      </c>
      <c r="O530" s="14">
        <v>45964</v>
      </c>
      <c r="P530" s="14">
        <v>46024</v>
      </c>
      <c r="Q530">
        <v>4157.45</v>
      </c>
      <c r="R530">
        <v>0</v>
      </c>
      <c r="S530">
        <v>0</v>
      </c>
      <c r="T530">
        <v>0</v>
      </c>
      <c r="U530">
        <v>0</v>
      </c>
      <c r="V530">
        <v>4157.45</v>
      </c>
      <c r="W530">
        <v>0</v>
      </c>
      <c r="X530">
        <v>1</v>
      </c>
      <c r="Y530">
        <v>0</v>
      </c>
      <c r="Z530">
        <v>-2</v>
      </c>
      <c r="AA530">
        <v>1</v>
      </c>
      <c r="AB530" s="13" t="s">
        <v>581</v>
      </c>
      <c r="AC530">
        <v>0</v>
      </c>
      <c r="AD530">
        <v>0</v>
      </c>
      <c r="AE530" s="13" t="s">
        <v>61</v>
      </c>
    </row>
    <row r="531" spans="1:31" x14ac:dyDescent="0.35">
      <c r="A531" s="13" t="s">
        <v>1013</v>
      </c>
      <c r="B531" s="13" t="s">
        <v>317</v>
      </c>
      <c r="C531" s="13" t="s">
        <v>318</v>
      </c>
      <c r="D531" s="13" t="s">
        <v>52</v>
      </c>
      <c r="E531" s="13" t="s">
        <v>77</v>
      </c>
      <c r="F531" s="13" t="s">
        <v>78</v>
      </c>
      <c r="G531" s="13" t="s">
        <v>67</v>
      </c>
      <c r="H531">
        <v>390000</v>
      </c>
      <c r="I531" s="13" t="s">
        <v>56</v>
      </c>
      <c r="J531" s="13" t="s">
        <v>57</v>
      </c>
      <c r="K531" s="13" t="s">
        <v>58</v>
      </c>
      <c r="L531" s="13" t="s">
        <v>88</v>
      </c>
      <c r="M531">
        <v>60</v>
      </c>
      <c r="N531">
        <v>0</v>
      </c>
      <c r="O531" s="14">
        <v>45964</v>
      </c>
      <c r="P531" s="14">
        <v>46024</v>
      </c>
      <c r="Q531">
        <v>8719.86</v>
      </c>
      <c r="R531">
        <v>0</v>
      </c>
      <c r="S531">
        <v>0</v>
      </c>
      <c r="T531">
        <v>0</v>
      </c>
      <c r="U531">
        <v>0</v>
      </c>
      <c r="V531">
        <v>8719.86</v>
      </c>
      <c r="W531">
        <v>0</v>
      </c>
      <c r="X531">
        <v>1</v>
      </c>
      <c r="Y531">
        <v>0</v>
      </c>
      <c r="Z531">
        <v>-2</v>
      </c>
      <c r="AA531">
        <v>1</v>
      </c>
      <c r="AB531" s="13" t="s">
        <v>581</v>
      </c>
      <c r="AC531">
        <v>0</v>
      </c>
      <c r="AD531">
        <v>0</v>
      </c>
      <c r="AE531" s="13" t="s">
        <v>61</v>
      </c>
    </row>
    <row r="532" spans="1:31" x14ac:dyDescent="0.35">
      <c r="A532" s="13" t="s">
        <v>1014</v>
      </c>
      <c r="B532" s="13" t="s">
        <v>1015</v>
      </c>
      <c r="C532" s="13" t="s">
        <v>1016</v>
      </c>
      <c r="D532" s="13" t="s">
        <v>52</v>
      </c>
      <c r="E532" s="13" t="s">
        <v>77</v>
      </c>
      <c r="F532" s="13" t="s">
        <v>174</v>
      </c>
      <c r="G532" s="13" t="s">
        <v>55</v>
      </c>
      <c r="H532">
        <v>590000</v>
      </c>
      <c r="I532" s="13" t="s">
        <v>56</v>
      </c>
      <c r="J532" s="13" t="s">
        <v>57</v>
      </c>
      <c r="K532" s="13" t="s">
        <v>58</v>
      </c>
      <c r="L532" s="13" t="s">
        <v>59</v>
      </c>
      <c r="M532">
        <v>45</v>
      </c>
      <c r="N532">
        <v>0</v>
      </c>
      <c r="O532" s="14">
        <v>45964</v>
      </c>
      <c r="P532" s="14">
        <v>46009</v>
      </c>
      <c r="Q532">
        <v>2938.2</v>
      </c>
      <c r="R532">
        <v>0</v>
      </c>
      <c r="S532">
        <v>0</v>
      </c>
      <c r="T532">
        <v>0</v>
      </c>
      <c r="U532">
        <v>0</v>
      </c>
      <c r="V532">
        <v>2938.2</v>
      </c>
      <c r="W532">
        <v>0</v>
      </c>
      <c r="X532">
        <v>1</v>
      </c>
      <c r="Y532">
        <v>1</v>
      </c>
      <c r="Z532">
        <v>13</v>
      </c>
      <c r="AA532">
        <v>2</v>
      </c>
      <c r="AB532" s="13" t="s">
        <v>405</v>
      </c>
      <c r="AC532">
        <v>0.25</v>
      </c>
      <c r="AD532">
        <v>0</v>
      </c>
      <c r="AE532" s="13" t="s">
        <v>61</v>
      </c>
    </row>
    <row r="533" spans="1:31" x14ac:dyDescent="0.35">
      <c r="A533" s="13" t="s">
        <v>1017</v>
      </c>
      <c r="B533" s="13" t="s">
        <v>1018</v>
      </c>
      <c r="C533" s="13" t="s">
        <v>1019</v>
      </c>
      <c r="D533" s="13" t="s">
        <v>52</v>
      </c>
      <c r="E533" s="13" t="s">
        <v>65</v>
      </c>
      <c r="F533" s="13" t="s">
        <v>66</v>
      </c>
      <c r="G533" s="13" t="s">
        <v>67</v>
      </c>
      <c r="H533">
        <v>250000</v>
      </c>
      <c r="I533" s="13" t="s">
        <v>86</v>
      </c>
      <c r="J533" s="13" t="s">
        <v>87</v>
      </c>
      <c r="K533" s="13" t="s">
        <v>58</v>
      </c>
      <c r="L533" s="13" t="s">
        <v>59</v>
      </c>
      <c r="M533">
        <v>45</v>
      </c>
      <c r="N533">
        <v>0</v>
      </c>
      <c r="O533" s="14">
        <v>45964</v>
      </c>
      <c r="P533" s="14">
        <v>46009</v>
      </c>
      <c r="Q533">
        <v>14831.34</v>
      </c>
      <c r="R533">
        <v>8898.7999999999993</v>
      </c>
      <c r="S533">
        <v>0</v>
      </c>
      <c r="T533">
        <v>0</v>
      </c>
      <c r="U533">
        <v>0</v>
      </c>
      <c r="V533">
        <v>5932.54</v>
      </c>
      <c r="W533">
        <v>0</v>
      </c>
      <c r="X533">
        <v>1</v>
      </c>
      <c r="Y533">
        <v>1</v>
      </c>
      <c r="Z533">
        <v>13</v>
      </c>
      <c r="AA533">
        <v>2</v>
      </c>
      <c r="AB533" s="13" t="s">
        <v>405</v>
      </c>
      <c r="AC533">
        <v>0.25</v>
      </c>
      <c r="AD533">
        <v>0</v>
      </c>
      <c r="AE533" s="13" t="s">
        <v>61</v>
      </c>
    </row>
    <row r="534" spans="1:31" x14ac:dyDescent="0.35">
      <c r="A534" s="13" t="s">
        <v>1020</v>
      </c>
      <c r="B534" s="13" t="s">
        <v>293</v>
      </c>
      <c r="C534" s="13" t="s">
        <v>294</v>
      </c>
      <c r="D534" s="13" t="s">
        <v>104</v>
      </c>
      <c r="E534" s="13" t="s">
        <v>99</v>
      </c>
      <c r="F534" s="13" t="s">
        <v>100</v>
      </c>
      <c r="G534" s="13" t="s">
        <v>92</v>
      </c>
      <c r="H534">
        <v>145000</v>
      </c>
      <c r="I534" s="13" t="s">
        <v>121</v>
      </c>
      <c r="J534" s="13" t="s">
        <v>122</v>
      </c>
      <c r="K534" s="13" t="s">
        <v>107</v>
      </c>
      <c r="L534" s="13" t="s">
        <v>82</v>
      </c>
      <c r="M534">
        <v>30</v>
      </c>
      <c r="N534">
        <v>2</v>
      </c>
      <c r="O534" s="14">
        <v>45964</v>
      </c>
      <c r="P534" s="14">
        <v>45994</v>
      </c>
      <c r="Q534">
        <v>6036.98</v>
      </c>
      <c r="R534">
        <v>0</v>
      </c>
      <c r="S534">
        <v>0</v>
      </c>
      <c r="T534">
        <v>784.81</v>
      </c>
      <c r="U534">
        <v>0</v>
      </c>
      <c r="V534">
        <v>5252.17</v>
      </c>
      <c r="W534">
        <v>0</v>
      </c>
      <c r="X534">
        <v>1</v>
      </c>
      <c r="Y534">
        <v>1</v>
      </c>
      <c r="Z534">
        <v>28</v>
      </c>
      <c r="AA534">
        <v>2</v>
      </c>
      <c r="AB534" s="13" t="s">
        <v>405</v>
      </c>
      <c r="AC534">
        <v>0.25</v>
      </c>
      <c r="AD534">
        <v>0</v>
      </c>
      <c r="AE534" s="13" t="s">
        <v>465</v>
      </c>
    </row>
    <row r="535" spans="1:31" x14ac:dyDescent="0.35">
      <c r="A535" s="13" t="s">
        <v>1021</v>
      </c>
      <c r="B535" s="13" t="s">
        <v>1022</v>
      </c>
      <c r="C535" s="13" t="s">
        <v>1023</v>
      </c>
      <c r="D535" s="13" t="s">
        <v>126</v>
      </c>
      <c r="E535" s="13" t="s">
        <v>77</v>
      </c>
      <c r="F535" s="13" t="s">
        <v>174</v>
      </c>
      <c r="G535" s="13" t="s">
        <v>55</v>
      </c>
      <c r="H535">
        <v>160000</v>
      </c>
      <c r="I535" s="13" t="s">
        <v>56</v>
      </c>
      <c r="J535" s="13" t="s">
        <v>57</v>
      </c>
      <c r="K535" s="13" t="s">
        <v>58</v>
      </c>
      <c r="L535" s="13" t="s">
        <v>88</v>
      </c>
      <c r="M535">
        <v>60</v>
      </c>
      <c r="N535">
        <v>0</v>
      </c>
      <c r="O535" s="14">
        <v>45964</v>
      </c>
      <c r="P535" s="14">
        <v>46024</v>
      </c>
      <c r="Q535">
        <v>2895.75</v>
      </c>
      <c r="R535">
        <v>0</v>
      </c>
      <c r="S535">
        <v>0</v>
      </c>
      <c r="T535">
        <v>0</v>
      </c>
      <c r="U535">
        <v>0</v>
      </c>
      <c r="V535">
        <v>2895.75</v>
      </c>
      <c r="W535">
        <v>0</v>
      </c>
      <c r="X535">
        <v>1</v>
      </c>
      <c r="Y535">
        <v>0</v>
      </c>
      <c r="Z535">
        <v>-2</v>
      </c>
      <c r="AA535">
        <v>1</v>
      </c>
      <c r="AB535" s="13" t="s">
        <v>581</v>
      </c>
      <c r="AC535">
        <v>0</v>
      </c>
      <c r="AD535">
        <v>0</v>
      </c>
      <c r="AE535" s="13" t="s">
        <v>61</v>
      </c>
    </row>
    <row r="536" spans="1:31" x14ac:dyDescent="0.35">
      <c r="A536" s="13" t="s">
        <v>1024</v>
      </c>
      <c r="B536" s="13" t="s">
        <v>605</v>
      </c>
      <c r="C536" s="13" t="s">
        <v>606</v>
      </c>
      <c r="D536" s="13" t="s">
        <v>52</v>
      </c>
      <c r="E536" s="13" t="s">
        <v>65</v>
      </c>
      <c r="F536" s="13" t="s">
        <v>66</v>
      </c>
      <c r="G536" s="13" t="s">
        <v>67</v>
      </c>
      <c r="H536">
        <v>335000</v>
      </c>
      <c r="I536" s="13" t="s">
        <v>86</v>
      </c>
      <c r="J536" s="13" t="s">
        <v>87</v>
      </c>
      <c r="K536" s="13" t="s">
        <v>58</v>
      </c>
      <c r="L536" s="13" t="s">
        <v>59</v>
      </c>
      <c r="M536">
        <v>45</v>
      </c>
      <c r="N536">
        <v>0</v>
      </c>
      <c r="O536" s="14">
        <v>45964</v>
      </c>
      <c r="P536" s="14">
        <v>46009</v>
      </c>
      <c r="Q536">
        <v>4850.6499999999996</v>
      </c>
      <c r="R536">
        <v>0</v>
      </c>
      <c r="S536">
        <v>0</v>
      </c>
      <c r="T536">
        <v>0</v>
      </c>
      <c r="U536">
        <v>0</v>
      </c>
      <c r="V536">
        <v>4850.6499999999996</v>
      </c>
      <c r="W536">
        <v>0</v>
      </c>
      <c r="X536">
        <v>1</v>
      </c>
      <c r="Y536">
        <v>1</v>
      </c>
      <c r="Z536">
        <v>13</v>
      </c>
      <c r="AA536">
        <v>2</v>
      </c>
      <c r="AB536" s="13" t="s">
        <v>405</v>
      </c>
      <c r="AC536">
        <v>0.25</v>
      </c>
      <c r="AD536">
        <v>0</v>
      </c>
      <c r="AE536" s="13" t="s">
        <v>61</v>
      </c>
    </row>
    <row r="537" spans="1:31" x14ac:dyDescent="0.35">
      <c r="A537" s="13" t="s">
        <v>1025</v>
      </c>
      <c r="B537" s="13" t="s">
        <v>50</v>
      </c>
      <c r="C537" s="13" t="s">
        <v>51</v>
      </c>
      <c r="D537" s="13" t="s">
        <v>52</v>
      </c>
      <c r="E537" s="13" t="s">
        <v>53</v>
      </c>
      <c r="F537" s="13" t="s">
        <v>54</v>
      </c>
      <c r="G537" s="13" t="s">
        <v>55</v>
      </c>
      <c r="H537">
        <v>585000</v>
      </c>
      <c r="I537" s="13" t="s">
        <v>56</v>
      </c>
      <c r="J537" s="13" t="s">
        <v>57</v>
      </c>
      <c r="K537" s="13" t="s">
        <v>58</v>
      </c>
      <c r="L537" s="13" t="s">
        <v>59</v>
      </c>
      <c r="M537">
        <v>45</v>
      </c>
      <c r="N537">
        <v>0</v>
      </c>
      <c r="O537" s="14">
        <v>45964</v>
      </c>
      <c r="P537" s="14">
        <v>46009</v>
      </c>
      <c r="Q537">
        <v>3509.67</v>
      </c>
      <c r="R537">
        <v>0</v>
      </c>
      <c r="S537">
        <v>0</v>
      </c>
      <c r="T537">
        <v>0</v>
      </c>
      <c r="U537">
        <v>0</v>
      </c>
      <c r="V537">
        <v>3509.67</v>
      </c>
      <c r="W537">
        <v>0</v>
      </c>
      <c r="X537">
        <v>1</v>
      </c>
      <c r="Y537">
        <v>1</v>
      </c>
      <c r="Z537">
        <v>13</v>
      </c>
      <c r="AA537">
        <v>2</v>
      </c>
      <c r="AB537" s="13" t="s">
        <v>405</v>
      </c>
      <c r="AC537">
        <v>0.25</v>
      </c>
      <c r="AD537">
        <v>0</v>
      </c>
      <c r="AE537" s="13" t="s">
        <v>61</v>
      </c>
    </row>
    <row r="538" spans="1:31" x14ac:dyDescent="0.35">
      <c r="A538" s="13" t="s">
        <v>1026</v>
      </c>
      <c r="B538" s="13" t="s">
        <v>1027</v>
      </c>
      <c r="C538" s="13" t="s">
        <v>1028</v>
      </c>
      <c r="D538" s="13" t="s">
        <v>104</v>
      </c>
      <c r="E538" s="13" t="s">
        <v>53</v>
      </c>
      <c r="F538" s="13" t="s">
        <v>54</v>
      </c>
      <c r="G538" s="13" t="s">
        <v>67</v>
      </c>
      <c r="H538">
        <v>40000</v>
      </c>
      <c r="I538" s="13" t="s">
        <v>121</v>
      </c>
      <c r="J538" s="13" t="s">
        <v>122</v>
      </c>
      <c r="K538" s="13" t="s">
        <v>107</v>
      </c>
      <c r="L538" s="13" t="s">
        <v>88</v>
      </c>
      <c r="M538">
        <v>60</v>
      </c>
      <c r="N538">
        <v>0</v>
      </c>
      <c r="O538" s="14">
        <v>45964</v>
      </c>
      <c r="P538" s="14">
        <v>46024</v>
      </c>
      <c r="Q538">
        <v>2987.74</v>
      </c>
      <c r="R538">
        <v>0</v>
      </c>
      <c r="S538">
        <v>0</v>
      </c>
      <c r="T538">
        <v>0</v>
      </c>
      <c r="U538">
        <v>0</v>
      </c>
      <c r="V538">
        <v>2987.74</v>
      </c>
      <c r="W538">
        <v>0</v>
      </c>
      <c r="X538">
        <v>1</v>
      </c>
      <c r="Y538">
        <v>0</v>
      </c>
      <c r="Z538">
        <v>-2</v>
      </c>
      <c r="AA538">
        <v>1</v>
      </c>
      <c r="AB538" s="13" t="s">
        <v>581</v>
      </c>
      <c r="AC538">
        <v>0</v>
      </c>
      <c r="AD538">
        <v>0</v>
      </c>
      <c r="AE538" s="13" t="s">
        <v>61</v>
      </c>
    </row>
    <row r="539" spans="1:31" x14ac:dyDescent="0.35">
      <c r="A539" s="13" t="s">
        <v>1029</v>
      </c>
      <c r="B539" s="13" t="s">
        <v>253</v>
      </c>
      <c r="C539" s="13" t="s">
        <v>254</v>
      </c>
      <c r="D539" s="13" t="s">
        <v>52</v>
      </c>
      <c r="E539" s="13" t="s">
        <v>65</v>
      </c>
      <c r="F539" s="13" t="s">
        <v>111</v>
      </c>
      <c r="G539" s="13" t="s">
        <v>55</v>
      </c>
      <c r="H539">
        <v>415000</v>
      </c>
      <c r="I539" s="13" t="s">
        <v>56</v>
      </c>
      <c r="J539" s="13" t="s">
        <v>57</v>
      </c>
      <c r="K539" s="13" t="s">
        <v>58</v>
      </c>
      <c r="L539" s="13" t="s">
        <v>59</v>
      </c>
      <c r="M539">
        <v>45</v>
      </c>
      <c r="N539">
        <v>0</v>
      </c>
      <c r="O539" s="14">
        <v>45965</v>
      </c>
      <c r="P539" s="14">
        <v>46010</v>
      </c>
      <c r="Q539">
        <v>12913.68</v>
      </c>
      <c r="R539">
        <v>0</v>
      </c>
      <c r="S539">
        <v>0</v>
      </c>
      <c r="T539">
        <v>0</v>
      </c>
      <c r="U539">
        <v>0</v>
      </c>
      <c r="V539">
        <v>12913.68</v>
      </c>
      <c r="W539">
        <v>0</v>
      </c>
      <c r="X539">
        <v>1</v>
      </c>
      <c r="Y539">
        <v>1</v>
      </c>
      <c r="Z539">
        <v>12</v>
      </c>
      <c r="AA539">
        <v>2</v>
      </c>
      <c r="AB539" s="13" t="s">
        <v>405</v>
      </c>
      <c r="AC539">
        <v>0.25</v>
      </c>
      <c r="AD539">
        <v>0</v>
      </c>
      <c r="AE539" s="13" t="s">
        <v>61</v>
      </c>
    </row>
    <row r="540" spans="1:31" x14ac:dyDescent="0.35">
      <c r="A540" s="13" t="s">
        <v>1030</v>
      </c>
      <c r="B540" s="13" t="s">
        <v>434</v>
      </c>
      <c r="C540" s="13" t="s">
        <v>435</v>
      </c>
      <c r="D540" s="13" t="s">
        <v>52</v>
      </c>
      <c r="E540" s="13" t="s">
        <v>77</v>
      </c>
      <c r="F540" s="13" t="s">
        <v>78</v>
      </c>
      <c r="G540" s="13" t="s">
        <v>55</v>
      </c>
      <c r="H540">
        <v>510000</v>
      </c>
      <c r="I540" s="13" t="s">
        <v>56</v>
      </c>
      <c r="J540" s="13" t="s">
        <v>57</v>
      </c>
      <c r="K540" s="13" t="s">
        <v>58</v>
      </c>
      <c r="L540" s="13" t="s">
        <v>88</v>
      </c>
      <c r="M540">
        <v>60</v>
      </c>
      <c r="N540">
        <v>0</v>
      </c>
      <c r="O540" s="14">
        <v>45965</v>
      </c>
      <c r="P540" s="14">
        <v>46025</v>
      </c>
      <c r="Q540">
        <v>10928.29</v>
      </c>
      <c r="R540">
        <v>0</v>
      </c>
      <c r="S540">
        <v>0</v>
      </c>
      <c r="T540">
        <v>0</v>
      </c>
      <c r="U540">
        <v>0</v>
      </c>
      <c r="V540">
        <v>10928.29</v>
      </c>
      <c r="W540">
        <v>0</v>
      </c>
      <c r="X540">
        <v>1</v>
      </c>
      <c r="Y540">
        <v>0</v>
      </c>
      <c r="Z540">
        <v>-3</v>
      </c>
      <c r="AA540">
        <v>1</v>
      </c>
      <c r="AB540" s="13" t="s">
        <v>581</v>
      </c>
      <c r="AC540">
        <v>0</v>
      </c>
      <c r="AD540">
        <v>0</v>
      </c>
      <c r="AE540" s="13" t="s">
        <v>61</v>
      </c>
    </row>
    <row r="541" spans="1:31" x14ac:dyDescent="0.35">
      <c r="A541" s="13" t="s">
        <v>1031</v>
      </c>
      <c r="B541" s="13" t="s">
        <v>286</v>
      </c>
      <c r="C541" s="13" t="s">
        <v>287</v>
      </c>
      <c r="D541" s="13" t="s">
        <v>104</v>
      </c>
      <c r="E541" s="13" t="s">
        <v>77</v>
      </c>
      <c r="F541" s="13" t="s">
        <v>174</v>
      </c>
      <c r="G541" s="13" t="s">
        <v>92</v>
      </c>
      <c r="H541">
        <v>150000</v>
      </c>
      <c r="I541" s="13" t="s">
        <v>86</v>
      </c>
      <c r="J541" s="13" t="s">
        <v>87</v>
      </c>
      <c r="K541" s="13" t="s">
        <v>58</v>
      </c>
      <c r="L541" s="13" t="s">
        <v>95</v>
      </c>
      <c r="M541">
        <v>30</v>
      </c>
      <c r="N541">
        <v>0</v>
      </c>
      <c r="O541" s="14">
        <v>45965</v>
      </c>
      <c r="P541" s="14">
        <v>45995</v>
      </c>
      <c r="Q541">
        <v>862.3</v>
      </c>
      <c r="R541">
        <v>0</v>
      </c>
      <c r="S541">
        <v>0</v>
      </c>
      <c r="T541">
        <v>0</v>
      </c>
      <c r="U541">
        <v>0</v>
      </c>
      <c r="V541">
        <v>862.3</v>
      </c>
      <c r="W541">
        <v>0</v>
      </c>
      <c r="X541">
        <v>1</v>
      </c>
      <c r="Y541">
        <v>1</v>
      </c>
      <c r="Z541">
        <v>27</v>
      </c>
      <c r="AA541">
        <v>2</v>
      </c>
      <c r="AB541" s="13" t="s">
        <v>405</v>
      </c>
      <c r="AC541">
        <v>0.25</v>
      </c>
      <c r="AD541">
        <v>0</v>
      </c>
      <c r="AE541" s="13" t="s">
        <v>61</v>
      </c>
    </row>
    <row r="542" spans="1:31" x14ac:dyDescent="0.35">
      <c r="A542" s="13" t="s">
        <v>1032</v>
      </c>
      <c r="B542" s="13" t="s">
        <v>994</v>
      </c>
      <c r="C542" s="13" t="s">
        <v>995</v>
      </c>
      <c r="D542" s="13" t="s">
        <v>52</v>
      </c>
      <c r="E542" s="13" t="s">
        <v>71</v>
      </c>
      <c r="F542" s="13" t="s">
        <v>214</v>
      </c>
      <c r="G542" s="13" t="s">
        <v>67</v>
      </c>
      <c r="H542">
        <v>275000</v>
      </c>
      <c r="I542" s="13" t="s">
        <v>86</v>
      </c>
      <c r="J542" s="13" t="s">
        <v>87</v>
      </c>
      <c r="K542" s="13" t="s">
        <v>58</v>
      </c>
      <c r="L542" s="13" t="s">
        <v>88</v>
      </c>
      <c r="M542">
        <v>60</v>
      </c>
      <c r="N542">
        <v>0</v>
      </c>
      <c r="O542" s="14">
        <v>45965</v>
      </c>
      <c r="P542" s="14">
        <v>46025</v>
      </c>
      <c r="Q542">
        <v>17706.12</v>
      </c>
      <c r="R542">
        <v>0</v>
      </c>
      <c r="S542">
        <v>0</v>
      </c>
      <c r="T542">
        <v>0</v>
      </c>
      <c r="U542">
        <v>0</v>
      </c>
      <c r="V542">
        <v>17706.12</v>
      </c>
      <c r="W542">
        <v>0</v>
      </c>
      <c r="X542">
        <v>1</v>
      </c>
      <c r="Y542">
        <v>0</v>
      </c>
      <c r="Z542">
        <v>-3</v>
      </c>
      <c r="AA542">
        <v>1</v>
      </c>
      <c r="AB542" s="13" t="s">
        <v>581</v>
      </c>
      <c r="AC542">
        <v>0</v>
      </c>
      <c r="AD542">
        <v>0</v>
      </c>
      <c r="AE542" s="13" t="s">
        <v>61</v>
      </c>
    </row>
    <row r="543" spans="1:31" x14ac:dyDescent="0.35">
      <c r="A543" s="13" t="s">
        <v>1033</v>
      </c>
      <c r="B543" s="13" t="s">
        <v>1034</v>
      </c>
      <c r="C543" s="13" t="s">
        <v>1035</v>
      </c>
      <c r="D543" s="13" t="s">
        <v>104</v>
      </c>
      <c r="E543" s="13" t="s">
        <v>53</v>
      </c>
      <c r="F543" s="13" t="s">
        <v>135</v>
      </c>
      <c r="G543" s="13" t="s">
        <v>67</v>
      </c>
      <c r="H543">
        <v>40000</v>
      </c>
      <c r="I543" s="13" t="s">
        <v>105</v>
      </c>
      <c r="J543" s="13" t="s">
        <v>106</v>
      </c>
      <c r="K543" s="13" t="s">
        <v>107</v>
      </c>
      <c r="L543" s="13" t="s">
        <v>88</v>
      </c>
      <c r="M543">
        <v>60</v>
      </c>
      <c r="N543">
        <v>0</v>
      </c>
      <c r="O543" s="14">
        <v>45965</v>
      </c>
      <c r="P543" s="14">
        <v>46025</v>
      </c>
      <c r="Q543">
        <v>6526.79</v>
      </c>
      <c r="R543">
        <v>0</v>
      </c>
      <c r="S543">
        <v>0</v>
      </c>
      <c r="T543">
        <v>0</v>
      </c>
      <c r="U543">
        <v>0</v>
      </c>
      <c r="V543">
        <v>6526.79</v>
      </c>
      <c r="W543">
        <v>0</v>
      </c>
      <c r="X543">
        <v>1</v>
      </c>
      <c r="Y543">
        <v>0</v>
      </c>
      <c r="Z543">
        <v>-3</v>
      </c>
      <c r="AA543">
        <v>1</v>
      </c>
      <c r="AB543" s="13" t="s">
        <v>581</v>
      </c>
      <c r="AC543">
        <v>0</v>
      </c>
      <c r="AD543">
        <v>0</v>
      </c>
      <c r="AE543" s="13" t="s">
        <v>61</v>
      </c>
    </row>
    <row r="544" spans="1:31" x14ac:dyDescent="0.35">
      <c r="A544" s="13" t="s">
        <v>1036</v>
      </c>
      <c r="B544" s="13" t="s">
        <v>917</v>
      </c>
      <c r="C544" s="13" t="s">
        <v>918</v>
      </c>
      <c r="D544" s="13" t="s">
        <v>126</v>
      </c>
      <c r="E544" s="13" t="s">
        <v>53</v>
      </c>
      <c r="F544" s="13" t="s">
        <v>54</v>
      </c>
      <c r="G544" s="13" t="s">
        <v>67</v>
      </c>
      <c r="H544">
        <v>65000</v>
      </c>
      <c r="I544" s="13" t="s">
        <v>105</v>
      </c>
      <c r="J544" s="13" t="s">
        <v>106</v>
      </c>
      <c r="K544" s="13" t="s">
        <v>107</v>
      </c>
      <c r="L544" s="13" t="s">
        <v>368</v>
      </c>
      <c r="M544">
        <v>90</v>
      </c>
      <c r="N544">
        <v>0</v>
      </c>
      <c r="O544" s="14">
        <v>45965</v>
      </c>
      <c r="P544" s="14">
        <v>46055</v>
      </c>
      <c r="Q544">
        <v>2335.4299999999998</v>
      </c>
      <c r="R544">
        <v>0</v>
      </c>
      <c r="S544">
        <v>0</v>
      </c>
      <c r="T544">
        <v>0</v>
      </c>
      <c r="U544">
        <v>0</v>
      </c>
      <c r="V544">
        <v>2335.4299999999998</v>
      </c>
      <c r="W544">
        <v>0</v>
      </c>
      <c r="X544">
        <v>1</v>
      </c>
      <c r="Y544">
        <v>0</v>
      </c>
      <c r="Z544">
        <v>-33</v>
      </c>
      <c r="AA544">
        <v>1</v>
      </c>
      <c r="AB544" s="13" t="s">
        <v>581</v>
      </c>
      <c r="AC544">
        <v>0</v>
      </c>
      <c r="AD544">
        <v>0</v>
      </c>
      <c r="AE544" s="13" t="s">
        <v>61</v>
      </c>
    </row>
    <row r="545" spans="1:31" x14ac:dyDescent="0.35">
      <c r="A545" s="13" t="s">
        <v>1037</v>
      </c>
      <c r="B545" s="13" t="s">
        <v>1038</v>
      </c>
      <c r="C545" s="13" t="s">
        <v>1039</v>
      </c>
      <c r="D545" s="13" t="s">
        <v>52</v>
      </c>
      <c r="E545" s="13" t="s">
        <v>77</v>
      </c>
      <c r="F545" s="13" t="s">
        <v>78</v>
      </c>
      <c r="G545" s="13" t="s">
        <v>67</v>
      </c>
      <c r="H545">
        <v>425000</v>
      </c>
      <c r="I545" s="13" t="s">
        <v>56</v>
      </c>
      <c r="J545" s="13" t="s">
        <v>57</v>
      </c>
      <c r="K545" s="13" t="s">
        <v>58</v>
      </c>
      <c r="L545" s="13" t="s">
        <v>59</v>
      </c>
      <c r="M545">
        <v>45</v>
      </c>
      <c r="N545">
        <v>0</v>
      </c>
      <c r="O545" s="14">
        <v>45965</v>
      </c>
      <c r="P545" s="14">
        <v>46010</v>
      </c>
      <c r="Q545">
        <v>7166.99</v>
      </c>
      <c r="R545">
        <v>4300.1899999999996</v>
      </c>
      <c r="S545">
        <v>0</v>
      </c>
      <c r="T545">
        <v>0</v>
      </c>
      <c r="U545">
        <v>0</v>
      </c>
      <c r="V545">
        <v>2866.8</v>
      </c>
      <c r="W545">
        <v>0</v>
      </c>
      <c r="X545">
        <v>1</v>
      </c>
      <c r="Y545">
        <v>1</v>
      </c>
      <c r="Z545">
        <v>12</v>
      </c>
      <c r="AA545">
        <v>2</v>
      </c>
      <c r="AB545" s="13" t="s">
        <v>405</v>
      </c>
      <c r="AC545">
        <v>0.25</v>
      </c>
      <c r="AD545">
        <v>0</v>
      </c>
      <c r="AE545" s="13" t="s">
        <v>61</v>
      </c>
    </row>
    <row r="546" spans="1:31" x14ac:dyDescent="0.35">
      <c r="A546" s="13" t="s">
        <v>1040</v>
      </c>
      <c r="B546" s="13" t="s">
        <v>312</v>
      </c>
      <c r="C546" s="13" t="s">
        <v>313</v>
      </c>
      <c r="D546" s="13" t="s">
        <v>52</v>
      </c>
      <c r="E546" s="13" t="s">
        <v>77</v>
      </c>
      <c r="F546" s="13" t="s">
        <v>174</v>
      </c>
      <c r="G546" s="13" t="s">
        <v>55</v>
      </c>
      <c r="H546">
        <v>600000</v>
      </c>
      <c r="I546" s="13" t="s">
        <v>56</v>
      </c>
      <c r="J546" s="13" t="s">
        <v>57</v>
      </c>
      <c r="K546" s="13" t="s">
        <v>58</v>
      </c>
      <c r="L546" s="13" t="s">
        <v>88</v>
      </c>
      <c r="M546">
        <v>60</v>
      </c>
      <c r="N546">
        <v>0</v>
      </c>
      <c r="O546" s="14">
        <v>45965</v>
      </c>
      <c r="P546" s="14">
        <v>46025</v>
      </c>
      <c r="Q546">
        <v>9126.86</v>
      </c>
      <c r="R546">
        <v>0</v>
      </c>
      <c r="S546">
        <v>0</v>
      </c>
      <c r="T546">
        <v>0</v>
      </c>
      <c r="U546">
        <v>0</v>
      </c>
      <c r="V546">
        <v>9126.86</v>
      </c>
      <c r="W546">
        <v>0</v>
      </c>
      <c r="X546">
        <v>1</v>
      </c>
      <c r="Y546">
        <v>0</v>
      </c>
      <c r="Z546">
        <v>-3</v>
      </c>
      <c r="AA546">
        <v>1</v>
      </c>
      <c r="AB546" s="13" t="s">
        <v>581</v>
      </c>
      <c r="AC546">
        <v>0</v>
      </c>
      <c r="AD546">
        <v>1</v>
      </c>
      <c r="AE546" s="13" t="s">
        <v>629</v>
      </c>
    </row>
    <row r="547" spans="1:31" x14ac:dyDescent="0.35">
      <c r="A547" s="13" t="s">
        <v>1041</v>
      </c>
      <c r="B547" s="13" t="s">
        <v>1042</v>
      </c>
      <c r="C547" s="13" t="s">
        <v>1043</v>
      </c>
      <c r="D547" s="13" t="s">
        <v>104</v>
      </c>
      <c r="E547" s="13" t="s">
        <v>53</v>
      </c>
      <c r="F547" s="13" t="s">
        <v>135</v>
      </c>
      <c r="G547" s="13" t="s">
        <v>67</v>
      </c>
      <c r="H547">
        <v>85000</v>
      </c>
      <c r="I547" s="13" t="s">
        <v>121</v>
      </c>
      <c r="J547" s="13" t="s">
        <v>122</v>
      </c>
      <c r="K547" s="13" t="s">
        <v>107</v>
      </c>
      <c r="L547" s="13" t="s">
        <v>88</v>
      </c>
      <c r="M547">
        <v>60</v>
      </c>
      <c r="N547">
        <v>0</v>
      </c>
      <c r="O547" s="14">
        <v>45965</v>
      </c>
      <c r="P547" s="14">
        <v>46025</v>
      </c>
      <c r="Q547">
        <v>7921.1</v>
      </c>
      <c r="R547">
        <v>0</v>
      </c>
      <c r="S547">
        <v>0</v>
      </c>
      <c r="T547">
        <v>0</v>
      </c>
      <c r="U547">
        <v>0</v>
      </c>
      <c r="V547">
        <v>7921.1</v>
      </c>
      <c r="W547">
        <v>0</v>
      </c>
      <c r="X547">
        <v>1</v>
      </c>
      <c r="Y547">
        <v>0</v>
      </c>
      <c r="Z547">
        <v>-3</v>
      </c>
      <c r="AA547">
        <v>1</v>
      </c>
      <c r="AB547" s="13" t="s">
        <v>581</v>
      </c>
      <c r="AC547">
        <v>0</v>
      </c>
      <c r="AD547">
        <v>0</v>
      </c>
      <c r="AE547" s="13" t="s">
        <v>61</v>
      </c>
    </row>
    <row r="548" spans="1:31" x14ac:dyDescent="0.35">
      <c r="A548" s="13" t="s">
        <v>1044</v>
      </c>
      <c r="B548" s="13" t="s">
        <v>209</v>
      </c>
      <c r="C548" s="13" t="s">
        <v>210</v>
      </c>
      <c r="D548" s="13" t="s">
        <v>52</v>
      </c>
      <c r="E548" s="13" t="s">
        <v>77</v>
      </c>
      <c r="F548" s="13" t="s">
        <v>78</v>
      </c>
      <c r="G548" s="13" t="s">
        <v>55</v>
      </c>
      <c r="H548">
        <v>410000</v>
      </c>
      <c r="I548" s="13" t="s">
        <v>56</v>
      </c>
      <c r="J548" s="13" t="s">
        <v>57</v>
      </c>
      <c r="K548" s="13" t="s">
        <v>58</v>
      </c>
      <c r="L548" s="13" t="s">
        <v>88</v>
      </c>
      <c r="M548">
        <v>60</v>
      </c>
      <c r="N548">
        <v>0</v>
      </c>
      <c r="O548" s="14">
        <v>45965</v>
      </c>
      <c r="P548" s="14">
        <v>46025</v>
      </c>
      <c r="Q548">
        <v>12052.22</v>
      </c>
      <c r="R548">
        <v>0</v>
      </c>
      <c r="S548">
        <v>0</v>
      </c>
      <c r="T548">
        <v>0</v>
      </c>
      <c r="U548">
        <v>0</v>
      </c>
      <c r="V548">
        <v>12052.22</v>
      </c>
      <c r="W548">
        <v>0</v>
      </c>
      <c r="X548">
        <v>1</v>
      </c>
      <c r="Y548">
        <v>0</v>
      </c>
      <c r="Z548">
        <v>-3</v>
      </c>
      <c r="AA548">
        <v>1</v>
      </c>
      <c r="AB548" s="13" t="s">
        <v>581</v>
      </c>
      <c r="AC548">
        <v>0</v>
      </c>
      <c r="AD548">
        <v>0</v>
      </c>
      <c r="AE548" s="13" t="s">
        <v>61</v>
      </c>
    </row>
    <row r="549" spans="1:31" x14ac:dyDescent="0.35">
      <c r="A549" s="13" t="s">
        <v>1045</v>
      </c>
      <c r="B549" s="13" t="s">
        <v>542</v>
      </c>
      <c r="C549" s="13" t="s">
        <v>543</v>
      </c>
      <c r="D549" s="13" t="s">
        <v>126</v>
      </c>
      <c r="E549" s="13" t="s">
        <v>71</v>
      </c>
      <c r="F549" s="13" t="s">
        <v>72</v>
      </c>
      <c r="G549" s="13" t="s">
        <v>67</v>
      </c>
      <c r="H549">
        <v>95000</v>
      </c>
      <c r="I549" s="13" t="s">
        <v>121</v>
      </c>
      <c r="J549" s="13" t="s">
        <v>122</v>
      </c>
      <c r="K549" s="13" t="s">
        <v>107</v>
      </c>
      <c r="L549" s="13" t="s">
        <v>368</v>
      </c>
      <c r="M549">
        <v>90</v>
      </c>
      <c r="N549">
        <v>0</v>
      </c>
      <c r="O549" s="14">
        <v>45965</v>
      </c>
      <c r="P549" s="14">
        <v>46055</v>
      </c>
      <c r="Q549">
        <v>2705.06</v>
      </c>
      <c r="R549">
        <v>0</v>
      </c>
      <c r="S549">
        <v>0</v>
      </c>
      <c r="T549">
        <v>0</v>
      </c>
      <c r="U549">
        <v>0</v>
      </c>
      <c r="V549">
        <v>2705.06</v>
      </c>
      <c r="W549">
        <v>0</v>
      </c>
      <c r="X549">
        <v>1</v>
      </c>
      <c r="Y549">
        <v>0</v>
      </c>
      <c r="Z549">
        <v>-33</v>
      </c>
      <c r="AA549">
        <v>1</v>
      </c>
      <c r="AB549" s="13" t="s">
        <v>581</v>
      </c>
      <c r="AC549">
        <v>0</v>
      </c>
      <c r="AD549">
        <v>0</v>
      </c>
      <c r="AE549" s="13" t="s">
        <v>61</v>
      </c>
    </row>
    <row r="550" spans="1:31" x14ac:dyDescent="0.35">
      <c r="A550" s="13" t="s">
        <v>1046</v>
      </c>
      <c r="B550" s="13" t="s">
        <v>250</v>
      </c>
      <c r="C550" s="13" t="s">
        <v>251</v>
      </c>
      <c r="D550" s="13" t="s">
        <v>104</v>
      </c>
      <c r="E550" s="13" t="s">
        <v>53</v>
      </c>
      <c r="F550" s="13" t="s">
        <v>135</v>
      </c>
      <c r="G550" s="13" t="s">
        <v>55</v>
      </c>
      <c r="H550">
        <v>85000</v>
      </c>
      <c r="I550" s="13" t="s">
        <v>105</v>
      </c>
      <c r="J550" s="13" t="s">
        <v>106</v>
      </c>
      <c r="K550" s="13" t="s">
        <v>107</v>
      </c>
      <c r="L550" s="13" t="s">
        <v>88</v>
      </c>
      <c r="M550">
        <v>60</v>
      </c>
      <c r="N550">
        <v>0</v>
      </c>
      <c r="O550" s="14">
        <v>45965</v>
      </c>
      <c r="P550" s="14">
        <v>46025</v>
      </c>
      <c r="Q550">
        <v>1075.24</v>
      </c>
      <c r="R550">
        <v>0</v>
      </c>
      <c r="S550">
        <v>0</v>
      </c>
      <c r="T550">
        <v>0</v>
      </c>
      <c r="U550">
        <v>0</v>
      </c>
      <c r="V550">
        <v>1075.24</v>
      </c>
      <c r="W550">
        <v>0</v>
      </c>
      <c r="X550">
        <v>1</v>
      </c>
      <c r="Y550">
        <v>0</v>
      </c>
      <c r="Z550">
        <v>-3</v>
      </c>
      <c r="AA550">
        <v>1</v>
      </c>
      <c r="AB550" s="13" t="s">
        <v>581</v>
      </c>
      <c r="AC550">
        <v>0</v>
      </c>
      <c r="AD550">
        <v>0</v>
      </c>
      <c r="AE550" s="13" t="s">
        <v>61</v>
      </c>
    </row>
    <row r="551" spans="1:31" x14ac:dyDescent="0.35">
      <c r="A551" s="13" t="s">
        <v>1047</v>
      </c>
      <c r="B551" s="13" t="s">
        <v>930</v>
      </c>
      <c r="C551" s="13" t="s">
        <v>931</v>
      </c>
      <c r="D551" s="13" t="s">
        <v>104</v>
      </c>
      <c r="E551" s="13" t="s">
        <v>71</v>
      </c>
      <c r="F551" s="13" t="s">
        <v>214</v>
      </c>
      <c r="G551" s="13" t="s">
        <v>55</v>
      </c>
      <c r="H551">
        <v>120000</v>
      </c>
      <c r="I551" s="13" t="s">
        <v>121</v>
      </c>
      <c r="J551" s="13" t="s">
        <v>122</v>
      </c>
      <c r="K551" s="13" t="s">
        <v>107</v>
      </c>
      <c r="L551" s="13" t="s">
        <v>88</v>
      </c>
      <c r="M551">
        <v>60</v>
      </c>
      <c r="N551">
        <v>0</v>
      </c>
      <c r="O551" s="14">
        <v>45965</v>
      </c>
      <c r="P551" s="14">
        <v>46025</v>
      </c>
      <c r="Q551">
        <v>1672.83</v>
      </c>
      <c r="R551">
        <v>0</v>
      </c>
      <c r="S551">
        <v>0</v>
      </c>
      <c r="T551">
        <v>0</v>
      </c>
      <c r="U551">
        <v>0</v>
      </c>
      <c r="V551">
        <v>1672.83</v>
      </c>
      <c r="W551">
        <v>0</v>
      </c>
      <c r="X551">
        <v>1</v>
      </c>
      <c r="Y551">
        <v>0</v>
      </c>
      <c r="Z551">
        <v>-3</v>
      </c>
      <c r="AA551">
        <v>1</v>
      </c>
      <c r="AB551" s="13" t="s">
        <v>581</v>
      </c>
      <c r="AC551">
        <v>0</v>
      </c>
      <c r="AD551">
        <v>0</v>
      </c>
      <c r="AE551" s="13" t="s">
        <v>61</v>
      </c>
    </row>
    <row r="552" spans="1:31" x14ac:dyDescent="0.35">
      <c r="A552" s="13" t="s">
        <v>1048</v>
      </c>
      <c r="B552" s="13" t="s">
        <v>981</v>
      </c>
      <c r="C552" s="13" t="s">
        <v>982</v>
      </c>
      <c r="D552" s="13" t="s">
        <v>52</v>
      </c>
      <c r="E552" s="13" t="s">
        <v>53</v>
      </c>
      <c r="F552" s="13" t="s">
        <v>54</v>
      </c>
      <c r="G552" s="13" t="s">
        <v>67</v>
      </c>
      <c r="H552">
        <v>275000</v>
      </c>
      <c r="I552" s="13" t="s">
        <v>86</v>
      </c>
      <c r="J552" s="13" t="s">
        <v>87</v>
      </c>
      <c r="K552" s="13" t="s">
        <v>58</v>
      </c>
      <c r="L552" s="13" t="s">
        <v>88</v>
      </c>
      <c r="M552">
        <v>60</v>
      </c>
      <c r="N552">
        <v>0</v>
      </c>
      <c r="O552" s="14">
        <v>45965</v>
      </c>
      <c r="P552" s="14">
        <v>46025</v>
      </c>
      <c r="Q552">
        <v>13329.72</v>
      </c>
      <c r="R552">
        <v>0</v>
      </c>
      <c r="S552">
        <v>0</v>
      </c>
      <c r="T552">
        <v>0</v>
      </c>
      <c r="U552">
        <v>0</v>
      </c>
      <c r="V552">
        <v>13329.72</v>
      </c>
      <c r="W552">
        <v>0</v>
      </c>
      <c r="X552">
        <v>1</v>
      </c>
      <c r="Y552">
        <v>0</v>
      </c>
      <c r="Z552">
        <v>-3</v>
      </c>
      <c r="AA552">
        <v>1</v>
      </c>
      <c r="AB552" s="13" t="s">
        <v>581</v>
      </c>
      <c r="AC552">
        <v>0</v>
      </c>
      <c r="AD552">
        <v>0</v>
      </c>
      <c r="AE552" s="13" t="s">
        <v>61</v>
      </c>
    </row>
    <row r="553" spans="1:31" x14ac:dyDescent="0.35">
      <c r="A553" s="13" t="s">
        <v>1049</v>
      </c>
      <c r="B553" s="13" t="s">
        <v>617</v>
      </c>
      <c r="C553" s="13" t="s">
        <v>618</v>
      </c>
      <c r="D553" s="13" t="s">
        <v>126</v>
      </c>
      <c r="E553" s="13" t="s">
        <v>99</v>
      </c>
      <c r="F553" s="13" t="s">
        <v>127</v>
      </c>
      <c r="G553" s="13" t="s">
        <v>67</v>
      </c>
      <c r="H553">
        <v>70000</v>
      </c>
      <c r="I553" s="13" t="s">
        <v>121</v>
      </c>
      <c r="J553" s="13" t="s">
        <v>122</v>
      </c>
      <c r="K553" s="13" t="s">
        <v>107</v>
      </c>
      <c r="L553" s="13" t="s">
        <v>368</v>
      </c>
      <c r="M553">
        <v>90</v>
      </c>
      <c r="N553">
        <v>0</v>
      </c>
      <c r="O553" s="14">
        <v>45965</v>
      </c>
      <c r="P553" s="14">
        <v>46055</v>
      </c>
      <c r="Q553">
        <v>1072.55</v>
      </c>
      <c r="R553">
        <v>0</v>
      </c>
      <c r="S553">
        <v>0</v>
      </c>
      <c r="T553">
        <v>0</v>
      </c>
      <c r="U553">
        <v>0</v>
      </c>
      <c r="V553">
        <v>1072.55</v>
      </c>
      <c r="W553">
        <v>0</v>
      </c>
      <c r="X553">
        <v>1</v>
      </c>
      <c r="Y553">
        <v>0</v>
      </c>
      <c r="Z553">
        <v>-33</v>
      </c>
      <c r="AA553">
        <v>1</v>
      </c>
      <c r="AB553" s="13" t="s">
        <v>581</v>
      </c>
      <c r="AC553">
        <v>0</v>
      </c>
      <c r="AD553">
        <v>0</v>
      </c>
      <c r="AE553" s="13" t="s">
        <v>61</v>
      </c>
    </row>
    <row r="554" spans="1:31" x14ac:dyDescent="0.35">
      <c r="A554" s="13" t="s">
        <v>1050</v>
      </c>
      <c r="B554" s="13" t="s">
        <v>722</v>
      </c>
      <c r="C554" s="13" t="s">
        <v>723</v>
      </c>
      <c r="D554" s="13" t="s">
        <v>104</v>
      </c>
      <c r="E554" s="13" t="s">
        <v>71</v>
      </c>
      <c r="F554" s="13" t="s">
        <v>72</v>
      </c>
      <c r="G554" s="13" t="s">
        <v>67</v>
      </c>
      <c r="H554">
        <v>45000</v>
      </c>
      <c r="I554" s="13" t="s">
        <v>105</v>
      </c>
      <c r="J554" s="13" t="s">
        <v>106</v>
      </c>
      <c r="K554" s="13" t="s">
        <v>107</v>
      </c>
      <c r="L554" s="13" t="s">
        <v>88</v>
      </c>
      <c r="M554">
        <v>60</v>
      </c>
      <c r="N554">
        <v>0</v>
      </c>
      <c r="O554" s="14">
        <v>45965</v>
      </c>
      <c r="P554" s="14">
        <v>46025</v>
      </c>
      <c r="Q554">
        <v>5848.11</v>
      </c>
      <c r="R554">
        <v>0</v>
      </c>
      <c r="S554">
        <v>0</v>
      </c>
      <c r="T554">
        <v>0</v>
      </c>
      <c r="U554">
        <v>0</v>
      </c>
      <c r="V554">
        <v>5848.11</v>
      </c>
      <c r="W554">
        <v>0</v>
      </c>
      <c r="X554">
        <v>1</v>
      </c>
      <c r="Y554">
        <v>0</v>
      </c>
      <c r="Z554">
        <v>-3</v>
      </c>
      <c r="AA554">
        <v>1</v>
      </c>
      <c r="AB554" s="13" t="s">
        <v>581</v>
      </c>
      <c r="AC554">
        <v>0</v>
      </c>
      <c r="AD554">
        <v>0</v>
      </c>
      <c r="AE554" s="13" t="s">
        <v>61</v>
      </c>
    </row>
    <row r="555" spans="1:31" x14ac:dyDescent="0.35">
      <c r="A555" s="13" t="s">
        <v>1051</v>
      </c>
      <c r="B555" s="13" t="s">
        <v>300</v>
      </c>
      <c r="C555" s="13" t="s">
        <v>301</v>
      </c>
      <c r="D555" s="13" t="s">
        <v>104</v>
      </c>
      <c r="E555" s="13" t="s">
        <v>99</v>
      </c>
      <c r="F555" s="13" t="s">
        <v>100</v>
      </c>
      <c r="G555" s="13" t="s">
        <v>92</v>
      </c>
      <c r="H555">
        <v>30000</v>
      </c>
      <c r="I555" s="13" t="s">
        <v>105</v>
      </c>
      <c r="J555" s="13" t="s">
        <v>106</v>
      </c>
      <c r="K555" s="13" t="s">
        <v>107</v>
      </c>
      <c r="L555" s="13" t="s">
        <v>95</v>
      </c>
      <c r="M555">
        <v>30</v>
      </c>
      <c r="N555">
        <v>0</v>
      </c>
      <c r="O555" s="14">
        <v>45965</v>
      </c>
      <c r="P555" s="14">
        <v>45995</v>
      </c>
      <c r="Q555">
        <v>911.97</v>
      </c>
      <c r="R555">
        <v>0</v>
      </c>
      <c r="S555">
        <v>0</v>
      </c>
      <c r="T555">
        <v>0</v>
      </c>
      <c r="U555">
        <v>0</v>
      </c>
      <c r="V555">
        <v>911.97</v>
      </c>
      <c r="W555">
        <v>0</v>
      </c>
      <c r="X555">
        <v>1</v>
      </c>
      <c r="Y555">
        <v>1</v>
      </c>
      <c r="Z555">
        <v>27</v>
      </c>
      <c r="AA555">
        <v>2</v>
      </c>
      <c r="AB555" s="13" t="s">
        <v>405</v>
      </c>
      <c r="AC555">
        <v>0.25</v>
      </c>
      <c r="AD555">
        <v>0</v>
      </c>
      <c r="AE555" s="13" t="s">
        <v>61</v>
      </c>
    </row>
    <row r="556" spans="1:31" x14ac:dyDescent="0.35">
      <c r="A556" s="13" t="s">
        <v>1052</v>
      </c>
      <c r="B556" s="13" t="s">
        <v>153</v>
      </c>
      <c r="C556" s="13" t="s">
        <v>154</v>
      </c>
      <c r="D556" s="13" t="s">
        <v>104</v>
      </c>
      <c r="E556" s="13" t="s">
        <v>65</v>
      </c>
      <c r="F556" s="13" t="s">
        <v>111</v>
      </c>
      <c r="G556" s="13" t="s">
        <v>67</v>
      </c>
      <c r="H556">
        <v>150000</v>
      </c>
      <c r="I556" s="13" t="s">
        <v>56</v>
      </c>
      <c r="J556" s="13" t="s">
        <v>57</v>
      </c>
      <c r="K556" s="13" t="s">
        <v>58</v>
      </c>
      <c r="L556" s="13" t="s">
        <v>95</v>
      </c>
      <c r="M556">
        <v>30</v>
      </c>
      <c r="N556">
        <v>0</v>
      </c>
      <c r="O556" s="14">
        <v>45965</v>
      </c>
      <c r="P556" s="14">
        <v>45995</v>
      </c>
      <c r="Q556">
        <v>800.02</v>
      </c>
      <c r="R556">
        <v>398.41</v>
      </c>
      <c r="S556">
        <v>0</v>
      </c>
      <c r="T556">
        <v>136</v>
      </c>
      <c r="U556">
        <v>0</v>
      </c>
      <c r="V556">
        <v>265.61</v>
      </c>
      <c r="W556">
        <v>0</v>
      </c>
      <c r="X556">
        <v>1</v>
      </c>
      <c r="Y556">
        <v>1</v>
      </c>
      <c r="Z556">
        <v>27</v>
      </c>
      <c r="AA556">
        <v>2</v>
      </c>
      <c r="AB556" s="13" t="s">
        <v>405</v>
      </c>
      <c r="AC556">
        <v>0.25</v>
      </c>
      <c r="AD556">
        <v>0</v>
      </c>
      <c r="AE556" s="13" t="s">
        <v>465</v>
      </c>
    </row>
    <row r="557" spans="1:31" x14ac:dyDescent="0.35">
      <c r="A557" s="13" t="s">
        <v>1053</v>
      </c>
      <c r="B557" s="13" t="s">
        <v>788</v>
      </c>
      <c r="C557" s="13" t="s">
        <v>789</v>
      </c>
      <c r="D557" s="13" t="s">
        <v>52</v>
      </c>
      <c r="E557" s="13" t="s">
        <v>53</v>
      </c>
      <c r="F557" s="13" t="s">
        <v>54</v>
      </c>
      <c r="G557" s="13" t="s">
        <v>67</v>
      </c>
      <c r="H557">
        <v>405000</v>
      </c>
      <c r="I557" s="13" t="s">
        <v>86</v>
      </c>
      <c r="J557" s="13" t="s">
        <v>87</v>
      </c>
      <c r="K557" s="13" t="s">
        <v>58</v>
      </c>
      <c r="L557" s="13" t="s">
        <v>88</v>
      </c>
      <c r="M557">
        <v>60</v>
      </c>
      <c r="N557">
        <v>0</v>
      </c>
      <c r="O557" s="14">
        <v>45965</v>
      </c>
      <c r="P557" s="14">
        <v>46025</v>
      </c>
      <c r="Q557">
        <v>11153.97</v>
      </c>
      <c r="R557">
        <v>0</v>
      </c>
      <c r="S557">
        <v>0</v>
      </c>
      <c r="T557">
        <v>0</v>
      </c>
      <c r="U557">
        <v>0</v>
      </c>
      <c r="V557">
        <v>11153.97</v>
      </c>
      <c r="W557">
        <v>0</v>
      </c>
      <c r="X557">
        <v>1</v>
      </c>
      <c r="Y557">
        <v>0</v>
      </c>
      <c r="Z557">
        <v>-3</v>
      </c>
      <c r="AA557">
        <v>1</v>
      </c>
      <c r="AB557" s="13" t="s">
        <v>581</v>
      </c>
      <c r="AC557">
        <v>0</v>
      </c>
      <c r="AD557">
        <v>0</v>
      </c>
      <c r="AE557" s="13" t="s">
        <v>61</v>
      </c>
    </row>
    <row r="558" spans="1:31" x14ac:dyDescent="0.35">
      <c r="A558" s="13" t="s">
        <v>1054</v>
      </c>
      <c r="B558" s="13" t="s">
        <v>1055</v>
      </c>
      <c r="C558" s="13" t="s">
        <v>1056</v>
      </c>
      <c r="D558" s="13" t="s">
        <v>104</v>
      </c>
      <c r="E558" s="13" t="s">
        <v>71</v>
      </c>
      <c r="F558" s="13" t="s">
        <v>72</v>
      </c>
      <c r="G558" s="13" t="s">
        <v>55</v>
      </c>
      <c r="H558">
        <v>75000</v>
      </c>
      <c r="I558" s="13" t="s">
        <v>105</v>
      </c>
      <c r="J558" s="13" t="s">
        <v>106</v>
      </c>
      <c r="K558" s="13" t="s">
        <v>107</v>
      </c>
      <c r="L558" s="13" t="s">
        <v>82</v>
      </c>
      <c r="M558">
        <v>30</v>
      </c>
      <c r="N558">
        <v>2</v>
      </c>
      <c r="O558" s="14">
        <v>45965</v>
      </c>
      <c r="P558" s="14">
        <v>45995</v>
      </c>
      <c r="Q558">
        <v>2342.1</v>
      </c>
      <c r="R558">
        <v>0</v>
      </c>
      <c r="S558">
        <v>0</v>
      </c>
      <c r="T558">
        <v>0</v>
      </c>
      <c r="U558">
        <v>0</v>
      </c>
      <c r="V558">
        <v>2342.1</v>
      </c>
      <c r="W558">
        <v>0</v>
      </c>
      <c r="X558">
        <v>1</v>
      </c>
      <c r="Y558">
        <v>1</v>
      </c>
      <c r="Z558">
        <v>27</v>
      </c>
      <c r="AA558">
        <v>2</v>
      </c>
      <c r="AB558" s="13" t="s">
        <v>405</v>
      </c>
      <c r="AC558">
        <v>0.25</v>
      </c>
      <c r="AD558">
        <v>1</v>
      </c>
      <c r="AE558" s="13" t="s">
        <v>465</v>
      </c>
    </row>
    <row r="559" spans="1:31" x14ac:dyDescent="0.35">
      <c r="A559" s="13" t="s">
        <v>1057</v>
      </c>
      <c r="B559" s="13" t="s">
        <v>1022</v>
      </c>
      <c r="C559" s="13" t="s">
        <v>1023</v>
      </c>
      <c r="D559" s="13" t="s">
        <v>126</v>
      </c>
      <c r="E559" s="13" t="s">
        <v>77</v>
      </c>
      <c r="F559" s="13" t="s">
        <v>174</v>
      </c>
      <c r="G559" s="13" t="s">
        <v>55</v>
      </c>
      <c r="H559">
        <v>160000</v>
      </c>
      <c r="I559" s="13" t="s">
        <v>56</v>
      </c>
      <c r="J559" s="13" t="s">
        <v>57</v>
      </c>
      <c r="K559" s="13" t="s">
        <v>58</v>
      </c>
      <c r="L559" s="13" t="s">
        <v>88</v>
      </c>
      <c r="M559">
        <v>60</v>
      </c>
      <c r="N559">
        <v>0</v>
      </c>
      <c r="O559" s="14">
        <v>45965</v>
      </c>
      <c r="P559" s="14">
        <v>46025</v>
      </c>
      <c r="Q559">
        <v>1070.45</v>
      </c>
      <c r="R559">
        <v>0</v>
      </c>
      <c r="S559">
        <v>0</v>
      </c>
      <c r="T559">
        <v>0</v>
      </c>
      <c r="U559">
        <v>0</v>
      </c>
      <c r="V559">
        <v>1070.45</v>
      </c>
      <c r="W559">
        <v>0</v>
      </c>
      <c r="X559">
        <v>1</v>
      </c>
      <c r="Y559">
        <v>0</v>
      </c>
      <c r="Z559">
        <v>-3</v>
      </c>
      <c r="AA559">
        <v>1</v>
      </c>
      <c r="AB559" s="13" t="s">
        <v>581</v>
      </c>
      <c r="AC559">
        <v>0</v>
      </c>
      <c r="AD559">
        <v>0</v>
      </c>
      <c r="AE559" s="13" t="s">
        <v>61</v>
      </c>
    </row>
    <row r="560" spans="1:31" x14ac:dyDescent="0.35">
      <c r="A560" s="13" t="s">
        <v>1058</v>
      </c>
      <c r="B560" s="13" t="s">
        <v>1059</v>
      </c>
      <c r="C560" s="13" t="s">
        <v>1060</v>
      </c>
      <c r="D560" s="13" t="s">
        <v>52</v>
      </c>
      <c r="E560" s="13" t="s">
        <v>77</v>
      </c>
      <c r="F560" s="13" t="s">
        <v>174</v>
      </c>
      <c r="G560" s="13" t="s">
        <v>67</v>
      </c>
      <c r="H560">
        <v>225000</v>
      </c>
      <c r="I560" s="13" t="s">
        <v>86</v>
      </c>
      <c r="J560" s="13" t="s">
        <v>87</v>
      </c>
      <c r="K560" s="13" t="s">
        <v>58</v>
      </c>
      <c r="L560" s="13" t="s">
        <v>88</v>
      </c>
      <c r="M560">
        <v>60</v>
      </c>
      <c r="N560">
        <v>0</v>
      </c>
      <c r="O560" s="14">
        <v>45965</v>
      </c>
      <c r="P560" s="14">
        <v>46025</v>
      </c>
      <c r="Q560">
        <v>9098.9500000000007</v>
      </c>
      <c r="R560">
        <v>0</v>
      </c>
      <c r="S560">
        <v>0</v>
      </c>
      <c r="T560">
        <v>0</v>
      </c>
      <c r="U560">
        <v>0</v>
      </c>
      <c r="V560">
        <v>9098.9500000000007</v>
      </c>
      <c r="W560">
        <v>0</v>
      </c>
      <c r="X560">
        <v>1</v>
      </c>
      <c r="Y560">
        <v>0</v>
      </c>
      <c r="Z560">
        <v>-3</v>
      </c>
      <c r="AA560">
        <v>1</v>
      </c>
      <c r="AB560" s="13" t="s">
        <v>581</v>
      </c>
      <c r="AC560">
        <v>0</v>
      </c>
      <c r="AD560">
        <v>0</v>
      </c>
      <c r="AE560" s="13" t="s">
        <v>61</v>
      </c>
    </row>
    <row r="561" spans="1:31" x14ac:dyDescent="0.35">
      <c r="A561" s="13" t="s">
        <v>1061</v>
      </c>
      <c r="B561" s="13" t="s">
        <v>206</v>
      </c>
      <c r="C561" s="13" t="s">
        <v>207</v>
      </c>
      <c r="D561" s="13" t="s">
        <v>52</v>
      </c>
      <c r="E561" s="13" t="s">
        <v>65</v>
      </c>
      <c r="F561" s="13" t="s">
        <v>111</v>
      </c>
      <c r="G561" s="13" t="s">
        <v>92</v>
      </c>
      <c r="H561">
        <v>490000</v>
      </c>
      <c r="I561" s="13" t="s">
        <v>86</v>
      </c>
      <c r="J561" s="13" t="s">
        <v>87</v>
      </c>
      <c r="K561" s="13" t="s">
        <v>58</v>
      </c>
      <c r="L561" s="13" t="s">
        <v>88</v>
      </c>
      <c r="M561">
        <v>60</v>
      </c>
      <c r="N561">
        <v>0</v>
      </c>
      <c r="O561" s="14">
        <v>45965</v>
      </c>
      <c r="P561" s="14">
        <v>46025</v>
      </c>
      <c r="Q561">
        <v>11376.55</v>
      </c>
      <c r="R561">
        <v>0</v>
      </c>
      <c r="S561">
        <v>0</v>
      </c>
      <c r="T561">
        <v>0</v>
      </c>
      <c r="U561">
        <v>0</v>
      </c>
      <c r="V561">
        <v>11376.55</v>
      </c>
      <c r="W561">
        <v>0</v>
      </c>
      <c r="X561">
        <v>1</v>
      </c>
      <c r="Y561">
        <v>0</v>
      </c>
      <c r="Z561">
        <v>-3</v>
      </c>
      <c r="AA561">
        <v>1</v>
      </c>
      <c r="AB561" s="13" t="s">
        <v>581</v>
      </c>
      <c r="AC561">
        <v>0</v>
      </c>
      <c r="AD561">
        <v>1</v>
      </c>
      <c r="AE561" s="13" t="s">
        <v>377</v>
      </c>
    </row>
    <row r="562" spans="1:31" x14ac:dyDescent="0.35">
      <c r="A562" s="13" t="s">
        <v>1062</v>
      </c>
      <c r="B562" s="13" t="s">
        <v>113</v>
      </c>
      <c r="C562" s="13" t="s">
        <v>114</v>
      </c>
      <c r="D562" s="13" t="s">
        <v>52</v>
      </c>
      <c r="E562" s="13" t="s">
        <v>77</v>
      </c>
      <c r="F562" s="13" t="s">
        <v>78</v>
      </c>
      <c r="G562" s="13" t="s">
        <v>92</v>
      </c>
      <c r="H562">
        <v>545000</v>
      </c>
      <c r="I562" s="13" t="s">
        <v>86</v>
      </c>
      <c r="J562" s="13" t="s">
        <v>87</v>
      </c>
      <c r="K562" s="13" t="s">
        <v>58</v>
      </c>
      <c r="L562" s="13" t="s">
        <v>88</v>
      </c>
      <c r="M562">
        <v>60</v>
      </c>
      <c r="N562">
        <v>0</v>
      </c>
      <c r="O562" s="14">
        <v>45965</v>
      </c>
      <c r="P562" s="14">
        <v>46025</v>
      </c>
      <c r="Q562">
        <v>7351.94</v>
      </c>
      <c r="R562">
        <v>0</v>
      </c>
      <c r="S562">
        <v>0</v>
      </c>
      <c r="T562">
        <v>0</v>
      </c>
      <c r="U562">
        <v>0</v>
      </c>
      <c r="V562">
        <v>7351.94</v>
      </c>
      <c r="W562">
        <v>0</v>
      </c>
      <c r="X562">
        <v>1</v>
      </c>
      <c r="Y562">
        <v>0</v>
      </c>
      <c r="Z562">
        <v>-3</v>
      </c>
      <c r="AA562">
        <v>1</v>
      </c>
      <c r="AB562" s="13" t="s">
        <v>581</v>
      </c>
      <c r="AC562">
        <v>0</v>
      </c>
      <c r="AD562">
        <v>0</v>
      </c>
      <c r="AE562" s="13" t="s">
        <v>61</v>
      </c>
    </row>
    <row r="563" spans="1:31" x14ac:dyDescent="0.35">
      <c r="A563" s="13" t="s">
        <v>1063</v>
      </c>
      <c r="B563" s="13" t="s">
        <v>1064</v>
      </c>
      <c r="C563" s="13" t="s">
        <v>1065</v>
      </c>
      <c r="D563" s="13" t="s">
        <v>76</v>
      </c>
      <c r="E563" s="13" t="s">
        <v>99</v>
      </c>
      <c r="F563" s="13" t="s">
        <v>127</v>
      </c>
      <c r="G563" s="13" t="s">
        <v>55</v>
      </c>
      <c r="H563">
        <v>25000</v>
      </c>
      <c r="I563" s="13" t="s">
        <v>93</v>
      </c>
      <c r="J563" s="13" t="s">
        <v>94</v>
      </c>
      <c r="K563" s="13" t="s">
        <v>81</v>
      </c>
      <c r="L563" s="13" t="s">
        <v>95</v>
      </c>
      <c r="M563">
        <v>30</v>
      </c>
      <c r="N563">
        <v>0</v>
      </c>
      <c r="O563" s="14">
        <v>45965</v>
      </c>
      <c r="P563" s="14">
        <v>45995</v>
      </c>
      <c r="Q563">
        <v>921.7</v>
      </c>
      <c r="R563">
        <v>0</v>
      </c>
      <c r="S563">
        <v>0</v>
      </c>
      <c r="T563">
        <v>0</v>
      </c>
      <c r="U563">
        <v>0</v>
      </c>
      <c r="V563">
        <v>921.7</v>
      </c>
      <c r="W563">
        <v>0</v>
      </c>
      <c r="X563">
        <v>1</v>
      </c>
      <c r="Y563">
        <v>1</v>
      </c>
      <c r="Z563">
        <v>27</v>
      </c>
      <c r="AA563">
        <v>2</v>
      </c>
      <c r="AB563" s="13" t="s">
        <v>405</v>
      </c>
      <c r="AC563">
        <v>0.25</v>
      </c>
      <c r="AD563">
        <v>0</v>
      </c>
      <c r="AE563" s="13" t="s">
        <v>61</v>
      </c>
    </row>
    <row r="564" spans="1:31" x14ac:dyDescent="0.35">
      <c r="A564" s="13" t="s">
        <v>1066</v>
      </c>
      <c r="B564" s="13" t="s">
        <v>263</v>
      </c>
      <c r="C564" s="13" t="s">
        <v>264</v>
      </c>
      <c r="D564" s="13" t="s">
        <v>52</v>
      </c>
      <c r="E564" s="13" t="s">
        <v>99</v>
      </c>
      <c r="F564" s="13" t="s">
        <v>100</v>
      </c>
      <c r="G564" s="13" t="s">
        <v>55</v>
      </c>
      <c r="H564">
        <v>590000</v>
      </c>
      <c r="I564" s="13" t="s">
        <v>86</v>
      </c>
      <c r="J564" s="13" t="s">
        <v>87</v>
      </c>
      <c r="K564" s="13" t="s">
        <v>58</v>
      </c>
      <c r="L564" s="13" t="s">
        <v>88</v>
      </c>
      <c r="M564">
        <v>60</v>
      </c>
      <c r="N564">
        <v>0</v>
      </c>
      <c r="O564" s="14">
        <v>45965</v>
      </c>
      <c r="P564" s="14">
        <v>46025</v>
      </c>
      <c r="Q564">
        <v>6113.16</v>
      </c>
      <c r="R564">
        <v>0</v>
      </c>
      <c r="S564">
        <v>0</v>
      </c>
      <c r="T564">
        <v>0</v>
      </c>
      <c r="U564">
        <v>0</v>
      </c>
      <c r="V564">
        <v>6113.16</v>
      </c>
      <c r="W564">
        <v>0</v>
      </c>
      <c r="X564">
        <v>1</v>
      </c>
      <c r="Y564">
        <v>0</v>
      </c>
      <c r="Z564">
        <v>-3</v>
      </c>
      <c r="AA564">
        <v>1</v>
      </c>
      <c r="AB564" s="13" t="s">
        <v>581</v>
      </c>
      <c r="AC564">
        <v>0</v>
      </c>
      <c r="AD564">
        <v>0</v>
      </c>
      <c r="AE564" s="13" t="s">
        <v>61</v>
      </c>
    </row>
    <row r="565" spans="1:31" x14ac:dyDescent="0.35">
      <c r="A565" s="13" t="s">
        <v>1067</v>
      </c>
      <c r="B565" s="13" t="s">
        <v>409</v>
      </c>
      <c r="C565" s="13" t="s">
        <v>410</v>
      </c>
      <c r="D565" s="13" t="s">
        <v>126</v>
      </c>
      <c r="E565" s="13" t="s">
        <v>71</v>
      </c>
      <c r="F565" s="13" t="s">
        <v>72</v>
      </c>
      <c r="G565" s="13" t="s">
        <v>67</v>
      </c>
      <c r="H565">
        <v>195000</v>
      </c>
      <c r="I565" s="13" t="s">
        <v>56</v>
      </c>
      <c r="J565" s="13" t="s">
        <v>57</v>
      </c>
      <c r="K565" s="13" t="s">
        <v>58</v>
      </c>
      <c r="L565" s="13" t="s">
        <v>368</v>
      </c>
      <c r="M565">
        <v>90</v>
      </c>
      <c r="N565">
        <v>0</v>
      </c>
      <c r="O565" s="14">
        <v>45966</v>
      </c>
      <c r="P565" s="14">
        <v>46056</v>
      </c>
      <c r="Q565">
        <v>3726.22</v>
      </c>
      <c r="R565">
        <v>0</v>
      </c>
      <c r="S565">
        <v>0</v>
      </c>
      <c r="T565">
        <v>0</v>
      </c>
      <c r="U565">
        <v>0</v>
      </c>
      <c r="V565">
        <v>3726.22</v>
      </c>
      <c r="W565">
        <v>0</v>
      </c>
      <c r="X565">
        <v>1</v>
      </c>
      <c r="Y565">
        <v>0</v>
      </c>
      <c r="Z565">
        <v>-34</v>
      </c>
      <c r="AA565">
        <v>1</v>
      </c>
      <c r="AB565" s="13" t="s">
        <v>581</v>
      </c>
      <c r="AC565">
        <v>0</v>
      </c>
      <c r="AD565">
        <v>0</v>
      </c>
      <c r="AE565" s="13" t="s">
        <v>61</v>
      </c>
    </row>
    <row r="566" spans="1:31" x14ac:dyDescent="0.35">
      <c r="A566" s="13" t="s">
        <v>1068</v>
      </c>
      <c r="B566" s="13" t="s">
        <v>636</v>
      </c>
      <c r="C566" s="13" t="s">
        <v>637</v>
      </c>
      <c r="D566" s="13" t="s">
        <v>126</v>
      </c>
      <c r="E566" s="13" t="s">
        <v>65</v>
      </c>
      <c r="F566" s="13" t="s">
        <v>111</v>
      </c>
      <c r="G566" s="13" t="s">
        <v>67</v>
      </c>
      <c r="H566">
        <v>130000</v>
      </c>
      <c r="I566" s="13" t="s">
        <v>105</v>
      </c>
      <c r="J566" s="13" t="s">
        <v>106</v>
      </c>
      <c r="K566" s="13" t="s">
        <v>107</v>
      </c>
      <c r="L566" s="13" t="s">
        <v>368</v>
      </c>
      <c r="M566">
        <v>90</v>
      </c>
      <c r="N566">
        <v>0</v>
      </c>
      <c r="O566" s="14">
        <v>45966</v>
      </c>
      <c r="P566" s="14">
        <v>46056</v>
      </c>
      <c r="Q566">
        <v>1162.58</v>
      </c>
      <c r="R566">
        <v>0</v>
      </c>
      <c r="S566">
        <v>0</v>
      </c>
      <c r="T566">
        <v>0</v>
      </c>
      <c r="U566">
        <v>0</v>
      </c>
      <c r="V566">
        <v>1162.58</v>
      </c>
      <c r="W566">
        <v>0</v>
      </c>
      <c r="X566">
        <v>1</v>
      </c>
      <c r="Y566">
        <v>0</v>
      </c>
      <c r="Z566">
        <v>-34</v>
      </c>
      <c r="AA566">
        <v>1</v>
      </c>
      <c r="AB566" s="13" t="s">
        <v>581</v>
      </c>
      <c r="AC566">
        <v>0</v>
      </c>
      <c r="AD566">
        <v>0</v>
      </c>
      <c r="AE566" s="13" t="s">
        <v>61</v>
      </c>
    </row>
    <row r="567" spans="1:31" x14ac:dyDescent="0.35">
      <c r="A567" s="13" t="s">
        <v>1069</v>
      </c>
      <c r="B567" s="13" t="s">
        <v>434</v>
      </c>
      <c r="C567" s="13" t="s">
        <v>435</v>
      </c>
      <c r="D567" s="13" t="s">
        <v>52</v>
      </c>
      <c r="E567" s="13" t="s">
        <v>77</v>
      </c>
      <c r="F567" s="13" t="s">
        <v>78</v>
      </c>
      <c r="G567" s="13" t="s">
        <v>55</v>
      </c>
      <c r="H567">
        <v>510000</v>
      </c>
      <c r="I567" s="13" t="s">
        <v>56</v>
      </c>
      <c r="J567" s="13" t="s">
        <v>57</v>
      </c>
      <c r="K567" s="13" t="s">
        <v>58</v>
      </c>
      <c r="L567" s="13" t="s">
        <v>88</v>
      </c>
      <c r="M567">
        <v>60</v>
      </c>
      <c r="N567">
        <v>0</v>
      </c>
      <c r="O567" s="14">
        <v>45966</v>
      </c>
      <c r="P567" s="14">
        <v>46026</v>
      </c>
      <c r="Q567">
        <v>8290.74</v>
      </c>
      <c r="R567">
        <v>0</v>
      </c>
      <c r="S567">
        <v>0</v>
      </c>
      <c r="T567">
        <v>0</v>
      </c>
      <c r="U567">
        <v>0</v>
      </c>
      <c r="V567">
        <v>8290.74</v>
      </c>
      <c r="W567">
        <v>0</v>
      </c>
      <c r="X567">
        <v>1</v>
      </c>
      <c r="Y567">
        <v>0</v>
      </c>
      <c r="Z567">
        <v>-4</v>
      </c>
      <c r="AA567">
        <v>1</v>
      </c>
      <c r="AB567" s="13" t="s">
        <v>581</v>
      </c>
      <c r="AC567">
        <v>0</v>
      </c>
      <c r="AD567">
        <v>0</v>
      </c>
      <c r="AE567" s="13" t="s">
        <v>61</v>
      </c>
    </row>
    <row r="568" spans="1:31" x14ac:dyDescent="0.35">
      <c r="A568" s="13" t="s">
        <v>1070</v>
      </c>
      <c r="B568" s="13" t="s">
        <v>1034</v>
      </c>
      <c r="C568" s="13" t="s">
        <v>1035</v>
      </c>
      <c r="D568" s="13" t="s">
        <v>104</v>
      </c>
      <c r="E568" s="13" t="s">
        <v>53</v>
      </c>
      <c r="F568" s="13" t="s">
        <v>135</v>
      </c>
      <c r="G568" s="13" t="s">
        <v>67</v>
      </c>
      <c r="H568">
        <v>40000</v>
      </c>
      <c r="I568" s="13" t="s">
        <v>105</v>
      </c>
      <c r="J568" s="13" t="s">
        <v>106</v>
      </c>
      <c r="K568" s="13" t="s">
        <v>107</v>
      </c>
      <c r="L568" s="13" t="s">
        <v>88</v>
      </c>
      <c r="M568">
        <v>60</v>
      </c>
      <c r="N568">
        <v>0</v>
      </c>
      <c r="O568" s="14">
        <v>45966</v>
      </c>
      <c r="P568" s="14">
        <v>46026</v>
      </c>
      <c r="Q568">
        <v>1293.8599999999999</v>
      </c>
      <c r="R568">
        <v>0</v>
      </c>
      <c r="S568">
        <v>0</v>
      </c>
      <c r="T568">
        <v>0</v>
      </c>
      <c r="U568">
        <v>0</v>
      </c>
      <c r="V568">
        <v>1293.8599999999999</v>
      </c>
      <c r="W568">
        <v>0</v>
      </c>
      <c r="X568">
        <v>1</v>
      </c>
      <c r="Y568">
        <v>0</v>
      </c>
      <c r="Z568">
        <v>-4</v>
      </c>
      <c r="AA568">
        <v>1</v>
      </c>
      <c r="AB568" s="13" t="s">
        <v>581</v>
      </c>
      <c r="AC568">
        <v>0</v>
      </c>
      <c r="AD568">
        <v>0</v>
      </c>
      <c r="AE568" s="13" t="s">
        <v>61</v>
      </c>
    </row>
    <row r="569" spans="1:31" x14ac:dyDescent="0.35">
      <c r="A569" s="13" t="s">
        <v>1071</v>
      </c>
      <c r="B569" s="13" t="s">
        <v>418</v>
      </c>
      <c r="C569" s="13" t="s">
        <v>419</v>
      </c>
      <c r="D569" s="13" t="s">
        <v>52</v>
      </c>
      <c r="E569" s="13" t="s">
        <v>99</v>
      </c>
      <c r="F569" s="13" t="s">
        <v>100</v>
      </c>
      <c r="G569" s="13" t="s">
        <v>67</v>
      </c>
      <c r="H569">
        <v>535000</v>
      </c>
      <c r="I569" s="13" t="s">
        <v>86</v>
      </c>
      <c r="J569" s="13" t="s">
        <v>87</v>
      </c>
      <c r="K569" s="13" t="s">
        <v>58</v>
      </c>
      <c r="L569" s="13" t="s">
        <v>59</v>
      </c>
      <c r="M569">
        <v>45</v>
      </c>
      <c r="N569">
        <v>0</v>
      </c>
      <c r="O569" s="14">
        <v>45966</v>
      </c>
      <c r="P569" s="14">
        <v>46011</v>
      </c>
      <c r="Q569">
        <v>13295.37</v>
      </c>
      <c r="R569">
        <v>0</v>
      </c>
      <c r="S569">
        <v>0</v>
      </c>
      <c r="T569">
        <v>0</v>
      </c>
      <c r="U569">
        <v>0</v>
      </c>
      <c r="V569">
        <v>13295.37</v>
      </c>
      <c r="W569">
        <v>0</v>
      </c>
      <c r="X569">
        <v>1</v>
      </c>
      <c r="Y569">
        <v>1</v>
      </c>
      <c r="Z569">
        <v>11</v>
      </c>
      <c r="AA569">
        <v>2</v>
      </c>
      <c r="AB569" s="13" t="s">
        <v>405</v>
      </c>
      <c r="AC569">
        <v>0.25</v>
      </c>
      <c r="AD569">
        <v>1</v>
      </c>
      <c r="AE569" s="13" t="s">
        <v>377</v>
      </c>
    </row>
    <row r="570" spans="1:31" x14ac:dyDescent="0.35">
      <c r="A570" s="13" t="s">
        <v>1072</v>
      </c>
      <c r="B570" s="13" t="s">
        <v>84</v>
      </c>
      <c r="C570" s="13" t="s">
        <v>85</v>
      </c>
      <c r="D570" s="13" t="s">
        <v>52</v>
      </c>
      <c r="E570" s="13" t="s">
        <v>71</v>
      </c>
      <c r="F570" s="13" t="s">
        <v>72</v>
      </c>
      <c r="G570" s="13" t="s">
        <v>67</v>
      </c>
      <c r="H570">
        <v>600000</v>
      </c>
      <c r="I570" s="13" t="s">
        <v>86</v>
      </c>
      <c r="J570" s="13" t="s">
        <v>87</v>
      </c>
      <c r="K570" s="13" t="s">
        <v>58</v>
      </c>
      <c r="L570" s="13" t="s">
        <v>88</v>
      </c>
      <c r="M570">
        <v>60</v>
      </c>
      <c r="N570">
        <v>0</v>
      </c>
      <c r="O570" s="14">
        <v>45966</v>
      </c>
      <c r="P570" s="14">
        <v>46026</v>
      </c>
      <c r="Q570">
        <v>16992.48</v>
      </c>
      <c r="R570">
        <v>0</v>
      </c>
      <c r="S570">
        <v>0</v>
      </c>
      <c r="T570">
        <v>0</v>
      </c>
      <c r="U570">
        <v>0</v>
      </c>
      <c r="V570">
        <v>16992.48</v>
      </c>
      <c r="W570">
        <v>0</v>
      </c>
      <c r="X570">
        <v>1</v>
      </c>
      <c r="Y570">
        <v>0</v>
      </c>
      <c r="Z570">
        <v>-4</v>
      </c>
      <c r="AA570">
        <v>1</v>
      </c>
      <c r="AB570" s="13" t="s">
        <v>581</v>
      </c>
      <c r="AC570">
        <v>0</v>
      </c>
      <c r="AD570">
        <v>0</v>
      </c>
      <c r="AE570" s="13" t="s">
        <v>61</v>
      </c>
    </row>
    <row r="571" spans="1:31" x14ac:dyDescent="0.35">
      <c r="A571" s="13" t="s">
        <v>1073</v>
      </c>
      <c r="B571" s="13" t="s">
        <v>506</v>
      </c>
      <c r="C571" s="13" t="s">
        <v>507</v>
      </c>
      <c r="D571" s="13" t="s">
        <v>126</v>
      </c>
      <c r="E571" s="13" t="s">
        <v>99</v>
      </c>
      <c r="F571" s="13" t="s">
        <v>100</v>
      </c>
      <c r="G571" s="13" t="s">
        <v>67</v>
      </c>
      <c r="H571">
        <v>215000</v>
      </c>
      <c r="I571" s="13" t="s">
        <v>86</v>
      </c>
      <c r="J571" s="13" t="s">
        <v>87</v>
      </c>
      <c r="K571" s="13" t="s">
        <v>58</v>
      </c>
      <c r="L571" s="13" t="s">
        <v>368</v>
      </c>
      <c r="M571">
        <v>90</v>
      </c>
      <c r="N571">
        <v>0</v>
      </c>
      <c r="O571" s="14">
        <v>45966</v>
      </c>
      <c r="P571" s="14">
        <v>46056</v>
      </c>
      <c r="Q571">
        <v>4248.17</v>
      </c>
      <c r="R571">
        <v>0</v>
      </c>
      <c r="S571">
        <v>0</v>
      </c>
      <c r="T571">
        <v>0</v>
      </c>
      <c r="U571">
        <v>0</v>
      </c>
      <c r="V571">
        <v>4248.17</v>
      </c>
      <c r="W571">
        <v>0</v>
      </c>
      <c r="X571">
        <v>1</v>
      </c>
      <c r="Y571">
        <v>0</v>
      </c>
      <c r="Z571">
        <v>-34</v>
      </c>
      <c r="AA571">
        <v>1</v>
      </c>
      <c r="AB571" s="13" t="s">
        <v>581</v>
      </c>
      <c r="AC571">
        <v>0</v>
      </c>
      <c r="AD571">
        <v>0</v>
      </c>
      <c r="AE571" s="13" t="s">
        <v>61</v>
      </c>
    </row>
    <row r="572" spans="1:31" x14ac:dyDescent="0.35">
      <c r="A572" s="13" t="s">
        <v>1074</v>
      </c>
      <c r="B572" s="13" t="s">
        <v>539</v>
      </c>
      <c r="C572" s="13" t="s">
        <v>540</v>
      </c>
      <c r="D572" s="13" t="s">
        <v>52</v>
      </c>
      <c r="E572" s="13" t="s">
        <v>65</v>
      </c>
      <c r="F572" s="13" t="s">
        <v>66</v>
      </c>
      <c r="G572" s="13" t="s">
        <v>67</v>
      </c>
      <c r="H572">
        <v>435000</v>
      </c>
      <c r="I572" s="13" t="s">
        <v>56</v>
      </c>
      <c r="J572" s="13" t="s">
        <v>57</v>
      </c>
      <c r="K572" s="13" t="s">
        <v>58</v>
      </c>
      <c r="L572" s="13" t="s">
        <v>59</v>
      </c>
      <c r="M572">
        <v>45</v>
      </c>
      <c r="N572">
        <v>0</v>
      </c>
      <c r="O572" s="14">
        <v>45966</v>
      </c>
      <c r="P572" s="14">
        <v>46011</v>
      </c>
      <c r="Q572">
        <v>14957.34</v>
      </c>
      <c r="R572">
        <v>0</v>
      </c>
      <c r="S572">
        <v>0</v>
      </c>
      <c r="T572">
        <v>0</v>
      </c>
      <c r="U572">
        <v>0</v>
      </c>
      <c r="V572">
        <v>14957.34</v>
      </c>
      <c r="W572">
        <v>0</v>
      </c>
      <c r="X572">
        <v>1</v>
      </c>
      <c r="Y572">
        <v>1</v>
      </c>
      <c r="Z572">
        <v>11</v>
      </c>
      <c r="AA572">
        <v>2</v>
      </c>
      <c r="AB572" s="13" t="s">
        <v>405</v>
      </c>
      <c r="AC572">
        <v>0.25</v>
      </c>
      <c r="AD572">
        <v>0</v>
      </c>
      <c r="AE572" s="13" t="s">
        <v>61</v>
      </c>
    </row>
    <row r="573" spans="1:31" x14ac:dyDescent="0.35">
      <c r="A573" s="13" t="s">
        <v>1075</v>
      </c>
      <c r="B573" s="13" t="s">
        <v>309</v>
      </c>
      <c r="C573" s="13" t="s">
        <v>310</v>
      </c>
      <c r="D573" s="13" t="s">
        <v>104</v>
      </c>
      <c r="E573" s="13" t="s">
        <v>53</v>
      </c>
      <c r="F573" s="13" t="s">
        <v>135</v>
      </c>
      <c r="G573" s="13" t="s">
        <v>67</v>
      </c>
      <c r="H573">
        <v>125000</v>
      </c>
      <c r="I573" s="13" t="s">
        <v>121</v>
      </c>
      <c r="J573" s="13" t="s">
        <v>122</v>
      </c>
      <c r="K573" s="13" t="s">
        <v>107</v>
      </c>
      <c r="L573" s="13" t="s">
        <v>88</v>
      </c>
      <c r="M573">
        <v>60</v>
      </c>
      <c r="N573">
        <v>0</v>
      </c>
      <c r="O573" s="14">
        <v>45966</v>
      </c>
      <c r="P573" s="14">
        <v>46026</v>
      </c>
      <c r="Q573">
        <v>8398.15</v>
      </c>
      <c r="R573">
        <v>0</v>
      </c>
      <c r="S573">
        <v>0</v>
      </c>
      <c r="T573">
        <v>0</v>
      </c>
      <c r="U573">
        <v>0</v>
      </c>
      <c r="V573">
        <v>8398.15</v>
      </c>
      <c r="W573">
        <v>0</v>
      </c>
      <c r="X573">
        <v>1</v>
      </c>
      <c r="Y573">
        <v>0</v>
      </c>
      <c r="Z573">
        <v>-4</v>
      </c>
      <c r="AA573">
        <v>1</v>
      </c>
      <c r="AB573" s="13" t="s">
        <v>581</v>
      </c>
      <c r="AC573">
        <v>0</v>
      </c>
      <c r="AD573">
        <v>0</v>
      </c>
      <c r="AE573" s="13" t="s">
        <v>61</v>
      </c>
    </row>
    <row r="574" spans="1:31" x14ac:dyDescent="0.35">
      <c r="A574" s="13" t="s">
        <v>1076</v>
      </c>
      <c r="B574" s="13" t="s">
        <v>1077</v>
      </c>
      <c r="C574" s="13" t="s">
        <v>1078</v>
      </c>
      <c r="D574" s="13" t="s">
        <v>104</v>
      </c>
      <c r="E574" s="13" t="s">
        <v>65</v>
      </c>
      <c r="F574" s="13" t="s">
        <v>66</v>
      </c>
      <c r="G574" s="13" t="s">
        <v>92</v>
      </c>
      <c r="H574">
        <v>45000</v>
      </c>
      <c r="I574" s="13" t="s">
        <v>105</v>
      </c>
      <c r="J574" s="13" t="s">
        <v>106</v>
      </c>
      <c r="K574" s="13" t="s">
        <v>107</v>
      </c>
      <c r="L574" s="13" t="s">
        <v>82</v>
      </c>
      <c r="M574">
        <v>30</v>
      </c>
      <c r="N574">
        <v>2</v>
      </c>
      <c r="O574" s="14">
        <v>45966</v>
      </c>
      <c r="P574" s="14">
        <v>45996</v>
      </c>
      <c r="Q574">
        <v>1556.62</v>
      </c>
      <c r="R574">
        <v>0</v>
      </c>
      <c r="S574">
        <v>0</v>
      </c>
      <c r="T574">
        <v>0</v>
      </c>
      <c r="U574">
        <v>0</v>
      </c>
      <c r="V574">
        <v>1556.62</v>
      </c>
      <c r="W574">
        <v>0</v>
      </c>
      <c r="X574">
        <v>1</v>
      </c>
      <c r="Y574">
        <v>1</v>
      </c>
      <c r="Z574">
        <v>26</v>
      </c>
      <c r="AA574">
        <v>2</v>
      </c>
      <c r="AB574" s="13" t="s">
        <v>405</v>
      </c>
      <c r="AC574">
        <v>0.25</v>
      </c>
      <c r="AD574">
        <v>0</v>
      </c>
      <c r="AE574" s="13" t="s">
        <v>61</v>
      </c>
    </row>
    <row r="575" spans="1:31" x14ac:dyDescent="0.35">
      <c r="A575" s="13" t="s">
        <v>1079</v>
      </c>
      <c r="B575" s="13" t="s">
        <v>225</v>
      </c>
      <c r="C575" s="13" t="s">
        <v>226</v>
      </c>
      <c r="D575" s="13" t="s">
        <v>52</v>
      </c>
      <c r="E575" s="13" t="s">
        <v>77</v>
      </c>
      <c r="F575" s="13" t="s">
        <v>174</v>
      </c>
      <c r="G575" s="13" t="s">
        <v>55</v>
      </c>
      <c r="H575">
        <v>570000</v>
      </c>
      <c r="I575" s="13" t="s">
        <v>56</v>
      </c>
      <c r="J575" s="13" t="s">
        <v>57</v>
      </c>
      <c r="K575" s="13" t="s">
        <v>58</v>
      </c>
      <c r="L575" s="13" t="s">
        <v>59</v>
      </c>
      <c r="M575">
        <v>45</v>
      </c>
      <c r="N575">
        <v>0</v>
      </c>
      <c r="O575" s="14">
        <v>45966</v>
      </c>
      <c r="P575" s="14">
        <v>46011</v>
      </c>
      <c r="Q575">
        <v>3055.06</v>
      </c>
      <c r="R575">
        <v>0</v>
      </c>
      <c r="S575">
        <v>0</v>
      </c>
      <c r="T575">
        <v>0</v>
      </c>
      <c r="U575">
        <v>0</v>
      </c>
      <c r="V575">
        <v>3055.06</v>
      </c>
      <c r="W575">
        <v>0</v>
      </c>
      <c r="X575">
        <v>1</v>
      </c>
      <c r="Y575">
        <v>1</v>
      </c>
      <c r="Z575">
        <v>11</v>
      </c>
      <c r="AA575">
        <v>2</v>
      </c>
      <c r="AB575" s="13" t="s">
        <v>405</v>
      </c>
      <c r="AC575">
        <v>0.25</v>
      </c>
      <c r="AD575">
        <v>0</v>
      </c>
      <c r="AE575" s="13" t="s">
        <v>61</v>
      </c>
    </row>
    <row r="576" spans="1:31" x14ac:dyDescent="0.35">
      <c r="A576" s="13" t="s">
        <v>1080</v>
      </c>
      <c r="B576" s="13" t="s">
        <v>1081</v>
      </c>
      <c r="C576" s="13" t="s">
        <v>1082</v>
      </c>
      <c r="D576" s="13" t="s">
        <v>104</v>
      </c>
      <c r="E576" s="13" t="s">
        <v>65</v>
      </c>
      <c r="F576" s="13" t="s">
        <v>111</v>
      </c>
      <c r="G576" s="13" t="s">
        <v>55</v>
      </c>
      <c r="H576">
        <v>110000</v>
      </c>
      <c r="I576" s="13" t="s">
        <v>105</v>
      </c>
      <c r="J576" s="13" t="s">
        <v>106</v>
      </c>
      <c r="K576" s="13" t="s">
        <v>107</v>
      </c>
      <c r="L576" s="13" t="s">
        <v>95</v>
      </c>
      <c r="M576">
        <v>30</v>
      </c>
      <c r="N576">
        <v>0</v>
      </c>
      <c r="O576" s="14">
        <v>45966</v>
      </c>
      <c r="P576" s="14">
        <v>45996</v>
      </c>
      <c r="Q576">
        <v>6384.73</v>
      </c>
      <c r="R576">
        <v>3830.84</v>
      </c>
      <c r="S576">
        <v>0</v>
      </c>
      <c r="T576">
        <v>0</v>
      </c>
      <c r="U576">
        <v>0</v>
      </c>
      <c r="V576">
        <v>2553.89</v>
      </c>
      <c r="W576">
        <v>0</v>
      </c>
      <c r="X576">
        <v>1</v>
      </c>
      <c r="Y576">
        <v>1</v>
      </c>
      <c r="Z576">
        <v>26</v>
      </c>
      <c r="AA576">
        <v>2</v>
      </c>
      <c r="AB576" s="13" t="s">
        <v>405</v>
      </c>
      <c r="AC576">
        <v>0.25</v>
      </c>
      <c r="AD576">
        <v>0</v>
      </c>
      <c r="AE576" s="13" t="s">
        <v>61</v>
      </c>
    </row>
    <row r="577" spans="1:31" x14ac:dyDescent="0.35">
      <c r="A577" s="13" t="s">
        <v>1083</v>
      </c>
      <c r="B577" s="13" t="s">
        <v>1038</v>
      </c>
      <c r="C577" s="13" t="s">
        <v>1039</v>
      </c>
      <c r="D577" s="13" t="s">
        <v>52</v>
      </c>
      <c r="E577" s="13" t="s">
        <v>77</v>
      </c>
      <c r="F577" s="13" t="s">
        <v>78</v>
      </c>
      <c r="G577" s="13" t="s">
        <v>67</v>
      </c>
      <c r="H577">
        <v>425000</v>
      </c>
      <c r="I577" s="13" t="s">
        <v>56</v>
      </c>
      <c r="J577" s="13" t="s">
        <v>57</v>
      </c>
      <c r="K577" s="13" t="s">
        <v>58</v>
      </c>
      <c r="L577" s="13" t="s">
        <v>59</v>
      </c>
      <c r="M577">
        <v>45</v>
      </c>
      <c r="N577">
        <v>0</v>
      </c>
      <c r="O577" s="14">
        <v>45966</v>
      </c>
      <c r="P577" s="14">
        <v>46011</v>
      </c>
      <c r="Q577">
        <v>3104.13</v>
      </c>
      <c r="R577">
        <v>1862.48</v>
      </c>
      <c r="S577">
        <v>0</v>
      </c>
      <c r="T577">
        <v>0</v>
      </c>
      <c r="U577">
        <v>0</v>
      </c>
      <c r="V577">
        <v>1241.6500000000001</v>
      </c>
      <c r="W577">
        <v>0</v>
      </c>
      <c r="X577">
        <v>1</v>
      </c>
      <c r="Y577">
        <v>1</v>
      </c>
      <c r="Z577">
        <v>11</v>
      </c>
      <c r="AA577">
        <v>2</v>
      </c>
      <c r="AB577" s="13" t="s">
        <v>405</v>
      </c>
      <c r="AC577">
        <v>0.25</v>
      </c>
      <c r="AD577">
        <v>0</v>
      </c>
      <c r="AE577" s="13" t="s">
        <v>61</v>
      </c>
    </row>
    <row r="578" spans="1:31" x14ac:dyDescent="0.35">
      <c r="A578" s="13" t="s">
        <v>1084</v>
      </c>
      <c r="B578" s="13" t="s">
        <v>312</v>
      </c>
      <c r="C578" s="13" t="s">
        <v>313</v>
      </c>
      <c r="D578" s="13" t="s">
        <v>52</v>
      </c>
      <c r="E578" s="13" t="s">
        <v>77</v>
      </c>
      <c r="F578" s="13" t="s">
        <v>174</v>
      </c>
      <c r="G578" s="13" t="s">
        <v>55</v>
      </c>
      <c r="H578">
        <v>600000</v>
      </c>
      <c r="I578" s="13" t="s">
        <v>56</v>
      </c>
      <c r="J578" s="13" t="s">
        <v>57</v>
      </c>
      <c r="K578" s="13" t="s">
        <v>58</v>
      </c>
      <c r="L578" s="13" t="s">
        <v>88</v>
      </c>
      <c r="M578">
        <v>60</v>
      </c>
      <c r="N578">
        <v>0</v>
      </c>
      <c r="O578" s="14">
        <v>45966</v>
      </c>
      <c r="P578" s="14">
        <v>46026</v>
      </c>
      <c r="Q578">
        <v>7559.7</v>
      </c>
      <c r="R578">
        <v>0</v>
      </c>
      <c r="S578">
        <v>0</v>
      </c>
      <c r="T578">
        <v>0</v>
      </c>
      <c r="U578">
        <v>0</v>
      </c>
      <c r="V578">
        <v>7559.7</v>
      </c>
      <c r="W578">
        <v>0</v>
      </c>
      <c r="X578">
        <v>1</v>
      </c>
      <c r="Y578">
        <v>0</v>
      </c>
      <c r="Z578">
        <v>-4</v>
      </c>
      <c r="AA578">
        <v>1</v>
      </c>
      <c r="AB578" s="13" t="s">
        <v>581</v>
      </c>
      <c r="AC578">
        <v>0</v>
      </c>
      <c r="AD578">
        <v>0</v>
      </c>
      <c r="AE578" s="13" t="s">
        <v>61</v>
      </c>
    </row>
    <row r="579" spans="1:31" x14ac:dyDescent="0.35">
      <c r="A579" s="13" t="s">
        <v>1085</v>
      </c>
      <c r="B579" s="13" t="s">
        <v>719</v>
      </c>
      <c r="C579" s="13" t="s">
        <v>720</v>
      </c>
      <c r="D579" s="13" t="s">
        <v>126</v>
      </c>
      <c r="E579" s="13" t="s">
        <v>99</v>
      </c>
      <c r="F579" s="13" t="s">
        <v>127</v>
      </c>
      <c r="G579" s="13" t="s">
        <v>67</v>
      </c>
      <c r="H579">
        <v>150000</v>
      </c>
      <c r="I579" s="13" t="s">
        <v>86</v>
      </c>
      <c r="J579" s="13" t="s">
        <v>87</v>
      </c>
      <c r="K579" s="13" t="s">
        <v>58</v>
      </c>
      <c r="L579" s="13" t="s">
        <v>88</v>
      </c>
      <c r="M579">
        <v>60</v>
      </c>
      <c r="N579">
        <v>0</v>
      </c>
      <c r="O579" s="14">
        <v>45966</v>
      </c>
      <c r="P579" s="14">
        <v>46026</v>
      </c>
      <c r="Q579">
        <v>1216.33</v>
      </c>
      <c r="R579">
        <v>0</v>
      </c>
      <c r="S579">
        <v>0</v>
      </c>
      <c r="T579">
        <v>0</v>
      </c>
      <c r="U579">
        <v>0</v>
      </c>
      <c r="V579">
        <v>1216.33</v>
      </c>
      <c r="W579">
        <v>0</v>
      </c>
      <c r="X579">
        <v>1</v>
      </c>
      <c r="Y579">
        <v>0</v>
      </c>
      <c r="Z579">
        <v>-4</v>
      </c>
      <c r="AA579">
        <v>1</v>
      </c>
      <c r="AB579" s="13" t="s">
        <v>581</v>
      </c>
      <c r="AC579">
        <v>0</v>
      </c>
      <c r="AD579">
        <v>0</v>
      </c>
      <c r="AE579" s="13" t="s">
        <v>61</v>
      </c>
    </row>
    <row r="580" spans="1:31" x14ac:dyDescent="0.35">
      <c r="A580" s="13" t="s">
        <v>1086</v>
      </c>
      <c r="B580" s="13" t="s">
        <v>899</v>
      </c>
      <c r="C580" s="13" t="s">
        <v>900</v>
      </c>
      <c r="D580" s="13" t="s">
        <v>76</v>
      </c>
      <c r="E580" s="13" t="s">
        <v>71</v>
      </c>
      <c r="F580" s="13" t="s">
        <v>72</v>
      </c>
      <c r="G580" s="13" t="s">
        <v>92</v>
      </c>
      <c r="H580">
        <v>85000</v>
      </c>
      <c r="I580" s="13" t="s">
        <v>93</v>
      </c>
      <c r="J580" s="13" t="s">
        <v>94</v>
      </c>
      <c r="K580" s="13" t="s">
        <v>81</v>
      </c>
      <c r="L580" s="13" t="s">
        <v>82</v>
      </c>
      <c r="M580">
        <v>30</v>
      </c>
      <c r="N580">
        <v>2</v>
      </c>
      <c r="O580" s="14">
        <v>45966</v>
      </c>
      <c r="P580" s="14">
        <v>45996</v>
      </c>
      <c r="Q580">
        <v>487.99</v>
      </c>
      <c r="R580">
        <v>0</v>
      </c>
      <c r="S580">
        <v>0</v>
      </c>
      <c r="T580">
        <v>0</v>
      </c>
      <c r="U580">
        <v>0</v>
      </c>
      <c r="V580">
        <v>487.99</v>
      </c>
      <c r="W580">
        <v>0</v>
      </c>
      <c r="X580">
        <v>1</v>
      </c>
      <c r="Y580">
        <v>1</v>
      </c>
      <c r="Z580">
        <v>26</v>
      </c>
      <c r="AA580">
        <v>2</v>
      </c>
      <c r="AB580" s="13" t="s">
        <v>405</v>
      </c>
      <c r="AC580">
        <v>0.25</v>
      </c>
      <c r="AD580">
        <v>0</v>
      </c>
      <c r="AE580" s="13" t="s">
        <v>61</v>
      </c>
    </row>
    <row r="581" spans="1:31" x14ac:dyDescent="0.35">
      <c r="A581" s="13" t="s">
        <v>1087</v>
      </c>
      <c r="B581" s="13" t="s">
        <v>1088</v>
      </c>
      <c r="C581" s="13" t="s">
        <v>1089</v>
      </c>
      <c r="D581" s="13" t="s">
        <v>104</v>
      </c>
      <c r="E581" s="13" t="s">
        <v>77</v>
      </c>
      <c r="F581" s="13" t="s">
        <v>174</v>
      </c>
      <c r="G581" s="13" t="s">
        <v>67</v>
      </c>
      <c r="H581">
        <v>30000</v>
      </c>
      <c r="I581" s="13" t="s">
        <v>105</v>
      </c>
      <c r="J581" s="13" t="s">
        <v>106</v>
      </c>
      <c r="K581" s="13" t="s">
        <v>107</v>
      </c>
      <c r="L581" s="13" t="s">
        <v>95</v>
      </c>
      <c r="M581">
        <v>30</v>
      </c>
      <c r="N581">
        <v>0</v>
      </c>
      <c r="O581" s="14">
        <v>45966</v>
      </c>
      <c r="P581" s="14">
        <v>45996</v>
      </c>
      <c r="Q581">
        <v>6071.16</v>
      </c>
      <c r="R581">
        <v>3642.7</v>
      </c>
      <c r="S581">
        <v>0</v>
      </c>
      <c r="T581">
        <v>0</v>
      </c>
      <c r="U581">
        <v>0</v>
      </c>
      <c r="V581">
        <v>2428.46</v>
      </c>
      <c r="W581">
        <v>0</v>
      </c>
      <c r="X581">
        <v>1</v>
      </c>
      <c r="Y581">
        <v>1</v>
      </c>
      <c r="Z581">
        <v>26</v>
      </c>
      <c r="AA581">
        <v>2</v>
      </c>
      <c r="AB581" s="13" t="s">
        <v>405</v>
      </c>
      <c r="AC581">
        <v>0.25</v>
      </c>
      <c r="AD581">
        <v>0</v>
      </c>
      <c r="AE581" s="13" t="s">
        <v>61</v>
      </c>
    </row>
    <row r="582" spans="1:31" x14ac:dyDescent="0.35">
      <c r="A582" s="13" t="s">
        <v>1090</v>
      </c>
      <c r="B582" s="13" t="s">
        <v>749</v>
      </c>
      <c r="C582" s="13" t="s">
        <v>750</v>
      </c>
      <c r="D582" s="13" t="s">
        <v>76</v>
      </c>
      <c r="E582" s="13" t="s">
        <v>53</v>
      </c>
      <c r="F582" s="13" t="s">
        <v>54</v>
      </c>
      <c r="G582" s="13" t="s">
        <v>67</v>
      </c>
      <c r="H582">
        <v>65000</v>
      </c>
      <c r="I582" s="13" t="s">
        <v>79</v>
      </c>
      <c r="J582" s="13" t="s">
        <v>80</v>
      </c>
      <c r="K582" s="13" t="s">
        <v>81</v>
      </c>
      <c r="L582" s="13" t="s">
        <v>82</v>
      </c>
      <c r="M582">
        <v>30</v>
      </c>
      <c r="N582">
        <v>2</v>
      </c>
      <c r="O582" s="14">
        <v>45966</v>
      </c>
      <c r="P582" s="14">
        <v>45996</v>
      </c>
      <c r="Q582">
        <v>1161.96</v>
      </c>
      <c r="R582">
        <v>0</v>
      </c>
      <c r="S582">
        <v>0</v>
      </c>
      <c r="T582">
        <v>0</v>
      </c>
      <c r="U582">
        <v>0</v>
      </c>
      <c r="V582">
        <v>1161.96</v>
      </c>
      <c r="W582">
        <v>0</v>
      </c>
      <c r="X582">
        <v>1</v>
      </c>
      <c r="Y582">
        <v>1</v>
      </c>
      <c r="Z582">
        <v>26</v>
      </c>
      <c r="AA582">
        <v>2</v>
      </c>
      <c r="AB582" s="13" t="s">
        <v>405</v>
      </c>
      <c r="AC582">
        <v>0.25</v>
      </c>
      <c r="AD582">
        <v>1</v>
      </c>
      <c r="AE582" s="13" t="s">
        <v>377</v>
      </c>
    </row>
    <row r="583" spans="1:31" x14ac:dyDescent="0.35">
      <c r="A583" s="13" t="s">
        <v>1091</v>
      </c>
      <c r="B583" s="13" t="s">
        <v>1092</v>
      </c>
      <c r="C583" s="13" t="s">
        <v>1093</v>
      </c>
      <c r="D583" s="13" t="s">
        <v>76</v>
      </c>
      <c r="E583" s="13" t="s">
        <v>77</v>
      </c>
      <c r="F583" s="13" t="s">
        <v>78</v>
      </c>
      <c r="G583" s="13" t="s">
        <v>55</v>
      </c>
      <c r="H583">
        <v>110000</v>
      </c>
      <c r="I583" s="13" t="s">
        <v>93</v>
      </c>
      <c r="J583" s="13" t="s">
        <v>94</v>
      </c>
      <c r="K583" s="13" t="s">
        <v>81</v>
      </c>
      <c r="L583" s="13" t="s">
        <v>95</v>
      </c>
      <c r="M583">
        <v>30</v>
      </c>
      <c r="N583">
        <v>0</v>
      </c>
      <c r="O583" s="14">
        <v>45966</v>
      </c>
      <c r="P583" s="14">
        <v>45996</v>
      </c>
      <c r="Q583">
        <v>3099.3</v>
      </c>
      <c r="R583">
        <v>0</v>
      </c>
      <c r="S583">
        <v>0</v>
      </c>
      <c r="T583">
        <v>0</v>
      </c>
      <c r="U583">
        <v>0</v>
      </c>
      <c r="V583">
        <v>3099.3</v>
      </c>
      <c r="W583">
        <v>0</v>
      </c>
      <c r="X583">
        <v>1</v>
      </c>
      <c r="Y583">
        <v>1</v>
      </c>
      <c r="Z583">
        <v>26</v>
      </c>
      <c r="AA583">
        <v>2</v>
      </c>
      <c r="AB583" s="13" t="s">
        <v>405</v>
      </c>
      <c r="AC583">
        <v>0.25</v>
      </c>
      <c r="AD583">
        <v>0</v>
      </c>
      <c r="AE583" s="13" t="s">
        <v>61</v>
      </c>
    </row>
    <row r="584" spans="1:31" x14ac:dyDescent="0.35">
      <c r="A584" s="13" t="s">
        <v>1094</v>
      </c>
      <c r="B584" s="13" t="s">
        <v>290</v>
      </c>
      <c r="C584" s="13" t="s">
        <v>291</v>
      </c>
      <c r="D584" s="13" t="s">
        <v>104</v>
      </c>
      <c r="E584" s="13" t="s">
        <v>77</v>
      </c>
      <c r="F584" s="13" t="s">
        <v>78</v>
      </c>
      <c r="G584" s="13" t="s">
        <v>92</v>
      </c>
      <c r="H584">
        <v>140000</v>
      </c>
      <c r="I584" s="13" t="s">
        <v>121</v>
      </c>
      <c r="J584" s="13" t="s">
        <v>122</v>
      </c>
      <c r="K584" s="13" t="s">
        <v>107</v>
      </c>
      <c r="L584" s="13" t="s">
        <v>82</v>
      </c>
      <c r="M584">
        <v>30</v>
      </c>
      <c r="N584">
        <v>2</v>
      </c>
      <c r="O584" s="14">
        <v>45966</v>
      </c>
      <c r="P584" s="14">
        <v>45996</v>
      </c>
      <c r="Q584">
        <v>7315.63</v>
      </c>
      <c r="R584">
        <v>0</v>
      </c>
      <c r="S584">
        <v>0</v>
      </c>
      <c r="T584">
        <v>0</v>
      </c>
      <c r="U584">
        <v>0</v>
      </c>
      <c r="V584">
        <v>7315.63</v>
      </c>
      <c r="W584">
        <v>0</v>
      </c>
      <c r="X584">
        <v>1</v>
      </c>
      <c r="Y584">
        <v>1</v>
      </c>
      <c r="Z584">
        <v>26</v>
      </c>
      <c r="AA584">
        <v>2</v>
      </c>
      <c r="AB584" s="13" t="s">
        <v>405</v>
      </c>
      <c r="AC584">
        <v>0.25</v>
      </c>
      <c r="AD584">
        <v>0</v>
      </c>
      <c r="AE584" s="13" t="s">
        <v>61</v>
      </c>
    </row>
    <row r="585" spans="1:31" x14ac:dyDescent="0.35">
      <c r="A585" s="13" t="s">
        <v>1095</v>
      </c>
      <c r="B585" s="13" t="s">
        <v>930</v>
      </c>
      <c r="C585" s="13" t="s">
        <v>931</v>
      </c>
      <c r="D585" s="13" t="s">
        <v>104</v>
      </c>
      <c r="E585" s="13" t="s">
        <v>71</v>
      </c>
      <c r="F585" s="13" t="s">
        <v>214</v>
      </c>
      <c r="G585" s="13" t="s">
        <v>55</v>
      </c>
      <c r="H585">
        <v>120000</v>
      </c>
      <c r="I585" s="13" t="s">
        <v>121</v>
      </c>
      <c r="J585" s="13" t="s">
        <v>122</v>
      </c>
      <c r="K585" s="13" t="s">
        <v>107</v>
      </c>
      <c r="L585" s="13" t="s">
        <v>88</v>
      </c>
      <c r="M585">
        <v>60</v>
      </c>
      <c r="N585">
        <v>0</v>
      </c>
      <c r="O585" s="14">
        <v>45966</v>
      </c>
      <c r="P585" s="14">
        <v>46026</v>
      </c>
      <c r="Q585">
        <v>1374</v>
      </c>
      <c r="R585">
        <v>0</v>
      </c>
      <c r="S585">
        <v>0</v>
      </c>
      <c r="T585">
        <v>0</v>
      </c>
      <c r="U585">
        <v>0</v>
      </c>
      <c r="V585">
        <v>1374</v>
      </c>
      <c r="W585">
        <v>0</v>
      </c>
      <c r="X585">
        <v>1</v>
      </c>
      <c r="Y585">
        <v>0</v>
      </c>
      <c r="Z585">
        <v>-4</v>
      </c>
      <c r="AA585">
        <v>1</v>
      </c>
      <c r="AB585" s="13" t="s">
        <v>581</v>
      </c>
      <c r="AC585">
        <v>0</v>
      </c>
      <c r="AD585">
        <v>0</v>
      </c>
      <c r="AE585" s="13" t="s">
        <v>61</v>
      </c>
    </row>
    <row r="586" spans="1:31" x14ac:dyDescent="0.35">
      <c r="A586" s="13" t="s">
        <v>1096</v>
      </c>
      <c r="B586" s="13" t="s">
        <v>1097</v>
      </c>
      <c r="C586" s="13" t="s">
        <v>1098</v>
      </c>
      <c r="D586" s="13" t="s">
        <v>52</v>
      </c>
      <c r="E586" s="13" t="s">
        <v>77</v>
      </c>
      <c r="F586" s="13" t="s">
        <v>78</v>
      </c>
      <c r="G586" s="13" t="s">
        <v>67</v>
      </c>
      <c r="H586">
        <v>510000</v>
      </c>
      <c r="I586" s="13" t="s">
        <v>86</v>
      </c>
      <c r="J586" s="13" t="s">
        <v>87</v>
      </c>
      <c r="K586" s="13" t="s">
        <v>58</v>
      </c>
      <c r="L586" s="13" t="s">
        <v>88</v>
      </c>
      <c r="M586">
        <v>60</v>
      </c>
      <c r="N586">
        <v>0</v>
      </c>
      <c r="O586" s="14">
        <v>45966</v>
      </c>
      <c r="P586" s="14">
        <v>46026</v>
      </c>
      <c r="Q586">
        <v>12726.76</v>
      </c>
      <c r="R586">
        <v>0</v>
      </c>
      <c r="S586">
        <v>0</v>
      </c>
      <c r="T586">
        <v>0</v>
      </c>
      <c r="U586">
        <v>0</v>
      </c>
      <c r="V586">
        <v>12726.76</v>
      </c>
      <c r="W586">
        <v>0</v>
      </c>
      <c r="X586">
        <v>1</v>
      </c>
      <c r="Y586">
        <v>0</v>
      </c>
      <c r="Z586">
        <v>-4</v>
      </c>
      <c r="AA586">
        <v>1</v>
      </c>
      <c r="AB586" s="13" t="s">
        <v>581</v>
      </c>
      <c r="AC586">
        <v>0</v>
      </c>
      <c r="AD586">
        <v>0</v>
      </c>
      <c r="AE586" s="13" t="s">
        <v>61</v>
      </c>
    </row>
    <row r="587" spans="1:31" x14ac:dyDescent="0.35">
      <c r="A587" s="13" t="s">
        <v>1099</v>
      </c>
      <c r="B587" s="13" t="s">
        <v>386</v>
      </c>
      <c r="C587" s="13" t="s">
        <v>387</v>
      </c>
      <c r="D587" s="13" t="s">
        <v>52</v>
      </c>
      <c r="E587" s="13" t="s">
        <v>65</v>
      </c>
      <c r="F587" s="13" t="s">
        <v>66</v>
      </c>
      <c r="G587" s="13" t="s">
        <v>67</v>
      </c>
      <c r="H587">
        <v>215000</v>
      </c>
      <c r="I587" s="13" t="s">
        <v>56</v>
      </c>
      <c r="J587" s="13" t="s">
        <v>57</v>
      </c>
      <c r="K587" s="13" t="s">
        <v>58</v>
      </c>
      <c r="L587" s="13" t="s">
        <v>88</v>
      </c>
      <c r="M587">
        <v>60</v>
      </c>
      <c r="N587">
        <v>0</v>
      </c>
      <c r="O587" s="14">
        <v>45966</v>
      </c>
      <c r="P587" s="14">
        <v>46026</v>
      </c>
      <c r="Q587">
        <v>3030.62</v>
      </c>
      <c r="R587">
        <v>0</v>
      </c>
      <c r="S587">
        <v>0</v>
      </c>
      <c r="T587">
        <v>0</v>
      </c>
      <c r="U587">
        <v>0</v>
      </c>
      <c r="V587">
        <v>3030.62</v>
      </c>
      <c r="W587">
        <v>0</v>
      </c>
      <c r="X587">
        <v>1</v>
      </c>
      <c r="Y587">
        <v>0</v>
      </c>
      <c r="Z587">
        <v>-4</v>
      </c>
      <c r="AA587">
        <v>1</v>
      </c>
      <c r="AB587" s="13" t="s">
        <v>581</v>
      </c>
      <c r="AC587">
        <v>0</v>
      </c>
      <c r="AD587">
        <v>0</v>
      </c>
      <c r="AE587" s="13" t="s">
        <v>61</v>
      </c>
    </row>
    <row r="588" spans="1:31" x14ac:dyDescent="0.35">
      <c r="A588" s="13" t="s">
        <v>1100</v>
      </c>
      <c r="B588" s="13" t="s">
        <v>293</v>
      </c>
      <c r="C588" s="13" t="s">
        <v>294</v>
      </c>
      <c r="D588" s="13" t="s">
        <v>104</v>
      </c>
      <c r="E588" s="13" t="s">
        <v>99</v>
      </c>
      <c r="F588" s="13" t="s">
        <v>100</v>
      </c>
      <c r="G588" s="13" t="s">
        <v>92</v>
      </c>
      <c r="H588">
        <v>145000</v>
      </c>
      <c r="I588" s="13" t="s">
        <v>121</v>
      </c>
      <c r="J588" s="13" t="s">
        <v>122</v>
      </c>
      <c r="K588" s="13" t="s">
        <v>107</v>
      </c>
      <c r="L588" s="13" t="s">
        <v>82</v>
      </c>
      <c r="M588">
        <v>30</v>
      </c>
      <c r="N588">
        <v>2</v>
      </c>
      <c r="O588" s="14">
        <v>45966</v>
      </c>
      <c r="P588" s="14">
        <v>45996</v>
      </c>
      <c r="Q588">
        <v>7384.62</v>
      </c>
      <c r="R588">
        <v>0</v>
      </c>
      <c r="S588">
        <v>0</v>
      </c>
      <c r="T588">
        <v>516.91999999999996</v>
      </c>
      <c r="U588">
        <v>0</v>
      </c>
      <c r="V588">
        <v>6867.7</v>
      </c>
      <c r="W588">
        <v>0</v>
      </c>
      <c r="X588">
        <v>1</v>
      </c>
      <c r="Y588">
        <v>1</v>
      </c>
      <c r="Z588">
        <v>26</v>
      </c>
      <c r="AA588">
        <v>2</v>
      </c>
      <c r="AB588" s="13" t="s">
        <v>405</v>
      </c>
      <c r="AC588">
        <v>0.25</v>
      </c>
      <c r="AD588">
        <v>0</v>
      </c>
      <c r="AE588" s="13" t="s">
        <v>377</v>
      </c>
    </row>
    <row r="589" spans="1:31" x14ac:dyDescent="0.35">
      <c r="A589" s="13" t="s">
        <v>1101</v>
      </c>
      <c r="B589" s="13" t="s">
        <v>1102</v>
      </c>
      <c r="C589" s="13" t="s">
        <v>1103</v>
      </c>
      <c r="D589" s="13" t="s">
        <v>52</v>
      </c>
      <c r="E589" s="13" t="s">
        <v>71</v>
      </c>
      <c r="F589" s="13" t="s">
        <v>72</v>
      </c>
      <c r="G589" s="13" t="s">
        <v>67</v>
      </c>
      <c r="H589">
        <v>335000</v>
      </c>
      <c r="I589" s="13" t="s">
        <v>86</v>
      </c>
      <c r="J589" s="13" t="s">
        <v>87</v>
      </c>
      <c r="K589" s="13" t="s">
        <v>58</v>
      </c>
      <c r="L589" s="13" t="s">
        <v>59</v>
      </c>
      <c r="M589">
        <v>45</v>
      </c>
      <c r="N589">
        <v>0</v>
      </c>
      <c r="O589" s="14">
        <v>45966</v>
      </c>
      <c r="P589" s="14">
        <v>46011</v>
      </c>
      <c r="Q589">
        <v>10085.17</v>
      </c>
      <c r="R589">
        <v>0</v>
      </c>
      <c r="S589">
        <v>0</v>
      </c>
      <c r="T589">
        <v>0</v>
      </c>
      <c r="U589">
        <v>0</v>
      </c>
      <c r="V589">
        <v>10085.17</v>
      </c>
      <c r="W589">
        <v>0</v>
      </c>
      <c r="X589">
        <v>1</v>
      </c>
      <c r="Y589">
        <v>1</v>
      </c>
      <c r="Z589">
        <v>11</v>
      </c>
      <c r="AA589">
        <v>2</v>
      </c>
      <c r="AB589" s="13" t="s">
        <v>405</v>
      </c>
      <c r="AC589">
        <v>0.25</v>
      </c>
      <c r="AD589">
        <v>0</v>
      </c>
      <c r="AE589" s="13" t="s">
        <v>61</v>
      </c>
    </row>
    <row r="590" spans="1:31" x14ac:dyDescent="0.35">
      <c r="A590" s="13" t="s">
        <v>1104</v>
      </c>
      <c r="B590" s="13" t="s">
        <v>1105</v>
      </c>
      <c r="C590" s="13" t="s">
        <v>1106</v>
      </c>
      <c r="D590" s="13" t="s">
        <v>52</v>
      </c>
      <c r="E590" s="13" t="s">
        <v>71</v>
      </c>
      <c r="F590" s="13" t="s">
        <v>72</v>
      </c>
      <c r="G590" s="13" t="s">
        <v>67</v>
      </c>
      <c r="H590">
        <v>205000</v>
      </c>
      <c r="I590" s="13" t="s">
        <v>56</v>
      </c>
      <c r="J590" s="13" t="s">
        <v>57</v>
      </c>
      <c r="K590" s="13" t="s">
        <v>58</v>
      </c>
      <c r="L590" s="13" t="s">
        <v>88</v>
      </c>
      <c r="M590">
        <v>60</v>
      </c>
      <c r="N590">
        <v>0</v>
      </c>
      <c r="O590" s="14">
        <v>45966</v>
      </c>
      <c r="P590" s="14">
        <v>46026</v>
      </c>
      <c r="Q590">
        <v>13311.54</v>
      </c>
      <c r="R590">
        <v>0</v>
      </c>
      <c r="S590">
        <v>0</v>
      </c>
      <c r="T590">
        <v>0</v>
      </c>
      <c r="U590">
        <v>0</v>
      </c>
      <c r="V590">
        <v>13311.54</v>
      </c>
      <c r="W590">
        <v>0</v>
      </c>
      <c r="X590">
        <v>1</v>
      </c>
      <c r="Y590">
        <v>0</v>
      </c>
      <c r="Z590">
        <v>-4</v>
      </c>
      <c r="AA590">
        <v>1</v>
      </c>
      <c r="AB590" s="13" t="s">
        <v>581</v>
      </c>
      <c r="AC590">
        <v>0</v>
      </c>
      <c r="AD590">
        <v>0</v>
      </c>
      <c r="AE590" s="13" t="s">
        <v>61</v>
      </c>
    </row>
    <row r="591" spans="1:31" x14ac:dyDescent="0.35">
      <c r="A591" s="13" t="s">
        <v>1107</v>
      </c>
      <c r="B591" s="13" t="s">
        <v>280</v>
      </c>
      <c r="C591" s="13" t="s">
        <v>281</v>
      </c>
      <c r="D591" s="13" t="s">
        <v>104</v>
      </c>
      <c r="E591" s="13" t="s">
        <v>71</v>
      </c>
      <c r="F591" s="13" t="s">
        <v>214</v>
      </c>
      <c r="G591" s="13" t="s">
        <v>92</v>
      </c>
      <c r="H591">
        <v>100000</v>
      </c>
      <c r="I591" s="13" t="s">
        <v>121</v>
      </c>
      <c r="J591" s="13" t="s">
        <v>122</v>
      </c>
      <c r="K591" s="13" t="s">
        <v>107</v>
      </c>
      <c r="L591" s="13" t="s">
        <v>88</v>
      </c>
      <c r="M591">
        <v>60</v>
      </c>
      <c r="N591">
        <v>0</v>
      </c>
      <c r="O591" s="14">
        <v>45966</v>
      </c>
      <c r="P591" s="14">
        <v>46026</v>
      </c>
      <c r="Q591">
        <v>7787.73</v>
      </c>
      <c r="R591">
        <v>0</v>
      </c>
      <c r="S591">
        <v>0</v>
      </c>
      <c r="T591">
        <v>0</v>
      </c>
      <c r="U591">
        <v>0</v>
      </c>
      <c r="V591">
        <v>7787.73</v>
      </c>
      <c r="W591">
        <v>0</v>
      </c>
      <c r="X591">
        <v>1</v>
      </c>
      <c r="Y591">
        <v>0</v>
      </c>
      <c r="Z591">
        <v>-4</v>
      </c>
      <c r="AA591">
        <v>1</v>
      </c>
      <c r="AB591" s="13" t="s">
        <v>581</v>
      </c>
      <c r="AC591">
        <v>0</v>
      </c>
      <c r="AD591">
        <v>0</v>
      </c>
      <c r="AE591" s="13" t="s">
        <v>61</v>
      </c>
    </row>
    <row r="592" spans="1:31" x14ac:dyDescent="0.35">
      <c r="A592" s="13" t="s">
        <v>1108</v>
      </c>
      <c r="B592" s="13" t="s">
        <v>177</v>
      </c>
      <c r="C592" s="13" t="s">
        <v>178</v>
      </c>
      <c r="D592" s="13" t="s">
        <v>52</v>
      </c>
      <c r="E592" s="13" t="s">
        <v>71</v>
      </c>
      <c r="F592" s="13" t="s">
        <v>72</v>
      </c>
      <c r="G592" s="13" t="s">
        <v>67</v>
      </c>
      <c r="H592">
        <v>415000</v>
      </c>
      <c r="I592" s="13" t="s">
        <v>56</v>
      </c>
      <c r="J592" s="13" t="s">
        <v>57</v>
      </c>
      <c r="K592" s="13" t="s">
        <v>58</v>
      </c>
      <c r="L592" s="13" t="s">
        <v>59</v>
      </c>
      <c r="M592">
        <v>45</v>
      </c>
      <c r="N592">
        <v>0</v>
      </c>
      <c r="O592" s="14">
        <v>45966</v>
      </c>
      <c r="P592" s="14">
        <v>46011</v>
      </c>
      <c r="Q592">
        <v>5380.27</v>
      </c>
      <c r="R592">
        <v>0</v>
      </c>
      <c r="S592">
        <v>0</v>
      </c>
      <c r="T592">
        <v>0</v>
      </c>
      <c r="U592">
        <v>0</v>
      </c>
      <c r="V592">
        <v>5380.27</v>
      </c>
      <c r="W592">
        <v>0</v>
      </c>
      <c r="X592">
        <v>1</v>
      </c>
      <c r="Y592">
        <v>1</v>
      </c>
      <c r="Z592">
        <v>11</v>
      </c>
      <c r="AA592">
        <v>2</v>
      </c>
      <c r="AB592" s="13" t="s">
        <v>405</v>
      </c>
      <c r="AC592">
        <v>0.25</v>
      </c>
      <c r="AD592">
        <v>1</v>
      </c>
      <c r="AE592" s="13" t="s">
        <v>629</v>
      </c>
    </row>
    <row r="593" spans="1:31" x14ac:dyDescent="0.35">
      <c r="A593" s="13" t="s">
        <v>1109</v>
      </c>
      <c r="B593" s="13" t="s">
        <v>273</v>
      </c>
      <c r="C593" s="13" t="s">
        <v>274</v>
      </c>
      <c r="D593" s="13" t="s">
        <v>104</v>
      </c>
      <c r="E593" s="13" t="s">
        <v>71</v>
      </c>
      <c r="F593" s="13" t="s">
        <v>72</v>
      </c>
      <c r="G593" s="13" t="s">
        <v>92</v>
      </c>
      <c r="H593">
        <v>120000</v>
      </c>
      <c r="I593" s="13" t="s">
        <v>105</v>
      </c>
      <c r="J593" s="13" t="s">
        <v>106</v>
      </c>
      <c r="K593" s="13" t="s">
        <v>107</v>
      </c>
      <c r="L593" s="13" t="s">
        <v>88</v>
      </c>
      <c r="M593">
        <v>60</v>
      </c>
      <c r="N593">
        <v>0</v>
      </c>
      <c r="O593" s="14">
        <v>45967</v>
      </c>
      <c r="P593" s="14">
        <v>46027</v>
      </c>
      <c r="Q593">
        <v>849.72</v>
      </c>
      <c r="R593">
        <v>0</v>
      </c>
      <c r="S593">
        <v>0</v>
      </c>
      <c r="T593">
        <v>0</v>
      </c>
      <c r="U593">
        <v>0</v>
      </c>
      <c r="V593">
        <v>849.72</v>
      </c>
      <c r="W593">
        <v>0</v>
      </c>
      <c r="X593">
        <v>1</v>
      </c>
      <c r="Y593">
        <v>0</v>
      </c>
      <c r="Z593">
        <v>-5</v>
      </c>
      <c r="AA593">
        <v>1</v>
      </c>
      <c r="AB593" s="13" t="s">
        <v>581</v>
      </c>
      <c r="AC593">
        <v>0</v>
      </c>
      <c r="AD593">
        <v>0</v>
      </c>
      <c r="AE593" s="13" t="s">
        <v>61</v>
      </c>
    </row>
    <row r="594" spans="1:31" x14ac:dyDescent="0.35">
      <c r="A594" s="13" t="s">
        <v>1110</v>
      </c>
      <c r="B594" s="13" t="s">
        <v>137</v>
      </c>
      <c r="C594" s="13" t="s">
        <v>138</v>
      </c>
      <c r="D594" s="13" t="s">
        <v>52</v>
      </c>
      <c r="E594" s="13" t="s">
        <v>53</v>
      </c>
      <c r="F594" s="13" t="s">
        <v>135</v>
      </c>
      <c r="G594" s="13" t="s">
        <v>92</v>
      </c>
      <c r="H594">
        <v>355000</v>
      </c>
      <c r="I594" s="13" t="s">
        <v>56</v>
      </c>
      <c r="J594" s="13" t="s">
        <v>57</v>
      </c>
      <c r="K594" s="13" t="s">
        <v>58</v>
      </c>
      <c r="L594" s="13" t="s">
        <v>88</v>
      </c>
      <c r="M594">
        <v>60</v>
      </c>
      <c r="N594">
        <v>0</v>
      </c>
      <c r="O594" s="14">
        <v>45967</v>
      </c>
      <c r="P594" s="14">
        <v>46027</v>
      </c>
      <c r="Q594">
        <v>2054.8000000000002</v>
      </c>
      <c r="R594">
        <v>0</v>
      </c>
      <c r="S594">
        <v>0</v>
      </c>
      <c r="T594">
        <v>0</v>
      </c>
      <c r="U594">
        <v>0</v>
      </c>
      <c r="V594">
        <v>2054.8000000000002</v>
      </c>
      <c r="W594">
        <v>0</v>
      </c>
      <c r="X594">
        <v>1</v>
      </c>
      <c r="Y594">
        <v>0</v>
      </c>
      <c r="Z594">
        <v>-5</v>
      </c>
      <c r="AA594">
        <v>1</v>
      </c>
      <c r="AB594" s="13" t="s">
        <v>581</v>
      </c>
      <c r="AC594">
        <v>0</v>
      </c>
      <c r="AD594">
        <v>0</v>
      </c>
      <c r="AE594" s="13" t="s">
        <v>61</v>
      </c>
    </row>
    <row r="595" spans="1:31" x14ac:dyDescent="0.35">
      <c r="A595" s="13" t="s">
        <v>1111</v>
      </c>
      <c r="B595" s="13" t="s">
        <v>434</v>
      </c>
      <c r="C595" s="13" t="s">
        <v>435</v>
      </c>
      <c r="D595" s="13" t="s">
        <v>52</v>
      </c>
      <c r="E595" s="13" t="s">
        <v>77</v>
      </c>
      <c r="F595" s="13" t="s">
        <v>78</v>
      </c>
      <c r="G595" s="13" t="s">
        <v>55</v>
      </c>
      <c r="H595">
        <v>510000</v>
      </c>
      <c r="I595" s="13" t="s">
        <v>56</v>
      </c>
      <c r="J595" s="13" t="s">
        <v>57</v>
      </c>
      <c r="K595" s="13" t="s">
        <v>58</v>
      </c>
      <c r="L595" s="13" t="s">
        <v>88</v>
      </c>
      <c r="M595">
        <v>60</v>
      </c>
      <c r="N595">
        <v>0</v>
      </c>
      <c r="O595" s="14">
        <v>45967</v>
      </c>
      <c r="P595" s="14">
        <v>46027</v>
      </c>
      <c r="Q595">
        <v>14519.03</v>
      </c>
      <c r="R595">
        <v>0</v>
      </c>
      <c r="S595">
        <v>0</v>
      </c>
      <c r="T595">
        <v>0</v>
      </c>
      <c r="U595">
        <v>0</v>
      </c>
      <c r="V595">
        <v>14519.03</v>
      </c>
      <c r="W595">
        <v>0</v>
      </c>
      <c r="X595">
        <v>1</v>
      </c>
      <c r="Y595">
        <v>0</v>
      </c>
      <c r="Z595">
        <v>-5</v>
      </c>
      <c r="AA595">
        <v>1</v>
      </c>
      <c r="AB595" s="13" t="s">
        <v>581</v>
      </c>
      <c r="AC595">
        <v>0</v>
      </c>
      <c r="AD595">
        <v>0</v>
      </c>
      <c r="AE595" s="13" t="s">
        <v>61</v>
      </c>
    </row>
    <row r="596" spans="1:31" x14ac:dyDescent="0.35">
      <c r="A596" s="13" t="s">
        <v>1112</v>
      </c>
      <c r="B596" s="13" t="s">
        <v>286</v>
      </c>
      <c r="C596" s="13" t="s">
        <v>287</v>
      </c>
      <c r="D596" s="13" t="s">
        <v>104</v>
      </c>
      <c r="E596" s="13" t="s">
        <v>77</v>
      </c>
      <c r="F596" s="13" t="s">
        <v>174</v>
      </c>
      <c r="G596" s="13" t="s">
        <v>92</v>
      </c>
      <c r="H596">
        <v>150000</v>
      </c>
      <c r="I596" s="13" t="s">
        <v>86</v>
      </c>
      <c r="J596" s="13" t="s">
        <v>87</v>
      </c>
      <c r="K596" s="13" t="s">
        <v>58</v>
      </c>
      <c r="L596" s="13" t="s">
        <v>95</v>
      </c>
      <c r="M596">
        <v>30</v>
      </c>
      <c r="N596">
        <v>0</v>
      </c>
      <c r="O596" s="14">
        <v>45967</v>
      </c>
      <c r="P596" s="14">
        <v>45997</v>
      </c>
      <c r="Q596">
        <v>4967.17</v>
      </c>
      <c r="R596">
        <v>0</v>
      </c>
      <c r="S596">
        <v>0</v>
      </c>
      <c r="T596">
        <v>0</v>
      </c>
      <c r="U596">
        <v>0</v>
      </c>
      <c r="V596">
        <v>4967.17</v>
      </c>
      <c r="W596">
        <v>0</v>
      </c>
      <c r="X596">
        <v>1</v>
      </c>
      <c r="Y596">
        <v>1</v>
      </c>
      <c r="Z596">
        <v>25</v>
      </c>
      <c r="AA596">
        <v>2</v>
      </c>
      <c r="AB596" s="13" t="s">
        <v>405</v>
      </c>
      <c r="AC596">
        <v>0.25</v>
      </c>
      <c r="AD596">
        <v>0</v>
      </c>
      <c r="AE596" s="13" t="s">
        <v>61</v>
      </c>
    </row>
    <row r="597" spans="1:31" x14ac:dyDescent="0.35">
      <c r="A597" s="13" t="s">
        <v>1113</v>
      </c>
      <c r="B597" s="13" t="s">
        <v>885</v>
      </c>
      <c r="C597" s="13" t="s">
        <v>886</v>
      </c>
      <c r="D597" s="13" t="s">
        <v>126</v>
      </c>
      <c r="E597" s="13" t="s">
        <v>99</v>
      </c>
      <c r="F597" s="13" t="s">
        <v>100</v>
      </c>
      <c r="G597" s="13" t="s">
        <v>67</v>
      </c>
      <c r="H597">
        <v>70000</v>
      </c>
      <c r="I597" s="13" t="s">
        <v>121</v>
      </c>
      <c r="J597" s="13" t="s">
        <v>122</v>
      </c>
      <c r="K597" s="13" t="s">
        <v>107</v>
      </c>
      <c r="L597" s="13" t="s">
        <v>88</v>
      </c>
      <c r="M597">
        <v>60</v>
      </c>
      <c r="N597">
        <v>0</v>
      </c>
      <c r="O597" s="14">
        <v>45967</v>
      </c>
      <c r="P597" s="14">
        <v>46027</v>
      </c>
      <c r="Q597">
        <v>2235.46</v>
      </c>
      <c r="R597">
        <v>0</v>
      </c>
      <c r="S597">
        <v>0</v>
      </c>
      <c r="T597">
        <v>0</v>
      </c>
      <c r="U597">
        <v>0</v>
      </c>
      <c r="V597">
        <v>2235.46</v>
      </c>
      <c r="W597">
        <v>0</v>
      </c>
      <c r="X597">
        <v>1</v>
      </c>
      <c r="Y597">
        <v>0</v>
      </c>
      <c r="Z597">
        <v>-5</v>
      </c>
      <c r="AA597">
        <v>1</v>
      </c>
      <c r="AB597" s="13" t="s">
        <v>581</v>
      </c>
      <c r="AC597">
        <v>0</v>
      </c>
      <c r="AD597">
        <v>0</v>
      </c>
      <c r="AE597" s="13" t="s">
        <v>61</v>
      </c>
    </row>
    <row r="598" spans="1:31" x14ac:dyDescent="0.35">
      <c r="A598" s="13" t="s">
        <v>1114</v>
      </c>
      <c r="B598" s="13" t="s">
        <v>1115</v>
      </c>
      <c r="C598" s="13" t="s">
        <v>1116</v>
      </c>
      <c r="D598" s="13" t="s">
        <v>52</v>
      </c>
      <c r="E598" s="13" t="s">
        <v>65</v>
      </c>
      <c r="F598" s="13" t="s">
        <v>66</v>
      </c>
      <c r="G598" s="13" t="s">
        <v>92</v>
      </c>
      <c r="H598">
        <v>300000</v>
      </c>
      <c r="I598" s="13" t="s">
        <v>56</v>
      </c>
      <c r="J598" s="13" t="s">
        <v>57</v>
      </c>
      <c r="K598" s="13" t="s">
        <v>58</v>
      </c>
      <c r="L598" s="13" t="s">
        <v>59</v>
      </c>
      <c r="M598">
        <v>45</v>
      </c>
      <c r="N598">
        <v>0</v>
      </c>
      <c r="O598" s="14">
        <v>45967</v>
      </c>
      <c r="P598" s="14">
        <v>46012</v>
      </c>
      <c r="Q598">
        <v>11214.84</v>
      </c>
      <c r="R598">
        <v>0</v>
      </c>
      <c r="S598">
        <v>0</v>
      </c>
      <c r="T598">
        <v>0</v>
      </c>
      <c r="U598">
        <v>0</v>
      </c>
      <c r="V598">
        <v>11214.84</v>
      </c>
      <c r="W598">
        <v>0</v>
      </c>
      <c r="X598">
        <v>1</v>
      </c>
      <c r="Y598">
        <v>1</v>
      </c>
      <c r="Z598">
        <v>10</v>
      </c>
      <c r="AA598">
        <v>2</v>
      </c>
      <c r="AB598" s="13" t="s">
        <v>405</v>
      </c>
      <c r="AC598">
        <v>0.25</v>
      </c>
      <c r="AD598">
        <v>0</v>
      </c>
      <c r="AE598" s="13" t="s">
        <v>61</v>
      </c>
    </row>
    <row r="599" spans="1:31" x14ac:dyDescent="0.35">
      <c r="A599" s="13" t="s">
        <v>1117</v>
      </c>
      <c r="B599" s="13" t="s">
        <v>418</v>
      </c>
      <c r="C599" s="13" t="s">
        <v>419</v>
      </c>
      <c r="D599" s="13" t="s">
        <v>52</v>
      </c>
      <c r="E599" s="13" t="s">
        <v>99</v>
      </c>
      <c r="F599" s="13" t="s">
        <v>100</v>
      </c>
      <c r="G599" s="13" t="s">
        <v>67</v>
      </c>
      <c r="H599">
        <v>535000</v>
      </c>
      <c r="I599" s="13" t="s">
        <v>86</v>
      </c>
      <c r="J599" s="13" t="s">
        <v>87</v>
      </c>
      <c r="K599" s="13" t="s">
        <v>58</v>
      </c>
      <c r="L599" s="13" t="s">
        <v>59</v>
      </c>
      <c r="M599">
        <v>45</v>
      </c>
      <c r="N599">
        <v>0</v>
      </c>
      <c r="O599" s="14">
        <v>45967</v>
      </c>
      <c r="P599" s="14">
        <v>46012</v>
      </c>
      <c r="Q599">
        <v>1805.25</v>
      </c>
      <c r="R599">
        <v>0</v>
      </c>
      <c r="S599">
        <v>0</v>
      </c>
      <c r="T599">
        <v>0</v>
      </c>
      <c r="U599">
        <v>0</v>
      </c>
      <c r="V599">
        <v>1805.25</v>
      </c>
      <c r="W599">
        <v>0</v>
      </c>
      <c r="X599">
        <v>1</v>
      </c>
      <c r="Y599">
        <v>1</v>
      </c>
      <c r="Z599">
        <v>10</v>
      </c>
      <c r="AA599">
        <v>2</v>
      </c>
      <c r="AB599" s="13" t="s">
        <v>405</v>
      </c>
      <c r="AC599">
        <v>0.25</v>
      </c>
      <c r="AD599">
        <v>0</v>
      </c>
      <c r="AE599" s="13" t="s">
        <v>61</v>
      </c>
    </row>
    <row r="600" spans="1:31" x14ac:dyDescent="0.35">
      <c r="A600" s="13" t="s">
        <v>1118</v>
      </c>
      <c r="B600" s="13" t="s">
        <v>506</v>
      </c>
      <c r="C600" s="13" t="s">
        <v>507</v>
      </c>
      <c r="D600" s="13" t="s">
        <v>126</v>
      </c>
      <c r="E600" s="13" t="s">
        <v>99</v>
      </c>
      <c r="F600" s="13" t="s">
        <v>100</v>
      </c>
      <c r="G600" s="13" t="s">
        <v>67</v>
      </c>
      <c r="H600">
        <v>215000</v>
      </c>
      <c r="I600" s="13" t="s">
        <v>86</v>
      </c>
      <c r="J600" s="13" t="s">
        <v>87</v>
      </c>
      <c r="K600" s="13" t="s">
        <v>58</v>
      </c>
      <c r="L600" s="13" t="s">
        <v>368</v>
      </c>
      <c r="M600">
        <v>90</v>
      </c>
      <c r="N600">
        <v>0</v>
      </c>
      <c r="O600" s="14">
        <v>45967</v>
      </c>
      <c r="P600" s="14">
        <v>46057</v>
      </c>
      <c r="Q600">
        <v>2204.0700000000002</v>
      </c>
      <c r="R600">
        <v>0</v>
      </c>
      <c r="S600">
        <v>0</v>
      </c>
      <c r="T600">
        <v>0</v>
      </c>
      <c r="U600">
        <v>0</v>
      </c>
      <c r="V600">
        <v>2204.0700000000002</v>
      </c>
      <c r="W600">
        <v>0</v>
      </c>
      <c r="X600">
        <v>1</v>
      </c>
      <c r="Y600">
        <v>0</v>
      </c>
      <c r="Z600">
        <v>-35</v>
      </c>
      <c r="AA600">
        <v>1</v>
      </c>
      <c r="AB600" s="13" t="s">
        <v>581</v>
      </c>
      <c r="AC600">
        <v>0</v>
      </c>
      <c r="AD600">
        <v>0</v>
      </c>
      <c r="AE600" s="13" t="s">
        <v>61</v>
      </c>
    </row>
    <row r="601" spans="1:31" x14ac:dyDescent="0.35">
      <c r="A601" s="13" t="s">
        <v>1119</v>
      </c>
      <c r="B601" s="13" t="s">
        <v>1120</v>
      </c>
      <c r="C601" s="13" t="s">
        <v>1121</v>
      </c>
      <c r="D601" s="13" t="s">
        <v>76</v>
      </c>
      <c r="E601" s="13" t="s">
        <v>77</v>
      </c>
      <c r="F601" s="13" t="s">
        <v>174</v>
      </c>
      <c r="G601" s="13" t="s">
        <v>67</v>
      </c>
      <c r="H601">
        <v>105000</v>
      </c>
      <c r="I601" s="13" t="s">
        <v>79</v>
      </c>
      <c r="J601" s="13" t="s">
        <v>80</v>
      </c>
      <c r="K601" s="13" t="s">
        <v>81</v>
      </c>
      <c r="L601" s="13" t="s">
        <v>95</v>
      </c>
      <c r="M601">
        <v>30</v>
      </c>
      <c r="N601">
        <v>0</v>
      </c>
      <c r="O601" s="14">
        <v>45967</v>
      </c>
      <c r="P601" s="14">
        <v>45997</v>
      </c>
      <c r="Q601">
        <v>2617.91</v>
      </c>
      <c r="R601">
        <v>1570.75</v>
      </c>
      <c r="S601">
        <v>0</v>
      </c>
      <c r="T601">
        <v>0</v>
      </c>
      <c r="U601">
        <v>0</v>
      </c>
      <c r="V601">
        <v>1047.1600000000001</v>
      </c>
      <c r="W601">
        <v>0</v>
      </c>
      <c r="X601">
        <v>1</v>
      </c>
      <c r="Y601">
        <v>1</v>
      </c>
      <c r="Z601">
        <v>25</v>
      </c>
      <c r="AA601">
        <v>2</v>
      </c>
      <c r="AB601" s="13" t="s">
        <v>405</v>
      </c>
      <c r="AC601">
        <v>0.25</v>
      </c>
      <c r="AD601">
        <v>0</v>
      </c>
      <c r="AE601" s="13" t="s">
        <v>61</v>
      </c>
    </row>
    <row r="602" spans="1:31" x14ac:dyDescent="0.35">
      <c r="A602" s="13" t="s">
        <v>1122</v>
      </c>
      <c r="B602" s="13" t="s">
        <v>997</v>
      </c>
      <c r="C602" s="13" t="s">
        <v>998</v>
      </c>
      <c r="D602" s="13" t="s">
        <v>52</v>
      </c>
      <c r="E602" s="13" t="s">
        <v>71</v>
      </c>
      <c r="F602" s="13" t="s">
        <v>72</v>
      </c>
      <c r="G602" s="13" t="s">
        <v>55</v>
      </c>
      <c r="H602">
        <v>405000</v>
      </c>
      <c r="I602" s="13" t="s">
        <v>86</v>
      </c>
      <c r="J602" s="13" t="s">
        <v>87</v>
      </c>
      <c r="K602" s="13" t="s">
        <v>58</v>
      </c>
      <c r="L602" s="13" t="s">
        <v>59</v>
      </c>
      <c r="M602">
        <v>45</v>
      </c>
      <c r="N602">
        <v>0</v>
      </c>
      <c r="O602" s="14">
        <v>45967</v>
      </c>
      <c r="P602" s="14">
        <v>46012</v>
      </c>
      <c r="Q602">
        <v>4584.04</v>
      </c>
      <c r="R602">
        <v>0</v>
      </c>
      <c r="S602">
        <v>0</v>
      </c>
      <c r="T602">
        <v>0</v>
      </c>
      <c r="U602">
        <v>0</v>
      </c>
      <c r="V602">
        <v>4584.04</v>
      </c>
      <c r="W602">
        <v>0</v>
      </c>
      <c r="X602">
        <v>1</v>
      </c>
      <c r="Y602">
        <v>1</v>
      </c>
      <c r="Z602">
        <v>10</v>
      </c>
      <c r="AA602">
        <v>2</v>
      </c>
      <c r="AB602" s="13" t="s">
        <v>405</v>
      </c>
      <c r="AC602">
        <v>0.25</v>
      </c>
      <c r="AD602">
        <v>0</v>
      </c>
      <c r="AE602" s="13" t="s">
        <v>61</v>
      </c>
    </row>
    <row r="603" spans="1:31" x14ac:dyDescent="0.35">
      <c r="A603" s="13" t="s">
        <v>1123</v>
      </c>
      <c r="B603" s="13" t="s">
        <v>455</v>
      </c>
      <c r="C603" s="13" t="s">
        <v>456</v>
      </c>
      <c r="D603" s="13" t="s">
        <v>126</v>
      </c>
      <c r="E603" s="13" t="s">
        <v>71</v>
      </c>
      <c r="F603" s="13" t="s">
        <v>214</v>
      </c>
      <c r="G603" s="13" t="s">
        <v>67</v>
      </c>
      <c r="H603">
        <v>120000</v>
      </c>
      <c r="I603" s="13" t="s">
        <v>105</v>
      </c>
      <c r="J603" s="13" t="s">
        <v>106</v>
      </c>
      <c r="K603" s="13" t="s">
        <v>107</v>
      </c>
      <c r="L603" s="13" t="s">
        <v>368</v>
      </c>
      <c r="M603">
        <v>90</v>
      </c>
      <c r="N603">
        <v>0</v>
      </c>
      <c r="O603" s="14">
        <v>45967</v>
      </c>
      <c r="P603" s="14">
        <v>46057</v>
      </c>
      <c r="Q603">
        <v>5752.3</v>
      </c>
      <c r="R603">
        <v>0</v>
      </c>
      <c r="S603">
        <v>0</v>
      </c>
      <c r="T603">
        <v>0</v>
      </c>
      <c r="U603">
        <v>0</v>
      </c>
      <c r="V603">
        <v>5752.3</v>
      </c>
      <c r="W603">
        <v>0</v>
      </c>
      <c r="X603">
        <v>1</v>
      </c>
      <c r="Y603">
        <v>0</v>
      </c>
      <c r="Z603">
        <v>-35</v>
      </c>
      <c r="AA603">
        <v>1</v>
      </c>
      <c r="AB603" s="13" t="s">
        <v>581</v>
      </c>
      <c r="AC603">
        <v>0</v>
      </c>
      <c r="AD603">
        <v>0</v>
      </c>
      <c r="AE603" s="13" t="s">
        <v>61</v>
      </c>
    </row>
    <row r="604" spans="1:31" x14ac:dyDescent="0.35">
      <c r="A604" s="13" t="s">
        <v>1124</v>
      </c>
      <c r="B604" s="13" t="s">
        <v>558</v>
      </c>
      <c r="C604" s="13" t="s">
        <v>559</v>
      </c>
      <c r="D604" s="13" t="s">
        <v>52</v>
      </c>
      <c r="E604" s="13" t="s">
        <v>53</v>
      </c>
      <c r="F604" s="13" t="s">
        <v>54</v>
      </c>
      <c r="G604" s="13" t="s">
        <v>55</v>
      </c>
      <c r="H604">
        <v>240000</v>
      </c>
      <c r="I604" s="13" t="s">
        <v>56</v>
      </c>
      <c r="J604" s="13" t="s">
        <v>57</v>
      </c>
      <c r="K604" s="13" t="s">
        <v>58</v>
      </c>
      <c r="L604" s="13" t="s">
        <v>59</v>
      </c>
      <c r="M604">
        <v>45</v>
      </c>
      <c r="N604">
        <v>0</v>
      </c>
      <c r="O604" s="14">
        <v>45967</v>
      </c>
      <c r="P604" s="14">
        <v>46012</v>
      </c>
      <c r="Q604">
        <v>5942.05</v>
      </c>
      <c r="R604">
        <v>0</v>
      </c>
      <c r="S604">
        <v>0</v>
      </c>
      <c r="T604">
        <v>0</v>
      </c>
      <c r="U604">
        <v>0</v>
      </c>
      <c r="V604">
        <v>5942.05</v>
      </c>
      <c r="W604">
        <v>0</v>
      </c>
      <c r="X604">
        <v>1</v>
      </c>
      <c r="Y604">
        <v>1</v>
      </c>
      <c r="Z604">
        <v>10</v>
      </c>
      <c r="AA604">
        <v>2</v>
      </c>
      <c r="AB604" s="13" t="s">
        <v>405</v>
      </c>
      <c r="AC604">
        <v>0.25</v>
      </c>
      <c r="AD604">
        <v>0</v>
      </c>
      <c r="AE604" s="13" t="s">
        <v>61</v>
      </c>
    </row>
    <row r="605" spans="1:31" x14ac:dyDescent="0.35">
      <c r="A605" s="13" t="s">
        <v>1125</v>
      </c>
      <c r="B605" s="13" t="s">
        <v>780</v>
      </c>
      <c r="C605" s="13" t="s">
        <v>781</v>
      </c>
      <c r="D605" s="13" t="s">
        <v>52</v>
      </c>
      <c r="E605" s="13" t="s">
        <v>77</v>
      </c>
      <c r="F605" s="13" t="s">
        <v>174</v>
      </c>
      <c r="G605" s="13" t="s">
        <v>55</v>
      </c>
      <c r="H605">
        <v>290000</v>
      </c>
      <c r="I605" s="13" t="s">
        <v>86</v>
      </c>
      <c r="J605" s="13" t="s">
        <v>87</v>
      </c>
      <c r="K605" s="13" t="s">
        <v>58</v>
      </c>
      <c r="L605" s="13" t="s">
        <v>88</v>
      </c>
      <c r="M605">
        <v>60</v>
      </c>
      <c r="N605">
        <v>0</v>
      </c>
      <c r="O605" s="14">
        <v>45967</v>
      </c>
      <c r="P605" s="14">
        <v>46027</v>
      </c>
      <c r="Q605">
        <v>1625.05</v>
      </c>
      <c r="R605">
        <v>0</v>
      </c>
      <c r="S605">
        <v>0</v>
      </c>
      <c r="T605">
        <v>0</v>
      </c>
      <c r="U605">
        <v>0</v>
      </c>
      <c r="V605">
        <v>1625.05</v>
      </c>
      <c r="W605">
        <v>0</v>
      </c>
      <c r="X605">
        <v>1</v>
      </c>
      <c r="Y605">
        <v>0</v>
      </c>
      <c r="Z605">
        <v>-5</v>
      </c>
      <c r="AA605">
        <v>1</v>
      </c>
      <c r="AB605" s="13" t="s">
        <v>581</v>
      </c>
      <c r="AC605">
        <v>0</v>
      </c>
      <c r="AD605">
        <v>0</v>
      </c>
      <c r="AE605" s="13" t="s">
        <v>61</v>
      </c>
    </row>
    <row r="606" spans="1:31" x14ac:dyDescent="0.35">
      <c r="A606" s="13" t="s">
        <v>1126</v>
      </c>
      <c r="B606" s="13" t="s">
        <v>1127</v>
      </c>
      <c r="C606" s="13" t="s">
        <v>1128</v>
      </c>
      <c r="D606" s="13" t="s">
        <v>52</v>
      </c>
      <c r="E606" s="13" t="s">
        <v>53</v>
      </c>
      <c r="F606" s="13" t="s">
        <v>135</v>
      </c>
      <c r="G606" s="13" t="s">
        <v>67</v>
      </c>
      <c r="H606">
        <v>470000</v>
      </c>
      <c r="I606" s="13" t="s">
        <v>56</v>
      </c>
      <c r="J606" s="13" t="s">
        <v>57</v>
      </c>
      <c r="K606" s="13" t="s">
        <v>58</v>
      </c>
      <c r="L606" s="13" t="s">
        <v>88</v>
      </c>
      <c r="M606">
        <v>60</v>
      </c>
      <c r="N606">
        <v>0</v>
      </c>
      <c r="O606" s="14">
        <v>45967</v>
      </c>
      <c r="P606" s="14">
        <v>46027</v>
      </c>
      <c r="Q606">
        <v>10631.2</v>
      </c>
      <c r="R606">
        <v>0</v>
      </c>
      <c r="S606">
        <v>0</v>
      </c>
      <c r="T606">
        <v>0</v>
      </c>
      <c r="U606">
        <v>0</v>
      </c>
      <c r="V606">
        <v>10631.2</v>
      </c>
      <c r="W606">
        <v>0</v>
      </c>
      <c r="X606">
        <v>1</v>
      </c>
      <c r="Y606">
        <v>0</v>
      </c>
      <c r="Z606">
        <v>-5</v>
      </c>
      <c r="AA606">
        <v>1</v>
      </c>
      <c r="AB606" s="13" t="s">
        <v>581</v>
      </c>
      <c r="AC606">
        <v>0</v>
      </c>
      <c r="AD606">
        <v>0</v>
      </c>
      <c r="AE606" s="13" t="s">
        <v>61</v>
      </c>
    </row>
    <row r="607" spans="1:31" x14ac:dyDescent="0.35">
      <c r="A607" s="13" t="s">
        <v>1129</v>
      </c>
      <c r="B607" s="13" t="s">
        <v>601</v>
      </c>
      <c r="C607" s="13" t="s">
        <v>602</v>
      </c>
      <c r="D607" s="13" t="s">
        <v>52</v>
      </c>
      <c r="E607" s="13" t="s">
        <v>53</v>
      </c>
      <c r="F607" s="13" t="s">
        <v>135</v>
      </c>
      <c r="G607" s="13" t="s">
        <v>67</v>
      </c>
      <c r="H607">
        <v>525000</v>
      </c>
      <c r="I607" s="13" t="s">
        <v>86</v>
      </c>
      <c r="J607" s="13" t="s">
        <v>87</v>
      </c>
      <c r="K607" s="13" t="s">
        <v>58</v>
      </c>
      <c r="L607" s="13" t="s">
        <v>59</v>
      </c>
      <c r="M607">
        <v>45</v>
      </c>
      <c r="N607">
        <v>0</v>
      </c>
      <c r="O607" s="14">
        <v>45967</v>
      </c>
      <c r="P607" s="14">
        <v>46012</v>
      </c>
      <c r="Q607">
        <v>5655.86</v>
      </c>
      <c r="R607">
        <v>3393.52</v>
      </c>
      <c r="S607">
        <v>0</v>
      </c>
      <c r="T607">
        <v>0</v>
      </c>
      <c r="U607">
        <v>0</v>
      </c>
      <c r="V607">
        <v>2262.34</v>
      </c>
      <c r="W607">
        <v>0</v>
      </c>
      <c r="X607">
        <v>1</v>
      </c>
      <c r="Y607">
        <v>1</v>
      </c>
      <c r="Z607">
        <v>10</v>
      </c>
      <c r="AA607">
        <v>2</v>
      </c>
      <c r="AB607" s="13" t="s">
        <v>405</v>
      </c>
      <c r="AC607">
        <v>0.25</v>
      </c>
      <c r="AD607">
        <v>0</v>
      </c>
      <c r="AE607" s="13" t="s">
        <v>61</v>
      </c>
    </row>
    <row r="608" spans="1:31" x14ac:dyDescent="0.35">
      <c r="A608" s="13" t="s">
        <v>1130</v>
      </c>
      <c r="B608" s="13" t="s">
        <v>144</v>
      </c>
      <c r="C608" s="13" t="s">
        <v>145</v>
      </c>
      <c r="D608" s="13" t="s">
        <v>52</v>
      </c>
      <c r="E608" s="13" t="s">
        <v>99</v>
      </c>
      <c r="F608" s="13" t="s">
        <v>100</v>
      </c>
      <c r="G608" s="13" t="s">
        <v>55</v>
      </c>
      <c r="H608">
        <v>590000</v>
      </c>
      <c r="I608" s="13" t="s">
        <v>56</v>
      </c>
      <c r="J608" s="13" t="s">
        <v>57</v>
      </c>
      <c r="K608" s="13" t="s">
        <v>58</v>
      </c>
      <c r="L608" s="13" t="s">
        <v>88</v>
      </c>
      <c r="M608">
        <v>60</v>
      </c>
      <c r="N608">
        <v>0</v>
      </c>
      <c r="O608" s="14">
        <v>45967</v>
      </c>
      <c r="P608" s="14">
        <v>46027</v>
      </c>
      <c r="Q608">
        <v>8616.52</v>
      </c>
      <c r="R608">
        <v>0</v>
      </c>
      <c r="S608">
        <v>0</v>
      </c>
      <c r="T608">
        <v>0</v>
      </c>
      <c r="U608">
        <v>0</v>
      </c>
      <c r="V608">
        <v>8616.52</v>
      </c>
      <c r="W608">
        <v>0</v>
      </c>
      <c r="X608">
        <v>1</v>
      </c>
      <c r="Y608">
        <v>0</v>
      </c>
      <c r="Z608">
        <v>-5</v>
      </c>
      <c r="AA608">
        <v>1</v>
      </c>
      <c r="AB608" s="13" t="s">
        <v>581</v>
      </c>
      <c r="AC608">
        <v>0</v>
      </c>
      <c r="AD608">
        <v>0</v>
      </c>
      <c r="AE608" s="13" t="s">
        <v>61</v>
      </c>
    </row>
    <row r="609" spans="1:31" x14ac:dyDescent="0.35">
      <c r="A609" s="13" t="s">
        <v>1131</v>
      </c>
      <c r="B609" s="13" t="s">
        <v>525</v>
      </c>
      <c r="C609" s="13" t="s">
        <v>526</v>
      </c>
      <c r="D609" s="13" t="s">
        <v>126</v>
      </c>
      <c r="E609" s="13" t="s">
        <v>53</v>
      </c>
      <c r="F609" s="13" t="s">
        <v>54</v>
      </c>
      <c r="G609" s="13" t="s">
        <v>67</v>
      </c>
      <c r="H609">
        <v>95000</v>
      </c>
      <c r="I609" s="13" t="s">
        <v>105</v>
      </c>
      <c r="J609" s="13" t="s">
        <v>106</v>
      </c>
      <c r="K609" s="13" t="s">
        <v>107</v>
      </c>
      <c r="L609" s="13" t="s">
        <v>368</v>
      </c>
      <c r="M609">
        <v>90</v>
      </c>
      <c r="N609">
        <v>0</v>
      </c>
      <c r="O609" s="14">
        <v>45967</v>
      </c>
      <c r="P609" s="14">
        <v>46057</v>
      </c>
      <c r="Q609">
        <v>5066.13</v>
      </c>
      <c r="R609">
        <v>0</v>
      </c>
      <c r="S609">
        <v>0</v>
      </c>
      <c r="T609">
        <v>0</v>
      </c>
      <c r="U609">
        <v>0</v>
      </c>
      <c r="V609">
        <v>5066.13</v>
      </c>
      <c r="W609">
        <v>0</v>
      </c>
      <c r="X609">
        <v>1</v>
      </c>
      <c r="Y609">
        <v>0</v>
      </c>
      <c r="Z609">
        <v>-35</v>
      </c>
      <c r="AA609">
        <v>1</v>
      </c>
      <c r="AB609" s="13" t="s">
        <v>581</v>
      </c>
      <c r="AC609">
        <v>0</v>
      </c>
      <c r="AD609">
        <v>0</v>
      </c>
      <c r="AE609" s="13" t="s">
        <v>61</v>
      </c>
    </row>
    <row r="610" spans="1:31" x14ac:dyDescent="0.35">
      <c r="A610" s="13" t="s">
        <v>1132</v>
      </c>
      <c r="B610" s="13" t="s">
        <v>147</v>
      </c>
      <c r="C610" s="13" t="s">
        <v>148</v>
      </c>
      <c r="D610" s="13" t="s">
        <v>104</v>
      </c>
      <c r="E610" s="13" t="s">
        <v>53</v>
      </c>
      <c r="F610" s="13" t="s">
        <v>54</v>
      </c>
      <c r="G610" s="13" t="s">
        <v>67</v>
      </c>
      <c r="H610">
        <v>80000</v>
      </c>
      <c r="I610" s="13" t="s">
        <v>105</v>
      </c>
      <c r="J610" s="13" t="s">
        <v>106</v>
      </c>
      <c r="K610" s="13" t="s">
        <v>107</v>
      </c>
      <c r="L610" s="13" t="s">
        <v>88</v>
      </c>
      <c r="M610">
        <v>60</v>
      </c>
      <c r="N610">
        <v>0</v>
      </c>
      <c r="O610" s="14">
        <v>45967</v>
      </c>
      <c r="P610" s="14">
        <v>46027</v>
      </c>
      <c r="Q610">
        <v>3595.61</v>
      </c>
      <c r="R610">
        <v>0</v>
      </c>
      <c r="S610">
        <v>0</v>
      </c>
      <c r="T610">
        <v>0</v>
      </c>
      <c r="U610">
        <v>0</v>
      </c>
      <c r="V610">
        <v>3595.61</v>
      </c>
      <c r="W610">
        <v>0</v>
      </c>
      <c r="X610">
        <v>1</v>
      </c>
      <c r="Y610">
        <v>0</v>
      </c>
      <c r="Z610">
        <v>-5</v>
      </c>
      <c r="AA610">
        <v>1</v>
      </c>
      <c r="AB610" s="13" t="s">
        <v>581</v>
      </c>
      <c r="AC610">
        <v>0</v>
      </c>
      <c r="AD610">
        <v>0</v>
      </c>
      <c r="AE610" s="13" t="s">
        <v>61</v>
      </c>
    </row>
    <row r="611" spans="1:31" x14ac:dyDescent="0.35">
      <c r="A611" s="13" t="s">
        <v>1133</v>
      </c>
      <c r="B611" s="13" t="s">
        <v>695</v>
      </c>
      <c r="C611" s="13" t="s">
        <v>696</v>
      </c>
      <c r="D611" s="13" t="s">
        <v>52</v>
      </c>
      <c r="E611" s="13" t="s">
        <v>53</v>
      </c>
      <c r="F611" s="13" t="s">
        <v>54</v>
      </c>
      <c r="G611" s="13" t="s">
        <v>92</v>
      </c>
      <c r="H611">
        <v>535000</v>
      </c>
      <c r="I611" s="13" t="s">
        <v>56</v>
      </c>
      <c r="J611" s="13" t="s">
        <v>57</v>
      </c>
      <c r="K611" s="13" t="s">
        <v>58</v>
      </c>
      <c r="L611" s="13" t="s">
        <v>88</v>
      </c>
      <c r="M611">
        <v>60</v>
      </c>
      <c r="N611">
        <v>0</v>
      </c>
      <c r="O611" s="14">
        <v>45967</v>
      </c>
      <c r="P611" s="14">
        <v>46027</v>
      </c>
      <c r="Q611">
        <v>1738.31</v>
      </c>
      <c r="R611">
        <v>0</v>
      </c>
      <c r="S611">
        <v>0</v>
      </c>
      <c r="T611">
        <v>0</v>
      </c>
      <c r="U611">
        <v>0</v>
      </c>
      <c r="V611">
        <v>1738.31</v>
      </c>
      <c r="W611">
        <v>0</v>
      </c>
      <c r="X611">
        <v>1</v>
      </c>
      <c r="Y611">
        <v>0</v>
      </c>
      <c r="Z611">
        <v>-5</v>
      </c>
      <c r="AA611">
        <v>1</v>
      </c>
      <c r="AB611" s="13" t="s">
        <v>581</v>
      </c>
      <c r="AC611">
        <v>0</v>
      </c>
      <c r="AD611">
        <v>0</v>
      </c>
      <c r="AE611" s="13" t="s">
        <v>61</v>
      </c>
    </row>
    <row r="612" spans="1:31" x14ac:dyDescent="0.35">
      <c r="A612" s="13" t="s">
        <v>1134</v>
      </c>
      <c r="B612" s="13" t="s">
        <v>930</v>
      </c>
      <c r="C612" s="13" t="s">
        <v>931</v>
      </c>
      <c r="D612" s="13" t="s">
        <v>104</v>
      </c>
      <c r="E612" s="13" t="s">
        <v>71</v>
      </c>
      <c r="F612" s="13" t="s">
        <v>214</v>
      </c>
      <c r="G612" s="13" t="s">
        <v>55</v>
      </c>
      <c r="H612">
        <v>120000</v>
      </c>
      <c r="I612" s="13" t="s">
        <v>121</v>
      </c>
      <c r="J612" s="13" t="s">
        <v>122</v>
      </c>
      <c r="K612" s="13" t="s">
        <v>107</v>
      </c>
      <c r="L612" s="13" t="s">
        <v>88</v>
      </c>
      <c r="M612">
        <v>60</v>
      </c>
      <c r="N612">
        <v>0</v>
      </c>
      <c r="O612" s="14">
        <v>45967</v>
      </c>
      <c r="P612" s="14">
        <v>46027</v>
      </c>
      <c r="Q612">
        <v>917.53</v>
      </c>
      <c r="R612">
        <v>0</v>
      </c>
      <c r="S612">
        <v>0</v>
      </c>
      <c r="T612">
        <v>0</v>
      </c>
      <c r="U612">
        <v>0</v>
      </c>
      <c r="V612">
        <v>917.53</v>
      </c>
      <c r="W612">
        <v>0</v>
      </c>
      <c r="X612">
        <v>1</v>
      </c>
      <c r="Y612">
        <v>0</v>
      </c>
      <c r="Z612">
        <v>-5</v>
      </c>
      <c r="AA612">
        <v>1</v>
      </c>
      <c r="AB612" s="13" t="s">
        <v>581</v>
      </c>
      <c r="AC612">
        <v>0</v>
      </c>
      <c r="AD612">
        <v>0</v>
      </c>
      <c r="AE612" s="13" t="s">
        <v>61</v>
      </c>
    </row>
    <row r="613" spans="1:31" x14ac:dyDescent="0.35">
      <c r="A613" s="13" t="s">
        <v>1135</v>
      </c>
      <c r="B613" s="13" t="s">
        <v>788</v>
      </c>
      <c r="C613" s="13" t="s">
        <v>789</v>
      </c>
      <c r="D613" s="13" t="s">
        <v>52</v>
      </c>
      <c r="E613" s="13" t="s">
        <v>53</v>
      </c>
      <c r="F613" s="13" t="s">
        <v>54</v>
      </c>
      <c r="G613" s="13" t="s">
        <v>67</v>
      </c>
      <c r="H613">
        <v>405000</v>
      </c>
      <c r="I613" s="13" t="s">
        <v>86</v>
      </c>
      <c r="J613" s="13" t="s">
        <v>87</v>
      </c>
      <c r="K613" s="13" t="s">
        <v>58</v>
      </c>
      <c r="L613" s="13" t="s">
        <v>88</v>
      </c>
      <c r="M613">
        <v>60</v>
      </c>
      <c r="N613">
        <v>0</v>
      </c>
      <c r="O613" s="14">
        <v>45967</v>
      </c>
      <c r="P613" s="14">
        <v>46027</v>
      </c>
      <c r="Q613">
        <v>7526.8</v>
      </c>
      <c r="R613">
        <v>0</v>
      </c>
      <c r="S613">
        <v>0</v>
      </c>
      <c r="T613">
        <v>0</v>
      </c>
      <c r="U613">
        <v>0</v>
      </c>
      <c r="V613">
        <v>7526.8</v>
      </c>
      <c r="W613">
        <v>0</v>
      </c>
      <c r="X613">
        <v>1</v>
      </c>
      <c r="Y613">
        <v>0</v>
      </c>
      <c r="Z613">
        <v>-5</v>
      </c>
      <c r="AA613">
        <v>1</v>
      </c>
      <c r="AB613" s="13" t="s">
        <v>581</v>
      </c>
      <c r="AC613">
        <v>0</v>
      </c>
      <c r="AD613">
        <v>0</v>
      </c>
      <c r="AE613" s="13" t="s">
        <v>61</v>
      </c>
    </row>
    <row r="614" spans="1:31" x14ac:dyDescent="0.35">
      <c r="A614" s="13" t="s">
        <v>1136</v>
      </c>
      <c r="B614" s="13" t="s">
        <v>949</v>
      </c>
      <c r="C614" s="13" t="s">
        <v>950</v>
      </c>
      <c r="D614" s="13" t="s">
        <v>52</v>
      </c>
      <c r="E614" s="13" t="s">
        <v>99</v>
      </c>
      <c r="F614" s="13" t="s">
        <v>100</v>
      </c>
      <c r="G614" s="13" t="s">
        <v>67</v>
      </c>
      <c r="H614">
        <v>330000</v>
      </c>
      <c r="I614" s="13" t="s">
        <v>56</v>
      </c>
      <c r="J614" s="13" t="s">
        <v>57</v>
      </c>
      <c r="K614" s="13" t="s">
        <v>58</v>
      </c>
      <c r="L614" s="13" t="s">
        <v>88</v>
      </c>
      <c r="M614">
        <v>60</v>
      </c>
      <c r="N614">
        <v>0</v>
      </c>
      <c r="O614" s="14">
        <v>45967</v>
      </c>
      <c r="P614" s="14">
        <v>46027</v>
      </c>
      <c r="Q614">
        <v>15297.41</v>
      </c>
      <c r="R614">
        <v>0</v>
      </c>
      <c r="S614">
        <v>0</v>
      </c>
      <c r="T614">
        <v>0</v>
      </c>
      <c r="U614">
        <v>0</v>
      </c>
      <c r="V614">
        <v>15297.41</v>
      </c>
      <c r="W614">
        <v>0</v>
      </c>
      <c r="X614">
        <v>1</v>
      </c>
      <c r="Y614">
        <v>0</v>
      </c>
      <c r="Z614">
        <v>-5</v>
      </c>
      <c r="AA614">
        <v>1</v>
      </c>
      <c r="AB614" s="13" t="s">
        <v>581</v>
      </c>
      <c r="AC614">
        <v>0</v>
      </c>
      <c r="AD614">
        <v>0</v>
      </c>
      <c r="AE614" s="13" t="s">
        <v>61</v>
      </c>
    </row>
    <row r="615" spans="1:31" x14ac:dyDescent="0.35">
      <c r="A615" s="13" t="s">
        <v>1137</v>
      </c>
      <c r="B615" s="13" t="s">
        <v>879</v>
      </c>
      <c r="C615" s="13" t="s">
        <v>880</v>
      </c>
      <c r="D615" s="13" t="s">
        <v>104</v>
      </c>
      <c r="E615" s="13" t="s">
        <v>71</v>
      </c>
      <c r="F615" s="13" t="s">
        <v>214</v>
      </c>
      <c r="G615" s="13" t="s">
        <v>67</v>
      </c>
      <c r="H615">
        <v>135000</v>
      </c>
      <c r="I615" s="13" t="s">
        <v>121</v>
      </c>
      <c r="J615" s="13" t="s">
        <v>122</v>
      </c>
      <c r="K615" s="13" t="s">
        <v>107</v>
      </c>
      <c r="L615" s="13" t="s">
        <v>88</v>
      </c>
      <c r="M615">
        <v>60</v>
      </c>
      <c r="N615">
        <v>0</v>
      </c>
      <c r="O615" s="14">
        <v>45967</v>
      </c>
      <c r="P615" s="14">
        <v>46027</v>
      </c>
      <c r="Q615">
        <v>848.87</v>
      </c>
      <c r="R615">
        <v>0</v>
      </c>
      <c r="S615">
        <v>0</v>
      </c>
      <c r="T615">
        <v>0</v>
      </c>
      <c r="U615">
        <v>0</v>
      </c>
      <c r="V615">
        <v>848.87</v>
      </c>
      <c r="W615">
        <v>0</v>
      </c>
      <c r="X615">
        <v>1</v>
      </c>
      <c r="Y615">
        <v>0</v>
      </c>
      <c r="Z615">
        <v>-5</v>
      </c>
      <c r="AA615">
        <v>1</v>
      </c>
      <c r="AB615" s="13" t="s">
        <v>581</v>
      </c>
      <c r="AC615">
        <v>0</v>
      </c>
      <c r="AD615">
        <v>0</v>
      </c>
      <c r="AE615" s="13" t="s">
        <v>61</v>
      </c>
    </row>
    <row r="616" spans="1:31" x14ac:dyDescent="0.35">
      <c r="A616" s="13" t="s">
        <v>1138</v>
      </c>
      <c r="B616" s="13" t="s">
        <v>113</v>
      </c>
      <c r="C616" s="13" t="s">
        <v>114</v>
      </c>
      <c r="D616" s="13" t="s">
        <v>52</v>
      </c>
      <c r="E616" s="13" t="s">
        <v>77</v>
      </c>
      <c r="F616" s="13" t="s">
        <v>78</v>
      </c>
      <c r="G616" s="13" t="s">
        <v>92</v>
      </c>
      <c r="H616">
        <v>545000</v>
      </c>
      <c r="I616" s="13" t="s">
        <v>86</v>
      </c>
      <c r="J616" s="13" t="s">
        <v>87</v>
      </c>
      <c r="K616" s="13" t="s">
        <v>58</v>
      </c>
      <c r="L616" s="13" t="s">
        <v>88</v>
      </c>
      <c r="M616">
        <v>60</v>
      </c>
      <c r="N616">
        <v>0</v>
      </c>
      <c r="O616" s="14">
        <v>45967</v>
      </c>
      <c r="P616" s="14">
        <v>46027</v>
      </c>
      <c r="Q616">
        <v>6996.43</v>
      </c>
      <c r="R616">
        <v>0</v>
      </c>
      <c r="S616">
        <v>0</v>
      </c>
      <c r="T616">
        <v>0</v>
      </c>
      <c r="U616">
        <v>0</v>
      </c>
      <c r="V616">
        <v>6996.43</v>
      </c>
      <c r="W616">
        <v>0</v>
      </c>
      <c r="X616">
        <v>1</v>
      </c>
      <c r="Y616">
        <v>0</v>
      </c>
      <c r="Z616">
        <v>-5</v>
      </c>
      <c r="AA616">
        <v>1</v>
      </c>
      <c r="AB616" s="13" t="s">
        <v>581</v>
      </c>
      <c r="AC616">
        <v>0</v>
      </c>
      <c r="AD616">
        <v>0</v>
      </c>
      <c r="AE616" s="13" t="s">
        <v>61</v>
      </c>
    </row>
    <row r="617" spans="1:31" x14ac:dyDescent="0.35">
      <c r="A617" s="13" t="s">
        <v>1139</v>
      </c>
      <c r="B617" s="13" t="s">
        <v>244</v>
      </c>
      <c r="C617" s="13" t="s">
        <v>245</v>
      </c>
      <c r="D617" s="13" t="s">
        <v>52</v>
      </c>
      <c r="E617" s="13" t="s">
        <v>65</v>
      </c>
      <c r="F617" s="13" t="s">
        <v>111</v>
      </c>
      <c r="G617" s="13" t="s">
        <v>55</v>
      </c>
      <c r="H617">
        <v>590000</v>
      </c>
      <c r="I617" s="13" t="s">
        <v>86</v>
      </c>
      <c r="J617" s="13" t="s">
        <v>87</v>
      </c>
      <c r="K617" s="13" t="s">
        <v>58</v>
      </c>
      <c r="L617" s="13" t="s">
        <v>59</v>
      </c>
      <c r="M617">
        <v>45</v>
      </c>
      <c r="N617">
        <v>0</v>
      </c>
      <c r="O617" s="14">
        <v>45968</v>
      </c>
      <c r="P617" s="14">
        <v>46013</v>
      </c>
      <c r="Q617">
        <v>7634.37</v>
      </c>
      <c r="R617">
        <v>0</v>
      </c>
      <c r="S617">
        <v>0</v>
      </c>
      <c r="T617">
        <v>0</v>
      </c>
      <c r="U617">
        <v>0</v>
      </c>
      <c r="V617">
        <v>7634.37</v>
      </c>
      <c r="W617">
        <v>0</v>
      </c>
      <c r="X617">
        <v>1</v>
      </c>
      <c r="Y617">
        <v>1</v>
      </c>
      <c r="Z617">
        <v>9</v>
      </c>
      <c r="AA617">
        <v>2</v>
      </c>
      <c r="AB617" s="13" t="s">
        <v>405</v>
      </c>
      <c r="AC617">
        <v>0.25</v>
      </c>
      <c r="AD617">
        <v>0</v>
      </c>
      <c r="AE617" s="13" t="s">
        <v>61</v>
      </c>
    </row>
    <row r="618" spans="1:31" x14ac:dyDescent="0.35">
      <c r="A618" s="13" t="s">
        <v>1140</v>
      </c>
      <c r="B618" s="13" t="s">
        <v>216</v>
      </c>
      <c r="C618" s="13" t="s">
        <v>217</v>
      </c>
      <c r="D618" s="13" t="s">
        <v>52</v>
      </c>
      <c r="E618" s="13" t="s">
        <v>65</v>
      </c>
      <c r="F618" s="13" t="s">
        <v>66</v>
      </c>
      <c r="G618" s="13" t="s">
        <v>67</v>
      </c>
      <c r="H618">
        <v>515000</v>
      </c>
      <c r="I618" s="13" t="s">
        <v>86</v>
      </c>
      <c r="J618" s="13" t="s">
        <v>87</v>
      </c>
      <c r="K618" s="13" t="s">
        <v>58</v>
      </c>
      <c r="L618" s="13" t="s">
        <v>88</v>
      </c>
      <c r="M618">
        <v>60</v>
      </c>
      <c r="N618">
        <v>0</v>
      </c>
      <c r="O618" s="14">
        <v>45968</v>
      </c>
      <c r="P618" s="14">
        <v>46028</v>
      </c>
      <c r="Q618">
        <v>1971.57</v>
      </c>
      <c r="R618">
        <v>0</v>
      </c>
      <c r="S618">
        <v>0</v>
      </c>
      <c r="T618">
        <v>0</v>
      </c>
      <c r="U618">
        <v>0</v>
      </c>
      <c r="V618">
        <v>1971.57</v>
      </c>
      <c r="W618">
        <v>0</v>
      </c>
      <c r="X618">
        <v>1</v>
      </c>
      <c r="Y618">
        <v>0</v>
      </c>
      <c r="Z618">
        <v>-6</v>
      </c>
      <c r="AA618">
        <v>1</v>
      </c>
      <c r="AB618" s="13" t="s">
        <v>581</v>
      </c>
      <c r="AC618">
        <v>0</v>
      </c>
      <c r="AD618">
        <v>0</v>
      </c>
      <c r="AE618" s="13" t="s">
        <v>61</v>
      </c>
    </row>
    <row r="619" spans="1:31" x14ac:dyDescent="0.35">
      <c r="A619" s="13" t="s">
        <v>1141</v>
      </c>
      <c r="B619" s="13" t="s">
        <v>910</v>
      </c>
      <c r="C619" s="13" t="s">
        <v>911</v>
      </c>
      <c r="D619" s="13" t="s">
        <v>52</v>
      </c>
      <c r="E619" s="13" t="s">
        <v>53</v>
      </c>
      <c r="F619" s="13" t="s">
        <v>135</v>
      </c>
      <c r="G619" s="13" t="s">
        <v>55</v>
      </c>
      <c r="H619">
        <v>240000</v>
      </c>
      <c r="I619" s="13" t="s">
        <v>56</v>
      </c>
      <c r="J619" s="13" t="s">
        <v>57</v>
      </c>
      <c r="K619" s="13" t="s">
        <v>58</v>
      </c>
      <c r="L619" s="13" t="s">
        <v>88</v>
      </c>
      <c r="M619">
        <v>60</v>
      </c>
      <c r="N619">
        <v>0</v>
      </c>
      <c r="O619" s="14">
        <v>45968</v>
      </c>
      <c r="P619" s="14">
        <v>46028</v>
      </c>
      <c r="Q619">
        <v>2771.9</v>
      </c>
      <c r="R619">
        <v>0</v>
      </c>
      <c r="S619">
        <v>0</v>
      </c>
      <c r="T619">
        <v>0</v>
      </c>
      <c r="U619">
        <v>0</v>
      </c>
      <c r="V619">
        <v>2771.9</v>
      </c>
      <c r="W619">
        <v>0</v>
      </c>
      <c r="X619">
        <v>1</v>
      </c>
      <c r="Y619">
        <v>0</v>
      </c>
      <c r="Z619">
        <v>-6</v>
      </c>
      <c r="AA619">
        <v>1</v>
      </c>
      <c r="AB619" s="13" t="s">
        <v>581</v>
      </c>
      <c r="AC619">
        <v>0</v>
      </c>
      <c r="AD619">
        <v>0</v>
      </c>
      <c r="AE619" s="13" t="s">
        <v>61</v>
      </c>
    </row>
    <row r="620" spans="1:31" x14ac:dyDescent="0.35">
      <c r="A620" s="13" t="s">
        <v>1142</v>
      </c>
      <c r="B620" s="13" t="s">
        <v>165</v>
      </c>
      <c r="C620" s="13" t="s">
        <v>166</v>
      </c>
      <c r="D620" s="13" t="s">
        <v>104</v>
      </c>
      <c r="E620" s="13" t="s">
        <v>53</v>
      </c>
      <c r="F620" s="13" t="s">
        <v>135</v>
      </c>
      <c r="G620" s="13" t="s">
        <v>67</v>
      </c>
      <c r="H620">
        <v>55000</v>
      </c>
      <c r="I620" s="13" t="s">
        <v>121</v>
      </c>
      <c r="J620" s="13" t="s">
        <v>122</v>
      </c>
      <c r="K620" s="13" t="s">
        <v>107</v>
      </c>
      <c r="L620" s="13" t="s">
        <v>88</v>
      </c>
      <c r="M620">
        <v>60</v>
      </c>
      <c r="N620">
        <v>0</v>
      </c>
      <c r="O620" s="14">
        <v>45968</v>
      </c>
      <c r="P620" s="14">
        <v>46028</v>
      </c>
      <c r="Q620">
        <v>1798.65</v>
      </c>
      <c r="R620">
        <v>0</v>
      </c>
      <c r="S620">
        <v>0</v>
      </c>
      <c r="T620">
        <v>0</v>
      </c>
      <c r="U620">
        <v>0</v>
      </c>
      <c r="V620">
        <v>1798.65</v>
      </c>
      <c r="W620">
        <v>0</v>
      </c>
      <c r="X620">
        <v>1</v>
      </c>
      <c r="Y620">
        <v>0</v>
      </c>
      <c r="Z620">
        <v>-6</v>
      </c>
      <c r="AA620">
        <v>1</v>
      </c>
      <c r="AB620" s="13" t="s">
        <v>581</v>
      </c>
      <c r="AC620">
        <v>0</v>
      </c>
      <c r="AD620">
        <v>0</v>
      </c>
      <c r="AE620" s="13" t="s">
        <v>61</v>
      </c>
    </row>
    <row r="621" spans="1:31" x14ac:dyDescent="0.35">
      <c r="A621" s="13" t="s">
        <v>1143</v>
      </c>
      <c r="B621" s="13" t="s">
        <v>885</v>
      </c>
      <c r="C621" s="13" t="s">
        <v>886</v>
      </c>
      <c r="D621" s="13" t="s">
        <v>126</v>
      </c>
      <c r="E621" s="13" t="s">
        <v>99</v>
      </c>
      <c r="F621" s="13" t="s">
        <v>100</v>
      </c>
      <c r="G621" s="13" t="s">
        <v>67</v>
      </c>
      <c r="H621">
        <v>70000</v>
      </c>
      <c r="I621" s="13" t="s">
        <v>121</v>
      </c>
      <c r="J621" s="13" t="s">
        <v>122</v>
      </c>
      <c r="K621" s="13" t="s">
        <v>107</v>
      </c>
      <c r="L621" s="13" t="s">
        <v>88</v>
      </c>
      <c r="M621">
        <v>60</v>
      </c>
      <c r="N621">
        <v>0</v>
      </c>
      <c r="O621" s="14">
        <v>45968</v>
      </c>
      <c r="P621" s="14">
        <v>46028</v>
      </c>
      <c r="Q621">
        <v>9276.35</v>
      </c>
      <c r="R621">
        <v>0</v>
      </c>
      <c r="S621">
        <v>0</v>
      </c>
      <c r="T621">
        <v>0</v>
      </c>
      <c r="U621">
        <v>0</v>
      </c>
      <c r="V621">
        <v>9276.35</v>
      </c>
      <c r="W621">
        <v>0</v>
      </c>
      <c r="X621">
        <v>1</v>
      </c>
      <c r="Y621">
        <v>0</v>
      </c>
      <c r="Z621">
        <v>-6</v>
      </c>
      <c r="AA621">
        <v>1</v>
      </c>
      <c r="AB621" s="13" t="s">
        <v>581</v>
      </c>
      <c r="AC621">
        <v>0</v>
      </c>
      <c r="AD621">
        <v>0</v>
      </c>
      <c r="AE621" s="13" t="s">
        <v>61</v>
      </c>
    </row>
    <row r="622" spans="1:31" x14ac:dyDescent="0.35">
      <c r="A622" s="13" t="s">
        <v>1144</v>
      </c>
      <c r="B622" s="13" t="s">
        <v>914</v>
      </c>
      <c r="C622" s="13" t="s">
        <v>915</v>
      </c>
      <c r="D622" s="13" t="s">
        <v>76</v>
      </c>
      <c r="E622" s="13" t="s">
        <v>99</v>
      </c>
      <c r="F622" s="13" t="s">
        <v>100</v>
      </c>
      <c r="G622" s="13" t="s">
        <v>55</v>
      </c>
      <c r="H622">
        <v>95000</v>
      </c>
      <c r="I622" s="13" t="s">
        <v>93</v>
      </c>
      <c r="J622" s="13" t="s">
        <v>94</v>
      </c>
      <c r="K622" s="13" t="s">
        <v>81</v>
      </c>
      <c r="L622" s="13" t="s">
        <v>95</v>
      </c>
      <c r="M622">
        <v>30</v>
      </c>
      <c r="N622">
        <v>0</v>
      </c>
      <c r="O622" s="14">
        <v>45968</v>
      </c>
      <c r="P622" s="14">
        <v>45998</v>
      </c>
      <c r="Q622">
        <v>451.19</v>
      </c>
      <c r="R622">
        <v>0</v>
      </c>
      <c r="S622">
        <v>0</v>
      </c>
      <c r="T622">
        <v>0</v>
      </c>
      <c r="U622">
        <v>0</v>
      </c>
      <c r="V622">
        <v>451.19</v>
      </c>
      <c r="W622">
        <v>0</v>
      </c>
      <c r="X622">
        <v>1</v>
      </c>
      <c r="Y622">
        <v>1</v>
      </c>
      <c r="Z622">
        <v>24</v>
      </c>
      <c r="AA622">
        <v>2</v>
      </c>
      <c r="AB622" s="13" t="s">
        <v>405</v>
      </c>
      <c r="AC622">
        <v>0.25</v>
      </c>
      <c r="AD622">
        <v>1</v>
      </c>
      <c r="AE622" s="13" t="s">
        <v>377</v>
      </c>
    </row>
    <row r="623" spans="1:31" x14ac:dyDescent="0.35">
      <c r="A623" s="13" t="s">
        <v>1145</v>
      </c>
      <c r="B623" s="13" t="s">
        <v>418</v>
      </c>
      <c r="C623" s="13" t="s">
        <v>419</v>
      </c>
      <c r="D623" s="13" t="s">
        <v>52</v>
      </c>
      <c r="E623" s="13" t="s">
        <v>99</v>
      </c>
      <c r="F623" s="13" t="s">
        <v>100</v>
      </c>
      <c r="G623" s="13" t="s">
        <v>67</v>
      </c>
      <c r="H623">
        <v>535000</v>
      </c>
      <c r="I623" s="13" t="s">
        <v>86</v>
      </c>
      <c r="J623" s="13" t="s">
        <v>87</v>
      </c>
      <c r="K623" s="13" t="s">
        <v>58</v>
      </c>
      <c r="L623" s="13" t="s">
        <v>59</v>
      </c>
      <c r="M623">
        <v>45</v>
      </c>
      <c r="N623">
        <v>0</v>
      </c>
      <c r="O623" s="14">
        <v>45968</v>
      </c>
      <c r="P623" s="14">
        <v>46013</v>
      </c>
      <c r="Q623">
        <v>6594.22</v>
      </c>
      <c r="R623">
        <v>0</v>
      </c>
      <c r="S623">
        <v>0</v>
      </c>
      <c r="T623">
        <v>0</v>
      </c>
      <c r="U623">
        <v>0</v>
      </c>
      <c r="V623">
        <v>6594.22</v>
      </c>
      <c r="W623">
        <v>0</v>
      </c>
      <c r="X623">
        <v>1</v>
      </c>
      <c r="Y623">
        <v>1</v>
      </c>
      <c r="Z623">
        <v>9</v>
      </c>
      <c r="AA623">
        <v>2</v>
      </c>
      <c r="AB623" s="13" t="s">
        <v>405</v>
      </c>
      <c r="AC623">
        <v>0.25</v>
      </c>
      <c r="AD623">
        <v>0</v>
      </c>
      <c r="AE623" s="13" t="s">
        <v>61</v>
      </c>
    </row>
    <row r="624" spans="1:31" x14ac:dyDescent="0.35">
      <c r="A624" s="13" t="s">
        <v>1146</v>
      </c>
      <c r="B624" s="13" t="s">
        <v>596</v>
      </c>
      <c r="C624" s="13" t="s">
        <v>597</v>
      </c>
      <c r="D624" s="13" t="s">
        <v>126</v>
      </c>
      <c r="E624" s="13" t="s">
        <v>65</v>
      </c>
      <c r="F624" s="13" t="s">
        <v>111</v>
      </c>
      <c r="G624" s="13" t="s">
        <v>67</v>
      </c>
      <c r="H624">
        <v>165000</v>
      </c>
      <c r="I624" s="13" t="s">
        <v>56</v>
      </c>
      <c r="J624" s="13" t="s">
        <v>57</v>
      </c>
      <c r="K624" s="13" t="s">
        <v>58</v>
      </c>
      <c r="L624" s="13" t="s">
        <v>88</v>
      </c>
      <c r="M624">
        <v>60</v>
      </c>
      <c r="N624">
        <v>0</v>
      </c>
      <c r="O624" s="14">
        <v>45968</v>
      </c>
      <c r="P624" s="14">
        <v>46028</v>
      </c>
      <c r="Q624">
        <v>6934.92</v>
      </c>
      <c r="R624">
        <v>0</v>
      </c>
      <c r="S624">
        <v>0</v>
      </c>
      <c r="T624">
        <v>0</v>
      </c>
      <c r="U624">
        <v>0</v>
      </c>
      <c r="V624">
        <v>6934.92</v>
      </c>
      <c r="W624">
        <v>0</v>
      </c>
      <c r="X624">
        <v>1</v>
      </c>
      <c r="Y624">
        <v>0</v>
      </c>
      <c r="Z624">
        <v>-6</v>
      </c>
      <c r="AA624">
        <v>1</v>
      </c>
      <c r="AB624" s="13" t="s">
        <v>581</v>
      </c>
      <c r="AC624">
        <v>0</v>
      </c>
      <c r="AD624">
        <v>0</v>
      </c>
      <c r="AE624" s="13" t="s">
        <v>61</v>
      </c>
    </row>
    <row r="625" spans="1:31" x14ac:dyDescent="0.35">
      <c r="A625" s="13" t="s">
        <v>1147</v>
      </c>
      <c r="B625" s="13" t="s">
        <v>109</v>
      </c>
      <c r="C625" s="13" t="s">
        <v>110</v>
      </c>
      <c r="D625" s="13" t="s">
        <v>52</v>
      </c>
      <c r="E625" s="13" t="s">
        <v>65</v>
      </c>
      <c r="F625" s="13" t="s">
        <v>111</v>
      </c>
      <c r="G625" s="13" t="s">
        <v>67</v>
      </c>
      <c r="H625">
        <v>455000</v>
      </c>
      <c r="I625" s="13" t="s">
        <v>86</v>
      </c>
      <c r="J625" s="13" t="s">
        <v>87</v>
      </c>
      <c r="K625" s="13" t="s">
        <v>58</v>
      </c>
      <c r="L625" s="13" t="s">
        <v>59</v>
      </c>
      <c r="M625">
        <v>45</v>
      </c>
      <c r="N625">
        <v>0</v>
      </c>
      <c r="O625" s="14">
        <v>45968</v>
      </c>
      <c r="P625" s="14">
        <v>46013</v>
      </c>
      <c r="Q625">
        <v>10752.35</v>
      </c>
      <c r="R625">
        <v>0</v>
      </c>
      <c r="S625">
        <v>0</v>
      </c>
      <c r="T625">
        <v>0</v>
      </c>
      <c r="U625">
        <v>0</v>
      </c>
      <c r="V625">
        <v>10752.35</v>
      </c>
      <c r="W625">
        <v>0</v>
      </c>
      <c r="X625">
        <v>1</v>
      </c>
      <c r="Y625">
        <v>1</v>
      </c>
      <c r="Z625">
        <v>9</v>
      </c>
      <c r="AA625">
        <v>2</v>
      </c>
      <c r="AB625" s="13" t="s">
        <v>405</v>
      </c>
      <c r="AC625">
        <v>0.25</v>
      </c>
      <c r="AD625">
        <v>0</v>
      </c>
      <c r="AE625" s="13" t="s">
        <v>61</v>
      </c>
    </row>
    <row r="626" spans="1:31" x14ac:dyDescent="0.35">
      <c r="A626" s="13" t="s">
        <v>1148</v>
      </c>
      <c r="B626" s="13" t="s">
        <v>525</v>
      </c>
      <c r="C626" s="13" t="s">
        <v>526</v>
      </c>
      <c r="D626" s="13" t="s">
        <v>126</v>
      </c>
      <c r="E626" s="13" t="s">
        <v>53</v>
      </c>
      <c r="F626" s="13" t="s">
        <v>54</v>
      </c>
      <c r="G626" s="13" t="s">
        <v>67</v>
      </c>
      <c r="H626">
        <v>95000</v>
      </c>
      <c r="I626" s="13" t="s">
        <v>105</v>
      </c>
      <c r="J626" s="13" t="s">
        <v>106</v>
      </c>
      <c r="K626" s="13" t="s">
        <v>107</v>
      </c>
      <c r="L626" s="13" t="s">
        <v>368</v>
      </c>
      <c r="M626">
        <v>90</v>
      </c>
      <c r="N626">
        <v>0</v>
      </c>
      <c r="O626" s="14">
        <v>45968</v>
      </c>
      <c r="P626" s="14">
        <v>46058</v>
      </c>
      <c r="Q626">
        <v>2508.25</v>
      </c>
      <c r="R626">
        <v>0</v>
      </c>
      <c r="S626">
        <v>0</v>
      </c>
      <c r="T626">
        <v>0</v>
      </c>
      <c r="U626">
        <v>0</v>
      </c>
      <c r="V626">
        <v>2508.25</v>
      </c>
      <c r="W626">
        <v>0</v>
      </c>
      <c r="X626">
        <v>1</v>
      </c>
      <c r="Y626">
        <v>0</v>
      </c>
      <c r="Z626">
        <v>-36</v>
      </c>
      <c r="AA626">
        <v>1</v>
      </c>
      <c r="AB626" s="13" t="s">
        <v>581</v>
      </c>
      <c r="AC626">
        <v>0</v>
      </c>
      <c r="AD626">
        <v>0</v>
      </c>
      <c r="AE626" s="13" t="s">
        <v>61</v>
      </c>
    </row>
    <row r="627" spans="1:31" x14ac:dyDescent="0.35">
      <c r="A627" s="13" t="s">
        <v>1149</v>
      </c>
      <c r="B627" s="13" t="s">
        <v>1150</v>
      </c>
      <c r="C627" s="13" t="s">
        <v>1151</v>
      </c>
      <c r="D627" s="13" t="s">
        <v>76</v>
      </c>
      <c r="E627" s="13" t="s">
        <v>77</v>
      </c>
      <c r="F627" s="13" t="s">
        <v>174</v>
      </c>
      <c r="G627" s="13" t="s">
        <v>92</v>
      </c>
      <c r="H627">
        <v>50000</v>
      </c>
      <c r="I627" s="13" t="s">
        <v>79</v>
      </c>
      <c r="J627" s="13" t="s">
        <v>80</v>
      </c>
      <c r="K627" s="13" t="s">
        <v>81</v>
      </c>
      <c r="L627" s="13" t="s">
        <v>82</v>
      </c>
      <c r="M627">
        <v>30</v>
      </c>
      <c r="N627">
        <v>2</v>
      </c>
      <c r="O627" s="14">
        <v>45968</v>
      </c>
      <c r="P627" s="14">
        <v>45998</v>
      </c>
      <c r="Q627">
        <v>3066.33</v>
      </c>
      <c r="R627">
        <v>0</v>
      </c>
      <c r="S627">
        <v>0</v>
      </c>
      <c r="T627">
        <v>0</v>
      </c>
      <c r="U627">
        <v>0</v>
      </c>
      <c r="V627">
        <v>3066.33</v>
      </c>
      <c r="W627">
        <v>0</v>
      </c>
      <c r="X627">
        <v>1</v>
      </c>
      <c r="Y627">
        <v>1</v>
      </c>
      <c r="Z627">
        <v>24</v>
      </c>
      <c r="AA627">
        <v>2</v>
      </c>
      <c r="AB627" s="13" t="s">
        <v>405</v>
      </c>
      <c r="AC627">
        <v>0.25</v>
      </c>
      <c r="AD627">
        <v>0</v>
      </c>
      <c r="AE627" s="13" t="s">
        <v>61</v>
      </c>
    </row>
    <row r="628" spans="1:31" x14ac:dyDescent="0.35">
      <c r="A628" s="13" t="s">
        <v>1152</v>
      </c>
      <c r="B628" s="13" t="s">
        <v>516</v>
      </c>
      <c r="C628" s="13" t="s">
        <v>517</v>
      </c>
      <c r="D628" s="13" t="s">
        <v>52</v>
      </c>
      <c r="E628" s="13" t="s">
        <v>65</v>
      </c>
      <c r="F628" s="13" t="s">
        <v>66</v>
      </c>
      <c r="G628" s="13" t="s">
        <v>55</v>
      </c>
      <c r="H628">
        <v>305000</v>
      </c>
      <c r="I628" s="13" t="s">
        <v>56</v>
      </c>
      <c r="J628" s="13" t="s">
        <v>57</v>
      </c>
      <c r="K628" s="13" t="s">
        <v>58</v>
      </c>
      <c r="L628" s="13" t="s">
        <v>88</v>
      </c>
      <c r="M628">
        <v>60</v>
      </c>
      <c r="N628">
        <v>0</v>
      </c>
      <c r="O628" s="14">
        <v>45968</v>
      </c>
      <c r="P628" s="14">
        <v>46028</v>
      </c>
      <c r="Q628">
        <v>5671.45</v>
      </c>
      <c r="R628">
        <v>0</v>
      </c>
      <c r="S628">
        <v>0</v>
      </c>
      <c r="T628">
        <v>0</v>
      </c>
      <c r="U628">
        <v>0</v>
      </c>
      <c r="V628">
        <v>5671.45</v>
      </c>
      <c r="W628">
        <v>0</v>
      </c>
      <c r="X628">
        <v>1</v>
      </c>
      <c r="Y628">
        <v>0</v>
      </c>
      <c r="Z628">
        <v>-6</v>
      </c>
      <c r="AA628">
        <v>1</v>
      </c>
      <c r="AB628" s="13" t="s">
        <v>581</v>
      </c>
      <c r="AC628">
        <v>0</v>
      </c>
      <c r="AD628">
        <v>0</v>
      </c>
      <c r="AE628" s="13" t="s">
        <v>61</v>
      </c>
    </row>
    <row r="629" spans="1:31" x14ac:dyDescent="0.35">
      <c r="A629" s="13" t="s">
        <v>1153</v>
      </c>
      <c r="B629" s="13" t="s">
        <v>899</v>
      </c>
      <c r="C629" s="13" t="s">
        <v>900</v>
      </c>
      <c r="D629" s="13" t="s">
        <v>76</v>
      </c>
      <c r="E629" s="13" t="s">
        <v>71</v>
      </c>
      <c r="F629" s="13" t="s">
        <v>72</v>
      </c>
      <c r="G629" s="13" t="s">
        <v>92</v>
      </c>
      <c r="H629">
        <v>85000</v>
      </c>
      <c r="I629" s="13" t="s">
        <v>93</v>
      </c>
      <c r="J629" s="13" t="s">
        <v>94</v>
      </c>
      <c r="K629" s="13" t="s">
        <v>81</v>
      </c>
      <c r="L629" s="13" t="s">
        <v>82</v>
      </c>
      <c r="M629">
        <v>30</v>
      </c>
      <c r="N629">
        <v>2</v>
      </c>
      <c r="O629" s="14">
        <v>45968</v>
      </c>
      <c r="P629" s="14">
        <v>45998</v>
      </c>
      <c r="Q629">
        <v>1521.65</v>
      </c>
      <c r="R629">
        <v>0</v>
      </c>
      <c r="S629">
        <v>0</v>
      </c>
      <c r="T629">
        <v>0</v>
      </c>
      <c r="U629">
        <v>0</v>
      </c>
      <c r="V629">
        <v>1521.65</v>
      </c>
      <c r="W629">
        <v>0</v>
      </c>
      <c r="X629">
        <v>1</v>
      </c>
      <c r="Y629">
        <v>1</v>
      </c>
      <c r="Z629">
        <v>24</v>
      </c>
      <c r="AA629">
        <v>2</v>
      </c>
      <c r="AB629" s="13" t="s">
        <v>405</v>
      </c>
      <c r="AC629">
        <v>0.25</v>
      </c>
      <c r="AD629">
        <v>1</v>
      </c>
      <c r="AE629" s="13" t="s">
        <v>465</v>
      </c>
    </row>
    <row r="630" spans="1:31" x14ac:dyDescent="0.35">
      <c r="A630" s="13" t="s">
        <v>1154</v>
      </c>
      <c r="B630" s="13" t="s">
        <v>1155</v>
      </c>
      <c r="C630" s="13" t="s">
        <v>1156</v>
      </c>
      <c r="D630" s="13" t="s">
        <v>52</v>
      </c>
      <c r="E630" s="13" t="s">
        <v>53</v>
      </c>
      <c r="F630" s="13" t="s">
        <v>54</v>
      </c>
      <c r="G630" s="13" t="s">
        <v>67</v>
      </c>
      <c r="H630">
        <v>420000</v>
      </c>
      <c r="I630" s="13" t="s">
        <v>86</v>
      </c>
      <c r="J630" s="13" t="s">
        <v>87</v>
      </c>
      <c r="K630" s="13" t="s">
        <v>58</v>
      </c>
      <c r="L630" s="13" t="s">
        <v>88</v>
      </c>
      <c r="M630">
        <v>60</v>
      </c>
      <c r="N630">
        <v>0</v>
      </c>
      <c r="O630" s="14">
        <v>45968</v>
      </c>
      <c r="P630" s="14">
        <v>46028</v>
      </c>
      <c r="Q630">
        <v>2768.02</v>
      </c>
      <c r="R630">
        <v>0</v>
      </c>
      <c r="S630">
        <v>0</v>
      </c>
      <c r="T630">
        <v>0</v>
      </c>
      <c r="U630">
        <v>0</v>
      </c>
      <c r="V630">
        <v>2768.02</v>
      </c>
      <c r="W630">
        <v>0</v>
      </c>
      <c r="X630">
        <v>1</v>
      </c>
      <c r="Y630">
        <v>0</v>
      </c>
      <c r="Z630">
        <v>-6</v>
      </c>
      <c r="AA630">
        <v>1</v>
      </c>
      <c r="AB630" s="13" t="s">
        <v>581</v>
      </c>
      <c r="AC630">
        <v>0</v>
      </c>
      <c r="AD630">
        <v>0</v>
      </c>
      <c r="AE630" s="13" t="s">
        <v>61</v>
      </c>
    </row>
    <row r="631" spans="1:31" x14ac:dyDescent="0.35">
      <c r="A631" s="13" t="s">
        <v>1157</v>
      </c>
      <c r="B631" s="13" t="s">
        <v>375</v>
      </c>
      <c r="C631" s="13" t="s">
        <v>376</v>
      </c>
      <c r="D631" s="13" t="s">
        <v>52</v>
      </c>
      <c r="E631" s="13" t="s">
        <v>99</v>
      </c>
      <c r="F631" s="13" t="s">
        <v>100</v>
      </c>
      <c r="G631" s="13" t="s">
        <v>55</v>
      </c>
      <c r="H631">
        <v>395000</v>
      </c>
      <c r="I631" s="13" t="s">
        <v>56</v>
      </c>
      <c r="J631" s="13" t="s">
        <v>57</v>
      </c>
      <c r="K631" s="13" t="s">
        <v>58</v>
      </c>
      <c r="L631" s="13" t="s">
        <v>59</v>
      </c>
      <c r="M631">
        <v>45</v>
      </c>
      <c r="N631">
        <v>0</v>
      </c>
      <c r="O631" s="14">
        <v>45968</v>
      </c>
      <c r="P631" s="14">
        <v>46013</v>
      </c>
      <c r="Q631">
        <v>3001.9</v>
      </c>
      <c r="R631">
        <v>0</v>
      </c>
      <c r="S631">
        <v>0</v>
      </c>
      <c r="T631">
        <v>0</v>
      </c>
      <c r="U631">
        <v>0</v>
      </c>
      <c r="V631">
        <v>3001.9</v>
      </c>
      <c r="W631">
        <v>0</v>
      </c>
      <c r="X631">
        <v>1</v>
      </c>
      <c r="Y631">
        <v>1</v>
      </c>
      <c r="Z631">
        <v>9</v>
      </c>
      <c r="AA631">
        <v>2</v>
      </c>
      <c r="AB631" s="13" t="s">
        <v>405</v>
      </c>
      <c r="AC631">
        <v>0.25</v>
      </c>
      <c r="AD631">
        <v>0</v>
      </c>
      <c r="AE631" s="13" t="s">
        <v>61</v>
      </c>
    </row>
    <row r="632" spans="1:31" x14ac:dyDescent="0.35">
      <c r="A632" s="13" t="s">
        <v>1158</v>
      </c>
      <c r="B632" s="13" t="s">
        <v>317</v>
      </c>
      <c r="C632" s="13" t="s">
        <v>318</v>
      </c>
      <c r="D632" s="13" t="s">
        <v>52</v>
      </c>
      <c r="E632" s="13" t="s">
        <v>77</v>
      </c>
      <c r="F632" s="13" t="s">
        <v>78</v>
      </c>
      <c r="G632" s="13" t="s">
        <v>67</v>
      </c>
      <c r="H632">
        <v>390000</v>
      </c>
      <c r="I632" s="13" t="s">
        <v>56</v>
      </c>
      <c r="J632" s="13" t="s">
        <v>57</v>
      </c>
      <c r="K632" s="13" t="s">
        <v>58</v>
      </c>
      <c r="L632" s="13" t="s">
        <v>88</v>
      </c>
      <c r="M632">
        <v>60</v>
      </c>
      <c r="N632">
        <v>0</v>
      </c>
      <c r="O632" s="14">
        <v>45968</v>
      </c>
      <c r="P632" s="14">
        <v>46028</v>
      </c>
      <c r="Q632">
        <v>14612.47</v>
      </c>
      <c r="R632">
        <v>0</v>
      </c>
      <c r="S632">
        <v>0</v>
      </c>
      <c r="T632">
        <v>0</v>
      </c>
      <c r="U632">
        <v>0</v>
      </c>
      <c r="V632">
        <v>14612.47</v>
      </c>
      <c r="W632">
        <v>0</v>
      </c>
      <c r="X632">
        <v>1</v>
      </c>
      <c r="Y632">
        <v>0</v>
      </c>
      <c r="Z632">
        <v>-6</v>
      </c>
      <c r="AA632">
        <v>1</v>
      </c>
      <c r="AB632" s="13" t="s">
        <v>581</v>
      </c>
      <c r="AC632">
        <v>0</v>
      </c>
      <c r="AD632">
        <v>0</v>
      </c>
      <c r="AE632" s="13" t="s">
        <v>61</v>
      </c>
    </row>
    <row r="633" spans="1:31" x14ac:dyDescent="0.35">
      <c r="A633" s="13" t="s">
        <v>1159</v>
      </c>
      <c r="B633" s="13" t="s">
        <v>722</v>
      </c>
      <c r="C633" s="13" t="s">
        <v>723</v>
      </c>
      <c r="D633" s="13" t="s">
        <v>104</v>
      </c>
      <c r="E633" s="13" t="s">
        <v>71</v>
      </c>
      <c r="F633" s="13" t="s">
        <v>72</v>
      </c>
      <c r="G633" s="13" t="s">
        <v>67</v>
      </c>
      <c r="H633">
        <v>45000</v>
      </c>
      <c r="I633" s="13" t="s">
        <v>105</v>
      </c>
      <c r="J633" s="13" t="s">
        <v>106</v>
      </c>
      <c r="K633" s="13" t="s">
        <v>107</v>
      </c>
      <c r="L633" s="13" t="s">
        <v>88</v>
      </c>
      <c r="M633">
        <v>60</v>
      </c>
      <c r="N633">
        <v>0</v>
      </c>
      <c r="O633" s="14">
        <v>45968</v>
      </c>
      <c r="P633" s="14">
        <v>46028</v>
      </c>
      <c r="Q633">
        <v>2985.58</v>
      </c>
      <c r="R633">
        <v>0</v>
      </c>
      <c r="S633">
        <v>0</v>
      </c>
      <c r="T633">
        <v>0</v>
      </c>
      <c r="U633">
        <v>0</v>
      </c>
      <c r="V633">
        <v>2985.58</v>
      </c>
      <c r="W633">
        <v>0</v>
      </c>
      <c r="X633">
        <v>1</v>
      </c>
      <c r="Y633">
        <v>0</v>
      </c>
      <c r="Z633">
        <v>-6</v>
      </c>
      <c r="AA633">
        <v>1</v>
      </c>
      <c r="AB633" s="13" t="s">
        <v>581</v>
      </c>
      <c r="AC633">
        <v>0</v>
      </c>
      <c r="AD633">
        <v>0</v>
      </c>
      <c r="AE633" s="13" t="s">
        <v>61</v>
      </c>
    </row>
    <row r="634" spans="1:31" x14ac:dyDescent="0.35">
      <c r="A634" s="13" t="s">
        <v>1160</v>
      </c>
      <c r="B634" s="13" t="s">
        <v>1015</v>
      </c>
      <c r="C634" s="13" t="s">
        <v>1016</v>
      </c>
      <c r="D634" s="13" t="s">
        <v>52</v>
      </c>
      <c r="E634" s="13" t="s">
        <v>77</v>
      </c>
      <c r="F634" s="13" t="s">
        <v>174</v>
      </c>
      <c r="G634" s="13" t="s">
        <v>55</v>
      </c>
      <c r="H634">
        <v>590000</v>
      </c>
      <c r="I634" s="13" t="s">
        <v>56</v>
      </c>
      <c r="J634" s="13" t="s">
        <v>57</v>
      </c>
      <c r="K634" s="13" t="s">
        <v>58</v>
      </c>
      <c r="L634" s="13" t="s">
        <v>59</v>
      </c>
      <c r="M634">
        <v>45</v>
      </c>
      <c r="N634">
        <v>0</v>
      </c>
      <c r="O634" s="14">
        <v>45968</v>
      </c>
      <c r="P634" s="14">
        <v>46013</v>
      </c>
      <c r="Q634">
        <v>6582.43</v>
      </c>
      <c r="R634">
        <v>0</v>
      </c>
      <c r="S634">
        <v>0</v>
      </c>
      <c r="T634">
        <v>0</v>
      </c>
      <c r="U634">
        <v>0</v>
      </c>
      <c r="V634">
        <v>6582.43</v>
      </c>
      <c r="W634">
        <v>0</v>
      </c>
      <c r="X634">
        <v>1</v>
      </c>
      <c r="Y634">
        <v>1</v>
      </c>
      <c r="Z634">
        <v>9</v>
      </c>
      <c r="AA634">
        <v>2</v>
      </c>
      <c r="AB634" s="13" t="s">
        <v>405</v>
      </c>
      <c r="AC634">
        <v>0.25</v>
      </c>
      <c r="AD634">
        <v>0</v>
      </c>
      <c r="AE634" s="13" t="s">
        <v>61</v>
      </c>
    </row>
    <row r="635" spans="1:31" x14ac:dyDescent="0.35">
      <c r="A635" s="13" t="s">
        <v>1161</v>
      </c>
      <c r="B635" s="13" t="s">
        <v>791</v>
      </c>
      <c r="C635" s="13" t="s">
        <v>792</v>
      </c>
      <c r="D635" s="13" t="s">
        <v>104</v>
      </c>
      <c r="E635" s="13" t="s">
        <v>53</v>
      </c>
      <c r="F635" s="13" t="s">
        <v>54</v>
      </c>
      <c r="G635" s="13" t="s">
        <v>67</v>
      </c>
      <c r="H635">
        <v>95000</v>
      </c>
      <c r="I635" s="13" t="s">
        <v>121</v>
      </c>
      <c r="J635" s="13" t="s">
        <v>122</v>
      </c>
      <c r="K635" s="13" t="s">
        <v>107</v>
      </c>
      <c r="L635" s="13" t="s">
        <v>88</v>
      </c>
      <c r="M635">
        <v>60</v>
      </c>
      <c r="N635">
        <v>0</v>
      </c>
      <c r="O635" s="14">
        <v>45968</v>
      </c>
      <c r="P635" s="14">
        <v>46028</v>
      </c>
      <c r="Q635">
        <v>4179.12</v>
      </c>
      <c r="R635">
        <v>0</v>
      </c>
      <c r="S635">
        <v>0</v>
      </c>
      <c r="T635">
        <v>0</v>
      </c>
      <c r="U635">
        <v>0</v>
      </c>
      <c r="V635">
        <v>4179.12</v>
      </c>
      <c r="W635">
        <v>0</v>
      </c>
      <c r="X635">
        <v>1</v>
      </c>
      <c r="Y635">
        <v>0</v>
      </c>
      <c r="Z635">
        <v>-6</v>
      </c>
      <c r="AA635">
        <v>1</v>
      </c>
      <c r="AB635" s="13" t="s">
        <v>581</v>
      </c>
      <c r="AC635">
        <v>0</v>
      </c>
      <c r="AD635">
        <v>0</v>
      </c>
      <c r="AE635" s="13" t="s">
        <v>61</v>
      </c>
    </row>
    <row r="636" spans="1:31" x14ac:dyDescent="0.35">
      <c r="A636" s="13" t="s">
        <v>1162</v>
      </c>
      <c r="B636" s="13" t="s">
        <v>474</v>
      </c>
      <c r="C636" s="13" t="s">
        <v>475</v>
      </c>
      <c r="D636" s="13" t="s">
        <v>126</v>
      </c>
      <c r="E636" s="13" t="s">
        <v>77</v>
      </c>
      <c r="F636" s="13" t="s">
        <v>174</v>
      </c>
      <c r="G636" s="13" t="s">
        <v>67</v>
      </c>
      <c r="H636">
        <v>165000</v>
      </c>
      <c r="I636" s="13" t="s">
        <v>56</v>
      </c>
      <c r="J636" s="13" t="s">
        <v>57</v>
      </c>
      <c r="K636" s="13" t="s">
        <v>58</v>
      </c>
      <c r="L636" s="13" t="s">
        <v>368</v>
      </c>
      <c r="M636">
        <v>90</v>
      </c>
      <c r="N636">
        <v>0</v>
      </c>
      <c r="O636" s="14">
        <v>45968</v>
      </c>
      <c r="P636" s="14">
        <v>46058</v>
      </c>
      <c r="Q636">
        <v>3939.97</v>
      </c>
      <c r="R636">
        <v>0</v>
      </c>
      <c r="S636">
        <v>0</v>
      </c>
      <c r="T636">
        <v>0</v>
      </c>
      <c r="U636">
        <v>0</v>
      </c>
      <c r="V636">
        <v>3939.97</v>
      </c>
      <c r="W636">
        <v>0</v>
      </c>
      <c r="X636">
        <v>1</v>
      </c>
      <c r="Y636">
        <v>0</v>
      </c>
      <c r="Z636">
        <v>-36</v>
      </c>
      <c r="AA636">
        <v>1</v>
      </c>
      <c r="AB636" s="13" t="s">
        <v>581</v>
      </c>
      <c r="AC636">
        <v>0</v>
      </c>
      <c r="AD636">
        <v>0</v>
      </c>
      <c r="AE636" s="13" t="s">
        <v>61</v>
      </c>
    </row>
    <row r="637" spans="1:31" x14ac:dyDescent="0.35">
      <c r="A637" s="13" t="s">
        <v>1163</v>
      </c>
      <c r="B637" s="13" t="s">
        <v>113</v>
      </c>
      <c r="C637" s="13" t="s">
        <v>114</v>
      </c>
      <c r="D637" s="13" t="s">
        <v>52</v>
      </c>
      <c r="E637" s="13" t="s">
        <v>77</v>
      </c>
      <c r="F637" s="13" t="s">
        <v>78</v>
      </c>
      <c r="G637" s="13" t="s">
        <v>92</v>
      </c>
      <c r="H637">
        <v>545000</v>
      </c>
      <c r="I637" s="13" t="s">
        <v>86</v>
      </c>
      <c r="J637" s="13" t="s">
        <v>87</v>
      </c>
      <c r="K637" s="13" t="s">
        <v>58</v>
      </c>
      <c r="L637" s="13" t="s">
        <v>88</v>
      </c>
      <c r="M637">
        <v>60</v>
      </c>
      <c r="N637">
        <v>0</v>
      </c>
      <c r="O637" s="14">
        <v>45968</v>
      </c>
      <c r="P637" s="14">
        <v>46028</v>
      </c>
      <c r="Q637">
        <v>4114.1899999999996</v>
      </c>
      <c r="R637">
        <v>0</v>
      </c>
      <c r="S637">
        <v>0</v>
      </c>
      <c r="T637">
        <v>0</v>
      </c>
      <c r="U637">
        <v>0</v>
      </c>
      <c r="V637">
        <v>4114.1899999999996</v>
      </c>
      <c r="W637">
        <v>0</v>
      </c>
      <c r="X637">
        <v>1</v>
      </c>
      <c r="Y637">
        <v>0</v>
      </c>
      <c r="Z637">
        <v>-6</v>
      </c>
      <c r="AA637">
        <v>1</v>
      </c>
      <c r="AB637" s="13" t="s">
        <v>581</v>
      </c>
      <c r="AC637">
        <v>0</v>
      </c>
      <c r="AD637">
        <v>0</v>
      </c>
      <c r="AE637" s="13" t="s">
        <v>61</v>
      </c>
    </row>
    <row r="638" spans="1:31" x14ac:dyDescent="0.35">
      <c r="A638" s="13" t="s">
        <v>1164</v>
      </c>
      <c r="B638" s="13" t="s">
        <v>1165</v>
      </c>
      <c r="C638" s="13" t="s">
        <v>1166</v>
      </c>
      <c r="D638" s="13" t="s">
        <v>52</v>
      </c>
      <c r="E638" s="13" t="s">
        <v>99</v>
      </c>
      <c r="F638" s="13" t="s">
        <v>127</v>
      </c>
      <c r="G638" s="13" t="s">
        <v>67</v>
      </c>
      <c r="H638">
        <v>370000</v>
      </c>
      <c r="I638" s="13" t="s">
        <v>56</v>
      </c>
      <c r="J638" s="13" t="s">
        <v>57</v>
      </c>
      <c r="K638" s="13" t="s">
        <v>58</v>
      </c>
      <c r="L638" s="13" t="s">
        <v>88</v>
      </c>
      <c r="M638">
        <v>60</v>
      </c>
      <c r="N638">
        <v>0</v>
      </c>
      <c r="O638" s="14">
        <v>45968</v>
      </c>
      <c r="P638" s="14">
        <v>46028</v>
      </c>
      <c r="Q638">
        <v>12258.91</v>
      </c>
      <c r="R638">
        <v>0</v>
      </c>
      <c r="S638">
        <v>0</v>
      </c>
      <c r="T638">
        <v>0</v>
      </c>
      <c r="U638">
        <v>0</v>
      </c>
      <c r="V638">
        <v>12258.91</v>
      </c>
      <c r="W638">
        <v>0</v>
      </c>
      <c r="X638">
        <v>1</v>
      </c>
      <c r="Y638">
        <v>0</v>
      </c>
      <c r="Z638">
        <v>-6</v>
      </c>
      <c r="AA638">
        <v>1</v>
      </c>
      <c r="AB638" s="13" t="s">
        <v>581</v>
      </c>
      <c r="AC638">
        <v>0</v>
      </c>
      <c r="AD638">
        <v>0</v>
      </c>
      <c r="AE638" s="13" t="s">
        <v>61</v>
      </c>
    </row>
    <row r="639" spans="1:31" x14ac:dyDescent="0.35">
      <c r="A639" s="13" t="s">
        <v>1167</v>
      </c>
      <c r="B639" s="13" t="s">
        <v>244</v>
      </c>
      <c r="C639" s="13" t="s">
        <v>245</v>
      </c>
      <c r="D639" s="13" t="s">
        <v>52</v>
      </c>
      <c r="E639" s="13" t="s">
        <v>65</v>
      </c>
      <c r="F639" s="13" t="s">
        <v>111</v>
      </c>
      <c r="G639" s="13" t="s">
        <v>55</v>
      </c>
      <c r="H639">
        <v>590000</v>
      </c>
      <c r="I639" s="13" t="s">
        <v>86</v>
      </c>
      <c r="J639" s="13" t="s">
        <v>87</v>
      </c>
      <c r="K639" s="13" t="s">
        <v>58</v>
      </c>
      <c r="L639" s="13" t="s">
        <v>59</v>
      </c>
      <c r="M639">
        <v>45</v>
      </c>
      <c r="N639">
        <v>0</v>
      </c>
      <c r="O639" s="14">
        <v>45971</v>
      </c>
      <c r="P639" s="14">
        <v>46016</v>
      </c>
      <c r="Q639">
        <v>3325.08</v>
      </c>
      <c r="R639">
        <v>0</v>
      </c>
      <c r="S639">
        <v>0</v>
      </c>
      <c r="T639">
        <v>0</v>
      </c>
      <c r="U639">
        <v>0</v>
      </c>
      <c r="V639">
        <v>3325.08</v>
      </c>
      <c r="W639">
        <v>0</v>
      </c>
      <c r="X639">
        <v>1</v>
      </c>
      <c r="Y639">
        <v>1</v>
      </c>
      <c r="Z639">
        <v>6</v>
      </c>
      <c r="AA639">
        <v>2</v>
      </c>
      <c r="AB639" s="13" t="s">
        <v>405</v>
      </c>
      <c r="AC639">
        <v>0.25</v>
      </c>
      <c r="AD639">
        <v>0</v>
      </c>
      <c r="AE639" s="13" t="s">
        <v>61</v>
      </c>
    </row>
    <row r="640" spans="1:31" x14ac:dyDescent="0.35">
      <c r="A640" s="13" t="s">
        <v>1168</v>
      </c>
      <c r="B640" s="13" t="s">
        <v>216</v>
      </c>
      <c r="C640" s="13" t="s">
        <v>217</v>
      </c>
      <c r="D640" s="13" t="s">
        <v>52</v>
      </c>
      <c r="E640" s="13" t="s">
        <v>65</v>
      </c>
      <c r="F640" s="13" t="s">
        <v>66</v>
      </c>
      <c r="G640" s="13" t="s">
        <v>67</v>
      </c>
      <c r="H640">
        <v>515000</v>
      </c>
      <c r="I640" s="13" t="s">
        <v>86</v>
      </c>
      <c r="J640" s="13" t="s">
        <v>87</v>
      </c>
      <c r="K640" s="13" t="s">
        <v>58</v>
      </c>
      <c r="L640" s="13" t="s">
        <v>88</v>
      </c>
      <c r="M640">
        <v>60</v>
      </c>
      <c r="N640">
        <v>0</v>
      </c>
      <c r="O640" s="14">
        <v>45971</v>
      </c>
      <c r="P640" s="14">
        <v>46031</v>
      </c>
      <c r="Q640">
        <v>16866.740000000002</v>
      </c>
      <c r="R640">
        <v>0</v>
      </c>
      <c r="S640">
        <v>0</v>
      </c>
      <c r="T640">
        <v>0</v>
      </c>
      <c r="U640">
        <v>0</v>
      </c>
      <c r="V640">
        <v>16866.740000000002</v>
      </c>
      <c r="W640">
        <v>0</v>
      </c>
      <c r="X640">
        <v>1</v>
      </c>
      <c r="Y640">
        <v>0</v>
      </c>
      <c r="Z640">
        <v>-9</v>
      </c>
      <c r="AA640">
        <v>1</v>
      </c>
      <c r="AB640" s="13" t="s">
        <v>581</v>
      </c>
      <c r="AC640">
        <v>0</v>
      </c>
      <c r="AD640">
        <v>0</v>
      </c>
      <c r="AE640" s="13" t="s">
        <v>61</v>
      </c>
    </row>
    <row r="641" spans="1:31" x14ac:dyDescent="0.35">
      <c r="A641" s="13" t="s">
        <v>1169</v>
      </c>
      <c r="B641" s="13" t="s">
        <v>137</v>
      </c>
      <c r="C641" s="13" t="s">
        <v>138</v>
      </c>
      <c r="D641" s="13" t="s">
        <v>52</v>
      </c>
      <c r="E641" s="13" t="s">
        <v>53</v>
      </c>
      <c r="F641" s="13" t="s">
        <v>135</v>
      </c>
      <c r="G641" s="13" t="s">
        <v>92</v>
      </c>
      <c r="H641">
        <v>355000</v>
      </c>
      <c r="I641" s="13" t="s">
        <v>56</v>
      </c>
      <c r="J641" s="13" t="s">
        <v>57</v>
      </c>
      <c r="K641" s="13" t="s">
        <v>58</v>
      </c>
      <c r="L641" s="13" t="s">
        <v>88</v>
      </c>
      <c r="M641">
        <v>60</v>
      </c>
      <c r="N641">
        <v>0</v>
      </c>
      <c r="O641" s="14">
        <v>45971</v>
      </c>
      <c r="P641" s="14">
        <v>46031</v>
      </c>
      <c r="Q641">
        <v>5917.49</v>
      </c>
      <c r="R641">
        <v>0</v>
      </c>
      <c r="S641">
        <v>0</v>
      </c>
      <c r="T641">
        <v>0</v>
      </c>
      <c r="U641">
        <v>0</v>
      </c>
      <c r="V641">
        <v>5917.49</v>
      </c>
      <c r="W641">
        <v>0</v>
      </c>
      <c r="X641">
        <v>1</v>
      </c>
      <c r="Y641">
        <v>0</v>
      </c>
      <c r="Z641">
        <v>-9</v>
      </c>
      <c r="AA641">
        <v>1</v>
      </c>
      <c r="AB641" s="13" t="s">
        <v>581</v>
      </c>
      <c r="AC641">
        <v>0</v>
      </c>
      <c r="AD641">
        <v>0</v>
      </c>
      <c r="AE641" s="13" t="s">
        <v>61</v>
      </c>
    </row>
    <row r="642" spans="1:31" x14ac:dyDescent="0.35">
      <c r="A642" s="13" t="s">
        <v>1170</v>
      </c>
      <c r="B642" s="13" t="s">
        <v>253</v>
      </c>
      <c r="C642" s="13" t="s">
        <v>254</v>
      </c>
      <c r="D642" s="13" t="s">
        <v>52</v>
      </c>
      <c r="E642" s="13" t="s">
        <v>65</v>
      </c>
      <c r="F642" s="13" t="s">
        <v>111</v>
      </c>
      <c r="G642" s="13" t="s">
        <v>55</v>
      </c>
      <c r="H642">
        <v>415000</v>
      </c>
      <c r="I642" s="13" t="s">
        <v>56</v>
      </c>
      <c r="J642" s="13" t="s">
        <v>57</v>
      </c>
      <c r="K642" s="13" t="s">
        <v>58</v>
      </c>
      <c r="L642" s="13" t="s">
        <v>59</v>
      </c>
      <c r="M642">
        <v>45</v>
      </c>
      <c r="N642">
        <v>0</v>
      </c>
      <c r="O642" s="14">
        <v>45971</v>
      </c>
      <c r="P642" s="14">
        <v>46016</v>
      </c>
      <c r="Q642">
        <v>9357.39</v>
      </c>
      <c r="R642">
        <v>0</v>
      </c>
      <c r="S642">
        <v>0</v>
      </c>
      <c r="T642">
        <v>0</v>
      </c>
      <c r="U642">
        <v>0</v>
      </c>
      <c r="V642">
        <v>9357.39</v>
      </c>
      <c r="W642">
        <v>0</v>
      </c>
      <c r="X642">
        <v>1</v>
      </c>
      <c r="Y642">
        <v>1</v>
      </c>
      <c r="Z642">
        <v>6</v>
      </c>
      <c r="AA642">
        <v>2</v>
      </c>
      <c r="AB642" s="13" t="s">
        <v>405</v>
      </c>
      <c r="AC642">
        <v>0.25</v>
      </c>
      <c r="AD642">
        <v>0</v>
      </c>
      <c r="AE642" s="13" t="s">
        <v>61</v>
      </c>
    </row>
    <row r="643" spans="1:31" x14ac:dyDescent="0.35">
      <c r="A643" s="13" t="s">
        <v>1171</v>
      </c>
      <c r="B643" s="13" t="s">
        <v>910</v>
      </c>
      <c r="C643" s="13" t="s">
        <v>911</v>
      </c>
      <c r="D643" s="13" t="s">
        <v>52</v>
      </c>
      <c r="E643" s="13" t="s">
        <v>53</v>
      </c>
      <c r="F643" s="13" t="s">
        <v>135</v>
      </c>
      <c r="G643" s="13" t="s">
        <v>55</v>
      </c>
      <c r="H643">
        <v>240000</v>
      </c>
      <c r="I643" s="13" t="s">
        <v>56</v>
      </c>
      <c r="J643" s="13" t="s">
        <v>57</v>
      </c>
      <c r="K643" s="13" t="s">
        <v>58</v>
      </c>
      <c r="L643" s="13" t="s">
        <v>88</v>
      </c>
      <c r="M643">
        <v>60</v>
      </c>
      <c r="N643">
        <v>0</v>
      </c>
      <c r="O643" s="14">
        <v>45971</v>
      </c>
      <c r="P643" s="14">
        <v>46031</v>
      </c>
      <c r="Q643">
        <v>14179.58</v>
      </c>
      <c r="R643">
        <v>0</v>
      </c>
      <c r="S643">
        <v>0</v>
      </c>
      <c r="T643">
        <v>0</v>
      </c>
      <c r="U643">
        <v>0</v>
      </c>
      <c r="V643">
        <v>14179.58</v>
      </c>
      <c r="W643">
        <v>0</v>
      </c>
      <c r="X643">
        <v>1</v>
      </c>
      <c r="Y643">
        <v>0</v>
      </c>
      <c r="Z643">
        <v>-9</v>
      </c>
      <c r="AA643">
        <v>1</v>
      </c>
      <c r="AB643" s="13" t="s">
        <v>581</v>
      </c>
      <c r="AC643">
        <v>0</v>
      </c>
      <c r="AD643">
        <v>0</v>
      </c>
      <c r="AE643" s="13" t="s">
        <v>61</v>
      </c>
    </row>
    <row r="644" spans="1:31" x14ac:dyDescent="0.35">
      <c r="A644" s="13" t="s">
        <v>1172</v>
      </c>
      <c r="B644" s="13" t="s">
        <v>478</v>
      </c>
      <c r="C644" s="13" t="s">
        <v>479</v>
      </c>
      <c r="D644" s="13" t="s">
        <v>52</v>
      </c>
      <c r="E644" s="13" t="s">
        <v>77</v>
      </c>
      <c r="F644" s="13" t="s">
        <v>174</v>
      </c>
      <c r="G644" s="13" t="s">
        <v>55</v>
      </c>
      <c r="H644">
        <v>385000</v>
      </c>
      <c r="I644" s="13" t="s">
        <v>86</v>
      </c>
      <c r="J644" s="13" t="s">
        <v>87</v>
      </c>
      <c r="K644" s="13" t="s">
        <v>58</v>
      </c>
      <c r="L644" s="13" t="s">
        <v>88</v>
      </c>
      <c r="M644">
        <v>60</v>
      </c>
      <c r="N644">
        <v>0</v>
      </c>
      <c r="O644" s="14">
        <v>45971</v>
      </c>
      <c r="P644" s="14">
        <v>46031</v>
      </c>
      <c r="Q644">
        <v>6503.4</v>
      </c>
      <c r="R644">
        <v>0</v>
      </c>
      <c r="S644">
        <v>0</v>
      </c>
      <c r="T644">
        <v>0</v>
      </c>
      <c r="U644">
        <v>0</v>
      </c>
      <c r="V644">
        <v>6503.4</v>
      </c>
      <c r="W644">
        <v>0</v>
      </c>
      <c r="X644">
        <v>1</v>
      </c>
      <c r="Y644">
        <v>0</v>
      </c>
      <c r="Z644">
        <v>-9</v>
      </c>
      <c r="AA644">
        <v>1</v>
      </c>
      <c r="AB644" s="13" t="s">
        <v>581</v>
      </c>
      <c r="AC644">
        <v>0</v>
      </c>
      <c r="AD644">
        <v>0</v>
      </c>
      <c r="AE644" s="13" t="s">
        <v>61</v>
      </c>
    </row>
    <row r="645" spans="1:31" x14ac:dyDescent="0.35">
      <c r="A645" s="13" t="s">
        <v>1173</v>
      </c>
      <c r="B645" s="13" t="s">
        <v>156</v>
      </c>
      <c r="C645" s="13" t="s">
        <v>157</v>
      </c>
      <c r="D645" s="13" t="s">
        <v>52</v>
      </c>
      <c r="E645" s="13" t="s">
        <v>53</v>
      </c>
      <c r="F645" s="13" t="s">
        <v>54</v>
      </c>
      <c r="G645" s="13" t="s">
        <v>92</v>
      </c>
      <c r="H645">
        <v>600000</v>
      </c>
      <c r="I645" s="13" t="s">
        <v>56</v>
      </c>
      <c r="J645" s="13" t="s">
        <v>57</v>
      </c>
      <c r="K645" s="13" t="s">
        <v>58</v>
      </c>
      <c r="L645" s="13" t="s">
        <v>88</v>
      </c>
      <c r="M645">
        <v>60</v>
      </c>
      <c r="N645">
        <v>0</v>
      </c>
      <c r="O645" s="14">
        <v>45971</v>
      </c>
      <c r="P645" s="14">
        <v>46031</v>
      </c>
      <c r="Q645">
        <v>6030.66</v>
      </c>
      <c r="R645">
        <v>0</v>
      </c>
      <c r="S645">
        <v>0</v>
      </c>
      <c r="T645">
        <v>0</v>
      </c>
      <c r="U645">
        <v>0</v>
      </c>
      <c r="V645">
        <v>6030.66</v>
      </c>
      <c r="W645">
        <v>0</v>
      </c>
      <c r="X645">
        <v>1</v>
      </c>
      <c r="Y645">
        <v>0</v>
      </c>
      <c r="Z645">
        <v>-9</v>
      </c>
      <c r="AA645">
        <v>1</v>
      </c>
      <c r="AB645" s="13" t="s">
        <v>581</v>
      </c>
      <c r="AC645">
        <v>0</v>
      </c>
      <c r="AD645">
        <v>0</v>
      </c>
      <c r="AE645" s="13" t="s">
        <v>61</v>
      </c>
    </row>
    <row r="646" spans="1:31" x14ac:dyDescent="0.35">
      <c r="A646" s="13" t="s">
        <v>1174</v>
      </c>
      <c r="B646" s="13" t="s">
        <v>914</v>
      </c>
      <c r="C646" s="13" t="s">
        <v>915</v>
      </c>
      <c r="D646" s="13" t="s">
        <v>76</v>
      </c>
      <c r="E646" s="13" t="s">
        <v>99</v>
      </c>
      <c r="F646" s="13" t="s">
        <v>100</v>
      </c>
      <c r="G646" s="13" t="s">
        <v>55</v>
      </c>
      <c r="H646">
        <v>95000</v>
      </c>
      <c r="I646" s="13" t="s">
        <v>93</v>
      </c>
      <c r="J646" s="13" t="s">
        <v>94</v>
      </c>
      <c r="K646" s="13" t="s">
        <v>81</v>
      </c>
      <c r="L646" s="13" t="s">
        <v>95</v>
      </c>
      <c r="M646">
        <v>30</v>
      </c>
      <c r="N646">
        <v>0</v>
      </c>
      <c r="O646" s="14">
        <v>45971</v>
      </c>
      <c r="P646" s="14">
        <v>46001</v>
      </c>
      <c r="Q646">
        <v>3378.61</v>
      </c>
      <c r="R646">
        <v>0</v>
      </c>
      <c r="S646">
        <v>0</v>
      </c>
      <c r="T646">
        <v>810.87</v>
      </c>
      <c r="U646">
        <v>0</v>
      </c>
      <c r="V646">
        <v>2567.7399999999998</v>
      </c>
      <c r="W646">
        <v>0</v>
      </c>
      <c r="X646">
        <v>1</v>
      </c>
      <c r="Y646">
        <v>1</v>
      </c>
      <c r="Z646">
        <v>21</v>
      </c>
      <c r="AA646">
        <v>2</v>
      </c>
      <c r="AB646" s="13" t="s">
        <v>405</v>
      </c>
      <c r="AC646">
        <v>0.25</v>
      </c>
      <c r="AD646">
        <v>0</v>
      </c>
      <c r="AE646" s="13" t="s">
        <v>665</v>
      </c>
    </row>
    <row r="647" spans="1:31" x14ac:dyDescent="0.35">
      <c r="A647" s="13" t="s">
        <v>1175</v>
      </c>
      <c r="B647" s="13" t="s">
        <v>418</v>
      </c>
      <c r="C647" s="13" t="s">
        <v>419</v>
      </c>
      <c r="D647" s="13" t="s">
        <v>52</v>
      </c>
      <c r="E647" s="13" t="s">
        <v>99</v>
      </c>
      <c r="F647" s="13" t="s">
        <v>100</v>
      </c>
      <c r="G647" s="13" t="s">
        <v>67</v>
      </c>
      <c r="H647">
        <v>535000</v>
      </c>
      <c r="I647" s="13" t="s">
        <v>86</v>
      </c>
      <c r="J647" s="13" t="s">
        <v>87</v>
      </c>
      <c r="K647" s="13" t="s">
        <v>58</v>
      </c>
      <c r="L647" s="13" t="s">
        <v>59</v>
      </c>
      <c r="M647">
        <v>45</v>
      </c>
      <c r="N647">
        <v>0</v>
      </c>
      <c r="O647" s="14">
        <v>45971</v>
      </c>
      <c r="P647" s="14">
        <v>46016</v>
      </c>
      <c r="Q647">
        <v>7919.64</v>
      </c>
      <c r="R647">
        <v>0</v>
      </c>
      <c r="S647">
        <v>0</v>
      </c>
      <c r="T647">
        <v>0</v>
      </c>
      <c r="U647">
        <v>0</v>
      </c>
      <c r="V647">
        <v>7919.64</v>
      </c>
      <c r="W647">
        <v>0</v>
      </c>
      <c r="X647">
        <v>1</v>
      </c>
      <c r="Y647">
        <v>1</v>
      </c>
      <c r="Z647">
        <v>6</v>
      </c>
      <c r="AA647">
        <v>2</v>
      </c>
      <c r="AB647" s="13" t="s">
        <v>405</v>
      </c>
      <c r="AC647">
        <v>0.25</v>
      </c>
      <c r="AD647">
        <v>0</v>
      </c>
      <c r="AE647" s="13" t="s">
        <v>61</v>
      </c>
    </row>
    <row r="648" spans="1:31" x14ac:dyDescent="0.35">
      <c r="A648" s="13" t="s">
        <v>1176</v>
      </c>
      <c r="B648" s="13" t="s">
        <v>539</v>
      </c>
      <c r="C648" s="13" t="s">
        <v>540</v>
      </c>
      <c r="D648" s="13" t="s">
        <v>52</v>
      </c>
      <c r="E648" s="13" t="s">
        <v>65</v>
      </c>
      <c r="F648" s="13" t="s">
        <v>66</v>
      </c>
      <c r="G648" s="13" t="s">
        <v>67</v>
      </c>
      <c r="H648">
        <v>435000</v>
      </c>
      <c r="I648" s="13" t="s">
        <v>56</v>
      </c>
      <c r="J648" s="13" t="s">
        <v>57</v>
      </c>
      <c r="K648" s="13" t="s">
        <v>58</v>
      </c>
      <c r="L648" s="13" t="s">
        <v>59</v>
      </c>
      <c r="M648">
        <v>45</v>
      </c>
      <c r="N648">
        <v>0</v>
      </c>
      <c r="O648" s="14">
        <v>45971</v>
      </c>
      <c r="P648" s="14">
        <v>46016</v>
      </c>
      <c r="Q648">
        <v>1631.69</v>
      </c>
      <c r="R648">
        <v>0</v>
      </c>
      <c r="S648">
        <v>0</v>
      </c>
      <c r="T648">
        <v>0</v>
      </c>
      <c r="U648">
        <v>0</v>
      </c>
      <c r="V648">
        <v>1631.69</v>
      </c>
      <c r="W648">
        <v>0</v>
      </c>
      <c r="X648">
        <v>1</v>
      </c>
      <c r="Y648">
        <v>1</v>
      </c>
      <c r="Z648">
        <v>6</v>
      </c>
      <c r="AA648">
        <v>2</v>
      </c>
      <c r="AB648" s="13" t="s">
        <v>405</v>
      </c>
      <c r="AC648">
        <v>0.25</v>
      </c>
      <c r="AD648">
        <v>0</v>
      </c>
      <c r="AE648" s="13" t="s">
        <v>61</v>
      </c>
    </row>
    <row r="649" spans="1:31" x14ac:dyDescent="0.35">
      <c r="A649" s="13" t="s">
        <v>1177</v>
      </c>
      <c r="B649" s="13" t="s">
        <v>521</v>
      </c>
      <c r="C649" s="13" t="s">
        <v>522</v>
      </c>
      <c r="D649" s="13" t="s">
        <v>126</v>
      </c>
      <c r="E649" s="13" t="s">
        <v>77</v>
      </c>
      <c r="F649" s="13" t="s">
        <v>78</v>
      </c>
      <c r="G649" s="13" t="s">
        <v>67</v>
      </c>
      <c r="H649">
        <v>155000</v>
      </c>
      <c r="I649" s="13" t="s">
        <v>86</v>
      </c>
      <c r="J649" s="13" t="s">
        <v>87</v>
      </c>
      <c r="K649" s="13" t="s">
        <v>58</v>
      </c>
      <c r="L649" s="13" t="s">
        <v>368</v>
      </c>
      <c r="M649">
        <v>90</v>
      </c>
      <c r="N649">
        <v>0</v>
      </c>
      <c r="O649" s="14">
        <v>45971</v>
      </c>
      <c r="P649" s="14">
        <v>46061</v>
      </c>
      <c r="Q649">
        <v>5167.33</v>
      </c>
      <c r="R649">
        <v>0</v>
      </c>
      <c r="S649">
        <v>0</v>
      </c>
      <c r="T649">
        <v>0</v>
      </c>
      <c r="U649">
        <v>0</v>
      </c>
      <c r="V649">
        <v>5167.33</v>
      </c>
      <c r="W649">
        <v>0</v>
      </c>
      <c r="X649">
        <v>1</v>
      </c>
      <c r="Y649">
        <v>0</v>
      </c>
      <c r="Z649">
        <v>-39</v>
      </c>
      <c r="AA649">
        <v>1</v>
      </c>
      <c r="AB649" s="13" t="s">
        <v>581</v>
      </c>
      <c r="AC649">
        <v>0</v>
      </c>
      <c r="AD649">
        <v>0</v>
      </c>
      <c r="AE649" s="13" t="s">
        <v>61</v>
      </c>
    </row>
    <row r="650" spans="1:31" x14ac:dyDescent="0.35">
      <c r="A650" s="13" t="s">
        <v>1178</v>
      </c>
      <c r="B650" s="13" t="s">
        <v>1179</v>
      </c>
      <c r="C650" s="13" t="s">
        <v>1180</v>
      </c>
      <c r="D650" s="13" t="s">
        <v>104</v>
      </c>
      <c r="E650" s="13" t="s">
        <v>71</v>
      </c>
      <c r="F650" s="13" t="s">
        <v>72</v>
      </c>
      <c r="G650" s="13" t="s">
        <v>67</v>
      </c>
      <c r="H650">
        <v>50000</v>
      </c>
      <c r="I650" s="13" t="s">
        <v>105</v>
      </c>
      <c r="J650" s="13" t="s">
        <v>106</v>
      </c>
      <c r="K650" s="13" t="s">
        <v>107</v>
      </c>
      <c r="L650" s="13" t="s">
        <v>88</v>
      </c>
      <c r="M650">
        <v>60</v>
      </c>
      <c r="N650">
        <v>0</v>
      </c>
      <c r="O650" s="14">
        <v>45971</v>
      </c>
      <c r="P650" s="14">
        <v>46031</v>
      </c>
      <c r="Q650">
        <v>3190.07</v>
      </c>
      <c r="R650">
        <v>0</v>
      </c>
      <c r="S650">
        <v>0</v>
      </c>
      <c r="T650">
        <v>0</v>
      </c>
      <c r="U650">
        <v>0</v>
      </c>
      <c r="V650">
        <v>3190.07</v>
      </c>
      <c r="W650">
        <v>0</v>
      </c>
      <c r="X650">
        <v>1</v>
      </c>
      <c r="Y650">
        <v>0</v>
      </c>
      <c r="Z650">
        <v>-9</v>
      </c>
      <c r="AA650">
        <v>1</v>
      </c>
      <c r="AB650" s="13" t="s">
        <v>581</v>
      </c>
      <c r="AC650">
        <v>0</v>
      </c>
      <c r="AD650">
        <v>0</v>
      </c>
      <c r="AE650" s="13" t="s">
        <v>61</v>
      </c>
    </row>
    <row r="651" spans="1:31" x14ac:dyDescent="0.35">
      <c r="A651" s="13" t="s">
        <v>1181</v>
      </c>
      <c r="B651" s="13" t="s">
        <v>147</v>
      </c>
      <c r="C651" s="13" t="s">
        <v>148</v>
      </c>
      <c r="D651" s="13" t="s">
        <v>104</v>
      </c>
      <c r="E651" s="13" t="s">
        <v>53</v>
      </c>
      <c r="F651" s="13" t="s">
        <v>54</v>
      </c>
      <c r="G651" s="13" t="s">
        <v>67</v>
      </c>
      <c r="H651">
        <v>80000</v>
      </c>
      <c r="I651" s="13" t="s">
        <v>105</v>
      </c>
      <c r="J651" s="13" t="s">
        <v>106</v>
      </c>
      <c r="K651" s="13" t="s">
        <v>107</v>
      </c>
      <c r="L651" s="13" t="s">
        <v>88</v>
      </c>
      <c r="M651">
        <v>60</v>
      </c>
      <c r="N651">
        <v>0</v>
      </c>
      <c r="O651" s="14">
        <v>45971</v>
      </c>
      <c r="P651" s="14">
        <v>46031</v>
      </c>
      <c r="Q651">
        <v>2852.4</v>
      </c>
      <c r="R651">
        <v>0</v>
      </c>
      <c r="S651">
        <v>0</v>
      </c>
      <c r="T651">
        <v>0</v>
      </c>
      <c r="U651">
        <v>0</v>
      </c>
      <c r="V651">
        <v>2852.4</v>
      </c>
      <c r="W651">
        <v>0</v>
      </c>
      <c r="X651">
        <v>1</v>
      </c>
      <c r="Y651">
        <v>0</v>
      </c>
      <c r="Z651">
        <v>-9</v>
      </c>
      <c r="AA651">
        <v>1</v>
      </c>
      <c r="AB651" s="13" t="s">
        <v>581</v>
      </c>
      <c r="AC651">
        <v>0</v>
      </c>
      <c r="AD651">
        <v>0</v>
      </c>
      <c r="AE651" s="13" t="s">
        <v>61</v>
      </c>
    </row>
    <row r="652" spans="1:31" x14ac:dyDescent="0.35">
      <c r="A652" s="13" t="s">
        <v>1182</v>
      </c>
      <c r="B652" s="13" t="s">
        <v>124</v>
      </c>
      <c r="C652" s="13" t="s">
        <v>125</v>
      </c>
      <c r="D652" s="13" t="s">
        <v>126</v>
      </c>
      <c r="E652" s="13" t="s">
        <v>99</v>
      </c>
      <c r="F652" s="13" t="s">
        <v>127</v>
      </c>
      <c r="G652" s="13" t="s">
        <v>67</v>
      </c>
      <c r="H652">
        <v>155000</v>
      </c>
      <c r="I652" s="13" t="s">
        <v>86</v>
      </c>
      <c r="J652" s="13" t="s">
        <v>87</v>
      </c>
      <c r="K652" s="13" t="s">
        <v>58</v>
      </c>
      <c r="L652" s="13" t="s">
        <v>88</v>
      </c>
      <c r="M652">
        <v>60</v>
      </c>
      <c r="N652">
        <v>0</v>
      </c>
      <c r="O652" s="14">
        <v>45971</v>
      </c>
      <c r="P652" s="14">
        <v>46031</v>
      </c>
      <c r="Q652">
        <v>1547.96</v>
      </c>
      <c r="R652">
        <v>0</v>
      </c>
      <c r="S652">
        <v>0</v>
      </c>
      <c r="T652">
        <v>0</v>
      </c>
      <c r="U652">
        <v>0</v>
      </c>
      <c r="V652">
        <v>1547.96</v>
      </c>
      <c r="W652">
        <v>0</v>
      </c>
      <c r="X652">
        <v>1</v>
      </c>
      <c r="Y652">
        <v>0</v>
      </c>
      <c r="Z652">
        <v>-9</v>
      </c>
      <c r="AA652">
        <v>1</v>
      </c>
      <c r="AB652" s="13" t="s">
        <v>581</v>
      </c>
      <c r="AC652">
        <v>0</v>
      </c>
      <c r="AD652">
        <v>0</v>
      </c>
      <c r="AE652" s="13" t="s">
        <v>61</v>
      </c>
    </row>
    <row r="653" spans="1:31" x14ac:dyDescent="0.35">
      <c r="A653" s="13" t="s">
        <v>1183</v>
      </c>
      <c r="B653" s="13" t="s">
        <v>862</v>
      </c>
      <c r="C653" s="13" t="s">
        <v>863</v>
      </c>
      <c r="D653" s="13" t="s">
        <v>126</v>
      </c>
      <c r="E653" s="13" t="s">
        <v>99</v>
      </c>
      <c r="F653" s="13" t="s">
        <v>127</v>
      </c>
      <c r="G653" s="13" t="s">
        <v>67</v>
      </c>
      <c r="H653">
        <v>110000</v>
      </c>
      <c r="I653" s="13" t="s">
        <v>105</v>
      </c>
      <c r="J653" s="13" t="s">
        <v>106</v>
      </c>
      <c r="K653" s="13" t="s">
        <v>107</v>
      </c>
      <c r="L653" s="13" t="s">
        <v>88</v>
      </c>
      <c r="M653">
        <v>60</v>
      </c>
      <c r="N653">
        <v>0</v>
      </c>
      <c r="O653" s="14">
        <v>45971</v>
      </c>
      <c r="P653" s="14">
        <v>46031</v>
      </c>
      <c r="Q653">
        <v>1250.6300000000001</v>
      </c>
      <c r="R653">
        <v>0</v>
      </c>
      <c r="S653">
        <v>0</v>
      </c>
      <c r="T653">
        <v>0</v>
      </c>
      <c r="U653">
        <v>0</v>
      </c>
      <c r="V653">
        <v>1250.6300000000001</v>
      </c>
      <c r="W653">
        <v>0</v>
      </c>
      <c r="X653">
        <v>1</v>
      </c>
      <c r="Y653">
        <v>0</v>
      </c>
      <c r="Z653">
        <v>-9</v>
      </c>
      <c r="AA653">
        <v>1</v>
      </c>
      <c r="AB653" s="13" t="s">
        <v>581</v>
      </c>
      <c r="AC653">
        <v>0</v>
      </c>
      <c r="AD653">
        <v>0</v>
      </c>
      <c r="AE653" s="13" t="s">
        <v>61</v>
      </c>
    </row>
    <row r="654" spans="1:31" x14ac:dyDescent="0.35">
      <c r="A654" s="13" t="s">
        <v>1184</v>
      </c>
      <c r="B654" s="13" t="s">
        <v>614</v>
      </c>
      <c r="C654" s="13" t="s">
        <v>615</v>
      </c>
      <c r="D654" s="13" t="s">
        <v>126</v>
      </c>
      <c r="E654" s="13" t="s">
        <v>65</v>
      </c>
      <c r="F654" s="13" t="s">
        <v>66</v>
      </c>
      <c r="G654" s="13" t="s">
        <v>55</v>
      </c>
      <c r="H654">
        <v>100000</v>
      </c>
      <c r="I654" s="13" t="s">
        <v>121</v>
      </c>
      <c r="J654" s="13" t="s">
        <v>122</v>
      </c>
      <c r="K654" s="13" t="s">
        <v>107</v>
      </c>
      <c r="L654" s="13" t="s">
        <v>88</v>
      </c>
      <c r="M654">
        <v>60</v>
      </c>
      <c r="N654">
        <v>0</v>
      </c>
      <c r="O654" s="14">
        <v>45971</v>
      </c>
      <c r="P654" s="14">
        <v>46031</v>
      </c>
      <c r="Q654">
        <v>4536.32</v>
      </c>
      <c r="R654">
        <v>0</v>
      </c>
      <c r="S654">
        <v>0</v>
      </c>
      <c r="T654">
        <v>0</v>
      </c>
      <c r="U654">
        <v>0</v>
      </c>
      <c r="V654">
        <v>4536.32</v>
      </c>
      <c r="W654">
        <v>0</v>
      </c>
      <c r="X654">
        <v>1</v>
      </c>
      <c r="Y654">
        <v>0</v>
      </c>
      <c r="Z654">
        <v>-9</v>
      </c>
      <c r="AA654">
        <v>1</v>
      </c>
      <c r="AB654" s="13" t="s">
        <v>581</v>
      </c>
      <c r="AC654">
        <v>0</v>
      </c>
      <c r="AD654">
        <v>0</v>
      </c>
      <c r="AE654" s="13" t="s">
        <v>61</v>
      </c>
    </row>
    <row r="655" spans="1:31" x14ac:dyDescent="0.35">
      <c r="A655" s="13" t="s">
        <v>1185</v>
      </c>
      <c r="B655" s="13" t="s">
        <v>250</v>
      </c>
      <c r="C655" s="13" t="s">
        <v>251</v>
      </c>
      <c r="D655" s="13" t="s">
        <v>104</v>
      </c>
      <c r="E655" s="13" t="s">
        <v>53</v>
      </c>
      <c r="F655" s="13" t="s">
        <v>135</v>
      </c>
      <c r="G655" s="13" t="s">
        <v>55</v>
      </c>
      <c r="H655">
        <v>85000</v>
      </c>
      <c r="I655" s="13" t="s">
        <v>105</v>
      </c>
      <c r="J655" s="13" t="s">
        <v>106</v>
      </c>
      <c r="K655" s="13" t="s">
        <v>107</v>
      </c>
      <c r="L655" s="13" t="s">
        <v>88</v>
      </c>
      <c r="M655">
        <v>60</v>
      </c>
      <c r="N655">
        <v>0</v>
      </c>
      <c r="O655" s="14">
        <v>45971</v>
      </c>
      <c r="P655" s="14">
        <v>46031</v>
      </c>
      <c r="Q655">
        <v>7726.72</v>
      </c>
      <c r="R655">
        <v>0</v>
      </c>
      <c r="S655">
        <v>0</v>
      </c>
      <c r="T655">
        <v>0</v>
      </c>
      <c r="U655">
        <v>0</v>
      </c>
      <c r="V655">
        <v>7726.72</v>
      </c>
      <c r="W655">
        <v>0</v>
      </c>
      <c r="X655">
        <v>1</v>
      </c>
      <c r="Y655">
        <v>0</v>
      </c>
      <c r="Z655">
        <v>-9</v>
      </c>
      <c r="AA655">
        <v>1</v>
      </c>
      <c r="AB655" s="13" t="s">
        <v>581</v>
      </c>
      <c r="AC655">
        <v>0</v>
      </c>
      <c r="AD655">
        <v>0</v>
      </c>
      <c r="AE655" s="13" t="s">
        <v>61</v>
      </c>
    </row>
    <row r="656" spans="1:31" x14ac:dyDescent="0.35">
      <c r="A656" s="13" t="s">
        <v>1186</v>
      </c>
      <c r="B656" s="13" t="s">
        <v>212</v>
      </c>
      <c r="C656" s="13" t="s">
        <v>213</v>
      </c>
      <c r="D656" s="13" t="s">
        <v>52</v>
      </c>
      <c r="E656" s="13" t="s">
        <v>71</v>
      </c>
      <c r="F656" s="13" t="s">
        <v>214</v>
      </c>
      <c r="G656" s="13" t="s">
        <v>92</v>
      </c>
      <c r="H656">
        <v>380000</v>
      </c>
      <c r="I656" s="13" t="s">
        <v>86</v>
      </c>
      <c r="J656" s="13" t="s">
        <v>87</v>
      </c>
      <c r="K656" s="13" t="s">
        <v>58</v>
      </c>
      <c r="L656" s="13" t="s">
        <v>88</v>
      </c>
      <c r="M656">
        <v>60</v>
      </c>
      <c r="N656">
        <v>0</v>
      </c>
      <c r="O656" s="14">
        <v>45971</v>
      </c>
      <c r="P656" s="14">
        <v>46031</v>
      </c>
      <c r="Q656">
        <v>2110.3000000000002</v>
      </c>
      <c r="R656">
        <v>0</v>
      </c>
      <c r="S656">
        <v>0</v>
      </c>
      <c r="T656">
        <v>0</v>
      </c>
      <c r="U656">
        <v>0</v>
      </c>
      <c r="V656">
        <v>2110.3000000000002</v>
      </c>
      <c r="W656">
        <v>0</v>
      </c>
      <c r="X656">
        <v>1</v>
      </c>
      <c r="Y656">
        <v>0</v>
      </c>
      <c r="Z656">
        <v>-9</v>
      </c>
      <c r="AA656">
        <v>1</v>
      </c>
      <c r="AB656" s="13" t="s">
        <v>581</v>
      </c>
      <c r="AC656">
        <v>0</v>
      </c>
      <c r="AD656">
        <v>0</v>
      </c>
      <c r="AE656" s="13" t="s">
        <v>61</v>
      </c>
    </row>
    <row r="657" spans="1:31" x14ac:dyDescent="0.35">
      <c r="A657" s="13" t="s">
        <v>1187</v>
      </c>
      <c r="B657" s="13" t="s">
        <v>390</v>
      </c>
      <c r="C657" s="13" t="s">
        <v>391</v>
      </c>
      <c r="D657" s="13" t="s">
        <v>52</v>
      </c>
      <c r="E657" s="13" t="s">
        <v>71</v>
      </c>
      <c r="F657" s="13" t="s">
        <v>72</v>
      </c>
      <c r="G657" s="13" t="s">
        <v>55</v>
      </c>
      <c r="H657">
        <v>320000</v>
      </c>
      <c r="I657" s="13" t="s">
        <v>86</v>
      </c>
      <c r="J657" s="13" t="s">
        <v>87</v>
      </c>
      <c r="K657" s="13" t="s">
        <v>58</v>
      </c>
      <c r="L657" s="13" t="s">
        <v>88</v>
      </c>
      <c r="M657">
        <v>60</v>
      </c>
      <c r="N657">
        <v>0</v>
      </c>
      <c r="O657" s="14">
        <v>45971</v>
      </c>
      <c r="P657" s="14">
        <v>46031</v>
      </c>
      <c r="Q657">
        <v>1977.57</v>
      </c>
      <c r="R657">
        <v>0</v>
      </c>
      <c r="S657">
        <v>0</v>
      </c>
      <c r="T657">
        <v>0</v>
      </c>
      <c r="U657">
        <v>0</v>
      </c>
      <c r="V657">
        <v>1977.57</v>
      </c>
      <c r="W657">
        <v>0</v>
      </c>
      <c r="X657">
        <v>1</v>
      </c>
      <c r="Y657">
        <v>0</v>
      </c>
      <c r="Z657">
        <v>-9</v>
      </c>
      <c r="AA657">
        <v>1</v>
      </c>
      <c r="AB657" s="13" t="s">
        <v>581</v>
      </c>
      <c r="AC657">
        <v>0</v>
      </c>
      <c r="AD657">
        <v>0</v>
      </c>
      <c r="AE657" s="13" t="s">
        <v>61</v>
      </c>
    </row>
    <row r="658" spans="1:31" x14ac:dyDescent="0.35">
      <c r="A658" s="13" t="s">
        <v>1188</v>
      </c>
      <c r="B658" s="13" t="s">
        <v>772</v>
      </c>
      <c r="C658" s="13" t="s">
        <v>773</v>
      </c>
      <c r="D658" s="13" t="s">
        <v>76</v>
      </c>
      <c r="E658" s="13" t="s">
        <v>99</v>
      </c>
      <c r="F658" s="13" t="s">
        <v>100</v>
      </c>
      <c r="G658" s="13" t="s">
        <v>55</v>
      </c>
      <c r="H658">
        <v>105000</v>
      </c>
      <c r="I658" s="13" t="s">
        <v>79</v>
      </c>
      <c r="J658" s="13" t="s">
        <v>80</v>
      </c>
      <c r="K658" s="13" t="s">
        <v>81</v>
      </c>
      <c r="L658" s="13" t="s">
        <v>82</v>
      </c>
      <c r="M658">
        <v>30</v>
      </c>
      <c r="N658">
        <v>2</v>
      </c>
      <c r="O658" s="14">
        <v>45971</v>
      </c>
      <c r="P658" s="14">
        <v>46001</v>
      </c>
      <c r="Q658">
        <v>630.03</v>
      </c>
      <c r="R658">
        <v>0</v>
      </c>
      <c r="S658">
        <v>0</v>
      </c>
      <c r="T658">
        <v>0</v>
      </c>
      <c r="U658">
        <v>0</v>
      </c>
      <c r="V658">
        <v>630.03</v>
      </c>
      <c r="W658">
        <v>0</v>
      </c>
      <c r="X658">
        <v>1</v>
      </c>
      <c r="Y658">
        <v>1</v>
      </c>
      <c r="Z658">
        <v>21</v>
      </c>
      <c r="AA658">
        <v>2</v>
      </c>
      <c r="AB658" s="13" t="s">
        <v>405</v>
      </c>
      <c r="AC658">
        <v>0.25</v>
      </c>
      <c r="AD658">
        <v>1</v>
      </c>
      <c r="AE658" s="13" t="s">
        <v>348</v>
      </c>
    </row>
    <row r="659" spans="1:31" x14ac:dyDescent="0.35">
      <c r="A659" s="13" t="s">
        <v>1189</v>
      </c>
      <c r="B659" s="13" t="s">
        <v>113</v>
      </c>
      <c r="C659" s="13" t="s">
        <v>114</v>
      </c>
      <c r="D659" s="13" t="s">
        <v>52</v>
      </c>
      <c r="E659" s="13" t="s">
        <v>77</v>
      </c>
      <c r="F659" s="13" t="s">
        <v>78</v>
      </c>
      <c r="G659" s="13" t="s">
        <v>92</v>
      </c>
      <c r="H659">
        <v>545000</v>
      </c>
      <c r="I659" s="13" t="s">
        <v>86</v>
      </c>
      <c r="J659" s="13" t="s">
        <v>87</v>
      </c>
      <c r="K659" s="13" t="s">
        <v>58</v>
      </c>
      <c r="L659" s="13" t="s">
        <v>88</v>
      </c>
      <c r="M659">
        <v>60</v>
      </c>
      <c r="N659">
        <v>0</v>
      </c>
      <c r="O659" s="14">
        <v>45971</v>
      </c>
      <c r="P659" s="14">
        <v>46031</v>
      </c>
      <c r="Q659">
        <v>12637.99</v>
      </c>
      <c r="R659">
        <v>0</v>
      </c>
      <c r="S659">
        <v>0</v>
      </c>
      <c r="T659">
        <v>0</v>
      </c>
      <c r="U659">
        <v>0</v>
      </c>
      <c r="V659">
        <v>12637.99</v>
      </c>
      <c r="W659">
        <v>0</v>
      </c>
      <c r="X659">
        <v>1</v>
      </c>
      <c r="Y659">
        <v>0</v>
      </c>
      <c r="Z659">
        <v>-9</v>
      </c>
      <c r="AA659">
        <v>1</v>
      </c>
      <c r="AB659" s="13" t="s">
        <v>581</v>
      </c>
      <c r="AC659">
        <v>0</v>
      </c>
      <c r="AD659">
        <v>0</v>
      </c>
      <c r="AE659" s="13" t="s">
        <v>61</v>
      </c>
    </row>
    <row r="660" spans="1:31" x14ac:dyDescent="0.35">
      <c r="A660" s="13" t="s">
        <v>1190</v>
      </c>
      <c r="B660" s="13" t="s">
        <v>547</v>
      </c>
      <c r="C660" s="13" t="s">
        <v>548</v>
      </c>
      <c r="D660" s="13" t="s">
        <v>52</v>
      </c>
      <c r="E660" s="13" t="s">
        <v>71</v>
      </c>
      <c r="F660" s="13" t="s">
        <v>72</v>
      </c>
      <c r="G660" s="13" t="s">
        <v>92</v>
      </c>
      <c r="H660">
        <v>160000</v>
      </c>
      <c r="I660" s="13" t="s">
        <v>86</v>
      </c>
      <c r="J660" s="13" t="s">
        <v>87</v>
      </c>
      <c r="K660" s="13" t="s">
        <v>58</v>
      </c>
      <c r="L660" s="13" t="s">
        <v>88</v>
      </c>
      <c r="M660">
        <v>60</v>
      </c>
      <c r="N660">
        <v>0</v>
      </c>
      <c r="O660" s="14">
        <v>45971</v>
      </c>
      <c r="P660" s="14">
        <v>46031</v>
      </c>
      <c r="Q660">
        <v>5274.04</v>
      </c>
      <c r="R660">
        <v>0</v>
      </c>
      <c r="S660">
        <v>0</v>
      </c>
      <c r="T660">
        <v>0</v>
      </c>
      <c r="U660">
        <v>0</v>
      </c>
      <c r="V660">
        <v>5274.04</v>
      </c>
      <c r="W660">
        <v>0</v>
      </c>
      <c r="X660">
        <v>1</v>
      </c>
      <c r="Y660">
        <v>0</v>
      </c>
      <c r="Z660">
        <v>-9</v>
      </c>
      <c r="AA660">
        <v>1</v>
      </c>
      <c r="AB660" s="13" t="s">
        <v>581</v>
      </c>
      <c r="AC660">
        <v>0</v>
      </c>
      <c r="AD660">
        <v>0</v>
      </c>
      <c r="AE660" s="13" t="s">
        <v>61</v>
      </c>
    </row>
    <row r="661" spans="1:31" x14ac:dyDescent="0.35">
      <c r="A661" s="13" t="s">
        <v>1191</v>
      </c>
      <c r="B661" s="13" t="s">
        <v>434</v>
      </c>
      <c r="C661" s="13" t="s">
        <v>435</v>
      </c>
      <c r="D661" s="13" t="s">
        <v>52</v>
      </c>
      <c r="E661" s="13" t="s">
        <v>77</v>
      </c>
      <c r="F661" s="13" t="s">
        <v>78</v>
      </c>
      <c r="G661" s="13" t="s">
        <v>55</v>
      </c>
      <c r="H661">
        <v>510000</v>
      </c>
      <c r="I661" s="13" t="s">
        <v>56</v>
      </c>
      <c r="J661" s="13" t="s">
        <v>57</v>
      </c>
      <c r="K661" s="13" t="s">
        <v>58</v>
      </c>
      <c r="L661" s="13" t="s">
        <v>88</v>
      </c>
      <c r="M661">
        <v>60</v>
      </c>
      <c r="N661">
        <v>0</v>
      </c>
      <c r="O661" s="14">
        <v>45972</v>
      </c>
      <c r="P661" s="14">
        <v>46032</v>
      </c>
      <c r="Q661">
        <v>3402.94</v>
      </c>
      <c r="R661">
        <v>0</v>
      </c>
      <c r="S661">
        <v>0</v>
      </c>
      <c r="T661">
        <v>0</v>
      </c>
      <c r="U661">
        <v>0</v>
      </c>
      <c r="V661">
        <v>3402.94</v>
      </c>
      <c r="W661">
        <v>0</v>
      </c>
      <c r="X661">
        <v>1</v>
      </c>
      <c r="Y661">
        <v>0</v>
      </c>
      <c r="Z661">
        <v>-10</v>
      </c>
      <c r="AA661">
        <v>1</v>
      </c>
      <c r="AB661" s="13" t="s">
        <v>581</v>
      </c>
      <c r="AC661">
        <v>0</v>
      </c>
      <c r="AD661">
        <v>0</v>
      </c>
      <c r="AE661" s="13" t="s">
        <v>61</v>
      </c>
    </row>
    <row r="662" spans="1:31" x14ac:dyDescent="0.35">
      <c r="A662" s="13" t="s">
        <v>1192</v>
      </c>
      <c r="B662" s="13" t="s">
        <v>994</v>
      </c>
      <c r="C662" s="13" t="s">
        <v>995</v>
      </c>
      <c r="D662" s="13" t="s">
        <v>52</v>
      </c>
      <c r="E662" s="13" t="s">
        <v>71</v>
      </c>
      <c r="F662" s="13" t="s">
        <v>214</v>
      </c>
      <c r="G662" s="13" t="s">
        <v>67</v>
      </c>
      <c r="H662">
        <v>275000</v>
      </c>
      <c r="I662" s="13" t="s">
        <v>86</v>
      </c>
      <c r="J662" s="13" t="s">
        <v>87</v>
      </c>
      <c r="K662" s="13" t="s">
        <v>58</v>
      </c>
      <c r="L662" s="13" t="s">
        <v>88</v>
      </c>
      <c r="M662">
        <v>60</v>
      </c>
      <c r="N662">
        <v>0</v>
      </c>
      <c r="O662" s="14">
        <v>45972</v>
      </c>
      <c r="P662" s="14">
        <v>46032</v>
      </c>
      <c r="Q662">
        <v>17036.73</v>
      </c>
      <c r="R662">
        <v>0</v>
      </c>
      <c r="S662">
        <v>0</v>
      </c>
      <c r="T662">
        <v>0</v>
      </c>
      <c r="U662">
        <v>0</v>
      </c>
      <c r="V662">
        <v>17036.73</v>
      </c>
      <c r="W662">
        <v>0</v>
      </c>
      <c r="X662">
        <v>1</v>
      </c>
      <c r="Y662">
        <v>0</v>
      </c>
      <c r="Z662">
        <v>-10</v>
      </c>
      <c r="AA662">
        <v>1</v>
      </c>
      <c r="AB662" s="13" t="s">
        <v>581</v>
      </c>
      <c r="AC662">
        <v>0</v>
      </c>
      <c r="AD662">
        <v>0</v>
      </c>
      <c r="AE662" s="13" t="s">
        <v>61</v>
      </c>
    </row>
    <row r="663" spans="1:31" x14ac:dyDescent="0.35">
      <c r="A663" s="13" t="s">
        <v>1193</v>
      </c>
      <c r="B663" s="13" t="s">
        <v>156</v>
      </c>
      <c r="C663" s="13" t="s">
        <v>157</v>
      </c>
      <c r="D663" s="13" t="s">
        <v>52</v>
      </c>
      <c r="E663" s="13" t="s">
        <v>53</v>
      </c>
      <c r="F663" s="13" t="s">
        <v>54</v>
      </c>
      <c r="G663" s="13" t="s">
        <v>92</v>
      </c>
      <c r="H663">
        <v>600000</v>
      </c>
      <c r="I663" s="13" t="s">
        <v>56</v>
      </c>
      <c r="J663" s="13" t="s">
        <v>57</v>
      </c>
      <c r="K663" s="13" t="s">
        <v>58</v>
      </c>
      <c r="L663" s="13" t="s">
        <v>88</v>
      </c>
      <c r="M663">
        <v>60</v>
      </c>
      <c r="N663">
        <v>0</v>
      </c>
      <c r="O663" s="14">
        <v>45972</v>
      </c>
      <c r="P663" s="14">
        <v>46032</v>
      </c>
      <c r="Q663">
        <v>10569.65</v>
      </c>
      <c r="R663">
        <v>0</v>
      </c>
      <c r="S663">
        <v>0</v>
      </c>
      <c r="T663">
        <v>0</v>
      </c>
      <c r="U663">
        <v>0</v>
      </c>
      <c r="V663">
        <v>10569.65</v>
      </c>
      <c r="W663">
        <v>0</v>
      </c>
      <c r="X663">
        <v>1</v>
      </c>
      <c r="Y663">
        <v>0</v>
      </c>
      <c r="Z663">
        <v>-10</v>
      </c>
      <c r="AA663">
        <v>1</v>
      </c>
      <c r="AB663" s="13" t="s">
        <v>581</v>
      </c>
      <c r="AC663">
        <v>0</v>
      </c>
      <c r="AD663">
        <v>0</v>
      </c>
      <c r="AE663" s="13" t="s">
        <v>61</v>
      </c>
    </row>
    <row r="664" spans="1:31" x14ac:dyDescent="0.35">
      <c r="A664" s="13" t="s">
        <v>1194</v>
      </c>
      <c r="B664" s="13" t="s">
        <v>1195</v>
      </c>
      <c r="C664" s="13" t="s">
        <v>1196</v>
      </c>
      <c r="D664" s="13" t="s">
        <v>104</v>
      </c>
      <c r="E664" s="13" t="s">
        <v>99</v>
      </c>
      <c r="F664" s="13" t="s">
        <v>100</v>
      </c>
      <c r="G664" s="13" t="s">
        <v>67</v>
      </c>
      <c r="H664">
        <v>30000</v>
      </c>
      <c r="I664" s="13" t="s">
        <v>105</v>
      </c>
      <c r="J664" s="13" t="s">
        <v>106</v>
      </c>
      <c r="K664" s="13" t="s">
        <v>107</v>
      </c>
      <c r="L664" s="13" t="s">
        <v>95</v>
      </c>
      <c r="M664">
        <v>30</v>
      </c>
      <c r="N664">
        <v>0</v>
      </c>
      <c r="O664" s="14">
        <v>45972</v>
      </c>
      <c r="P664" s="14">
        <v>46002</v>
      </c>
      <c r="Q664">
        <v>3835.78</v>
      </c>
      <c r="R664">
        <v>2301.4699999999998</v>
      </c>
      <c r="S664">
        <v>0</v>
      </c>
      <c r="T664">
        <v>0</v>
      </c>
      <c r="U664">
        <v>0</v>
      </c>
      <c r="V664">
        <v>1534.31</v>
      </c>
      <c r="W664">
        <v>0</v>
      </c>
      <c r="X664">
        <v>1</v>
      </c>
      <c r="Y664">
        <v>1</v>
      </c>
      <c r="Z664">
        <v>20</v>
      </c>
      <c r="AA664">
        <v>2</v>
      </c>
      <c r="AB664" s="13" t="s">
        <v>405</v>
      </c>
      <c r="AC664">
        <v>0.25</v>
      </c>
      <c r="AD664">
        <v>0</v>
      </c>
      <c r="AE664" s="13" t="s">
        <v>61</v>
      </c>
    </row>
    <row r="665" spans="1:31" x14ac:dyDescent="0.35">
      <c r="A665" s="13" t="s">
        <v>1197</v>
      </c>
      <c r="B665" s="13" t="s">
        <v>1034</v>
      </c>
      <c r="C665" s="13" t="s">
        <v>1035</v>
      </c>
      <c r="D665" s="13" t="s">
        <v>104</v>
      </c>
      <c r="E665" s="13" t="s">
        <v>53</v>
      </c>
      <c r="F665" s="13" t="s">
        <v>135</v>
      </c>
      <c r="G665" s="13" t="s">
        <v>67</v>
      </c>
      <c r="H665">
        <v>40000</v>
      </c>
      <c r="I665" s="13" t="s">
        <v>105</v>
      </c>
      <c r="J665" s="13" t="s">
        <v>106</v>
      </c>
      <c r="K665" s="13" t="s">
        <v>107</v>
      </c>
      <c r="L665" s="13" t="s">
        <v>88</v>
      </c>
      <c r="M665">
        <v>60</v>
      </c>
      <c r="N665">
        <v>0</v>
      </c>
      <c r="O665" s="14">
        <v>45972</v>
      </c>
      <c r="P665" s="14">
        <v>46032</v>
      </c>
      <c r="Q665">
        <v>1679.13</v>
      </c>
      <c r="R665">
        <v>0</v>
      </c>
      <c r="S665">
        <v>0</v>
      </c>
      <c r="T665">
        <v>0</v>
      </c>
      <c r="U665">
        <v>0</v>
      </c>
      <c r="V665">
        <v>1679.13</v>
      </c>
      <c r="W665">
        <v>0</v>
      </c>
      <c r="X665">
        <v>1</v>
      </c>
      <c r="Y665">
        <v>0</v>
      </c>
      <c r="Z665">
        <v>-10</v>
      </c>
      <c r="AA665">
        <v>1</v>
      </c>
      <c r="AB665" s="13" t="s">
        <v>581</v>
      </c>
      <c r="AC665">
        <v>0</v>
      </c>
      <c r="AD665">
        <v>0</v>
      </c>
      <c r="AE665" s="13" t="s">
        <v>61</v>
      </c>
    </row>
    <row r="666" spans="1:31" x14ac:dyDescent="0.35">
      <c r="A666" s="13" t="s">
        <v>1198</v>
      </c>
      <c r="B666" s="13" t="s">
        <v>84</v>
      </c>
      <c r="C666" s="13" t="s">
        <v>85</v>
      </c>
      <c r="D666" s="13" t="s">
        <v>52</v>
      </c>
      <c r="E666" s="13" t="s">
        <v>71</v>
      </c>
      <c r="F666" s="13" t="s">
        <v>72</v>
      </c>
      <c r="G666" s="13" t="s">
        <v>67</v>
      </c>
      <c r="H666">
        <v>600000</v>
      </c>
      <c r="I666" s="13" t="s">
        <v>86</v>
      </c>
      <c r="J666" s="13" t="s">
        <v>87</v>
      </c>
      <c r="K666" s="13" t="s">
        <v>58</v>
      </c>
      <c r="L666" s="13" t="s">
        <v>88</v>
      </c>
      <c r="M666">
        <v>60</v>
      </c>
      <c r="N666">
        <v>0</v>
      </c>
      <c r="O666" s="14">
        <v>45972</v>
      </c>
      <c r="P666" s="14">
        <v>46032</v>
      </c>
      <c r="Q666">
        <v>6196.59</v>
      </c>
      <c r="R666">
        <v>0</v>
      </c>
      <c r="S666">
        <v>0</v>
      </c>
      <c r="T666">
        <v>0</v>
      </c>
      <c r="U666">
        <v>0</v>
      </c>
      <c r="V666">
        <v>6196.59</v>
      </c>
      <c r="W666">
        <v>0</v>
      </c>
      <c r="X666">
        <v>1</v>
      </c>
      <c r="Y666">
        <v>0</v>
      </c>
      <c r="Z666">
        <v>-10</v>
      </c>
      <c r="AA666">
        <v>1</v>
      </c>
      <c r="AB666" s="13" t="s">
        <v>581</v>
      </c>
      <c r="AC666">
        <v>0</v>
      </c>
      <c r="AD666">
        <v>0</v>
      </c>
      <c r="AE666" s="13" t="s">
        <v>61</v>
      </c>
    </row>
    <row r="667" spans="1:31" x14ac:dyDescent="0.35">
      <c r="A667" s="13" t="s">
        <v>1199</v>
      </c>
      <c r="B667" s="13" t="s">
        <v>917</v>
      </c>
      <c r="C667" s="13" t="s">
        <v>918</v>
      </c>
      <c r="D667" s="13" t="s">
        <v>126</v>
      </c>
      <c r="E667" s="13" t="s">
        <v>53</v>
      </c>
      <c r="F667" s="13" t="s">
        <v>54</v>
      </c>
      <c r="G667" s="13" t="s">
        <v>67</v>
      </c>
      <c r="H667">
        <v>65000</v>
      </c>
      <c r="I667" s="13" t="s">
        <v>105</v>
      </c>
      <c r="J667" s="13" t="s">
        <v>106</v>
      </c>
      <c r="K667" s="13" t="s">
        <v>107</v>
      </c>
      <c r="L667" s="13" t="s">
        <v>368</v>
      </c>
      <c r="M667">
        <v>90</v>
      </c>
      <c r="N667">
        <v>0</v>
      </c>
      <c r="O667" s="14">
        <v>45972</v>
      </c>
      <c r="P667" s="14">
        <v>46062</v>
      </c>
      <c r="Q667">
        <v>5298.85</v>
      </c>
      <c r="R667">
        <v>0</v>
      </c>
      <c r="S667">
        <v>0</v>
      </c>
      <c r="T667">
        <v>0</v>
      </c>
      <c r="U667">
        <v>0</v>
      </c>
      <c r="V667">
        <v>5298.85</v>
      </c>
      <c r="W667">
        <v>0</v>
      </c>
      <c r="X667">
        <v>1</v>
      </c>
      <c r="Y667">
        <v>0</v>
      </c>
      <c r="Z667">
        <v>-40</v>
      </c>
      <c r="AA667">
        <v>1</v>
      </c>
      <c r="AB667" s="13" t="s">
        <v>581</v>
      </c>
      <c r="AC667">
        <v>0</v>
      </c>
      <c r="AD667">
        <v>0</v>
      </c>
      <c r="AE667" s="13" t="s">
        <v>61</v>
      </c>
    </row>
    <row r="668" spans="1:31" x14ac:dyDescent="0.35">
      <c r="A668" s="13" t="s">
        <v>1200</v>
      </c>
      <c r="B668" s="13" t="s">
        <v>1201</v>
      </c>
      <c r="C668" s="13" t="s">
        <v>1202</v>
      </c>
      <c r="D668" s="13" t="s">
        <v>126</v>
      </c>
      <c r="E668" s="13" t="s">
        <v>99</v>
      </c>
      <c r="F668" s="13" t="s">
        <v>100</v>
      </c>
      <c r="G668" s="13" t="s">
        <v>67</v>
      </c>
      <c r="H668">
        <v>175000</v>
      </c>
      <c r="I668" s="13" t="s">
        <v>86</v>
      </c>
      <c r="J668" s="13" t="s">
        <v>87</v>
      </c>
      <c r="K668" s="13" t="s">
        <v>58</v>
      </c>
      <c r="L668" s="13" t="s">
        <v>88</v>
      </c>
      <c r="M668">
        <v>60</v>
      </c>
      <c r="N668">
        <v>0</v>
      </c>
      <c r="O668" s="14">
        <v>45972</v>
      </c>
      <c r="P668" s="14">
        <v>46032</v>
      </c>
      <c r="Q668">
        <v>1335.47</v>
      </c>
      <c r="R668">
        <v>0</v>
      </c>
      <c r="S668">
        <v>0</v>
      </c>
      <c r="T668">
        <v>0</v>
      </c>
      <c r="U668">
        <v>0</v>
      </c>
      <c r="V668">
        <v>1335.47</v>
      </c>
      <c r="W668">
        <v>0</v>
      </c>
      <c r="X668">
        <v>1</v>
      </c>
      <c r="Y668">
        <v>0</v>
      </c>
      <c r="Z668">
        <v>-10</v>
      </c>
      <c r="AA668">
        <v>1</v>
      </c>
      <c r="AB668" s="13" t="s">
        <v>581</v>
      </c>
      <c r="AC668">
        <v>0</v>
      </c>
      <c r="AD668">
        <v>1</v>
      </c>
      <c r="AE668" s="13" t="s">
        <v>348</v>
      </c>
    </row>
    <row r="669" spans="1:31" x14ac:dyDescent="0.35">
      <c r="A669" s="13" t="s">
        <v>1203</v>
      </c>
      <c r="B669" s="13" t="s">
        <v>109</v>
      </c>
      <c r="C669" s="13" t="s">
        <v>110</v>
      </c>
      <c r="D669" s="13" t="s">
        <v>52</v>
      </c>
      <c r="E669" s="13" t="s">
        <v>65</v>
      </c>
      <c r="F669" s="13" t="s">
        <v>111</v>
      </c>
      <c r="G669" s="13" t="s">
        <v>67</v>
      </c>
      <c r="H669">
        <v>455000</v>
      </c>
      <c r="I669" s="13" t="s">
        <v>86</v>
      </c>
      <c r="J669" s="13" t="s">
        <v>87</v>
      </c>
      <c r="K669" s="13" t="s">
        <v>58</v>
      </c>
      <c r="L669" s="13" t="s">
        <v>59</v>
      </c>
      <c r="M669">
        <v>45</v>
      </c>
      <c r="N669">
        <v>0</v>
      </c>
      <c r="O669" s="14">
        <v>45972</v>
      </c>
      <c r="P669" s="14">
        <v>46017</v>
      </c>
      <c r="Q669">
        <v>1700.28</v>
      </c>
      <c r="R669">
        <v>0</v>
      </c>
      <c r="S669">
        <v>0</v>
      </c>
      <c r="T669">
        <v>0</v>
      </c>
      <c r="U669">
        <v>0</v>
      </c>
      <c r="V669">
        <v>1700.28</v>
      </c>
      <c r="W669">
        <v>0</v>
      </c>
      <c r="X669">
        <v>1</v>
      </c>
      <c r="Y669">
        <v>1</v>
      </c>
      <c r="Z669">
        <v>5</v>
      </c>
      <c r="AA669">
        <v>2</v>
      </c>
      <c r="AB669" s="13" t="s">
        <v>405</v>
      </c>
      <c r="AC669">
        <v>0.25</v>
      </c>
      <c r="AD669">
        <v>0</v>
      </c>
      <c r="AE669" s="13" t="s">
        <v>61</v>
      </c>
    </row>
    <row r="670" spans="1:31" x14ac:dyDescent="0.35">
      <c r="A670" s="13" t="s">
        <v>1204</v>
      </c>
      <c r="B670" s="13" t="s">
        <v>1042</v>
      </c>
      <c r="C670" s="13" t="s">
        <v>1043</v>
      </c>
      <c r="D670" s="13" t="s">
        <v>104</v>
      </c>
      <c r="E670" s="13" t="s">
        <v>53</v>
      </c>
      <c r="F670" s="13" t="s">
        <v>135</v>
      </c>
      <c r="G670" s="13" t="s">
        <v>67</v>
      </c>
      <c r="H670">
        <v>85000</v>
      </c>
      <c r="I670" s="13" t="s">
        <v>121</v>
      </c>
      <c r="J670" s="13" t="s">
        <v>122</v>
      </c>
      <c r="K670" s="13" t="s">
        <v>107</v>
      </c>
      <c r="L670" s="13" t="s">
        <v>88</v>
      </c>
      <c r="M670">
        <v>60</v>
      </c>
      <c r="N670">
        <v>0</v>
      </c>
      <c r="O670" s="14">
        <v>45972</v>
      </c>
      <c r="P670" s="14">
        <v>46032</v>
      </c>
      <c r="Q670">
        <v>6515.58</v>
      </c>
      <c r="R670">
        <v>0</v>
      </c>
      <c r="S670">
        <v>0</v>
      </c>
      <c r="T670">
        <v>0</v>
      </c>
      <c r="U670">
        <v>0</v>
      </c>
      <c r="V670">
        <v>6515.58</v>
      </c>
      <c r="W670">
        <v>0</v>
      </c>
      <c r="X670">
        <v>1</v>
      </c>
      <c r="Y670">
        <v>0</v>
      </c>
      <c r="Z670">
        <v>-10</v>
      </c>
      <c r="AA670">
        <v>1</v>
      </c>
      <c r="AB670" s="13" t="s">
        <v>581</v>
      </c>
      <c r="AC670">
        <v>0</v>
      </c>
      <c r="AD670">
        <v>0</v>
      </c>
      <c r="AE670" s="13" t="s">
        <v>61</v>
      </c>
    </row>
    <row r="671" spans="1:31" x14ac:dyDescent="0.35">
      <c r="A671" s="13" t="s">
        <v>1205</v>
      </c>
      <c r="B671" s="13" t="s">
        <v>69</v>
      </c>
      <c r="C671" s="13" t="s">
        <v>70</v>
      </c>
      <c r="D671" s="13" t="s">
        <v>52</v>
      </c>
      <c r="E671" s="13" t="s">
        <v>71</v>
      </c>
      <c r="F671" s="13" t="s">
        <v>72</v>
      </c>
      <c r="G671" s="13" t="s">
        <v>55</v>
      </c>
      <c r="H671">
        <v>580000</v>
      </c>
      <c r="I671" s="13" t="s">
        <v>56</v>
      </c>
      <c r="J671" s="13" t="s">
        <v>57</v>
      </c>
      <c r="K671" s="13" t="s">
        <v>58</v>
      </c>
      <c r="L671" s="13" t="s">
        <v>59</v>
      </c>
      <c r="M671">
        <v>45</v>
      </c>
      <c r="N671">
        <v>0</v>
      </c>
      <c r="O671" s="14">
        <v>45972</v>
      </c>
      <c r="P671" s="14">
        <v>46017</v>
      </c>
      <c r="Q671">
        <v>8601.51</v>
      </c>
      <c r="R671">
        <v>0</v>
      </c>
      <c r="S671">
        <v>0</v>
      </c>
      <c r="T671">
        <v>0</v>
      </c>
      <c r="U671">
        <v>0</v>
      </c>
      <c r="V671">
        <v>8601.51</v>
      </c>
      <c r="W671">
        <v>0</v>
      </c>
      <c r="X671">
        <v>1</v>
      </c>
      <c r="Y671">
        <v>1</v>
      </c>
      <c r="Z671">
        <v>5</v>
      </c>
      <c r="AA671">
        <v>2</v>
      </c>
      <c r="AB671" s="13" t="s">
        <v>405</v>
      </c>
      <c r="AC671">
        <v>0.25</v>
      </c>
      <c r="AD671">
        <v>0</v>
      </c>
      <c r="AE671" s="13" t="s">
        <v>61</v>
      </c>
    </row>
    <row r="672" spans="1:31" x14ac:dyDescent="0.35">
      <c r="A672" s="13" t="s">
        <v>1206</v>
      </c>
      <c r="B672" s="13" t="s">
        <v>692</v>
      </c>
      <c r="C672" s="13" t="s">
        <v>693</v>
      </c>
      <c r="D672" s="13" t="s">
        <v>52</v>
      </c>
      <c r="E672" s="13" t="s">
        <v>53</v>
      </c>
      <c r="F672" s="13" t="s">
        <v>135</v>
      </c>
      <c r="G672" s="13" t="s">
        <v>55</v>
      </c>
      <c r="H672">
        <v>360000</v>
      </c>
      <c r="I672" s="13" t="s">
        <v>56</v>
      </c>
      <c r="J672" s="13" t="s">
        <v>57</v>
      </c>
      <c r="K672" s="13" t="s">
        <v>58</v>
      </c>
      <c r="L672" s="13" t="s">
        <v>88</v>
      </c>
      <c r="M672">
        <v>60</v>
      </c>
      <c r="N672">
        <v>0</v>
      </c>
      <c r="O672" s="14">
        <v>45972</v>
      </c>
      <c r="P672" s="14">
        <v>46032</v>
      </c>
      <c r="Q672">
        <v>2668.19</v>
      </c>
      <c r="R672">
        <v>0</v>
      </c>
      <c r="S672">
        <v>0</v>
      </c>
      <c r="T672">
        <v>0</v>
      </c>
      <c r="U672">
        <v>0</v>
      </c>
      <c r="V672">
        <v>2668.19</v>
      </c>
      <c r="W672">
        <v>0</v>
      </c>
      <c r="X672">
        <v>1</v>
      </c>
      <c r="Y672">
        <v>0</v>
      </c>
      <c r="Z672">
        <v>-10</v>
      </c>
      <c r="AA672">
        <v>1</v>
      </c>
      <c r="AB672" s="13" t="s">
        <v>581</v>
      </c>
      <c r="AC672">
        <v>0</v>
      </c>
      <c r="AD672">
        <v>0</v>
      </c>
      <c r="AE672" s="13" t="s">
        <v>61</v>
      </c>
    </row>
    <row r="673" spans="1:31" x14ac:dyDescent="0.35">
      <c r="A673" s="13" t="s">
        <v>1207</v>
      </c>
      <c r="B673" s="13" t="s">
        <v>516</v>
      </c>
      <c r="C673" s="13" t="s">
        <v>517</v>
      </c>
      <c r="D673" s="13" t="s">
        <v>52</v>
      </c>
      <c r="E673" s="13" t="s">
        <v>65</v>
      </c>
      <c r="F673" s="13" t="s">
        <v>66</v>
      </c>
      <c r="G673" s="13" t="s">
        <v>55</v>
      </c>
      <c r="H673">
        <v>305000</v>
      </c>
      <c r="I673" s="13" t="s">
        <v>56</v>
      </c>
      <c r="J673" s="13" t="s">
        <v>57</v>
      </c>
      <c r="K673" s="13" t="s">
        <v>58</v>
      </c>
      <c r="L673" s="13" t="s">
        <v>88</v>
      </c>
      <c r="M673">
        <v>60</v>
      </c>
      <c r="N673">
        <v>0</v>
      </c>
      <c r="O673" s="14">
        <v>45972</v>
      </c>
      <c r="P673" s="14">
        <v>46032</v>
      </c>
      <c r="Q673">
        <v>4442.66</v>
      </c>
      <c r="R673">
        <v>0</v>
      </c>
      <c r="S673">
        <v>0</v>
      </c>
      <c r="T673">
        <v>0</v>
      </c>
      <c r="U673">
        <v>0</v>
      </c>
      <c r="V673">
        <v>4442.66</v>
      </c>
      <c r="W673">
        <v>0</v>
      </c>
      <c r="X673">
        <v>1</v>
      </c>
      <c r="Y673">
        <v>0</v>
      </c>
      <c r="Z673">
        <v>-10</v>
      </c>
      <c r="AA673">
        <v>1</v>
      </c>
      <c r="AB673" s="13" t="s">
        <v>581</v>
      </c>
      <c r="AC673">
        <v>0</v>
      </c>
      <c r="AD673">
        <v>0</v>
      </c>
      <c r="AE673" s="13" t="s">
        <v>61</v>
      </c>
    </row>
    <row r="674" spans="1:31" x14ac:dyDescent="0.35">
      <c r="A674" s="13" t="s">
        <v>1208</v>
      </c>
      <c r="B674" s="13" t="s">
        <v>1209</v>
      </c>
      <c r="C674" s="13" t="s">
        <v>1210</v>
      </c>
      <c r="D674" s="13" t="s">
        <v>104</v>
      </c>
      <c r="E674" s="13" t="s">
        <v>99</v>
      </c>
      <c r="F674" s="13" t="s">
        <v>127</v>
      </c>
      <c r="G674" s="13" t="s">
        <v>55</v>
      </c>
      <c r="H674">
        <v>145000</v>
      </c>
      <c r="I674" s="13" t="s">
        <v>105</v>
      </c>
      <c r="J674" s="13" t="s">
        <v>106</v>
      </c>
      <c r="K674" s="13" t="s">
        <v>107</v>
      </c>
      <c r="L674" s="13" t="s">
        <v>95</v>
      </c>
      <c r="M674">
        <v>30</v>
      </c>
      <c r="N674">
        <v>0</v>
      </c>
      <c r="O674" s="14">
        <v>45972</v>
      </c>
      <c r="P674" s="14">
        <v>46002</v>
      </c>
      <c r="Q674">
        <v>8274.16</v>
      </c>
      <c r="R674">
        <v>0</v>
      </c>
      <c r="S674">
        <v>0</v>
      </c>
      <c r="T674">
        <v>0</v>
      </c>
      <c r="U674">
        <v>0</v>
      </c>
      <c r="V674">
        <v>8274.16</v>
      </c>
      <c r="W674">
        <v>0</v>
      </c>
      <c r="X674">
        <v>1</v>
      </c>
      <c r="Y674">
        <v>1</v>
      </c>
      <c r="Z674">
        <v>20</v>
      </c>
      <c r="AA674">
        <v>2</v>
      </c>
      <c r="AB674" s="13" t="s">
        <v>405</v>
      </c>
      <c r="AC674">
        <v>0.25</v>
      </c>
      <c r="AD674">
        <v>0</v>
      </c>
      <c r="AE674" s="13" t="s">
        <v>61</v>
      </c>
    </row>
    <row r="675" spans="1:31" x14ac:dyDescent="0.35">
      <c r="A675" s="13" t="s">
        <v>1211</v>
      </c>
      <c r="B675" s="13" t="s">
        <v>159</v>
      </c>
      <c r="C675" s="13" t="s">
        <v>160</v>
      </c>
      <c r="D675" s="13" t="s">
        <v>104</v>
      </c>
      <c r="E675" s="13" t="s">
        <v>53</v>
      </c>
      <c r="F675" s="13" t="s">
        <v>135</v>
      </c>
      <c r="G675" s="13" t="s">
        <v>67</v>
      </c>
      <c r="H675">
        <v>140000</v>
      </c>
      <c r="I675" s="13" t="s">
        <v>105</v>
      </c>
      <c r="J675" s="13" t="s">
        <v>106</v>
      </c>
      <c r="K675" s="13" t="s">
        <v>107</v>
      </c>
      <c r="L675" s="13" t="s">
        <v>88</v>
      </c>
      <c r="M675">
        <v>60</v>
      </c>
      <c r="N675">
        <v>0</v>
      </c>
      <c r="O675" s="14">
        <v>45972</v>
      </c>
      <c r="P675" s="14">
        <v>46032</v>
      </c>
      <c r="Q675">
        <v>1108.1300000000001</v>
      </c>
      <c r="R675">
        <v>0</v>
      </c>
      <c r="S675">
        <v>0</v>
      </c>
      <c r="T675">
        <v>0</v>
      </c>
      <c r="U675">
        <v>0</v>
      </c>
      <c r="V675">
        <v>1108.1300000000001</v>
      </c>
      <c r="W675">
        <v>0</v>
      </c>
      <c r="X675">
        <v>1</v>
      </c>
      <c r="Y675">
        <v>0</v>
      </c>
      <c r="Z675">
        <v>-10</v>
      </c>
      <c r="AA675">
        <v>1</v>
      </c>
      <c r="AB675" s="13" t="s">
        <v>581</v>
      </c>
      <c r="AC675">
        <v>0</v>
      </c>
      <c r="AD675">
        <v>0</v>
      </c>
      <c r="AE675" s="13" t="s">
        <v>61</v>
      </c>
    </row>
    <row r="676" spans="1:31" x14ac:dyDescent="0.35">
      <c r="A676" s="13" t="s">
        <v>1212</v>
      </c>
      <c r="B676" s="13" t="s">
        <v>366</v>
      </c>
      <c r="C676" s="13" t="s">
        <v>367</v>
      </c>
      <c r="D676" s="13" t="s">
        <v>126</v>
      </c>
      <c r="E676" s="13" t="s">
        <v>77</v>
      </c>
      <c r="F676" s="13" t="s">
        <v>78</v>
      </c>
      <c r="G676" s="13" t="s">
        <v>67</v>
      </c>
      <c r="H676">
        <v>70000</v>
      </c>
      <c r="I676" s="13" t="s">
        <v>105</v>
      </c>
      <c r="J676" s="13" t="s">
        <v>106</v>
      </c>
      <c r="K676" s="13" t="s">
        <v>107</v>
      </c>
      <c r="L676" s="13" t="s">
        <v>368</v>
      </c>
      <c r="M676">
        <v>90</v>
      </c>
      <c r="N676">
        <v>0</v>
      </c>
      <c r="O676" s="14">
        <v>45972</v>
      </c>
      <c r="P676" s="14">
        <v>46062</v>
      </c>
      <c r="Q676">
        <v>8210.36</v>
      </c>
      <c r="R676">
        <v>0</v>
      </c>
      <c r="S676">
        <v>0</v>
      </c>
      <c r="T676">
        <v>0</v>
      </c>
      <c r="U676">
        <v>0</v>
      </c>
      <c r="V676">
        <v>8210.36</v>
      </c>
      <c r="W676">
        <v>0</v>
      </c>
      <c r="X676">
        <v>1</v>
      </c>
      <c r="Y676">
        <v>0</v>
      </c>
      <c r="Z676">
        <v>-40</v>
      </c>
      <c r="AA676">
        <v>1</v>
      </c>
      <c r="AB676" s="13" t="s">
        <v>581</v>
      </c>
      <c r="AC676">
        <v>0</v>
      </c>
      <c r="AD676">
        <v>0</v>
      </c>
      <c r="AE676" s="13" t="s">
        <v>61</v>
      </c>
    </row>
    <row r="677" spans="1:31" x14ac:dyDescent="0.35">
      <c r="A677" s="13" t="s">
        <v>1213</v>
      </c>
      <c r="B677" s="13" t="s">
        <v>1214</v>
      </c>
      <c r="C677" s="13" t="s">
        <v>1215</v>
      </c>
      <c r="D677" s="13" t="s">
        <v>76</v>
      </c>
      <c r="E677" s="13" t="s">
        <v>53</v>
      </c>
      <c r="F677" s="13" t="s">
        <v>135</v>
      </c>
      <c r="G677" s="13" t="s">
        <v>92</v>
      </c>
      <c r="H677">
        <v>55000</v>
      </c>
      <c r="I677" s="13" t="s">
        <v>79</v>
      </c>
      <c r="J677" s="13" t="s">
        <v>80</v>
      </c>
      <c r="K677" s="13" t="s">
        <v>81</v>
      </c>
      <c r="L677" s="13" t="s">
        <v>95</v>
      </c>
      <c r="M677">
        <v>30</v>
      </c>
      <c r="N677">
        <v>0</v>
      </c>
      <c r="O677" s="14">
        <v>45972</v>
      </c>
      <c r="P677" s="14">
        <v>46002</v>
      </c>
      <c r="Q677">
        <v>495.48</v>
      </c>
      <c r="R677">
        <v>0</v>
      </c>
      <c r="S677">
        <v>0</v>
      </c>
      <c r="T677">
        <v>0</v>
      </c>
      <c r="U677">
        <v>0</v>
      </c>
      <c r="V677">
        <v>495.48</v>
      </c>
      <c r="W677">
        <v>0</v>
      </c>
      <c r="X677">
        <v>1</v>
      </c>
      <c r="Y677">
        <v>1</v>
      </c>
      <c r="Z677">
        <v>20</v>
      </c>
      <c r="AA677">
        <v>2</v>
      </c>
      <c r="AB677" s="13" t="s">
        <v>405</v>
      </c>
      <c r="AC677">
        <v>0.25</v>
      </c>
      <c r="AD677">
        <v>0</v>
      </c>
      <c r="AE677" s="13" t="s">
        <v>61</v>
      </c>
    </row>
    <row r="678" spans="1:31" x14ac:dyDescent="0.35">
      <c r="A678" s="13" t="s">
        <v>1216</v>
      </c>
      <c r="B678" s="13" t="s">
        <v>290</v>
      </c>
      <c r="C678" s="13" t="s">
        <v>291</v>
      </c>
      <c r="D678" s="13" t="s">
        <v>104</v>
      </c>
      <c r="E678" s="13" t="s">
        <v>77</v>
      </c>
      <c r="F678" s="13" t="s">
        <v>78</v>
      </c>
      <c r="G678" s="13" t="s">
        <v>92</v>
      </c>
      <c r="H678">
        <v>140000</v>
      </c>
      <c r="I678" s="13" t="s">
        <v>121</v>
      </c>
      <c r="J678" s="13" t="s">
        <v>122</v>
      </c>
      <c r="K678" s="13" t="s">
        <v>107</v>
      </c>
      <c r="L678" s="13" t="s">
        <v>82</v>
      </c>
      <c r="M678">
        <v>30</v>
      </c>
      <c r="N678">
        <v>2</v>
      </c>
      <c r="O678" s="14">
        <v>45972</v>
      </c>
      <c r="P678" s="14">
        <v>46002</v>
      </c>
      <c r="Q678">
        <v>1878.68</v>
      </c>
      <c r="R678">
        <v>0</v>
      </c>
      <c r="S678">
        <v>0</v>
      </c>
      <c r="T678">
        <v>0</v>
      </c>
      <c r="U678">
        <v>0</v>
      </c>
      <c r="V678">
        <v>1878.68</v>
      </c>
      <c r="W678">
        <v>0</v>
      </c>
      <c r="X678">
        <v>1</v>
      </c>
      <c r="Y678">
        <v>1</v>
      </c>
      <c r="Z678">
        <v>20</v>
      </c>
      <c r="AA678">
        <v>2</v>
      </c>
      <c r="AB678" s="13" t="s">
        <v>405</v>
      </c>
      <c r="AC678">
        <v>0.25</v>
      </c>
      <c r="AD678">
        <v>0</v>
      </c>
      <c r="AE678" s="13" t="s">
        <v>61</v>
      </c>
    </row>
    <row r="679" spans="1:31" x14ac:dyDescent="0.35">
      <c r="A679" s="13" t="s">
        <v>1217</v>
      </c>
      <c r="B679" s="13" t="s">
        <v>1097</v>
      </c>
      <c r="C679" s="13" t="s">
        <v>1098</v>
      </c>
      <c r="D679" s="13" t="s">
        <v>52</v>
      </c>
      <c r="E679" s="13" t="s">
        <v>77</v>
      </c>
      <c r="F679" s="13" t="s">
        <v>78</v>
      </c>
      <c r="G679" s="13" t="s">
        <v>67</v>
      </c>
      <c r="H679">
        <v>510000</v>
      </c>
      <c r="I679" s="13" t="s">
        <v>86</v>
      </c>
      <c r="J679" s="13" t="s">
        <v>87</v>
      </c>
      <c r="K679" s="13" t="s">
        <v>58</v>
      </c>
      <c r="L679" s="13" t="s">
        <v>88</v>
      </c>
      <c r="M679">
        <v>60</v>
      </c>
      <c r="N679">
        <v>0</v>
      </c>
      <c r="O679" s="14">
        <v>45972</v>
      </c>
      <c r="P679" s="14">
        <v>46032</v>
      </c>
      <c r="Q679">
        <v>16471.89</v>
      </c>
      <c r="R679">
        <v>0</v>
      </c>
      <c r="S679">
        <v>0</v>
      </c>
      <c r="T679">
        <v>0</v>
      </c>
      <c r="U679">
        <v>0</v>
      </c>
      <c r="V679">
        <v>16471.89</v>
      </c>
      <c r="W679">
        <v>0</v>
      </c>
      <c r="X679">
        <v>1</v>
      </c>
      <c r="Y679">
        <v>0</v>
      </c>
      <c r="Z679">
        <v>-10</v>
      </c>
      <c r="AA679">
        <v>1</v>
      </c>
      <c r="AB679" s="13" t="s">
        <v>581</v>
      </c>
      <c r="AC679">
        <v>0</v>
      </c>
      <c r="AD679">
        <v>0</v>
      </c>
      <c r="AE679" s="13" t="s">
        <v>61</v>
      </c>
    </row>
    <row r="680" spans="1:31" x14ac:dyDescent="0.35">
      <c r="A680" s="13" t="s">
        <v>1218</v>
      </c>
      <c r="B680" s="13" t="s">
        <v>317</v>
      </c>
      <c r="C680" s="13" t="s">
        <v>318</v>
      </c>
      <c r="D680" s="13" t="s">
        <v>52</v>
      </c>
      <c r="E680" s="13" t="s">
        <v>77</v>
      </c>
      <c r="F680" s="13" t="s">
        <v>78</v>
      </c>
      <c r="G680" s="13" t="s">
        <v>67</v>
      </c>
      <c r="H680">
        <v>390000</v>
      </c>
      <c r="I680" s="13" t="s">
        <v>56</v>
      </c>
      <c r="J680" s="13" t="s">
        <v>57</v>
      </c>
      <c r="K680" s="13" t="s">
        <v>58</v>
      </c>
      <c r="L680" s="13" t="s">
        <v>88</v>
      </c>
      <c r="M680">
        <v>60</v>
      </c>
      <c r="N680">
        <v>0</v>
      </c>
      <c r="O680" s="14">
        <v>45972</v>
      </c>
      <c r="P680" s="14">
        <v>46032</v>
      </c>
      <c r="Q680">
        <v>5709.04</v>
      </c>
      <c r="R680">
        <v>0</v>
      </c>
      <c r="S680">
        <v>0</v>
      </c>
      <c r="T680">
        <v>0</v>
      </c>
      <c r="U680">
        <v>0</v>
      </c>
      <c r="V680">
        <v>5709.04</v>
      </c>
      <c r="W680">
        <v>0</v>
      </c>
      <c r="X680">
        <v>1</v>
      </c>
      <c r="Y680">
        <v>0</v>
      </c>
      <c r="Z680">
        <v>-10</v>
      </c>
      <c r="AA680">
        <v>1</v>
      </c>
      <c r="AB680" s="13" t="s">
        <v>581</v>
      </c>
      <c r="AC680">
        <v>0</v>
      </c>
      <c r="AD680">
        <v>0</v>
      </c>
      <c r="AE680" s="13" t="s">
        <v>61</v>
      </c>
    </row>
    <row r="681" spans="1:31" x14ac:dyDescent="0.35">
      <c r="A681" s="13" t="s">
        <v>1219</v>
      </c>
      <c r="B681" s="13" t="s">
        <v>1220</v>
      </c>
      <c r="C681" s="13" t="s">
        <v>1221</v>
      </c>
      <c r="D681" s="13" t="s">
        <v>52</v>
      </c>
      <c r="E681" s="13" t="s">
        <v>65</v>
      </c>
      <c r="F681" s="13" t="s">
        <v>111</v>
      </c>
      <c r="G681" s="13" t="s">
        <v>67</v>
      </c>
      <c r="H681">
        <v>340000</v>
      </c>
      <c r="I681" s="13" t="s">
        <v>86</v>
      </c>
      <c r="J681" s="13" t="s">
        <v>87</v>
      </c>
      <c r="K681" s="13" t="s">
        <v>58</v>
      </c>
      <c r="L681" s="13" t="s">
        <v>59</v>
      </c>
      <c r="M681">
        <v>45</v>
      </c>
      <c r="N681">
        <v>0</v>
      </c>
      <c r="O681" s="14">
        <v>45972</v>
      </c>
      <c r="P681" s="14">
        <v>46017</v>
      </c>
      <c r="Q681">
        <v>5118.45</v>
      </c>
      <c r="R681">
        <v>3071.07</v>
      </c>
      <c r="S681">
        <v>0</v>
      </c>
      <c r="T681">
        <v>0</v>
      </c>
      <c r="U681">
        <v>0</v>
      </c>
      <c r="V681">
        <v>2047.38</v>
      </c>
      <c r="W681">
        <v>0</v>
      </c>
      <c r="X681">
        <v>1</v>
      </c>
      <c r="Y681">
        <v>1</v>
      </c>
      <c r="Z681">
        <v>5</v>
      </c>
      <c r="AA681">
        <v>2</v>
      </c>
      <c r="AB681" s="13" t="s">
        <v>405</v>
      </c>
      <c r="AC681">
        <v>0.25</v>
      </c>
      <c r="AD681">
        <v>0</v>
      </c>
      <c r="AE681" s="13" t="s">
        <v>61</v>
      </c>
    </row>
    <row r="682" spans="1:31" x14ac:dyDescent="0.35">
      <c r="A682" s="13" t="s">
        <v>1222</v>
      </c>
      <c r="B682" s="13" t="s">
        <v>1223</v>
      </c>
      <c r="C682" s="13" t="s">
        <v>1224</v>
      </c>
      <c r="D682" s="13" t="s">
        <v>52</v>
      </c>
      <c r="E682" s="13" t="s">
        <v>99</v>
      </c>
      <c r="F682" s="13" t="s">
        <v>100</v>
      </c>
      <c r="G682" s="13" t="s">
        <v>67</v>
      </c>
      <c r="H682">
        <v>275000</v>
      </c>
      <c r="I682" s="13" t="s">
        <v>86</v>
      </c>
      <c r="J682" s="13" t="s">
        <v>87</v>
      </c>
      <c r="K682" s="13" t="s">
        <v>58</v>
      </c>
      <c r="L682" s="13" t="s">
        <v>88</v>
      </c>
      <c r="M682">
        <v>60</v>
      </c>
      <c r="N682">
        <v>0</v>
      </c>
      <c r="O682" s="14">
        <v>45972</v>
      </c>
      <c r="P682" s="14">
        <v>46032</v>
      </c>
      <c r="Q682">
        <v>14906.93</v>
      </c>
      <c r="R682">
        <v>0</v>
      </c>
      <c r="S682">
        <v>0</v>
      </c>
      <c r="T682">
        <v>0</v>
      </c>
      <c r="U682">
        <v>0</v>
      </c>
      <c r="V682">
        <v>14906.93</v>
      </c>
      <c r="W682">
        <v>0</v>
      </c>
      <c r="X682">
        <v>1</v>
      </c>
      <c r="Y682">
        <v>0</v>
      </c>
      <c r="Z682">
        <v>-10</v>
      </c>
      <c r="AA682">
        <v>1</v>
      </c>
      <c r="AB682" s="13" t="s">
        <v>581</v>
      </c>
      <c r="AC682">
        <v>0</v>
      </c>
      <c r="AD682">
        <v>1</v>
      </c>
      <c r="AE682" s="13" t="s">
        <v>465</v>
      </c>
    </row>
    <row r="683" spans="1:31" x14ac:dyDescent="0.35">
      <c r="A683" s="13" t="s">
        <v>1225</v>
      </c>
      <c r="B683" s="13" t="s">
        <v>791</v>
      </c>
      <c r="C683" s="13" t="s">
        <v>792</v>
      </c>
      <c r="D683" s="13" t="s">
        <v>104</v>
      </c>
      <c r="E683" s="13" t="s">
        <v>53</v>
      </c>
      <c r="F683" s="13" t="s">
        <v>54</v>
      </c>
      <c r="G683" s="13" t="s">
        <v>67</v>
      </c>
      <c r="H683">
        <v>95000</v>
      </c>
      <c r="I683" s="13" t="s">
        <v>121</v>
      </c>
      <c r="J683" s="13" t="s">
        <v>122</v>
      </c>
      <c r="K683" s="13" t="s">
        <v>107</v>
      </c>
      <c r="L683" s="13" t="s">
        <v>88</v>
      </c>
      <c r="M683">
        <v>60</v>
      </c>
      <c r="N683">
        <v>0</v>
      </c>
      <c r="O683" s="14">
        <v>45972</v>
      </c>
      <c r="P683" s="14">
        <v>46032</v>
      </c>
      <c r="Q683">
        <v>4060.04</v>
      </c>
      <c r="R683">
        <v>0</v>
      </c>
      <c r="S683">
        <v>0</v>
      </c>
      <c r="T683">
        <v>0</v>
      </c>
      <c r="U683">
        <v>0</v>
      </c>
      <c r="V683">
        <v>4060.04</v>
      </c>
      <c r="W683">
        <v>0</v>
      </c>
      <c r="X683">
        <v>1</v>
      </c>
      <c r="Y683">
        <v>0</v>
      </c>
      <c r="Z683">
        <v>-10</v>
      </c>
      <c r="AA683">
        <v>1</v>
      </c>
      <c r="AB683" s="13" t="s">
        <v>581</v>
      </c>
      <c r="AC683">
        <v>0</v>
      </c>
      <c r="AD683">
        <v>0</v>
      </c>
      <c r="AE683" s="13" t="s">
        <v>61</v>
      </c>
    </row>
    <row r="684" spans="1:31" x14ac:dyDescent="0.35">
      <c r="A684" s="13" t="s">
        <v>1226</v>
      </c>
      <c r="B684" s="13" t="s">
        <v>1227</v>
      </c>
      <c r="C684" s="13" t="s">
        <v>1228</v>
      </c>
      <c r="D684" s="13" t="s">
        <v>76</v>
      </c>
      <c r="E684" s="13" t="s">
        <v>99</v>
      </c>
      <c r="F684" s="13" t="s">
        <v>100</v>
      </c>
      <c r="G684" s="13" t="s">
        <v>55</v>
      </c>
      <c r="H684">
        <v>110000</v>
      </c>
      <c r="I684" s="13" t="s">
        <v>93</v>
      </c>
      <c r="J684" s="13" t="s">
        <v>94</v>
      </c>
      <c r="K684" s="13" t="s">
        <v>81</v>
      </c>
      <c r="L684" s="13" t="s">
        <v>95</v>
      </c>
      <c r="M684">
        <v>30</v>
      </c>
      <c r="N684">
        <v>0</v>
      </c>
      <c r="O684" s="14">
        <v>45972</v>
      </c>
      <c r="P684" s="14">
        <v>46002</v>
      </c>
      <c r="Q684">
        <v>4826.2299999999996</v>
      </c>
      <c r="R684">
        <v>2895.74</v>
      </c>
      <c r="S684">
        <v>0</v>
      </c>
      <c r="T684">
        <v>0</v>
      </c>
      <c r="U684">
        <v>0</v>
      </c>
      <c r="V684">
        <v>1930.49</v>
      </c>
      <c r="W684">
        <v>0</v>
      </c>
      <c r="X684">
        <v>1</v>
      </c>
      <c r="Y684">
        <v>1</v>
      </c>
      <c r="Z684">
        <v>20</v>
      </c>
      <c r="AA684">
        <v>2</v>
      </c>
      <c r="AB684" s="13" t="s">
        <v>405</v>
      </c>
      <c r="AC684">
        <v>0.25</v>
      </c>
      <c r="AD684">
        <v>0</v>
      </c>
      <c r="AE684" s="13" t="s">
        <v>61</v>
      </c>
    </row>
    <row r="685" spans="1:31" x14ac:dyDescent="0.35">
      <c r="A685" s="13" t="s">
        <v>1229</v>
      </c>
      <c r="B685" s="13" t="s">
        <v>1059</v>
      </c>
      <c r="C685" s="13" t="s">
        <v>1060</v>
      </c>
      <c r="D685" s="13" t="s">
        <v>52</v>
      </c>
      <c r="E685" s="13" t="s">
        <v>77</v>
      </c>
      <c r="F685" s="13" t="s">
        <v>174</v>
      </c>
      <c r="G685" s="13" t="s">
        <v>67</v>
      </c>
      <c r="H685">
        <v>225000</v>
      </c>
      <c r="I685" s="13" t="s">
        <v>86</v>
      </c>
      <c r="J685" s="13" t="s">
        <v>87</v>
      </c>
      <c r="K685" s="13" t="s">
        <v>58</v>
      </c>
      <c r="L685" s="13" t="s">
        <v>88</v>
      </c>
      <c r="M685">
        <v>60</v>
      </c>
      <c r="N685">
        <v>0</v>
      </c>
      <c r="O685" s="14">
        <v>45972</v>
      </c>
      <c r="P685" s="14">
        <v>46032</v>
      </c>
      <c r="Q685">
        <v>15884.46</v>
      </c>
      <c r="R685">
        <v>0</v>
      </c>
      <c r="S685">
        <v>0</v>
      </c>
      <c r="T685">
        <v>0</v>
      </c>
      <c r="U685">
        <v>0</v>
      </c>
      <c r="V685">
        <v>15884.46</v>
      </c>
      <c r="W685">
        <v>0</v>
      </c>
      <c r="X685">
        <v>1</v>
      </c>
      <c r="Y685">
        <v>0</v>
      </c>
      <c r="Z685">
        <v>-10</v>
      </c>
      <c r="AA685">
        <v>1</v>
      </c>
      <c r="AB685" s="13" t="s">
        <v>581</v>
      </c>
      <c r="AC685">
        <v>0</v>
      </c>
      <c r="AD685">
        <v>0</v>
      </c>
      <c r="AE685" s="13" t="s">
        <v>61</v>
      </c>
    </row>
    <row r="686" spans="1:31" x14ac:dyDescent="0.35">
      <c r="A686" s="13" t="s">
        <v>1230</v>
      </c>
      <c r="B686" s="13" t="s">
        <v>379</v>
      </c>
      <c r="C686" s="13" t="s">
        <v>380</v>
      </c>
      <c r="D686" s="13" t="s">
        <v>52</v>
      </c>
      <c r="E686" s="13" t="s">
        <v>77</v>
      </c>
      <c r="F686" s="13" t="s">
        <v>78</v>
      </c>
      <c r="G686" s="13" t="s">
        <v>92</v>
      </c>
      <c r="H686">
        <v>450000</v>
      </c>
      <c r="I686" s="13" t="s">
        <v>56</v>
      </c>
      <c r="J686" s="13" t="s">
        <v>57</v>
      </c>
      <c r="K686" s="13" t="s">
        <v>58</v>
      </c>
      <c r="L686" s="13" t="s">
        <v>59</v>
      </c>
      <c r="M686">
        <v>45</v>
      </c>
      <c r="N686">
        <v>0</v>
      </c>
      <c r="O686" s="14">
        <v>45972</v>
      </c>
      <c r="P686" s="14">
        <v>46017</v>
      </c>
      <c r="Q686">
        <v>13202.22</v>
      </c>
      <c r="R686">
        <v>0</v>
      </c>
      <c r="S686">
        <v>0</v>
      </c>
      <c r="T686">
        <v>0</v>
      </c>
      <c r="U686">
        <v>0</v>
      </c>
      <c r="V686">
        <v>13202.22</v>
      </c>
      <c r="W686">
        <v>0</v>
      </c>
      <c r="X686">
        <v>1</v>
      </c>
      <c r="Y686">
        <v>1</v>
      </c>
      <c r="Z686">
        <v>5</v>
      </c>
      <c r="AA686">
        <v>2</v>
      </c>
      <c r="AB686" s="13" t="s">
        <v>405</v>
      </c>
      <c r="AC686">
        <v>0.25</v>
      </c>
      <c r="AD686">
        <v>0</v>
      </c>
      <c r="AE686" s="13" t="s">
        <v>61</v>
      </c>
    </row>
    <row r="687" spans="1:31" x14ac:dyDescent="0.35">
      <c r="A687" s="13" t="s">
        <v>1231</v>
      </c>
      <c r="B687" s="13" t="s">
        <v>565</v>
      </c>
      <c r="C687" s="13" t="s">
        <v>566</v>
      </c>
      <c r="D687" s="13" t="s">
        <v>126</v>
      </c>
      <c r="E687" s="13" t="s">
        <v>77</v>
      </c>
      <c r="F687" s="13" t="s">
        <v>174</v>
      </c>
      <c r="G687" s="13" t="s">
        <v>67</v>
      </c>
      <c r="H687">
        <v>145000</v>
      </c>
      <c r="I687" s="13" t="s">
        <v>121</v>
      </c>
      <c r="J687" s="13" t="s">
        <v>122</v>
      </c>
      <c r="K687" s="13" t="s">
        <v>107</v>
      </c>
      <c r="L687" s="13" t="s">
        <v>368</v>
      </c>
      <c r="M687">
        <v>90</v>
      </c>
      <c r="N687">
        <v>0</v>
      </c>
      <c r="O687" s="14">
        <v>45972</v>
      </c>
      <c r="P687" s="14">
        <v>46062</v>
      </c>
      <c r="Q687">
        <v>5341.3</v>
      </c>
      <c r="R687">
        <v>0</v>
      </c>
      <c r="S687">
        <v>0</v>
      </c>
      <c r="T687">
        <v>0</v>
      </c>
      <c r="U687">
        <v>0</v>
      </c>
      <c r="V687">
        <v>5341.3</v>
      </c>
      <c r="W687">
        <v>0</v>
      </c>
      <c r="X687">
        <v>1</v>
      </c>
      <c r="Y687">
        <v>0</v>
      </c>
      <c r="Z687">
        <v>-40</v>
      </c>
      <c r="AA687">
        <v>1</v>
      </c>
      <c r="AB687" s="13" t="s">
        <v>581</v>
      </c>
      <c r="AC687">
        <v>0</v>
      </c>
      <c r="AD687">
        <v>0</v>
      </c>
      <c r="AE687" s="13" t="s">
        <v>61</v>
      </c>
    </row>
    <row r="688" spans="1:31" x14ac:dyDescent="0.35">
      <c r="A688" s="13" t="s">
        <v>1232</v>
      </c>
      <c r="B688" s="13" t="s">
        <v>474</v>
      </c>
      <c r="C688" s="13" t="s">
        <v>475</v>
      </c>
      <c r="D688" s="13" t="s">
        <v>126</v>
      </c>
      <c r="E688" s="13" t="s">
        <v>77</v>
      </c>
      <c r="F688" s="13" t="s">
        <v>174</v>
      </c>
      <c r="G688" s="13" t="s">
        <v>67</v>
      </c>
      <c r="H688">
        <v>165000</v>
      </c>
      <c r="I688" s="13" t="s">
        <v>56</v>
      </c>
      <c r="J688" s="13" t="s">
        <v>57</v>
      </c>
      <c r="K688" s="13" t="s">
        <v>58</v>
      </c>
      <c r="L688" s="13" t="s">
        <v>368</v>
      </c>
      <c r="M688">
        <v>90</v>
      </c>
      <c r="N688">
        <v>0</v>
      </c>
      <c r="O688" s="14">
        <v>45972</v>
      </c>
      <c r="P688" s="14">
        <v>46062</v>
      </c>
      <c r="Q688">
        <v>5458.52</v>
      </c>
      <c r="R688">
        <v>0</v>
      </c>
      <c r="S688">
        <v>0</v>
      </c>
      <c r="T688">
        <v>0</v>
      </c>
      <c r="U688">
        <v>0</v>
      </c>
      <c r="V688">
        <v>5458.52</v>
      </c>
      <c r="W688">
        <v>0</v>
      </c>
      <c r="X688">
        <v>1</v>
      </c>
      <c r="Y688">
        <v>0</v>
      </c>
      <c r="Z688">
        <v>-40</v>
      </c>
      <c r="AA688">
        <v>1</v>
      </c>
      <c r="AB688" s="13" t="s">
        <v>581</v>
      </c>
      <c r="AC688">
        <v>0</v>
      </c>
      <c r="AD688">
        <v>0</v>
      </c>
      <c r="AE688" s="13" t="s">
        <v>61</v>
      </c>
    </row>
    <row r="689" spans="1:31" x14ac:dyDescent="0.35">
      <c r="A689" s="13" t="s">
        <v>1233</v>
      </c>
      <c r="B689" s="13" t="s">
        <v>533</v>
      </c>
      <c r="C689" s="13" t="s">
        <v>534</v>
      </c>
      <c r="D689" s="13" t="s">
        <v>126</v>
      </c>
      <c r="E689" s="13" t="s">
        <v>99</v>
      </c>
      <c r="F689" s="13" t="s">
        <v>127</v>
      </c>
      <c r="G689" s="13" t="s">
        <v>67</v>
      </c>
      <c r="H689">
        <v>205000</v>
      </c>
      <c r="I689" s="13" t="s">
        <v>86</v>
      </c>
      <c r="J689" s="13" t="s">
        <v>87</v>
      </c>
      <c r="K689" s="13" t="s">
        <v>58</v>
      </c>
      <c r="L689" s="13" t="s">
        <v>368</v>
      </c>
      <c r="M689">
        <v>90</v>
      </c>
      <c r="N689">
        <v>0</v>
      </c>
      <c r="O689" s="14">
        <v>45972</v>
      </c>
      <c r="P689" s="14">
        <v>46062</v>
      </c>
      <c r="Q689">
        <v>4339.43</v>
      </c>
      <c r="R689">
        <v>0</v>
      </c>
      <c r="S689">
        <v>0</v>
      </c>
      <c r="T689">
        <v>0</v>
      </c>
      <c r="U689">
        <v>0</v>
      </c>
      <c r="V689">
        <v>4339.43</v>
      </c>
      <c r="W689">
        <v>0</v>
      </c>
      <c r="X689">
        <v>1</v>
      </c>
      <c r="Y689">
        <v>0</v>
      </c>
      <c r="Z689">
        <v>-40</v>
      </c>
      <c r="AA689">
        <v>1</v>
      </c>
      <c r="AB689" s="13" t="s">
        <v>581</v>
      </c>
      <c r="AC689">
        <v>0</v>
      </c>
      <c r="AD689">
        <v>0</v>
      </c>
      <c r="AE689" s="13" t="s">
        <v>61</v>
      </c>
    </row>
    <row r="690" spans="1:31" x14ac:dyDescent="0.35">
      <c r="A690" s="13" t="s">
        <v>1234</v>
      </c>
      <c r="B690" s="13" t="s">
        <v>340</v>
      </c>
      <c r="C690" s="13" t="s">
        <v>341</v>
      </c>
      <c r="D690" s="13" t="s">
        <v>52</v>
      </c>
      <c r="E690" s="13" t="s">
        <v>77</v>
      </c>
      <c r="F690" s="13" t="s">
        <v>78</v>
      </c>
      <c r="G690" s="13" t="s">
        <v>92</v>
      </c>
      <c r="H690">
        <v>565000</v>
      </c>
      <c r="I690" s="13" t="s">
        <v>56</v>
      </c>
      <c r="J690" s="13" t="s">
        <v>57</v>
      </c>
      <c r="K690" s="13" t="s">
        <v>58</v>
      </c>
      <c r="L690" s="13" t="s">
        <v>59</v>
      </c>
      <c r="M690">
        <v>45</v>
      </c>
      <c r="N690">
        <v>0</v>
      </c>
      <c r="O690" s="14">
        <v>45972</v>
      </c>
      <c r="P690" s="14">
        <v>46017</v>
      </c>
      <c r="Q690">
        <v>6112.43</v>
      </c>
      <c r="R690">
        <v>0</v>
      </c>
      <c r="S690">
        <v>0</v>
      </c>
      <c r="T690">
        <v>0</v>
      </c>
      <c r="U690">
        <v>0</v>
      </c>
      <c r="V690">
        <v>6112.43</v>
      </c>
      <c r="W690">
        <v>0</v>
      </c>
      <c r="X690">
        <v>1</v>
      </c>
      <c r="Y690">
        <v>1</v>
      </c>
      <c r="Z690">
        <v>5</v>
      </c>
      <c r="AA690">
        <v>2</v>
      </c>
      <c r="AB690" s="13" t="s">
        <v>405</v>
      </c>
      <c r="AC690">
        <v>0.25</v>
      </c>
      <c r="AD690">
        <v>0</v>
      </c>
      <c r="AE690" s="13" t="s">
        <v>61</v>
      </c>
    </row>
    <row r="691" spans="1:31" x14ac:dyDescent="0.35">
      <c r="A691" s="13" t="s">
        <v>1235</v>
      </c>
      <c r="B691" s="13" t="s">
        <v>550</v>
      </c>
      <c r="C691" s="13" t="s">
        <v>551</v>
      </c>
      <c r="D691" s="13" t="s">
        <v>104</v>
      </c>
      <c r="E691" s="13" t="s">
        <v>71</v>
      </c>
      <c r="F691" s="13" t="s">
        <v>214</v>
      </c>
      <c r="G691" s="13" t="s">
        <v>55</v>
      </c>
      <c r="H691">
        <v>110000</v>
      </c>
      <c r="I691" s="13" t="s">
        <v>121</v>
      </c>
      <c r="J691" s="13" t="s">
        <v>122</v>
      </c>
      <c r="K691" s="13" t="s">
        <v>107</v>
      </c>
      <c r="L691" s="13" t="s">
        <v>88</v>
      </c>
      <c r="M691">
        <v>60</v>
      </c>
      <c r="N691">
        <v>0</v>
      </c>
      <c r="O691" s="14">
        <v>45972</v>
      </c>
      <c r="P691" s="14">
        <v>46032</v>
      </c>
      <c r="Q691">
        <v>800</v>
      </c>
      <c r="R691">
        <v>0</v>
      </c>
      <c r="S691">
        <v>0</v>
      </c>
      <c r="T691">
        <v>0</v>
      </c>
      <c r="U691">
        <v>0</v>
      </c>
      <c r="V691">
        <v>800</v>
      </c>
      <c r="W691">
        <v>0</v>
      </c>
      <c r="X691">
        <v>1</v>
      </c>
      <c r="Y691">
        <v>0</v>
      </c>
      <c r="Z691">
        <v>-10</v>
      </c>
      <c r="AA691">
        <v>1</v>
      </c>
      <c r="AB691" s="13" t="s">
        <v>581</v>
      </c>
      <c r="AC691">
        <v>0</v>
      </c>
      <c r="AD691">
        <v>0</v>
      </c>
      <c r="AE691" s="13" t="s">
        <v>61</v>
      </c>
    </row>
    <row r="692" spans="1:31" x14ac:dyDescent="0.35">
      <c r="A692" s="13" t="s">
        <v>1236</v>
      </c>
      <c r="B692" s="13" t="s">
        <v>1237</v>
      </c>
      <c r="C692" s="13" t="s">
        <v>1238</v>
      </c>
      <c r="D692" s="13" t="s">
        <v>104</v>
      </c>
      <c r="E692" s="13" t="s">
        <v>99</v>
      </c>
      <c r="F692" s="13" t="s">
        <v>127</v>
      </c>
      <c r="G692" s="13" t="s">
        <v>67</v>
      </c>
      <c r="H692">
        <v>125000</v>
      </c>
      <c r="I692" s="13" t="s">
        <v>121</v>
      </c>
      <c r="J692" s="13" t="s">
        <v>122</v>
      </c>
      <c r="K692" s="13" t="s">
        <v>107</v>
      </c>
      <c r="L692" s="13" t="s">
        <v>95</v>
      </c>
      <c r="M692">
        <v>30</v>
      </c>
      <c r="N692">
        <v>0</v>
      </c>
      <c r="O692" s="14">
        <v>45973</v>
      </c>
      <c r="P692" s="14">
        <v>46003</v>
      </c>
      <c r="Q692">
        <v>4793.03</v>
      </c>
      <c r="R692">
        <v>0</v>
      </c>
      <c r="S692">
        <v>0</v>
      </c>
      <c r="T692">
        <v>0</v>
      </c>
      <c r="U692">
        <v>0</v>
      </c>
      <c r="V692">
        <v>4793.03</v>
      </c>
      <c r="W692">
        <v>0</v>
      </c>
      <c r="X692">
        <v>1</v>
      </c>
      <c r="Y692">
        <v>1</v>
      </c>
      <c r="Z692">
        <v>19</v>
      </c>
      <c r="AA692">
        <v>2</v>
      </c>
      <c r="AB692" s="13" t="s">
        <v>405</v>
      </c>
      <c r="AC692">
        <v>0.25</v>
      </c>
      <c r="AD692">
        <v>1</v>
      </c>
      <c r="AE692" s="13" t="s">
        <v>348</v>
      </c>
    </row>
    <row r="693" spans="1:31" x14ac:dyDescent="0.35">
      <c r="A693" s="13" t="s">
        <v>1239</v>
      </c>
      <c r="B693" s="13" t="s">
        <v>259</v>
      </c>
      <c r="C693" s="13" t="s">
        <v>260</v>
      </c>
      <c r="D693" s="13" t="s">
        <v>104</v>
      </c>
      <c r="E693" s="13" t="s">
        <v>71</v>
      </c>
      <c r="F693" s="13" t="s">
        <v>72</v>
      </c>
      <c r="G693" s="13" t="s">
        <v>67</v>
      </c>
      <c r="H693">
        <v>145000</v>
      </c>
      <c r="I693" s="13" t="s">
        <v>121</v>
      </c>
      <c r="J693" s="13" t="s">
        <v>122</v>
      </c>
      <c r="K693" s="13" t="s">
        <v>107</v>
      </c>
      <c r="L693" s="13" t="s">
        <v>88</v>
      </c>
      <c r="M693">
        <v>60</v>
      </c>
      <c r="N693">
        <v>0</v>
      </c>
      <c r="O693" s="14">
        <v>45973</v>
      </c>
      <c r="P693" s="14">
        <v>46033</v>
      </c>
      <c r="Q693">
        <v>839.7</v>
      </c>
      <c r="R693">
        <v>0</v>
      </c>
      <c r="S693">
        <v>0</v>
      </c>
      <c r="T693">
        <v>0</v>
      </c>
      <c r="U693">
        <v>0</v>
      </c>
      <c r="V693">
        <v>839.7</v>
      </c>
      <c r="W693">
        <v>0</v>
      </c>
      <c r="X693">
        <v>1</v>
      </c>
      <c r="Y693">
        <v>0</v>
      </c>
      <c r="Z693">
        <v>-11</v>
      </c>
      <c r="AA693">
        <v>1</v>
      </c>
      <c r="AB693" s="13" t="s">
        <v>581</v>
      </c>
      <c r="AC693">
        <v>0</v>
      </c>
      <c r="AD693">
        <v>0</v>
      </c>
      <c r="AE693" s="13" t="s">
        <v>61</v>
      </c>
    </row>
    <row r="694" spans="1:31" x14ac:dyDescent="0.35">
      <c r="A694" s="13" t="s">
        <v>1240</v>
      </c>
      <c r="B694" s="13" t="s">
        <v>1241</v>
      </c>
      <c r="C694" s="13" t="s">
        <v>1242</v>
      </c>
      <c r="D694" s="13" t="s">
        <v>76</v>
      </c>
      <c r="E694" s="13" t="s">
        <v>65</v>
      </c>
      <c r="F694" s="13" t="s">
        <v>111</v>
      </c>
      <c r="G694" s="13" t="s">
        <v>55</v>
      </c>
      <c r="H694">
        <v>45000</v>
      </c>
      <c r="I694" s="13" t="s">
        <v>93</v>
      </c>
      <c r="J694" s="13" t="s">
        <v>94</v>
      </c>
      <c r="K694" s="13" t="s">
        <v>81</v>
      </c>
      <c r="L694" s="13" t="s">
        <v>95</v>
      </c>
      <c r="M694">
        <v>30</v>
      </c>
      <c r="N694">
        <v>0</v>
      </c>
      <c r="O694" s="14">
        <v>45973</v>
      </c>
      <c r="P694" s="14">
        <v>46003</v>
      </c>
      <c r="Q694">
        <v>3657.56</v>
      </c>
      <c r="R694">
        <v>2194.54</v>
      </c>
      <c r="S694">
        <v>0</v>
      </c>
      <c r="T694">
        <v>0</v>
      </c>
      <c r="U694">
        <v>0</v>
      </c>
      <c r="V694">
        <v>1463.02</v>
      </c>
      <c r="W694">
        <v>0</v>
      </c>
      <c r="X694">
        <v>1</v>
      </c>
      <c r="Y694">
        <v>1</v>
      </c>
      <c r="Z694">
        <v>19</v>
      </c>
      <c r="AA694">
        <v>2</v>
      </c>
      <c r="AB694" s="13" t="s">
        <v>405</v>
      </c>
      <c r="AC694">
        <v>0.25</v>
      </c>
      <c r="AD694">
        <v>0</v>
      </c>
      <c r="AE694" s="13" t="s">
        <v>61</v>
      </c>
    </row>
    <row r="695" spans="1:31" x14ac:dyDescent="0.35">
      <c r="A695" s="13" t="s">
        <v>1243</v>
      </c>
      <c r="B695" s="13" t="s">
        <v>434</v>
      </c>
      <c r="C695" s="13" t="s">
        <v>435</v>
      </c>
      <c r="D695" s="13" t="s">
        <v>52</v>
      </c>
      <c r="E695" s="13" t="s">
        <v>77</v>
      </c>
      <c r="F695" s="13" t="s">
        <v>78</v>
      </c>
      <c r="G695" s="13" t="s">
        <v>55</v>
      </c>
      <c r="H695">
        <v>510000</v>
      </c>
      <c r="I695" s="13" t="s">
        <v>56</v>
      </c>
      <c r="J695" s="13" t="s">
        <v>57</v>
      </c>
      <c r="K695" s="13" t="s">
        <v>58</v>
      </c>
      <c r="L695" s="13" t="s">
        <v>88</v>
      </c>
      <c r="M695">
        <v>60</v>
      </c>
      <c r="N695">
        <v>0</v>
      </c>
      <c r="O695" s="14">
        <v>45973</v>
      </c>
      <c r="P695" s="14">
        <v>46033</v>
      </c>
      <c r="Q695">
        <v>8814.01</v>
      </c>
      <c r="R695">
        <v>0</v>
      </c>
      <c r="S695">
        <v>0</v>
      </c>
      <c r="T695">
        <v>0</v>
      </c>
      <c r="U695">
        <v>0</v>
      </c>
      <c r="V695">
        <v>8814.01</v>
      </c>
      <c r="W695">
        <v>0</v>
      </c>
      <c r="X695">
        <v>1</v>
      </c>
      <c r="Y695">
        <v>0</v>
      </c>
      <c r="Z695">
        <v>-11</v>
      </c>
      <c r="AA695">
        <v>1</v>
      </c>
      <c r="AB695" s="13" t="s">
        <v>581</v>
      </c>
      <c r="AC695">
        <v>0</v>
      </c>
      <c r="AD695">
        <v>0</v>
      </c>
      <c r="AE695" s="13" t="s">
        <v>61</v>
      </c>
    </row>
    <row r="696" spans="1:31" x14ac:dyDescent="0.35">
      <c r="A696" s="13" t="s">
        <v>1244</v>
      </c>
      <c r="B696" s="13" t="s">
        <v>165</v>
      </c>
      <c r="C696" s="13" t="s">
        <v>166</v>
      </c>
      <c r="D696" s="13" t="s">
        <v>104</v>
      </c>
      <c r="E696" s="13" t="s">
        <v>53</v>
      </c>
      <c r="F696" s="13" t="s">
        <v>135</v>
      </c>
      <c r="G696" s="13" t="s">
        <v>67</v>
      </c>
      <c r="H696">
        <v>55000</v>
      </c>
      <c r="I696" s="13" t="s">
        <v>121</v>
      </c>
      <c r="J696" s="13" t="s">
        <v>122</v>
      </c>
      <c r="K696" s="13" t="s">
        <v>107</v>
      </c>
      <c r="L696" s="13" t="s">
        <v>88</v>
      </c>
      <c r="M696">
        <v>60</v>
      </c>
      <c r="N696">
        <v>0</v>
      </c>
      <c r="O696" s="14">
        <v>45973</v>
      </c>
      <c r="P696" s="14">
        <v>46033</v>
      </c>
      <c r="Q696">
        <v>5641.37</v>
      </c>
      <c r="R696">
        <v>0</v>
      </c>
      <c r="S696">
        <v>0</v>
      </c>
      <c r="T696">
        <v>0</v>
      </c>
      <c r="U696">
        <v>0</v>
      </c>
      <c r="V696">
        <v>5641.37</v>
      </c>
      <c r="W696">
        <v>0</v>
      </c>
      <c r="X696">
        <v>1</v>
      </c>
      <c r="Y696">
        <v>0</v>
      </c>
      <c r="Z696">
        <v>-11</v>
      </c>
      <c r="AA696">
        <v>1</v>
      </c>
      <c r="AB696" s="13" t="s">
        <v>581</v>
      </c>
      <c r="AC696">
        <v>0</v>
      </c>
      <c r="AD696">
        <v>0</v>
      </c>
      <c r="AE696" s="13" t="s">
        <v>61</v>
      </c>
    </row>
    <row r="697" spans="1:31" x14ac:dyDescent="0.35">
      <c r="A697" s="13" t="s">
        <v>1245</v>
      </c>
      <c r="B697" s="13" t="s">
        <v>156</v>
      </c>
      <c r="C697" s="13" t="s">
        <v>157</v>
      </c>
      <c r="D697" s="13" t="s">
        <v>52</v>
      </c>
      <c r="E697" s="13" t="s">
        <v>53</v>
      </c>
      <c r="F697" s="13" t="s">
        <v>54</v>
      </c>
      <c r="G697" s="13" t="s">
        <v>92</v>
      </c>
      <c r="H697">
        <v>600000</v>
      </c>
      <c r="I697" s="13" t="s">
        <v>56</v>
      </c>
      <c r="J697" s="13" t="s">
        <v>57</v>
      </c>
      <c r="K697" s="13" t="s">
        <v>58</v>
      </c>
      <c r="L697" s="13" t="s">
        <v>88</v>
      </c>
      <c r="M697">
        <v>60</v>
      </c>
      <c r="N697">
        <v>0</v>
      </c>
      <c r="O697" s="14">
        <v>45973</v>
      </c>
      <c r="P697" s="14">
        <v>46033</v>
      </c>
      <c r="Q697">
        <v>12681.03</v>
      </c>
      <c r="R697">
        <v>0</v>
      </c>
      <c r="S697">
        <v>0</v>
      </c>
      <c r="T697">
        <v>0</v>
      </c>
      <c r="U697">
        <v>0</v>
      </c>
      <c r="V697">
        <v>12681.03</v>
      </c>
      <c r="W697">
        <v>0</v>
      </c>
      <c r="X697">
        <v>1</v>
      </c>
      <c r="Y697">
        <v>0</v>
      </c>
      <c r="Z697">
        <v>-11</v>
      </c>
      <c r="AA697">
        <v>1</v>
      </c>
      <c r="AB697" s="13" t="s">
        <v>581</v>
      </c>
      <c r="AC697">
        <v>0</v>
      </c>
      <c r="AD697">
        <v>0</v>
      </c>
      <c r="AE697" s="13" t="s">
        <v>61</v>
      </c>
    </row>
    <row r="698" spans="1:31" x14ac:dyDescent="0.35">
      <c r="A698" s="13" t="s">
        <v>1246</v>
      </c>
      <c r="B698" s="13" t="s">
        <v>1247</v>
      </c>
      <c r="C698" s="13" t="s">
        <v>1248</v>
      </c>
      <c r="D698" s="13" t="s">
        <v>52</v>
      </c>
      <c r="E698" s="13" t="s">
        <v>99</v>
      </c>
      <c r="F698" s="13" t="s">
        <v>100</v>
      </c>
      <c r="G698" s="13" t="s">
        <v>55</v>
      </c>
      <c r="H698">
        <v>600000</v>
      </c>
      <c r="I698" s="13" t="s">
        <v>56</v>
      </c>
      <c r="J698" s="13" t="s">
        <v>57</v>
      </c>
      <c r="K698" s="13" t="s">
        <v>58</v>
      </c>
      <c r="L698" s="13" t="s">
        <v>59</v>
      </c>
      <c r="M698">
        <v>45</v>
      </c>
      <c r="N698">
        <v>0</v>
      </c>
      <c r="O698" s="14">
        <v>45973</v>
      </c>
      <c r="P698" s="14">
        <v>46018</v>
      </c>
      <c r="Q698">
        <v>14045.73</v>
      </c>
      <c r="R698">
        <v>0</v>
      </c>
      <c r="S698">
        <v>0</v>
      </c>
      <c r="T698">
        <v>0</v>
      </c>
      <c r="U698">
        <v>0</v>
      </c>
      <c r="V698">
        <v>14045.73</v>
      </c>
      <c r="W698">
        <v>0</v>
      </c>
      <c r="X698">
        <v>1</v>
      </c>
      <c r="Y698">
        <v>1</v>
      </c>
      <c r="Z698">
        <v>4</v>
      </c>
      <c r="AA698">
        <v>2</v>
      </c>
      <c r="AB698" s="13" t="s">
        <v>405</v>
      </c>
      <c r="AC698">
        <v>0.25</v>
      </c>
      <c r="AD698">
        <v>0</v>
      </c>
      <c r="AE698" s="13" t="s">
        <v>61</v>
      </c>
    </row>
    <row r="699" spans="1:31" x14ac:dyDescent="0.35">
      <c r="A699" s="13" t="s">
        <v>1249</v>
      </c>
      <c r="B699" s="13" t="s">
        <v>84</v>
      </c>
      <c r="C699" s="13" t="s">
        <v>85</v>
      </c>
      <c r="D699" s="13" t="s">
        <v>52</v>
      </c>
      <c r="E699" s="13" t="s">
        <v>71</v>
      </c>
      <c r="F699" s="13" t="s">
        <v>72</v>
      </c>
      <c r="G699" s="13" t="s">
        <v>67</v>
      </c>
      <c r="H699">
        <v>600000</v>
      </c>
      <c r="I699" s="13" t="s">
        <v>86</v>
      </c>
      <c r="J699" s="13" t="s">
        <v>87</v>
      </c>
      <c r="K699" s="13" t="s">
        <v>58</v>
      </c>
      <c r="L699" s="13" t="s">
        <v>88</v>
      </c>
      <c r="M699">
        <v>60</v>
      </c>
      <c r="N699">
        <v>0</v>
      </c>
      <c r="O699" s="14">
        <v>45973</v>
      </c>
      <c r="P699" s="14">
        <v>46033</v>
      </c>
      <c r="Q699">
        <v>2133.08</v>
      </c>
      <c r="R699">
        <v>0</v>
      </c>
      <c r="S699">
        <v>0</v>
      </c>
      <c r="T699">
        <v>0</v>
      </c>
      <c r="U699">
        <v>0</v>
      </c>
      <c r="V699">
        <v>2133.08</v>
      </c>
      <c r="W699">
        <v>0</v>
      </c>
      <c r="X699">
        <v>1</v>
      </c>
      <c r="Y699">
        <v>0</v>
      </c>
      <c r="Z699">
        <v>-11</v>
      </c>
      <c r="AA699">
        <v>1</v>
      </c>
      <c r="AB699" s="13" t="s">
        <v>581</v>
      </c>
      <c r="AC699">
        <v>0</v>
      </c>
      <c r="AD699">
        <v>0</v>
      </c>
      <c r="AE699" s="13" t="s">
        <v>61</v>
      </c>
    </row>
    <row r="700" spans="1:31" x14ac:dyDescent="0.35">
      <c r="A700" s="13" t="s">
        <v>1250</v>
      </c>
      <c r="B700" s="13" t="s">
        <v>1251</v>
      </c>
      <c r="C700" s="13" t="s">
        <v>1252</v>
      </c>
      <c r="D700" s="13" t="s">
        <v>76</v>
      </c>
      <c r="E700" s="13" t="s">
        <v>71</v>
      </c>
      <c r="F700" s="13" t="s">
        <v>72</v>
      </c>
      <c r="G700" s="13" t="s">
        <v>92</v>
      </c>
      <c r="H700">
        <v>110000</v>
      </c>
      <c r="I700" s="13" t="s">
        <v>93</v>
      </c>
      <c r="J700" s="13" t="s">
        <v>94</v>
      </c>
      <c r="K700" s="13" t="s">
        <v>81</v>
      </c>
      <c r="L700" s="13" t="s">
        <v>95</v>
      </c>
      <c r="M700">
        <v>30</v>
      </c>
      <c r="N700">
        <v>0</v>
      </c>
      <c r="O700" s="14">
        <v>45973</v>
      </c>
      <c r="P700" s="14">
        <v>46003</v>
      </c>
      <c r="Q700">
        <v>806.43</v>
      </c>
      <c r="R700">
        <v>0</v>
      </c>
      <c r="S700">
        <v>0</v>
      </c>
      <c r="T700">
        <v>0</v>
      </c>
      <c r="U700">
        <v>0</v>
      </c>
      <c r="V700">
        <v>806.43</v>
      </c>
      <c r="W700">
        <v>0</v>
      </c>
      <c r="X700">
        <v>1</v>
      </c>
      <c r="Y700">
        <v>1</v>
      </c>
      <c r="Z700">
        <v>19</v>
      </c>
      <c r="AA700">
        <v>2</v>
      </c>
      <c r="AB700" s="13" t="s">
        <v>405</v>
      </c>
      <c r="AC700">
        <v>0.25</v>
      </c>
      <c r="AD700">
        <v>0</v>
      </c>
      <c r="AE700" s="13" t="s">
        <v>61</v>
      </c>
    </row>
    <row r="701" spans="1:31" x14ac:dyDescent="0.35">
      <c r="A701" s="13" t="s">
        <v>1253</v>
      </c>
      <c r="B701" s="13" t="s">
        <v>1254</v>
      </c>
      <c r="C701" s="13" t="s">
        <v>1255</v>
      </c>
      <c r="D701" s="13" t="s">
        <v>126</v>
      </c>
      <c r="E701" s="13" t="s">
        <v>77</v>
      </c>
      <c r="F701" s="13" t="s">
        <v>78</v>
      </c>
      <c r="G701" s="13" t="s">
        <v>67</v>
      </c>
      <c r="H701">
        <v>220000</v>
      </c>
      <c r="I701" s="13" t="s">
        <v>86</v>
      </c>
      <c r="J701" s="13" t="s">
        <v>87</v>
      </c>
      <c r="K701" s="13" t="s">
        <v>58</v>
      </c>
      <c r="L701" s="13" t="s">
        <v>88</v>
      </c>
      <c r="M701">
        <v>60</v>
      </c>
      <c r="N701">
        <v>0</v>
      </c>
      <c r="O701" s="14">
        <v>45973</v>
      </c>
      <c r="P701" s="14">
        <v>46033</v>
      </c>
      <c r="Q701">
        <v>1986.26</v>
      </c>
      <c r="R701">
        <v>0</v>
      </c>
      <c r="S701">
        <v>0</v>
      </c>
      <c r="T701">
        <v>0</v>
      </c>
      <c r="U701">
        <v>0</v>
      </c>
      <c r="V701">
        <v>1986.26</v>
      </c>
      <c r="W701">
        <v>0</v>
      </c>
      <c r="X701">
        <v>1</v>
      </c>
      <c r="Y701">
        <v>0</v>
      </c>
      <c r="Z701">
        <v>-11</v>
      </c>
      <c r="AA701">
        <v>1</v>
      </c>
      <c r="AB701" s="13" t="s">
        <v>581</v>
      </c>
      <c r="AC701">
        <v>0</v>
      </c>
      <c r="AD701">
        <v>0</v>
      </c>
      <c r="AE701" s="13" t="s">
        <v>61</v>
      </c>
    </row>
    <row r="702" spans="1:31" x14ac:dyDescent="0.35">
      <c r="A702" s="13" t="s">
        <v>1256</v>
      </c>
      <c r="B702" s="13" t="s">
        <v>780</v>
      </c>
      <c r="C702" s="13" t="s">
        <v>781</v>
      </c>
      <c r="D702" s="13" t="s">
        <v>52</v>
      </c>
      <c r="E702" s="13" t="s">
        <v>77</v>
      </c>
      <c r="F702" s="13" t="s">
        <v>174</v>
      </c>
      <c r="G702" s="13" t="s">
        <v>55</v>
      </c>
      <c r="H702">
        <v>290000</v>
      </c>
      <c r="I702" s="13" t="s">
        <v>86</v>
      </c>
      <c r="J702" s="13" t="s">
        <v>87</v>
      </c>
      <c r="K702" s="13" t="s">
        <v>58</v>
      </c>
      <c r="L702" s="13" t="s">
        <v>88</v>
      </c>
      <c r="M702">
        <v>60</v>
      </c>
      <c r="N702">
        <v>0</v>
      </c>
      <c r="O702" s="14">
        <v>45973</v>
      </c>
      <c r="P702" s="14">
        <v>46033</v>
      </c>
      <c r="Q702">
        <v>16679.63</v>
      </c>
      <c r="R702">
        <v>0</v>
      </c>
      <c r="S702">
        <v>0</v>
      </c>
      <c r="T702">
        <v>0</v>
      </c>
      <c r="U702">
        <v>0</v>
      </c>
      <c r="V702">
        <v>16679.63</v>
      </c>
      <c r="W702">
        <v>0</v>
      </c>
      <c r="X702">
        <v>1</v>
      </c>
      <c r="Y702">
        <v>0</v>
      </c>
      <c r="Z702">
        <v>-11</v>
      </c>
      <c r="AA702">
        <v>1</v>
      </c>
      <c r="AB702" s="13" t="s">
        <v>581</v>
      </c>
      <c r="AC702">
        <v>0</v>
      </c>
      <c r="AD702">
        <v>0</v>
      </c>
      <c r="AE702" s="13" t="s">
        <v>61</v>
      </c>
    </row>
    <row r="703" spans="1:31" x14ac:dyDescent="0.35">
      <c r="A703" s="13" t="s">
        <v>1257</v>
      </c>
      <c r="B703" s="13" t="s">
        <v>692</v>
      </c>
      <c r="C703" s="13" t="s">
        <v>693</v>
      </c>
      <c r="D703" s="13" t="s">
        <v>52</v>
      </c>
      <c r="E703" s="13" t="s">
        <v>53</v>
      </c>
      <c r="F703" s="13" t="s">
        <v>135</v>
      </c>
      <c r="G703" s="13" t="s">
        <v>55</v>
      </c>
      <c r="H703">
        <v>360000</v>
      </c>
      <c r="I703" s="13" t="s">
        <v>56</v>
      </c>
      <c r="J703" s="13" t="s">
        <v>57</v>
      </c>
      <c r="K703" s="13" t="s">
        <v>58</v>
      </c>
      <c r="L703" s="13" t="s">
        <v>88</v>
      </c>
      <c r="M703">
        <v>60</v>
      </c>
      <c r="N703">
        <v>0</v>
      </c>
      <c r="O703" s="14">
        <v>45973</v>
      </c>
      <c r="P703" s="14">
        <v>46033</v>
      </c>
      <c r="Q703">
        <v>10274.32</v>
      </c>
      <c r="R703">
        <v>0</v>
      </c>
      <c r="S703">
        <v>0</v>
      </c>
      <c r="T703">
        <v>0</v>
      </c>
      <c r="U703">
        <v>0</v>
      </c>
      <c r="V703">
        <v>10274.32</v>
      </c>
      <c r="W703">
        <v>0</v>
      </c>
      <c r="X703">
        <v>1</v>
      </c>
      <c r="Y703">
        <v>0</v>
      </c>
      <c r="Z703">
        <v>-11</v>
      </c>
      <c r="AA703">
        <v>1</v>
      </c>
      <c r="AB703" s="13" t="s">
        <v>581</v>
      </c>
      <c r="AC703">
        <v>0</v>
      </c>
      <c r="AD703">
        <v>0</v>
      </c>
      <c r="AE703" s="13" t="s">
        <v>61</v>
      </c>
    </row>
    <row r="704" spans="1:31" x14ac:dyDescent="0.35">
      <c r="A704" s="13" t="s">
        <v>1258</v>
      </c>
      <c r="B704" s="13" t="s">
        <v>1127</v>
      </c>
      <c r="C704" s="13" t="s">
        <v>1128</v>
      </c>
      <c r="D704" s="13" t="s">
        <v>52</v>
      </c>
      <c r="E704" s="13" t="s">
        <v>53</v>
      </c>
      <c r="F704" s="13" t="s">
        <v>135</v>
      </c>
      <c r="G704" s="13" t="s">
        <v>67</v>
      </c>
      <c r="H704">
        <v>470000</v>
      </c>
      <c r="I704" s="13" t="s">
        <v>56</v>
      </c>
      <c r="J704" s="13" t="s">
        <v>57</v>
      </c>
      <c r="K704" s="13" t="s">
        <v>58</v>
      </c>
      <c r="L704" s="13" t="s">
        <v>88</v>
      </c>
      <c r="M704">
        <v>60</v>
      </c>
      <c r="N704">
        <v>0</v>
      </c>
      <c r="O704" s="14">
        <v>45973</v>
      </c>
      <c r="P704" s="14">
        <v>46033</v>
      </c>
      <c r="Q704">
        <v>13673.59</v>
      </c>
      <c r="R704">
        <v>0</v>
      </c>
      <c r="S704">
        <v>0</v>
      </c>
      <c r="T704">
        <v>0</v>
      </c>
      <c r="U704">
        <v>0</v>
      </c>
      <c r="V704">
        <v>13673.59</v>
      </c>
      <c r="W704">
        <v>0</v>
      </c>
      <c r="X704">
        <v>1</v>
      </c>
      <c r="Y704">
        <v>0</v>
      </c>
      <c r="Z704">
        <v>-11</v>
      </c>
      <c r="AA704">
        <v>1</v>
      </c>
      <c r="AB704" s="13" t="s">
        <v>581</v>
      </c>
      <c r="AC704">
        <v>0</v>
      </c>
      <c r="AD704">
        <v>0</v>
      </c>
      <c r="AE704" s="13" t="s">
        <v>61</v>
      </c>
    </row>
    <row r="705" spans="1:31" x14ac:dyDescent="0.35">
      <c r="A705" s="13" t="s">
        <v>1259</v>
      </c>
      <c r="B705" s="13" t="s">
        <v>766</v>
      </c>
      <c r="C705" s="13" t="s">
        <v>767</v>
      </c>
      <c r="D705" s="13" t="s">
        <v>104</v>
      </c>
      <c r="E705" s="13" t="s">
        <v>53</v>
      </c>
      <c r="F705" s="13" t="s">
        <v>135</v>
      </c>
      <c r="G705" s="13" t="s">
        <v>92</v>
      </c>
      <c r="H705">
        <v>90000</v>
      </c>
      <c r="I705" s="13" t="s">
        <v>105</v>
      </c>
      <c r="J705" s="13" t="s">
        <v>106</v>
      </c>
      <c r="K705" s="13" t="s">
        <v>107</v>
      </c>
      <c r="L705" s="13" t="s">
        <v>88</v>
      </c>
      <c r="M705">
        <v>60</v>
      </c>
      <c r="N705">
        <v>0</v>
      </c>
      <c r="O705" s="14">
        <v>45973</v>
      </c>
      <c r="P705" s="14">
        <v>46033</v>
      </c>
      <c r="Q705">
        <v>4858.1000000000004</v>
      </c>
      <c r="R705">
        <v>0</v>
      </c>
      <c r="S705">
        <v>0</v>
      </c>
      <c r="T705">
        <v>0</v>
      </c>
      <c r="U705">
        <v>0</v>
      </c>
      <c r="V705">
        <v>4858.1000000000004</v>
      </c>
      <c r="W705">
        <v>0</v>
      </c>
      <c r="X705">
        <v>1</v>
      </c>
      <c r="Y705">
        <v>0</v>
      </c>
      <c r="Z705">
        <v>-11</v>
      </c>
      <c r="AA705">
        <v>1</v>
      </c>
      <c r="AB705" s="13" t="s">
        <v>581</v>
      </c>
      <c r="AC705">
        <v>0</v>
      </c>
      <c r="AD705">
        <v>0</v>
      </c>
      <c r="AE705" s="13" t="s">
        <v>61</v>
      </c>
    </row>
    <row r="706" spans="1:31" x14ac:dyDescent="0.35">
      <c r="A706" s="13" t="s">
        <v>1260</v>
      </c>
      <c r="B706" s="13" t="s">
        <v>525</v>
      </c>
      <c r="C706" s="13" t="s">
        <v>526</v>
      </c>
      <c r="D706" s="13" t="s">
        <v>126</v>
      </c>
      <c r="E706" s="13" t="s">
        <v>53</v>
      </c>
      <c r="F706" s="13" t="s">
        <v>54</v>
      </c>
      <c r="G706" s="13" t="s">
        <v>67</v>
      </c>
      <c r="H706">
        <v>95000</v>
      </c>
      <c r="I706" s="13" t="s">
        <v>105</v>
      </c>
      <c r="J706" s="13" t="s">
        <v>106</v>
      </c>
      <c r="K706" s="13" t="s">
        <v>107</v>
      </c>
      <c r="L706" s="13" t="s">
        <v>368</v>
      </c>
      <c r="M706">
        <v>90</v>
      </c>
      <c r="N706">
        <v>0</v>
      </c>
      <c r="O706" s="14">
        <v>45973</v>
      </c>
      <c r="P706" s="14">
        <v>46063</v>
      </c>
      <c r="Q706">
        <v>4576.8599999999997</v>
      </c>
      <c r="R706">
        <v>0</v>
      </c>
      <c r="S706">
        <v>0</v>
      </c>
      <c r="T706">
        <v>0</v>
      </c>
      <c r="U706">
        <v>0</v>
      </c>
      <c r="V706">
        <v>4576.8599999999997</v>
      </c>
      <c r="W706">
        <v>0</v>
      </c>
      <c r="X706">
        <v>1</v>
      </c>
      <c r="Y706">
        <v>0</v>
      </c>
      <c r="Z706">
        <v>-41</v>
      </c>
      <c r="AA706">
        <v>1</v>
      </c>
      <c r="AB706" s="13" t="s">
        <v>581</v>
      </c>
      <c r="AC706">
        <v>0</v>
      </c>
      <c r="AD706">
        <v>0</v>
      </c>
      <c r="AE706" s="13" t="s">
        <v>61</v>
      </c>
    </row>
    <row r="707" spans="1:31" x14ac:dyDescent="0.35">
      <c r="A707" s="13" t="s">
        <v>1261</v>
      </c>
      <c r="B707" s="13" t="s">
        <v>1262</v>
      </c>
      <c r="C707" s="13" t="s">
        <v>1263</v>
      </c>
      <c r="D707" s="13" t="s">
        <v>104</v>
      </c>
      <c r="E707" s="13" t="s">
        <v>53</v>
      </c>
      <c r="F707" s="13" t="s">
        <v>54</v>
      </c>
      <c r="G707" s="13" t="s">
        <v>67</v>
      </c>
      <c r="H707">
        <v>60000</v>
      </c>
      <c r="I707" s="13" t="s">
        <v>105</v>
      </c>
      <c r="J707" s="13" t="s">
        <v>106</v>
      </c>
      <c r="K707" s="13" t="s">
        <v>107</v>
      </c>
      <c r="L707" s="13" t="s">
        <v>88</v>
      </c>
      <c r="M707">
        <v>60</v>
      </c>
      <c r="N707">
        <v>0</v>
      </c>
      <c r="O707" s="14">
        <v>45973</v>
      </c>
      <c r="P707" s="14">
        <v>46033</v>
      </c>
      <c r="Q707">
        <v>2722.95</v>
      </c>
      <c r="R707">
        <v>0</v>
      </c>
      <c r="S707">
        <v>0</v>
      </c>
      <c r="T707">
        <v>381.21</v>
      </c>
      <c r="U707">
        <v>0</v>
      </c>
      <c r="V707">
        <v>2341.7399999999998</v>
      </c>
      <c r="W707">
        <v>0</v>
      </c>
      <c r="X707">
        <v>1</v>
      </c>
      <c r="Y707">
        <v>0</v>
      </c>
      <c r="Z707">
        <v>-11</v>
      </c>
      <c r="AA707">
        <v>1</v>
      </c>
      <c r="AB707" s="13" t="s">
        <v>581</v>
      </c>
      <c r="AC707">
        <v>0</v>
      </c>
      <c r="AD707">
        <v>0</v>
      </c>
      <c r="AE707" s="13" t="s">
        <v>665</v>
      </c>
    </row>
    <row r="708" spans="1:31" x14ac:dyDescent="0.35">
      <c r="A708" s="13" t="s">
        <v>1264</v>
      </c>
      <c r="B708" s="13" t="s">
        <v>209</v>
      </c>
      <c r="C708" s="13" t="s">
        <v>210</v>
      </c>
      <c r="D708" s="13" t="s">
        <v>52</v>
      </c>
      <c r="E708" s="13" t="s">
        <v>77</v>
      </c>
      <c r="F708" s="13" t="s">
        <v>78</v>
      </c>
      <c r="G708" s="13" t="s">
        <v>55</v>
      </c>
      <c r="H708">
        <v>410000</v>
      </c>
      <c r="I708" s="13" t="s">
        <v>56</v>
      </c>
      <c r="J708" s="13" t="s">
        <v>57</v>
      </c>
      <c r="K708" s="13" t="s">
        <v>58</v>
      </c>
      <c r="L708" s="13" t="s">
        <v>88</v>
      </c>
      <c r="M708">
        <v>60</v>
      </c>
      <c r="N708">
        <v>0</v>
      </c>
      <c r="O708" s="14">
        <v>45973</v>
      </c>
      <c r="P708" s="14">
        <v>46033</v>
      </c>
      <c r="Q708">
        <v>2307.02</v>
      </c>
      <c r="R708">
        <v>0</v>
      </c>
      <c r="S708">
        <v>0</v>
      </c>
      <c r="T708">
        <v>0</v>
      </c>
      <c r="U708">
        <v>0</v>
      </c>
      <c r="V708">
        <v>2307.02</v>
      </c>
      <c r="W708">
        <v>0</v>
      </c>
      <c r="X708">
        <v>1</v>
      </c>
      <c r="Y708">
        <v>0</v>
      </c>
      <c r="Z708">
        <v>-11</v>
      </c>
      <c r="AA708">
        <v>1</v>
      </c>
      <c r="AB708" s="13" t="s">
        <v>581</v>
      </c>
      <c r="AC708">
        <v>0</v>
      </c>
      <c r="AD708">
        <v>0</v>
      </c>
      <c r="AE708" s="13" t="s">
        <v>61</v>
      </c>
    </row>
    <row r="709" spans="1:31" x14ac:dyDescent="0.35">
      <c r="A709" s="13" t="s">
        <v>1265</v>
      </c>
      <c r="B709" s="13" t="s">
        <v>610</v>
      </c>
      <c r="C709" s="13" t="s">
        <v>611</v>
      </c>
      <c r="D709" s="13" t="s">
        <v>126</v>
      </c>
      <c r="E709" s="13" t="s">
        <v>65</v>
      </c>
      <c r="F709" s="13" t="s">
        <v>111</v>
      </c>
      <c r="G709" s="13" t="s">
        <v>67</v>
      </c>
      <c r="H709">
        <v>85000</v>
      </c>
      <c r="I709" s="13" t="s">
        <v>121</v>
      </c>
      <c r="J709" s="13" t="s">
        <v>122</v>
      </c>
      <c r="K709" s="13" t="s">
        <v>107</v>
      </c>
      <c r="L709" s="13" t="s">
        <v>88</v>
      </c>
      <c r="M709">
        <v>60</v>
      </c>
      <c r="N709">
        <v>0</v>
      </c>
      <c r="O709" s="14">
        <v>45973</v>
      </c>
      <c r="P709" s="14">
        <v>46033</v>
      </c>
      <c r="Q709">
        <v>10211.780000000001</v>
      </c>
      <c r="R709">
        <v>0</v>
      </c>
      <c r="S709">
        <v>0</v>
      </c>
      <c r="T709">
        <v>0</v>
      </c>
      <c r="U709">
        <v>0</v>
      </c>
      <c r="V709">
        <v>10211.780000000001</v>
      </c>
      <c r="W709">
        <v>0</v>
      </c>
      <c r="X709">
        <v>1</v>
      </c>
      <c r="Y709">
        <v>0</v>
      </c>
      <c r="Z709">
        <v>-11</v>
      </c>
      <c r="AA709">
        <v>1</v>
      </c>
      <c r="AB709" s="13" t="s">
        <v>581</v>
      </c>
      <c r="AC709">
        <v>0</v>
      </c>
      <c r="AD709">
        <v>0</v>
      </c>
      <c r="AE709" s="13" t="s">
        <v>61</v>
      </c>
    </row>
    <row r="710" spans="1:31" x14ac:dyDescent="0.35">
      <c r="A710" s="13" t="s">
        <v>1266</v>
      </c>
      <c r="B710" s="13" t="s">
        <v>1155</v>
      </c>
      <c r="C710" s="13" t="s">
        <v>1156</v>
      </c>
      <c r="D710" s="13" t="s">
        <v>52</v>
      </c>
      <c r="E710" s="13" t="s">
        <v>53</v>
      </c>
      <c r="F710" s="13" t="s">
        <v>54</v>
      </c>
      <c r="G710" s="13" t="s">
        <v>67</v>
      </c>
      <c r="H710">
        <v>420000</v>
      </c>
      <c r="I710" s="13" t="s">
        <v>86</v>
      </c>
      <c r="J710" s="13" t="s">
        <v>87</v>
      </c>
      <c r="K710" s="13" t="s">
        <v>58</v>
      </c>
      <c r="L710" s="13" t="s">
        <v>88</v>
      </c>
      <c r="M710">
        <v>60</v>
      </c>
      <c r="N710">
        <v>0</v>
      </c>
      <c r="O710" s="14">
        <v>45973</v>
      </c>
      <c r="P710" s="14">
        <v>46033</v>
      </c>
      <c r="Q710">
        <v>8105.42</v>
      </c>
      <c r="R710">
        <v>0</v>
      </c>
      <c r="S710">
        <v>0</v>
      </c>
      <c r="T710">
        <v>0</v>
      </c>
      <c r="U710">
        <v>0</v>
      </c>
      <c r="V710">
        <v>8105.42</v>
      </c>
      <c r="W710">
        <v>0</v>
      </c>
      <c r="X710">
        <v>1</v>
      </c>
      <c r="Y710">
        <v>0</v>
      </c>
      <c r="Z710">
        <v>-11</v>
      </c>
      <c r="AA710">
        <v>1</v>
      </c>
      <c r="AB710" s="13" t="s">
        <v>581</v>
      </c>
      <c r="AC710">
        <v>0</v>
      </c>
      <c r="AD710">
        <v>0</v>
      </c>
      <c r="AE710" s="13" t="s">
        <v>61</v>
      </c>
    </row>
    <row r="711" spans="1:31" x14ac:dyDescent="0.35">
      <c r="A711" s="13" t="s">
        <v>1267</v>
      </c>
      <c r="B711" s="13" t="s">
        <v>617</v>
      </c>
      <c r="C711" s="13" t="s">
        <v>618</v>
      </c>
      <c r="D711" s="13" t="s">
        <v>126</v>
      </c>
      <c r="E711" s="13" t="s">
        <v>99</v>
      </c>
      <c r="F711" s="13" t="s">
        <v>127</v>
      </c>
      <c r="G711" s="13" t="s">
        <v>67</v>
      </c>
      <c r="H711">
        <v>70000</v>
      </c>
      <c r="I711" s="13" t="s">
        <v>121</v>
      </c>
      <c r="J711" s="13" t="s">
        <v>122</v>
      </c>
      <c r="K711" s="13" t="s">
        <v>107</v>
      </c>
      <c r="L711" s="13" t="s">
        <v>368</v>
      </c>
      <c r="M711">
        <v>90</v>
      </c>
      <c r="N711">
        <v>0</v>
      </c>
      <c r="O711" s="14">
        <v>45973</v>
      </c>
      <c r="P711" s="14">
        <v>46063</v>
      </c>
      <c r="Q711">
        <v>2333.7800000000002</v>
      </c>
      <c r="R711">
        <v>0</v>
      </c>
      <c r="S711">
        <v>0</v>
      </c>
      <c r="T711">
        <v>0</v>
      </c>
      <c r="U711">
        <v>0</v>
      </c>
      <c r="V711">
        <v>2333.7800000000002</v>
      </c>
      <c r="W711">
        <v>0</v>
      </c>
      <c r="X711">
        <v>1</v>
      </c>
      <c r="Y711">
        <v>0</v>
      </c>
      <c r="Z711">
        <v>-41</v>
      </c>
      <c r="AA711">
        <v>1</v>
      </c>
      <c r="AB711" s="13" t="s">
        <v>581</v>
      </c>
      <c r="AC711">
        <v>0</v>
      </c>
      <c r="AD711">
        <v>0</v>
      </c>
      <c r="AE711" s="13" t="s">
        <v>61</v>
      </c>
    </row>
    <row r="712" spans="1:31" x14ac:dyDescent="0.35">
      <c r="A712" s="13" t="s">
        <v>1268</v>
      </c>
      <c r="B712" s="13" t="s">
        <v>386</v>
      </c>
      <c r="C712" s="13" t="s">
        <v>387</v>
      </c>
      <c r="D712" s="13" t="s">
        <v>52</v>
      </c>
      <c r="E712" s="13" t="s">
        <v>65</v>
      </c>
      <c r="F712" s="13" t="s">
        <v>66</v>
      </c>
      <c r="G712" s="13" t="s">
        <v>67</v>
      </c>
      <c r="H712">
        <v>215000</v>
      </c>
      <c r="I712" s="13" t="s">
        <v>56</v>
      </c>
      <c r="J712" s="13" t="s">
        <v>57</v>
      </c>
      <c r="K712" s="13" t="s">
        <v>58</v>
      </c>
      <c r="L712" s="13" t="s">
        <v>88</v>
      </c>
      <c r="M712">
        <v>60</v>
      </c>
      <c r="N712">
        <v>0</v>
      </c>
      <c r="O712" s="14">
        <v>45973</v>
      </c>
      <c r="P712" s="14">
        <v>46033</v>
      </c>
      <c r="Q712">
        <v>1922.91</v>
      </c>
      <c r="R712">
        <v>0</v>
      </c>
      <c r="S712">
        <v>0</v>
      </c>
      <c r="T712">
        <v>0</v>
      </c>
      <c r="U712">
        <v>0</v>
      </c>
      <c r="V712">
        <v>1922.91</v>
      </c>
      <c r="W712">
        <v>0</v>
      </c>
      <c r="X712">
        <v>1</v>
      </c>
      <c r="Y712">
        <v>0</v>
      </c>
      <c r="Z712">
        <v>-11</v>
      </c>
      <c r="AA712">
        <v>1</v>
      </c>
      <c r="AB712" s="13" t="s">
        <v>581</v>
      </c>
      <c r="AC712">
        <v>0</v>
      </c>
      <c r="AD712">
        <v>0</v>
      </c>
      <c r="AE712" s="13" t="s">
        <v>61</v>
      </c>
    </row>
    <row r="713" spans="1:31" x14ac:dyDescent="0.35">
      <c r="A713" s="13" t="s">
        <v>1269</v>
      </c>
      <c r="B713" s="13" t="s">
        <v>788</v>
      </c>
      <c r="C713" s="13" t="s">
        <v>789</v>
      </c>
      <c r="D713" s="13" t="s">
        <v>52</v>
      </c>
      <c r="E713" s="13" t="s">
        <v>53</v>
      </c>
      <c r="F713" s="13" t="s">
        <v>54</v>
      </c>
      <c r="G713" s="13" t="s">
        <v>67</v>
      </c>
      <c r="H713">
        <v>405000</v>
      </c>
      <c r="I713" s="13" t="s">
        <v>86</v>
      </c>
      <c r="J713" s="13" t="s">
        <v>87</v>
      </c>
      <c r="K713" s="13" t="s">
        <v>58</v>
      </c>
      <c r="L713" s="13" t="s">
        <v>88</v>
      </c>
      <c r="M713">
        <v>60</v>
      </c>
      <c r="N713">
        <v>0</v>
      </c>
      <c r="O713" s="14">
        <v>45973</v>
      </c>
      <c r="P713" s="14">
        <v>46033</v>
      </c>
      <c r="Q713">
        <v>9858.82</v>
      </c>
      <c r="R713">
        <v>0</v>
      </c>
      <c r="S713">
        <v>0</v>
      </c>
      <c r="T713">
        <v>0</v>
      </c>
      <c r="U713">
        <v>0</v>
      </c>
      <c r="V713">
        <v>9858.82</v>
      </c>
      <c r="W713">
        <v>0</v>
      </c>
      <c r="X713">
        <v>1</v>
      </c>
      <c r="Y713">
        <v>0</v>
      </c>
      <c r="Z713">
        <v>-11</v>
      </c>
      <c r="AA713">
        <v>1</v>
      </c>
      <c r="AB713" s="13" t="s">
        <v>581</v>
      </c>
      <c r="AC713">
        <v>0</v>
      </c>
      <c r="AD713">
        <v>0</v>
      </c>
      <c r="AE713" s="13" t="s">
        <v>61</v>
      </c>
    </row>
    <row r="714" spans="1:31" x14ac:dyDescent="0.35">
      <c r="A714" s="13" t="s">
        <v>1270</v>
      </c>
      <c r="B714" s="13" t="s">
        <v>791</v>
      </c>
      <c r="C714" s="13" t="s">
        <v>792</v>
      </c>
      <c r="D714" s="13" t="s">
        <v>104</v>
      </c>
      <c r="E714" s="13" t="s">
        <v>53</v>
      </c>
      <c r="F714" s="13" t="s">
        <v>54</v>
      </c>
      <c r="G714" s="13" t="s">
        <v>67</v>
      </c>
      <c r="H714">
        <v>95000</v>
      </c>
      <c r="I714" s="13" t="s">
        <v>121</v>
      </c>
      <c r="J714" s="13" t="s">
        <v>122</v>
      </c>
      <c r="K714" s="13" t="s">
        <v>107</v>
      </c>
      <c r="L714" s="13" t="s">
        <v>88</v>
      </c>
      <c r="M714">
        <v>60</v>
      </c>
      <c r="N714">
        <v>0</v>
      </c>
      <c r="O714" s="14">
        <v>45973</v>
      </c>
      <c r="P714" s="14">
        <v>46033</v>
      </c>
      <c r="Q714">
        <v>3582.13</v>
      </c>
      <c r="R714">
        <v>0</v>
      </c>
      <c r="S714">
        <v>0</v>
      </c>
      <c r="T714">
        <v>0</v>
      </c>
      <c r="U714">
        <v>0</v>
      </c>
      <c r="V714">
        <v>3582.13</v>
      </c>
      <c r="W714">
        <v>0</v>
      </c>
      <c r="X714">
        <v>1</v>
      </c>
      <c r="Y714">
        <v>0</v>
      </c>
      <c r="Z714">
        <v>-11</v>
      </c>
      <c r="AA714">
        <v>1</v>
      </c>
      <c r="AB714" s="13" t="s">
        <v>581</v>
      </c>
      <c r="AC714">
        <v>0</v>
      </c>
      <c r="AD714">
        <v>0</v>
      </c>
      <c r="AE714" s="13" t="s">
        <v>61</v>
      </c>
    </row>
    <row r="715" spans="1:31" x14ac:dyDescent="0.35">
      <c r="A715" s="13" t="s">
        <v>1271</v>
      </c>
      <c r="B715" s="13" t="s">
        <v>206</v>
      </c>
      <c r="C715" s="13" t="s">
        <v>207</v>
      </c>
      <c r="D715" s="13" t="s">
        <v>52</v>
      </c>
      <c r="E715" s="13" t="s">
        <v>65</v>
      </c>
      <c r="F715" s="13" t="s">
        <v>111</v>
      </c>
      <c r="G715" s="13" t="s">
        <v>92</v>
      </c>
      <c r="H715">
        <v>490000</v>
      </c>
      <c r="I715" s="13" t="s">
        <v>86</v>
      </c>
      <c r="J715" s="13" t="s">
        <v>87</v>
      </c>
      <c r="K715" s="13" t="s">
        <v>58</v>
      </c>
      <c r="L715" s="13" t="s">
        <v>88</v>
      </c>
      <c r="M715">
        <v>60</v>
      </c>
      <c r="N715">
        <v>0</v>
      </c>
      <c r="O715" s="14">
        <v>45973</v>
      </c>
      <c r="P715" s="14">
        <v>46033</v>
      </c>
      <c r="Q715">
        <v>5948.85</v>
      </c>
      <c r="R715">
        <v>0</v>
      </c>
      <c r="S715">
        <v>0</v>
      </c>
      <c r="T715">
        <v>0</v>
      </c>
      <c r="U715">
        <v>0</v>
      </c>
      <c r="V715">
        <v>5948.85</v>
      </c>
      <c r="W715">
        <v>0</v>
      </c>
      <c r="X715">
        <v>1</v>
      </c>
      <c r="Y715">
        <v>0</v>
      </c>
      <c r="Z715">
        <v>-11</v>
      </c>
      <c r="AA715">
        <v>1</v>
      </c>
      <c r="AB715" s="13" t="s">
        <v>581</v>
      </c>
      <c r="AC715">
        <v>0</v>
      </c>
      <c r="AD715">
        <v>0</v>
      </c>
      <c r="AE715" s="13" t="s">
        <v>61</v>
      </c>
    </row>
    <row r="716" spans="1:31" x14ac:dyDescent="0.35">
      <c r="A716" s="13" t="s">
        <v>1272</v>
      </c>
      <c r="B716" s="13" t="s">
        <v>379</v>
      </c>
      <c r="C716" s="13" t="s">
        <v>380</v>
      </c>
      <c r="D716" s="13" t="s">
        <v>52</v>
      </c>
      <c r="E716" s="13" t="s">
        <v>77</v>
      </c>
      <c r="F716" s="13" t="s">
        <v>78</v>
      </c>
      <c r="G716" s="13" t="s">
        <v>92</v>
      </c>
      <c r="H716">
        <v>450000</v>
      </c>
      <c r="I716" s="13" t="s">
        <v>56</v>
      </c>
      <c r="J716" s="13" t="s">
        <v>57</v>
      </c>
      <c r="K716" s="13" t="s">
        <v>58</v>
      </c>
      <c r="L716" s="13" t="s">
        <v>59</v>
      </c>
      <c r="M716">
        <v>45</v>
      </c>
      <c r="N716">
        <v>0</v>
      </c>
      <c r="O716" s="14">
        <v>45973</v>
      </c>
      <c r="P716" s="14">
        <v>46018</v>
      </c>
      <c r="Q716">
        <v>16109.74</v>
      </c>
      <c r="R716">
        <v>0</v>
      </c>
      <c r="S716">
        <v>0</v>
      </c>
      <c r="T716">
        <v>0</v>
      </c>
      <c r="U716">
        <v>0</v>
      </c>
      <c r="V716">
        <v>16109.74</v>
      </c>
      <c r="W716">
        <v>0</v>
      </c>
      <c r="X716">
        <v>1</v>
      </c>
      <c r="Y716">
        <v>1</v>
      </c>
      <c r="Z716">
        <v>4</v>
      </c>
      <c r="AA716">
        <v>2</v>
      </c>
      <c r="AB716" s="13" t="s">
        <v>405</v>
      </c>
      <c r="AC716">
        <v>0.25</v>
      </c>
      <c r="AD716">
        <v>0</v>
      </c>
      <c r="AE716" s="13" t="s">
        <v>61</v>
      </c>
    </row>
    <row r="717" spans="1:31" x14ac:dyDescent="0.35">
      <c r="A717" s="13" t="s">
        <v>1273</v>
      </c>
      <c r="B717" s="13" t="s">
        <v>879</v>
      </c>
      <c r="C717" s="13" t="s">
        <v>880</v>
      </c>
      <c r="D717" s="13" t="s">
        <v>104</v>
      </c>
      <c r="E717" s="13" t="s">
        <v>71</v>
      </c>
      <c r="F717" s="13" t="s">
        <v>214</v>
      </c>
      <c r="G717" s="13" t="s">
        <v>67</v>
      </c>
      <c r="H717">
        <v>135000</v>
      </c>
      <c r="I717" s="13" t="s">
        <v>121</v>
      </c>
      <c r="J717" s="13" t="s">
        <v>122</v>
      </c>
      <c r="K717" s="13" t="s">
        <v>107</v>
      </c>
      <c r="L717" s="13" t="s">
        <v>88</v>
      </c>
      <c r="M717">
        <v>60</v>
      </c>
      <c r="N717">
        <v>0</v>
      </c>
      <c r="O717" s="14">
        <v>45973</v>
      </c>
      <c r="P717" s="14">
        <v>46033</v>
      </c>
      <c r="Q717">
        <v>1762.99</v>
      </c>
      <c r="R717">
        <v>0</v>
      </c>
      <c r="S717">
        <v>0</v>
      </c>
      <c r="T717">
        <v>0</v>
      </c>
      <c r="U717">
        <v>0</v>
      </c>
      <c r="V717">
        <v>1762.99</v>
      </c>
      <c r="W717">
        <v>0</v>
      </c>
      <c r="X717">
        <v>1</v>
      </c>
      <c r="Y717">
        <v>0</v>
      </c>
      <c r="Z717">
        <v>-11</v>
      </c>
      <c r="AA717">
        <v>1</v>
      </c>
      <c r="AB717" s="13" t="s">
        <v>581</v>
      </c>
      <c r="AC717">
        <v>0</v>
      </c>
      <c r="AD717">
        <v>0</v>
      </c>
      <c r="AE717" s="13" t="s">
        <v>61</v>
      </c>
    </row>
    <row r="718" spans="1:31" x14ac:dyDescent="0.35">
      <c r="A718" s="13" t="s">
        <v>1274</v>
      </c>
      <c r="B718" s="13" t="s">
        <v>575</v>
      </c>
      <c r="C718" s="13" t="s">
        <v>576</v>
      </c>
      <c r="D718" s="13" t="s">
        <v>126</v>
      </c>
      <c r="E718" s="13" t="s">
        <v>65</v>
      </c>
      <c r="F718" s="13" t="s">
        <v>111</v>
      </c>
      <c r="G718" s="13" t="s">
        <v>55</v>
      </c>
      <c r="H718">
        <v>160000</v>
      </c>
      <c r="I718" s="13" t="s">
        <v>86</v>
      </c>
      <c r="J718" s="13" t="s">
        <v>87</v>
      </c>
      <c r="K718" s="13" t="s">
        <v>58</v>
      </c>
      <c r="L718" s="13" t="s">
        <v>368</v>
      </c>
      <c r="M718">
        <v>90</v>
      </c>
      <c r="N718">
        <v>0</v>
      </c>
      <c r="O718" s="14">
        <v>45973</v>
      </c>
      <c r="P718" s="14">
        <v>46063</v>
      </c>
      <c r="Q718">
        <v>9551.15</v>
      </c>
      <c r="R718">
        <v>0</v>
      </c>
      <c r="S718">
        <v>0</v>
      </c>
      <c r="T718">
        <v>0</v>
      </c>
      <c r="U718">
        <v>0</v>
      </c>
      <c r="V718">
        <v>9551.15</v>
      </c>
      <c r="W718">
        <v>0</v>
      </c>
      <c r="X718">
        <v>1</v>
      </c>
      <c r="Y718">
        <v>0</v>
      </c>
      <c r="Z718">
        <v>-41</v>
      </c>
      <c r="AA718">
        <v>1</v>
      </c>
      <c r="AB718" s="13" t="s">
        <v>581</v>
      </c>
      <c r="AC718">
        <v>0</v>
      </c>
      <c r="AD718">
        <v>0</v>
      </c>
      <c r="AE718" s="13" t="s">
        <v>61</v>
      </c>
    </row>
    <row r="719" spans="1:31" x14ac:dyDescent="0.35">
      <c r="A719" s="13" t="s">
        <v>1275</v>
      </c>
      <c r="B719" s="13" t="s">
        <v>1276</v>
      </c>
      <c r="C719" s="13" t="s">
        <v>1277</v>
      </c>
      <c r="D719" s="13" t="s">
        <v>104</v>
      </c>
      <c r="E719" s="13" t="s">
        <v>99</v>
      </c>
      <c r="F719" s="13" t="s">
        <v>100</v>
      </c>
      <c r="G719" s="13" t="s">
        <v>67</v>
      </c>
      <c r="H719">
        <v>70000</v>
      </c>
      <c r="I719" s="13" t="s">
        <v>105</v>
      </c>
      <c r="J719" s="13" t="s">
        <v>106</v>
      </c>
      <c r="K719" s="13" t="s">
        <v>107</v>
      </c>
      <c r="L719" s="13" t="s">
        <v>95</v>
      </c>
      <c r="M719">
        <v>30</v>
      </c>
      <c r="N719">
        <v>0</v>
      </c>
      <c r="O719" s="14">
        <v>45973</v>
      </c>
      <c r="P719" s="14">
        <v>46003</v>
      </c>
      <c r="Q719">
        <v>4105.84</v>
      </c>
      <c r="R719">
        <v>0</v>
      </c>
      <c r="S719">
        <v>0</v>
      </c>
      <c r="T719">
        <v>0</v>
      </c>
      <c r="U719">
        <v>0</v>
      </c>
      <c r="V719">
        <v>4105.84</v>
      </c>
      <c r="W719">
        <v>0</v>
      </c>
      <c r="X719">
        <v>1</v>
      </c>
      <c r="Y719">
        <v>1</v>
      </c>
      <c r="Z719">
        <v>19</v>
      </c>
      <c r="AA719">
        <v>2</v>
      </c>
      <c r="AB719" s="13" t="s">
        <v>405</v>
      </c>
      <c r="AC719">
        <v>0.25</v>
      </c>
      <c r="AD719">
        <v>1</v>
      </c>
      <c r="AE719" s="13" t="s">
        <v>465</v>
      </c>
    </row>
    <row r="720" spans="1:31" x14ac:dyDescent="0.35">
      <c r="A720" s="13" t="s">
        <v>1278</v>
      </c>
      <c r="B720" s="13" t="s">
        <v>1165</v>
      </c>
      <c r="C720" s="13" t="s">
        <v>1166</v>
      </c>
      <c r="D720" s="13" t="s">
        <v>52</v>
      </c>
      <c r="E720" s="13" t="s">
        <v>99</v>
      </c>
      <c r="F720" s="13" t="s">
        <v>127</v>
      </c>
      <c r="G720" s="13" t="s">
        <v>67</v>
      </c>
      <c r="H720">
        <v>370000</v>
      </c>
      <c r="I720" s="13" t="s">
        <v>56</v>
      </c>
      <c r="J720" s="13" t="s">
        <v>57</v>
      </c>
      <c r="K720" s="13" t="s">
        <v>58</v>
      </c>
      <c r="L720" s="13" t="s">
        <v>88</v>
      </c>
      <c r="M720">
        <v>60</v>
      </c>
      <c r="N720">
        <v>0</v>
      </c>
      <c r="O720" s="14">
        <v>45973</v>
      </c>
      <c r="P720" s="14">
        <v>46033</v>
      </c>
      <c r="Q720">
        <v>4831.68</v>
      </c>
      <c r="R720">
        <v>0</v>
      </c>
      <c r="S720">
        <v>0</v>
      </c>
      <c r="T720">
        <v>0</v>
      </c>
      <c r="U720">
        <v>0</v>
      </c>
      <c r="V720">
        <v>4831.68</v>
      </c>
      <c r="W720">
        <v>0</v>
      </c>
      <c r="X720">
        <v>1</v>
      </c>
      <c r="Y720">
        <v>0</v>
      </c>
      <c r="Z720">
        <v>-11</v>
      </c>
      <c r="AA720">
        <v>1</v>
      </c>
      <c r="AB720" s="13" t="s">
        <v>581</v>
      </c>
      <c r="AC720">
        <v>0</v>
      </c>
      <c r="AD720">
        <v>0</v>
      </c>
      <c r="AE720" s="13" t="s">
        <v>61</v>
      </c>
    </row>
    <row r="721" spans="1:31" x14ac:dyDescent="0.35">
      <c r="A721" s="13" t="s">
        <v>1279</v>
      </c>
      <c r="B721" s="13" t="s">
        <v>1280</v>
      </c>
      <c r="C721" s="13" t="s">
        <v>1281</v>
      </c>
      <c r="D721" s="13" t="s">
        <v>104</v>
      </c>
      <c r="E721" s="13" t="s">
        <v>71</v>
      </c>
      <c r="F721" s="13" t="s">
        <v>72</v>
      </c>
      <c r="G721" s="13" t="s">
        <v>67</v>
      </c>
      <c r="H721">
        <v>135000</v>
      </c>
      <c r="I721" s="13" t="s">
        <v>121</v>
      </c>
      <c r="J721" s="13" t="s">
        <v>122</v>
      </c>
      <c r="K721" s="13" t="s">
        <v>107</v>
      </c>
      <c r="L721" s="13" t="s">
        <v>88</v>
      </c>
      <c r="M721">
        <v>60</v>
      </c>
      <c r="N721">
        <v>0</v>
      </c>
      <c r="O721" s="14">
        <v>45973</v>
      </c>
      <c r="P721" s="14">
        <v>46033</v>
      </c>
      <c r="Q721">
        <v>7491.37</v>
      </c>
      <c r="R721">
        <v>0</v>
      </c>
      <c r="S721">
        <v>0</v>
      </c>
      <c r="T721">
        <v>0</v>
      </c>
      <c r="U721">
        <v>0</v>
      </c>
      <c r="V721">
        <v>7491.37</v>
      </c>
      <c r="W721">
        <v>0</v>
      </c>
      <c r="X721">
        <v>1</v>
      </c>
      <c r="Y721">
        <v>0</v>
      </c>
      <c r="Z721">
        <v>-11</v>
      </c>
      <c r="AA721">
        <v>1</v>
      </c>
      <c r="AB721" s="13" t="s">
        <v>581</v>
      </c>
      <c r="AC721">
        <v>0</v>
      </c>
      <c r="AD721">
        <v>0</v>
      </c>
      <c r="AE721" s="13" t="s">
        <v>61</v>
      </c>
    </row>
    <row r="722" spans="1:31" x14ac:dyDescent="0.35">
      <c r="A722" s="13" t="s">
        <v>1282</v>
      </c>
      <c r="B722" s="13" t="s">
        <v>186</v>
      </c>
      <c r="C722" s="13" t="s">
        <v>187</v>
      </c>
      <c r="D722" s="13" t="s">
        <v>76</v>
      </c>
      <c r="E722" s="13" t="s">
        <v>65</v>
      </c>
      <c r="F722" s="13" t="s">
        <v>66</v>
      </c>
      <c r="G722" s="13" t="s">
        <v>55</v>
      </c>
      <c r="H722">
        <v>120000</v>
      </c>
      <c r="I722" s="13" t="s">
        <v>93</v>
      </c>
      <c r="J722" s="13" t="s">
        <v>94</v>
      </c>
      <c r="K722" s="13" t="s">
        <v>81</v>
      </c>
      <c r="L722" s="13" t="s">
        <v>95</v>
      </c>
      <c r="M722">
        <v>30</v>
      </c>
      <c r="N722">
        <v>0</v>
      </c>
      <c r="O722" s="14">
        <v>45974</v>
      </c>
      <c r="P722" s="14">
        <v>46004</v>
      </c>
      <c r="Q722">
        <v>1009.17</v>
      </c>
      <c r="R722">
        <v>0</v>
      </c>
      <c r="S722">
        <v>0</v>
      </c>
      <c r="T722">
        <v>0</v>
      </c>
      <c r="U722">
        <v>0</v>
      </c>
      <c r="V722">
        <v>1009.17</v>
      </c>
      <c r="W722">
        <v>0</v>
      </c>
      <c r="X722">
        <v>1</v>
      </c>
      <c r="Y722">
        <v>1</v>
      </c>
      <c r="Z722">
        <v>18</v>
      </c>
      <c r="AA722">
        <v>2</v>
      </c>
      <c r="AB722" s="13" t="s">
        <v>405</v>
      </c>
      <c r="AC722">
        <v>0.25</v>
      </c>
      <c r="AD722">
        <v>0</v>
      </c>
      <c r="AE722" s="13" t="s">
        <v>61</v>
      </c>
    </row>
    <row r="723" spans="1:31" x14ac:dyDescent="0.35">
      <c r="A723" s="13" t="s">
        <v>1283</v>
      </c>
      <c r="B723" s="13" t="s">
        <v>825</v>
      </c>
      <c r="C723" s="13" t="s">
        <v>826</v>
      </c>
      <c r="D723" s="13" t="s">
        <v>104</v>
      </c>
      <c r="E723" s="13" t="s">
        <v>53</v>
      </c>
      <c r="F723" s="13" t="s">
        <v>135</v>
      </c>
      <c r="G723" s="13" t="s">
        <v>55</v>
      </c>
      <c r="H723">
        <v>75000</v>
      </c>
      <c r="I723" s="13" t="s">
        <v>105</v>
      </c>
      <c r="J723" s="13" t="s">
        <v>106</v>
      </c>
      <c r="K723" s="13" t="s">
        <v>107</v>
      </c>
      <c r="L723" s="13" t="s">
        <v>88</v>
      </c>
      <c r="M723">
        <v>60</v>
      </c>
      <c r="N723">
        <v>0</v>
      </c>
      <c r="O723" s="14">
        <v>45974</v>
      </c>
      <c r="P723" s="14">
        <v>46034</v>
      </c>
      <c r="Q723">
        <v>7592.35</v>
      </c>
      <c r="R723">
        <v>0</v>
      </c>
      <c r="S723">
        <v>0</v>
      </c>
      <c r="T723">
        <v>0</v>
      </c>
      <c r="U723">
        <v>0</v>
      </c>
      <c r="V723">
        <v>7592.35</v>
      </c>
      <c r="W723">
        <v>0</v>
      </c>
      <c r="X723">
        <v>1</v>
      </c>
      <c r="Y723">
        <v>0</v>
      </c>
      <c r="Z723">
        <v>-12</v>
      </c>
      <c r="AA723">
        <v>1</v>
      </c>
      <c r="AB723" s="13" t="s">
        <v>581</v>
      </c>
      <c r="AC723">
        <v>0</v>
      </c>
      <c r="AD723">
        <v>0</v>
      </c>
      <c r="AE723" s="13" t="s">
        <v>61</v>
      </c>
    </row>
    <row r="724" spans="1:31" x14ac:dyDescent="0.35">
      <c r="A724" s="13" t="s">
        <v>1284</v>
      </c>
      <c r="B724" s="13" t="s">
        <v>1285</v>
      </c>
      <c r="C724" s="13" t="s">
        <v>1286</v>
      </c>
      <c r="D724" s="13" t="s">
        <v>76</v>
      </c>
      <c r="E724" s="13" t="s">
        <v>53</v>
      </c>
      <c r="F724" s="13" t="s">
        <v>54</v>
      </c>
      <c r="G724" s="13" t="s">
        <v>55</v>
      </c>
      <c r="H724">
        <v>105000</v>
      </c>
      <c r="I724" s="13" t="s">
        <v>79</v>
      </c>
      <c r="J724" s="13" t="s">
        <v>80</v>
      </c>
      <c r="K724" s="13" t="s">
        <v>81</v>
      </c>
      <c r="L724" s="13" t="s">
        <v>95</v>
      </c>
      <c r="M724">
        <v>30</v>
      </c>
      <c r="N724">
        <v>0</v>
      </c>
      <c r="O724" s="14">
        <v>45974</v>
      </c>
      <c r="P724" s="14">
        <v>46004</v>
      </c>
      <c r="Q724">
        <v>454.66</v>
      </c>
      <c r="R724">
        <v>0</v>
      </c>
      <c r="S724">
        <v>0</v>
      </c>
      <c r="T724">
        <v>0</v>
      </c>
      <c r="U724">
        <v>0</v>
      </c>
      <c r="V724">
        <v>454.66</v>
      </c>
      <c r="W724">
        <v>0</v>
      </c>
      <c r="X724">
        <v>1</v>
      </c>
      <c r="Y724">
        <v>1</v>
      </c>
      <c r="Z724">
        <v>18</v>
      </c>
      <c r="AA724">
        <v>2</v>
      </c>
      <c r="AB724" s="13" t="s">
        <v>405</v>
      </c>
      <c r="AC724">
        <v>0.25</v>
      </c>
      <c r="AD724">
        <v>0</v>
      </c>
      <c r="AE724" s="13" t="s">
        <v>61</v>
      </c>
    </row>
    <row r="725" spans="1:31" x14ac:dyDescent="0.35">
      <c r="A725" s="13" t="s">
        <v>1287</v>
      </c>
      <c r="B725" s="13" t="s">
        <v>1288</v>
      </c>
      <c r="C725" s="13" t="s">
        <v>1289</v>
      </c>
      <c r="D725" s="13" t="s">
        <v>52</v>
      </c>
      <c r="E725" s="13" t="s">
        <v>65</v>
      </c>
      <c r="F725" s="13" t="s">
        <v>111</v>
      </c>
      <c r="G725" s="13" t="s">
        <v>67</v>
      </c>
      <c r="H725">
        <v>550000</v>
      </c>
      <c r="I725" s="13" t="s">
        <v>56</v>
      </c>
      <c r="J725" s="13" t="s">
        <v>57</v>
      </c>
      <c r="K725" s="13" t="s">
        <v>58</v>
      </c>
      <c r="L725" s="13" t="s">
        <v>59</v>
      </c>
      <c r="M725">
        <v>45</v>
      </c>
      <c r="N725">
        <v>0</v>
      </c>
      <c r="O725" s="14">
        <v>45974</v>
      </c>
      <c r="P725" s="14">
        <v>46019</v>
      </c>
      <c r="Q725">
        <v>2897.97</v>
      </c>
      <c r="R725">
        <v>0</v>
      </c>
      <c r="S725">
        <v>0</v>
      </c>
      <c r="T725">
        <v>0</v>
      </c>
      <c r="U725">
        <v>0</v>
      </c>
      <c r="V725">
        <v>2897.97</v>
      </c>
      <c r="W725">
        <v>0</v>
      </c>
      <c r="X725">
        <v>1</v>
      </c>
      <c r="Y725">
        <v>1</v>
      </c>
      <c r="Z725">
        <v>3</v>
      </c>
      <c r="AA725">
        <v>2</v>
      </c>
      <c r="AB725" s="13" t="s">
        <v>405</v>
      </c>
      <c r="AC725">
        <v>0.25</v>
      </c>
      <c r="AD725">
        <v>0</v>
      </c>
      <c r="AE725" s="13" t="s">
        <v>61</v>
      </c>
    </row>
    <row r="726" spans="1:31" x14ac:dyDescent="0.35">
      <c r="A726" s="13" t="s">
        <v>1290</v>
      </c>
      <c r="B726" s="13" t="s">
        <v>222</v>
      </c>
      <c r="C726" s="13" t="s">
        <v>223</v>
      </c>
      <c r="D726" s="13" t="s">
        <v>52</v>
      </c>
      <c r="E726" s="13" t="s">
        <v>65</v>
      </c>
      <c r="F726" s="13" t="s">
        <v>66</v>
      </c>
      <c r="G726" s="13" t="s">
        <v>92</v>
      </c>
      <c r="H726">
        <v>430000</v>
      </c>
      <c r="I726" s="13" t="s">
        <v>56</v>
      </c>
      <c r="J726" s="13" t="s">
        <v>57</v>
      </c>
      <c r="K726" s="13" t="s">
        <v>58</v>
      </c>
      <c r="L726" s="13" t="s">
        <v>59</v>
      </c>
      <c r="M726">
        <v>45</v>
      </c>
      <c r="N726">
        <v>0</v>
      </c>
      <c r="O726" s="14">
        <v>45974</v>
      </c>
      <c r="P726" s="14">
        <v>46019</v>
      </c>
      <c r="Q726">
        <v>12458.35</v>
      </c>
      <c r="R726">
        <v>0</v>
      </c>
      <c r="S726">
        <v>0</v>
      </c>
      <c r="T726">
        <v>0</v>
      </c>
      <c r="U726">
        <v>0</v>
      </c>
      <c r="V726">
        <v>12458.35</v>
      </c>
      <c r="W726">
        <v>0</v>
      </c>
      <c r="X726">
        <v>1</v>
      </c>
      <c r="Y726">
        <v>1</v>
      </c>
      <c r="Z726">
        <v>3</v>
      </c>
      <c r="AA726">
        <v>2</v>
      </c>
      <c r="AB726" s="13" t="s">
        <v>405</v>
      </c>
      <c r="AC726">
        <v>0.25</v>
      </c>
      <c r="AD726">
        <v>0</v>
      </c>
      <c r="AE726" s="13" t="s">
        <v>61</v>
      </c>
    </row>
    <row r="727" spans="1:31" x14ac:dyDescent="0.35">
      <c r="A727" s="13" t="s">
        <v>1291</v>
      </c>
      <c r="B727" s="13" t="s">
        <v>1292</v>
      </c>
      <c r="C727" s="13" t="s">
        <v>1293</v>
      </c>
      <c r="D727" s="13" t="s">
        <v>104</v>
      </c>
      <c r="E727" s="13" t="s">
        <v>53</v>
      </c>
      <c r="F727" s="13" t="s">
        <v>135</v>
      </c>
      <c r="G727" s="13" t="s">
        <v>67</v>
      </c>
      <c r="H727">
        <v>35000</v>
      </c>
      <c r="I727" s="13" t="s">
        <v>105</v>
      </c>
      <c r="J727" s="13" t="s">
        <v>106</v>
      </c>
      <c r="K727" s="13" t="s">
        <v>107</v>
      </c>
      <c r="L727" s="13" t="s">
        <v>88</v>
      </c>
      <c r="M727">
        <v>60</v>
      </c>
      <c r="N727">
        <v>0</v>
      </c>
      <c r="O727" s="14">
        <v>45974</v>
      </c>
      <c r="P727" s="14">
        <v>46034</v>
      </c>
      <c r="Q727">
        <v>1132.27</v>
      </c>
      <c r="R727">
        <v>0</v>
      </c>
      <c r="S727">
        <v>0</v>
      </c>
      <c r="T727">
        <v>113.23</v>
      </c>
      <c r="U727">
        <v>0</v>
      </c>
      <c r="V727">
        <v>1019.04</v>
      </c>
      <c r="W727">
        <v>0</v>
      </c>
      <c r="X727">
        <v>1</v>
      </c>
      <c r="Y727">
        <v>0</v>
      </c>
      <c r="Z727">
        <v>-12</v>
      </c>
      <c r="AA727">
        <v>1</v>
      </c>
      <c r="AB727" s="13" t="s">
        <v>581</v>
      </c>
      <c r="AC727">
        <v>0</v>
      </c>
      <c r="AD727">
        <v>0</v>
      </c>
      <c r="AE727" s="13" t="s">
        <v>665</v>
      </c>
    </row>
    <row r="728" spans="1:31" x14ac:dyDescent="0.35">
      <c r="A728" s="13" t="s">
        <v>1294</v>
      </c>
      <c r="B728" s="13" t="s">
        <v>1247</v>
      </c>
      <c r="C728" s="13" t="s">
        <v>1248</v>
      </c>
      <c r="D728" s="13" t="s">
        <v>52</v>
      </c>
      <c r="E728" s="13" t="s">
        <v>99</v>
      </c>
      <c r="F728" s="13" t="s">
        <v>100</v>
      </c>
      <c r="G728" s="13" t="s">
        <v>55</v>
      </c>
      <c r="H728">
        <v>600000</v>
      </c>
      <c r="I728" s="13" t="s">
        <v>56</v>
      </c>
      <c r="J728" s="13" t="s">
        <v>57</v>
      </c>
      <c r="K728" s="13" t="s">
        <v>58</v>
      </c>
      <c r="L728" s="13" t="s">
        <v>59</v>
      </c>
      <c r="M728">
        <v>45</v>
      </c>
      <c r="N728">
        <v>0</v>
      </c>
      <c r="O728" s="14">
        <v>45974</v>
      </c>
      <c r="P728" s="14">
        <v>46019</v>
      </c>
      <c r="Q728">
        <v>13610.11</v>
      </c>
      <c r="R728">
        <v>0</v>
      </c>
      <c r="S728">
        <v>0</v>
      </c>
      <c r="T728">
        <v>0</v>
      </c>
      <c r="U728">
        <v>0</v>
      </c>
      <c r="V728">
        <v>13610.11</v>
      </c>
      <c r="W728">
        <v>0</v>
      </c>
      <c r="X728">
        <v>1</v>
      </c>
      <c r="Y728">
        <v>1</v>
      </c>
      <c r="Z728">
        <v>3</v>
      </c>
      <c r="AA728">
        <v>2</v>
      </c>
      <c r="AB728" s="13" t="s">
        <v>405</v>
      </c>
      <c r="AC728">
        <v>0.25</v>
      </c>
      <c r="AD728">
        <v>0</v>
      </c>
      <c r="AE728" s="13" t="s">
        <v>61</v>
      </c>
    </row>
    <row r="729" spans="1:31" x14ac:dyDescent="0.35">
      <c r="A729" s="13" t="s">
        <v>1295</v>
      </c>
      <c r="B729" s="13" t="s">
        <v>1296</v>
      </c>
      <c r="C729" s="13" t="s">
        <v>1297</v>
      </c>
      <c r="D729" s="13" t="s">
        <v>104</v>
      </c>
      <c r="E729" s="13" t="s">
        <v>99</v>
      </c>
      <c r="F729" s="13" t="s">
        <v>127</v>
      </c>
      <c r="G729" s="13" t="s">
        <v>55</v>
      </c>
      <c r="H729">
        <v>85000</v>
      </c>
      <c r="I729" s="13" t="s">
        <v>121</v>
      </c>
      <c r="J729" s="13" t="s">
        <v>122</v>
      </c>
      <c r="K729" s="13" t="s">
        <v>107</v>
      </c>
      <c r="L729" s="13" t="s">
        <v>95</v>
      </c>
      <c r="M729">
        <v>30</v>
      </c>
      <c r="N729">
        <v>0</v>
      </c>
      <c r="O729" s="14">
        <v>45974</v>
      </c>
      <c r="P729" s="14">
        <v>46004</v>
      </c>
      <c r="Q729">
        <v>3791.71</v>
      </c>
      <c r="R729">
        <v>0</v>
      </c>
      <c r="S729">
        <v>0</v>
      </c>
      <c r="T729">
        <v>0</v>
      </c>
      <c r="U729">
        <v>0</v>
      </c>
      <c r="V729">
        <v>3791.71</v>
      </c>
      <c r="W729">
        <v>0</v>
      </c>
      <c r="X729">
        <v>1</v>
      </c>
      <c r="Y729">
        <v>1</v>
      </c>
      <c r="Z729">
        <v>18</v>
      </c>
      <c r="AA729">
        <v>2</v>
      </c>
      <c r="AB729" s="13" t="s">
        <v>405</v>
      </c>
      <c r="AC729">
        <v>0.25</v>
      </c>
      <c r="AD729">
        <v>0</v>
      </c>
      <c r="AE729" s="13" t="s">
        <v>61</v>
      </c>
    </row>
    <row r="730" spans="1:31" x14ac:dyDescent="0.35">
      <c r="A730" s="13" t="s">
        <v>1298</v>
      </c>
      <c r="B730" s="13" t="s">
        <v>229</v>
      </c>
      <c r="C730" s="13" t="s">
        <v>230</v>
      </c>
      <c r="D730" s="13" t="s">
        <v>104</v>
      </c>
      <c r="E730" s="13" t="s">
        <v>71</v>
      </c>
      <c r="F730" s="13" t="s">
        <v>214</v>
      </c>
      <c r="G730" s="13" t="s">
        <v>67</v>
      </c>
      <c r="H730">
        <v>110000</v>
      </c>
      <c r="I730" s="13" t="s">
        <v>105</v>
      </c>
      <c r="J730" s="13" t="s">
        <v>106</v>
      </c>
      <c r="K730" s="13" t="s">
        <v>107</v>
      </c>
      <c r="L730" s="13" t="s">
        <v>88</v>
      </c>
      <c r="M730">
        <v>60</v>
      </c>
      <c r="N730">
        <v>0</v>
      </c>
      <c r="O730" s="14">
        <v>45974</v>
      </c>
      <c r="P730" s="14">
        <v>46034</v>
      </c>
      <c r="Q730">
        <v>1492.17</v>
      </c>
      <c r="R730">
        <v>0</v>
      </c>
      <c r="S730">
        <v>0</v>
      </c>
      <c r="T730">
        <v>0</v>
      </c>
      <c r="U730">
        <v>0</v>
      </c>
      <c r="V730">
        <v>1492.17</v>
      </c>
      <c r="W730">
        <v>0</v>
      </c>
      <c r="X730">
        <v>1</v>
      </c>
      <c r="Y730">
        <v>0</v>
      </c>
      <c r="Z730">
        <v>-12</v>
      </c>
      <c r="AA730">
        <v>1</v>
      </c>
      <c r="AB730" s="13" t="s">
        <v>581</v>
      </c>
      <c r="AC730">
        <v>0</v>
      </c>
      <c r="AD730">
        <v>0</v>
      </c>
      <c r="AE730" s="13" t="s">
        <v>61</v>
      </c>
    </row>
    <row r="731" spans="1:31" x14ac:dyDescent="0.35">
      <c r="A731" s="13" t="s">
        <v>1299</v>
      </c>
      <c r="B731" s="13" t="s">
        <v>1300</v>
      </c>
      <c r="C731" s="13" t="s">
        <v>1301</v>
      </c>
      <c r="D731" s="13" t="s">
        <v>126</v>
      </c>
      <c r="E731" s="13" t="s">
        <v>65</v>
      </c>
      <c r="F731" s="13" t="s">
        <v>66</v>
      </c>
      <c r="G731" s="13" t="s">
        <v>67</v>
      </c>
      <c r="H731">
        <v>95000</v>
      </c>
      <c r="I731" s="13" t="s">
        <v>121</v>
      </c>
      <c r="J731" s="13" t="s">
        <v>122</v>
      </c>
      <c r="K731" s="13" t="s">
        <v>107</v>
      </c>
      <c r="L731" s="13" t="s">
        <v>88</v>
      </c>
      <c r="M731">
        <v>60</v>
      </c>
      <c r="N731">
        <v>0</v>
      </c>
      <c r="O731" s="14">
        <v>45974</v>
      </c>
      <c r="P731" s="14">
        <v>46034</v>
      </c>
      <c r="Q731">
        <v>1462.89</v>
      </c>
      <c r="R731">
        <v>0</v>
      </c>
      <c r="S731">
        <v>0</v>
      </c>
      <c r="T731">
        <v>0</v>
      </c>
      <c r="U731">
        <v>0</v>
      </c>
      <c r="V731">
        <v>1462.89</v>
      </c>
      <c r="W731">
        <v>0</v>
      </c>
      <c r="X731">
        <v>1</v>
      </c>
      <c r="Y731">
        <v>0</v>
      </c>
      <c r="Z731">
        <v>-12</v>
      </c>
      <c r="AA731">
        <v>1</v>
      </c>
      <c r="AB731" s="13" t="s">
        <v>581</v>
      </c>
      <c r="AC731">
        <v>0</v>
      </c>
      <c r="AD731">
        <v>0</v>
      </c>
      <c r="AE731" s="13" t="s">
        <v>61</v>
      </c>
    </row>
    <row r="732" spans="1:31" x14ac:dyDescent="0.35">
      <c r="A732" s="13" t="s">
        <v>1302</v>
      </c>
      <c r="B732" s="13" t="s">
        <v>84</v>
      </c>
      <c r="C732" s="13" t="s">
        <v>85</v>
      </c>
      <c r="D732" s="13" t="s">
        <v>52</v>
      </c>
      <c r="E732" s="13" t="s">
        <v>71</v>
      </c>
      <c r="F732" s="13" t="s">
        <v>72</v>
      </c>
      <c r="G732" s="13" t="s">
        <v>67</v>
      </c>
      <c r="H732">
        <v>600000</v>
      </c>
      <c r="I732" s="13" t="s">
        <v>86</v>
      </c>
      <c r="J732" s="13" t="s">
        <v>87</v>
      </c>
      <c r="K732" s="13" t="s">
        <v>58</v>
      </c>
      <c r="L732" s="13" t="s">
        <v>88</v>
      </c>
      <c r="M732">
        <v>60</v>
      </c>
      <c r="N732">
        <v>0</v>
      </c>
      <c r="O732" s="14">
        <v>45974</v>
      </c>
      <c r="P732" s="14">
        <v>46034</v>
      </c>
      <c r="Q732">
        <v>3899.52</v>
      </c>
      <c r="R732">
        <v>0</v>
      </c>
      <c r="S732">
        <v>0</v>
      </c>
      <c r="T732">
        <v>0</v>
      </c>
      <c r="U732">
        <v>0</v>
      </c>
      <c r="V732">
        <v>3899.52</v>
      </c>
      <c r="W732">
        <v>0</v>
      </c>
      <c r="X732">
        <v>1</v>
      </c>
      <c r="Y732">
        <v>0</v>
      </c>
      <c r="Z732">
        <v>-12</v>
      </c>
      <c r="AA732">
        <v>1</v>
      </c>
      <c r="AB732" s="13" t="s">
        <v>581</v>
      </c>
      <c r="AC732">
        <v>0</v>
      </c>
      <c r="AD732">
        <v>0</v>
      </c>
      <c r="AE732" s="13" t="s">
        <v>61</v>
      </c>
    </row>
    <row r="733" spans="1:31" x14ac:dyDescent="0.35">
      <c r="A733" s="13" t="s">
        <v>1303</v>
      </c>
      <c r="B733" s="13" t="s">
        <v>1304</v>
      </c>
      <c r="C733" s="13" t="s">
        <v>1305</v>
      </c>
      <c r="D733" s="13" t="s">
        <v>76</v>
      </c>
      <c r="E733" s="13" t="s">
        <v>65</v>
      </c>
      <c r="F733" s="13" t="s">
        <v>66</v>
      </c>
      <c r="G733" s="13" t="s">
        <v>67</v>
      </c>
      <c r="H733">
        <v>105000</v>
      </c>
      <c r="I733" s="13" t="s">
        <v>93</v>
      </c>
      <c r="J733" s="13" t="s">
        <v>94</v>
      </c>
      <c r="K733" s="13" t="s">
        <v>81</v>
      </c>
      <c r="L733" s="13" t="s">
        <v>82</v>
      </c>
      <c r="M733">
        <v>30</v>
      </c>
      <c r="N733">
        <v>2</v>
      </c>
      <c r="O733" s="14">
        <v>45974</v>
      </c>
      <c r="P733" s="14">
        <v>46004</v>
      </c>
      <c r="Q733">
        <v>1594.11</v>
      </c>
      <c r="R733">
        <v>956.47</v>
      </c>
      <c r="S733">
        <v>0</v>
      </c>
      <c r="T733">
        <v>0</v>
      </c>
      <c r="U733">
        <v>0</v>
      </c>
      <c r="V733">
        <v>637.64</v>
      </c>
      <c r="W733">
        <v>0</v>
      </c>
      <c r="X733">
        <v>1</v>
      </c>
      <c r="Y733">
        <v>1</v>
      </c>
      <c r="Z733">
        <v>18</v>
      </c>
      <c r="AA733">
        <v>2</v>
      </c>
      <c r="AB733" s="13" t="s">
        <v>405</v>
      </c>
      <c r="AC733">
        <v>0.25</v>
      </c>
      <c r="AD733">
        <v>0</v>
      </c>
      <c r="AE733" s="13" t="s">
        <v>61</v>
      </c>
    </row>
    <row r="734" spans="1:31" x14ac:dyDescent="0.35">
      <c r="A734" s="13" t="s">
        <v>1306</v>
      </c>
      <c r="B734" s="13" t="s">
        <v>1307</v>
      </c>
      <c r="C734" s="13" t="s">
        <v>1308</v>
      </c>
      <c r="D734" s="13" t="s">
        <v>52</v>
      </c>
      <c r="E734" s="13" t="s">
        <v>71</v>
      </c>
      <c r="F734" s="13" t="s">
        <v>72</v>
      </c>
      <c r="G734" s="13" t="s">
        <v>67</v>
      </c>
      <c r="H734">
        <v>165000</v>
      </c>
      <c r="I734" s="13" t="s">
        <v>86</v>
      </c>
      <c r="J734" s="13" t="s">
        <v>87</v>
      </c>
      <c r="K734" s="13" t="s">
        <v>58</v>
      </c>
      <c r="L734" s="13" t="s">
        <v>59</v>
      </c>
      <c r="M734">
        <v>45</v>
      </c>
      <c r="N734">
        <v>0</v>
      </c>
      <c r="O734" s="14">
        <v>45974</v>
      </c>
      <c r="P734" s="14">
        <v>46019</v>
      </c>
      <c r="Q734">
        <v>10508.22</v>
      </c>
      <c r="R734">
        <v>0</v>
      </c>
      <c r="S734">
        <v>0</v>
      </c>
      <c r="T734">
        <v>0</v>
      </c>
      <c r="U734">
        <v>0</v>
      </c>
      <c r="V734">
        <v>10508.22</v>
      </c>
      <c r="W734">
        <v>0</v>
      </c>
      <c r="X734">
        <v>1</v>
      </c>
      <c r="Y734">
        <v>1</v>
      </c>
      <c r="Z734">
        <v>3</v>
      </c>
      <c r="AA734">
        <v>2</v>
      </c>
      <c r="AB734" s="13" t="s">
        <v>405</v>
      </c>
      <c r="AC734">
        <v>0.25</v>
      </c>
      <c r="AD734">
        <v>0</v>
      </c>
      <c r="AE734" s="13" t="s">
        <v>61</v>
      </c>
    </row>
    <row r="735" spans="1:31" x14ac:dyDescent="0.35">
      <c r="A735" s="13" t="s">
        <v>1309</v>
      </c>
      <c r="B735" s="13" t="s">
        <v>458</v>
      </c>
      <c r="C735" s="13" t="s">
        <v>459</v>
      </c>
      <c r="D735" s="13" t="s">
        <v>126</v>
      </c>
      <c r="E735" s="13" t="s">
        <v>71</v>
      </c>
      <c r="F735" s="13" t="s">
        <v>72</v>
      </c>
      <c r="G735" s="13" t="s">
        <v>67</v>
      </c>
      <c r="H735">
        <v>135000</v>
      </c>
      <c r="I735" s="13" t="s">
        <v>121</v>
      </c>
      <c r="J735" s="13" t="s">
        <v>122</v>
      </c>
      <c r="K735" s="13" t="s">
        <v>107</v>
      </c>
      <c r="L735" s="13" t="s">
        <v>368</v>
      </c>
      <c r="M735">
        <v>90</v>
      </c>
      <c r="N735">
        <v>0</v>
      </c>
      <c r="O735" s="14">
        <v>45974</v>
      </c>
      <c r="P735" s="14">
        <v>46064</v>
      </c>
      <c r="Q735">
        <v>10780.9</v>
      </c>
      <c r="R735">
        <v>0</v>
      </c>
      <c r="S735">
        <v>0</v>
      </c>
      <c r="T735">
        <v>0</v>
      </c>
      <c r="U735">
        <v>0</v>
      </c>
      <c r="V735">
        <v>10780.9</v>
      </c>
      <c r="W735">
        <v>0</v>
      </c>
      <c r="X735">
        <v>1</v>
      </c>
      <c r="Y735">
        <v>0</v>
      </c>
      <c r="Z735">
        <v>-42</v>
      </c>
      <c r="AA735">
        <v>1</v>
      </c>
      <c r="AB735" s="13" t="s">
        <v>581</v>
      </c>
      <c r="AC735">
        <v>0</v>
      </c>
      <c r="AD735">
        <v>0</v>
      </c>
      <c r="AE735" s="13" t="s">
        <v>61</v>
      </c>
    </row>
    <row r="736" spans="1:31" x14ac:dyDescent="0.35">
      <c r="A736" s="13" t="s">
        <v>1310</v>
      </c>
      <c r="B736" s="13" t="s">
        <v>920</v>
      </c>
      <c r="C736" s="13" t="s">
        <v>921</v>
      </c>
      <c r="D736" s="13" t="s">
        <v>104</v>
      </c>
      <c r="E736" s="13" t="s">
        <v>99</v>
      </c>
      <c r="F736" s="13" t="s">
        <v>100</v>
      </c>
      <c r="G736" s="13" t="s">
        <v>92</v>
      </c>
      <c r="H736">
        <v>100000</v>
      </c>
      <c r="I736" s="13" t="s">
        <v>121</v>
      </c>
      <c r="J736" s="13" t="s">
        <v>122</v>
      </c>
      <c r="K736" s="13" t="s">
        <v>107</v>
      </c>
      <c r="L736" s="13" t="s">
        <v>95</v>
      </c>
      <c r="M736">
        <v>30</v>
      </c>
      <c r="N736">
        <v>0</v>
      </c>
      <c r="O736" s="14">
        <v>45974</v>
      </c>
      <c r="P736" s="14">
        <v>46004</v>
      </c>
      <c r="Q736">
        <v>2221.88</v>
      </c>
      <c r="R736">
        <v>0</v>
      </c>
      <c r="S736">
        <v>0</v>
      </c>
      <c r="T736">
        <v>0</v>
      </c>
      <c r="U736">
        <v>0</v>
      </c>
      <c r="V736">
        <v>2221.88</v>
      </c>
      <c r="W736">
        <v>0</v>
      </c>
      <c r="X736">
        <v>1</v>
      </c>
      <c r="Y736">
        <v>1</v>
      </c>
      <c r="Z736">
        <v>18</v>
      </c>
      <c r="AA736">
        <v>2</v>
      </c>
      <c r="AB736" s="13" t="s">
        <v>405</v>
      </c>
      <c r="AC736">
        <v>0.25</v>
      </c>
      <c r="AD736">
        <v>0</v>
      </c>
      <c r="AE736" s="13" t="s">
        <v>61</v>
      </c>
    </row>
    <row r="737" spans="1:31" x14ac:dyDescent="0.35">
      <c r="A737" s="13" t="s">
        <v>1311</v>
      </c>
      <c r="B737" s="13" t="s">
        <v>1004</v>
      </c>
      <c r="C737" s="13" t="s">
        <v>1005</v>
      </c>
      <c r="D737" s="13" t="s">
        <v>104</v>
      </c>
      <c r="E737" s="13" t="s">
        <v>53</v>
      </c>
      <c r="F737" s="13" t="s">
        <v>135</v>
      </c>
      <c r="G737" s="13" t="s">
        <v>55</v>
      </c>
      <c r="H737">
        <v>55000</v>
      </c>
      <c r="I737" s="13" t="s">
        <v>121</v>
      </c>
      <c r="J737" s="13" t="s">
        <v>122</v>
      </c>
      <c r="K737" s="13" t="s">
        <v>107</v>
      </c>
      <c r="L737" s="13" t="s">
        <v>88</v>
      </c>
      <c r="M737">
        <v>60</v>
      </c>
      <c r="N737">
        <v>0</v>
      </c>
      <c r="O737" s="14">
        <v>45974</v>
      </c>
      <c r="P737" s="14">
        <v>46034</v>
      </c>
      <c r="Q737">
        <v>2401.54</v>
      </c>
      <c r="R737">
        <v>0</v>
      </c>
      <c r="S737">
        <v>0</v>
      </c>
      <c r="T737">
        <v>0</v>
      </c>
      <c r="U737">
        <v>0</v>
      </c>
      <c r="V737">
        <v>2401.54</v>
      </c>
      <c r="W737">
        <v>0</v>
      </c>
      <c r="X737">
        <v>1</v>
      </c>
      <c r="Y737">
        <v>0</v>
      </c>
      <c r="Z737">
        <v>-12</v>
      </c>
      <c r="AA737">
        <v>1</v>
      </c>
      <c r="AB737" s="13" t="s">
        <v>581</v>
      </c>
      <c r="AC737">
        <v>0</v>
      </c>
      <c r="AD737">
        <v>0</v>
      </c>
      <c r="AE737" s="13" t="s">
        <v>61</v>
      </c>
    </row>
    <row r="738" spans="1:31" x14ac:dyDescent="0.35">
      <c r="A738" s="13" t="s">
        <v>1312</v>
      </c>
      <c r="B738" s="13" t="s">
        <v>238</v>
      </c>
      <c r="C738" s="13" t="s">
        <v>239</v>
      </c>
      <c r="D738" s="13" t="s">
        <v>76</v>
      </c>
      <c r="E738" s="13" t="s">
        <v>71</v>
      </c>
      <c r="F738" s="13" t="s">
        <v>214</v>
      </c>
      <c r="G738" s="13" t="s">
        <v>92</v>
      </c>
      <c r="H738">
        <v>100000</v>
      </c>
      <c r="I738" s="13" t="s">
        <v>93</v>
      </c>
      <c r="J738" s="13" t="s">
        <v>94</v>
      </c>
      <c r="K738" s="13" t="s">
        <v>81</v>
      </c>
      <c r="L738" s="13" t="s">
        <v>95</v>
      </c>
      <c r="M738">
        <v>30</v>
      </c>
      <c r="N738">
        <v>0</v>
      </c>
      <c r="O738" s="14">
        <v>45974</v>
      </c>
      <c r="P738" s="14">
        <v>46004</v>
      </c>
      <c r="Q738">
        <v>515.36</v>
      </c>
      <c r="R738">
        <v>0</v>
      </c>
      <c r="S738">
        <v>0</v>
      </c>
      <c r="T738">
        <v>0</v>
      </c>
      <c r="U738">
        <v>0</v>
      </c>
      <c r="V738">
        <v>515.36</v>
      </c>
      <c r="W738">
        <v>0</v>
      </c>
      <c r="X738">
        <v>1</v>
      </c>
      <c r="Y738">
        <v>1</v>
      </c>
      <c r="Z738">
        <v>18</v>
      </c>
      <c r="AA738">
        <v>2</v>
      </c>
      <c r="AB738" s="13" t="s">
        <v>405</v>
      </c>
      <c r="AC738">
        <v>0.25</v>
      </c>
      <c r="AD738">
        <v>1</v>
      </c>
      <c r="AE738" s="13" t="s">
        <v>465</v>
      </c>
    </row>
    <row r="739" spans="1:31" x14ac:dyDescent="0.35">
      <c r="A739" s="13" t="s">
        <v>1313</v>
      </c>
      <c r="B739" s="13" t="s">
        <v>69</v>
      </c>
      <c r="C739" s="13" t="s">
        <v>70</v>
      </c>
      <c r="D739" s="13" t="s">
        <v>52</v>
      </c>
      <c r="E739" s="13" t="s">
        <v>71</v>
      </c>
      <c r="F739" s="13" t="s">
        <v>72</v>
      </c>
      <c r="G739" s="13" t="s">
        <v>55</v>
      </c>
      <c r="H739">
        <v>580000</v>
      </c>
      <c r="I739" s="13" t="s">
        <v>56</v>
      </c>
      <c r="J739" s="13" t="s">
        <v>57</v>
      </c>
      <c r="K739" s="13" t="s">
        <v>58</v>
      </c>
      <c r="L739" s="13" t="s">
        <v>59</v>
      </c>
      <c r="M739">
        <v>45</v>
      </c>
      <c r="N739">
        <v>0</v>
      </c>
      <c r="O739" s="14">
        <v>45974</v>
      </c>
      <c r="P739" s="14">
        <v>46019</v>
      </c>
      <c r="Q739">
        <v>13786</v>
      </c>
      <c r="R739">
        <v>0</v>
      </c>
      <c r="S739">
        <v>0</v>
      </c>
      <c r="T739">
        <v>0</v>
      </c>
      <c r="U739">
        <v>0</v>
      </c>
      <c r="V739">
        <v>13786</v>
      </c>
      <c r="W739">
        <v>0</v>
      </c>
      <c r="X739">
        <v>1</v>
      </c>
      <c r="Y739">
        <v>1</v>
      </c>
      <c r="Z739">
        <v>3</v>
      </c>
      <c r="AA739">
        <v>2</v>
      </c>
      <c r="AB739" s="13" t="s">
        <v>405</v>
      </c>
      <c r="AC739">
        <v>0.25</v>
      </c>
      <c r="AD739">
        <v>0</v>
      </c>
      <c r="AE739" s="13" t="s">
        <v>61</v>
      </c>
    </row>
    <row r="740" spans="1:31" x14ac:dyDescent="0.35">
      <c r="A740" s="13" t="s">
        <v>1314</v>
      </c>
      <c r="B740" s="13" t="s">
        <v>673</v>
      </c>
      <c r="C740" s="13" t="s">
        <v>674</v>
      </c>
      <c r="D740" s="13" t="s">
        <v>52</v>
      </c>
      <c r="E740" s="13" t="s">
        <v>77</v>
      </c>
      <c r="F740" s="13" t="s">
        <v>78</v>
      </c>
      <c r="G740" s="13" t="s">
        <v>67</v>
      </c>
      <c r="H740">
        <v>275000</v>
      </c>
      <c r="I740" s="13" t="s">
        <v>86</v>
      </c>
      <c r="J740" s="13" t="s">
        <v>87</v>
      </c>
      <c r="K740" s="13" t="s">
        <v>58</v>
      </c>
      <c r="L740" s="13" t="s">
        <v>88</v>
      </c>
      <c r="M740">
        <v>60</v>
      </c>
      <c r="N740">
        <v>0</v>
      </c>
      <c r="O740" s="14">
        <v>45974</v>
      </c>
      <c r="P740" s="14">
        <v>46034</v>
      </c>
      <c r="Q740">
        <v>4458.21</v>
      </c>
      <c r="R740">
        <v>0</v>
      </c>
      <c r="S740">
        <v>0</v>
      </c>
      <c r="T740">
        <v>0</v>
      </c>
      <c r="U740">
        <v>0</v>
      </c>
      <c r="V740">
        <v>4458.21</v>
      </c>
      <c r="W740">
        <v>0</v>
      </c>
      <c r="X740">
        <v>1</v>
      </c>
      <c r="Y740">
        <v>0</v>
      </c>
      <c r="Z740">
        <v>-12</v>
      </c>
      <c r="AA740">
        <v>1</v>
      </c>
      <c r="AB740" s="13" t="s">
        <v>581</v>
      </c>
      <c r="AC740">
        <v>0</v>
      </c>
      <c r="AD740">
        <v>0</v>
      </c>
      <c r="AE740" s="13" t="s">
        <v>61</v>
      </c>
    </row>
    <row r="741" spans="1:31" x14ac:dyDescent="0.35">
      <c r="A741" s="13" t="s">
        <v>1315</v>
      </c>
      <c r="B741" s="13" t="s">
        <v>584</v>
      </c>
      <c r="C741" s="13" t="s">
        <v>585</v>
      </c>
      <c r="D741" s="13" t="s">
        <v>104</v>
      </c>
      <c r="E741" s="13" t="s">
        <v>53</v>
      </c>
      <c r="F741" s="13" t="s">
        <v>54</v>
      </c>
      <c r="G741" s="13" t="s">
        <v>67</v>
      </c>
      <c r="H741">
        <v>115000</v>
      </c>
      <c r="I741" s="13" t="s">
        <v>121</v>
      </c>
      <c r="J741" s="13" t="s">
        <v>122</v>
      </c>
      <c r="K741" s="13" t="s">
        <v>107</v>
      </c>
      <c r="L741" s="13" t="s">
        <v>88</v>
      </c>
      <c r="M741">
        <v>60</v>
      </c>
      <c r="N741">
        <v>0</v>
      </c>
      <c r="O741" s="14">
        <v>45974</v>
      </c>
      <c r="P741" s="14">
        <v>46034</v>
      </c>
      <c r="Q741">
        <v>6515.86</v>
      </c>
      <c r="R741">
        <v>0</v>
      </c>
      <c r="S741">
        <v>0</v>
      </c>
      <c r="T741">
        <v>0</v>
      </c>
      <c r="U741">
        <v>0</v>
      </c>
      <c r="V741">
        <v>6515.86</v>
      </c>
      <c r="W741">
        <v>0</v>
      </c>
      <c r="X741">
        <v>1</v>
      </c>
      <c r="Y741">
        <v>0</v>
      </c>
      <c r="Z741">
        <v>-12</v>
      </c>
      <c r="AA741">
        <v>1</v>
      </c>
      <c r="AB741" s="13" t="s">
        <v>581</v>
      </c>
      <c r="AC741">
        <v>0</v>
      </c>
      <c r="AD741">
        <v>0</v>
      </c>
      <c r="AE741" s="13" t="s">
        <v>61</v>
      </c>
    </row>
    <row r="742" spans="1:31" x14ac:dyDescent="0.35">
      <c r="A742" s="13" t="s">
        <v>1316</v>
      </c>
      <c r="B742" s="13" t="s">
        <v>1214</v>
      </c>
      <c r="C742" s="13" t="s">
        <v>1215</v>
      </c>
      <c r="D742" s="13" t="s">
        <v>76</v>
      </c>
      <c r="E742" s="13" t="s">
        <v>53</v>
      </c>
      <c r="F742" s="13" t="s">
        <v>135</v>
      </c>
      <c r="G742" s="13" t="s">
        <v>92</v>
      </c>
      <c r="H742">
        <v>55000</v>
      </c>
      <c r="I742" s="13" t="s">
        <v>79</v>
      </c>
      <c r="J742" s="13" t="s">
        <v>80</v>
      </c>
      <c r="K742" s="13" t="s">
        <v>81</v>
      </c>
      <c r="L742" s="13" t="s">
        <v>95</v>
      </c>
      <c r="M742">
        <v>30</v>
      </c>
      <c r="N742">
        <v>0</v>
      </c>
      <c r="O742" s="14">
        <v>45974</v>
      </c>
      <c r="P742" s="14">
        <v>46004</v>
      </c>
      <c r="Q742">
        <v>4429.9399999999996</v>
      </c>
      <c r="R742">
        <v>2259.27</v>
      </c>
      <c r="S742">
        <v>0</v>
      </c>
      <c r="T742">
        <v>664.49</v>
      </c>
      <c r="U742">
        <v>0</v>
      </c>
      <c r="V742">
        <v>1506.18</v>
      </c>
      <c r="W742">
        <v>0</v>
      </c>
      <c r="X742">
        <v>1</v>
      </c>
      <c r="Y742">
        <v>1</v>
      </c>
      <c r="Z742">
        <v>18</v>
      </c>
      <c r="AA742">
        <v>2</v>
      </c>
      <c r="AB742" s="13" t="s">
        <v>405</v>
      </c>
      <c r="AC742">
        <v>0.25</v>
      </c>
      <c r="AD742">
        <v>0</v>
      </c>
      <c r="AE742" s="13" t="s">
        <v>377</v>
      </c>
    </row>
    <row r="743" spans="1:31" x14ac:dyDescent="0.35">
      <c r="A743" s="13" t="s">
        <v>1317</v>
      </c>
      <c r="B743" s="13" t="s">
        <v>695</v>
      </c>
      <c r="C743" s="13" t="s">
        <v>696</v>
      </c>
      <c r="D743" s="13" t="s">
        <v>52</v>
      </c>
      <c r="E743" s="13" t="s">
        <v>53</v>
      </c>
      <c r="F743" s="13" t="s">
        <v>54</v>
      </c>
      <c r="G743" s="13" t="s">
        <v>92</v>
      </c>
      <c r="H743">
        <v>535000</v>
      </c>
      <c r="I743" s="13" t="s">
        <v>56</v>
      </c>
      <c r="J743" s="13" t="s">
        <v>57</v>
      </c>
      <c r="K743" s="13" t="s">
        <v>58</v>
      </c>
      <c r="L743" s="13" t="s">
        <v>88</v>
      </c>
      <c r="M743">
        <v>60</v>
      </c>
      <c r="N743">
        <v>0</v>
      </c>
      <c r="O743" s="14">
        <v>45974</v>
      </c>
      <c r="P743" s="14">
        <v>46034</v>
      </c>
      <c r="Q743">
        <v>3727.72</v>
      </c>
      <c r="R743">
        <v>0</v>
      </c>
      <c r="S743">
        <v>0</v>
      </c>
      <c r="T743">
        <v>0</v>
      </c>
      <c r="U743">
        <v>0</v>
      </c>
      <c r="V743">
        <v>3727.72</v>
      </c>
      <c r="W743">
        <v>0</v>
      </c>
      <c r="X743">
        <v>1</v>
      </c>
      <c r="Y743">
        <v>0</v>
      </c>
      <c r="Z743">
        <v>-12</v>
      </c>
      <c r="AA743">
        <v>1</v>
      </c>
      <c r="AB743" s="13" t="s">
        <v>581</v>
      </c>
      <c r="AC743">
        <v>0</v>
      </c>
      <c r="AD743">
        <v>0</v>
      </c>
      <c r="AE743" s="13" t="s">
        <v>61</v>
      </c>
    </row>
    <row r="744" spans="1:31" x14ac:dyDescent="0.35">
      <c r="A744" s="13" t="s">
        <v>1318</v>
      </c>
      <c r="B744" s="13" t="s">
        <v>1097</v>
      </c>
      <c r="C744" s="13" t="s">
        <v>1098</v>
      </c>
      <c r="D744" s="13" t="s">
        <v>52</v>
      </c>
      <c r="E744" s="13" t="s">
        <v>77</v>
      </c>
      <c r="F744" s="13" t="s">
        <v>78</v>
      </c>
      <c r="G744" s="13" t="s">
        <v>67</v>
      </c>
      <c r="H744">
        <v>510000</v>
      </c>
      <c r="I744" s="13" t="s">
        <v>86</v>
      </c>
      <c r="J744" s="13" t="s">
        <v>87</v>
      </c>
      <c r="K744" s="13" t="s">
        <v>58</v>
      </c>
      <c r="L744" s="13" t="s">
        <v>88</v>
      </c>
      <c r="M744">
        <v>60</v>
      </c>
      <c r="N744">
        <v>0</v>
      </c>
      <c r="O744" s="14">
        <v>45974</v>
      </c>
      <c r="P744" s="14">
        <v>46034</v>
      </c>
      <c r="Q744">
        <v>5978.42</v>
      </c>
      <c r="R744">
        <v>0</v>
      </c>
      <c r="S744">
        <v>0</v>
      </c>
      <c r="T744">
        <v>0</v>
      </c>
      <c r="U744">
        <v>0</v>
      </c>
      <c r="V744">
        <v>5978.42</v>
      </c>
      <c r="W744">
        <v>0</v>
      </c>
      <c r="X744">
        <v>1</v>
      </c>
      <c r="Y744">
        <v>0</v>
      </c>
      <c r="Z744">
        <v>-12</v>
      </c>
      <c r="AA744">
        <v>1</v>
      </c>
      <c r="AB744" s="13" t="s">
        <v>581</v>
      </c>
      <c r="AC744">
        <v>0</v>
      </c>
      <c r="AD744">
        <v>0</v>
      </c>
      <c r="AE744" s="13" t="s">
        <v>61</v>
      </c>
    </row>
    <row r="745" spans="1:31" x14ac:dyDescent="0.35">
      <c r="A745" s="13" t="s">
        <v>1319</v>
      </c>
      <c r="B745" s="13" t="s">
        <v>981</v>
      </c>
      <c r="C745" s="13" t="s">
        <v>982</v>
      </c>
      <c r="D745" s="13" t="s">
        <v>52</v>
      </c>
      <c r="E745" s="13" t="s">
        <v>53</v>
      </c>
      <c r="F745" s="13" t="s">
        <v>54</v>
      </c>
      <c r="G745" s="13" t="s">
        <v>67</v>
      </c>
      <c r="H745">
        <v>275000</v>
      </c>
      <c r="I745" s="13" t="s">
        <v>86</v>
      </c>
      <c r="J745" s="13" t="s">
        <v>87</v>
      </c>
      <c r="K745" s="13" t="s">
        <v>58</v>
      </c>
      <c r="L745" s="13" t="s">
        <v>88</v>
      </c>
      <c r="M745">
        <v>60</v>
      </c>
      <c r="N745">
        <v>0</v>
      </c>
      <c r="O745" s="14">
        <v>45974</v>
      </c>
      <c r="P745" s="14">
        <v>46034</v>
      </c>
      <c r="Q745">
        <v>11035.11</v>
      </c>
      <c r="R745">
        <v>0</v>
      </c>
      <c r="S745">
        <v>0</v>
      </c>
      <c r="T745">
        <v>0</v>
      </c>
      <c r="U745">
        <v>0</v>
      </c>
      <c r="V745">
        <v>11035.11</v>
      </c>
      <c r="W745">
        <v>0</v>
      </c>
      <c r="X745">
        <v>1</v>
      </c>
      <c r="Y745">
        <v>0</v>
      </c>
      <c r="Z745">
        <v>-12</v>
      </c>
      <c r="AA745">
        <v>1</v>
      </c>
      <c r="AB745" s="13" t="s">
        <v>581</v>
      </c>
      <c r="AC745">
        <v>0</v>
      </c>
      <c r="AD745">
        <v>0</v>
      </c>
      <c r="AE745" s="13" t="s">
        <v>61</v>
      </c>
    </row>
    <row r="746" spans="1:31" x14ac:dyDescent="0.35">
      <c r="A746" s="13" t="s">
        <v>1320</v>
      </c>
      <c r="B746" s="13" t="s">
        <v>788</v>
      </c>
      <c r="C746" s="13" t="s">
        <v>789</v>
      </c>
      <c r="D746" s="13" t="s">
        <v>52</v>
      </c>
      <c r="E746" s="13" t="s">
        <v>53</v>
      </c>
      <c r="F746" s="13" t="s">
        <v>54</v>
      </c>
      <c r="G746" s="13" t="s">
        <v>67</v>
      </c>
      <c r="H746">
        <v>405000</v>
      </c>
      <c r="I746" s="13" t="s">
        <v>86</v>
      </c>
      <c r="J746" s="13" t="s">
        <v>87</v>
      </c>
      <c r="K746" s="13" t="s">
        <v>58</v>
      </c>
      <c r="L746" s="13" t="s">
        <v>88</v>
      </c>
      <c r="M746">
        <v>60</v>
      </c>
      <c r="N746">
        <v>0</v>
      </c>
      <c r="O746" s="14">
        <v>45974</v>
      </c>
      <c r="P746" s="14">
        <v>46034</v>
      </c>
      <c r="Q746">
        <v>6690.83</v>
      </c>
      <c r="R746">
        <v>0</v>
      </c>
      <c r="S746">
        <v>0</v>
      </c>
      <c r="T746">
        <v>0</v>
      </c>
      <c r="U746">
        <v>0</v>
      </c>
      <c r="V746">
        <v>6690.83</v>
      </c>
      <c r="W746">
        <v>0</v>
      </c>
      <c r="X746">
        <v>1</v>
      </c>
      <c r="Y746">
        <v>0</v>
      </c>
      <c r="Z746">
        <v>-12</v>
      </c>
      <c r="AA746">
        <v>1</v>
      </c>
      <c r="AB746" s="13" t="s">
        <v>581</v>
      </c>
      <c r="AC746">
        <v>0</v>
      </c>
      <c r="AD746">
        <v>0</v>
      </c>
      <c r="AE746" s="13" t="s">
        <v>61</v>
      </c>
    </row>
    <row r="747" spans="1:31" x14ac:dyDescent="0.35">
      <c r="A747" s="13" t="s">
        <v>1321</v>
      </c>
      <c r="B747" s="13" t="s">
        <v>499</v>
      </c>
      <c r="C747" s="13" t="s">
        <v>500</v>
      </c>
      <c r="D747" s="13" t="s">
        <v>104</v>
      </c>
      <c r="E747" s="13" t="s">
        <v>53</v>
      </c>
      <c r="F747" s="13" t="s">
        <v>54</v>
      </c>
      <c r="G747" s="13" t="s">
        <v>67</v>
      </c>
      <c r="H747">
        <v>90000</v>
      </c>
      <c r="I747" s="13" t="s">
        <v>105</v>
      </c>
      <c r="J747" s="13" t="s">
        <v>106</v>
      </c>
      <c r="K747" s="13" t="s">
        <v>107</v>
      </c>
      <c r="L747" s="13" t="s">
        <v>88</v>
      </c>
      <c r="M747">
        <v>60</v>
      </c>
      <c r="N747">
        <v>0</v>
      </c>
      <c r="O747" s="14">
        <v>45974</v>
      </c>
      <c r="P747" s="14">
        <v>46034</v>
      </c>
      <c r="Q747">
        <v>800.58</v>
      </c>
      <c r="R747">
        <v>0</v>
      </c>
      <c r="S747">
        <v>0</v>
      </c>
      <c r="T747">
        <v>0</v>
      </c>
      <c r="U747">
        <v>0</v>
      </c>
      <c r="V747">
        <v>800.58</v>
      </c>
      <c r="W747">
        <v>0</v>
      </c>
      <c r="X747">
        <v>1</v>
      </c>
      <c r="Y747">
        <v>0</v>
      </c>
      <c r="Z747">
        <v>-12</v>
      </c>
      <c r="AA747">
        <v>1</v>
      </c>
      <c r="AB747" s="13" t="s">
        <v>581</v>
      </c>
      <c r="AC747">
        <v>0</v>
      </c>
      <c r="AD747">
        <v>0</v>
      </c>
      <c r="AE747" s="13" t="s">
        <v>61</v>
      </c>
    </row>
    <row r="748" spans="1:31" x14ac:dyDescent="0.35">
      <c r="A748" s="13" t="s">
        <v>1322</v>
      </c>
      <c r="B748" s="13" t="s">
        <v>305</v>
      </c>
      <c r="C748" s="13" t="s">
        <v>306</v>
      </c>
      <c r="D748" s="13" t="s">
        <v>76</v>
      </c>
      <c r="E748" s="13" t="s">
        <v>53</v>
      </c>
      <c r="F748" s="13" t="s">
        <v>135</v>
      </c>
      <c r="G748" s="13" t="s">
        <v>67</v>
      </c>
      <c r="H748">
        <v>30000</v>
      </c>
      <c r="I748" s="13" t="s">
        <v>93</v>
      </c>
      <c r="J748" s="13" t="s">
        <v>94</v>
      </c>
      <c r="K748" s="13" t="s">
        <v>81</v>
      </c>
      <c r="L748" s="13" t="s">
        <v>95</v>
      </c>
      <c r="M748">
        <v>30</v>
      </c>
      <c r="N748">
        <v>0</v>
      </c>
      <c r="O748" s="14">
        <v>45974</v>
      </c>
      <c r="P748" s="14">
        <v>46004</v>
      </c>
      <c r="Q748">
        <v>2906.45</v>
      </c>
      <c r="R748">
        <v>0</v>
      </c>
      <c r="S748">
        <v>0</v>
      </c>
      <c r="T748">
        <v>0</v>
      </c>
      <c r="U748">
        <v>0</v>
      </c>
      <c r="V748">
        <v>2906.45</v>
      </c>
      <c r="W748">
        <v>0</v>
      </c>
      <c r="X748">
        <v>1</v>
      </c>
      <c r="Y748">
        <v>1</v>
      </c>
      <c r="Z748">
        <v>18</v>
      </c>
      <c r="AA748">
        <v>2</v>
      </c>
      <c r="AB748" s="13" t="s">
        <v>405</v>
      </c>
      <c r="AC748">
        <v>0.25</v>
      </c>
      <c r="AD748">
        <v>1</v>
      </c>
      <c r="AE748" s="13" t="s">
        <v>348</v>
      </c>
    </row>
    <row r="749" spans="1:31" x14ac:dyDescent="0.35">
      <c r="A749" s="13" t="s">
        <v>1323</v>
      </c>
      <c r="B749" s="13" t="s">
        <v>172</v>
      </c>
      <c r="C749" s="13" t="s">
        <v>173</v>
      </c>
      <c r="D749" s="13" t="s">
        <v>52</v>
      </c>
      <c r="E749" s="13" t="s">
        <v>77</v>
      </c>
      <c r="F749" s="13" t="s">
        <v>174</v>
      </c>
      <c r="G749" s="13" t="s">
        <v>67</v>
      </c>
      <c r="H749">
        <v>590000</v>
      </c>
      <c r="I749" s="13" t="s">
        <v>56</v>
      </c>
      <c r="J749" s="13" t="s">
        <v>57</v>
      </c>
      <c r="K749" s="13" t="s">
        <v>58</v>
      </c>
      <c r="L749" s="13" t="s">
        <v>59</v>
      </c>
      <c r="M749">
        <v>45</v>
      </c>
      <c r="N749">
        <v>0</v>
      </c>
      <c r="O749" s="14">
        <v>45974</v>
      </c>
      <c r="P749" s="14">
        <v>46019</v>
      </c>
      <c r="Q749">
        <v>6785.64</v>
      </c>
      <c r="R749">
        <v>4071.38</v>
      </c>
      <c r="S749">
        <v>0</v>
      </c>
      <c r="T749">
        <v>0</v>
      </c>
      <c r="U749">
        <v>0</v>
      </c>
      <c r="V749">
        <v>2714.26</v>
      </c>
      <c r="W749">
        <v>0</v>
      </c>
      <c r="X749">
        <v>1</v>
      </c>
      <c r="Y749">
        <v>1</v>
      </c>
      <c r="Z749">
        <v>3</v>
      </c>
      <c r="AA749">
        <v>2</v>
      </c>
      <c r="AB749" s="13" t="s">
        <v>405</v>
      </c>
      <c r="AC749">
        <v>0.25</v>
      </c>
      <c r="AD749">
        <v>0</v>
      </c>
      <c r="AE749" s="13" t="s">
        <v>61</v>
      </c>
    </row>
    <row r="750" spans="1:31" x14ac:dyDescent="0.35">
      <c r="A750" s="13" t="s">
        <v>1324</v>
      </c>
      <c r="B750" s="13" t="s">
        <v>986</v>
      </c>
      <c r="C750" s="13" t="s">
        <v>987</v>
      </c>
      <c r="D750" s="13" t="s">
        <v>104</v>
      </c>
      <c r="E750" s="13" t="s">
        <v>71</v>
      </c>
      <c r="F750" s="13" t="s">
        <v>72</v>
      </c>
      <c r="G750" s="13" t="s">
        <v>67</v>
      </c>
      <c r="H750">
        <v>125000</v>
      </c>
      <c r="I750" s="13" t="s">
        <v>105</v>
      </c>
      <c r="J750" s="13" t="s">
        <v>106</v>
      </c>
      <c r="K750" s="13" t="s">
        <v>107</v>
      </c>
      <c r="L750" s="13" t="s">
        <v>88</v>
      </c>
      <c r="M750">
        <v>60</v>
      </c>
      <c r="N750">
        <v>0</v>
      </c>
      <c r="O750" s="14">
        <v>45974</v>
      </c>
      <c r="P750" s="14">
        <v>46034</v>
      </c>
      <c r="Q750">
        <v>3323.28</v>
      </c>
      <c r="R750">
        <v>0</v>
      </c>
      <c r="S750">
        <v>0</v>
      </c>
      <c r="T750">
        <v>0</v>
      </c>
      <c r="U750">
        <v>0</v>
      </c>
      <c r="V750">
        <v>3323.28</v>
      </c>
      <c r="W750">
        <v>0</v>
      </c>
      <c r="X750">
        <v>1</v>
      </c>
      <c r="Y750">
        <v>0</v>
      </c>
      <c r="Z750">
        <v>-12</v>
      </c>
      <c r="AA750">
        <v>1</v>
      </c>
      <c r="AB750" s="13" t="s">
        <v>581</v>
      </c>
      <c r="AC750">
        <v>0</v>
      </c>
      <c r="AD750">
        <v>0</v>
      </c>
      <c r="AE750" s="13" t="s">
        <v>61</v>
      </c>
    </row>
    <row r="751" spans="1:31" x14ac:dyDescent="0.35">
      <c r="A751" s="13" t="s">
        <v>1325</v>
      </c>
      <c r="B751" s="13" t="s">
        <v>206</v>
      </c>
      <c r="C751" s="13" t="s">
        <v>207</v>
      </c>
      <c r="D751" s="13" t="s">
        <v>52</v>
      </c>
      <c r="E751" s="13" t="s">
        <v>65</v>
      </c>
      <c r="F751" s="13" t="s">
        <v>111</v>
      </c>
      <c r="G751" s="13" t="s">
        <v>92</v>
      </c>
      <c r="H751">
        <v>490000</v>
      </c>
      <c r="I751" s="13" t="s">
        <v>86</v>
      </c>
      <c r="J751" s="13" t="s">
        <v>87</v>
      </c>
      <c r="K751" s="13" t="s">
        <v>58</v>
      </c>
      <c r="L751" s="13" t="s">
        <v>88</v>
      </c>
      <c r="M751">
        <v>60</v>
      </c>
      <c r="N751">
        <v>0</v>
      </c>
      <c r="O751" s="14">
        <v>45974</v>
      </c>
      <c r="P751" s="14">
        <v>46034</v>
      </c>
      <c r="Q751">
        <v>6904.44</v>
      </c>
      <c r="R751">
        <v>0</v>
      </c>
      <c r="S751">
        <v>0</v>
      </c>
      <c r="T751">
        <v>0</v>
      </c>
      <c r="U751">
        <v>0</v>
      </c>
      <c r="V751">
        <v>6904.44</v>
      </c>
      <c r="W751">
        <v>0</v>
      </c>
      <c r="X751">
        <v>1</v>
      </c>
      <c r="Y751">
        <v>0</v>
      </c>
      <c r="Z751">
        <v>-12</v>
      </c>
      <c r="AA751">
        <v>1</v>
      </c>
      <c r="AB751" s="13" t="s">
        <v>581</v>
      </c>
      <c r="AC751">
        <v>0</v>
      </c>
      <c r="AD751">
        <v>0</v>
      </c>
      <c r="AE751" s="13" t="s">
        <v>61</v>
      </c>
    </row>
    <row r="752" spans="1:31" x14ac:dyDescent="0.35">
      <c r="A752" s="13" t="s">
        <v>1326</v>
      </c>
      <c r="B752" s="13" t="s">
        <v>379</v>
      </c>
      <c r="C752" s="13" t="s">
        <v>380</v>
      </c>
      <c r="D752" s="13" t="s">
        <v>52</v>
      </c>
      <c r="E752" s="13" t="s">
        <v>77</v>
      </c>
      <c r="F752" s="13" t="s">
        <v>78</v>
      </c>
      <c r="G752" s="13" t="s">
        <v>92</v>
      </c>
      <c r="H752">
        <v>450000</v>
      </c>
      <c r="I752" s="13" t="s">
        <v>56</v>
      </c>
      <c r="J752" s="13" t="s">
        <v>57</v>
      </c>
      <c r="K752" s="13" t="s">
        <v>58</v>
      </c>
      <c r="L752" s="13" t="s">
        <v>59</v>
      </c>
      <c r="M752">
        <v>45</v>
      </c>
      <c r="N752">
        <v>0</v>
      </c>
      <c r="O752" s="14">
        <v>45974</v>
      </c>
      <c r="P752" s="14">
        <v>46019</v>
      </c>
      <c r="Q752">
        <v>2533.11</v>
      </c>
      <c r="R752">
        <v>0</v>
      </c>
      <c r="S752">
        <v>0</v>
      </c>
      <c r="T752">
        <v>0</v>
      </c>
      <c r="U752">
        <v>0</v>
      </c>
      <c r="V752">
        <v>2533.11</v>
      </c>
      <c r="W752">
        <v>0</v>
      </c>
      <c r="X752">
        <v>1</v>
      </c>
      <c r="Y752">
        <v>1</v>
      </c>
      <c r="Z752">
        <v>3</v>
      </c>
      <c r="AA752">
        <v>2</v>
      </c>
      <c r="AB752" s="13" t="s">
        <v>405</v>
      </c>
      <c r="AC752">
        <v>0.25</v>
      </c>
      <c r="AD752">
        <v>0</v>
      </c>
      <c r="AE752" s="13" t="s">
        <v>61</v>
      </c>
    </row>
    <row r="753" spans="1:31" x14ac:dyDescent="0.35">
      <c r="A753" s="13" t="s">
        <v>1327</v>
      </c>
      <c r="B753" s="13" t="s">
        <v>113</v>
      </c>
      <c r="C753" s="13" t="s">
        <v>114</v>
      </c>
      <c r="D753" s="13" t="s">
        <v>52</v>
      </c>
      <c r="E753" s="13" t="s">
        <v>77</v>
      </c>
      <c r="F753" s="13" t="s">
        <v>78</v>
      </c>
      <c r="G753" s="13" t="s">
        <v>92</v>
      </c>
      <c r="H753">
        <v>545000</v>
      </c>
      <c r="I753" s="13" t="s">
        <v>86</v>
      </c>
      <c r="J753" s="13" t="s">
        <v>87</v>
      </c>
      <c r="K753" s="13" t="s">
        <v>58</v>
      </c>
      <c r="L753" s="13" t="s">
        <v>88</v>
      </c>
      <c r="M753">
        <v>60</v>
      </c>
      <c r="N753">
        <v>0</v>
      </c>
      <c r="O753" s="14">
        <v>45974</v>
      </c>
      <c r="P753" s="14">
        <v>46034</v>
      </c>
      <c r="Q753">
        <v>8088.71</v>
      </c>
      <c r="R753">
        <v>0</v>
      </c>
      <c r="S753">
        <v>0</v>
      </c>
      <c r="T753">
        <v>0</v>
      </c>
      <c r="U753">
        <v>0</v>
      </c>
      <c r="V753">
        <v>8088.71</v>
      </c>
      <c r="W753">
        <v>0</v>
      </c>
      <c r="X753">
        <v>1</v>
      </c>
      <c r="Y753">
        <v>0</v>
      </c>
      <c r="Z753">
        <v>-12</v>
      </c>
      <c r="AA753">
        <v>1</v>
      </c>
      <c r="AB753" s="13" t="s">
        <v>581</v>
      </c>
      <c r="AC753">
        <v>0</v>
      </c>
      <c r="AD753">
        <v>0</v>
      </c>
      <c r="AE753" s="13" t="s">
        <v>61</v>
      </c>
    </row>
    <row r="754" spans="1:31" x14ac:dyDescent="0.35">
      <c r="A754" s="13" t="s">
        <v>1328</v>
      </c>
      <c r="B754" s="13" t="s">
        <v>340</v>
      </c>
      <c r="C754" s="13" t="s">
        <v>341</v>
      </c>
      <c r="D754" s="13" t="s">
        <v>52</v>
      </c>
      <c r="E754" s="13" t="s">
        <v>77</v>
      </c>
      <c r="F754" s="13" t="s">
        <v>78</v>
      </c>
      <c r="G754" s="13" t="s">
        <v>92</v>
      </c>
      <c r="H754">
        <v>565000</v>
      </c>
      <c r="I754" s="13" t="s">
        <v>56</v>
      </c>
      <c r="J754" s="13" t="s">
        <v>57</v>
      </c>
      <c r="K754" s="13" t="s">
        <v>58</v>
      </c>
      <c r="L754" s="13" t="s">
        <v>59</v>
      </c>
      <c r="M754">
        <v>45</v>
      </c>
      <c r="N754">
        <v>0</v>
      </c>
      <c r="O754" s="14">
        <v>45974</v>
      </c>
      <c r="P754" s="14">
        <v>46019</v>
      </c>
      <c r="Q754">
        <v>7842.49</v>
      </c>
      <c r="R754">
        <v>0</v>
      </c>
      <c r="S754">
        <v>0</v>
      </c>
      <c r="T754">
        <v>0</v>
      </c>
      <c r="U754">
        <v>0</v>
      </c>
      <c r="V754">
        <v>7842.49</v>
      </c>
      <c r="W754">
        <v>0</v>
      </c>
      <c r="X754">
        <v>1</v>
      </c>
      <c r="Y754">
        <v>1</v>
      </c>
      <c r="Z754">
        <v>3</v>
      </c>
      <c r="AA754">
        <v>2</v>
      </c>
      <c r="AB754" s="13" t="s">
        <v>405</v>
      </c>
      <c r="AC754">
        <v>0.25</v>
      </c>
      <c r="AD754">
        <v>0</v>
      </c>
      <c r="AE754" s="13" t="s">
        <v>61</v>
      </c>
    </row>
    <row r="755" spans="1:31" x14ac:dyDescent="0.35">
      <c r="A755" s="13" t="s">
        <v>1329</v>
      </c>
      <c r="B755" s="13" t="s">
        <v>263</v>
      </c>
      <c r="C755" s="13" t="s">
        <v>264</v>
      </c>
      <c r="D755" s="13" t="s">
        <v>52</v>
      </c>
      <c r="E755" s="13" t="s">
        <v>99</v>
      </c>
      <c r="F755" s="13" t="s">
        <v>100</v>
      </c>
      <c r="G755" s="13" t="s">
        <v>55</v>
      </c>
      <c r="H755">
        <v>590000</v>
      </c>
      <c r="I755" s="13" t="s">
        <v>86</v>
      </c>
      <c r="J755" s="13" t="s">
        <v>87</v>
      </c>
      <c r="K755" s="13" t="s">
        <v>58</v>
      </c>
      <c r="L755" s="13" t="s">
        <v>88</v>
      </c>
      <c r="M755">
        <v>60</v>
      </c>
      <c r="N755">
        <v>0</v>
      </c>
      <c r="O755" s="14">
        <v>45974</v>
      </c>
      <c r="P755" s="14">
        <v>46034</v>
      </c>
      <c r="Q755">
        <v>1627.51</v>
      </c>
      <c r="R755">
        <v>0</v>
      </c>
      <c r="S755">
        <v>0</v>
      </c>
      <c r="T755">
        <v>0</v>
      </c>
      <c r="U755">
        <v>0</v>
      </c>
      <c r="V755">
        <v>1627.51</v>
      </c>
      <c r="W755">
        <v>0</v>
      </c>
      <c r="X755">
        <v>1</v>
      </c>
      <c r="Y755">
        <v>0</v>
      </c>
      <c r="Z755">
        <v>-12</v>
      </c>
      <c r="AA755">
        <v>1</v>
      </c>
      <c r="AB755" s="13" t="s">
        <v>581</v>
      </c>
      <c r="AC755">
        <v>0</v>
      </c>
      <c r="AD755">
        <v>0</v>
      </c>
      <c r="AE755" s="13" t="s">
        <v>61</v>
      </c>
    </row>
    <row r="756" spans="1:31" x14ac:dyDescent="0.35">
      <c r="A756" s="13" t="s">
        <v>1330</v>
      </c>
      <c r="B756" s="13" t="s">
        <v>90</v>
      </c>
      <c r="C756" s="13" t="s">
        <v>91</v>
      </c>
      <c r="D756" s="13" t="s">
        <v>76</v>
      </c>
      <c r="E756" s="13" t="s">
        <v>53</v>
      </c>
      <c r="F756" s="13" t="s">
        <v>54</v>
      </c>
      <c r="G756" s="13" t="s">
        <v>92</v>
      </c>
      <c r="H756">
        <v>95000</v>
      </c>
      <c r="I756" s="13" t="s">
        <v>93</v>
      </c>
      <c r="J756" s="13" t="s">
        <v>94</v>
      </c>
      <c r="K756" s="13" t="s">
        <v>81</v>
      </c>
      <c r="L756" s="13" t="s">
        <v>95</v>
      </c>
      <c r="M756">
        <v>30</v>
      </c>
      <c r="N756">
        <v>0</v>
      </c>
      <c r="O756" s="14">
        <v>45974</v>
      </c>
      <c r="P756" s="14">
        <v>46004</v>
      </c>
      <c r="Q756">
        <v>568.34</v>
      </c>
      <c r="R756">
        <v>0</v>
      </c>
      <c r="S756">
        <v>0</v>
      </c>
      <c r="T756">
        <v>0</v>
      </c>
      <c r="U756">
        <v>0</v>
      </c>
      <c r="V756">
        <v>568.34</v>
      </c>
      <c r="W756">
        <v>0</v>
      </c>
      <c r="X756">
        <v>1</v>
      </c>
      <c r="Y756">
        <v>1</v>
      </c>
      <c r="Z756">
        <v>18</v>
      </c>
      <c r="AA756">
        <v>2</v>
      </c>
      <c r="AB756" s="13" t="s">
        <v>405</v>
      </c>
      <c r="AC756">
        <v>0.25</v>
      </c>
      <c r="AD756">
        <v>0</v>
      </c>
      <c r="AE756" s="13" t="s">
        <v>61</v>
      </c>
    </row>
    <row r="757" spans="1:31" x14ac:dyDescent="0.35">
      <c r="A757" s="13" t="s">
        <v>1331</v>
      </c>
      <c r="B757" s="13" t="s">
        <v>550</v>
      </c>
      <c r="C757" s="13" t="s">
        <v>551</v>
      </c>
      <c r="D757" s="13" t="s">
        <v>104</v>
      </c>
      <c r="E757" s="13" t="s">
        <v>71</v>
      </c>
      <c r="F757" s="13" t="s">
        <v>214</v>
      </c>
      <c r="G757" s="13" t="s">
        <v>55</v>
      </c>
      <c r="H757">
        <v>110000</v>
      </c>
      <c r="I757" s="13" t="s">
        <v>121</v>
      </c>
      <c r="J757" s="13" t="s">
        <v>122</v>
      </c>
      <c r="K757" s="13" t="s">
        <v>107</v>
      </c>
      <c r="L757" s="13" t="s">
        <v>88</v>
      </c>
      <c r="M757">
        <v>60</v>
      </c>
      <c r="N757">
        <v>0</v>
      </c>
      <c r="O757" s="14">
        <v>45974</v>
      </c>
      <c r="P757" s="14">
        <v>46034</v>
      </c>
      <c r="Q757">
        <v>6228.48</v>
      </c>
      <c r="R757">
        <v>0</v>
      </c>
      <c r="S757">
        <v>0</v>
      </c>
      <c r="T757">
        <v>0</v>
      </c>
      <c r="U757">
        <v>0</v>
      </c>
      <c r="V757">
        <v>6228.48</v>
      </c>
      <c r="W757">
        <v>0</v>
      </c>
      <c r="X757">
        <v>1</v>
      </c>
      <c r="Y757">
        <v>0</v>
      </c>
      <c r="Z757">
        <v>-12</v>
      </c>
      <c r="AA757">
        <v>1</v>
      </c>
      <c r="AB757" s="13" t="s">
        <v>581</v>
      </c>
      <c r="AC757">
        <v>0</v>
      </c>
      <c r="AD757">
        <v>0</v>
      </c>
      <c r="AE757" s="13" t="s">
        <v>61</v>
      </c>
    </row>
    <row r="758" spans="1:31" x14ac:dyDescent="0.35">
      <c r="A758" s="13" t="s">
        <v>1332</v>
      </c>
      <c r="B758" s="13" t="s">
        <v>434</v>
      </c>
      <c r="C758" s="13" t="s">
        <v>435</v>
      </c>
      <c r="D758" s="13" t="s">
        <v>52</v>
      </c>
      <c r="E758" s="13" t="s">
        <v>77</v>
      </c>
      <c r="F758" s="13" t="s">
        <v>78</v>
      </c>
      <c r="G758" s="13" t="s">
        <v>55</v>
      </c>
      <c r="H758">
        <v>510000</v>
      </c>
      <c r="I758" s="13" t="s">
        <v>56</v>
      </c>
      <c r="J758" s="13" t="s">
        <v>57</v>
      </c>
      <c r="K758" s="13" t="s">
        <v>58</v>
      </c>
      <c r="L758" s="13" t="s">
        <v>88</v>
      </c>
      <c r="M758">
        <v>60</v>
      </c>
      <c r="N758">
        <v>0</v>
      </c>
      <c r="O758" s="14">
        <v>45975</v>
      </c>
      <c r="P758" s="14">
        <v>46035</v>
      </c>
      <c r="Q758">
        <v>5916.47</v>
      </c>
      <c r="R758">
        <v>0</v>
      </c>
      <c r="S758">
        <v>0</v>
      </c>
      <c r="T758">
        <v>0</v>
      </c>
      <c r="U758">
        <v>0</v>
      </c>
      <c r="V758">
        <v>5916.47</v>
      </c>
      <c r="W758">
        <v>0</v>
      </c>
      <c r="X758">
        <v>1</v>
      </c>
      <c r="Y758">
        <v>0</v>
      </c>
      <c r="Z758">
        <v>-13</v>
      </c>
      <c r="AA758">
        <v>1</v>
      </c>
      <c r="AB758" s="13" t="s">
        <v>581</v>
      </c>
      <c r="AC758">
        <v>0</v>
      </c>
      <c r="AD758">
        <v>0</v>
      </c>
      <c r="AE758" s="13" t="s">
        <v>61</v>
      </c>
    </row>
    <row r="759" spans="1:31" x14ac:dyDescent="0.35">
      <c r="A759" s="13" t="s">
        <v>1333</v>
      </c>
      <c r="B759" s="13" t="s">
        <v>156</v>
      </c>
      <c r="C759" s="13" t="s">
        <v>157</v>
      </c>
      <c r="D759" s="13" t="s">
        <v>52</v>
      </c>
      <c r="E759" s="13" t="s">
        <v>53</v>
      </c>
      <c r="F759" s="13" t="s">
        <v>54</v>
      </c>
      <c r="G759" s="13" t="s">
        <v>92</v>
      </c>
      <c r="H759">
        <v>600000</v>
      </c>
      <c r="I759" s="13" t="s">
        <v>56</v>
      </c>
      <c r="J759" s="13" t="s">
        <v>57</v>
      </c>
      <c r="K759" s="13" t="s">
        <v>58</v>
      </c>
      <c r="L759" s="13" t="s">
        <v>88</v>
      </c>
      <c r="M759">
        <v>60</v>
      </c>
      <c r="N759">
        <v>0</v>
      </c>
      <c r="O759" s="14">
        <v>45975</v>
      </c>
      <c r="P759" s="14">
        <v>46035</v>
      </c>
      <c r="Q759">
        <v>2885.81</v>
      </c>
      <c r="R759">
        <v>0</v>
      </c>
      <c r="S759">
        <v>0</v>
      </c>
      <c r="T759">
        <v>0</v>
      </c>
      <c r="U759">
        <v>0</v>
      </c>
      <c r="V759">
        <v>2885.81</v>
      </c>
      <c r="W759">
        <v>0</v>
      </c>
      <c r="X759">
        <v>1</v>
      </c>
      <c r="Y759">
        <v>0</v>
      </c>
      <c r="Z759">
        <v>-13</v>
      </c>
      <c r="AA759">
        <v>1</v>
      </c>
      <c r="AB759" s="13" t="s">
        <v>581</v>
      </c>
      <c r="AC759">
        <v>0</v>
      </c>
      <c r="AD759">
        <v>0</v>
      </c>
      <c r="AE759" s="13" t="s">
        <v>61</v>
      </c>
    </row>
    <row r="760" spans="1:31" x14ac:dyDescent="0.35">
      <c r="A760" s="13" t="s">
        <v>1334</v>
      </c>
      <c r="B760" s="13" t="s">
        <v>1247</v>
      </c>
      <c r="C760" s="13" t="s">
        <v>1248</v>
      </c>
      <c r="D760" s="13" t="s">
        <v>52</v>
      </c>
      <c r="E760" s="13" t="s">
        <v>99</v>
      </c>
      <c r="F760" s="13" t="s">
        <v>100</v>
      </c>
      <c r="G760" s="13" t="s">
        <v>55</v>
      </c>
      <c r="H760">
        <v>600000</v>
      </c>
      <c r="I760" s="13" t="s">
        <v>56</v>
      </c>
      <c r="J760" s="13" t="s">
        <v>57</v>
      </c>
      <c r="K760" s="13" t="s">
        <v>58</v>
      </c>
      <c r="L760" s="13" t="s">
        <v>59</v>
      </c>
      <c r="M760">
        <v>45</v>
      </c>
      <c r="N760">
        <v>0</v>
      </c>
      <c r="O760" s="14">
        <v>45975</v>
      </c>
      <c r="P760" s="14">
        <v>46020</v>
      </c>
      <c r="Q760">
        <v>16367.56</v>
      </c>
      <c r="R760">
        <v>0</v>
      </c>
      <c r="S760">
        <v>0</v>
      </c>
      <c r="T760">
        <v>0</v>
      </c>
      <c r="U760">
        <v>0</v>
      </c>
      <c r="V760">
        <v>16367.56</v>
      </c>
      <c r="W760">
        <v>0</v>
      </c>
      <c r="X760">
        <v>1</v>
      </c>
      <c r="Y760">
        <v>1</v>
      </c>
      <c r="Z760">
        <v>2</v>
      </c>
      <c r="AA760">
        <v>2</v>
      </c>
      <c r="AB760" s="13" t="s">
        <v>405</v>
      </c>
      <c r="AC760">
        <v>0.25</v>
      </c>
      <c r="AD760">
        <v>0</v>
      </c>
      <c r="AE760" s="13" t="s">
        <v>61</v>
      </c>
    </row>
    <row r="761" spans="1:31" x14ac:dyDescent="0.35">
      <c r="A761" s="13" t="s">
        <v>1335</v>
      </c>
      <c r="B761" s="13" t="s">
        <v>1336</v>
      </c>
      <c r="C761" s="13" t="s">
        <v>1337</v>
      </c>
      <c r="D761" s="13" t="s">
        <v>76</v>
      </c>
      <c r="E761" s="13" t="s">
        <v>99</v>
      </c>
      <c r="F761" s="13" t="s">
        <v>127</v>
      </c>
      <c r="G761" s="13" t="s">
        <v>55</v>
      </c>
      <c r="H761">
        <v>70000</v>
      </c>
      <c r="I761" s="13" t="s">
        <v>93</v>
      </c>
      <c r="J761" s="13" t="s">
        <v>94</v>
      </c>
      <c r="K761" s="13" t="s">
        <v>81</v>
      </c>
      <c r="L761" s="13" t="s">
        <v>82</v>
      </c>
      <c r="M761">
        <v>30</v>
      </c>
      <c r="N761">
        <v>2</v>
      </c>
      <c r="O761" s="14">
        <v>45975</v>
      </c>
      <c r="P761" s="14">
        <v>46005</v>
      </c>
      <c r="Q761">
        <v>2526.92</v>
      </c>
      <c r="R761">
        <v>0</v>
      </c>
      <c r="S761">
        <v>0</v>
      </c>
      <c r="T761">
        <v>0</v>
      </c>
      <c r="U761">
        <v>0</v>
      </c>
      <c r="V761">
        <v>2526.92</v>
      </c>
      <c r="W761">
        <v>0</v>
      </c>
      <c r="X761">
        <v>1</v>
      </c>
      <c r="Y761">
        <v>1</v>
      </c>
      <c r="Z761">
        <v>17</v>
      </c>
      <c r="AA761">
        <v>2</v>
      </c>
      <c r="AB761" s="13" t="s">
        <v>405</v>
      </c>
      <c r="AC761">
        <v>0.25</v>
      </c>
      <c r="AD761">
        <v>1</v>
      </c>
      <c r="AE761" s="13" t="s">
        <v>665</v>
      </c>
    </row>
    <row r="762" spans="1:31" x14ac:dyDescent="0.35">
      <c r="A762" s="13" t="s">
        <v>1338</v>
      </c>
      <c r="B762" s="13" t="s">
        <v>312</v>
      </c>
      <c r="C762" s="13" t="s">
        <v>313</v>
      </c>
      <c r="D762" s="13" t="s">
        <v>52</v>
      </c>
      <c r="E762" s="13" t="s">
        <v>77</v>
      </c>
      <c r="F762" s="13" t="s">
        <v>174</v>
      </c>
      <c r="G762" s="13" t="s">
        <v>55</v>
      </c>
      <c r="H762">
        <v>600000</v>
      </c>
      <c r="I762" s="13" t="s">
        <v>56</v>
      </c>
      <c r="J762" s="13" t="s">
        <v>57</v>
      </c>
      <c r="K762" s="13" t="s">
        <v>58</v>
      </c>
      <c r="L762" s="13" t="s">
        <v>88</v>
      </c>
      <c r="M762">
        <v>60</v>
      </c>
      <c r="N762">
        <v>0</v>
      </c>
      <c r="O762" s="14">
        <v>45975</v>
      </c>
      <c r="P762" s="14">
        <v>46035</v>
      </c>
      <c r="Q762">
        <v>1648.41</v>
      </c>
      <c r="R762">
        <v>0</v>
      </c>
      <c r="S762">
        <v>0</v>
      </c>
      <c r="T762">
        <v>0</v>
      </c>
      <c r="U762">
        <v>0</v>
      </c>
      <c r="V762">
        <v>1648.41</v>
      </c>
      <c r="W762">
        <v>0</v>
      </c>
      <c r="X762">
        <v>1</v>
      </c>
      <c r="Y762">
        <v>0</v>
      </c>
      <c r="Z762">
        <v>-13</v>
      </c>
      <c r="AA762">
        <v>1</v>
      </c>
      <c r="AB762" s="13" t="s">
        <v>581</v>
      </c>
      <c r="AC762">
        <v>0</v>
      </c>
      <c r="AD762">
        <v>0</v>
      </c>
      <c r="AE762" s="13" t="s">
        <v>61</v>
      </c>
    </row>
    <row r="763" spans="1:31" x14ac:dyDescent="0.35">
      <c r="A763" s="13" t="s">
        <v>1339</v>
      </c>
      <c r="B763" s="13" t="s">
        <v>1127</v>
      </c>
      <c r="C763" s="13" t="s">
        <v>1128</v>
      </c>
      <c r="D763" s="13" t="s">
        <v>52</v>
      </c>
      <c r="E763" s="13" t="s">
        <v>53</v>
      </c>
      <c r="F763" s="13" t="s">
        <v>135</v>
      </c>
      <c r="G763" s="13" t="s">
        <v>67</v>
      </c>
      <c r="H763">
        <v>470000</v>
      </c>
      <c r="I763" s="13" t="s">
        <v>56</v>
      </c>
      <c r="J763" s="13" t="s">
        <v>57</v>
      </c>
      <c r="K763" s="13" t="s">
        <v>58</v>
      </c>
      <c r="L763" s="13" t="s">
        <v>88</v>
      </c>
      <c r="M763">
        <v>60</v>
      </c>
      <c r="N763">
        <v>0</v>
      </c>
      <c r="O763" s="14">
        <v>45975</v>
      </c>
      <c r="P763" s="14">
        <v>46035</v>
      </c>
      <c r="Q763">
        <v>14135.31</v>
      </c>
      <c r="R763">
        <v>0</v>
      </c>
      <c r="S763">
        <v>0</v>
      </c>
      <c r="T763">
        <v>0</v>
      </c>
      <c r="U763">
        <v>0</v>
      </c>
      <c r="V763">
        <v>14135.31</v>
      </c>
      <c r="W763">
        <v>0</v>
      </c>
      <c r="X763">
        <v>1</v>
      </c>
      <c r="Y763">
        <v>0</v>
      </c>
      <c r="Z763">
        <v>-13</v>
      </c>
      <c r="AA763">
        <v>1</v>
      </c>
      <c r="AB763" s="13" t="s">
        <v>581</v>
      </c>
      <c r="AC763">
        <v>0</v>
      </c>
      <c r="AD763">
        <v>0</v>
      </c>
      <c r="AE763" s="13" t="s">
        <v>61</v>
      </c>
    </row>
    <row r="764" spans="1:31" x14ac:dyDescent="0.35">
      <c r="A764" s="13" t="s">
        <v>1340</v>
      </c>
      <c r="B764" s="13" t="s">
        <v>144</v>
      </c>
      <c r="C764" s="13" t="s">
        <v>145</v>
      </c>
      <c r="D764" s="13" t="s">
        <v>52</v>
      </c>
      <c r="E764" s="13" t="s">
        <v>99</v>
      </c>
      <c r="F764" s="13" t="s">
        <v>100</v>
      </c>
      <c r="G764" s="13" t="s">
        <v>55</v>
      </c>
      <c r="H764">
        <v>590000</v>
      </c>
      <c r="I764" s="13" t="s">
        <v>56</v>
      </c>
      <c r="J764" s="13" t="s">
        <v>57</v>
      </c>
      <c r="K764" s="13" t="s">
        <v>58</v>
      </c>
      <c r="L764" s="13" t="s">
        <v>88</v>
      </c>
      <c r="M764">
        <v>60</v>
      </c>
      <c r="N764">
        <v>0</v>
      </c>
      <c r="O764" s="14">
        <v>45975</v>
      </c>
      <c r="P764" s="14">
        <v>46035</v>
      </c>
      <c r="Q764">
        <v>5568.33</v>
      </c>
      <c r="R764">
        <v>0</v>
      </c>
      <c r="S764">
        <v>0</v>
      </c>
      <c r="T764">
        <v>0</v>
      </c>
      <c r="U764">
        <v>0</v>
      </c>
      <c r="V764">
        <v>5568.33</v>
      </c>
      <c r="W764">
        <v>0</v>
      </c>
      <c r="X764">
        <v>1</v>
      </c>
      <c r="Y764">
        <v>0</v>
      </c>
      <c r="Z764">
        <v>-13</v>
      </c>
      <c r="AA764">
        <v>1</v>
      </c>
      <c r="AB764" s="13" t="s">
        <v>581</v>
      </c>
      <c r="AC764">
        <v>0</v>
      </c>
      <c r="AD764">
        <v>0</v>
      </c>
      <c r="AE764" s="13" t="s">
        <v>61</v>
      </c>
    </row>
    <row r="765" spans="1:31" x14ac:dyDescent="0.35">
      <c r="A765" s="13" t="s">
        <v>1341</v>
      </c>
      <c r="B765" s="13" t="s">
        <v>528</v>
      </c>
      <c r="C765" s="13" t="s">
        <v>529</v>
      </c>
      <c r="D765" s="13" t="s">
        <v>104</v>
      </c>
      <c r="E765" s="13" t="s">
        <v>71</v>
      </c>
      <c r="F765" s="13" t="s">
        <v>214</v>
      </c>
      <c r="G765" s="13" t="s">
        <v>55</v>
      </c>
      <c r="H765">
        <v>40000</v>
      </c>
      <c r="I765" s="13" t="s">
        <v>105</v>
      </c>
      <c r="J765" s="13" t="s">
        <v>106</v>
      </c>
      <c r="K765" s="13" t="s">
        <v>107</v>
      </c>
      <c r="L765" s="13" t="s">
        <v>88</v>
      </c>
      <c r="M765">
        <v>60</v>
      </c>
      <c r="N765">
        <v>0</v>
      </c>
      <c r="O765" s="14">
        <v>45975</v>
      </c>
      <c r="P765" s="14">
        <v>46035</v>
      </c>
      <c r="Q765">
        <v>1055.1099999999999</v>
      </c>
      <c r="R765">
        <v>0</v>
      </c>
      <c r="S765">
        <v>0</v>
      </c>
      <c r="T765">
        <v>0</v>
      </c>
      <c r="U765">
        <v>0</v>
      </c>
      <c r="V765">
        <v>1055.1099999999999</v>
      </c>
      <c r="W765">
        <v>0</v>
      </c>
      <c r="X765">
        <v>1</v>
      </c>
      <c r="Y765">
        <v>0</v>
      </c>
      <c r="Z765">
        <v>-13</v>
      </c>
      <c r="AA765">
        <v>1</v>
      </c>
      <c r="AB765" s="13" t="s">
        <v>581</v>
      </c>
      <c r="AC765">
        <v>0</v>
      </c>
      <c r="AD765">
        <v>0</v>
      </c>
      <c r="AE765" s="13" t="s">
        <v>61</v>
      </c>
    </row>
    <row r="766" spans="1:31" x14ac:dyDescent="0.35">
      <c r="A766" s="13" t="s">
        <v>1342</v>
      </c>
      <c r="B766" s="13" t="s">
        <v>250</v>
      </c>
      <c r="C766" s="13" t="s">
        <v>251</v>
      </c>
      <c r="D766" s="13" t="s">
        <v>104</v>
      </c>
      <c r="E766" s="13" t="s">
        <v>53</v>
      </c>
      <c r="F766" s="13" t="s">
        <v>135</v>
      </c>
      <c r="G766" s="13" t="s">
        <v>55</v>
      </c>
      <c r="H766">
        <v>85000</v>
      </c>
      <c r="I766" s="13" t="s">
        <v>105</v>
      </c>
      <c r="J766" s="13" t="s">
        <v>106</v>
      </c>
      <c r="K766" s="13" t="s">
        <v>107</v>
      </c>
      <c r="L766" s="13" t="s">
        <v>88</v>
      </c>
      <c r="M766">
        <v>60</v>
      </c>
      <c r="N766">
        <v>0</v>
      </c>
      <c r="O766" s="14">
        <v>45975</v>
      </c>
      <c r="P766" s="14">
        <v>46035</v>
      </c>
      <c r="Q766">
        <v>1700.11</v>
      </c>
      <c r="R766">
        <v>0</v>
      </c>
      <c r="S766">
        <v>0</v>
      </c>
      <c r="T766">
        <v>0</v>
      </c>
      <c r="U766">
        <v>0</v>
      </c>
      <c r="V766">
        <v>1700.11</v>
      </c>
      <c r="W766">
        <v>0</v>
      </c>
      <c r="X766">
        <v>1</v>
      </c>
      <c r="Y766">
        <v>0</v>
      </c>
      <c r="Z766">
        <v>-13</v>
      </c>
      <c r="AA766">
        <v>1</v>
      </c>
      <c r="AB766" s="13" t="s">
        <v>581</v>
      </c>
      <c r="AC766">
        <v>0</v>
      </c>
      <c r="AD766">
        <v>0</v>
      </c>
      <c r="AE766" s="13" t="s">
        <v>61</v>
      </c>
    </row>
    <row r="767" spans="1:31" x14ac:dyDescent="0.35">
      <c r="A767" s="13" t="s">
        <v>1343</v>
      </c>
      <c r="B767" s="13" t="s">
        <v>375</v>
      </c>
      <c r="C767" s="13" t="s">
        <v>376</v>
      </c>
      <c r="D767" s="13" t="s">
        <v>52</v>
      </c>
      <c r="E767" s="13" t="s">
        <v>99</v>
      </c>
      <c r="F767" s="13" t="s">
        <v>100</v>
      </c>
      <c r="G767" s="13" t="s">
        <v>55</v>
      </c>
      <c r="H767">
        <v>395000</v>
      </c>
      <c r="I767" s="13" t="s">
        <v>56</v>
      </c>
      <c r="J767" s="13" t="s">
        <v>57</v>
      </c>
      <c r="K767" s="13" t="s">
        <v>58</v>
      </c>
      <c r="L767" s="13" t="s">
        <v>59</v>
      </c>
      <c r="M767">
        <v>45</v>
      </c>
      <c r="N767">
        <v>0</v>
      </c>
      <c r="O767" s="14">
        <v>45975</v>
      </c>
      <c r="P767" s="14">
        <v>46020</v>
      </c>
      <c r="Q767">
        <v>5899.25</v>
      </c>
      <c r="R767">
        <v>0</v>
      </c>
      <c r="S767">
        <v>0</v>
      </c>
      <c r="T767">
        <v>0</v>
      </c>
      <c r="U767">
        <v>0</v>
      </c>
      <c r="V767">
        <v>5899.25</v>
      </c>
      <c r="W767">
        <v>0</v>
      </c>
      <c r="X767">
        <v>1</v>
      </c>
      <c r="Y767">
        <v>1</v>
      </c>
      <c r="Z767">
        <v>2</v>
      </c>
      <c r="AA767">
        <v>2</v>
      </c>
      <c r="AB767" s="13" t="s">
        <v>405</v>
      </c>
      <c r="AC767">
        <v>0.25</v>
      </c>
      <c r="AD767">
        <v>1</v>
      </c>
      <c r="AE767" s="13" t="s">
        <v>377</v>
      </c>
    </row>
    <row r="768" spans="1:31" x14ac:dyDescent="0.35">
      <c r="A768" s="13" t="s">
        <v>1344</v>
      </c>
      <c r="B768" s="13" t="s">
        <v>930</v>
      </c>
      <c r="C768" s="13" t="s">
        <v>931</v>
      </c>
      <c r="D768" s="13" t="s">
        <v>104</v>
      </c>
      <c r="E768" s="13" t="s">
        <v>71</v>
      </c>
      <c r="F768" s="13" t="s">
        <v>214</v>
      </c>
      <c r="G768" s="13" t="s">
        <v>55</v>
      </c>
      <c r="H768">
        <v>120000</v>
      </c>
      <c r="I768" s="13" t="s">
        <v>121</v>
      </c>
      <c r="J768" s="13" t="s">
        <v>122</v>
      </c>
      <c r="K768" s="13" t="s">
        <v>107</v>
      </c>
      <c r="L768" s="13" t="s">
        <v>88</v>
      </c>
      <c r="M768">
        <v>60</v>
      </c>
      <c r="N768">
        <v>0</v>
      </c>
      <c r="O768" s="14">
        <v>45975</v>
      </c>
      <c r="P768" s="14">
        <v>46035</v>
      </c>
      <c r="Q768">
        <v>5077.17</v>
      </c>
      <c r="R768">
        <v>0</v>
      </c>
      <c r="S768">
        <v>0</v>
      </c>
      <c r="T768">
        <v>0</v>
      </c>
      <c r="U768">
        <v>0</v>
      </c>
      <c r="V768">
        <v>5077.17</v>
      </c>
      <c r="W768">
        <v>0</v>
      </c>
      <c r="X768">
        <v>1</v>
      </c>
      <c r="Y768">
        <v>0</v>
      </c>
      <c r="Z768">
        <v>-13</v>
      </c>
      <c r="AA768">
        <v>1</v>
      </c>
      <c r="AB768" s="13" t="s">
        <v>581</v>
      </c>
      <c r="AC768">
        <v>0</v>
      </c>
      <c r="AD768">
        <v>0</v>
      </c>
      <c r="AE768" s="13" t="s">
        <v>61</v>
      </c>
    </row>
    <row r="769" spans="1:31" x14ac:dyDescent="0.35">
      <c r="A769" s="13" t="s">
        <v>1345</v>
      </c>
      <c r="B769" s="13" t="s">
        <v>1097</v>
      </c>
      <c r="C769" s="13" t="s">
        <v>1098</v>
      </c>
      <c r="D769" s="13" t="s">
        <v>52</v>
      </c>
      <c r="E769" s="13" t="s">
        <v>77</v>
      </c>
      <c r="F769" s="13" t="s">
        <v>78</v>
      </c>
      <c r="G769" s="13" t="s">
        <v>67</v>
      </c>
      <c r="H769">
        <v>510000</v>
      </c>
      <c r="I769" s="13" t="s">
        <v>86</v>
      </c>
      <c r="J769" s="13" t="s">
        <v>87</v>
      </c>
      <c r="K769" s="13" t="s">
        <v>58</v>
      </c>
      <c r="L769" s="13" t="s">
        <v>88</v>
      </c>
      <c r="M769">
        <v>60</v>
      </c>
      <c r="N769">
        <v>0</v>
      </c>
      <c r="O769" s="14">
        <v>45975</v>
      </c>
      <c r="P769" s="14">
        <v>46035</v>
      </c>
      <c r="Q769">
        <v>2252.34</v>
      </c>
      <c r="R769">
        <v>0</v>
      </c>
      <c r="S769">
        <v>0</v>
      </c>
      <c r="T769">
        <v>0</v>
      </c>
      <c r="U769">
        <v>0</v>
      </c>
      <c r="V769">
        <v>2252.34</v>
      </c>
      <c r="W769">
        <v>0</v>
      </c>
      <c r="X769">
        <v>1</v>
      </c>
      <c r="Y769">
        <v>0</v>
      </c>
      <c r="Z769">
        <v>-13</v>
      </c>
      <c r="AA769">
        <v>1</v>
      </c>
      <c r="AB769" s="13" t="s">
        <v>581</v>
      </c>
      <c r="AC769">
        <v>0</v>
      </c>
      <c r="AD769">
        <v>0</v>
      </c>
      <c r="AE769" s="13" t="s">
        <v>61</v>
      </c>
    </row>
    <row r="770" spans="1:31" x14ac:dyDescent="0.35">
      <c r="A770" s="13" t="s">
        <v>1346</v>
      </c>
      <c r="B770" s="13" t="s">
        <v>317</v>
      </c>
      <c r="C770" s="13" t="s">
        <v>318</v>
      </c>
      <c r="D770" s="13" t="s">
        <v>52</v>
      </c>
      <c r="E770" s="13" t="s">
        <v>77</v>
      </c>
      <c r="F770" s="13" t="s">
        <v>78</v>
      </c>
      <c r="G770" s="13" t="s">
        <v>67</v>
      </c>
      <c r="H770">
        <v>390000</v>
      </c>
      <c r="I770" s="13" t="s">
        <v>56</v>
      </c>
      <c r="J770" s="13" t="s">
        <v>57</v>
      </c>
      <c r="K770" s="13" t="s">
        <v>58</v>
      </c>
      <c r="L770" s="13" t="s">
        <v>88</v>
      </c>
      <c r="M770">
        <v>60</v>
      </c>
      <c r="N770">
        <v>0</v>
      </c>
      <c r="O770" s="14">
        <v>45975</v>
      </c>
      <c r="P770" s="14">
        <v>46035</v>
      </c>
      <c r="Q770">
        <v>7150.98</v>
      </c>
      <c r="R770">
        <v>0</v>
      </c>
      <c r="S770">
        <v>0</v>
      </c>
      <c r="T770">
        <v>0</v>
      </c>
      <c r="U770">
        <v>0</v>
      </c>
      <c r="V770">
        <v>7150.98</v>
      </c>
      <c r="W770">
        <v>0</v>
      </c>
      <c r="X770">
        <v>1</v>
      </c>
      <c r="Y770">
        <v>0</v>
      </c>
      <c r="Z770">
        <v>-13</v>
      </c>
      <c r="AA770">
        <v>1</v>
      </c>
      <c r="AB770" s="13" t="s">
        <v>581</v>
      </c>
      <c r="AC770">
        <v>0</v>
      </c>
      <c r="AD770">
        <v>0</v>
      </c>
      <c r="AE770" s="13" t="s">
        <v>61</v>
      </c>
    </row>
    <row r="771" spans="1:31" x14ac:dyDescent="0.35">
      <c r="A771" s="13" t="s">
        <v>1347</v>
      </c>
      <c r="B771" s="13" t="s">
        <v>386</v>
      </c>
      <c r="C771" s="13" t="s">
        <v>387</v>
      </c>
      <c r="D771" s="13" t="s">
        <v>52</v>
      </c>
      <c r="E771" s="13" t="s">
        <v>65</v>
      </c>
      <c r="F771" s="13" t="s">
        <v>66</v>
      </c>
      <c r="G771" s="13" t="s">
        <v>67</v>
      </c>
      <c r="H771">
        <v>215000</v>
      </c>
      <c r="I771" s="13" t="s">
        <v>56</v>
      </c>
      <c r="J771" s="13" t="s">
        <v>57</v>
      </c>
      <c r="K771" s="13" t="s">
        <v>58</v>
      </c>
      <c r="L771" s="13" t="s">
        <v>88</v>
      </c>
      <c r="M771">
        <v>60</v>
      </c>
      <c r="N771">
        <v>0</v>
      </c>
      <c r="O771" s="14">
        <v>45975</v>
      </c>
      <c r="P771" s="14">
        <v>46035</v>
      </c>
      <c r="Q771">
        <v>12991.78</v>
      </c>
      <c r="R771">
        <v>0</v>
      </c>
      <c r="S771">
        <v>0</v>
      </c>
      <c r="T771">
        <v>0</v>
      </c>
      <c r="U771">
        <v>0</v>
      </c>
      <c r="V771">
        <v>12991.78</v>
      </c>
      <c r="W771">
        <v>0</v>
      </c>
      <c r="X771">
        <v>1</v>
      </c>
      <c r="Y771">
        <v>0</v>
      </c>
      <c r="Z771">
        <v>-13</v>
      </c>
      <c r="AA771">
        <v>1</v>
      </c>
      <c r="AB771" s="13" t="s">
        <v>581</v>
      </c>
      <c r="AC771">
        <v>0</v>
      </c>
      <c r="AD771">
        <v>0</v>
      </c>
      <c r="AE771" s="13" t="s">
        <v>61</v>
      </c>
    </row>
    <row r="772" spans="1:31" x14ac:dyDescent="0.35">
      <c r="A772" s="13" t="s">
        <v>1348</v>
      </c>
      <c r="B772" s="13" t="s">
        <v>180</v>
      </c>
      <c r="C772" s="13" t="s">
        <v>181</v>
      </c>
      <c r="D772" s="13" t="s">
        <v>104</v>
      </c>
      <c r="E772" s="13" t="s">
        <v>77</v>
      </c>
      <c r="F772" s="13" t="s">
        <v>174</v>
      </c>
      <c r="G772" s="13" t="s">
        <v>55</v>
      </c>
      <c r="H772">
        <v>105000</v>
      </c>
      <c r="I772" s="13" t="s">
        <v>121</v>
      </c>
      <c r="J772" s="13" t="s">
        <v>122</v>
      </c>
      <c r="K772" s="13" t="s">
        <v>107</v>
      </c>
      <c r="L772" s="13" t="s">
        <v>95</v>
      </c>
      <c r="M772">
        <v>30</v>
      </c>
      <c r="N772">
        <v>0</v>
      </c>
      <c r="O772" s="14">
        <v>45975</v>
      </c>
      <c r="P772" s="14">
        <v>46005</v>
      </c>
      <c r="Q772">
        <v>4574.87</v>
      </c>
      <c r="R772">
        <v>0</v>
      </c>
      <c r="S772">
        <v>0</v>
      </c>
      <c r="T772">
        <v>0</v>
      </c>
      <c r="U772">
        <v>0</v>
      </c>
      <c r="V772">
        <v>4574.87</v>
      </c>
      <c r="W772">
        <v>0</v>
      </c>
      <c r="X772">
        <v>1</v>
      </c>
      <c r="Y772">
        <v>1</v>
      </c>
      <c r="Z772">
        <v>17</v>
      </c>
      <c r="AA772">
        <v>2</v>
      </c>
      <c r="AB772" s="13" t="s">
        <v>405</v>
      </c>
      <c r="AC772">
        <v>0.25</v>
      </c>
      <c r="AD772">
        <v>0</v>
      </c>
      <c r="AE772" s="13" t="s">
        <v>61</v>
      </c>
    </row>
    <row r="773" spans="1:31" x14ac:dyDescent="0.35">
      <c r="A773" s="13" t="s">
        <v>1349</v>
      </c>
      <c r="B773" s="13" t="s">
        <v>1223</v>
      </c>
      <c r="C773" s="13" t="s">
        <v>1224</v>
      </c>
      <c r="D773" s="13" t="s">
        <v>52</v>
      </c>
      <c r="E773" s="13" t="s">
        <v>99</v>
      </c>
      <c r="F773" s="13" t="s">
        <v>100</v>
      </c>
      <c r="G773" s="13" t="s">
        <v>67</v>
      </c>
      <c r="H773">
        <v>275000</v>
      </c>
      <c r="I773" s="13" t="s">
        <v>86</v>
      </c>
      <c r="J773" s="13" t="s">
        <v>87</v>
      </c>
      <c r="K773" s="13" t="s">
        <v>58</v>
      </c>
      <c r="L773" s="13" t="s">
        <v>88</v>
      </c>
      <c r="M773">
        <v>60</v>
      </c>
      <c r="N773">
        <v>0</v>
      </c>
      <c r="O773" s="14">
        <v>45975</v>
      </c>
      <c r="P773" s="14">
        <v>46035</v>
      </c>
      <c r="Q773">
        <v>2033.82</v>
      </c>
      <c r="R773">
        <v>0</v>
      </c>
      <c r="S773">
        <v>0</v>
      </c>
      <c r="T773">
        <v>0</v>
      </c>
      <c r="U773">
        <v>0</v>
      </c>
      <c r="V773">
        <v>2033.82</v>
      </c>
      <c r="W773">
        <v>0</v>
      </c>
      <c r="X773">
        <v>1</v>
      </c>
      <c r="Y773">
        <v>0</v>
      </c>
      <c r="Z773">
        <v>-13</v>
      </c>
      <c r="AA773">
        <v>1</v>
      </c>
      <c r="AB773" s="13" t="s">
        <v>581</v>
      </c>
      <c r="AC773">
        <v>0</v>
      </c>
      <c r="AD773">
        <v>1</v>
      </c>
      <c r="AE773" s="13" t="s">
        <v>377</v>
      </c>
    </row>
    <row r="774" spans="1:31" x14ac:dyDescent="0.35">
      <c r="A774" s="13" t="s">
        <v>1350</v>
      </c>
      <c r="B774" s="13" t="s">
        <v>949</v>
      </c>
      <c r="C774" s="13" t="s">
        <v>950</v>
      </c>
      <c r="D774" s="13" t="s">
        <v>52</v>
      </c>
      <c r="E774" s="13" t="s">
        <v>99</v>
      </c>
      <c r="F774" s="13" t="s">
        <v>100</v>
      </c>
      <c r="G774" s="13" t="s">
        <v>67</v>
      </c>
      <c r="H774">
        <v>330000</v>
      </c>
      <c r="I774" s="13" t="s">
        <v>56</v>
      </c>
      <c r="J774" s="13" t="s">
        <v>57</v>
      </c>
      <c r="K774" s="13" t="s">
        <v>58</v>
      </c>
      <c r="L774" s="13" t="s">
        <v>88</v>
      </c>
      <c r="M774">
        <v>60</v>
      </c>
      <c r="N774">
        <v>0</v>
      </c>
      <c r="O774" s="14">
        <v>45975</v>
      </c>
      <c r="P774" s="14">
        <v>46035</v>
      </c>
      <c r="Q774">
        <v>4537.1099999999997</v>
      </c>
      <c r="R774">
        <v>0</v>
      </c>
      <c r="S774">
        <v>0</v>
      </c>
      <c r="T774">
        <v>0</v>
      </c>
      <c r="U774">
        <v>0</v>
      </c>
      <c r="V774">
        <v>4537.1099999999997</v>
      </c>
      <c r="W774">
        <v>0</v>
      </c>
      <c r="X774">
        <v>1</v>
      </c>
      <c r="Y774">
        <v>0</v>
      </c>
      <c r="Z774">
        <v>-13</v>
      </c>
      <c r="AA774">
        <v>1</v>
      </c>
      <c r="AB774" s="13" t="s">
        <v>581</v>
      </c>
      <c r="AC774">
        <v>0</v>
      </c>
      <c r="AD774">
        <v>0</v>
      </c>
      <c r="AE774" s="13" t="s">
        <v>61</v>
      </c>
    </row>
    <row r="775" spans="1:31" x14ac:dyDescent="0.35">
      <c r="A775" s="13" t="s">
        <v>1351</v>
      </c>
      <c r="B775" s="13" t="s">
        <v>986</v>
      </c>
      <c r="C775" s="13" t="s">
        <v>987</v>
      </c>
      <c r="D775" s="13" t="s">
        <v>104</v>
      </c>
      <c r="E775" s="13" t="s">
        <v>71</v>
      </c>
      <c r="F775" s="13" t="s">
        <v>72</v>
      </c>
      <c r="G775" s="13" t="s">
        <v>67</v>
      </c>
      <c r="H775">
        <v>125000</v>
      </c>
      <c r="I775" s="13" t="s">
        <v>105</v>
      </c>
      <c r="J775" s="13" t="s">
        <v>106</v>
      </c>
      <c r="K775" s="13" t="s">
        <v>107</v>
      </c>
      <c r="L775" s="13" t="s">
        <v>88</v>
      </c>
      <c r="M775">
        <v>60</v>
      </c>
      <c r="N775">
        <v>0</v>
      </c>
      <c r="O775" s="14">
        <v>45975</v>
      </c>
      <c r="P775" s="14">
        <v>46035</v>
      </c>
      <c r="Q775">
        <v>2756.05</v>
      </c>
      <c r="R775">
        <v>0</v>
      </c>
      <c r="S775">
        <v>0</v>
      </c>
      <c r="T775">
        <v>0</v>
      </c>
      <c r="U775">
        <v>0</v>
      </c>
      <c r="V775">
        <v>2756.05</v>
      </c>
      <c r="W775">
        <v>0</v>
      </c>
      <c r="X775">
        <v>1</v>
      </c>
      <c r="Y775">
        <v>0</v>
      </c>
      <c r="Z775">
        <v>-13</v>
      </c>
      <c r="AA775">
        <v>1</v>
      </c>
      <c r="AB775" s="13" t="s">
        <v>581</v>
      </c>
      <c r="AC775">
        <v>0</v>
      </c>
      <c r="AD775">
        <v>0</v>
      </c>
      <c r="AE775" s="13" t="s">
        <v>61</v>
      </c>
    </row>
    <row r="776" spans="1:31" x14ac:dyDescent="0.35">
      <c r="A776" s="13" t="s">
        <v>1352</v>
      </c>
      <c r="B776" s="13" t="s">
        <v>1059</v>
      </c>
      <c r="C776" s="13" t="s">
        <v>1060</v>
      </c>
      <c r="D776" s="13" t="s">
        <v>52</v>
      </c>
      <c r="E776" s="13" t="s">
        <v>77</v>
      </c>
      <c r="F776" s="13" t="s">
        <v>174</v>
      </c>
      <c r="G776" s="13" t="s">
        <v>67</v>
      </c>
      <c r="H776">
        <v>225000</v>
      </c>
      <c r="I776" s="13" t="s">
        <v>86</v>
      </c>
      <c r="J776" s="13" t="s">
        <v>87</v>
      </c>
      <c r="K776" s="13" t="s">
        <v>58</v>
      </c>
      <c r="L776" s="13" t="s">
        <v>88</v>
      </c>
      <c r="M776">
        <v>60</v>
      </c>
      <c r="N776">
        <v>0</v>
      </c>
      <c r="O776" s="14">
        <v>45975</v>
      </c>
      <c r="P776" s="14">
        <v>46035</v>
      </c>
      <c r="Q776">
        <v>7946.71</v>
      </c>
      <c r="R776">
        <v>0</v>
      </c>
      <c r="S776">
        <v>0</v>
      </c>
      <c r="T776">
        <v>0</v>
      </c>
      <c r="U776">
        <v>0</v>
      </c>
      <c r="V776">
        <v>7946.71</v>
      </c>
      <c r="W776">
        <v>0</v>
      </c>
      <c r="X776">
        <v>1</v>
      </c>
      <c r="Y776">
        <v>0</v>
      </c>
      <c r="Z776">
        <v>-13</v>
      </c>
      <c r="AA776">
        <v>1</v>
      </c>
      <c r="AB776" s="13" t="s">
        <v>581</v>
      </c>
      <c r="AC776">
        <v>0</v>
      </c>
      <c r="AD776">
        <v>0</v>
      </c>
      <c r="AE776" s="13" t="s">
        <v>61</v>
      </c>
    </row>
    <row r="777" spans="1:31" x14ac:dyDescent="0.35">
      <c r="A777" s="13" t="s">
        <v>1353</v>
      </c>
      <c r="B777" s="13" t="s">
        <v>379</v>
      </c>
      <c r="C777" s="13" t="s">
        <v>380</v>
      </c>
      <c r="D777" s="13" t="s">
        <v>52</v>
      </c>
      <c r="E777" s="13" t="s">
        <v>77</v>
      </c>
      <c r="F777" s="13" t="s">
        <v>78</v>
      </c>
      <c r="G777" s="13" t="s">
        <v>92</v>
      </c>
      <c r="H777">
        <v>450000</v>
      </c>
      <c r="I777" s="13" t="s">
        <v>56</v>
      </c>
      <c r="J777" s="13" t="s">
        <v>57</v>
      </c>
      <c r="K777" s="13" t="s">
        <v>58</v>
      </c>
      <c r="L777" s="13" t="s">
        <v>59</v>
      </c>
      <c r="M777">
        <v>45</v>
      </c>
      <c r="N777">
        <v>0</v>
      </c>
      <c r="O777" s="14">
        <v>45975</v>
      </c>
      <c r="P777" s="14">
        <v>46020</v>
      </c>
      <c r="Q777">
        <v>2424.16</v>
      </c>
      <c r="R777">
        <v>0</v>
      </c>
      <c r="S777">
        <v>0</v>
      </c>
      <c r="T777">
        <v>0</v>
      </c>
      <c r="U777">
        <v>0</v>
      </c>
      <c r="V777">
        <v>2424.16</v>
      </c>
      <c r="W777">
        <v>0</v>
      </c>
      <c r="X777">
        <v>1</v>
      </c>
      <c r="Y777">
        <v>1</v>
      </c>
      <c r="Z777">
        <v>2</v>
      </c>
      <c r="AA777">
        <v>2</v>
      </c>
      <c r="AB777" s="13" t="s">
        <v>405</v>
      </c>
      <c r="AC777">
        <v>0.25</v>
      </c>
      <c r="AD777">
        <v>1</v>
      </c>
      <c r="AE777" s="13" t="s">
        <v>377</v>
      </c>
    </row>
    <row r="778" spans="1:31" x14ac:dyDescent="0.35">
      <c r="A778" s="13" t="s">
        <v>1354</v>
      </c>
      <c r="B778" s="13" t="s">
        <v>1064</v>
      </c>
      <c r="C778" s="13" t="s">
        <v>1065</v>
      </c>
      <c r="D778" s="13" t="s">
        <v>76</v>
      </c>
      <c r="E778" s="13" t="s">
        <v>99</v>
      </c>
      <c r="F778" s="13" t="s">
        <v>127</v>
      </c>
      <c r="G778" s="13" t="s">
        <v>55</v>
      </c>
      <c r="H778">
        <v>25000</v>
      </c>
      <c r="I778" s="13" t="s">
        <v>93</v>
      </c>
      <c r="J778" s="13" t="s">
        <v>94</v>
      </c>
      <c r="K778" s="13" t="s">
        <v>81</v>
      </c>
      <c r="L778" s="13" t="s">
        <v>95</v>
      </c>
      <c r="M778">
        <v>30</v>
      </c>
      <c r="N778">
        <v>0</v>
      </c>
      <c r="O778" s="14">
        <v>45975</v>
      </c>
      <c r="P778" s="14">
        <v>46005</v>
      </c>
      <c r="Q778">
        <v>2310</v>
      </c>
      <c r="R778">
        <v>0</v>
      </c>
      <c r="S778">
        <v>0</v>
      </c>
      <c r="T778">
        <v>0</v>
      </c>
      <c r="U778">
        <v>0</v>
      </c>
      <c r="V778">
        <v>2310</v>
      </c>
      <c r="W778">
        <v>0</v>
      </c>
      <c r="X778">
        <v>1</v>
      </c>
      <c r="Y778">
        <v>1</v>
      </c>
      <c r="Z778">
        <v>17</v>
      </c>
      <c r="AA778">
        <v>2</v>
      </c>
      <c r="AB778" s="13" t="s">
        <v>405</v>
      </c>
      <c r="AC778">
        <v>0.25</v>
      </c>
      <c r="AD778">
        <v>0</v>
      </c>
      <c r="AE778" s="13" t="s">
        <v>348</v>
      </c>
    </row>
    <row r="779" spans="1:31" x14ac:dyDescent="0.35">
      <c r="A779" s="13" t="s">
        <v>1355</v>
      </c>
      <c r="B779" s="13" t="s">
        <v>263</v>
      </c>
      <c r="C779" s="13" t="s">
        <v>264</v>
      </c>
      <c r="D779" s="13" t="s">
        <v>52</v>
      </c>
      <c r="E779" s="13" t="s">
        <v>99</v>
      </c>
      <c r="F779" s="13" t="s">
        <v>100</v>
      </c>
      <c r="G779" s="13" t="s">
        <v>55</v>
      </c>
      <c r="H779">
        <v>590000</v>
      </c>
      <c r="I779" s="13" t="s">
        <v>86</v>
      </c>
      <c r="J779" s="13" t="s">
        <v>87</v>
      </c>
      <c r="K779" s="13" t="s">
        <v>58</v>
      </c>
      <c r="L779" s="13" t="s">
        <v>88</v>
      </c>
      <c r="M779">
        <v>60</v>
      </c>
      <c r="N779">
        <v>0</v>
      </c>
      <c r="O779" s="14">
        <v>45975</v>
      </c>
      <c r="P779" s="14">
        <v>46035</v>
      </c>
      <c r="Q779">
        <v>8523.67</v>
      </c>
      <c r="R779">
        <v>0</v>
      </c>
      <c r="S779">
        <v>0</v>
      </c>
      <c r="T779">
        <v>1449.02</v>
      </c>
      <c r="U779">
        <v>0</v>
      </c>
      <c r="V779">
        <v>7074.65</v>
      </c>
      <c r="W779">
        <v>0</v>
      </c>
      <c r="X779">
        <v>1</v>
      </c>
      <c r="Y779">
        <v>0</v>
      </c>
      <c r="Z779">
        <v>-13</v>
      </c>
      <c r="AA779">
        <v>1</v>
      </c>
      <c r="AB779" s="13" t="s">
        <v>581</v>
      </c>
      <c r="AC779">
        <v>0</v>
      </c>
      <c r="AD779">
        <v>0</v>
      </c>
      <c r="AE779" s="13" t="s">
        <v>377</v>
      </c>
    </row>
    <row r="780" spans="1:31" x14ac:dyDescent="0.35">
      <c r="A780" s="13" t="s">
        <v>1356</v>
      </c>
      <c r="B780" s="13" t="s">
        <v>409</v>
      </c>
      <c r="C780" s="13" t="s">
        <v>410</v>
      </c>
      <c r="D780" s="13" t="s">
        <v>126</v>
      </c>
      <c r="E780" s="13" t="s">
        <v>71</v>
      </c>
      <c r="F780" s="13" t="s">
        <v>72</v>
      </c>
      <c r="G780" s="13" t="s">
        <v>67</v>
      </c>
      <c r="H780">
        <v>195000</v>
      </c>
      <c r="I780" s="13" t="s">
        <v>56</v>
      </c>
      <c r="J780" s="13" t="s">
        <v>57</v>
      </c>
      <c r="K780" s="13" t="s">
        <v>58</v>
      </c>
      <c r="L780" s="13" t="s">
        <v>368</v>
      </c>
      <c r="M780">
        <v>90</v>
      </c>
      <c r="N780">
        <v>0</v>
      </c>
      <c r="O780" s="14">
        <v>45978</v>
      </c>
      <c r="P780" s="14">
        <v>46068</v>
      </c>
      <c r="Q780">
        <v>1207.75</v>
      </c>
      <c r="R780">
        <v>0</v>
      </c>
      <c r="S780">
        <v>0</v>
      </c>
      <c r="T780">
        <v>0</v>
      </c>
      <c r="U780">
        <v>0</v>
      </c>
      <c r="V780">
        <v>1207.75</v>
      </c>
      <c r="W780">
        <v>0</v>
      </c>
      <c r="X780">
        <v>1</v>
      </c>
      <c r="Y780">
        <v>0</v>
      </c>
      <c r="Z780">
        <v>-46</v>
      </c>
      <c r="AA780">
        <v>1</v>
      </c>
      <c r="AB780" s="13" t="s">
        <v>581</v>
      </c>
      <c r="AC780">
        <v>0</v>
      </c>
      <c r="AD780">
        <v>0</v>
      </c>
      <c r="AE780" s="13" t="s">
        <v>61</v>
      </c>
    </row>
    <row r="781" spans="1:31" x14ac:dyDescent="0.35">
      <c r="A781" s="13" t="s">
        <v>1357</v>
      </c>
      <c r="B781" s="13" t="s">
        <v>1358</v>
      </c>
      <c r="C781" s="13" t="s">
        <v>1359</v>
      </c>
      <c r="D781" s="13" t="s">
        <v>76</v>
      </c>
      <c r="E781" s="13" t="s">
        <v>71</v>
      </c>
      <c r="F781" s="13" t="s">
        <v>72</v>
      </c>
      <c r="G781" s="13" t="s">
        <v>92</v>
      </c>
      <c r="H781">
        <v>105000</v>
      </c>
      <c r="I781" s="13" t="s">
        <v>79</v>
      </c>
      <c r="J781" s="13" t="s">
        <v>80</v>
      </c>
      <c r="K781" s="13" t="s">
        <v>81</v>
      </c>
      <c r="L781" s="13" t="s">
        <v>95</v>
      </c>
      <c r="M781">
        <v>30</v>
      </c>
      <c r="N781">
        <v>0</v>
      </c>
      <c r="O781" s="14">
        <v>45978</v>
      </c>
      <c r="P781" s="14">
        <v>46008</v>
      </c>
      <c r="Q781">
        <v>1015.73</v>
      </c>
      <c r="R781">
        <v>0</v>
      </c>
      <c r="S781">
        <v>0</v>
      </c>
      <c r="T781">
        <v>0</v>
      </c>
      <c r="U781">
        <v>0</v>
      </c>
      <c r="V781">
        <v>1015.73</v>
      </c>
      <c r="W781">
        <v>0</v>
      </c>
      <c r="X781">
        <v>1</v>
      </c>
      <c r="Y781">
        <v>1</v>
      </c>
      <c r="Z781">
        <v>14</v>
      </c>
      <c r="AA781">
        <v>2</v>
      </c>
      <c r="AB781" s="13" t="s">
        <v>405</v>
      </c>
      <c r="AC781">
        <v>0.25</v>
      </c>
      <c r="AD781">
        <v>0</v>
      </c>
      <c r="AE781" s="13" t="s">
        <v>61</v>
      </c>
    </row>
    <row r="782" spans="1:31" x14ac:dyDescent="0.35">
      <c r="A782" s="13" t="s">
        <v>1360</v>
      </c>
      <c r="B782" s="13" t="s">
        <v>244</v>
      </c>
      <c r="C782" s="13" t="s">
        <v>245</v>
      </c>
      <c r="D782" s="13" t="s">
        <v>52</v>
      </c>
      <c r="E782" s="13" t="s">
        <v>65</v>
      </c>
      <c r="F782" s="13" t="s">
        <v>111</v>
      </c>
      <c r="G782" s="13" t="s">
        <v>55</v>
      </c>
      <c r="H782">
        <v>590000</v>
      </c>
      <c r="I782" s="13" t="s">
        <v>86</v>
      </c>
      <c r="J782" s="13" t="s">
        <v>87</v>
      </c>
      <c r="K782" s="13" t="s">
        <v>58</v>
      </c>
      <c r="L782" s="13" t="s">
        <v>59</v>
      </c>
      <c r="M782">
        <v>45</v>
      </c>
      <c r="N782">
        <v>0</v>
      </c>
      <c r="O782" s="14">
        <v>45978</v>
      </c>
      <c r="P782" s="14">
        <v>46023</v>
      </c>
      <c r="Q782">
        <v>5282.17</v>
      </c>
      <c r="R782">
        <v>0</v>
      </c>
      <c r="S782">
        <v>0</v>
      </c>
      <c r="T782">
        <v>0</v>
      </c>
      <c r="U782">
        <v>0</v>
      </c>
      <c r="V782">
        <v>5282.17</v>
      </c>
      <c r="W782">
        <v>0</v>
      </c>
      <c r="X782">
        <v>1</v>
      </c>
      <c r="Y782">
        <v>0</v>
      </c>
      <c r="Z782">
        <v>-1</v>
      </c>
      <c r="AA782">
        <v>1</v>
      </c>
      <c r="AB782" s="13" t="s">
        <v>581</v>
      </c>
      <c r="AC782">
        <v>0</v>
      </c>
      <c r="AD782">
        <v>0</v>
      </c>
      <c r="AE782" s="13" t="s">
        <v>61</v>
      </c>
    </row>
    <row r="783" spans="1:31" x14ac:dyDescent="0.35">
      <c r="A783" s="13" t="s">
        <v>1361</v>
      </c>
      <c r="B783" s="13" t="s">
        <v>1237</v>
      </c>
      <c r="C783" s="13" t="s">
        <v>1238</v>
      </c>
      <c r="D783" s="13" t="s">
        <v>104</v>
      </c>
      <c r="E783" s="13" t="s">
        <v>99</v>
      </c>
      <c r="F783" s="13" t="s">
        <v>127</v>
      </c>
      <c r="G783" s="13" t="s">
        <v>67</v>
      </c>
      <c r="H783">
        <v>125000</v>
      </c>
      <c r="I783" s="13" t="s">
        <v>121</v>
      </c>
      <c r="J783" s="13" t="s">
        <v>122</v>
      </c>
      <c r="K783" s="13" t="s">
        <v>107</v>
      </c>
      <c r="L783" s="13" t="s">
        <v>95</v>
      </c>
      <c r="M783">
        <v>30</v>
      </c>
      <c r="N783">
        <v>0</v>
      </c>
      <c r="O783" s="14">
        <v>45978</v>
      </c>
      <c r="P783" s="14">
        <v>46008</v>
      </c>
      <c r="Q783">
        <v>1573.63</v>
      </c>
      <c r="R783">
        <v>944.18</v>
      </c>
      <c r="S783">
        <v>0</v>
      </c>
      <c r="T783">
        <v>0</v>
      </c>
      <c r="U783">
        <v>0</v>
      </c>
      <c r="V783">
        <v>629.45000000000005</v>
      </c>
      <c r="W783">
        <v>0</v>
      </c>
      <c r="X783">
        <v>1</v>
      </c>
      <c r="Y783">
        <v>1</v>
      </c>
      <c r="Z783">
        <v>14</v>
      </c>
      <c r="AA783">
        <v>2</v>
      </c>
      <c r="AB783" s="13" t="s">
        <v>405</v>
      </c>
      <c r="AC783">
        <v>0.25</v>
      </c>
      <c r="AD783">
        <v>0</v>
      </c>
      <c r="AE783" s="13" t="s">
        <v>61</v>
      </c>
    </row>
    <row r="784" spans="1:31" x14ac:dyDescent="0.35">
      <c r="A784" s="13" t="s">
        <v>1362</v>
      </c>
      <c r="B784" s="13" t="s">
        <v>825</v>
      </c>
      <c r="C784" s="13" t="s">
        <v>826</v>
      </c>
      <c r="D784" s="13" t="s">
        <v>104</v>
      </c>
      <c r="E784" s="13" t="s">
        <v>53</v>
      </c>
      <c r="F784" s="13" t="s">
        <v>135</v>
      </c>
      <c r="G784" s="13" t="s">
        <v>55</v>
      </c>
      <c r="H784">
        <v>75000</v>
      </c>
      <c r="I784" s="13" t="s">
        <v>105</v>
      </c>
      <c r="J784" s="13" t="s">
        <v>106</v>
      </c>
      <c r="K784" s="13" t="s">
        <v>107</v>
      </c>
      <c r="L784" s="13" t="s">
        <v>88</v>
      </c>
      <c r="M784">
        <v>60</v>
      </c>
      <c r="N784">
        <v>0</v>
      </c>
      <c r="O784" s="14">
        <v>45978</v>
      </c>
      <c r="P784" s="14">
        <v>46038</v>
      </c>
      <c r="Q784">
        <v>971.46</v>
      </c>
      <c r="R784">
        <v>0</v>
      </c>
      <c r="S784">
        <v>0</v>
      </c>
      <c r="T784">
        <v>0</v>
      </c>
      <c r="U784">
        <v>0</v>
      </c>
      <c r="V784">
        <v>971.46</v>
      </c>
      <c r="W784">
        <v>0</v>
      </c>
      <c r="X784">
        <v>1</v>
      </c>
      <c r="Y784">
        <v>0</v>
      </c>
      <c r="Z784">
        <v>-16</v>
      </c>
      <c r="AA784">
        <v>1</v>
      </c>
      <c r="AB784" s="13" t="s">
        <v>581</v>
      </c>
      <c r="AC784">
        <v>0</v>
      </c>
      <c r="AD784">
        <v>0</v>
      </c>
      <c r="AE784" s="13" t="s">
        <v>61</v>
      </c>
    </row>
    <row r="785" spans="1:31" x14ac:dyDescent="0.35">
      <c r="A785" s="13" t="s">
        <v>1363</v>
      </c>
      <c r="B785" s="13" t="s">
        <v>259</v>
      </c>
      <c r="C785" s="13" t="s">
        <v>260</v>
      </c>
      <c r="D785" s="13" t="s">
        <v>104</v>
      </c>
      <c r="E785" s="13" t="s">
        <v>71</v>
      </c>
      <c r="F785" s="13" t="s">
        <v>72</v>
      </c>
      <c r="G785" s="13" t="s">
        <v>67</v>
      </c>
      <c r="H785">
        <v>145000</v>
      </c>
      <c r="I785" s="13" t="s">
        <v>121</v>
      </c>
      <c r="J785" s="13" t="s">
        <v>122</v>
      </c>
      <c r="K785" s="13" t="s">
        <v>107</v>
      </c>
      <c r="L785" s="13" t="s">
        <v>88</v>
      </c>
      <c r="M785">
        <v>60</v>
      </c>
      <c r="N785">
        <v>0</v>
      </c>
      <c r="O785" s="14">
        <v>45978</v>
      </c>
      <c r="P785" s="14">
        <v>46038</v>
      </c>
      <c r="Q785">
        <v>1618</v>
      </c>
      <c r="R785">
        <v>0</v>
      </c>
      <c r="S785">
        <v>0</v>
      </c>
      <c r="T785">
        <v>0</v>
      </c>
      <c r="U785">
        <v>0</v>
      </c>
      <c r="V785">
        <v>1618</v>
      </c>
      <c r="W785">
        <v>0</v>
      </c>
      <c r="X785">
        <v>1</v>
      </c>
      <c r="Y785">
        <v>0</v>
      </c>
      <c r="Z785">
        <v>-16</v>
      </c>
      <c r="AA785">
        <v>1</v>
      </c>
      <c r="AB785" s="13" t="s">
        <v>581</v>
      </c>
      <c r="AC785">
        <v>0</v>
      </c>
      <c r="AD785">
        <v>0</v>
      </c>
      <c r="AE785" s="13" t="s">
        <v>61</v>
      </c>
    </row>
    <row r="786" spans="1:31" x14ac:dyDescent="0.35">
      <c r="A786" s="13" t="s">
        <v>1364</v>
      </c>
      <c r="B786" s="13" t="s">
        <v>267</v>
      </c>
      <c r="C786" s="13" t="s">
        <v>268</v>
      </c>
      <c r="D786" s="13" t="s">
        <v>52</v>
      </c>
      <c r="E786" s="13" t="s">
        <v>99</v>
      </c>
      <c r="F786" s="13" t="s">
        <v>100</v>
      </c>
      <c r="G786" s="13" t="s">
        <v>67</v>
      </c>
      <c r="H786">
        <v>265000</v>
      </c>
      <c r="I786" s="13" t="s">
        <v>86</v>
      </c>
      <c r="J786" s="13" t="s">
        <v>87</v>
      </c>
      <c r="K786" s="13" t="s">
        <v>58</v>
      </c>
      <c r="L786" s="13" t="s">
        <v>59</v>
      </c>
      <c r="M786">
        <v>45</v>
      </c>
      <c r="N786">
        <v>0</v>
      </c>
      <c r="O786" s="14">
        <v>45978</v>
      </c>
      <c r="P786" s="14">
        <v>46023</v>
      </c>
      <c r="Q786">
        <v>2982.57</v>
      </c>
      <c r="R786">
        <v>0</v>
      </c>
      <c r="S786">
        <v>0</v>
      </c>
      <c r="T786">
        <v>0</v>
      </c>
      <c r="U786">
        <v>0</v>
      </c>
      <c r="V786">
        <v>2982.57</v>
      </c>
      <c r="W786">
        <v>0</v>
      </c>
      <c r="X786">
        <v>1</v>
      </c>
      <c r="Y786">
        <v>0</v>
      </c>
      <c r="Z786">
        <v>-1</v>
      </c>
      <c r="AA786">
        <v>1</v>
      </c>
      <c r="AB786" s="13" t="s">
        <v>581</v>
      </c>
      <c r="AC786">
        <v>0</v>
      </c>
      <c r="AD786">
        <v>0</v>
      </c>
      <c r="AE786" s="13" t="s">
        <v>61</v>
      </c>
    </row>
    <row r="787" spans="1:31" x14ac:dyDescent="0.35">
      <c r="A787" s="13" t="s">
        <v>1365</v>
      </c>
      <c r="B787" s="13" t="s">
        <v>1366</v>
      </c>
      <c r="C787" s="13" t="s">
        <v>1367</v>
      </c>
      <c r="D787" s="13" t="s">
        <v>126</v>
      </c>
      <c r="E787" s="13" t="s">
        <v>65</v>
      </c>
      <c r="F787" s="13" t="s">
        <v>111</v>
      </c>
      <c r="G787" s="13" t="s">
        <v>67</v>
      </c>
      <c r="H787">
        <v>205000</v>
      </c>
      <c r="I787" s="13" t="s">
        <v>56</v>
      </c>
      <c r="J787" s="13" t="s">
        <v>57</v>
      </c>
      <c r="K787" s="13" t="s">
        <v>58</v>
      </c>
      <c r="L787" s="13" t="s">
        <v>88</v>
      </c>
      <c r="M787">
        <v>60</v>
      </c>
      <c r="N787">
        <v>0</v>
      </c>
      <c r="O787" s="14">
        <v>45978</v>
      </c>
      <c r="P787" s="14">
        <v>45988</v>
      </c>
      <c r="Q787">
        <v>2570.62</v>
      </c>
      <c r="R787">
        <v>0</v>
      </c>
      <c r="S787">
        <v>0</v>
      </c>
      <c r="T787">
        <v>0</v>
      </c>
      <c r="U787">
        <v>0</v>
      </c>
      <c r="V787">
        <v>2570.62</v>
      </c>
      <c r="W787">
        <v>0</v>
      </c>
      <c r="X787">
        <v>1</v>
      </c>
      <c r="Y787">
        <v>1</v>
      </c>
      <c r="Z787">
        <v>34</v>
      </c>
      <c r="AA787">
        <v>3</v>
      </c>
      <c r="AB787" s="13" t="s">
        <v>369</v>
      </c>
      <c r="AC787">
        <v>0.5</v>
      </c>
      <c r="AD787">
        <v>0</v>
      </c>
      <c r="AE787" s="13" t="s">
        <v>61</v>
      </c>
    </row>
    <row r="788" spans="1:31" x14ac:dyDescent="0.35">
      <c r="A788" s="13" t="s">
        <v>1368</v>
      </c>
      <c r="B788" s="13" t="s">
        <v>994</v>
      </c>
      <c r="C788" s="13" t="s">
        <v>995</v>
      </c>
      <c r="D788" s="13" t="s">
        <v>52</v>
      </c>
      <c r="E788" s="13" t="s">
        <v>71</v>
      </c>
      <c r="F788" s="13" t="s">
        <v>214</v>
      </c>
      <c r="G788" s="13" t="s">
        <v>67</v>
      </c>
      <c r="H788">
        <v>275000</v>
      </c>
      <c r="I788" s="13" t="s">
        <v>86</v>
      </c>
      <c r="J788" s="13" t="s">
        <v>87</v>
      </c>
      <c r="K788" s="13" t="s">
        <v>58</v>
      </c>
      <c r="L788" s="13" t="s">
        <v>88</v>
      </c>
      <c r="M788">
        <v>60</v>
      </c>
      <c r="N788">
        <v>0</v>
      </c>
      <c r="O788" s="14">
        <v>45978</v>
      </c>
      <c r="P788" s="14">
        <v>46038</v>
      </c>
      <c r="Q788">
        <v>13802.65</v>
      </c>
      <c r="R788">
        <v>0</v>
      </c>
      <c r="S788">
        <v>0</v>
      </c>
      <c r="T788">
        <v>0</v>
      </c>
      <c r="U788">
        <v>0</v>
      </c>
      <c r="V788">
        <v>13802.65</v>
      </c>
      <c r="W788">
        <v>0</v>
      </c>
      <c r="X788">
        <v>1</v>
      </c>
      <c r="Y788">
        <v>0</v>
      </c>
      <c r="Z788">
        <v>-16</v>
      </c>
      <c r="AA788">
        <v>1</v>
      </c>
      <c r="AB788" s="13" t="s">
        <v>581</v>
      </c>
      <c r="AC788">
        <v>0</v>
      </c>
      <c r="AD788">
        <v>0</v>
      </c>
      <c r="AE788" s="13" t="s">
        <v>61</v>
      </c>
    </row>
    <row r="789" spans="1:31" x14ac:dyDescent="0.35">
      <c r="A789" s="13" t="s">
        <v>1369</v>
      </c>
      <c r="B789" s="13" t="s">
        <v>156</v>
      </c>
      <c r="C789" s="13" t="s">
        <v>157</v>
      </c>
      <c r="D789" s="13" t="s">
        <v>52</v>
      </c>
      <c r="E789" s="13" t="s">
        <v>53</v>
      </c>
      <c r="F789" s="13" t="s">
        <v>54</v>
      </c>
      <c r="G789" s="13" t="s">
        <v>92</v>
      </c>
      <c r="H789">
        <v>600000</v>
      </c>
      <c r="I789" s="13" t="s">
        <v>56</v>
      </c>
      <c r="J789" s="13" t="s">
        <v>57</v>
      </c>
      <c r="K789" s="13" t="s">
        <v>58</v>
      </c>
      <c r="L789" s="13" t="s">
        <v>88</v>
      </c>
      <c r="M789">
        <v>60</v>
      </c>
      <c r="N789">
        <v>0</v>
      </c>
      <c r="O789" s="14">
        <v>45978</v>
      </c>
      <c r="P789" s="14">
        <v>46038</v>
      </c>
      <c r="Q789">
        <v>6072.76</v>
      </c>
      <c r="R789">
        <v>0</v>
      </c>
      <c r="S789">
        <v>0</v>
      </c>
      <c r="T789">
        <v>0</v>
      </c>
      <c r="U789">
        <v>0</v>
      </c>
      <c r="V789">
        <v>6072.76</v>
      </c>
      <c r="W789">
        <v>0</v>
      </c>
      <c r="X789">
        <v>1</v>
      </c>
      <c r="Y789">
        <v>0</v>
      </c>
      <c r="Z789">
        <v>-16</v>
      </c>
      <c r="AA789">
        <v>1</v>
      </c>
      <c r="AB789" s="13" t="s">
        <v>581</v>
      </c>
      <c r="AC789">
        <v>0</v>
      </c>
      <c r="AD789">
        <v>1</v>
      </c>
      <c r="AE789" s="13" t="s">
        <v>465</v>
      </c>
    </row>
    <row r="790" spans="1:31" x14ac:dyDescent="0.35">
      <c r="A790" s="13" t="s">
        <v>1370</v>
      </c>
      <c r="B790" s="13" t="s">
        <v>914</v>
      </c>
      <c r="C790" s="13" t="s">
        <v>915</v>
      </c>
      <c r="D790" s="13" t="s">
        <v>76</v>
      </c>
      <c r="E790" s="13" t="s">
        <v>99</v>
      </c>
      <c r="F790" s="13" t="s">
        <v>100</v>
      </c>
      <c r="G790" s="13" t="s">
        <v>55</v>
      </c>
      <c r="H790">
        <v>95000</v>
      </c>
      <c r="I790" s="13" t="s">
        <v>93</v>
      </c>
      <c r="J790" s="13" t="s">
        <v>94</v>
      </c>
      <c r="K790" s="13" t="s">
        <v>81</v>
      </c>
      <c r="L790" s="13" t="s">
        <v>95</v>
      </c>
      <c r="M790">
        <v>30</v>
      </c>
      <c r="N790">
        <v>0</v>
      </c>
      <c r="O790" s="14">
        <v>45978</v>
      </c>
      <c r="P790" s="14">
        <v>46008</v>
      </c>
      <c r="Q790">
        <v>2688.42</v>
      </c>
      <c r="R790">
        <v>0</v>
      </c>
      <c r="S790">
        <v>0</v>
      </c>
      <c r="T790">
        <v>0</v>
      </c>
      <c r="U790">
        <v>0</v>
      </c>
      <c r="V790">
        <v>2688.42</v>
      </c>
      <c r="W790">
        <v>0</v>
      </c>
      <c r="X790">
        <v>1</v>
      </c>
      <c r="Y790">
        <v>1</v>
      </c>
      <c r="Z790">
        <v>14</v>
      </c>
      <c r="AA790">
        <v>2</v>
      </c>
      <c r="AB790" s="13" t="s">
        <v>405</v>
      </c>
      <c r="AC790">
        <v>0.25</v>
      </c>
      <c r="AD790">
        <v>0</v>
      </c>
      <c r="AE790" s="13" t="s">
        <v>61</v>
      </c>
    </row>
    <row r="791" spans="1:31" x14ac:dyDescent="0.35">
      <c r="A791" s="13" t="s">
        <v>1371</v>
      </c>
      <c r="B791" s="13" t="s">
        <v>442</v>
      </c>
      <c r="C791" s="13" t="s">
        <v>443</v>
      </c>
      <c r="D791" s="13" t="s">
        <v>104</v>
      </c>
      <c r="E791" s="13" t="s">
        <v>71</v>
      </c>
      <c r="F791" s="13" t="s">
        <v>214</v>
      </c>
      <c r="G791" s="13" t="s">
        <v>92</v>
      </c>
      <c r="H791">
        <v>145000</v>
      </c>
      <c r="I791" s="13" t="s">
        <v>121</v>
      </c>
      <c r="J791" s="13" t="s">
        <v>122</v>
      </c>
      <c r="K791" s="13" t="s">
        <v>107</v>
      </c>
      <c r="L791" s="13" t="s">
        <v>88</v>
      </c>
      <c r="M791">
        <v>60</v>
      </c>
      <c r="N791">
        <v>0</v>
      </c>
      <c r="O791" s="14">
        <v>45978</v>
      </c>
      <c r="P791" s="14">
        <v>46038</v>
      </c>
      <c r="Q791">
        <v>1649.03</v>
      </c>
      <c r="R791">
        <v>0</v>
      </c>
      <c r="S791">
        <v>0</v>
      </c>
      <c r="T791">
        <v>0</v>
      </c>
      <c r="U791">
        <v>0</v>
      </c>
      <c r="V791">
        <v>1649.03</v>
      </c>
      <c r="W791">
        <v>0</v>
      </c>
      <c r="X791">
        <v>1</v>
      </c>
      <c r="Y791">
        <v>0</v>
      </c>
      <c r="Z791">
        <v>-16</v>
      </c>
      <c r="AA791">
        <v>1</v>
      </c>
      <c r="AB791" s="13" t="s">
        <v>581</v>
      </c>
      <c r="AC791">
        <v>0</v>
      </c>
      <c r="AD791">
        <v>0</v>
      </c>
      <c r="AE791" s="13" t="s">
        <v>61</v>
      </c>
    </row>
    <row r="792" spans="1:31" x14ac:dyDescent="0.35">
      <c r="A792" s="13" t="s">
        <v>1372</v>
      </c>
      <c r="B792" s="13" t="s">
        <v>84</v>
      </c>
      <c r="C792" s="13" t="s">
        <v>85</v>
      </c>
      <c r="D792" s="13" t="s">
        <v>52</v>
      </c>
      <c r="E792" s="13" t="s">
        <v>71</v>
      </c>
      <c r="F792" s="13" t="s">
        <v>72</v>
      </c>
      <c r="G792" s="13" t="s">
        <v>67</v>
      </c>
      <c r="H792">
        <v>600000</v>
      </c>
      <c r="I792" s="13" t="s">
        <v>86</v>
      </c>
      <c r="J792" s="13" t="s">
        <v>87</v>
      </c>
      <c r="K792" s="13" t="s">
        <v>58</v>
      </c>
      <c r="L792" s="13" t="s">
        <v>88</v>
      </c>
      <c r="M792">
        <v>60</v>
      </c>
      <c r="N792">
        <v>0</v>
      </c>
      <c r="O792" s="14">
        <v>45978</v>
      </c>
      <c r="P792" s="14">
        <v>46038</v>
      </c>
      <c r="Q792">
        <v>1645.85</v>
      </c>
      <c r="R792">
        <v>0</v>
      </c>
      <c r="S792">
        <v>0</v>
      </c>
      <c r="T792">
        <v>0</v>
      </c>
      <c r="U792">
        <v>0</v>
      </c>
      <c r="V792">
        <v>1645.85</v>
      </c>
      <c r="W792">
        <v>0</v>
      </c>
      <c r="X792">
        <v>1</v>
      </c>
      <c r="Y792">
        <v>0</v>
      </c>
      <c r="Z792">
        <v>-16</v>
      </c>
      <c r="AA792">
        <v>1</v>
      </c>
      <c r="AB792" s="13" t="s">
        <v>581</v>
      </c>
      <c r="AC792">
        <v>0</v>
      </c>
      <c r="AD792">
        <v>0</v>
      </c>
      <c r="AE792" s="13" t="s">
        <v>348</v>
      </c>
    </row>
    <row r="793" spans="1:31" x14ac:dyDescent="0.35">
      <c r="A793" s="13" t="s">
        <v>1373</v>
      </c>
      <c r="B793" s="13" t="s">
        <v>1374</v>
      </c>
      <c r="C793" s="13" t="s">
        <v>1375</v>
      </c>
      <c r="D793" s="13" t="s">
        <v>76</v>
      </c>
      <c r="E793" s="13" t="s">
        <v>77</v>
      </c>
      <c r="F793" s="13" t="s">
        <v>174</v>
      </c>
      <c r="G793" s="13" t="s">
        <v>67</v>
      </c>
      <c r="H793">
        <v>35000</v>
      </c>
      <c r="I793" s="13" t="s">
        <v>93</v>
      </c>
      <c r="J793" s="13" t="s">
        <v>94</v>
      </c>
      <c r="K793" s="13" t="s">
        <v>81</v>
      </c>
      <c r="L793" s="13" t="s">
        <v>95</v>
      </c>
      <c r="M793">
        <v>30</v>
      </c>
      <c r="N793">
        <v>0</v>
      </c>
      <c r="O793" s="14">
        <v>45978</v>
      </c>
      <c r="P793" s="14">
        <v>46008</v>
      </c>
      <c r="Q793">
        <v>3602.5</v>
      </c>
      <c r="R793">
        <v>0</v>
      </c>
      <c r="S793">
        <v>0</v>
      </c>
      <c r="T793">
        <v>0</v>
      </c>
      <c r="U793">
        <v>0</v>
      </c>
      <c r="V793">
        <v>3602.5</v>
      </c>
      <c r="W793">
        <v>0</v>
      </c>
      <c r="X793">
        <v>1</v>
      </c>
      <c r="Y793">
        <v>1</v>
      </c>
      <c r="Z793">
        <v>14</v>
      </c>
      <c r="AA793">
        <v>2</v>
      </c>
      <c r="AB793" s="13" t="s">
        <v>405</v>
      </c>
      <c r="AC793">
        <v>0.25</v>
      </c>
      <c r="AD793">
        <v>1</v>
      </c>
      <c r="AE793" s="13" t="s">
        <v>377</v>
      </c>
    </row>
    <row r="794" spans="1:31" x14ac:dyDescent="0.35">
      <c r="A794" s="13" t="s">
        <v>1376</v>
      </c>
      <c r="B794" s="13" t="s">
        <v>854</v>
      </c>
      <c r="C794" s="13" t="s">
        <v>855</v>
      </c>
      <c r="D794" s="13" t="s">
        <v>52</v>
      </c>
      <c r="E794" s="13" t="s">
        <v>77</v>
      </c>
      <c r="F794" s="13" t="s">
        <v>78</v>
      </c>
      <c r="G794" s="13" t="s">
        <v>67</v>
      </c>
      <c r="H794">
        <v>385000</v>
      </c>
      <c r="I794" s="13" t="s">
        <v>86</v>
      </c>
      <c r="J794" s="13" t="s">
        <v>87</v>
      </c>
      <c r="K794" s="13" t="s">
        <v>58</v>
      </c>
      <c r="L794" s="13" t="s">
        <v>88</v>
      </c>
      <c r="M794">
        <v>60</v>
      </c>
      <c r="N794">
        <v>0</v>
      </c>
      <c r="O794" s="14">
        <v>45978</v>
      </c>
      <c r="P794" s="14">
        <v>46038</v>
      </c>
      <c r="Q794">
        <v>2849.91</v>
      </c>
      <c r="R794">
        <v>0</v>
      </c>
      <c r="S794">
        <v>0</v>
      </c>
      <c r="T794">
        <v>0</v>
      </c>
      <c r="U794">
        <v>0</v>
      </c>
      <c r="V794">
        <v>2849.91</v>
      </c>
      <c r="W794">
        <v>0</v>
      </c>
      <c r="X794">
        <v>1</v>
      </c>
      <c r="Y794">
        <v>0</v>
      </c>
      <c r="Z794">
        <v>-16</v>
      </c>
      <c r="AA794">
        <v>1</v>
      </c>
      <c r="AB794" s="13" t="s">
        <v>581</v>
      </c>
      <c r="AC794">
        <v>0</v>
      </c>
      <c r="AD794">
        <v>0</v>
      </c>
      <c r="AE794" s="13" t="s">
        <v>61</v>
      </c>
    </row>
    <row r="795" spans="1:31" x14ac:dyDescent="0.35">
      <c r="A795" s="13" t="s">
        <v>1377</v>
      </c>
      <c r="B795" s="13" t="s">
        <v>1077</v>
      </c>
      <c r="C795" s="13" t="s">
        <v>1078</v>
      </c>
      <c r="D795" s="13" t="s">
        <v>104</v>
      </c>
      <c r="E795" s="13" t="s">
        <v>65</v>
      </c>
      <c r="F795" s="13" t="s">
        <v>66</v>
      </c>
      <c r="G795" s="13" t="s">
        <v>92</v>
      </c>
      <c r="H795">
        <v>45000</v>
      </c>
      <c r="I795" s="13" t="s">
        <v>105</v>
      </c>
      <c r="J795" s="13" t="s">
        <v>106</v>
      </c>
      <c r="K795" s="13" t="s">
        <v>107</v>
      </c>
      <c r="L795" s="13" t="s">
        <v>82</v>
      </c>
      <c r="M795">
        <v>30</v>
      </c>
      <c r="N795">
        <v>2</v>
      </c>
      <c r="O795" s="14">
        <v>45978</v>
      </c>
      <c r="P795" s="14">
        <v>46008</v>
      </c>
      <c r="Q795">
        <v>810.26</v>
      </c>
      <c r="R795">
        <v>0</v>
      </c>
      <c r="S795">
        <v>0</v>
      </c>
      <c r="T795">
        <v>0</v>
      </c>
      <c r="U795">
        <v>0</v>
      </c>
      <c r="V795">
        <v>810.26</v>
      </c>
      <c r="W795">
        <v>0</v>
      </c>
      <c r="X795">
        <v>1</v>
      </c>
      <c r="Y795">
        <v>1</v>
      </c>
      <c r="Z795">
        <v>14</v>
      </c>
      <c r="AA795">
        <v>2</v>
      </c>
      <c r="AB795" s="13" t="s">
        <v>405</v>
      </c>
      <c r="AC795">
        <v>0.25</v>
      </c>
      <c r="AD795">
        <v>0</v>
      </c>
      <c r="AE795" s="13" t="s">
        <v>61</v>
      </c>
    </row>
    <row r="796" spans="1:31" x14ac:dyDescent="0.35">
      <c r="A796" s="13" t="s">
        <v>1378</v>
      </c>
      <c r="B796" s="13" t="s">
        <v>558</v>
      </c>
      <c r="C796" s="13" t="s">
        <v>559</v>
      </c>
      <c r="D796" s="13" t="s">
        <v>52</v>
      </c>
      <c r="E796" s="13" t="s">
        <v>53</v>
      </c>
      <c r="F796" s="13" t="s">
        <v>54</v>
      </c>
      <c r="G796" s="13" t="s">
        <v>55</v>
      </c>
      <c r="H796">
        <v>240000</v>
      </c>
      <c r="I796" s="13" t="s">
        <v>56</v>
      </c>
      <c r="J796" s="13" t="s">
        <v>57</v>
      </c>
      <c r="K796" s="13" t="s">
        <v>58</v>
      </c>
      <c r="L796" s="13" t="s">
        <v>59</v>
      </c>
      <c r="M796">
        <v>45</v>
      </c>
      <c r="N796">
        <v>0</v>
      </c>
      <c r="O796" s="14">
        <v>45978</v>
      </c>
      <c r="P796" s="14">
        <v>46023</v>
      </c>
      <c r="Q796">
        <v>13148.9</v>
      </c>
      <c r="R796">
        <v>0</v>
      </c>
      <c r="S796">
        <v>0</v>
      </c>
      <c r="T796">
        <v>0</v>
      </c>
      <c r="U796">
        <v>0</v>
      </c>
      <c r="V796">
        <v>13148.9</v>
      </c>
      <c r="W796">
        <v>0</v>
      </c>
      <c r="X796">
        <v>1</v>
      </c>
      <c r="Y796">
        <v>0</v>
      </c>
      <c r="Z796">
        <v>-1</v>
      </c>
      <c r="AA796">
        <v>1</v>
      </c>
      <c r="AB796" s="13" t="s">
        <v>581</v>
      </c>
      <c r="AC796">
        <v>0</v>
      </c>
      <c r="AD796">
        <v>0</v>
      </c>
      <c r="AE796" s="13" t="s">
        <v>61</v>
      </c>
    </row>
    <row r="797" spans="1:31" x14ac:dyDescent="0.35">
      <c r="A797" s="13" t="s">
        <v>1379</v>
      </c>
      <c r="B797" s="13" t="s">
        <v>168</v>
      </c>
      <c r="C797" s="13" t="s">
        <v>169</v>
      </c>
      <c r="D797" s="13" t="s">
        <v>52</v>
      </c>
      <c r="E797" s="13" t="s">
        <v>65</v>
      </c>
      <c r="F797" s="13" t="s">
        <v>66</v>
      </c>
      <c r="G797" s="13" t="s">
        <v>67</v>
      </c>
      <c r="H797">
        <v>580000</v>
      </c>
      <c r="I797" s="13" t="s">
        <v>56</v>
      </c>
      <c r="J797" s="13" t="s">
        <v>57</v>
      </c>
      <c r="K797" s="13" t="s">
        <v>58</v>
      </c>
      <c r="L797" s="13" t="s">
        <v>59</v>
      </c>
      <c r="M797">
        <v>45</v>
      </c>
      <c r="N797">
        <v>0</v>
      </c>
      <c r="O797" s="14">
        <v>45978</v>
      </c>
      <c r="P797" s="14">
        <v>46023</v>
      </c>
      <c r="Q797">
        <v>11157.59</v>
      </c>
      <c r="R797">
        <v>0</v>
      </c>
      <c r="S797">
        <v>0</v>
      </c>
      <c r="T797">
        <v>0</v>
      </c>
      <c r="U797">
        <v>0</v>
      </c>
      <c r="V797">
        <v>11157.59</v>
      </c>
      <c r="W797">
        <v>0</v>
      </c>
      <c r="X797">
        <v>1</v>
      </c>
      <c r="Y797">
        <v>0</v>
      </c>
      <c r="Z797">
        <v>-1</v>
      </c>
      <c r="AA797">
        <v>1</v>
      </c>
      <c r="AB797" s="13" t="s">
        <v>581</v>
      </c>
      <c r="AC797">
        <v>0</v>
      </c>
      <c r="AD797">
        <v>1</v>
      </c>
      <c r="AE797" s="13" t="s">
        <v>465</v>
      </c>
    </row>
    <row r="798" spans="1:31" x14ac:dyDescent="0.35">
      <c r="A798" s="13" t="s">
        <v>1380</v>
      </c>
      <c r="B798" s="13" t="s">
        <v>69</v>
      </c>
      <c r="C798" s="13" t="s">
        <v>70</v>
      </c>
      <c r="D798" s="13" t="s">
        <v>52</v>
      </c>
      <c r="E798" s="13" t="s">
        <v>71</v>
      </c>
      <c r="F798" s="13" t="s">
        <v>72</v>
      </c>
      <c r="G798" s="13" t="s">
        <v>55</v>
      </c>
      <c r="H798">
        <v>580000</v>
      </c>
      <c r="I798" s="13" t="s">
        <v>56</v>
      </c>
      <c r="J798" s="13" t="s">
        <v>57</v>
      </c>
      <c r="K798" s="13" t="s">
        <v>58</v>
      </c>
      <c r="L798" s="13" t="s">
        <v>59</v>
      </c>
      <c r="M798">
        <v>45</v>
      </c>
      <c r="N798">
        <v>0</v>
      </c>
      <c r="O798" s="14">
        <v>45978</v>
      </c>
      <c r="P798" s="14">
        <v>46023</v>
      </c>
      <c r="Q798">
        <v>7712.6</v>
      </c>
      <c r="R798">
        <v>0</v>
      </c>
      <c r="S798">
        <v>0</v>
      </c>
      <c r="T798">
        <v>0</v>
      </c>
      <c r="U798">
        <v>0</v>
      </c>
      <c r="V798">
        <v>7712.6</v>
      </c>
      <c r="W798">
        <v>0</v>
      </c>
      <c r="X798">
        <v>1</v>
      </c>
      <c r="Y798">
        <v>0</v>
      </c>
      <c r="Z798">
        <v>-1</v>
      </c>
      <c r="AA798">
        <v>1</v>
      </c>
      <c r="AB798" s="13" t="s">
        <v>581</v>
      </c>
      <c r="AC798">
        <v>0</v>
      </c>
      <c r="AD798">
        <v>0</v>
      </c>
      <c r="AE798" s="13" t="s">
        <v>61</v>
      </c>
    </row>
    <row r="799" spans="1:31" x14ac:dyDescent="0.35">
      <c r="A799" s="13" t="s">
        <v>1381</v>
      </c>
      <c r="B799" s="13" t="s">
        <v>1382</v>
      </c>
      <c r="C799" s="13" t="s">
        <v>1383</v>
      </c>
      <c r="D799" s="13" t="s">
        <v>104</v>
      </c>
      <c r="E799" s="13" t="s">
        <v>77</v>
      </c>
      <c r="F799" s="13" t="s">
        <v>78</v>
      </c>
      <c r="G799" s="13" t="s">
        <v>92</v>
      </c>
      <c r="H799">
        <v>45000</v>
      </c>
      <c r="I799" s="13" t="s">
        <v>105</v>
      </c>
      <c r="J799" s="13" t="s">
        <v>106</v>
      </c>
      <c r="K799" s="13" t="s">
        <v>107</v>
      </c>
      <c r="L799" s="13" t="s">
        <v>95</v>
      </c>
      <c r="M799">
        <v>30</v>
      </c>
      <c r="N799">
        <v>0</v>
      </c>
      <c r="O799" s="14">
        <v>45978</v>
      </c>
      <c r="P799" s="14">
        <v>46008</v>
      </c>
      <c r="Q799">
        <v>6003.77</v>
      </c>
      <c r="R799">
        <v>0</v>
      </c>
      <c r="S799">
        <v>0</v>
      </c>
      <c r="T799">
        <v>0</v>
      </c>
      <c r="U799">
        <v>0</v>
      </c>
      <c r="V799">
        <v>6003.77</v>
      </c>
      <c r="W799">
        <v>0</v>
      </c>
      <c r="X799">
        <v>1</v>
      </c>
      <c r="Y799">
        <v>1</v>
      </c>
      <c r="Z799">
        <v>14</v>
      </c>
      <c r="AA799">
        <v>2</v>
      </c>
      <c r="AB799" s="13" t="s">
        <v>405</v>
      </c>
      <c r="AC799">
        <v>0.25</v>
      </c>
      <c r="AD799">
        <v>0</v>
      </c>
      <c r="AE799" s="13" t="s">
        <v>61</v>
      </c>
    </row>
    <row r="800" spans="1:31" x14ac:dyDescent="0.35">
      <c r="A800" s="13" t="s">
        <v>1384</v>
      </c>
      <c r="B800" s="13" t="s">
        <v>601</v>
      </c>
      <c r="C800" s="13" t="s">
        <v>602</v>
      </c>
      <c r="D800" s="13" t="s">
        <v>52</v>
      </c>
      <c r="E800" s="13" t="s">
        <v>53</v>
      </c>
      <c r="F800" s="13" t="s">
        <v>135</v>
      </c>
      <c r="G800" s="13" t="s">
        <v>67</v>
      </c>
      <c r="H800">
        <v>525000</v>
      </c>
      <c r="I800" s="13" t="s">
        <v>86</v>
      </c>
      <c r="J800" s="13" t="s">
        <v>87</v>
      </c>
      <c r="K800" s="13" t="s">
        <v>58</v>
      </c>
      <c r="L800" s="13" t="s">
        <v>59</v>
      </c>
      <c r="M800">
        <v>45</v>
      </c>
      <c r="N800">
        <v>0</v>
      </c>
      <c r="O800" s="14">
        <v>45978</v>
      </c>
      <c r="P800" s="14">
        <v>46023</v>
      </c>
      <c r="Q800">
        <v>17379.53</v>
      </c>
      <c r="R800">
        <v>0</v>
      </c>
      <c r="S800">
        <v>0</v>
      </c>
      <c r="T800">
        <v>0</v>
      </c>
      <c r="U800">
        <v>0</v>
      </c>
      <c r="V800">
        <v>17379.53</v>
      </c>
      <c r="W800">
        <v>0</v>
      </c>
      <c r="X800">
        <v>1</v>
      </c>
      <c r="Y800">
        <v>0</v>
      </c>
      <c r="Z800">
        <v>-1</v>
      </c>
      <c r="AA800">
        <v>1</v>
      </c>
      <c r="AB800" s="13" t="s">
        <v>581</v>
      </c>
      <c r="AC800">
        <v>0</v>
      </c>
      <c r="AD800">
        <v>0</v>
      </c>
      <c r="AE800" s="13" t="s">
        <v>61</v>
      </c>
    </row>
    <row r="801" spans="1:31" x14ac:dyDescent="0.35">
      <c r="A801" s="13" t="s">
        <v>1385</v>
      </c>
      <c r="B801" s="13" t="s">
        <v>144</v>
      </c>
      <c r="C801" s="13" t="s">
        <v>145</v>
      </c>
      <c r="D801" s="13" t="s">
        <v>52</v>
      </c>
      <c r="E801" s="13" t="s">
        <v>99</v>
      </c>
      <c r="F801" s="13" t="s">
        <v>100</v>
      </c>
      <c r="G801" s="13" t="s">
        <v>55</v>
      </c>
      <c r="H801">
        <v>590000</v>
      </c>
      <c r="I801" s="13" t="s">
        <v>56</v>
      </c>
      <c r="J801" s="13" t="s">
        <v>57</v>
      </c>
      <c r="K801" s="13" t="s">
        <v>58</v>
      </c>
      <c r="L801" s="13" t="s">
        <v>88</v>
      </c>
      <c r="M801">
        <v>60</v>
      </c>
      <c r="N801">
        <v>0</v>
      </c>
      <c r="O801" s="14">
        <v>45978</v>
      </c>
      <c r="P801" s="14">
        <v>46038</v>
      </c>
      <c r="Q801">
        <v>2945.97</v>
      </c>
      <c r="R801">
        <v>0</v>
      </c>
      <c r="S801">
        <v>0</v>
      </c>
      <c r="T801">
        <v>0</v>
      </c>
      <c r="U801">
        <v>0</v>
      </c>
      <c r="V801">
        <v>2945.97</v>
      </c>
      <c r="W801">
        <v>0</v>
      </c>
      <c r="X801">
        <v>1</v>
      </c>
      <c r="Y801">
        <v>0</v>
      </c>
      <c r="Z801">
        <v>-16</v>
      </c>
      <c r="AA801">
        <v>1</v>
      </c>
      <c r="AB801" s="13" t="s">
        <v>581</v>
      </c>
      <c r="AC801">
        <v>0</v>
      </c>
      <c r="AD801">
        <v>1</v>
      </c>
      <c r="AE801" s="13" t="s">
        <v>377</v>
      </c>
    </row>
    <row r="802" spans="1:31" x14ac:dyDescent="0.35">
      <c r="A802" s="13" t="s">
        <v>1386</v>
      </c>
      <c r="B802" s="13" t="s">
        <v>528</v>
      </c>
      <c r="C802" s="13" t="s">
        <v>529</v>
      </c>
      <c r="D802" s="13" t="s">
        <v>104</v>
      </c>
      <c r="E802" s="13" t="s">
        <v>71</v>
      </c>
      <c r="F802" s="13" t="s">
        <v>214</v>
      </c>
      <c r="G802" s="13" t="s">
        <v>55</v>
      </c>
      <c r="H802">
        <v>40000</v>
      </c>
      <c r="I802" s="13" t="s">
        <v>105</v>
      </c>
      <c r="J802" s="13" t="s">
        <v>106</v>
      </c>
      <c r="K802" s="13" t="s">
        <v>107</v>
      </c>
      <c r="L802" s="13" t="s">
        <v>88</v>
      </c>
      <c r="M802">
        <v>60</v>
      </c>
      <c r="N802">
        <v>0</v>
      </c>
      <c r="O802" s="14">
        <v>45978</v>
      </c>
      <c r="P802" s="14">
        <v>46038</v>
      </c>
      <c r="Q802">
        <v>7700.8</v>
      </c>
      <c r="R802">
        <v>0</v>
      </c>
      <c r="S802">
        <v>0</v>
      </c>
      <c r="T802">
        <v>0</v>
      </c>
      <c r="U802">
        <v>0</v>
      </c>
      <c r="V802">
        <v>7700.8</v>
      </c>
      <c r="W802">
        <v>0</v>
      </c>
      <c r="X802">
        <v>1</v>
      </c>
      <c r="Y802">
        <v>0</v>
      </c>
      <c r="Z802">
        <v>-16</v>
      </c>
      <c r="AA802">
        <v>1</v>
      </c>
      <c r="AB802" s="13" t="s">
        <v>581</v>
      </c>
      <c r="AC802">
        <v>0</v>
      </c>
      <c r="AD802">
        <v>0</v>
      </c>
      <c r="AE802" s="13" t="s">
        <v>61</v>
      </c>
    </row>
    <row r="803" spans="1:31" x14ac:dyDescent="0.35">
      <c r="A803" s="13" t="s">
        <v>1387</v>
      </c>
      <c r="B803" s="13" t="s">
        <v>584</v>
      </c>
      <c r="C803" s="13" t="s">
        <v>585</v>
      </c>
      <c r="D803" s="13" t="s">
        <v>104</v>
      </c>
      <c r="E803" s="13" t="s">
        <v>53</v>
      </c>
      <c r="F803" s="13" t="s">
        <v>54</v>
      </c>
      <c r="G803" s="13" t="s">
        <v>67</v>
      </c>
      <c r="H803">
        <v>115000</v>
      </c>
      <c r="I803" s="13" t="s">
        <v>121</v>
      </c>
      <c r="J803" s="13" t="s">
        <v>122</v>
      </c>
      <c r="K803" s="13" t="s">
        <v>107</v>
      </c>
      <c r="L803" s="13" t="s">
        <v>88</v>
      </c>
      <c r="M803">
        <v>60</v>
      </c>
      <c r="N803">
        <v>0</v>
      </c>
      <c r="O803" s="14">
        <v>45978</v>
      </c>
      <c r="P803" s="14">
        <v>46038</v>
      </c>
      <c r="Q803">
        <v>3810.36</v>
      </c>
      <c r="R803">
        <v>0</v>
      </c>
      <c r="S803">
        <v>0</v>
      </c>
      <c r="T803">
        <v>0</v>
      </c>
      <c r="U803">
        <v>0</v>
      </c>
      <c r="V803">
        <v>3810.36</v>
      </c>
      <c r="W803">
        <v>0</v>
      </c>
      <c r="X803">
        <v>1</v>
      </c>
      <c r="Y803">
        <v>0</v>
      </c>
      <c r="Z803">
        <v>-16</v>
      </c>
      <c r="AA803">
        <v>1</v>
      </c>
      <c r="AB803" s="13" t="s">
        <v>581</v>
      </c>
      <c r="AC803">
        <v>0</v>
      </c>
      <c r="AD803">
        <v>0</v>
      </c>
      <c r="AE803" s="13" t="s">
        <v>61</v>
      </c>
    </row>
    <row r="804" spans="1:31" x14ac:dyDescent="0.35">
      <c r="A804" s="13" t="s">
        <v>1388</v>
      </c>
      <c r="B804" s="13" t="s">
        <v>610</v>
      </c>
      <c r="C804" s="13" t="s">
        <v>611</v>
      </c>
      <c r="D804" s="13" t="s">
        <v>126</v>
      </c>
      <c r="E804" s="13" t="s">
        <v>65</v>
      </c>
      <c r="F804" s="13" t="s">
        <v>111</v>
      </c>
      <c r="G804" s="13" t="s">
        <v>67</v>
      </c>
      <c r="H804">
        <v>85000</v>
      </c>
      <c r="I804" s="13" t="s">
        <v>121</v>
      </c>
      <c r="J804" s="13" t="s">
        <v>122</v>
      </c>
      <c r="K804" s="13" t="s">
        <v>107</v>
      </c>
      <c r="L804" s="13" t="s">
        <v>88</v>
      </c>
      <c r="M804">
        <v>60</v>
      </c>
      <c r="N804">
        <v>0</v>
      </c>
      <c r="O804" s="14">
        <v>45978</v>
      </c>
      <c r="P804" s="14">
        <v>46038</v>
      </c>
      <c r="Q804">
        <v>2337</v>
      </c>
      <c r="R804">
        <v>0</v>
      </c>
      <c r="S804">
        <v>0</v>
      </c>
      <c r="T804">
        <v>0</v>
      </c>
      <c r="U804">
        <v>0</v>
      </c>
      <c r="V804">
        <v>2337</v>
      </c>
      <c r="W804">
        <v>0</v>
      </c>
      <c r="X804">
        <v>1</v>
      </c>
      <c r="Y804">
        <v>0</v>
      </c>
      <c r="Z804">
        <v>-16</v>
      </c>
      <c r="AA804">
        <v>1</v>
      </c>
      <c r="AB804" s="13" t="s">
        <v>581</v>
      </c>
      <c r="AC804">
        <v>0</v>
      </c>
      <c r="AD804">
        <v>0</v>
      </c>
      <c r="AE804" s="13" t="s">
        <v>61</v>
      </c>
    </row>
    <row r="805" spans="1:31" x14ac:dyDescent="0.35">
      <c r="A805" s="13" t="s">
        <v>1389</v>
      </c>
      <c r="B805" s="13" t="s">
        <v>1209</v>
      </c>
      <c r="C805" s="13" t="s">
        <v>1210</v>
      </c>
      <c r="D805" s="13" t="s">
        <v>104</v>
      </c>
      <c r="E805" s="13" t="s">
        <v>99</v>
      </c>
      <c r="F805" s="13" t="s">
        <v>127</v>
      </c>
      <c r="G805" s="13" t="s">
        <v>55</v>
      </c>
      <c r="H805">
        <v>145000</v>
      </c>
      <c r="I805" s="13" t="s">
        <v>105</v>
      </c>
      <c r="J805" s="13" t="s">
        <v>106</v>
      </c>
      <c r="K805" s="13" t="s">
        <v>107</v>
      </c>
      <c r="L805" s="13" t="s">
        <v>95</v>
      </c>
      <c r="M805">
        <v>30</v>
      </c>
      <c r="N805">
        <v>0</v>
      </c>
      <c r="O805" s="14">
        <v>45978</v>
      </c>
      <c r="P805" s="14">
        <v>46008</v>
      </c>
      <c r="Q805">
        <v>834.06</v>
      </c>
      <c r="R805">
        <v>0</v>
      </c>
      <c r="S805">
        <v>0</v>
      </c>
      <c r="T805">
        <v>0</v>
      </c>
      <c r="U805">
        <v>0</v>
      </c>
      <c r="V805">
        <v>834.06</v>
      </c>
      <c r="W805">
        <v>0</v>
      </c>
      <c r="X805">
        <v>1</v>
      </c>
      <c r="Y805">
        <v>1</v>
      </c>
      <c r="Z805">
        <v>14</v>
      </c>
      <c r="AA805">
        <v>2</v>
      </c>
      <c r="AB805" s="13" t="s">
        <v>405</v>
      </c>
      <c r="AC805">
        <v>0.25</v>
      </c>
      <c r="AD805">
        <v>0</v>
      </c>
      <c r="AE805" s="13" t="s">
        <v>61</v>
      </c>
    </row>
    <row r="806" spans="1:31" x14ac:dyDescent="0.35">
      <c r="A806" s="13" t="s">
        <v>1390</v>
      </c>
      <c r="B806" s="13" t="s">
        <v>446</v>
      </c>
      <c r="C806" s="13" t="s">
        <v>447</v>
      </c>
      <c r="D806" s="13" t="s">
        <v>52</v>
      </c>
      <c r="E806" s="13" t="s">
        <v>53</v>
      </c>
      <c r="F806" s="13" t="s">
        <v>54</v>
      </c>
      <c r="G806" s="13" t="s">
        <v>67</v>
      </c>
      <c r="H806">
        <v>245000</v>
      </c>
      <c r="I806" s="13" t="s">
        <v>86</v>
      </c>
      <c r="J806" s="13" t="s">
        <v>87</v>
      </c>
      <c r="K806" s="13" t="s">
        <v>58</v>
      </c>
      <c r="L806" s="13" t="s">
        <v>88</v>
      </c>
      <c r="M806">
        <v>60</v>
      </c>
      <c r="N806">
        <v>0</v>
      </c>
      <c r="O806" s="14">
        <v>45978</v>
      </c>
      <c r="P806" s="14">
        <v>46038</v>
      </c>
      <c r="Q806">
        <v>5227.21</v>
      </c>
      <c r="R806">
        <v>0</v>
      </c>
      <c r="S806">
        <v>0</v>
      </c>
      <c r="T806">
        <v>0</v>
      </c>
      <c r="U806">
        <v>0</v>
      </c>
      <c r="V806">
        <v>5227.21</v>
      </c>
      <c r="W806">
        <v>0</v>
      </c>
      <c r="X806">
        <v>1</v>
      </c>
      <c r="Y806">
        <v>0</v>
      </c>
      <c r="Z806">
        <v>-16</v>
      </c>
      <c r="AA806">
        <v>1</v>
      </c>
      <c r="AB806" s="13" t="s">
        <v>581</v>
      </c>
      <c r="AC806">
        <v>0</v>
      </c>
      <c r="AD806">
        <v>0</v>
      </c>
      <c r="AE806" s="13" t="s">
        <v>61</v>
      </c>
    </row>
    <row r="807" spans="1:31" x14ac:dyDescent="0.35">
      <c r="A807" s="13" t="s">
        <v>1391</v>
      </c>
      <c r="B807" s="13" t="s">
        <v>1155</v>
      </c>
      <c r="C807" s="13" t="s">
        <v>1156</v>
      </c>
      <c r="D807" s="13" t="s">
        <v>52</v>
      </c>
      <c r="E807" s="13" t="s">
        <v>53</v>
      </c>
      <c r="F807" s="13" t="s">
        <v>54</v>
      </c>
      <c r="G807" s="13" t="s">
        <v>67</v>
      </c>
      <c r="H807">
        <v>420000</v>
      </c>
      <c r="I807" s="13" t="s">
        <v>86</v>
      </c>
      <c r="J807" s="13" t="s">
        <v>87</v>
      </c>
      <c r="K807" s="13" t="s">
        <v>58</v>
      </c>
      <c r="L807" s="13" t="s">
        <v>88</v>
      </c>
      <c r="M807">
        <v>60</v>
      </c>
      <c r="N807">
        <v>0</v>
      </c>
      <c r="O807" s="14">
        <v>45978</v>
      </c>
      <c r="P807" s="14">
        <v>46038</v>
      </c>
      <c r="Q807">
        <v>5021.04</v>
      </c>
      <c r="R807">
        <v>0</v>
      </c>
      <c r="S807">
        <v>0</v>
      </c>
      <c r="T807">
        <v>0</v>
      </c>
      <c r="U807">
        <v>0</v>
      </c>
      <c r="V807">
        <v>5021.04</v>
      </c>
      <c r="W807">
        <v>0</v>
      </c>
      <c r="X807">
        <v>1</v>
      </c>
      <c r="Y807">
        <v>0</v>
      </c>
      <c r="Z807">
        <v>-16</v>
      </c>
      <c r="AA807">
        <v>1</v>
      </c>
      <c r="AB807" s="13" t="s">
        <v>581</v>
      </c>
      <c r="AC807">
        <v>0</v>
      </c>
      <c r="AD807">
        <v>0</v>
      </c>
      <c r="AE807" s="13" t="s">
        <v>61</v>
      </c>
    </row>
    <row r="808" spans="1:31" x14ac:dyDescent="0.35">
      <c r="A808" s="13" t="s">
        <v>1392</v>
      </c>
      <c r="B808" s="13" t="s">
        <v>1097</v>
      </c>
      <c r="C808" s="13" t="s">
        <v>1098</v>
      </c>
      <c r="D808" s="13" t="s">
        <v>52</v>
      </c>
      <c r="E808" s="13" t="s">
        <v>77</v>
      </c>
      <c r="F808" s="13" t="s">
        <v>78</v>
      </c>
      <c r="G808" s="13" t="s">
        <v>67</v>
      </c>
      <c r="H808">
        <v>510000</v>
      </c>
      <c r="I808" s="13" t="s">
        <v>86</v>
      </c>
      <c r="J808" s="13" t="s">
        <v>87</v>
      </c>
      <c r="K808" s="13" t="s">
        <v>58</v>
      </c>
      <c r="L808" s="13" t="s">
        <v>88</v>
      </c>
      <c r="M808">
        <v>60</v>
      </c>
      <c r="N808">
        <v>0</v>
      </c>
      <c r="O808" s="14">
        <v>45978</v>
      </c>
      <c r="P808" s="14">
        <v>46038</v>
      </c>
      <c r="Q808">
        <v>9395.31</v>
      </c>
      <c r="R808">
        <v>0</v>
      </c>
      <c r="S808">
        <v>0</v>
      </c>
      <c r="T808">
        <v>0</v>
      </c>
      <c r="U808">
        <v>0</v>
      </c>
      <c r="V808">
        <v>9395.31</v>
      </c>
      <c r="W808">
        <v>0</v>
      </c>
      <c r="X808">
        <v>1</v>
      </c>
      <c r="Y808">
        <v>0</v>
      </c>
      <c r="Z808">
        <v>-16</v>
      </c>
      <c r="AA808">
        <v>1</v>
      </c>
      <c r="AB808" s="13" t="s">
        <v>581</v>
      </c>
      <c r="AC808">
        <v>0</v>
      </c>
      <c r="AD808">
        <v>0</v>
      </c>
      <c r="AE808" s="13" t="s">
        <v>61</v>
      </c>
    </row>
    <row r="809" spans="1:31" x14ac:dyDescent="0.35">
      <c r="A809" s="13" t="s">
        <v>1393</v>
      </c>
      <c r="B809" s="13" t="s">
        <v>981</v>
      </c>
      <c r="C809" s="13" t="s">
        <v>982</v>
      </c>
      <c r="D809" s="13" t="s">
        <v>52</v>
      </c>
      <c r="E809" s="13" t="s">
        <v>53</v>
      </c>
      <c r="F809" s="13" t="s">
        <v>54</v>
      </c>
      <c r="G809" s="13" t="s">
        <v>67</v>
      </c>
      <c r="H809">
        <v>275000</v>
      </c>
      <c r="I809" s="13" t="s">
        <v>86</v>
      </c>
      <c r="J809" s="13" t="s">
        <v>87</v>
      </c>
      <c r="K809" s="13" t="s">
        <v>58</v>
      </c>
      <c r="L809" s="13" t="s">
        <v>88</v>
      </c>
      <c r="M809">
        <v>60</v>
      </c>
      <c r="N809">
        <v>0</v>
      </c>
      <c r="O809" s="14">
        <v>45978</v>
      </c>
      <c r="P809" s="14">
        <v>46038</v>
      </c>
      <c r="Q809">
        <v>7015.28</v>
      </c>
      <c r="R809">
        <v>0</v>
      </c>
      <c r="S809">
        <v>0</v>
      </c>
      <c r="T809">
        <v>0</v>
      </c>
      <c r="U809">
        <v>0</v>
      </c>
      <c r="V809">
        <v>7015.28</v>
      </c>
      <c r="W809">
        <v>0</v>
      </c>
      <c r="X809">
        <v>1</v>
      </c>
      <c r="Y809">
        <v>0</v>
      </c>
      <c r="Z809">
        <v>-16</v>
      </c>
      <c r="AA809">
        <v>1</v>
      </c>
      <c r="AB809" s="13" t="s">
        <v>581</v>
      </c>
      <c r="AC809">
        <v>0</v>
      </c>
      <c r="AD809">
        <v>0</v>
      </c>
      <c r="AE809" s="13" t="s">
        <v>61</v>
      </c>
    </row>
    <row r="810" spans="1:31" x14ac:dyDescent="0.35">
      <c r="A810" s="13" t="s">
        <v>1394</v>
      </c>
      <c r="B810" s="13" t="s">
        <v>1015</v>
      </c>
      <c r="C810" s="13" t="s">
        <v>1016</v>
      </c>
      <c r="D810" s="13" t="s">
        <v>52</v>
      </c>
      <c r="E810" s="13" t="s">
        <v>77</v>
      </c>
      <c r="F810" s="13" t="s">
        <v>174</v>
      </c>
      <c r="G810" s="13" t="s">
        <v>55</v>
      </c>
      <c r="H810">
        <v>590000</v>
      </c>
      <c r="I810" s="13" t="s">
        <v>56</v>
      </c>
      <c r="J810" s="13" t="s">
        <v>57</v>
      </c>
      <c r="K810" s="13" t="s">
        <v>58</v>
      </c>
      <c r="L810" s="13" t="s">
        <v>59</v>
      </c>
      <c r="M810">
        <v>45</v>
      </c>
      <c r="N810">
        <v>0</v>
      </c>
      <c r="O810" s="14">
        <v>45978</v>
      </c>
      <c r="P810" s="14">
        <v>46023</v>
      </c>
      <c r="Q810">
        <v>13674.87</v>
      </c>
      <c r="R810">
        <v>0</v>
      </c>
      <c r="S810">
        <v>0</v>
      </c>
      <c r="T810">
        <v>0</v>
      </c>
      <c r="U810">
        <v>0</v>
      </c>
      <c r="V810">
        <v>13674.87</v>
      </c>
      <c r="W810">
        <v>0</v>
      </c>
      <c r="X810">
        <v>1</v>
      </c>
      <c r="Y810">
        <v>0</v>
      </c>
      <c r="Z810">
        <v>-1</v>
      </c>
      <c r="AA810">
        <v>1</v>
      </c>
      <c r="AB810" s="13" t="s">
        <v>581</v>
      </c>
      <c r="AC810">
        <v>0</v>
      </c>
      <c r="AD810">
        <v>0</v>
      </c>
      <c r="AE810" s="13" t="s">
        <v>61</v>
      </c>
    </row>
    <row r="811" spans="1:31" x14ac:dyDescent="0.35">
      <c r="A811" s="13" t="s">
        <v>1395</v>
      </c>
      <c r="B811" s="13" t="s">
        <v>788</v>
      </c>
      <c r="C811" s="13" t="s">
        <v>789</v>
      </c>
      <c r="D811" s="13" t="s">
        <v>52</v>
      </c>
      <c r="E811" s="13" t="s">
        <v>53</v>
      </c>
      <c r="F811" s="13" t="s">
        <v>54</v>
      </c>
      <c r="G811" s="13" t="s">
        <v>67</v>
      </c>
      <c r="H811">
        <v>405000</v>
      </c>
      <c r="I811" s="13" t="s">
        <v>86</v>
      </c>
      <c r="J811" s="13" t="s">
        <v>87</v>
      </c>
      <c r="K811" s="13" t="s">
        <v>58</v>
      </c>
      <c r="L811" s="13" t="s">
        <v>88</v>
      </c>
      <c r="M811">
        <v>60</v>
      </c>
      <c r="N811">
        <v>0</v>
      </c>
      <c r="O811" s="14">
        <v>45978</v>
      </c>
      <c r="P811" s="14">
        <v>46038</v>
      </c>
      <c r="Q811">
        <v>2930.32</v>
      </c>
      <c r="R811">
        <v>0</v>
      </c>
      <c r="S811">
        <v>0</v>
      </c>
      <c r="T811">
        <v>0</v>
      </c>
      <c r="U811">
        <v>0</v>
      </c>
      <c r="V811">
        <v>2930.32</v>
      </c>
      <c r="W811">
        <v>0</v>
      </c>
      <c r="X811">
        <v>1</v>
      </c>
      <c r="Y811">
        <v>0</v>
      </c>
      <c r="Z811">
        <v>-16</v>
      </c>
      <c r="AA811">
        <v>1</v>
      </c>
      <c r="AB811" s="13" t="s">
        <v>581</v>
      </c>
      <c r="AC811">
        <v>0</v>
      </c>
      <c r="AD811">
        <v>0</v>
      </c>
      <c r="AE811" s="13" t="s">
        <v>61</v>
      </c>
    </row>
    <row r="812" spans="1:31" x14ac:dyDescent="0.35">
      <c r="A812" s="13" t="s">
        <v>1396</v>
      </c>
      <c r="B812" s="13" t="s">
        <v>1397</v>
      </c>
      <c r="C812" s="13" t="s">
        <v>1398</v>
      </c>
      <c r="D812" s="13" t="s">
        <v>76</v>
      </c>
      <c r="E812" s="13" t="s">
        <v>77</v>
      </c>
      <c r="F812" s="13" t="s">
        <v>78</v>
      </c>
      <c r="G812" s="13" t="s">
        <v>55</v>
      </c>
      <c r="H812">
        <v>75000</v>
      </c>
      <c r="I812" s="13" t="s">
        <v>79</v>
      </c>
      <c r="J812" s="13" t="s">
        <v>80</v>
      </c>
      <c r="K812" s="13" t="s">
        <v>81</v>
      </c>
      <c r="L812" s="13" t="s">
        <v>95</v>
      </c>
      <c r="M812">
        <v>30</v>
      </c>
      <c r="N812">
        <v>0</v>
      </c>
      <c r="O812" s="14">
        <v>45978</v>
      </c>
      <c r="P812" s="14">
        <v>46008</v>
      </c>
      <c r="Q812">
        <v>4596.99</v>
      </c>
      <c r="R812">
        <v>0</v>
      </c>
      <c r="S812">
        <v>0</v>
      </c>
      <c r="T812">
        <v>0</v>
      </c>
      <c r="U812">
        <v>0</v>
      </c>
      <c r="V812">
        <v>4596.99</v>
      </c>
      <c r="W812">
        <v>0</v>
      </c>
      <c r="X812">
        <v>1</v>
      </c>
      <c r="Y812">
        <v>1</v>
      </c>
      <c r="Z812">
        <v>14</v>
      </c>
      <c r="AA812">
        <v>2</v>
      </c>
      <c r="AB812" s="13" t="s">
        <v>405</v>
      </c>
      <c r="AC812">
        <v>0.25</v>
      </c>
      <c r="AD812">
        <v>0</v>
      </c>
      <c r="AE812" s="13" t="s">
        <v>61</v>
      </c>
    </row>
    <row r="813" spans="1:31" x14ac:dyDescent="0.35">
      <c r="A813" s="13" t="s">
        <v>1399</v>
      </c>
      <c r="B813" s="13" t="s">
        <v>63</v>
      </c>
      <c r="C813" s="13" t="s">
        <v>64</v>
      </c>
      <c r="D813" s="13" t="s">
        <v>52</v>
      </c>
      <c r="E813" s="13" t="s">
        <v>65</v>
      </c>
      <c r="F813" s="13" t="s">
        <v>66</v>
      </c>
      <c r="G813" s="13" t="s">
        <v>67</v>
      </c>
      <c r="H813">
        <v>315000</v>
      </c>
      <c r="I813" s="13" t="s">
        <v>56</v>
      </c>
      <c r="J813" s="13" t="s">
        <v>57</v>
      </c>
      <c r="K813" s="13" t="s">
        <v>58</v>
      </c>
      <c r="L813" s="13" t="s">
        <v>59</v>
      </c>
      <c r="M813">
        <v>45</v>
      </c>
      <c r="N813">
        <v>0</v>
      </c>
      <c r="O813" s="14">
        <v>45978</v>
      </c>
      <c r="P813" s="14">
        <v>46023</v>
      </c>
      <c r="Q813">
        <v>7363.33</v>
      </c>
      <c r="R813">
        <v>0</v>
      </c>
      <c r="S813">
        <v>0</v>
      </c>
      <c r="T813">
        <v>0</v>
      </c>
      <c r="U813">
        <v>0</v>
      </c>
      <c r="V813">
        <v>7363.33</v>
      </c>
      <c r="W813">
        <v>0</v>
      </c>
      <c r="X813">
        <v>1</v>
      </c>
      <c r="Y813">
        <v>0</v>
      </c>
      <c r="Z813">
        <v>-1</v>
      </c>
      <c r="AA813">
        <v>1</v>
      </c>
      <c r="AB813" s="13" t="s">
        <v>581</v>
      </c>
      <c r="AC813">
        <v>0</v>
      </c>
      <c r="AD813">
        <v>1</v>
      </c>
      <c r="AE813" s="13" t="s">
        <v>377</v>
      </c>
    </row>
    <row r="814" spans="1:31" x14ac:dyDescent="0.35">
      <c r="A814" s="13" t="s">
        <v>1400</v>
      </c>
      <c r="B814" s="13" t="s">
        <v>430</v>
      </c>
      <c r="C814" s="13" t="s">
        <v>431</v>
      </c>
      <c r="D814" s="13" t="s">
        <v>126</v>
      </c>
      <c r="E814" s="13" t="s">
        <v>77</v>
      </c>
      <c r="F814" s="13" t="s">
        <v>174</v>
      </c>
      <c r="G814" s="13" t="s">
        <v>67</v>
      </c>
      <c r="H814">
        <v>195000</v>
      </c>
      <c r="I814" s="13" t="s">
        <v>56</v>
      </c>
      <c r="J814" s="13" t="s">
        <v>57</v>
      </c>
      <c r="K814" s="13" t="s">
        <v>58</v>
      </c>
      <c r="L814" s="13" t="s">
        <v>368</v>
      </c>
      <c r="M814">
        <v>90</v>
      </c>
      <c r="N814">
        <v>0</v>
      </c>
      <c r="O814" s="14">
        <v>45978</v>
      </c>
      <c r="P814" s="14">
        <v>46068</v>
      </c>
      <c r="Q814">
        <v>6007.67</v>
      </c>
      <c r="R814">
        <v>0</v>
      </c>
      <c r="S814">
        <v>0</v>
      </c>
      <c r="T814">
        <v>0</v>
      </c>
      <c r="U814">
        <v>0</v>
      </c>
      <c r="V814">
        <v>6007.67</v>
      </c>
      <c r="W814">
        <v>0</v>
      </c>
      <c r="X814">
        <v>1</v>
      </c>
      <c r="Y814">
        <v>0</v>
      </c>
      <c r="Z814">
        <v>-46</v>
      </c>
      <c r="AA814">
        <v>1</v>
      </c>
      <c r="AB814" s="13" t="s">
        <v>581</v>
      </c>
      <c r="AC814">
        <v>0</v>
      </c>
      <c r="AD814">
        <v>0</v>
      </c>
      <c r="AE814" s="13" t="s">
        <v>61</v>
      </c>
    </row>
    <row r="815" spans="1:31" x14ac:dyDescent="0.35">
      <c r="A815" s="13" t="s">
        <v>1401</v>
      </c>
      <c r="B815" s="13" t="s">
        <v>172</v>
      </c>
      <c r="C815" s="13" t="s">
        <v>173</v>
      </c>
      <c r="D815" s="13" t="s">
        <v>52</v>
      </c>
      <c r="E815" s="13" t="s">
        <v>77</v>
      </c>
      <c r="F815" s="13" t="s">
        <v>174</v>
      </c>
      <c r="G815" s="13" t="s">
        <v>67</v>
      </c>
      <c r="H815">
        <v>590000</v>
      </c>
      <c r="I815" s="13" t="s">
        <v>56</v>
      </c>
      <c r="J815" s="13" t="s">
        <v>57</v>
      </c>
      <c r="K815" s="13" t="s">
        <v>58</v>
      </c>
      <c r="L815" s="13" t="s">
        <v>59</v>
      </c>
      <c r="M815">
        <v>45</v>
      </c>
      <c r="N815">
        <v>0</v>
      </c>
      <c r="O815" s="14">
        <v>45978</v>
      </c>
      <c r="P815" s="14">
        <v>46023</v>
      </c>
      <c r="Q815">
        <v>16571.669999999998</v>
      </c>
      <c r="R815">
        <v>0</v>
      </c>
      <c r="S815">
        <v>0</v>
      </c>
      <c r="T815">
        <v>0</v>
      </c>
      <c r="U815">
        <v>0</v>
      </c>
      <c r="V815">
        <v>16571.669999999998</v>
      </c>
      <c r="W815">
        <v>0</v>
      </c>
      <c r="X815">
        <v>1</v>
      </c>
      <c r="Y815">
        <v>0</v>
      </c>
      <c r="Z815">
        <v>-1</v>
      </c>
      <c r="AA815">
        <v>1</v>
      </c>
      <c r="AB815" s="13" t="s">
        <v>581</v>
      </c>
      <c r="AC815">
        <v>0</v>
      </c>
      <c r="AD815">
        <v>0</v>
      </c>
      <c r="AE815" s="13" t="s">
        <v>61</v>
      </c>
    </row>
    <row r="816" spans="1:31" x14ac:dyDescent="0.35">
      <c r="A816" s="13" t="s">
        <v>1402</v>
      </c>
      <c r="B816" s="13" t="s">
        <v>425</v>
      </c>
      <c r="C816" s="13" t="s">
        <v>426</v>
      </c>
      <c r="D816" s="13" t="s">
        <v>126</v>
      </c>
      <c r="E816" s="13" t="s">
        <v>77</v>
      </c>
      <c r="F816" s="13" t="s">
        <v>78</v>
      </c>
      <c r="G816" s="13" t="s">
        <v>67</v>
      </c>
      <c r="H816">
        <v>230000</v>
      </c>
      <c r="I816" s="13" t="s">
        <v>56</v>
      </c>
      <c r="J816" s="13" t="s">
        <v>57</v>
      </c>
      <c r="K816" s="13" t="s">
        <v>58</v>
      </c>
      <c r="L816" s="13" t="s">
        <v>368</v>
      </c>
      <c r="M816">
        <v>90</v>
      </c>
      <c r="N816">
        <v>0</v>
      </c>
      <c r="O816" s="14">
        <v>45978</v>
      </c>
      <c r="P816" s="14">
        <v>46068</v>
      </c>
      <c r="Q816">
        <v>7143.36</v>
      </c>
      <c r="R816">
        <v>0</v>
      </c>
      <c r="S816">
        <v>0</v>
      </c>
      <c r="T816">
        <v>0</v>
      </c>
      <c r="U816">
        <v>0</v>
      </c>
      <c r="V816">
        <v>7143.36</v>
      </c>
      <c r="W816">
        <v>0</v>
      </c>
      <c r="X816">
        <v>1</v>
      </c>
      <c r="Y816">
        <v>0</v>
      </c>
      <c r="Z816">
        <v>-46</v>
      </c>
      <c r="AA816">
        <v>1</v>
      </c>
      <c r="AB816" s="13" t="s">
        <v>581</v>
      </c>
      <c r="AC816">
        <v>0</v>
      </c>
      <c r="AD816">
        <v>0</v>
      </c>
      <c r="AE816" s="13" t="s">
        <v>61</v>
      </c>
    </row>
    <row r="817" spans="1:31" x14ac:dyDescent="0.35">
      <c r="A817" s="13" t="s">
        <v>1403</v>
      </c>
      <c r="B817" s="13" t="s">
        <v>902</v>
      </c>
      <c r="C817" s="13" t="s">
        <v>903</v>
      </c>
      <c r="D817" s="13" t="s">
        <v>52</v>
      </c>
      <c r="E817" s="13" t="s">
        <v>65</v>
      </c>
      <c r="F817" s="13" t="s">
        <v>111</v>
      </c>
      <c r="G817" s="13" t="s">
        <v>67</v>
      </c>
      <c r="H817">
        <v>540000</v>
      </c>
      <c r="I817" s="13" t="s">
        <v>56</v>
      </c>
      <c r="J817" s="13" t="s">
        <v>57</v>
      </c>
      <c r="K817" s="13" t="s">
        <v>58</v>
      </c>
      <c r="L817" s="13" t="s">
        <v>59</v>
      </c>
      <c r="M817">
        <v>45</v>
      </c>
      <c r="N817">
        <v>0</v>
      </c>
      <c r="O817" s="14">
        <v>45978</v>
      </c>
      <c r="P817" s="14">
        <v>46023</v>
      </c>
      <c r="Q817">
        <v>6389.71</v>
      </c>
      <c r="R817">
        <v>0</v>
      </c>
      <c r="S817">
        <v>0</v>
      </c>
      <c r="T817">
        <v>0</v>
      </c>
      <c r="U817">
        <v>0</v>
      </c>
      <c r="V817">
        <v>6389.71</v>
      </c>
      <c r="W817">
        <v>0</v>
      </c>
      <c r="X817">
        <v>1</v>
      </c>
      <c r="Y817">
        <v>0</v>
      </c>
      <c r="Z817">
        <v>-1</v>
      </c>
      <c r="AA817">
        <v>1</v>
      </c>
      <c r="AB817" s="13" t="s">
        <v>581</v>
      </c>
      <c r="AC817">
        <v>0</v>
      </c>
      <c r="AD817">
        <v>0</v>
      </c>
      <c r="AE817" s="13" t="s">
        <v>61</v>
      </c>
    </row>
    <row r="818" spans="1:31" x14ac:dyDescent="0.35">
      <c r="A818" s="13" t="s">
        <v>1404</v>
      </c>
      <c r="B818" s="13" t="s">
        <v>1405</v>
      </c>
      <c r="C818" s="13" t="s">
        <v>1406</v>
      </c>
      <c r="D818" s="13" t="s">
        <v>52</v>
      </c>
      <c r="E818" s="13" t="s">
        <v>53</v>
      </c>
      <c r="F818" s="13" t="s">
        <v>54</v>
      </c>
      <c r="G818" s="13" t="s">
        <v>67</v>
      </c>
      <c r="H818">
        <v>445000</v>
      </c>
      <c r="I818" s="13" t="s">
        <v>86</v>
      </c>
      <c r="J818" s="13" t="s">
        <v>87</v>
      </c>
      <c r="K818" s="13" t="s">
        <v>58</v>
      </c>
      <c r="L818" s="13" t="s">
        <v>59</v>
      </c>
      <c r="M818">
        <v>45</v>
      </c>
      <c r="N818">
        <v>0</v>
      </c>
      <c r="O818" s="14">
        <v>45978</v>
      </c>
      <c r="P818" s="14">
        <v>46023</v>
      </c>
      <c r="Q818">
        <v>3525.75</v>
      </c>
      <c r="R818">
        <v>2115.4499999999998</v>
      </c>
      <c r="S818">
        <v>0</v>
      </c>
      <c r="T818">
        <v>0</v>
      </c>
      <c r="U818">
        <v>0</v>
      </c>
      <c r="V818">
        <v>1410.3</v>
      </c>
      <c r="W818">
        <v>0</v>
      </c>
      <c r="X818">
        <v>1</v>
      </c>
      <c r="Y818">
        <v>0</v>
      </c>
      <c r="Z818">
        <v>-1</v>
      </c>
      <c r="AA818">
        <v>1</v>
      </c>
      <c r="AB818" s="13" t="s">
        <v>581</v>
      </c>
      <c r="AC818">
        <v>0</v>
      </c>
      <c r="AD818">
        <v>0</v>
      </c>
      <c r="AE818" s="13" t="s">
        <v>61</v>
      </c>
    </row>
    <row r="819" spans="1:31" x14ac:dyDescent="0.35">
      <c r="A819" s="13" t="s">
        <v>1407</v>
      </c>
      <c r="B819" s="13" t="s">
        <v>772</v>
      </c>
      <c r="C819" s="13" t="s">
        <v>773</v>
      </c>
      <c r="D819" s="13" t="s">
        <v>76</v>
      </c>
      <c r="E819" s="13" t="s">
        <v>99</v>
      </c>
      <c r="F819" s="13" t="s">
        <v>100</v>
      </c>
      <c r="G819" s="13" t="s">
        <v>55</v>
      </c>
      <c r="H819">
        <v>105000</v>
      </c>
      <c r="I819" s="13" t="s">
        <v>79</v>
      </c>
      <c r="J819" s="13" t="s">
        <v>80</v>
      </c>
      <c r="K819" s="13" t="s">
        <v>81</v>
      </c>
      <c r="L819" s="13" t="s">
        <v>82</v>
      </c>
      <c r="M819">
        <v>30</v>
      </c>
      <c r="N819">
        <v>2</v>
      </c>
      <c r="O819" s="14">
        <v>45978</v>
      </c>
      <c r="P819" s="14">
        <v>46008</v>
      </c>
      <c r="Q819">
        <v>4007.4</v>
      </c>
      <c r="R819">
        <v>0</v>
      </c>
      <c r="S819">
        <v>0</v>
      </c>
      <c r="T819">
        <v>0</v>
      </c>
      <c r="U819">
        <v>0</v>
      </c>
      <c r="V819">
        <v>4007.4</v>
      </c>
      <c r="W819">
        <v>0</v>
      </c>
      <c r="X819">
        <v>1</v>
      </c>
      <c r="Y819">
        <v>1</v>
      </c>
      <c r="Z819">
        <v>14</v>
      </c>
      <c r="AA819">
        <v>2</v>
      </c>
      <c r="AB819" s="13" t="s">
        <v>405</v>
      </c>
      <c r="AC819">
        <v>0.25</v>
      </c>
      <c r="AD819">
        <v>0</v>
      </c>
      <c r="AE819" s="13" t="s">
        <v>61</v>
      </c>
    </row>
    <row r="820" spans="1:31" x14ac:dyDescent="0.35">
      <c r="A820" s="13" t="s">
        <v>1408</v>
      </c>
      <c r="B820" s="13" t="s">
        <v>1105</v>
      </c>
      <c r="C820" s="13" t="s">
        <v>1106</v>
      </c>
      <c r="D820" s="13" t="s">
        <v>52</v>
      </c>
      <c r="E820" s="13" t="s">
        <v>71</v>
      </c>
      <c r="F820" s="13" t="s">
        <v>72</v>
      </c>
      <c r="G820" s="13" t="s">
        <v>67</v>
      </c>
      <c r="H820">
        <v>205000</v>
      </c>
      <c r="I820" s="13" t="s">
        <v>56</v>
      </c>
      <c r="J820" s="13" t="s">
        <v>57</v>
      </c>
      <c r="K820" s="13" t="s">
        <v>58</v>
      </c>
      <c r="L820" s="13" t="s">
        <v>88</v>
      </c>
      <c r="M820">
        <v>60</v>
      </c>
      <c r="N820">
        <v>0</v>
      </c>
      <c r="O820" s="14">
        <v>45978</v>
      </c>
      <c r="P820" s="14">
        <v>46038</v>
      </c>
      <c r="Q820">
        <v>11897.58</v>
      </c>
      <c r="R820">
        <v>0</v>
      </c>
      <c r="S820">
        <v>0</v>
      </c>
      <c r="T820">
        <v>0</v>
      </c>
      <c r="U820">
        <v>0</v>
      </c>
      <c r="V820">
        <v>11897.58</v>
      </c>
      <c r="W820">
        <v>0</v>
      </c>
      <c r="X820">
        <v>1</v>
      </c>
      <c r="Y820">
        <v>0</v>
      </c>
      <c r="Z820">
        <v>-16</v>
      </c>
      <c r="AA820">
        <v>1</v>
      </c>
      <c r="AB820" s="13" t="s">
        <v>581</v>
      </c>
      <c r="AC820">
        <v>0</v>
      </c>
      <c r="AD820">
        <v>0</v>
      </c>
      <c r="AE820" s="13" t="s">
        <v>61</v>
      </c>
    </row>
    <row r="821" spans="1:31" x14ac:dyDescent="0.35">
      <c r="A821" s="13" t="s">
        <v>1409</v>
      </c>
      <c r="B821" s="13" t="s">
        <v>50</v>
      </c>
      <c r="C821" s="13" t="s">
        <v>51</v>
      </c>
      <c r="D821" s="13" t="s">
        <v>52</v>
      </c>
      <c r="E821" s="13" t="s">
        <v>53</v>
      </c>
      <c r="F821" s="13" t="s">
        <v>54</v>
      </c>
      <c r="G821" s="13" t="s">
        <v>55</v>
      </c>
      <c r="H821">
        <v>585000</v>
      </c>
      <c r="I821" s="13" t="s">
        <v>56</v>
      </c>
      <c r="J821" s="13" t="s">
        <v>57</v>
      </c>
      <c r="K821" s="13" t="s">
        <v>58</v>
      </c>
      <c r="L821" s="13" t="s">
        <v>59</v>
      </c>
      <c r="M821">
        <v>45</v>
      </c>
      <c r="N821">
        <v>0</v>
      </c>
      <c r="O821" s="14">
        <v>45978</v>
      </c>
      <c r="P821" s="14">
        <v>46023</v>
      </c>
      <c r="Q821">
        <v>1964.39</v>
      </c>
      <c r="R821">
        <v>0</v>
      </c>
      <c r="S821">
        <v>0</v>
      </c>
      <c r="T821">
        <v>0</v>
      </c>
      <c r="U821">
        <v>0</v>
      </c>
      <c r="V821">
        <v>1964.39</v>
      </c>
      <c r="W821">
        <v>0</v>
      </c>
      <c r="X821">
        <v>1</v>
      </c>
      <c r="Y821">
        <v>0</v>
      </c>
      <c r="Z821">
        <v>-1</v>
      </c>
      <c r="AA821">
        <v>1</v>
      </c>
      <c r="AB821" s="13" t="s">
        <v>581</v>
      </c>
      <c r="AC821">
        <v>0</v>
      </c>
      <c r="AD821">
        <v>0</v>
      </c>
      <c r="AE821" s="13" t="s">
        <v>61</v>
      </c>
    </row>
    <row r="822" spans="1:31" x14ac:dyDescent="0.35">
      <c r="A822" s="13" t="s">
        <v>1410</v>
      </c>
      <c r="B822" s="13" t="s">
        <v>1411</v>
      </c>
      <c r="C822" s="13" t="s">
        <v>1412</v>
      </c>
      <c r="D822" s="13" t="s">
        <v>104</v>
      </c>
      <c r="E822" s="13" t="s">
        <v>77</v>
      </c>
      <c r="F822" s="13" t="s">
        <v>78</v>
      </c>
      <c r="G822" s="13" t="s">
        <v>55</v>
      </c>
      <c r="H822">
        <v>110000</v>
      </c>
      <c r="I822" s="13" t="s">
        <v>121</v>
      </c>
      <c r="J822" s="13" t="s">
        <v>122</v>
      </c>
      <c r="K822" s="13" t="s">
        <v>107</v>
      </c>
      <c r="L822" s="13" t="s">
        <v>95</v>
      </c>
      <c r="M822">
        <v>30</v>
      </c>
      <c r="N822">
        <v>0</v>
      </c>
      <c r="O822" s="14">
        <v>45978</v>
      </c>
      <c r="P822" s="14">
        <v>46008</v>
      </c>
      <c r="Q822">
        <v>1368.42</v>
      </c>
      <c r="R822">
        <v>0</v>
      </c>
      <c r="S822">
        <v>0</v>
      </c>
      <c r="T822">
        <v>0</v>
      </c>
      <c r="U822">
        <v>0</v>
      </c>
      <c r="V822">
        <v>1368.42</v>
      </c>
      <c r="W822">
        <v>0</v>
      </c>
      <c r="X822">
        <v>1</v>
      </c>
      <c r="Y822">
        <v>1</v>
      </c>
      <c r="Z822">
        <v>14</v>
      </c>
      <c r="AA822">
        <v>2</v>
      </c>
      <c r="AB822" s="13" t="s">
        <v>405</v>
      </c>
      <c r="AC822">
        <v>0.25</v>
      </c>
      <c r="AD822">
        <v>0</v>
      </c>
      <c r="AE822" s="13" t="s">
        <v>61</v>
      </c>
    </row>
    <row r="823" spans="1:31" x14ac:dyDescent="0.35">
      <c r="A823" s="13" t="s">
        <v>1413</v>
      </c>
      <c r="B823" s="13" t="s">
        <v>1414</v>
      </c>
      <c r="C823" s="13" t="s">
        <v>1415</v>
      </c>
      <c r="D823" s="13" t="s">
        <v>104</v>
      </c>
      <c r="E823" s="13" t="s">
        <v>65</v>
      </c>
      <c r="F823" s="13" t="s">
        <v>66</v>
      </c>
      <c r="G823" s="13" t="s">
        <v>55</v>
      </c>
      <c r="H823">
        <v>60000</v>
      </c>
      <c r="I823" s="13" t="s">
        <v>121</v>
      </c>
      <c r="J823" s="13" t="s">
        <v>122</v>
      </c>
      <c r="K823" s="13" t="s">
        <v>107</v>
      </c>
      <c r="L823" s="13" t="s">
        <v>95</v>
      </c>
      <c r="M823">
        <v>30</v>
      </c>
      <c r="N823">
        <v>0</v>
      </c>
      <c r="O823" s="14">
        <v>45978</v>
      </c>
      <c r="P823" s="14">
        <v>46008</v>
      </c>
      <c r="Q823">
        <v>940.97</v>
      </c>
      <c r="R823">
        <v>564.58000000000004</v>
      </c>
      <c r="S823">
        <v>0</v>
      </c>
      <c r="T823">
        <v>0</v>
      </c>
      <c r="U823">
        <v>0</v>
      </c>
      <c r="V823">
        <v>376.39</v>
      </c>
      <c r="W823">
        <v>0</v>
      </c>
      <c r="X823">
        <v>1</v>
      </c>
      <c r="Y823">
        <v>1</v>
      </c>
      <c r="Z823">
        <v>14</v>
      </c>
      <c r="AA823">
        <v>2</v>
      </c>
      <c r="AB823" s="13" t="s">
        <v>405</v>
      </c>
      <c r="AC823">
        <v>0.25</v>
      </c>
      <c r="AD823">
        <v>0</v>
      </c>
      <c r="AE823" s="13" t="s">
        <v>61</v>
      </c>
    </row>
    <row r="824" spans="1:31" x14ac:dyDescent="0.35">
      <c r="A824" s="13" t="s">
        <v>1416</v>
      </c>
      <c r="B824" s="13" t="s">
        <v>263</v>
      </c>
      <c r="C824" s="13" t="s">
        <v>264</v>
      </c>
      <c r="D824" s="13" t="s">
        <v>52</v>
      </c>
      <c r="E824" s="13" t="s">
        <v>99</v>
      </c>
      <c r="F824" s="13" t="s">
        <v>100</v>
      </c>
      <c r="G824" s="13" t="s">
        <v>55</v>
      </c>
      <c r="H824">
        <v>590000</v>
      </c>
      <c r="I824" s="13" t="s">
        <v>86</v>
      </c>
      <c r="J824" s="13" t="s">
        <v>87</v>
      </c>
      <c r="K824" s="13" t="s">
        <v>58</v>
      </c>
      <c r="L824" s="13" t="s">
        <v>88</v>
      </c>
      <c r="M824">
        <v>60</v>
      </c>
      <c r="N824">
        <v>0</v>
      </c>
      <c r="O824" s="14">
        <v>45978</v>
      </c>
      <c r="P824" s="14">
        <v>46038</v>
      </c>
      <c r="Q824">
        <v>6756.48</v>
      </c>
      <c r="R824">
        <v>0</v>
      </c>
      <c r="S824">
        <v>0</v>
      </c>
      <c r="T824">
        <v>0</v>
      </c>
      <c r="U824">
        <v>0</v>
      </c>
      <c r="V824">
        <v>6756.48</v>
      </c>
      <c r="W824">
        <v>0</v>
      </c>
      <c r="X824">
        <v>1</v>
      </c>
      <c r="Y824">
        <v>0</v>
      </c>
      <c r="Z824">
        <v>-16</v>
      </c>
      <c r="AA824">
        <v>1</v>
      </c>
      <c r="AB824" s="13" t="s">
        <v>581</v>
      </c>
      <c r="AC824">
        <v>0</v>
      </c>
      <c r="AD824">
        <v>0</v>
      </c>
      <c r="AE824" s="13" t="s">
        <v>61</v>
      </c>
    </row>
    <row r="825" spans="1:31" x14ac:dyDescent="0.35">
      <c r="A825" s="13" t="s">
        <v>1417</v>
      </c>
      <c r="B825" s="13" t="s">
        <v>958</v>
      </c>
      <c r="C825" s="13" t="s">
        <v>959</v>
      </c>
      <c r="D825" s="13" t="s">
        <v>52</v>
      </c>
      <c r="E825" s="13" t="s">
        <v>99</v>
      </c>
      <c r="F825" s="13" t="s">
        <v>100</v>
      </c>
      <c r="G825" s="13" t="s">
        <v>55</v>
      </c>
      <c r="H825">
        <v>270000</v>
      </c>
      <c r="I825" s="13" t="s">
        <v>56</v>
      </c>
      <c r="J825" s="13" t="s">
        <v>57</v>
      </c>
      <c r="K825" s="13" t="s">
        <v>58</v>
      </c>
      <c r="L825" s="13" t="s">
        <v>59</v>
      </c>
      <c r="M825">
        <v>45</v>
      </c>
      <c r="N825">
        <v>0</v>
      </c>
      <c r="O825" s="14">
        <v>45978</v>
      </c>
      <c r="P825" s="14">
        <v>46023</v>
      </c>
      <c r="Q825">
        <v>12180.52</v>
      </c>
      <c r="R825">
        <v>0</v>
      </c>
      <c r="S825">
        <v>0</v>
      </c>
      <c r="T825">
        <v>0</v>
      </c>
      <c r="U825">
        <v>0</v>
      </c>
      <c r="V825">
        <v>12180.52</v>
      </c>
      <c r="W825">
        <v>0</v>
      </c>
      <c r="X825">
        <v>1</v>
      </c>
      <c r="Y825">
        <v>0</v>
      </c>
      <c r="Z825">
        <v>-1</v>
      </c>
      <c r="AA825">
        <v>1</v>
      </c>
      <c r="AB825" s="13" t="s">
        <v>581</v>
      </c>
      <c r="AC825">
        <v>0</v>
      </c>
      <c r="AD825">
        <v>0</v>
      </c>
      <c r="AE825" s="13" t="s">
        <v>61</v>
      </c>
    </row>
    <row r="826" spans="1:31" x14ac:dyDescent="0.35">
      <c r="A826" s="13" t="s">
        <v>1418</v>
      </c>
      <c r="B826" s="13" t="s">
        <v>186</v>
      </c>
      <c r="C826" s="13" t="s">
        <v>187</v>
      </c>
      <c r="D826" s="13" t="s">
        <v>76</v>
      </c>
      <c r="E826" s="13" t="s">
        <v>65</v>
      </c>
      <c r="F826" s="13" t="s">
        <v>66</v>
      </c>
      <c r="G826" s="13" t="s">
        <v>55</v>
      </c>
      <c r="H826">
        <v>120000</v>
      </c>
      <c r="I826" s="13" t="s">
        <v>93</v>
      </c>
      <c r="J826" s="13" t="s">
        <v>94</v>
      </c>
      <c r="K826" s="13" t="s">
        <v>81</v>
      </c>
      <c r="L826" s="13" t="s">
        <v>95</v>
      </c>
      <c r="M826">
        <v>30</v>
      </c>
      <c r="N826">
        <v>0</v>
      </c>
      <c r="O826" s="14">
        <v>45979</v>
      </c>
      <c r="P826" s="14">
        <v>46009</v>
      </c>
      <c r="Q826">
        <v>1133.07</v>
      </c>
      <c r="R826">
        <v>0</v>
      </c>
      <c r="S826">
        <v>0</v>
      </c>
      <c r="T826">
        <v>0</v>
      </c>
      <c r="U826">
        <v>0</v>
      </c>
      <c r="V826">
        <v>1133.07</v>
      </c>
      <c r="W826">
        <v>0</v>
      </c>
      <c r="X826">
        <v>1</v>
      </c>
      <c r="Y826">
        <v>1</v>
      </c>
      <c r="Z826">
        <v>13</v>
      </c>
      <c r="AA826">
        <v>2</v>
      </c>
      <c r="AB826" s="13" t="s">
        <v>405</v>
      </c>
      <c r="AC826">
        <v>0.25</v>
      </c>
      <c r="AD826">
        <v>0</v>
      </c>
      <c r="AE826" s="13" t="s">
        <v>61</v>
      </c>
    </row>
    <row r="827" spans="1:31" x14ac:dyDescent="0.35">
      <c r="A827" s="13" t="s">
        <v>1419</v>
      </c>
      <c r="B827" s="13" t="s">
        <v>273</v>
      </c>
      <c r="C827" s="13" t="s">
        <v>274</v>
      </c>
      <c r="D827" s="13" t="s">
        <v>104</v>
      </c>
      <c r="E827" s="13" t="s">
        <v>71</v>
      </c>
      <c r="F827" s="13" t="s">
        <v>72</v>
      </c>
      <c r="G827" s="13" t="s">
        <v>92</v>
      </c>
      <c r="H827">
        <v>120000</v>
      </c>
      <c r="I827" s="13" t="s">
        <v>105</v>
      </c>
      <c r="J827" s="13" t="s">
        <v>106</v>
      </c>
      <c r="K827" s="13" t="s">
        <v>107</v>
      </c>
      <c r="L827" s="13" t="s">
        <v>88</v>
      </c>
      <c r="M827">
        <v>60</v>
      </c>
      <c r="N827">
        <v>0</v>
      </c>
      <c r="O827" s="14">
        <v>45979</v>
      </c>
      <c r="P827" s="14">
        <v>46039</v>
      </c>
      <c r="Q827">
        <v>8459.35</v>
      </c>
      <c r="R827">
        <v>0</v>
      </c>
      <c r="S827">
        <v>0</v>
      </c>
      <c r="T827">
        <v>0</v>
      </c>
      <c r="U827">
        <v>0</v>
      </c>
      <c r="V827">
        <v>8459.35</v>
      </c>
      <c r="W827">
        <v>0</v>
      </c>
      <c r="X827">
        <v>1</v>
      </c>
      <c r="Y827">
        <v>0</v>
      </c>
      <c r="Z827">
        <v>-17</v>
      </c>
      <c r="AA827">
        <v>1</v>
      </c>
      <c r="AB827" s="13" t="s">
        <v>581</v>
      </c>
      <c r="AC827">
        <v>0</v>
      </c>
      <c r="AD827">
        <v>0</v>
      </c>
      <c r="AE827" s="13" t="s">
        <v>61</v>
      </c>
    </row>
    <row r="828" spans="1:31" x14ac:dyDescent="0.35">
      <c r="A828" s="13" t="s">
        <v>1420</v>
      </c>
      <c r="B828" s="13" t="s">
        <v>256</v>
      </c>
      <c r="C828" s="13" t="s">
        <v>257</v>
      </c>
      <c r="D828" s="13" t="s">
        <v>76</v>
      </c>
      <c r="E828" s="13" t="s">
        <v>99</v>
      </c>
      <c r="F828" s="13" t="s">
        <v>100</v>
      </c>
      <c r="G828" s="13" t="s">
        <v>55</v>
      </c>
      <c r="H828">
        <v>25000</v>
      </c>
      <c r="I828" s="13" t="s">
        <v>79</v>
      </c>
      <c r="J828" s="13" t="s">
        <v>80</v>
      </c>
      <c r="K828" s="13" t="s">
        <v>81</v>
      </c>
      <c r="L828" s="13" t="s">
        <v>95</v>
      </c>
      <c r="M828">
        <v>30</v>
      </c>
      <c r="N828">
        <v>0</v>
      </c>
      <c r="O828" s="14">
        <v>45979</v>
      </c>
      <c r="P828" s="14">
        <v>46009</v>
      </c>
      <c r="Q828">
        <v>589.02</v>
      </c>
      <c r="R828">
        <v>0</v>
      </c>
      <c r="S828">
        <v>0</v>
      </c>
      <c r="T828">
        <v>0</v>
      </c>
      <c r="U828">
        <v>0</v>
      </c>
      <c r="V828">
        <v>589.02</v>
      </c>
      <c r="W828">
        <v>0</v>
      </c>
      <c r="X828">
        <v>1</v>
      </c>
      <c r="Y828">
        <v>1</v>
      </c>
      <c r="Z828">
        <v>13</v>
      </c>
      <c r="AA828">
        <v>2</v>
      </c>
      <c r="AB828" s="13" t="s">
        <v>405</v>
      </c>
      <c r="AC828">
        <v>0.25</v>
      </c>
      <c r="AD828">
        <v>0</v>
      </c>
      <c r="AE828" s="13" t="s">
        <v>61</v>
      </c>
    </row>
    <row r="829" spans="1:31" x14ac:dyDescent="0.35">
      <c r="A829" s="13" t="s">
        <v>1421</v>
      </c>
      <c r="B829" s="13" t="s">
        <v>478</v>
      </c>
      <c r="C829" s="13" t="s">
        <v>479</v>
      </c>
      <c r="D829" s="13" t="s">
        <v>52</v>
      </c>
      <c r="E829" s="13" t="s">
        <v>77</v>
      </c>
      <c r="F829" s="13" t="s">
        <v>174</v>
      </c>
      <c r="G829" s="13" t="s">
        <v>55</v>
      </c>
      <c r="H829">
        <v>385000</v>
      </c>
      <c r="I829" s="13" t="s">
        <v>86</v>
      </c>
      <c r="J829" s="13" t="s">
        <v>87</v>
      </c>
      <c r="K829" s="13" t="s">
        <v>58</v>
      </c>
      <c r="L829" s="13" t="s">
        <v>88</v>
      </c>
      <c r="M829">
        <v>60</v>
      </c>
      <c r="N829">
        <v>0</v>
      </c>
      <c r="O829" s="14">
        <v>45979</v>
      </c>
      <c r="P829" s="14">
        <v>46039</v>
      </c>
      <c r="Q829">
        <v>6566.94</v>
      </c>
      <c r="R829">
        <v>0</v>
      </c>
      <c r="S829">
        <v>0</v>
      </c>
      <c r="T829">
        <v>0</v>
      </c>
      <c r="U829">
        <v>0</v>
      </c>
      <c r="V829">
        <v>6566.94</v>
      </c>
      <c r="W829">
        <v>0</v>
      </c>
      <c r="X829">
        <v>1</v>
      </c>
      <c r="Y829">
        <v>0</v>
      </c>
      <c r="Z829">
        <v>-17</v>
      </c>
      <c r="AA829">
        <v>1</v>
      </c>
      <c r="AB829" s="13" t="s">
        <v>581</v>
      </c>
      <c r="AC829">
        <v>0</v>
      </c>
      <c r="AD829">
        <v>0</v>
      </c>
      <c r="AE829" s="13" t="s">
        <v>61</v>
      </c>
    </row>
    <row r="830" spans="1:31" x14ac:dyDescent="0.35">
      <c r="A830" s="13" t="s">
        <v>1422</v>
      </c>
      <c r="B830" s="13" t="s">
        <v>1247</v>
      </c>
      <c r="C830" s="13" t="s">
        <v>1248</v>
      </c>
      <c r="D830" s="13" t="s">
        <v>52</v>
      </c>
      <c r="E830" s="13" t="s">
        <v>99</v>
      </c>
      <c r="F830" s="13" t="s">
        <v>100</v>
      </c>
      <c r="G830" s="13" t="s">
        <v>55</v>
      </c>
      <c r="H830">
        <v>600000</v>
      </c>
      <c r="I830" s="13" t="s">
        <v>56</v>
      </c>
      <c r="J830" s="13" t="s">
        <v>57</v>
      </c>
      <c r="K830" s="13" t="s">
        <v>58</v>
      </c>
      <c r="L830" s="13" t="s">
        <v>59</v>
      </c>
      <c r="M830">
        <v>45</v>
      </c>
      <c r="N830">
        <v>0</v>
      </c>
      <c r="O830" s="14">
        <v>45979</v>
      </c>
      <c r="P830" s="14">
        <v>46024</v>
      </c>
      <c r="Q830">
        <v>14230</v>
      </c>
      <c r="R830">
        <v>0</v>
      </c>
      <c r="S830">
        <v>0</v>
      </c>
      <c r="T830">
        <v>0</v>
      </c>
      <c r="U830">
        <v>0</v>
      </c>
      <c r="V830">
        <v>14230</v>
      </c>
      <c r="W830">
        <v>0</v>
      </c>
      <c r="X830">
        <v>1</v>
      </c>
      <c r="Y830">
        <v>0</v>
      </c>
      <c r="Z830">
        <v>-2</v>
      </c>
      <c r="AA830">
        <v>1</v>
      </c>
      <c r="AB830" s="13" t="s">
        <v>581</v>
      </c>
      <c r="AC830">
        <v>0</v>
      </c>
      <c r="AD830">
        <v>0</v>
      </c>
      <c r="AE830" s="13" t="s">
        <v>61</v>
      </c>
    </row>
    <row r="831" spans="1:31" x14ac:dyDescent="0.35">
      <c r="A831" s="13" t="s">
        <v>1423</v>
      </c>
      <c r="B831" s="13" t="s">
        <v>1424</v>
      </c>
      <c r="C831" s="13" t="s">
        <v>1425</v>
      </c>
      <c r="D831" s="13" t="s">
        <v>76</v>
      </c>
      <c r="E831" s="13" t="s">
        <v>77</v>
      </c>
      <c r="F831" s="13" t="s">
        <v>174</v>
      </c>
      <c r="G831" s="13" t="s">
        <v>55</v>
      </c>
      <c r="H831">
        <v>120000</v>
      </c>
      <c r="I831" s="13" t="s">
        <v>79</v>
      </c>
      <c r="J831" s="13" t="s">
        <v>80</v>
      </c>
      <c r="K831" s="13" t="s">
        <v>81</v>
      </c>
      <c r="L831" s="13" t="s">
        <v>82</v>
      </c>
      <c r="M831">
        <v>30</v>
      </c>
      <c r="N831">
        <v>2</v>
      </c>
      <c r="O831" s="14">
        <v>45979</v>
      </c>
      <c r="P831" s="14">
        <v>46009</v>
      </c>
      <c r="Q831">
        <v>1243.6500000000001</v>
      </c>
      <c r="R831">
        <v>0</v>
      </c>
      <c r="S831">
        <v>0</v>
      </c>
      <c r="T831">
        <v>0</v>
      </c>
      <c r="U831">
        <v>0</v>
      </c>
      <c r="V831">
        <v>1243.6500000000001</v>
      </c>
      <c r="W831">
        <v>0</v>
      </c>
      <c r="X831">
        <v>1</v>
      </c>
      <c r="Y831">
        <v>1</v>
      </c>
      <c r="Z831">
        <v>13</v>
      </c>
      <c r="AA831">
        <v>2</v>
      </c>
      <c r="AB831" s="13" t="s">
        <v>405</v>
      </c>
      <c r="AC831">
        <v>0.25</v>
      </c>
      <c r="AD831">
        <v>0</v>
      </c>
      <c r="AE831" s="13" t="s">
        <v>61</v>
      </c>
    </row>
    <row r="832" spans="1:31" x14ac:dyDescent="0.35">
      <c r="A832" s="13" t="s">
        <v>1426</v>
      </c>
      <c r="B832" s="13" t="s">
        <v>442</v>
      </c>
      <c r="C832" s="13" t="s">
        <v>443</v>
      </c>
      <c r="D832" s="13" t="s">
        <v>104</v>
      </c>
      <c r="E832" s="13" t="s">
        <v>71</v>
      </c>
      <c r="F832" s="13" t="s">
        <v>214</v>
      </c>
      <c r="G832" s="13" t="s">
        <v>92</v>
      </c>
      <c r="H832">
        <v>145000</v>
      </c>
      <c r="I832" s="13" t="s">
        <v>121</v>
      </c>
      <c r="J832" s="13" t="s">
        <v>122</v>
      </c>
      <c r="K832" s="13" t="s">
        <v>107</v>
      </c>
      <c r="L832" s="13" t="s">
        <v>88</v>
      </c>
      <c r="M832">
        <v>60</v>
      </c>
      <c r="N832">
        <v>0</v>
      </c>
      <c r="O832" s="14">
        <v>45979</v>
      </c>
      <c r="P832" s="14">
        <v>46039</v>
      </c>
      <c r="Q832">
        <v>2663.03</v>
      </c>
      <c r="R832">
        <v>0</v>
      </c>
      <c r="S832">
        <v>0</v>
      </c>
      <c r="T832">
        <v>0</v>
      </c>
      <c r="U832">
        <v>0</v>
      </c>
      <c r="V832">
        <v>2663.03</v>
      </c>
      <c r="W832">
        <v>0</v>
      </c>
      <c r="X832">
        <v>1</v>
      </c>
      <c r="Y832">
        <v>0</v>
      </c>
      <c r="Z832">
        <v>-17</v>
      </c>
      <c r="AA832">
        <v>1</v>
      </c>
      <c r="AB832" s="13" t="s">
        <v>581</v>
      </c>
      <c r="AC832">
        <v>0</v>
      </c>
      <c r="AD832">
        <v>0</v>
      </c>
      <c r="AE832" s="13" t="s">
        <v>61</v>
      </c>
    </row>
    <row r="833" spans="1:31" x14ac:dyDescent="0.35">
      <c r="A833" s="13" t="s">
        <v>1427</v>
      </c>
      <c r="B833" s="13" t="s">
        <v>84</v>
      </c>
      <c r="C833" s="13" t="s">
        <v>85</v>
      </c>
      <c r="D833" s="13" t="s">
        <v>52</v>
      </c>
      <c r="E833" s="13" t="s">
        <v>71</v>
      </c>
      <c r="F833" s="13" t="s">
        <v>72</v>
      </c>
      <c r="G833" s="13" t="s">
        <v>67</v>
      </c>
      <c r="H833">
        <v>600000</v>
      </c>
      <c r="I833" s="13" t="s">
        <v>86</v>
      </c>
      <c r="J833" s="13" t="s">
        <v>87</v>
      </c>
      <c r="K833" s="13" t="s">
        <v>58</v>
      </c>
      <c r="L833" s="13" t="s">
        <v>88</v>
      </c>
      <c r="M833">
        <v>60</v>
      </c>
      <c r="N833">
        <v>0</v>
      </c>
      <c r="O833" s="14">
        <v>45979</v>
      </c>
      <c r="P833" s="14">
        <v>46039</v>
      </c>
      <c r="Q833">
        <v>6220.14</v>
      </c>
      <c r="R833">
        <v>0</v>
      </c>
      <c r="S833">
        <v>0</v>
      </c>
      <c r="T833">
        <v>0</v>
      </c>
      <c r="U833">
        <v>0</v>
      </c>
      <c r="V833">
        <v>6220.14</v>
      </c>
      <c r="W833">
        <v>0</v>
      </c>
      <c r="X833">
        <v>1</v>
      </c>
      <c r="Y833">
        <v>0</v>
      </c>
      <c r="Z833">
        <v>-17</v>
      </c>
      <c r="AA833">
        <v>1</v>
      </c>
      <c r="AB833" s="13" t="s">
        <v>581</v>
      </c>
      <c r="AC833">
        <v>0</v>
      </c>
      <c r="AD833">
        <v>0</v>
      </c>
      <c r="AE833" s="13" t="s">
        <v>61</v>
      </c>
    </row>
    <row r="834" spans="1:31" x14ac:dyDescent="0.35">
      <c r="A834" s="13" t="s">
        <v>1428</v>
      </c>
      <c r="B834" s="13" t="s">
        <v>277</v>
      </c>
      <c r="C834" s="13" t="s">
        <v>278</v>
      </c>
      <c r="D834" s="13" t="s">
        <v>104</v>
      </c>
      <c r="E834" s="13" t="s">
        <v>71</v>
      </c>
      <c r="F834" s="13" t="s">
        <v>214</v>
      </c>
      <c r="G834" s="13" t="s">
        <v>92</v>
      </c>
      <c r="H834">
        <v>105000</v>
      </c>
      <c r="I834" s="13" t="s">
        <v>105</v>
      </c>
      <c r="J834" s="13" t="s">
        <v>106</v>
      </c>
      <c r="K834" s="13" t="s">
        <v>107</v>
      </c>
      <c r="L834" s="13" t="s">
        <v>88</v>
      </c>
      <c r="M834">
        <v>60</v>
      </c>
      <c r="N834">
        <v>0</v>
      </c>
      <c r="O834" s="14">
        <v>45979</v>
      </c>
      <c r="P834" s="14">
        <v>46039</v>
      </c>
      <c r="Q834">
        <v>4447.2700000000004</v>
      </c>
      <c r="R834">
        <v>0</v>
      </c>
      <c r="S834">
        <v>0</v>
      </c>
      <c r="T834">
        <v>0</v>
      </c>
      <c r="U834">
        <v>0</v>
      </c>
      <c r="V834">
        <v>4447.2700000000004</v>
      </c>
      <c r="W834">
        <v>0</v>
      </c>
      <c r="X834">
        <v>1</v>
      </c>
      <c r="Y834">
        <v>0</v>
      </c>
      <c r="Z834">
        <v>-17</v>
      </c>
      <c r="AA834">
        <v>1</v>
      </c>
      <c r="AB834" s="13" t="s">
        <v>581</v>
      </c>
      <c r="AC834">
        <v>0</v>
      </c>
      <c r="AD834">
        <v>0</v>
      </c>
      <c r="AE834" s="13" t="s">
        <v>61</v>
      </c>
    </row>
    <row r="835" spans="1:31" x14ac:dyDescent="0.35">
      <c r="A835" s="13" t="s">
        <v>1429</v>
      </c>
      <c r="B835" s="13" t="s">
        <v>1430</v>
      </c>
      <c r="C835" s="13" t="s">
        <v>1431</v>
      </c>
      <c r="D835" s="13" t="s">
        <v>76</v>
      </c>
      <c r="E835" s="13" t="s">
        <v>65</v>
      </c>
      <c r="F835" s="13" t="s">
        <v>66</v>
      </c>
      <c r="G835" s="13" t="s">
        <v>55</v>
      </c>
      <c r="H835">
        <v>85000</v>
      </c>
      <c r="I835" s="13" t="s">
        <v>93</v>
      </c>
      <c r="J835" s="13" t="s">
        <v>94</v>
      </c>
      <c r="K835" s="13" t="s">
        <v>81</v>
      </c>
      <c r="L835" s="13" t="s">
        <v>95</v>
      </c>
      <c r="M835">
        <v>30</v>
      </c>
      <c r="N835">
        <v>0</v>
      </c>
      <c r="O835" s="14">
        <v>45979</v>
      </c>
      <c r="P835" s="14">
        <v>46009</v>
      </c>
      <c r="Q835">
        <v>2822.44</v>
      </c>
      <c r="R835">
        <v>0</v>
      </c>
      <c r="S835">
        <v>0</v>
      </c>
      <c r="T835">
        <v>0</v>
      </c>
      <c r="U835">
        <v>0</v>
      </c>
      <c r="V835">
        <v>2822.44</v>
      </c>
      <c r="W835">
        <v>0</v>
      </c>
      <c r="X835">
        <v>1</v>
      </c>
      <c r="Y835">
        <v>1</v>
      </c>
      <c r="Z835">
        <v>13</v>
      </c>
      <c r="AA835">
        <v>2</v>
      </c>
      <c r="AB835" s="13" t="s">
        <v>405</v>
      </c>
      <c r="AC835">
        <v>0.25</v>
      </c>
      <c r="AD835">
        <v>0</v>
      </c>
      <c r="AE835" s="13" t="s">
        <v>61</v>
      </c>
    </row>
    <row r="836" spans="1:31" x14ac:dyDescent="0.35">
      <c r="A836" s="13" t="s">
        <v>1432</v>
      </c>
      <c r="B836" s="13" t="s">
        <v>780</v>
      </c>
      <c r="C836" s="13" t="s">
        <v>781</v>
      </c>
      <c r="D836" s="13" t="s">
        <v>52</v>
      </c>
      <c r="E836" s="13" t="s">
        <v>77</v>
      </c>
      <c r="F836" s="13" t="s">
        <v>174</v>
      </c>
      <c r="G836" s="13" t="s">
        <v>55</v>
      </c>
      <c r="H836">
        <v>290000</v>
      </c>
      <c r="I836" s="13" t="s">
        <v>86</v>
      </c>
      <c r="J836" s="13" t="s">
        <v>87</v>
      </c>
      <c r="K836" s="13" t="s">
        <v>58</v>
      </c>
      <c r="L836" s="13" t="s">
        <v>88</v>
      </c>
      <c r="M836">
        <v>60</v>
      </c>
      <c r="N836">
        <v>0</v>
      </c>
      <c r="O836" s="14">
        <v>45979</v>
      </c>
      <c r="P836" s="14">
        <v>46039</v>
      </c>
      <c r="Q836">
        <v>2063.14</v>
      </c>
      <c r="R836">
        <v>0</v>
      </c>
      <c r="S836">
        <v>0</v>
      </c>
      <c r="T836">
        <v>0</v>
      </c>
      <c r="U836">
        <v>0</v>
      </c>
      <c r="V836">
        <v>2063.14</v>
      </c>
      <c r="W836">
        <v>0</v>
      </c>
      <c r="X836">
        <v>1</v>
      </c>
      <c r="Y836">
        <v>0</v>
      </c>
      <c r="Z836">
        <v>-17</v>
      </c>
      <c r="AA836">
        <v>1</v>
      </c>
      <c r="AB836" s="13" t="s">
        <v>581</v>
      </c>
      <c r="AC836">
        <v>0</v>
      </c>
      <c r="AD836">
        <v>0</v>
      </c>
      <c r="AE836" s="13" t="s">
        <v>61</v>
      </c>
    </row>
    <row r="837" spans="1:31" x14ac:dyDescent="0.35">
      <c r="A837" s="13" t="s">
        <v>1433</v>
      </c>
      <c r="B837" s="13" t="s">
        <v>692</v>
      </c>
      <c r="C837" s="13" t="s">
        <v>693</v>
      </c>
      <c r="D837" s="13" t="s">
        <v>52</v>
      </c>
      <c r="E837" s="13" t="s">
        <v>53</v>
      </c>
      <c r="F837" s="13" t="s">
        <v>135</v>
      </c>
      <c r="G837" s="13" t="s">
        <v>55</v>
      </c>
      <c r="H837">
        <v>360000</v>
      </c>
      <c r="I837" s="13" t="s">
        <v>56</v>
      </c>
      <c r="J837" s="13" t="s">
        <v>57</v>
      </c>
      <c r="K837" s="13" t="s">
        <v>58</v>
      </c>
      <c r="L837" s="13" t="s">
        <v>88</v>
      </c>
      <c r="M837">
        <v>60</v>
      </c>
      <c r="N837">
        <v>0</v>
      </c>
      <c r="O837" s="14">
        <v>45979</v>
      </c>
      <c r="P837" s="14">
        <v>46039</v>
      </c>
      <c r="Q837">
        <v>3483.99</v>
      </c>
      <c r="R837">
        <v>0</v>
      </c>
      <c r="S837">
        <v>0</v>
      </c>
      <c r="T837">
        <v>0</v>
      </c>
      <c r="U837">
        <v>0</v>
      </c>
      <c r="V837">
        <v>3483.99</v>
      </c>
      <c r="W837">
        <v>0</v>
      </c>
      <c r="X837">
        <v>1</v>
      </c>
      <c r="Y837">
        <v>0</v>
      </c>
      <c r="Z837">
        <v>-17</v>
      </c>
      <c r="AA837">
        <v>1</v>
      </c>
      <c r="AB837" s="13" t="s">
        <v>581</v>
      </c>
      <c r="AC837">
        <v>0</v>
      </c>
      <c r="AD837">
        <v>0</v>
      </c>
      <c r="AE837" s="13" t="s">
        <v>61</v>
      </c>
    </row>
    <row r="838" spans="1:31" x14ac:dyDescent="0.35">
      <c r="A838" s="13" t="s">
        <v>1434</v>
      </c>
      <c r="B838" s="13" t="s">
        <v>894</v>
      </c>
      <c r="C838" s="13" t="s">
        <v>895</v>
      </c>
      <c r="D838" s="13" t="s">
        <v>104</v>
      </c>
      <c r="E838" s="13" t="s">
        <v>71</v>
      </c>
      <c r="F838" s="13" t="s">
        <v>72</v>
      </c>
      <c r="G838" s="13" t="s">
        <v>67</v>
      </c>
      <c r="H838">
        <v>85000</v>
      </c>
      <c r="I838" s="13" t="s">
        <v>105</v>
      </c>
      <c r="J838" s="13" t="s">
        <v>106</v>
      </c>
      <c r="K838" s="13" t="s">
        <v>107</v>
      </c>
      <c r="L838" s="13" t="s">
        <v>88</v>
      </c>
      <c r="M838">
        <v>60</v>
      </c>
      <c r="N838">
        <v>0</v>
      </c>
      <c r="O838" s="14">
        <v>45979</v>
      </c>
      <c r="P838" s="14">
        <v>46039</v>
      </c>
      <c r="Q838">
        <v>874.24</v>
      </c>
      <c r="R838">
        <v>0</v>
      </c>
      <c r="S838">
        <v>0</v>
      </c>
      <c r="T838">
        <v>0</v>
      </c>
      <c r="U838">
        <v>0</v>
      </c>
      <c r="V838">
        <v>874.24</v>
      </c>
      <c r="W838">
        <v>0</v>
      </c>
      <c r="X838">
        <v>1</v>
      </c>
      <c r="Y838">
        <v>0</v>
      </c>
      <c r="Z838">
        <v>-17</v>
      </c>
      <c r="AA838">
        <v>1</v>
      </c>
      <c r="AB838" s="13" t="s">
        <v>581</v>
      </c>
      <c r="AC838">
        <v>0</v>
      </c>
      <c r="AD838">
        <v>0</v>
      </c>
      <c r="AE838" s="13" t="s">
        <v>61</v>
      </c>
    </row>
    <row r="839" spans="1:31" x14ac:dyDescent="0.35">
      <c r="A839" s="13" t="s">
        <v>1435</v>
      </c>
      <c r="B839" s="13" t="s">
        <v>676</v>
      </c>
      <c r="C839" s="13" t="s">
        <v>677</v>
      </c>
      <c r="D839" s="13" t="s">
        <v>126</v>
      </c>
      <c r="E839" s="13" t="s">
        <v>71</v>
      </c>
      <c r="F839" s="13" t="s">
        <v>72</v>
      </c>
      <c r="G839" s="13" t="s">
        <v>67</v>
      </c>
      <c r="H839">
        <v>80000</v>
      </c>
      <c r="I839" s="13" t="s">
        <v>121</v>
      </c>
      <c r="J839" s="13" t="s">
        <v>122</v>
      </c>
      <c r="K839" s="13" t="s">
        <v>107</v>
      </c>
      <c r="L839" s="13" t="s">
        <v>88</v>
      </c>
      <c r="M839">
        <v>60</v>
      </c>
      <c r="N839">
        <v>0</v>
      </c>
      <c r="O839" s="14">
        <v>45979</v>
      </c>
      <c r="P839" s="14">
        <v>46039</v>
      </c>
      <c r="Q839">
        <v>2081.92</v>
      </c>
      <c r="R839">
        <v>0</v>
      </c>
      <c r="S839">
        <v>0</v>
      </c>
      <c r="T839">
        <v>0</v>
      </c>
      <c r="U839">
        <v>0</v>
      </c>
      <c r="V839">
        <v>2081.92</v>
      </c>
      <c r="W839">
        <v>0</v>
      </c>
      <c r="X839">
        <v>1</v>
      </c>
      <c r="Y839">
        <v>0</v>
      </c>
      <c r="Z839">
        <v>-17</v>
      </c>
      <c r="AA839">
        <v>1</v>
      </c>
      <c r="AB839" s="13" t="s">
        <v>581</v>
      </c>
      <c r="AC839">
        <v>0</v>
      </c>
      <c r="AD839">
        <v>0</v>
      </c>
      <c r="AE839" s="13" t="s">
        <v>61</v>
      </c>
    </row>
    <row r="840" spans="1:31" x14ac:dyDescent="0.35">
      <c r="A840" s="13" t="s">
        <v>1436</v>
      </c>
      <c r="B840" s="13" t="s">
        <v>283</v>
      </c>
      <c r="C840" s="13" t="s">
        <v>284</v>
      </c>
      <c r="D840" s="13" t="s">
        <v>104</v>
      </c>
      <c r="E840" s="13" t="s">
        <v>53</v>
      </c>
      <c r="F840" s="13" t="s">
        <v>135</v>
      </c>
      <c r="G840" s="13" t="s">
        <v>92</v>
      </c>
      <c r="H840">
        <v>105000</v>
      </c>
      <c r="I840" s="13" t="s">
        <v>105</v>
      </c>
      <c r="J840" s="13" t="s">
        <v>106</v>
      </c>
      <c r="K840" s="13" t="s">
        <v>107</v>
      </c>
      <c r="L840" s="13" t="s">
        <v>82</v>
      </c>
      <c r="M840">
        <v>30</v>
      </c>
      <c r="N840">
        <v>2</v>
      </c>
      <c r="O840" s="14">
        <v>45979</v>
      </c>
      <c r="P840" s="14">
        <v>46009</v>
      </c>
      <c r="Q840">
        <v>7377.01</v>
      </c>
      <c r="R840">
        <v>0</v>
      </c>
      <c r="S840">
        <v>0</v>
      </c>
      <c r="T840">
        <v>0</v>
      </c>
      <c r="U840">
        <v>0</v>
      </c>
      <c r="V840">
        <v>7377.01</v>
      </c>
      <c r="W840">
        <v>0</v>
      </c>
      <c r="X840">
        <v>1</v>
      </c>
      <c r="Y840">
        <v>1</v>
      </c>
      <c r="Z840">
        <v>13</v>
      </c>
      <c r="AA840">
        <v>2</v>
      </c>
      <c r="AB840" s="13" t="s">
        <v>405</v>
      </c>
      <c r="AC840">
        <v>0.25</v>
      </c>
      <c r="AD840">
        <v>0</v>
      </c>
      <c r="AE840" s="13" t="s">
        <v>61</v>
      </c>
    </row>
    <row r="841" spans="1:31" x14ac:dyDescent="0.35">
      <c r="A841" s="13" t="s">
        <v>1437</v>
      </c>
      <c r="B841" s="13" t="s">
        <v>927</v>
      </c>
      <c r="C841" s="13" t="s">
        <v>928</v>
      </c>
      <c r="D841" s="13" t="s">
        <v>52</v>
      </c>
      <c r="E841" s="13" t="s">
        <v>99</v>
      </c>
      <c r="F841" s="13" t="s">
        <v>100</v>
      </c>
      <c r="G841" s="13" t="s">
        <v>67</v>
      </c>
      <c r="H841">
        <v>185000</v>
      </c>
      <c r="I841" s="13" t="s">
        <v>56</v>
      </c>
      <c r="J841" s="13" t="s">
        <v>57</v>
      </c>
      <c r="K841" s="13" t="s">
        <v>58</v>
      </c>
      <c r="L841" s="13" t="s">
        <v>88</v>
      </c>
      <c r="M841">
        <v>60</v>
      </c>
      <c r="N841">
        <v>0</v>
      </c>
      <c r="O841" s="14">
        <v>45979</v>
      </c>
      <c r="P841" s="14">
        <v>46039</v>
      </c>
      <c r="Q841">
        <v>13251.81</v>
      </c>
      <c r="R841">
        <v>0</v>
      </c>
      <c r="S841">
        <v>0</v>
      </c>
      <c r="T841">
        <v>0</v>
      </c>
      <c r="U841">
        <v>0</v>
      </c>
      <c r="V841">
        <v>13251.81</v>
      </c>
      <c r="W841">
        <v>0</v>
      </c>
      <c r="X841">
        <v>1</v>
      </c>
      <c r="Y841">
        <v>0</v>
      </c>
      <c r="Z841">
        <v>-17</v>
      </c>
      <c r="AA841">
        <v>1</v>
      </c>
      <c r="AB841" s="13" t="s">
        <v>581</v>
      </c>
      <c r="AC841">
        <v>0</v>
      </c>
      <c r="AD841">
        <v>0</v>
      </c>
      <c r="AE841" s="13" t="s">
        <v>61</v>
      </c>
    </row>
    <row r="842" spans="1:31" x14ac:dyDescent="0.35">
      <c r="A842" s="13" t="s">
        <v>1438</v>
      </c>
      <c r="B842" s="13" t="s">
        <v>1155</v>
      </c>
      <c r="C842" s="13" t="s">
        <v>1156</v>
      </c>
      <c r="D842" s="13" t="s">
        <v>52</v>
      </c>
      <c r="E842" s="13" t="s">
        <v>53</v>
      </c>
      <c r="F842" s="13" t="s">
        <v>54</v>
      </c>
      <c r="G842" s="13" t="s">
        <v>67</v>
      </c>
      <c r="H842">
        <v>420000</v>
      </c>
      <c r="I842" s="13" t="s">
        <v>86</v>
      </c>
      <c r="J842" s="13" t="s">
        <v>87</v>
      </c>
      <c r="K842" s="13" t="s">
        <v>58</v>
      </c>
      <c r="L842" s="13" t="s">
        <v>88</v>
      </c>
      <c r="M842">
        <v>60</v>
      </c>
      <c r="N842">
        <v>0</v>
      </c>
      <c r="O842" s="14">
        <v>45979</v>
      </c>
      <c r="P842" s="14">
        <v>46039</v>
      </c>
      <c r="Q842">
        <v>5678.52</v>
      </c>
      <c r="R842">
        <v>0</v>
      </c>
      <c r="S842">
        <v>0</v>
      </c>
      <c r="T842">
        <v>0</v>
      </c>
      <c r="U842">
        <v>0</v>
      </c>
      <c r="V842">
        <v>5678.52</v>
      </c>
      <c r="W842">
        <v>0</v>
      </c>
      <c r="X842">
        <v>1</v>
      </c>
      <c r="Y842">
        <v>0</v>
      </c>
      <c r="Z842">
        <v>-17</v>
      </c>
      <c r="AA842">
        <v>1</v>
      </c>
      <c r="AB842" s="13" t="s">
        <v>581</v>
      </c>
      <c r="AC842">
        <v>0</v>
      </c>
      <c r="AD842">
        <v>0</v>
      </c>
      <c r="AE842" s="13" t="s">
        <v>61</v>
      </c>
    </row>
    <row r="843" spans="1:31" x14ac:dyDescent="0.35">
      <c r="A843" s="13" t="s">
        <v>1439</v>
      </c>
      <c r="B843" s="13" t="s">
        <v>695</v>
      </c>
      <c r="C843" s="13" t="s">
        <v>696</v>
      </c>
      <c r="D843" s="13" t="s">
        <v>52</v>
      </c>
      <c r="E843" s="13" t="s">
        <v>53</v>
      </c>
      <c r="F843" s="13" t="s">
        <v>54</v>
      </c>
      <c r="G843" s="13" t="s">
        <v>92</v>
      </c>
      <c r="H843">
        <v>535000</v>
      </c>
      <c r="I843" s="13" t="s">
        <v>56</v>
      </c>
      <c r="J843" s="13" t="s">
        <v>57</v>
      </c>
      <c r="K843" s="13" t="s">
        <v>58</v>
      </c>
      <c r="L843" s="13" t="s">
        <v>88</v>
      </c>
      <c r="M843">
        <v>60</v>
      </c>
      <c r="N843">
        <v>0</v>
      </c>
      <c r="O843" s="14">
        <v>45979</v>
      </c>
      <c r="P843" s="14">
        <v>46039</v>
      </c>
      <c r="Q843">
        <v>13867.44</v>
      </c>
      <c r="R843">
        <v>0</v>
      </c>
      <c r="S843">
        <v>0</v>
      </c>
      <c r="T843">
        <v>0</v>
      </c>
      <c r="U843">
        <v>0</v>
      </c>
      <c r="V843">
        <v>13867.44</v>
      </c>
      <c r="W843">
        <v>0</v>
      </c>
      <c r="X843">
        <v>1</v>
      </c>
      <c r="Y843">
        <v>0</v>
      </c>
      <c r="Z843">
        <v>-17</v>
      </c>
      <c r="AA843">
        <v>1</v>
      </c>
      <c r="AB843" s="13" t="s">
        <v>581</v>
      </c>
      <c r="AC843">
        <v>0</v>
      </c>
      <c r="AD843">
        <v>0</v>
      </c>
      <c r="AE843" s="13" t="s">
        <v>61</v>
      </c>
    </row>
    <row r="844" spans="1:31" x14ac:dyDescent="0.35">
      <c r="A844" s="13" t="s">
        <v>1440</v>
      </c>
      <c r="B844" s="13" t="s">
        <v>870</v>
      </c>
      <c r="C844" s="13" t="s">
        <v>871</v>
      </c>
      <c r="D844" s="13" t="s">
        <v>104</v>
      </c>
      <c r="E844" s="13" t="s">
        <v>71</v>
      </c>
      <c r="F844" s="13" t="s">
        <v>72</v>
      </c>
      <c r="G844" s="13" t="s">
        <v>55</v>
      </c>
      <c r="H844">
        <v>60000</v>
      </c>
      <c r="I844" s="13" t="s">
        <v>121</v>
      </c>
      <c r="J844" s="13" t="s">
        <v>122</v>
      </c>
      <c r="K844" s="13" t="s">
        <v>107</v>
      </c>
      <c r="L844" s="13" t="s">
        <v>88</v>
      </c>
      <c r="M844">
        <v>60</v>
      </c>
      <c r="N844">
        <v>0</v>
      </c>
      <c r="O844" s="14">
        <v>45979</v>
      </c>
      <c r="P844" s="14">
        <v>46039</v>
      </c>
      <c r="Q844">
        <v>5628.35</v>
      </c>
      <c r="R844">
        <v>0</v>
      </c>
      <c r="S844">
        <v>0</v>
      </c>
      <c r="T844">
        <v>0</v>
      </c>
      <c r="U844">
        <v>0</v>
      </c>
      <c r="V844">
        <v>5628.35</v>
      </c>
      <c r="W844">
        <v>0</v>
      </c>
      <c r="X844">
        <v>1</v>
      </c>
      <c r="Y844">
        <v>0</v>
      </c>
      <c r="Z844">
        <v>-17</v>
      </c>
      <c r="AA844">
        <v>1</v>
      </c>
      <c r="AB844" s="13" t="s">
        <v>581</v>
      </c>
      <c r="AC844">
        <v>0</v>
      </c>
      <c r="AD844">
        <v>0</v>
      </c>
      <c r="AE844" s="13" t="s">
        <v>61</v>
      </c>
    </row>
    <row r="845" spans="1:31" x14ac:dyDescent="0.35">
      <c r="A845" s="13" t="s">
        <v>1441</v>
      </c>
      <c r="B845" s="13" t="s">
        <v>812</v>
      </c>
      <c r="C845" s="13" t="s">
        <v>813</v>
      </c>
      <c r="D845" s="13" t="s">
        <v>126</v>
      </c>
      <c r="E845" s="13" t="s">
        <v>53</v>
      </c>
      <c r="F845" s="13" t="s">
        <v>135</v>
      </c>
      <c r="G845" s="13" t="s">
        <v>67</v>
      </c>
      <c r="H845">
        <v>175000</v>
      </c>
      <c r="I845" s="13" t="s">
        <v>56</v>
      </c>
      <c r="J845" s="13" t="s">
        <v>57</v>
      </c>
      <c r="K845" s="13" t="s">
        <v>58</v>
      </c>
      <c r="L845" s="13" t="s">
        <v>368</v>
      </c>
      <c r="M845">
        <v>90</v>
      </c>
      <c r="N845">
        <v>0</v>
      </c>
      <c r="O845" s="14">
        <v>45979</v>
      </c>
      <c r="P845" s="14">
        <v>46069</v>
      </c>
      <c r="Q845">
        <v>10339.709999999999</v>
      </c>
      <c r="R845">
        <v>0</v>
      </c>
      <c r="S845">
        <v>0</v>
      </c>
      <c r="T845">
        <v>0</v>
      </c>
      <c r="U845">
        <v>0</v>
      </c>
      <c r="V845">
        <v>10339.709999999999</v>
      </c>
      <c r="W845">
        <v>0</v>
      </c>
      <c r="X845">
        <v>1</v>
      </c>
      <c r="Y845">
        <v>0</v>
      </c>
      <c r="Z845">
        <v>-47</v>
      </c>
      <c r="AA845">
        <v>1</v>
      </c>
      <c r="AB845" s="13" t="s">
        <v>581</v>
      </c>
      <c r="AC845">
        <v>0</v>
      </c>
      <c r="AD845">
        <v>0</v>
      </c>
      <c r="AE845" s="13" t="s">
        <v>61</v>
      </c>
    </row>
    <row r="846" spans="1:31" x14ac:dyDescent="0.35">
      <c r="A846" s="13" t="s">
        <v>1442</v>
      </c>
      <c r="B846" s="13" t="s">
        <v>722</v>
      </c>
      <c r="C846" s="13" t="s">
        <v>723</v>
      </c>
      <c r="D846" s="13" t="s">
        <v>104</v>
      </c>
      <c r="E846" s="13" t="s">
        <v>71</v>
      </c>
      <c r="F846" s="13" t="s">
        <v>72</v>
      </c>
      <c r="G846" s="13" t="s">
        <v>67</v>
      </c>
      <c r="H846">
        <v>45000</v>
      </c>
      <c r="I846" s="13" t="s">
        <v>105</v>
      </c>
      <c r="J846" s="13" t="s">
        <v>106</v>
      </c>
      <c r="K846" s="13" t="s">
        <v>107</v>
      </c>
      <c r="L846" s="13" t="s">
        <v>88</v>
      </c>
      <c r="M846">
        <v>60</v>
      </c>
      <c r="N846">
        <v>0</v>
      </c>
      <c r="O846" s="14">
        <v>45979</v>
      </c>
      <c r="P846" s="14">
        <v>46039</v>
      </c>
      <c r="Q846">
        <v>2790.44</v>
      </c>
      <c r="R846">
        <v>0</v>
      </c>
      <c r="S846">
        <v>0</v>
      </c>
      <c r="T846">
        <v>0</v>
      </c>
      <c r="U846">
        <v>0</v>
      </c>
      <c r="V846">
        <v>2790.44</v>
      </c>
      <c r="W846">
        <v>0</v>
      </c>
      <c r="X846">
        <v>1</v>
      </c>
      <c r="Y846">
        <v>0</v>
      </c>
      <c r="Z846">
        <v>-17</v>
      </c>
      <c r="AA846">
        <v>1</v>
      </c>
      <c r="AB846" s="13" t="s">
        <v>581</v>
      </c>
      <c r="AC846">
        <v>0</v>
      </c>
      <c r="AD846">
        <v>0</v>
      </c>
      <c r="AE846" s="13" t="s">
        <v>61</v>
      </c>
    </row>
    <row r="847" spans="1:31" x14ac:dyDescent="0.35">
      <c r="A847" s="13" t="s">
        <v>1443</v>
      </c>
      <c r="B847" s="13" t="s">
        <v>1444</v>
      </c>
      <c r="C847" s="13" t="s">
        <v>1445</v>
      </c>
      <c r="D847" s="13" t="s">
        <v>104</v>
      </c>
      <c r="E847" s="13" t="s">
        <v>71</v>
      </c>
      <c r="F847" s="13" t="s">
        <v>72</v>
      </c>
      <c r="G847" s="13" t="s">
        <v>55</v>
      </c>
      <c r="H847">
        <v>65000</v>
      </c>
      <c r="I847" s="13" t="s">
        <v>105</v>
      </c>
      <c r="J847" s="13" t="s">
        <v>106</v>
      </c>
      <c r="K847" s="13" t="s">
        <v>107</v>
      </c>
      <c r="L847" s="13" t="s">
        <v>82</v>
      </c>
      <c r="M847">
        <v>30</v>
      </c>
      <c r="N847">
        <v>2</v>
      </c>
      <c r="O847" s="14">
        <v>45979</v>
      </c>
      <c r="P847" s="14">
        <v>46009</v>
      </c>
      <c r="Q847">
        <v>2395.9899999999998</v>
      </c>
      <c r="R847">
        <v>0</v>
      </c>
      <c r="S847">
        <v>0</v>
      </c>
      <c r="T847">
        <v>0</v>
      </c>
      <c r="U847">
        <v>0</v>
      </c>
      <c r="V847">
        <v>2395.9899999999998</v>
      </c>
      <c r="W847">
        <v>0</v>
      </c>
      <c r="X847">
        <v>1</v>
      </c>
      <c r="Y847">
        <v>1</v>
      </c>
      <c r="Z847">
        <v>13</v>
      </c>
      <c r="AA847">
        <v>2</v>
      </c>
      <c r="AB847" s="13" t="s">
        <v>405</v>
      </c>
      <c r="AC847">
        <v>0.25</v>
      </c>
      <c r="AD847">
        <v>0</v>
      </c>
      <c r="AE847" s="13" t="s">
        <v>61</v>
      </c>
    </row>
    <row r="848" spans="1:31" x14ac:dyDescent="0.35">
      <c r="A848" s="13" t="s">
        <v>1446</v>
      </c>
      <c r="B848" s="13" t="s">
        <v>403</v>
      </c>
      <c r="C848" s="13" t="s">
        <v>404</v>
      </c>
      <c r="D848" s="13" t="s">
        <v>126</v>
      </c>
      <c r="E848" s="13" t="s">
        <v>77</v>
      </c>
      <c r="F848" s="13" t="s">
        <v>78</v>
      </c>
      <c r="G848" s="13" t="s">
        <v>67</v>
      </c>
      <c r="H848">
        <v>170000</v>
      </c>
      <c r="I848" s="13" t="s">
        <v>56</v>
      </c>
      <c r="J848" s="13" t="s">
        <v>57</v>
      </c>
      <c r="K848" s="13" t="s">
        <v>58</v>
      </c>
      <c r="L848" s="13" t="s">
        <v>368</v>
      </c>
      <c r="M848">
        <v>90</v>
      </c>
      <c r="N848">
        <v>0</v>
      </c>
      <c r="O848" s="14">
        <v>45979</v>
      </c>
      <c r="P848" s="14">
        <v>46069</v>
      </c>
      <c r="Q848">
        <v>4893.04</v>
      </c>
      <c r="R848">
        <v>0</v>
      </c>
      <c r="S848">
        <v>0</v>
      </c>
      <c r="T848">
        <v>0</v>
      </c>
      <c r="U848">
        <v>0</v>
      </c>
      <c r="V848">
        <v>4893.04</v>
      </c>
      <c r="W848">
        <v>0</v>
      </c>
      <c r="X848">
        <v>1</v>
      </c>
      <c r="Y848">
        <v>0</v>
      </c>
      <c r="Z848">
        <v>-47</v>
      </c>
      <c r="AA848">
        <v>1</v>
      </c>
      <c r="AB848" s="13" t="s">
        <v>581</v>
      </c>
      <c r="AC848">
        <v>0</v>
      </c>
      <c r="AD848">
        <v>0</v>
      </c>
      <c r="AE848" s="13" t="s">
        <v>61</v>
      </c>
    </row>
    <row r="849" spans="1:31" x14ac:dyDescent="0.35">
      <c r="A849" s="13" t="s">
        <v>1447</v>
      </c>
      <c r="B849" s="13" t="s">
        <v>1405</v>
      </c>
      <c r="C849" s="13" t="s">
        <v>1406</v>
      </c>
      <c r="D849" s="13" t="s">
        <v>52</v>
      </c>
      <c r="E849" s="13" t="s">
        <v>53</v>
      </c>
      <c r="F849" s="13" t="s">
        <v>54</v>
      </c>
      <c r="G849" s="13" t="s">
        <v>67</v>
      </c>
      <c r="H849">
        <v>445000</v>
      </c>
      <c r="I849" s="13" t="s">
        <v>86</v>
      </c>
      <c r="J849" s="13" t="s">
        <v>87</v>
      </c>
      <c r="K849" s="13" t="s">
        <v>58</v>
      </c>
      <c r="L849" s="13" t="s">
        <v>59</v>
      </c>
      <c r="M849">
        <v>45</v>
      </c>
      <c r="N849">
        <v>0</v>
      </c>
      <c r="O849" s="14">
        <v>45979</v>
      </c>
      <c r="P849" s="14">
        <v>46024</v>
      </c>
      <c r="Q849">
        <v>16815.650000000001</v>
      </c>
      <c r="R849">
        <v>0</v>
      </c>
      <c r="S849">
        <v>0</v>
      </c>
      <c r="T849">
        <v>0</v>
      </c>
      <c r="U849">
        <v>0</v>
      </c>
      <c r="V849">
        <v>16815.650000000001</v>
      </c>
      <c r="W849">
        <v>0</v>
      </c>
      <c r="X849">
        <v>1</v>
      </c>
      <c r="Y849">
        <v>0</v>
      </c>
      <c r="Z849">
        <v>-2</v>
      </c>
      <c r="AA849">
        <v>1</v>
      </c>
      <c r="AB849" s="13" t="s">
        <v>581</v>
      </c>
      <c r="AC849">
        <v>0</v>
      </c>
      <c r="AD849">
        <v>0</v>
      </c>
      <c r="AE849" s="13" t="s">
        <v>61</v>
      </c>
    </row>
    <row r="850" spans="1:31" x14ac:dyDescent="0.35">
      <c r="A850" s="13" t="s">
        <v>1448</v>
      </c>
      <c r="B850" s="13" t="s">
        <v>212</v>
      </c>
      <c r="C850" s="13" t="s">
        <v>213</v>
      </c>
      <c r="D850" s="13" t="s">
        <v>52</v>
      </c>
      <c r="E850" s="13" t="s">
        <v>71</v>
      </c>
      <c r="F850" s="13" t="s">
        <v>214</v>
      </c>
      <c r="G850" s="13" t="s">
        <v>92</v>
      </c>
      <c r="H850">
        <v>380000</v>
      </c>
      <c r="I850" s="13" t="s">
        <v>86</v>
      </c>
      <c r="J850" s="13" t="s">
        <v>87</v>
      </c>
      <c r="K850" s="13" t="s">
        <v>58</v>
      </c>
      <c r="L850" s="13" t="s">
        <v>88</v>
      </c>
      <c r="M850">
        <v>60</v>
      </c>
      <c r="N850">
        <v>0</v>
      </c>
      <c r="O850" s="14">
        <v>45979</v>
      </c>
      <c r="P850" s="14">
        <v>46039</v>
      </c>
      <c r="Q850">
        <v>1674.81</v>
      </c>
      <c r="R850">
        <v>0</v>
      </c>
      <c r="S850">
        <v>0</v>
      </c>
      <c r="T850">
        <v>0</v>
      </c>
      <c r="U850">
        <v>0</v>
      </c>
      <c r="V850">
        <v>1674.81</v>
      </c>
      <c r="W850">
        <v>0</v>
      </c>
      <c r="X850">
        <v>1</v>
      </c>
      <c r="Y850">
        <v>0</v>
      </c>
      <c r="Z850">
        <v>-17</v>
      </c>
      <c r="AA850">
        <v>1</v>
      </c>
      <c r="AB850" s="13" t="s">
        <v>581</v>
      </c>
      <c r="AC850">
        <v>0</v>
      </c>
      <c r="AD850">
        <v>0</v>
      </c>
      <c r="AE850" s="13" t="s">
        <v>61</v>
      </c>
    </row>
    <row r="851" spans="1:31" x14ac:dyDescent="0.35">
      <c r="A851" s="13" t="s">
        <v>1449</v>
      </c>
      <c r="B851" s="13" t="s">
        <v>575</v>
      </c>
      <c r="C851" s="13" t="s">
        <v>576</v>
      </c>
      <c r="D851" s="13" t="s">
        <v>126</v>
      </c>
      <c r="E851" s="13" t="s">
        <v>65</v>
      </c>
      <c r="F851" s="13" t="s">
        <v>111</v>
      </c>
      <c r="G851" s="13" t="s">
        <v>55</v>
      </c>
      <c r="H851">
        <v>160000</v>
      </c>
      <c r="I851" s="13" t="s">
        <v>86</v>
      </c>
      <c r="J851" s="13" t="s">
        <v>87</v>
      </c>
      <c r="K851" s="13" t="s">
        <v>58</v>
      </c>
      <c r="L851" s="13" t="s">
        <v>368</v>
      </c>
      <c r="M851">
        <v>90</v>
      </c>
      <c r="N851">
        <v>0</v>
      </c>
      <c r="O851" s="14">
        <v>45979</v>
      </c>
      <c r="P851" s="14">
        <v>46069</v>
      </c>
      <c r="Q851">
        <v>1095.6600000000001</v>
      </c>
      <c r="R851">
        <v>0</v>
      </c>
      <c r="S851">
        <v>0</v>
      </c>
      <c r="T851">
        <v>0</v>
      </c>
      <c r="U851">
        <v>0</v>
      </c>
      <c r="V851">
        <v>1095.6600000000001</v>
      </c>
      <c r="W851">
        <v>0</v>
      </c>
      <c r="X851">
        <v>1</v>
      </c>
      <c r="Y851">
        <v>0</v>
      </c>
      <c r="Z851">
        <v>-47</v>
      </c>
      <c r="AA851">
        <v>1</v>
      </c>
      <c r="AB851" s="13" t="s">
        <v>581</v>
      </c>
      <c r="AC851">
        <v>0</v>
      </c>
      <c r="AD851">
        <v>0</v>
      </c>
      <c r="AE851" s="13" t="s">
        <v>61</v>
      </c>
    </row>
    <row r="852" spans="1:31" x14ac:dyDescent="0.35">
      <c r="A852" s="13" t="s">
        <v>1450</v>
      </c>
      <c r="B852" s="13" t="s">
        <v>361</v>
      </c>
      <c r="C852" s="13" t="s">
        <v>362</v>
      </c>
      <c r="D852" s="13" t="s">
        <v>76</v>
      </c>
      <c r="E852" s="13" t="s">
        <v>65</v>
      </c>
      <c r="F852" s="13" t="s">
        <v>66</v>
      </c>
      <c r="G852" s="13" t="s">
        <v>67</v>
      </c>
      <c r="H852">
        <v>30000</v>
      </c>
      <c r="I852" s="13" t="s">
        <v>93</v>
      </c>
      <c r="J852" s="13" t="s">
        <v>94</v>
      </c>
      <c r="K852" s="13" t="s">
        <v>81</v>
      </c>
      <c r="L852" s="13" t="s">
        <v>95</v>
      </c>
      <c r="M852">
        <v>30</v>
      </c>
      <c r="N852">
        <v>0</v>
      </c>
      <c r="O852" s="14">
        <v>45979</v>
      </c>
      <c r="P852" s="14">
        <v>46009</v>
      </c>
      <c r="Q852">
        <v>451.6</v>
      </c>
      <c r="R852">
        <v>270.95999999999998</v>
      </c>
      <c r="S852">
        <v>0</v>
      </c>
      <c r="T852">
        <v>0</v>
      </c>
      <c r="U852">
        <v>0</v>
      </c>
      <c r="V852">
        <v>180.64</v>
      </c>
      <c r="W852">
        <v>0</v>
      </c>
      <c r="X852">
        <v>1</v>
      </c>
      <c r="Y852">
        <v>1</v>
      </c>
      <c r="Z852">
        <v>13</v>
      </c>
      <c r="AA852">
        <v>2</v>
      </c>
      <c r="AB852" s="13" t="s">
        <v>405</v>
      </c>
      <c r="AC852">
        <v>0.25</v>
      </c>
      <c r="AD852">
        <v>0</v>
      </c>
      <c r="AE852" s="13" t="s">
        <v>61</v>
      </c>
    </row>
    <row r="853" spans="1:31" x14ac:dyDescent="0.35">
      <c r="A853" s="13" t="s">
        <v>1451</v>
      </c>
      <c r="B853" s="13" t="s">
        <v>1452</v>
      </c>
      <c r="C853" s="13" t="s">
        <v>1453</v>
      </c>
      <c r="D853" s="13" t="s">
        <v>76</v>
      </c>
      <c r="E853" s="13" t="s">
        <v>53</v>
      </c>
      <c r="F853" s="13" t="s">
        <v>135</v>
      </c>
      <c r="G853" s="13" t="s">
        <v>92</v>
      </c>
      <c r="H853">
        <v>40000</v>
      </c>
      <c r="I853" s="13" t="s">
        <v>93</v>
      </c>
      <c r="J853" s="13" t="s">
        <v>94</v>
      </c>
      <c r="K853" s="13" t="s">
        <v>81</v>
      </c>
      <c r="L853" s="13" t="s">
        <v>95</v>
      </c>
      <c r="M853">
        <v>30</v>
      </c>
      <c r="N853">
        <v>0</v>
      </c>
      <c r="O853" s="14">
        <v>45979</v>
      </c>
      <c r="P853" s="14">
        <v>46009</v>
      </c>
      <c r="Q853">
        <v>634.80999999999995</v>
      </c>
      <c r="R853">
        <v>0</v>
      </c>
      <c r="S853">
        <v>0</v>
      </c>
      <c r="T853">
        <v>0</v>
      </c>
      <c r="U853">
        <v>0</v>
      </c>
      <c r="V853">
        <v>634.80999999999995</v>
      </c>
      <c r="W853">
        <v>0</v>
      </c>
      <c r="X853">
        <v>1</v>
      </c>
      <c r="Y853">
        <v>1</v>
      </c>
      <c r="Z853">
        <v>13</v>
      </c>
      <c r="AA853">
        <v>2</v>
      </c>
      <c r="AB853" s="13" t="s">
        <v>405</v>
      </c>
      <c r="AC853">
        <v>0.25</v>
      </c>
      <c r="AD853">
        <v>0</v>
      </c>
      <c r="AE853" s="13" t="s">
        <v>61</v>
      </c>
    </row>
    <row r="854" spans="1:31" x14ac:dyDescent="0.35">
      <c r="A854" s="13" t="s">
        <v>1454</v>
      </c>
      <c r="B854" s="13" t="s">
        <v>1455</v>
      </c>
      <c r="C854" s="13" t="s">
        <v>1456</v>
      </c>
      <c r="D854" s="13" t="s">
        <v>104</v>
      </c>
      <c r="E854" s="13" t="s">
        <v>65</v>
      </c>
      <c r="F854" s="13" t="s">
        <v>111</v>
      </c>
      <c r="G854" s="13" t="s">
        <v>55</v>
      </c>
      <c r="H854">
        <v>135000</v>
      </c>
      <c r="I854" s="13" t="s">
        <v>121</v>
      </c>
      <c r="J854" s="13" t="s">
        <v>122</v>
      </c>
      <c r="K854" s="13" t="s">
        <v>107</v>
      </c>
      <c r="L854" s="13" t="s">
        <v>82</v>
      </c>
      <c r="M854">
        <v>30</v>
      </c>
      <c r="N854">
        <v>2</v>
      </c>
      <c r="O854" s="14">
        <v>45980</v>
      </c>
      <c r="P854" s="14">
        <v>46010</v>
      </c>
      <c r="Q854">
        <v>6823.17</v>
      </c>
      <c r="R854">
        <v>0</v>
      </c>
      <c r="S854">
        <v>0</v>
      </c>
      <c r="T854">
        <v>0</v>
      </c>
      <c r="U854">
        <v>0</v>
      </c>
      <c r="V854">
        <v>6823.17</v>
      </c>
      <c r="W854">
        <v>0</v>
      </c>
      <c r="X854">
        <v>1</v>
      </c>
      <c r="Y854">
        <v>1</v>
      </c>
      <c r="Z854">
        <v>12</v>
      </c>
      <c r="AA854">
        <v>2</v>
      </c>
      <c r="AB854" s="13" t="s">
        <v>405</v>
      </c>
      <c r="AC854">
        <v>0.25</v>
      </c>
      <c r="AD854">
        <v>0</v>
      </c>
      <c r="AE854" s="13" t="s">
        <v>61</v>
      </c>
    </row>
    <row r="855" spans="1:31" x14ac:dyDescent="0.35">
      <c r="A855" s="13" t="s">
        <v>1457</v>
      </c>
      <c r="B855" s="13" t="s">
        <v>244</v>
      </c>
      <c r="C855" s="13" t="s">
        <v>245</v>
      </c>
      <c r="D855" s="13" t="s">
        <v>52</v>
      </c>
      <c r="E855" s="13" t="s">
        <v>65</v>
      </c>
      <c r="F855" s="13" t="s">
        <v>111</v>
      </c>
      <c r="G855" s="13" t="s">
        <v>55</v>
      </c>
      <c r="H855">
        <v>590000</v>
      </c>
      <c r="I855" s="13" t="s">
        <v>86</v>
      </c>
      <c r="J855" s="13" t="s">
        <v>87</v>
      </c>
      <c r="K855" s="13" t="s">
        <v>58</v>
      </c>
      <c r="L855" s="13" t="s">
        <v>59</v>
      </c>
      <c r="M855">
        <v>45</v>
      </c>
      <c r="N855">
        <v>0</v>
      </c>
      <c r="O855" s="14">
        <v>45980</v>
      </c>
      <c r="P855" s="14">
        <v>46025</v>
      </c>
      <c r="Q855">
        <v>16566.52</v>
      </c>
      <c r="R855">
        <v>0</v>
      </c>
      <c r="S855">
        <v>0</v>
      </c>
      <c r="T855">
        <v>0</v>
      </c>
      <c r="U855">
        <v>0</v>
      </c>
      <c r="V855">
        <v>16566.52</v>
      </c>
      <c r="W855">
        <v>0</v>
      </c>
      <c r="X855">
        <v>1</v>
      </c>
      <c r="Y855">
        <v>0</v>
      </c>
      <c r="Z855">
        <v>-3</v>
      </c>
      <c r="AA855">
        <v>1</v>
      </c>
      <c r="AB855" s="13" t="s">
        <v>581</v>
      </c>
      <c r="AC855">
        <v>0</v>
      </c>
      <c r="AD855">
        <v>0</v>
      </c>
      <c r="AE855" s="13" t="s">
        <v>61</v>
      </c>
    </row>
    <row r="856" spans="1:31" x14ac:dyDescent="0.35">
      <c r="A856" s="13" t="s">
        <v>1458</v>
      </c>
      <c r="B856" s="13" t="s">
        <v>203</v>
      </c>
      <c r="C856" s="13" t="s">
        <v>204</v>
      </c>
      <c r="D856" s="13" t="s">
        <v>52</v>
      </c>
      <c r="E856" s="13" t="s">
        <v>53</v>
      </c>
      <c r="F856" s="13" t="s">
        <v>135</v>
      </c>
      <c r="G856" s="13" t="s">
        <v>67</v>
      </c>
      <c r="H856">
        <v>500000</v>
      </c>
      <c r="I856" s="13" t="s">
        <v>56</v>
      </c>
      <c r="J856" s="13" t="s">
        <v>57</v>
      </c>
      <c r="K856" s="13" t="s">
        <v>58</v>
      </c>
      <c r="L856" s="13" t="s">
        <v>59</v>
      </c>
      <c r="M856">
        <v>45</v>
      </c>
      <c r="N856">
        <v>0</v>
      </c>
      <c r="O856" s="14">
        <v>45980</v>
      </c>
      <c r="P856" s="14">
        <v>46025</v>
      </c>
      <c r="Q856">
        <v>12754.4</v>
      </c>
      <c r="R856">
        <v>0</v>
      </c>
      <c r="S856">
        <v>0</v>
      </c>
      <c r="T856">
        <v>0</v>
      </c>
      <c r="U856">
        <v>0</v>
      </c>
      <c r="V856">
        <v>12754.4</v>
      </c>
      <c r="W856">
        <v>0</v>
      </c>
      <c r="X856">
        <v>1</v>
      </c>
      <c r="Y856">
        <v>0</v>
      </c>
      <c r="Z856">
        <v>-3</v>
      </c>
      <c r="AA856">
        <v>1</v>
      </c>
      <c r="AB856" s="13" t="s">
        <v>581</v>
      </c>
      <c r="AC856">
        <v>0</v>
      </c>
      <c r="AD856">
        <v>0</v>
      </c>
      <c r="AE856" s="13" t="s">
        <v>61</v>
      </c>
    </row>
    <row r="857" spans="1:31" x14ac:dyDescent="0.35">
      <c r="A857" s="13" t="s">
        <v>1459</v>
      </c>
      <c r="B857" s="13" t="s">
        <v>1460</v>
      </c>
      <c r="C857" s="13" t="s">
        <v>1461</v>
      </c>
      <c r="D857" s="13" t="s">
        <v>104</v>
      </c>
      <c r="E857" s="13" t="s">
        <v>99</v>
      </c>
      <c r="F857" s="13" t="s">
        <v>100</v>
      </c>
      <c r="G857" s="13" t="s">
        <v>55</v>
      </c>
      <c r="H857">
        <v>65000</v>
      </c>
      <c r="I857" s="13" t="s">
        <v>121</v>
      </c>
      <c r="J857" s="13" t="s">
        <v>122</v>
      </c>
      <c r="K857" s="13" t="s">
        <v>107</v>
      </c>
      <c r="L857" s="13" t="s">
        <v>82</v>
      </c>
      <c r="M857">
        <v>30</v>
      </c>
      <c r="N857">
        <v>2</v>
      </c>
      <c r="O857" s="14">
        <v>45980</v>
      </c>
      <c r="P857" s="14">
        <v>46010</v>
      </c>
      <c r="Q857">
        <v>7321.8</v>
      </c>
      <c r="R857">
        <v>4393.08</v>
      </c>
      <c r="S857">
        <v>0</v>
      </c>
      <c r="T857">
        <v>0</v>
      </c>
      <c r="U857">
        <v>0</v>
      </c>
      <c r="V857">
        <v>2928.72</v>
      </c>
      <c r="W857">
        <v>0</v>
      </c>
      <c r="X857">
        <v>1</v>
      </c>
      <c r="Y857">
        <v>1</v>
      </c>
      <c r="Z857">
        <v>12</v>
      </c>
      <c r="AA857">
        <v>2</v>
      </c>
      <c r="AB857" s="13" t="s">
        <v>405</v>
      </c>
      <c r="AC857">
        <v>0.25</v>
      </c>
      <c r="AD857">
        <v>0</v>
      </c>
      <c r="AE857" s="13" t="s">
        <v>61</v>
      </c>
    </row>
    <row r="858" spans="1:31" x14ac:dyDescent="0.35">
      <c r="A858" s="13" t="s">
        <v>1462</v>
      </c>
      <c r="B858" s="13" t="s">
        <v>1247</v>
      </c>
      <c r="C858" s="13" t="s">
        <v>1248</v>
      </c>
      <c r="D858" s="13" t="s">
        <v>52</v>
      </c>
      <c r="E858" s="13" t="s">
        <v>99</v>
      </c>
      <c r="F858" s="13" t="s">
        <v>100</v>
      </c>
      <c r="G858" s="13" t="s">
        <v>55</v>
      </c>
      <c r="H858">
        <v>600000</v>
      </c>
      <c r="I858" s="13" t="s">
        <v>56</v>
      </c>
      <c r="J858" s="13" t="s">
        <v>57</v>
      </c>
      <c r="K858" s="13" t="s">
        <v>58</v>
      </c>
      <c r="L858" s="13" t="s">
        <v>59</v>
      </c>
      <c r="M858">
        <v>45</v>
      </c>
      <c r="N858">
        <v>0</v>
      </c>
      <c r="O858" s="14">
        <v>45980</v>
      </c>
      <c r="P858" s="14">
        <v>46025</v>
      </c>
      <c r="Q858">
        <v>8081.3</v>
      </c>
      <c r="R858">
        <v>0</v>
      </c>
      <c r="S858">
        <v>0</v>
      </c>
      <c r="T858">
        <v>0</v>
      </c>
      <c r="U858">
        <v>0</v>
      </c>
      <c r="V858">
        <v>8081.3</v>
      </c>
      <c r="W858">
        <v>0</v>
      </c>
      <c r="X858">
        <v>1</v>
      </c>
      <c r="Y858">
        <v>0</v>
      </c>
      <c r="Z858">
        <v>-3</v>
      </c>
      <c r="AA858">
        <v>1</v>
      </c>
      <c r="AB858" s="13" t="s">
        <v>581</v>
      </c>
      <c r="AC858">
        <v>0</v>
      </c>
      <c r="AD858">
        <v>0</v>
      </c>
      <c r="AE858" s="13" t="s">
        <v>61</v>
      </c>
    </row>
    <row r="859" spans="1:31" x14ac:dyDescent="0.35">
      <c r="A859" s="13" t="s">
        <v>1463</v>
      </c>
      <c r="B859" s="13" t="s">
        <v>418</v>
      </c>
      <c r="C859" s="13" t="s">
        <v>419</v>
      </c>
      <c r="D859" s="13" t="s">
        <v>52</v>
      </c>
      <c r="E859" s="13" t="s">
        <v>99</v>
      </c>
      <c r="F859" s="13" t="s">
        <v>100</v>
      </c>
      <c r="G859" s="13" t="s">
        <v>67</v>
      </c>
      <c r="H859">
        <v>535000</v>
      </c>
      <c r="I859" s="13" t="s">
        <v>86</v>
      </c>
      <c r="J859" s="13" t="s">
        <v>87</v>
      </c>
      <c r="K859" s="13" t="s">
        <v>58</v>
      </c>
      <c r="L859" s="13" t="s">
        <v>59</v>
      </c>
      <c r="M859">
        <v>45</v>
      </c>
      <c r="N859">
        <v>0</v>
      </c>
      <c r="O859" s="14">
        <v>45980</v>
      </c>
      <c r="P859" s="14">
        <v>46025</v>
      </c>
      <c r="Q859">
        <v>3067.95</v>
      </c>
      <c r="R859">
        <v>0</v>
      </c>
      <c r="S859">
        <v>0</v>
      </c>
      <c r="T859">
        <v>0</v>
      </c>
      <c r="U859">
        <v>0</v>
      </c>
      <c r="V859">
        <v>3067.95</v>
      </c>
      <c r="W859">
        <v>0</v>
      </c>
      <c r="X859">
        <v>1</v>
      </c>
      <c r="Y859">
        <v>0</v>
      </c>
      <c r="Z859">
        <v>-3</v>
      </c>
      <c r="AA859">
        <v>1</v>
      </c>
      <c r="AB859" s="13" t="s">
        <v>581</v>
      </c>
      <c r="AC859">
        <v>0</v>
      </c>
      <c r="AD859">
        <v>0</v>
      </c>
      <c r="AE859" s="13" t="s">
        <v>61</v>
      </c>
    </row>
    <row r="860" spans="1:31" x14ac:dyDescent="0.35">
      <c r="A860" s="13" t="s">
        <v>1464</v>
      </c>
      <c r="B860" s="13" t="s">
        <v>84</v>
      </c>
      <c r="C860" s="13" t="s">
        <v>85</v>
      </c>
      <c r="D860" s="13" t="s">
        <v>52</v>
      </c>
      <c r="E860" s="13" t="s">
        <v>71</v>
      </c>
      <c r="F860" s="13" t="s">
        <v>72</v>
      </c>
      <c r="G860" s="13" t="s">
        <v>67</v>
      </c>
      <c r="H860">
        <v>600000</v>
      </c>
      <c r="I860" s="13" t="s">
        <v>86</v>
      </c>
      <c r="J860" s="13" t="s">
        <v>87</v>
      </c>
      <c r="K860" s="13" t="s">
        <v>58</v>
      </c>
      <c r="L860" s="13" t="s">
        <v>88</v>
      </c>
      <c r="M860">
        <v>60</v>
      </c>
      <c r="N860">
        <v>0</v>
      </c>
      <c r="O860" s="14">
        <v>45980</v>
      </c>
      <c r="P860" s="14">
        <v>46040</v>
      </c>
      <c r="Q860">
        <v>10386.74</v>
      </c>
      <c r="R860">
        <v>0</v>
      </c>
      <c r="S860">
        <v>0</v>
      </c>
      <c r="T860">
        <v>0</v>
      </c>
      <c r="U860">
        <v>0</v>
      </c>
      <c r="V860">
        <v>10386.74</v>
      </c>
      <c r="W860">
        <v>0</v>
      </c>
      <c r="X860">
        <v>1</v>
      </c>
      <c r="Y860">
        <v>0</v>
      </c>
      <c r="Z860">
        <v>-18</v>
      </c>
      <c r="AA860">
        <v>1</v>
      </c>
      <c r="AB860" s="13" t="s">
        <v>581</v>
      </c>
      <c r="AC860">
        <v>0</v>
      </c>
      <c r="AD860">
        <v>0</v>
      </c>
      <c r="AE860" s="13" t="s">
        <v>61</v>
      </c>
    </row>
    <row r="861" spans="1:31" x14ac:dyDescent="0.35">
      <c r="A861" s="13" t="s">
        <v>1465</v>
      </c>
      <c r="B861" s="13" t="s">
        <v>506</v>
      </c>
      <c r="C861" s="13" t="s">
        <v>507</v>
      </c>
      <c r="D861" s="13" t="s">
        <v>126</v>
      </c>
      <c r="E861" s="13" t="s">
        <v>99</v>
      </c>
      <c r="F861" s="13" t="s">
        <v>100</v>
      </c>
      <c r="G861" s="13" t="s">
        <v>67</v>
      </c>
      <c r="H861">
        <v>215000</v>
      </c>
      <c r="I861" s="13" t="s">
        <v>86</v>
      </c>
      <c r="J861" s="13" t="s">
        <v>87</v>
      </c>
      <c r="K861" s="13" t="s">
        <v>58</v>
      </c>
      <c r="L861" s="13" t="s">
        <v>368</v>
      </c>
      <c r="M861">
        <v>90</v>
      </c>
      <c r="N861">
        <v>0</v>
      </c>
      <c r="O861" s="14">
        <v>45980</v>
      </c>
      <c r="P861" s="14">
        <v>46070</v>
      </c>
      <c r="Q861">
        <v>1535.6</v>
      </c>
      <c r="R861">
        <v>0</v>
      </c>
      <c r="S861">
        <v>0</v>
      </c>
      <c r="T861">
        <v>0</v>
      </c>
      <c r="U861">
        <v>0</v>
      </c>
      <c r="V861">
        <v>1535.6</v>
      </c>
      <c r="W861">
        <v>0</v>
      </c>
      <c r="X861">
        <v>1</v>
      </c>
      <c r="Y861">
        <v>0</v>
      </c>
      <c r="Z861">
        <v>-48</v>
      </c>
      <c r="AA861">
        <v>1</v>
      </c>
      <c r="AB861" s="13" t="s">
        <v>581</v>
      </c>
      <c r="AC861">
        <v>0</v>
      </c>
      <c r="AD861">
        <v>0</v>
      </c>
      <c r="AE861" s="13" t="s">
        <v>61</v>
      </c>
    </row>
    <row r="862" spans="1:31" x14ac:dyDescent="0.35">
      <c r="A862" s="13" t="s">
        <v>1466</v>
      </c>
      <c r="B862" s="13" t="s">
        <v>1467</v>
      </c>
      <c r="C862" s="13" t="s">
        <v>1468</v>
      </c>
      <c r="D862" s="13" t="s">
        <v>104</v>
      </c>
      <c r="E862" s="13" t="s">
        <v>99</v>
      </c>
      <c r="F862" s="13" t="s">
        <v>127</v>
      </c>
      <c r="G862" s="13" t="s">
        <v>55</v>
      </c>
      <c r="H862">
        <v>135000</v>
      </c>
      <c r="I862" s="13" t="s">
        <v>121</v>
      </c>
      <c r="J862" s="13" t="s">
        <v>122</v>
      </c>
      <c r="K862" s="13" t="s">
        <v>107</v>
      </c>
      <c r="L862" s="13" t="s">
        <v>95</v>
      </c>
      <c r="M862">
        <v>30</v>
      </c>
      <c r="N862">
        <v>0</v>
      </c>
      <c r="O862" s="14">
        <v>45980</v>
      </c>
      <c r="P862" s="14">
        <v>46010</v>
      </c>
      <c r="Q862">
        <v>973.06</v>
      </c>
      <c r="R862">
        <v>0</v>
      </c>
      <c r="S862">
        <v>0</v>
      </c>
      <c r="T862">
        <v>0</v>
      </c>
      <c r="U862">
        <v>0</v>
      </c>
      <c r="V862">
        <v>973.06</v>
      </c>
      <c r="W862">
        <v>0</v>
      </c>
      <c r="X862">
        <v>1</v>
      </c>
      <c r="Y862">
        <v>1</v>
      </c>
      <c r="Z862">
        <v>12</v>
      </c>
      <c r="AA862">
        <v>2</v>
      </c>
      <c r="AB862" s="13" t="s">
        <v>405</v>
      </c>
      <c r="AC862">
        <v>0.25</v>
      </c>
      <c r="AD862">
        <v>0</v>
      </c>
      <c r="AE862" s="13" t="s">
        <v>61</v>
      </c>
    </row>
    <row r="863" spans="1:31" x14ac:dyDescent="0.35">
      <c r="A863" s="13" t="s">
        <v>1469</v>
      </c>
      <c r="B863" s="13" t="s">
        <v>1470</v>
      </c>
      <c r="C863" s="13" t="s">
        <v>1471</v>
      </c>
      <c r="D863" s="13" t="s">
        <v>52</v>
      </c>
      <c r="E863" s="13" t="s">
        <v>77</v>
      </c>
      <c r="F863" s="13" t="s">
        <v>78</v>
      </c>
      <c r="G863" s="13" t="s">
        <v>67</v>
      </c>
      <c r="H863">
        <v>385000</v>
      </c>
      <c r="I863" s="13" t="s">
        <v>86</v>
      </c>
      <c r="J863" s="13" t="s">
        <v>87</v>
      </c>
      <c r="K863" s="13" t="s">
        <v>58</v>
      </c>
      <c r="L863" s="13" t="s">
        <v>88</v>
      </c>
      <c r="M863">
        <v>60</v>
      </c>
      <c r="N863">
        <v>0</v>
      </c>
      <c r="O863" s="14">
        <v>45980</v>
      </c>
      <c r="P863" s="14">
        <v>46040</v>
      </c>
      <c r="Q863">
        <v>8694.64</v>
      </c>
      <c r="R863">
        <v>0</v>
      </c>
      <c r="S863">
        <v>0</v>
      </c>
      <c r="T863">
        <v>0</v>
      </c>
      <c r="U863">
        <v>0</v>
      </c>
      <c r="V863">
        <v>8694.64</v>
      </c>
      <c r="W863">
        <v>0</v>
      </c>
      <c r="X863">
        <v>1</v>
      </c>
      <c r="Y863">
        <v>0</v>
      </c>
      <c r="Z863">
        <v>-18</v>
      </c>
      <c r="AA863">
        <v>1</v>
      </c>
      <c r="AB863" s="13" t="s">
        <v>581</v>
      </c>
      <c r="AC863">
        <v>0</v>
      </c>
      <c r="AD863">
        <v>0</v>
      </c>
      <c r="AE863" s="13" t="s">
        <v>61</v>
      </c>
    </row>
    <row r="864" spans="1:31" x14ac:dyDescent="0.35">
      <c r="A864" s="13" t="s">
        <v>1472</v>
      </c>
      <c r="B864" s="13" t="s">
        <v>558</v>
      </c>
      <c r="C864" s="13" t="s">
        <v>559</v>
      </c>
      <c r="D864" s="13" t="s">
        <v>52</v>
      </c>
      <c r="E864" s="13" t="s">
        <v>53</v>
      </c>
      <c r="F864" s="13" t="s">
        <v>54</v>
      </c>
      <c r="G864" s="13" t="s">
        <v>55</v>
      </c>
      <c r="H864">
        <v>240000</v>
      </c>
      <c r="I864" s="13" t="s">
        <v>56</v>
      </c>
      <c r="J864" s="13" t="s">
        <v>57</v>
      </c>
      <c r="K864" s="13" t="s">
        <v>58</v>
      </c>
      <c r="L864" s="13" t="s">
        <v>59</v>
      </c>
      <c r="M864">
        <v>45</v>
      </c>
      <c r="N864">
        <v>0</v>
      </c>
      <c r="O864" s="14">
        <v>45980</v>
      </c>
      <c r="P864" s="14">
        <v>46025</v>
      </c>
      <c r="Q864">
        <v>17679.45</v>
      </c>
      <c r="R864">
        <v>0</v>
      </c>
      <c r="S864">
        <v>0</v>
      </c>
      <c r="T864">
        <v>0</v>
      </c>
      <c r="U864">
        <v>0</v>
      </c>
      <c r="V864">
        <v>17679.45</v>
      </c>
      <c r="W864">
        <v>0</v>
      </c>
      <c r="X864">
        <v>1</v>
      </c>
      <c r="Y864">
        <v>0</v>
      </c>
      <c r="Z864">
        <v>-3</v>
      </c>
      <c r="AA864">
        <v>1</v>
      </c>
      <c r="AB864" s="13" t="s">
        <v>581</v>
      </c>
      <c r="AC864">
        <v>0</v>
      </c>
      <c r="AD864">
        <v>0</v>
      </c>
      <c r="AE864" s="13" t="s">
        <v>61</v>
      </c>
    </row>
    <row r="865" spans="1:31" x14ac:dyDescent="0.35">
      <c r="A865" s="13" t="s">
        <v>1473</v>
      </c>
      <c r="B865" s="13" t="s">
        <v>168</v>
      </c>
      <c r="C865" s="13" t="s">
        <v>169</v>
      </c>
      <c r="D865" s="13" t="s">
        <v>52</v>
      </c>
      <c r="E865" s="13" t="s">
        <v>65</v>
      </c>
      <c r="F865" s="13" t="s">
        <v>66</v>
      </c>
      <c r="G865" s="13" t="s">
        <v>67</v>
      </c>
      <c r="H865">
        <v>580000</v>
      </c>
      <c r="I865" s="13" t="s">
        <v>56</v>
      </c>
      <c r="J865" s="13" t="s">
        <v>57</v>
      </c>
      <c r="K865" s="13" t="s">
        <v>58</v>
      </c>
      <c r="L865" s="13" t="s">
        <v>59</v>
      </c>
      <c r="M865">
        <v>45</v>
      </c>
      <c r="N865">
        <v>0</v>
      </c>
      <c r="O865" s="14">
        <v>45980</v>
      </c>
      <c r="P865" s="14">
        <v>46025</v>
      </c>
      <c r="Q865">
        <v>2769.19</v>
      </c>
      <c r="R865">
        <v>0</v>
      </c>
      <c r="S865">
        <v>0</v>
      </c>
      <c r="T865">
        <v>0</v>
      </c>
      <c r="U865">
        <v>0</v>
      </c>
      <c r="V865">
        <v>2769.19</v>
      </c>
      <c r="W865">
        <v>0</v>
      </c>
      <c r="X865">
        <v>1</v>
      </c>
      <c r="Y865">
        <v>0</v>
      </c>
      <c r="Z865">
        <v>-3</v>
      </c>
      <c r="AA865">
        <v>1</v>
      </c>
      <c r="AB865" s="13" t="s">
        <v>581</v>
      </c>
      <c r="AC865">
        <v>0</v>
      </c>
      <c r="AD865">
        <v>0</v>
      </c>
      <c r="AE865" s="13" t="s">
        <v>61</v>
      </c>
    </row>
    <row r="866" spans="1:31" x14ac:dyDescent="0.35">
      <c r="A866" s="13" t="s">
        <v>1474</v>
      </c>
      <c r="B866" s="13" t="s">
        <v>692</v>
      </c>
      <c r="C866" s="13" t="s">
        <v>693</v>
      </c>
      <c r="D866" s="13" t="s">
        <v>52</v>
      </c>
      <c r="E866" s="13" t="s">
        <v>53</v>
      </c>
      <c r="F866" s="13" t="s">
        <v>135</v>
      </c>
      <c r="G866" s="13" t="s">
        <v>55</v>
      </c>
      <c r="H866">
        <v>360000</v>
      </c>
      <c r="I866" s="13" t="s">
        <v>56</v>
      </c>
      <c r="J866" s="13" t="s">
        <v>57</v>
      </c>
      <c r="K866" s="13" t="s">
        <v>58</v>
      </c>
      <c r="L866" s="13" t="s">
        <v>88</v>
      </c>
      <c r="M866">
        <v>60</v>
      </c>
      <c r="N866">
        <v>0</v>
      </c>
      <c r="O866" s="14">
        <v>45980</v>
      </c>
      <c r="P866" s="14">
        <v>46040</v>
      </c>
      <c r="Q866">
        <v>2138.83</v>
      </c>
      <c r="R866">
        <v>0</v>
      </c>
      <c r="S866">
        <v>0</v>
      </c>
      <c r="T866">
        <v>0</v>
      </c>
      <c r="U866">
        <v>0</v>
      </c>
      <c r="V866">
        <v>2138.83</v>
      </c>
      <c r="W866">
        <v>0</v>
      </c>
      <c r="X866">
        <v>1</v>
      </c>
      <c r="Y866">
        <v>0</v>
      </c>
      <c r="Z866">
        <v>-18</v>
      </c>
      <c r="AA866">
        <v>1</v>
      </c>
      <c r="AB866" s="13" t="s">
        <v>581</v>
      </c>
      <c r="AC866">
        <v>0</v>
      </c>
      <c r="AD866">
        <v>0</v>
      </c>
      <c r="AE866" s="13" t="s">
        <v>61</v>
      </c>
    </row>
    <row r="867" spans="1:31" x14ac:dyDescent="0.35">
      <c r="A867" s="13" t="s">
        <v>1475</v>
      </c>
      <c r="B867" s="13" t="s">
        <v>766</v>
      </c>
      <c r="C867" s="13" t="s">
        <v>767</v>
      </c>
      <c r="D867" s="13" t="s">
        <v>104</v>
      </c>
      <c r="E867" s="13" t="s">
        <v>53</v>
      </c>
      <c r="F867" s="13" t="s">
        <v>135</v>
      </c>
      <c r="G867" s="13" t="s">
        <v>92</v>
      </c>
      <c r="H867">
        <v>90000</v>
      </c>
      <c r="I867" s="13" t="s">
        <v>105</v>
      </c>
      <c r="J867" s="13" t="s">
        <v>106</v>
      </c>
      <c r="K867" s="13" t="s">
        <v>107</v>
      </c>
      <c r="L867" s="13" t="s">
        <v>88</v>
      </c>
      <c r="M867">
        <v>60</v>
      </c>
      <c r="N867">
        <v>0</v>
      </c>
      <c r="O867" s="14">
        <v>45980</v>
      </c>
      <c r="P867" s="14">
        <v>46040</v>
      </c>
      <c r="Q867">
        <v>1001.97</v>
      </c>
      <c r="R867">
        <v>0</v>
      </c>
      <c r="S867">
        <v>0</v>
      </c>
      <c r="T867">
        <v>0</v>
      </c>
      <c r="U867">
        <v>0</v>
      </c>
      <c r="V867">
        <v>1001.97</v>
      </c>
      <c r="W867">
        <v>0</v>
      </c>
      <c r="X867">
        <v>1</v>
      </c>
      <c r="Y867">
        <v>0</v>
      </c>
      <c r="Z867">
        <v>-18</v>
      </c>
      <c r="AA867">
        <v>1</v>
      </c>
      <c r="AB867" s="13" t="s">
        <v>581</v>
      </c>
      <c r="AC867">
        <v>0</v>
      </c>
      <c r="AD867">
        <v>0</v>
      </c>
      <c r="AE867" s="13" t="s">
        <v>61</v>
      </c>
    </row>
    <row r="868" spans="1:31" x14ac:dyDescent="0.35">
      <c r="A868" s="13" t="s">
        <v>1476</v>
      </c>
      <c r="B868" s="13" t="s">
        <v>673</v>
      </c>
      <c r="C868" s="13" t="s">
        <v>674</v>
      </c>
      <c r="D868" s="13" t="s">
        <v>52</v>
      </c>
      <c r="E868" s="13" t="s">
        <v>77</v>
      </c>
      <c r="F868" s="13" t="s">
        <v>78</v>
      </c>
      <c r="G868" s="13" t="s">
        <v>67</v>
      </c>
      <c r="H868">
        <v>275000</v>
      </c>
      <c r="I868" s="13" t="s">
        <v>86</v>
      </c>
      <c r="J868" s="13" t="s">
        <v>87</v>
      </c>
      <c r="K868" s="13" t="s">
        <v>58</v>
      </c>
      <c r="L868" s="13" t="s">
        <v>88</v>
      </c>
      <c r="M868">
        <v>60</v>
      </c>
      <c r="N868">
        <v>0</v>
      </c>
      <c r="O868" s="14">
        <v>45980</v>
      </c>
      <c r="P868" s="14">
        <v>46040</v>
      </c>
      <c r="Q868">
        <v>1678.78</v>
      </c>
      <c r="R868">
        <v>0</v>
      </c>
      <c r="S868">
        <v>0</v>
      </c>
      <c r="T868">
        <v>0</v>
      </c>
      <c r="U868">
        <v>0</v>
      </c>
      <c r="V868">
        <v>1678.78</v>
      </c>
      <c r="W868">
        <v>0</v>
      </c>
      <c r="X868">
        <v>1</v>
      </c>
      <c r="Y868">
        <v>0</v>
      </c>
      <c r="Z868">
        <v>-18</v>
      </c>
      <c r="AA868">
        <v>1</v>
      </c>
      <c r="AB868" s="13" t="s">
        <v>581</v>
      </c>
      <c r="AC868">
        <v>0</v>
      </c>
      <c r="AD868">
        <v>0</v>
      </c>
      <c r="AE868" s="13" t="s">
        <v>61</v>
      </c>
    </row>
    <row r="869" spans="1:31" x14ac:dyDescent="0.35">
      <c r="A869" s="13" t="s">
        <v>1477</v>
      </c>
      <c r="B869" s="13" t="s">
        <v>927</v>
      </c>
      <c r="C869" s="13" t="s">
        <v>928</v>
      </c>
      <c r="D869" s="13" t="s">
        <v>52</v>
      </c>
      <c r="E869" s="13" t="s">
        <v>99</v>
      </c>
      <c r="F869" s="13" t="s">
        <v>100</v>
      </c>
      <c r="G869" s="13" t="s">
        <v>67</v>
      </c>
      <c r="H869">
        <v>185000</v>
      </c>
      <c r="I869" s="13" t="s">
        <v>56</v>
      </c>
      <c r="J869" s="13" t="s">
        <v>57</v>
      </c>
      <c r="K869" s="13" t="s">
        <v>58</v>
      </c>
      <c r="L869" s="13" t="s">
        <v>88</v>
      </c>
      <c r="M869">
        <v>60</v>
      </c>
      <c r="N869">
        <v>0</v>
      </c>
      <c r="O869" s="14">
        <v>45980</v>
      </c>
      <c r="P869" s="14">
        <v>46040</v>
      </c>
      <c r="Q869">
        <v>11156.04</v>
      </c>
      <c r="R869">
        <v>0</v>
      </c>
      <c r="S869">
        <v>0</v>
      </c>
      <c r="T869">
        <v>0</v>
      </c>
      <c r="U869">
        <v>0</v>
      </c>
      <c r="V869">
        <v>11156.04</v>
      </c>
      <c r="W869">
        <v>0</v>
      </c>
      <c r="X869">
        <v>1</v>
      </c>
      <c r="Y869">
        <v>0</v>
      </c>
      <c r="Z869">
        <v>-18</v>
      </c>
      <c r="AA869">
        <v>1</v>
      </c>
      <c r="AB869" s="13" t="s">
        <v>581</v>
      </c>
      <c r="AC869">
        <v>0</v>
      </c>
      <c r="AD869">
        <v>0</v>
      </c>
      <c r="AE869" s="13" t="s">
        <v>61</v>
      </c>
    </row>
    <row r="870" spans="1:31" x14ac:dyDescent="0.35">
      <c r="A870" s="13" t="s">
        <v>1478</v>
      </c>
      <c r="B870" s="13" t="s">
        <v>1214</v>
      </c>
      <c r="C870" s="13" t="s">
        <v>1215</v>
      </c>
      <c r="D870" s="13" t="s">
        <v>76</v>
      </c>
      <c r="E870" s="13" t="s">
        <v>53</v>
      </c>
      <c r="F870" s="13" t="s">
        <v>135</v>
      </c>
      <c r="G870" s="13" t="s">
        <v>92</v>
      </c>
      <c r="H870">
        <v>55000</v>
      </c>
      <c r="I870" s="13" t="s">
        <v>79</v>
      </c>
      <c r="J870" s="13" t="s">
        <v>80</v>
      </c>
      <c r="K870" s="13" t="s">
        <v>81</v>
      </c>
      <c r="L870" s="13" t="s">
        <v>95</v>
      </c>
      <c r="M870">
        <v>30</v>
      </c>
      <c r="N870">
        <v>0</v>
      </c>
      <c r="O870" s="14">
        <v>45980</v>
      </c>
      <c r="P870" s="14">
        <v>46010</v>
      </c>
      <c r="Q870">
        <v>708.49</v>
      </c>
      <c r="R870">
        <v>0</v>
      </c>
      <c r="S870">
        <v>0</v>
      </c>
      <c r="T870">
        <v>0</v>
      </c>
      <c r="U870">
        <v>0</v>
      </c>
      <c r="V870">
        <v>708.49</v>
      </c>
      <c r="W870">
        <v>0</v>
      </c>
      <c r="X870">
        <v>1</v>
      </c>
      <c r="Y870">
        <v>1</v>
      </c>
      <c r="Z870">
        <v>12</v>
      </c>
      <c r="AA870">
        <v>2</v>
      </c>
      <c r="AB870" s="13" t="s">
        <v>405</v>
      </c>
      <c r="AC870">
        <v>0.25</v>
      </c>
      <c r="AD870">
        <v>0</v>
      </c>
      <c r="AE870" s="13" t="s">
        <v>61</v>
      </c>
    </row>
    <row r="871" spans="1:31" x14ac:dyDescent="0.35">
      <c r="A871" s="13" t="s">
        <v>1479</v>
      </c>
      <c r="B871" s="13" t="s">
        <v>542</v>
      </c>
      <c r="C871" s="13" t="s">
        <v>543</v>
      </c>
      <c r="D871" s="13" t="s">
        <v>126</v>
      </c>
      <c r="E871" s="13" t="s">
        <v>71</v>
      </c>
      <c r="F871" s="13" t="s">
        <v>72</v>
      </c>
      <c r="G871" s="13" t="s">
        <v>67</v>
      </c>
      <c r="H871">
        <v>95000</v>
      </c>
      <c r="I871" s="13" t="s">
        <v>121</v>
      </c>
      <c r="J871" s="13" t="s">
        <v>122</v>
      </c>
      <c r="K871" s="13" t="s">
        <v>107</v>
      </c>
      <c r="L871" s="13" t="s">
        <v>368</v>
      </c>
      <c r="M871">
        <v>90</v>
      </c>
      <c r="N871">
        <v>0</v>
      </c>
      <c r="O871" s="14">
        <v>45980</v>
      </c>
      <c r="P871" s="14">
        <v>46070</v>
      </c>
      <c r="Q871">
        <v>3003.93</v>
      </c>
      <c r="R871">
        <v>0</v>
      </c>
      <c r="S871">
        <v>0</v>
      </c>
      <c r="T871">
        <v>0</v>
      </c>
      <c r="U871">
        <v>0</v>
      </c>
      <c r="V871">
        <v>3003.93</v>
      </c>
      <c r="W871">
        <v>0</v>
      </c>
      <c r="X871">
        <v>1</v>
      </c>
      <c r="Y871">
        <v>0</v>
      </c>
      <c r="Z871">
        <v>-48</v>
      </c>
      <c r="AA871">
        <v>1</v>
      </c>
      <c r="AB871" s="13" t="s">
        <v>581</v>
      </c>
      <c r="AC871">
        <v>0</v>
      </c>
      <c r="AD871">
        <v>0</v>
      </c>
      <c r="AE871" s="13" t="s">
        <v>61</v>
      </c>
    </row>
    <row r="872" spans="1:31" x14ac:dyDescent="0.35">
      <c r="A872" s="13" t="s">
        <v>1480</v>
      </c>
      <c r="B872" s="13" t="s">
        <v>446</v>
      </c>
      <c r="C872" s="13" t="s">
        <v>447</v>
      </c>
      <c r="D872" s="13" t="s">
        <v>52</v>
      </c>
      <c r="E872" s="13" t="s">
        <v>53</v>
      </c>
      <c r="F872" s="13" t="s">
        <v>54</v>
      </c>
      <c r="G872" s="13" t="s">
        <v>67</v>
      </c>
      <c r="H872">
        <v>245000</v>
      </c>
      <c r="I872" s="13" t="s">
        <v>86</v>
      </c>
      <c r="J872" s="13" t="s">
        <v>87</v>
      </c>
      <c r="K872" s="13" t="s">
        <v>58</v>
      </c>
      <c r="L872" s="13" t="s">
        <v>88</v>
      </c>
      <c r="M872">
        <v>60</v>
      </c>
      <c r="N872">
        <v>0</v>
      </c>
      <c r="O872" s="14">
        <v>45980</v>
      </c>
      <c r="P872" s="14">
        <v>46040</v>
      </c>
      <c r="Q872">
        <v>3651.69</v>
      </c>
      <c r="R872">
        <v>0</v>
      </c>
      <c r="S872">
        <v>0</v>
      </c>
      <c r="T872">
        <v>0</v>
      </c>
      <c r="U872">
        <v>0</v>
      </c>
      <c r="V872">
        <v>3651.69</v>
      </c>
      <c r="W872">
        <v>0</v>
      </c>
      <c r="X872">
        <v>1</v>
      </c>
      <c r="Y872">
        <v>0</v>
      </c>
      <c r="Z872">
        <v>-18</v>
      </c>
      <c r="AA872">
        <v>1</v>
      </c>
      <c r="AB872" s="13" t="s">
        <v>581</v>
      </c>
      <c r="AC872">
        <v>0</v>
      </c>
      <c r="AD872">
        <v>0</v>
      </c>
      <c r="AE872" s="13" t="s">
        <v>61</v>
      </c>
    </row>
    <row r="873" spans="1:31" x14ac:dyDescent="0.35">
      <c r="A873" s="13" t="s">
        <v>1481</v>
      </c>
      <c r="B873" s="13" t="s">
        <v>1482</v>
      </c>
      <c r="C873" s="13" t="s">
        <v>1483</v>
      </c>
      <c r="D873" s="13" t="s">
        <v>76</v>
      </c>
      <c r="E873" s="13" t="s">
        <v>65</v>
      </c>
      <c r="F873" s="13" t="s">
        <v>66</v>
      </c>
      <c r="G873" s="13" t="s">
        <v>92</v>
      </c>
      <c r="H873">
        <v>55000</v>
      </c>
      <c r="I873" s="13" t="s">
        <v>93</v>
      </c>
      <c r="J873" s="13" t="s">
        <v>94</v>
      </c>
      <c r="K873" s="13" t="s">
        <v>81</v>
      </c>
      <c r="L873" s="13" t="s">
        <v>82</v>
      </c>
      <c r="M873">
        <v>30</v>
      </c>
      <c r="N873">
        <v>2</v>
      </c>
      <c r="O873" s="14">
        <v>45980</v>
      </c>
      <c r="P873" s="14">
        <v>46010</v>
      </c>
      <c r="Q873">
        <v>4623.3100000000004</v>
      </c>
      <c r="R873">
        <v>0</v>
      </c>
      <c r="S873">
        <v>0</v>
      </c>
      <c r="T873">
        <v>0</v>
      </c>
      <c r="U873">
        <v>0</v>
      </c>
      <c r="V873">
        <v>4623.3100000000004</v>
      </c>
      <c r="W873">
        <v>0</v>
      </c>
      <c r="X873">
        <v>1</v>
      </c>
      <c r="Y873">
        <v>1</v>
      </c>
      <c r="Z873">
        <v>12</v>
      </c>
      <c r="AA873">
        <v>2</v>
      </c>
      <c r="AB873" s="13" t="s">
        <v>405</v>
      </c>
      <c r="AC873">
        <v>0.25</v>
      </c>
      <c r="AD873">
        <v>0</v>
      </c>
      <c r="AE873" s="13" t="s">
        <v>61</v>
      </c>
    </row>
    <row r="874" spans="1:31" x14ac:dyDescent="0.35">
      <c r="A874" s="13" t="s">
        <v>1484</v>
      </c>
      <c r="B874" s="13" t="s">
        <v>1155</v>
      </c>
      <c r="C874" s="13" t="s">
        <v>1156</v>
      </c>
      <c r="D874" s="13" t="s">
        <v>52</v>
      </c>
      <c r="E874" s="13" t="s">
        <v>53</v>
      </c>
      <c r="F874" s="13" t="s">
        <v>54</v>
      </c>
      <c r="G874" s="13" t="s">
        <v>67</v>
      </c>
      <c r="H874">
        <v>420000</v>
      </c>
      <c r="I874" s="13" t="s">
        <v>86</v>
      </c>
      <c r="J874" s="13" t="s">
        <v>87</v>
      </c>
      <c r="K874" s="13" t="s">
        <v>58</v>
      </c>
      <c r="L874" s="13" t="s">
        <v>88</v>
      </c>
      <c r="M874">
        <v>60</v>
      </c>
      <c r="N874">
        <v>0</v>
      </c>
      <c r="O874" s="14">
        <v>45980</v>
      </c>
      <c r="P874" s="14">
        <v>46040</v>
      </c>
      <c r="Q874">
        <v>12923.4</v>
      </c>
      <c r="R874">
        <v>0</v>
      </c>
      <c r="S874">
        <v>0</v>
      </c>
      <c r="T874">
        <v>0</v>
      </c>
      <c r="U874">
        <v>0</v>
      </c>
      <c r="V874">
        <v>12923.4</v>
      </c>
      <c r="W874">
        <v>0</v>
      </c>
      <c r="X874">
        <v>1</v>
      </c>
      <c r="Y874">
        <v>0</v>
      </c>
      <c r="Z874">
        <v>-18</v>
      </c>
      <c r="AA874">
        <v>1</v>
      </c>
      <c r="AB874" s="13" t="s">
        <v>581</v>
      </c>
      <c r="AC874">
        <v>0</v>
      </c>
      <c r="AD874">
        <v>0</v>
      </c>
      <c r="AE874" s="13" t="s">
        <v>61</v>
      </c>
    </row>
    <row r="875" spans="1:31" x14ac:dyDescent="0.35">
      <c r="A875" s="13" t="s">
        <v>1485</v>
      </c>
      <c r="B875" s="13" t="s">
        <v>290</v>
      </c>
      <c r="C875" s="13" t="s">
        <v>291</v>
      </c>
      <c r="D875" s="13" t="s">
        <v>104</v>
      </c>
      <c r="E875" s="13" t="s">
        <v>77</v>
      </c>
      <c r="F875" s="13" t="s">
        <v>78</v>
      </c>
      <c r="G875" s="13" t="s">
        <v>92</v>
      </c>
      <c r="H875">
        <v>140000</v>
      </c>
      <c r="I875" s="13" t="s">
        <v>121</v>
      </c>
      <c r="J875" s="13" t="s">
        <v>122</v>
      </c>
      <c r="K875" s="13" t="s">
        <v>107</v>
      </c>
      <c r="L875" s="13" t="s">
        <v>82</v>
      </c>
      <c r="M875">
        <v>30</v>
      </c>
      <c r="N875">
        <v>2</v>
      </c>
      <c r="O875" s="14">
        <v>45980</v>
      </c>
      <c r="P875" s="14">
        <v>46010</v>
      </c>
      <c r="Q875">
        <v>8777.26</v>
      </c>
      <c r="R875">
        <v>0</v>
      </c>
      <c r="S875">
        <v>0</v>
      </c>
      <c r="T875">
        <v>0</v>
      </c>
      <c r="U875">
        <v>0</v>
      </c>
      <c r="V875">
        <v>8777.26</v>
      </c>
      <c r="W875">
        <v>0</v>
      </c>
      <c r="X875">
        <v>1</v>
      </c>
      <c r="Y875">
        <v>1</v>
      </c>
      <c r="Z875">
        <v>12</v>
      </c>
      <c r="AA875">
        <v>2</v>
      </c>
      <c r="AB875" s="13" t="s">
        <v>405</v>
      </c>
      <c r="AC875">
        <v>0.25</v>
      </c>
      <c r="AD875">
        <v>0</v>
      </c>
      <c r="AE875" s="13" t="s">
        <v>61</v>
      </c>
    </row>
    <row r="876" spans="1:31" x14ac:dyDescent="0.35">
      <c r="A876" s="13" t="s">
        <v>1486</v>
      </c>
      <c r="B876" s="13" t="s">
        <v>695</v>
      </c>
      <c r="C876" s="13" t="s">
        <v>696</v>
      </c>
      <c r="D876" s="13" t="s">
        <v>52</v>
      </c>
      <c r="E876" s="13" t="s">
        <v>53</v>
      </c>
      <c r="F876" s="13" t="s">
        <v>54</v>
      </c>
      <c r="G876" s="13" t="s">
        <v>92</v>
      </c>
      <c r="H876">
        <v>535000</v>
      </c>
      <c r="I876" s="13" t="s">
        <v>56</v>
      </c>
      <c r="J876" s="13" t="s">
        <v>57</v>
      </c>
      <c r="K876" s="13" t="s">
        <v>58</v>
      </c>
      <c r="L876" s="13" t="s">
        <v>88</v>
      </c>
      <c r="M876">
        <v>60</v>
      </c>
      <c r="N876">
        <v>0</v>
      </c>
      <c r="O876" s="14">
        <v>45980</v>
      </c>
      <c r="P876" s="14">
        <v>46040</v>
      </c>
      <c r="Q876">
        <v>3340.88</v>
      </c>
      <c r="R876">
        <v>0</v>
      </c>
      <c r="S876">
        <v>0</v>
      </c>
      <c r="T876">
        <v>0</v>
      </c>
      <c r="U876">
        <v>0</v>
      </c>
      <c r="V876">
        <v>3340.88</v>
      </c>
      <c r="W876">
        <v>0</v>
      </c>
      <c r="X876">
        <v>1</v>
      </c>
      <c r="Y876">
        <v>0</v>
      </c>
      <c r="Z876">
        <v>-18</v>
      </c>
      <c r="AA876">
        <v>1</v>
      </c>
      <c r="AB876" s="13" t="s">
        <v>581</v>
      </c>
      <c r="AC876">
        <v>0</v>
      </c>
      <c r="AD876">
        <v>0</v>
      </c>
      <c r="AE876" s="13" t="s">
        <v>61</v>
      </c>
    </row>
    <row r="877" spans="1:31" x14ac:dyDescent="0.35">
      <c r="A877" s="13" t="s">
        <v>1487</v>
      </c>
      <c r="B877" s="13" t="s">
        <v>930</v>
      </c>
      <c r="C877" s="13" t="s">
        <v>931</v>
      </c>
      <c r="D877" s="13" t="s">
        <v>104</v>
      </c>
      <c r="E877" s="13" t="s">
        <v>71</v>
      </c>
      <c r="F877" s="13" t="s">
        <v>214</v>
      </c>
      <c r="G877" s="13" t="s">
        <v>55</v>
      </c>
      <c r="H877">
        <v>120000</v>
      </c>
      <c r="I877" s="13" t="s">
        <v>121</v>
      </c>
      <c r="J877" s="13" t="s">
        <v>122</v>
      </c>
      <c r="K877" s="13" t="s">
        <v>107</v>
      </c>
      <c r="L877" s="13" t="s">
        <v>88</v>
      </c>
      <c r="M877">
        <v>60</v>
      </c>
      <c r="N877">
        <v>0</v>
      </c>
      <c r="O877" s="14">
        <v>45980</v>
      </c>
      <c r="P877" s="14">
        <v>46040</v>
      </c>
      <c r="Q877">
        <v>2996.26</v>
      </c>
      <c r="R877">
        <v>0</v>
      </c>
      <c r="S877">
        <v>0</v>
      </c>
      <c r="T877">
        <v>0</v>
      </c>
      <c r="U877">
        <v>0</v>
      </c>
      <c r="V877">
        <v>2996.26</v>
      </c>
      <c r="W877">
        <v>0</v>
      </c>
      <c r="X877">
        <v>1</v>
      </c>
      <c r="Y877">
        <v>0</v>
      </c>
      <c r="Z877">
        <v>-18</v>
      </c>
      <c r="AA877">
        <v>1</v>
      </c>
      <c r="AB877" s="13" t="s">
        <v>581</v>
      </c>
      <c r="AC877">
        <v>0</v>
      </c>
      <c r="AD877">
        <v>0</v>
      </c>
      <c r="AE877" s="13" t="s">
        <v>61</v>
      </c>
    </row>
    <row r="878" spans="1:31" x14ac:dyDescent="0.35">
      <c r="A878" s="13" t="s">
        <v>1488</v>
      </c>
      <c r="B878" s="13" t="s">
        <v>296</v>
      </c>
      <c r="C878" s="13" t="s">
        <v>297</v>
      </c>
      <c r="D878" s="13" t="s">
        <v>104</v>
      </c>
      <c r="E878" s="13" t="s">
        <v>65</v>
      </c>
      <c r="F878" s="13" t="s">
        <v>111</v>
      </c>
      <c r="G878" s="13" t="s">
        <v>92</v>
      </c>
      <c r="H878">
        <v>125000</v>
      </c>
      <c r="I878" s="13" t="s">
        <v>105</v>
      </c>
      <c r="J878" s="13" t="s">
        <v>106</v>
      </c>
      <c r="K878" s="13" t="s">
        <v>107</v>
      </c>
      <c r="L878" s="13" t="s">
        <v>82</v>
      </c>
      <c r="M878">
        <v>30</v>
      </c>
      <c r="N878">
        <v>2</v>
      </c>
      <c r="O878" s="14">
        <v>45980</v>
      </c>
      <c r="P878" s="14">
        <v>46010</v>
      </c>
      <c r="Q878">
        <v>6143.6</v>
      </c>
      <c r="R878">
        <v>0</v>
      </c>
      <c r="S878">
        <v>0</v>
      </c>
      <c r="T878">
        <v>0</v>
      </c>
      <c r="U878">
        <v>0</v>
      </c>
      <c r="V878">
        <v>6143.6</v>
      </c>
      <c r="W878">
        <v>0</v>
      </c>
      <c r="X878">
        <v>1</v>
      </c>
      <c r="Y878">
        <v>1</v>
      </c>
      <c r="Z878">
        <v>12</v>
      </c>
      <c r="AA878">
        <v>2</v>
      </c>
      <c r="AB878" s="13" t="s">
        <v>405</v>
      </c>
      <c r="AC878">
        <v>0.25</v>
      </c>
      <c r="AD878">
        <v>0</v>
      </c>
      <c r="AE878" s="13" t="s">
        <v>61</v>
      </c>
    </row>
    <row r="879" spans="1:31" x14ac:dyDescent="0.35">
      <c r="A879" s="13" t="s">
        <v>1489</v>
      </c>
      <c r="B879" s="13" t="s">
        <v>1490</v>
      </c>
      <c r="C879" s="13" t="s">
        <v>1491</v>
      </c>
      <c r="D879" s="13" t="s">
        <v>104</v>
      </c>
      <c r="E879" s="13" t="s">
        <v>77</v>
      </c>
      <c r="F879" s="13" t="s">
        <v>78</v>
      </c>
      <c r="G879" s="13" t="s">
        <v>55</v>
      </c>
      <c r="H879">
        <v>35000</v>
      </c>
      <c r="I879" s="13" t="s">
        <v>105</v>
      </c>
      <c r="J879" s="13" t="s">
        <v>106</v>
      </c>
      <c r="K879" s="13" t="s">
        <v>107</v>
      </c>
      <c r="L879" s="13" t="s">
        <v>95</v>
      </c>
      <c r="M879">
        <v>30</v>
      </c>
      <c r="N879">
        <v>0</v>
      </c>
      <c r="O879" s="14">
        <v>45980</v>
      </c>
      <c r="P879" s="14">
        <v>46010</v>
      </c>
      <c r="Q879">
        <v>1720.43</v>
      </c>
      <c r="R879">
        <v>0</v>
      </c>
      <c r="S879">
        <v>0</v>
      </c>
      <c r="T879">
        <v>0</v>
      </c>
      <c r="U879">
        <v>0</v>
      </c>
      <c r="V879">
        <v>1720.43</v>
      </c>
      <c r="W879">
        <v>0</v>
      </c>
      <c r="X879">
        <v>1</v>
      </c>
      <c r="Y879">
        <v>1</v>
      </c>
      <c r="Z879">
        <v>12</v>
      </c>
      <c r="AA879">
        <v>2</v>
      </c>
      <c r="AB879" s="13" t="s">
        <v>405</v>
      </c>
      <c r="AC879">
        <v>0.25</v>
      </c>
      <c r="AD879">
        <v>0</v>
      </c>
      <c r="AE879" s="13" t="s">
        <v>61</v>
      </c>
    </row>
    <row r="880" spans="1:31" x14ac:dyDescent="0.35">
      <c r="A880" s="13" t="s">
        <v>1492</v>
      </c>
      <c r="B880" s="13" t="s">
        <v>1493</v>
      </c>
      <c r="C880" s="13" t="s">
        <v>1494</v>
      </c>
      <c r="D880" s="13" t="s">
        <v>52</v>
      </c>
      <c r="E880" s="13" t="s">
        <v>71</v>
      </c>
      <c r="F880" s="13" t="s">
        <v>72</v>
      </c>
      <c r="G880" s="13" t="s">
        <v>55</v>
      </c>
      <c r="H880">
        <v>155000</v>
      </c>
      <c r="I880" s="13" t="s">
        <v>86</v>
      </c>
      <c r="J880" s="13" t="s">
        <v>87</v>
      </c>
      <c r="K880" s="13" t="s">
        <v>58</v>
      </c>
      <c r="L880" s="13" t="s">
        <v>59</v>
      </c>
      <c r="M880">
        <v>45</v>
      </c>
      <c r="N880">
        <v>0</v>
      </c>
      <c r="O880" s="14">
        <v>45980</v>
      </c>
      <c r="P880" s="14">
        <v>46025</v>
      </c>
      <c r="Q880">
        <v>17330.64</v>
      </c>
      <c r="R880">
        <v>0</v>
      </c>
      <c r="S880">
        <v>0</v>
      </c>
      <c r="T880">
        <v>0</v>
      </c>
      <c r="U880">
        <v>0</v>
      </c>
      <c r="V880">
        <v>17330.64</v>
      </c>
      <c r="W880">
        <v>0</v>
      </c>
      <c r="X880">
        <v>1</v>
      </c>
      <c r="Y880">
        <v>0</v>
      </c>
      <c r="Z880">
        <v>-3</v>
      </c>
      <c r="AA880">
        <v>1</v>
      </c>
      <c r="AB880" s="13" t="s">
        <v>581</v>
      </c>
      <c r="AC880">
        <v>0</v>
      </c>
      <c r="AD880">
        <v>0</v>
      </c>
      <c r="AE880" s="13" t="s">
        <v>61</v>
      </c>
    </row>
    <row r="881" spans="1:31" x14ac:dyDescent="0.35">
      <c r="A881" s="13" t="s">
        <v>1495</v>
      </c>
      <c r="B881" s="13" t="s">
        <v>293</v>
      </c>
      <c r="C881" s="13" t="s">
        <v>294</v>
      </c>
      <c r="D881" s="13" t="s">
        <v>104</v>
      </c>
      <c r="E881" s="13" t="s">
        <v>99</v>
      </c>
      <c r="F881" s="13" t="s">
        <v>100</v>
      </c>
      <c r="G881" s="13" t="s">
        <v>92</v>
      </c>
      <c r="H881">
        <v>145000</v>
      </c>
      <c r="I881" s="13" t="s">
        <v>121</v>
      </c>
      <c r="J881" s="13" t="s">
        <v>122</v>
      </c>
      <c r="K881" s="13" t="s">
        <v>107</v>
      </c>
      <c r="L881" s="13" t="s">
        <v>82</v>
      </c>
      <c r="M881">
        <v>30</v>
      </c>
      <c r="N881">
        <v>2</v>
      </c>
      <c r="O881" s="14">
        <v>45980</v>
      </c>
      <c r="P881" s="14">
        <v>46010</v>
      </c>
      <c r="Q881">
        <v>4904.01</v>
      </c>
      <c r="R881">
        <v>0</v>
      </c>
      <c r="S881">
        <v>0</v>
      </c>
      <c r="T881">
        <v>0</v>
      </c>
      <c r="U881">
        <v>0</v>
      </c>
      <c r="V881">
        <v>4904.01</v>
      </c>
      <c r="W881">
        <v>0</v>
      </c>
      <c r="X881">
        <v>1</v>
      </c>
      <c r="Y881">
        <v>1</v>
      </c>
      <c r="Z881">
        <v>12</v>
      </c>
      <c r="AA881">
        <v>2</v>
      </c>
      <c r="AB881" s="13" t="s">
        <v>405</v>
      </c>
      <c r="AC881">
        <v>0.25</v>
      </c>
      <c r="AD881">
        <v>0</v>
      </c>
      <c r="AE881" s="13" t="s">
        <v>61</v>
      </c>
    </row>
    <row r="882" spans="1:31" x14ac:dyDescent="0.35">
      <c r="A882" s="13" t="s">
        <v>1496</v>
      </c>
      <c r="B882" s="13" t="s">
        <v>430</v>
      </c>
      <c r="C882" s="13" t="s">
        <v>431</v>
      </c>
      <c r="D882" s="13" t="s">
        <v>126</v>
      </c>
      <c r="E882" s="13" t="s">
        <v>77</v>
      </c>
      <c r="F882" s="13" t="s">
        <v>174</v>
      </c>
      <c r="G882" s="13" t="s">
        <v>67</v>
      </c>
      <c r="H882">
        <v>195000</v>
      </c>
      <c r="I882" s="13" t="s">
        <v>56</v>
      </c>
      <c r="J882" s="13" t="s">
        <v>57</v>
      </c>
      <c r="K882" s="13" t="s">
        <v>58</v>
      </c>
      <c r="L882" s="13" t="s">
        <v>368</v>
      </c>
      <c r="M882">
        <v>90</v>
      </c>
      <c r="N882">
        <v>0</v>
      </c>
      <c r="O882" s="14">
        <v>45980</v>
      </c>
      <c r="P882" s="14">
        <v>46070</v>
      </c>
      <c r="Q882">
        <v>5030.75</v>
      </c>
      <c r="R882">
        <v>0</v>
      </c>
      <c r="S882">
        <v>0</v>
      </c>
      <c r="T882">
        <v>0</v>
      </c>
      <c r="U882">
        <v>0</v>
      </c>
      <c r="V882">
        <v>5030.75</v>
      </c>
      <c r="W882">
        <v>0</v>
      </c>
      <c r="X882">
        <v>1</v>
      </c>
      <c r="Y882">
        <v>0</v>
      </c>
      <c r="Z882">
        <v>-48</v>
      </c>
      <c r="AA882">
        <v>1</v>
      </c>
      <c r="AB882" s="13" t="s">
        <v>581</v>
      </c>
      <c r="AC882">
        <v>0</v>
      </c>
      <c r="AD882">
        <v>0</v>
      </c>
      <c r="AE882" s="13" t="s">
        <v>61</v>
      </c>
    </row>
    <row r="883" spans="1:31" x14ac:dyDescent="0.35">
      <c r="A883" s="13" t="s">
        <v>1497</v>
      </c>
      <c r="B883" s="13" t="s">
        <v>425</v>
      </c>
      <c r="C883" s="13" t="s">
        <v>426</v>
      </c>
      <c r="D883" s="13" t="s">
        <v>126</v>
      </c>
      <c r="E883" s="13" t="s">
        <v>77</v>
      </c>
      <c r="F883" s="13" t="s">
        <v>78</v>
      </c>
      <c r="G883" s="13" t="s">
        <v>67</v>
      </c>
      <c r="H883">
        <v>230000</v>
      </c>
      <c r="I883" s="13" t="s">
        <v>56</v>
      </c>
      <c r="J883" s="13" t="s">
        <v>57</v>
      </c>
      <c r="K883" s="13" t="s">
        <v>58</v>
      </c>
      <c r="L883" s="13" t="s">
        <v>368</v>
      </c>
      <c r="M883">
        <v>90</v>
      </c>
      <c r="N883">
        <v>0</v>
      </c>
      <c r="O883" s="14">
        <v>45980</v>
      </c>
      <c r="P883" s="14">
        <v>46070</v>
      </c>
      <c r="Q883">
        <v>6202.67</v>
      </c>
      <c r="R883">
        <v>0</v>
      </c>
      <c r="S883">
        <v>0</v>
      </c>
      <c r="T883">
        <v>0</v>
      </c>
      <c r="U883">
        <v>0</v>
      </c>
      <c r="V883">
        <v>6202.67</v>
      </c>
      <c r="W883">
        <v>0</v>
      </c>
      <c r="X883">
        <v>1</v>
      </c>
      <c r="Y883">
        <v>0</v>
      </c>
      <c r="Z883">
        <v>-48</v>
      </c>
      <c r="AA883">
        <v>1</v>
      </c>
      <c r="AB883" s="13" t="s">
        <v>581</v>
      </c>
      <c r="AC883">
        <v>0</v>
      </c>
      <c r="AD883">
        <v>0</v>
      </c>
      <c r="AE883" s="13" t="s">
        <v>61</v>
      </c>
    </row>
    <row r="884" spans="1:31" x14ac:dyDescent="0.35">
      <c r="A884" s="13" t="s">
        <v>1498</v>
      </c>
      <c r="B884" s="13" t="s">
        <v>879</v>
      </c>
      <c r="C884" s="13" t="s">
        <v>880</v>
      </c>
      <c r="D884" s="13" t="s">
        <v>104</v>
      </c>
      <c r="E884" s="13" t="s">
        <v>71</v>
      </c>
      <c r="F884" s="13" t="s">
        <v>214</v>
      </c>
      <c r="G884" s="13" t="s">
        <v>67</v>
      </c>
      <c r="H884">
        <v>135000</v>
      </c>
      <c r="I884" s="13" t="s">
        <v>121</v>
      </c>
      <c r="J884" s="13" t="s">
        <v>122</v>
      </c>
      <c r="K884" s="13" t="s">
        <v>107</v>
      </c>
      <c r="L884" s="13" t="s">
        <v>88</v>
      </c>
      <c r="M884">
        <v>60</v>
      </c>
      <c r="N884">
        <v>0</v>
      </c>
      <c r="O884" s="14">
        <v>45980</v>
      </c>
      <c r="P884" s="14">
        <v>46040</v>
      </c>
      <c r="Q884">
        <v>817.65</v>
      </c>
      <c r="R884">
        <v>0</v>
      </c>
      <c r="S884">
        <v>0</v>
      </c>
      <c r="T884">
        <v>0</v>
      </c>
      <c r="U884">
        <v>0</v>
      </c>
      <c r="V884">
        <v>817.65</v>
      </c>
      <c r="W884">
        <v>0</v>
      </c>
      <c r="X884">
        <v>1</v>
      </c>
      <c r="Y884">
        <v>0</v>
      </c>
      <c r="Z884">
        <v>-18</v>
      </c>
      <c r="AA884">
        <v>1</v>
      </c>
      <c r="AB884" s="13" t="s">
        <v>581</v>
      </c>
      <c r="AC884">
        <v>0</v>
      </c>
      <c r="AD884">
        <v>0</v>
      </c>
      <c r="AE884" s="13" t="s">
        <v>61</v>
      </c>
    </row>
    <row r="885" spans="1:31" x14ac:dyDescent="0.35">
      <c r="A885" s="13" t="s">
        <v>1499</v>
      </c>
      <c r="B885" s="13" t="s">
        <v>605</v>
      </c>
      <c r="C885" s="13" t="s">
        <v>606</v>
      </c>
      <c r="D885" s="13" t="s">
        <v>52</v>
      </c>
      <c r="E885" s="13" t="s">
        <v>65</v>
      </c>
      <c r="F885" s="13" t="s">
        <v>66</v>
      </c>
      <c r="G885" s="13" t="s">
        <v>67</v>
      </c>
      <c r="H885">
        <v>335000</v>
      </c>
      <c r="I885" s="13" t="s">
        <v>86</v>
      </c>
      <c r="J885" s="13" t="s">
        <v>87</v>
      </c>
      <c r="K885" s="13" t="s">
        <v>58</v>
      </c>
      <c r="L885" s="13" t="s">
        <v>59</v>
      </c>
      <c r="M885">
        <v>45</v>
      </c>
      <c r="N885">
        <v>0</v>
      </c>
      <c r="O885" s="14">
        <v>45980</v>
      </c>
      <c r="P885" s="14">
        <v>46025</v>
      </c>
      <c r="Q885">
        <v>9945.1200000000008</v>
      </c>
      <c r="R885">
        <v>0</v>
      </c>
      <c r="S885">
        <v>0</v>
      </c>
      <c r="T885">
        <v>0</v>
      </c>
      <c r="U885">
        <v>0</v>
      </c>
      <c r="V885">
        <v>9945.1200000000008</v>
      </c>
      <c r="W885">
        <v>0</v>
      </c>
      <c r="X885">
        <v>1</v>
      </c>
      <c r="Y885">
        <v>0</v>
      </c>
      <c r="Z885">
        <v>-3</v>
      </c>
      <c r="AA885">
        <v>1</v>
      </c>
      <c r="AB885" s="13" t="s">
        <v>581</v>
      </c>
      <c r="AC885">
        <v>0</v>
      </c>
      <c r="AD885">
        <v>0</v>
      </c>
      <c r="AE885" s="13" t="s">
        <v>61</v>
      </c>
    </row>
    <row r="886" spans="1:31" x14ac:dyDescent="0.35">
      <c r="A886" s="13" t="s">
        <v>1500</v>
      </c>
      <c r="B886" s="13" t="s">
        <v>113</v>
      </c>
      <c r="C886" s="13" t="s">
        <v>114</v>
      </c>
      <c r="D886" s="13" t="s">
        <v>52</v>
      </c>
      <c r="E886" s="13" t="s">
        <v>77</v>
      </c>
      <c r="F886" s="13" t="s">
        <v>78</v>
      </c>
      <c r="G886" s="13" t="s">
        <v>92</v>
      </c>
      <c r="H886">
        <v>545000</v>
      </c>
      <c r="I886" s="13" t="s">
        <v>86</v>
      </c>
      <c r="J886" s="13" t="s">
        <v>87</v>
      </c>
      <c r="K886" s="13" t="s">
        <v>58</v>
      </c>
      <c r="L886" s="13" t="s">
        <v>88</v>
      </c>
      <c r="M886">
        <v>60</v>
      </c>
      <c r="N886">
        <v>0</v>
      </c>
      <c r="O886" s="14">
        <v>45980</v>
      </c>
      <c r="P886" s="14">
        <v>46040</v>
      </c>
      <c r="Q886">
        <v>2834</v>
      </c>
      <c r="R886">
        <v>0</v>
      </c>
      <c r="S886">
        <v>0</v>
      </c>
      <c r="T886">
        <v>0</v>
      </c>
      <c r="U886">
        <v>0</v>
      </c>
      <c r="V886">
        <v>2834</v>
      </c>
      <c r="W886">
        <v>0</v>
      </c>
      <c r="X886">
        <v>1</v>
      </c>
      <c r="Y886">
        <v>0</v>
      </c>
      <c r="Z886">
        <v>-18</v>
      </c>
      <c r="AA886">
        <v>1</v>
      </c>
      <c r="AB886" s="13" t="s">
        <v>581</v>
      </c>
      <c r="AC886">
        <v>0</v>
      </c>
      <c r="AD886">
        <v>0</v>
      </c>
      <c r="AE886" s="13" t="s">
        <v>61</v>
      </c>
    </row>
    <row r="887" spans="1:31" x14ac:dyDescent="0.35">
      <c r="A887" s="13" t="s">
        <v>1501</v>
      </c>
      <c r="B887" s="13" t="s">
        <v>625</v>
      </c>
      <c r="C887" s="13" t="s">
        <v>626</v>
      </c>
      <c r="D887" s="13" t="s">
        <v>104</v>
      </c>
      <c r="E887" s="13" t="s">
        <v>71</v>
      </c>
      <c r="F887" s="13" t="s">
        <v>214</v>
      </c>
      <c r="G887" s="13" t="s">
        <v>67</v>
      </c>
      <c r="H887">
        <v>85000</v>
      </c>
      <c r="I887" s="13" t="s">
        <v>105</v>
      </c>
      <c r="J887" s="13" t="s">
        <v>106</v>
      </c>
      <c r="K887" s="13" t="s">
        <v>107</v>
      </c>
      <c r="L887" s="13" t="s">
        <v>88</v>
      </c>
      <c r="M887">
        <v>60</v>
      </c>
      <c r="N887">
        <v>0</v>
      </c>
      <c r="O887" s="14">
        <v>45980</v>
      </c>
      <c r="P887" s="14">
        <v>46040</v>
      </c>
      <c r="Q887">
        <v>1544.97</v>
      </c>
      <c r="R887">
        <v>0</v>
      </c>
      <c r="S887">
        <v>0</v>
      </c>
      <c r="T887">
        <v>0</v>
      </c>
      <c r="U887">
        <v>0</v>
      </c>
      <c r="V887">
        <v>1544.97</v>
      </c>
      <c r="W887">
        <v>0</v>
      </c>
      <c r="X887">
        <v>1</v>
      </c>
      <c r="Y887">
        <v>0</v>
      </c>
      <c r="Z887">
        <v>-18</v>
      </c>
      <c r="AA887">
        <v>1</v>
      </c>
      <c r="AB887" s="13" t="s">
        <v>581</v>
      </c>
      <c r="AC887">
        <v>0</v>
      </c>
      <c r="AD887">
        <v>0</v>
      </c>
      <c r="AE887" s="13" t="s">
        <v>61</v>
      </c>
    </row>
    <row r="888" spans="1:31" x14ac:dyDescent="0.35">
      <c r="A888" s="13" t="s">
        <v>1502</v>
      </c>
      <c r="B888" s="13" t="s">
        <v>340</v>
      </c>
      <c r="C888" s="13" t="s">
        <v>341</v>
      </c>
      <c r="D888" s="13" t="s">
        <v>52</v>
      </c>
      <c r="E888" s="13" t="s">
        <v>77</v>
      </c>
      <c r="F888" s="13" t="s">
        <v>78</v>
      </c>
      <c r="G888" s="13" t="s">
        <v>92</v>
      </c>
      <c r="H888">
        <v>565000</v>
      </c>
      <c r="I888" s="13" t="s">
        <v>56</v>
      </c>
      <c r="J888" s="13" t="s">
        <v>57</v>
      </c>
      <c r="K888" s="13" t="s">
        <v>58</v>
      </c>
      <c r="L888" s="13" t="s">
        <v>59</v>
      </c>
      <c r="M888">
        <v>45</v>
      </c>
      <c r="N888">
        <v>0</v>
      </c>
      <c r="O888" s="14">
        <v>45980</v>
      </c>
      <c r="P888" s="14">
        <v>46025</v>
      </c>
      <c r="Q888">
        <v>5824.94</v>
      </c>
      <c r="R888">
        <v>0</v>
      </c>
      <c r="S888">
        <v>0</v>
      </c>
      <c r="T888">
        <v>0</v>
      </c>
      <c r="U888">
        <v>0</v>
      </c>
      <c r="V888">
        <v>5824.94</v>
      </c>
      <c r="W888">
        <v>0</v>
      </c>
      <c r="X888">
        <v>1</v>
      </c>
      <c r="Y888">
        <v>0</v>
      </c>
      <c r="Z888">
        <v>-3</v>
      </c>
      <c r="AA888">
        <v>1</v>
      </c>
      <c r="AB888" s="13" t="s">
        <v>581</v>
      </c>
      <c r="AC888">
        <v>0</v>
      </c>
      <c r="AD888">
        <v>0</v>
      </c>
      <c r="AE888" s="13" t="s">
        <v>61</v>
      </c>
    </row>
    <row r="889" spans="1:31" x14ac:dyDescent="0.35">
      <c r="A889" s="13" t="s">
        <v>1503</v>
      </c>
      <c r="B889" s="13" t="s">
        <v>189</v>
      </c>
      <c r="C889" s="13" t="s">
        <v>190</v>
      </c>
      <c r="D889" s="13" t="s">
        <v>104</v>
      </c>
      <c r="E889" s="13" t="s">
        <v>53</v>
      </c>
      <c r="F889" s="13" t="s">
        <v>135</v>
      </c>
      <c r="G889" s="13" t="s">
        <v>67</v>
      </c>
      <c r="H889">
        <v>30000</v>
      </c>
      <c r="I889" s="13" t="s">
        <v>105</v>
      </c>
      <c r="J889" s="13" t="s">
        <v>106</v>
      </c>
      <c r="K889" s="13" t="s">
        <v>107</v>
      </c>
      <c r="L889" s="13" t="s">
        <v>88</v>
      </c>
      <c r="M889">
        <v>60</v>
      </c>
      <c r="N889">
        <v>0</v>
      </c>
      <c r="O889" s="14">
        <v>45980</v>
      </c>
      <c r="P889" s="14">
        <v>46040</v>
      </c>
      <c r="Q889">
        <v>2180.52</v>
      </c>
      <c r="R889">
        <v>0</v>
      </c>
      <c r="S889">
        <v>0</v>
      </c>
      <c r="T889">
        <v>0</v>
      </c>
      <c r="U889">
        <v>0</v>
      </c>
      <c r="V889">
        <v>2180.52</v>
      </c>
      <c r="W889">
        <v>0</v>
      </c>
      <c r="X889">
        <v>1</v>
      </c>
      <c r="Y889">
        <v>0</v>
      </c>
      <c r="Z889">
        <v>-18</v>
      </c>
      <c r="AA889">
        <v>1</v>
      </c>
      <c r="AB889" s="13" t="s">
        <v>581</v>
      </c>
      <c r="AC889">
        <v>0</v>
      </c>
      <c r="AD889">
        <v>0</v>
      </c>
      <c r="AE889" s="13" t="s">
        <v>61</v>
      </c>
    </row>
    <row r="890" spans="1:31" x14ac:dyDescent="0.35">
      <c r="A890" s="13" t="s">
        <v>1504</v>
      </c>
      <c r="B890" s="13" t="s">
        <v>177</v>
      </c>
      <c r="C890" s="13" t="s">
        <v>178</v>
      </c>
      <c r="D890" s="13" t="s">
        <v>52</v>
      </c>
      <c r="E890" s="13" t="s">
        <v>71</v>
      </c>
      <c r="F890" s="13" t="s">
        <v>72</v>
      </c>
      <c r="G890" s="13" t="s">
        <v>67</v>
      </c>
      <c r="H890">
        <v>415000</v>
      </c>
      <c r="I890" s="13" t="s">
        <v>56</v>
      </c>
      <c r="J890" s="13" t="s">
        <v>57</v>
      </c>
      <c r="K890" s="13" t="s">
        <v>58</v>
      </c>
      <c r="L890" s="13" t="s">
        <v>59</v>
      </c>
      <c r="M890">
        <v>45</v>
      </c>
      <c r="N890">
        <v>0</v>
      </c>
      <c r="O890" s="14">
        <v>45980</v>
      </c>
      <c r="P890" s="14">
        <v>46025</v>
      </c>
      <c r="Q890">
        <v>2212.96</v>
      </c>
      <c r="R890">
        <v>0</v>
      </c>
      <c r="S890">
        <v>0</v>
      </c>
      <c r="T890">
        <v>0</v>
      </c>
      <c r="U890">
        <v>0</v>
      </c>
      <c r="V890">
        <v>2212.96</v>
      </c>
      <c r="W890">
        <v>0</v>
      </c>
      <c r="X890">
        <v>1</v>
      </c>
      <c r="Y890">
        <v>0</v>
      </c>
      <c r="Z890">
        <v>-3</v>
      </c>
      <c r="AA890">
        <v>1</v>
      </c>
      <c r="AB890" s="13" t="s">
        <v>581</v>
      </c>
      <c r="AC890">
        <v>0</v>
      </c>
      <c r="AD890">
        <v>0</v>
      </c>
      <c r="AE890" s="13" t="s">
        <v>61</v>
      </c>
    </row>
    <row r="891" spans="1:31" x14ac:dyDescent="0.35">
      <c r="A891" s="13" t="s">
        <v>1505</v>
      </c>
      <c r="B891" s="13" t="s">
        <v>550</v>
      </c>
      <c r="C891" s="13" t="s">
        <v>551</v>
      </c>
      <c r="D891" s="13" t="s">
        <v>104</v>
      </c>
      <c r="E891" s="13" t="s">
        <v>71</v>
      </c>
      <c r="F891" s="13" t="s">
        <v>214</v>
      </c>
      <c r="G891" s="13" t="s">
        <v>55</v>
      </c>
      <c r="H891">
        <v>110000</v>
      </c>
      <c r="I891" s="13" t="s">
        <v>121</v>
      </c>
      <c r="J891" s="13" t="s">
        <v>122</v>
      </c>
      <c r="K891" s="13" t="s">
        <v>107</v>
      </c>
      <c r="L891" s="13" t="s">
        <v>88</v>
      </c>
      <c r="M891">
        <v>60</v>
      </c>
      <c r="N891">
        <v>0</v>
      </c>
      <c r="O891" s="14">
        <v>45980</v>
      </c>
      <c r="P891" s="14">
        <v>46040</v>
      </c>
      <c r="Q891">
        <v>3146.58</v>
      </c>
      <c r="R891">
        <v>0</v>
      </c>
      <c r="S891">
        <v>0</v>
      </c>
      <c r="T891">
        <v>0</v>
      </c>
      <c r="U891">
        <v>0</v>
      </c>
      <c r="V891">
        <v>3146.58</v>
      </c>
      <c r="W891">
        <v>0</v>
      </c>
      <c r="X891">
        <v>1</v>
      </c>
      <c r="Y891">
        <v>0</v>
      </c>
      <c r="Z891">
        <v>-18</v>
      </c>
      <c r="AA891">
        <v>1</v>
      </c>
      <c r="AB891" s="13" t="s">
        <v>581</v>
      </c>
      <c r="AC891">
        <v>0</v>
      </c>
      <c r="AD891">
        <v>0</v>
      </c>
      <c r="AE891" s="13" t="s">
        <v>61</v>
      </c>
    </row>
    <row r="892" spans="1:31" x14ac:dyDescent="0.35">
      <c r="A892" s="13" t="s">
        <v>1506</v>
      </c>
      <c r="B892" s="13" t="s">
        <v>1507</v>
      </c>
      <c r="C892" s="13" t="s">
        <v>1508</v>
      </c>
      <c r="D892" s="13" t="s">
        <v>104</v>
      </c>
      <c r="E892" s="13" t="s">
        <v>77</v>
      </c>
      <c r="F892" s="13" t="s">
        <v>78</v>
      </c>
      <c r="G892" s="13" t="s">
        <v>67</v>
      </c>
      <c r="H892">
        <v>140000</v>
      </c>
      <c r="I892" s="13" t="s">
        <v>121</v>
      </c>
      <c r="J892" s="13" t="s">
        <v>122</v>
      </c>
      <c r="K892" s="13" t="s">
        <v>107</v>
      </c>
      <c r="L892" s="13" t="s">
        <v>82</v>
      </c>
      <c r="M892">
        <v>30</v>
      </c>
      <c r="N892">
        <v>2</v>
      </c>
      <c r="O892" s="14">
        <v>45981</v>
      </c>
      <c r="P892" s="14">
        <v>46011</v>
      </c>
      <c r="Q892">
        <v>838.71</v>
      </c>
      <c r="R892">
        <v>503.23</v>
      </c>
      <c r="S892">
        <v>0</v>
      </c>
      <c r="T892">
        <v>0</v>
      </c>
      <c r="U892">
        <v>0</v>
      </c>
      <c r="V892">
        <v>335.48</v>
      </c>
      <c r="W892">
        <v>0</v>
      </c>
      <c r="X892">
        <v>1</v>
      </c>
      <c r="Y892">
        <v>1</v>
      </c>
      <c r="Z892">
        <v>11</v>
      </c>
      <c r="AA892">
        <v>2</v>
      </c>
      <c r="AB892" s="13" t="s">
        <v>405</v>
      </c>
      <c r="AC892">
        <v>0.25</v>
      </c>
      <c r="AD892">
        <v>0</v>
      </c>
      <c r="AE892" s="13" t="s">
        <v>61</v>
      </c>
    </row>
    <row r="893" spans="1:31" x14ac:dyDescent="0.35">
      <c r="A893" s="13" t="s">
        <v>1509</v>
      </c>
      <c r="B893" s="13" t="s">
        <v>1358</v>
      </c>
      <c r="C893" s="13" t="s">
        <v>1359</v>
      </c>
      <c r="D893" s="13" t="s">
        <v>76</v>
      </c>
      <c r="E893" s="13" t="s">
        <v>71</v>
      </c>
      <c r="F893" s="13" t="s">
        <v>72</v>
      </c>
      <c r="G893" s="13" t="s">
        <v>92</v>
      </c>
      <c r="H893">
        <v>105000</v>
      </c>
      <c r="I893" s="13" t="s">
        <v>79</v>
      </c>
      <c r="J893" s="13" t="s">
        <v>80</v>
      </c>
      <c r="K893" s="13" t="s">
        <v>81</v>
      </c>
      <c r="L893" s="13" t="s">
        <v>95</v>
      </c>
      <c r="M893">
        <v>30</v>
      </c>
      <c r="N893">
        <v>0</v>
      </c>
      <c r="O893" s="14">
        <v>45981</v>
      </c>
      <c r="P893" s="14">
        <v>46011</v>
      </c>
      <c r="Q893">
        <v>860.98</v>
      </c>
      <c r="R893">
        <v>0</v>
      </c>
      <c r="S893">
        <v>0</v>
      </c>
      <c r="T893">
        <v>0</v>
      </c>
      <c r="U893">
        <v>0</v>
      </c>
      <c r="V893">
        <v>860.98</v>
      </c>
      <c r="W893">
        <v>0</v>
      </c>
      <c r="X893">
        <v>1</v>
      </c>
      <c r="Y893">
        <v>1</v>
      </c>
      <c r="Z893">
        <v>11</v>
      </c>
      <c r="AA893">
        <v>2</v>
      </c>
      <c r="AB893" s="13" t="s">
        <v>405</v>
      </c>
      <c r="AC893">
        <v>0.25</v>
      </c>
      <c r="AD893">
        <v>0</v>
      </c>
      <c r="AE893" s="13" t="s">
        <v>61</v>
      </c>
    </row>
    <row r="894" spans="1:31" x14ac:dyDescent="0.35">
      <c r="A894" s="13" t="s">
        <v>1510</v>
      </c>
      <c r="B894" s="13" t="s">
        <v>1285</v>
      </c>
      <c r="C894" s="13" t="s">
        <v>1286</v>
      </c>
      <c r="D894" s="13" t="s">
        <v>76</v>
      </c>
      <c r="E894" s="13" t="s">
        <v>53</v>
      </c>
      <c r="F894" s="13" t="s">
        <v>54</v>
      </c>
      <c r="G894" s="13" t="s">
        <v>55</v>
      </c>
      <c r="H894">
        <v>105000</v>
      </c>
      <c r="I894" s="13" t="s">
        <v>79</v>
      </c>
      <c r="J894" s="13" t="s">
        <v>80</v>
      </c>
      <c r="K894" s="13" t="s">
        <v>81</v>
      </c>
      <c r="L894" s="13" t="s">
        <v>95</v>
      </c>
      <c r="M894">
        <v>30</v>
      </c>
      <c r="N894">
        <v>0</v>
      </c>
      <c r="O894" s="14">
        <v>45981</v>
      </c>
      <c r="P894" s="14">
        <v>46011</v>
      </c>
      <c r="Q894">
        <v>4015.61</v>
      </c>
      <c r="R894">
        <v>2409.37</v>
      </c>
      <c r="S894">
        <v>0</v>
      </c>
      <c r="T894">
        <v>0</v>
      </c>
      <c r="U894">
        <v>0</v>
      </c>
      <c r="V894">
        <v>1606.24</v>
      </c>
      <c r="W894">
        <v>0</v>
      </c>
      <c r="X894">
        <v>1</v>
      </c>
      <c r="Y894">
        <v>1</v>
      </c>
      <c r="Z894">
        <v>11</v>
      </c>
      <c r="AA894">
        <v>2</v>
      </c>
      <c r="AB894" s="13" t="s">
        <v>405</v>
      </c>
      <c r="AC894">
        <v>0.25</v>
      </c>
      <c r="AD894">
        <v>0</v>
      </c>
      <c r="AE894" s="13" t="s">
        <v>61</v>
      </c>
    </row>
    <row r="895" spans="1:31" x14ac:dyDescent="0.35">
      <c r="A895" s="13" t="s">
        <v>1511</v>
      </c>
      <c r="B895" s="13" t="s">
        <v>273</v>
      </c>
      <c r="C895" s="13" t="s">
        <v>274</v>
      </c>
      <c r="D895" s="13" t="s">
        <v>104</v>
      </c>
      <c r="E895" s="13" t="s">
        <v>71</v>
      </c>
      <c r="F895" s="13" t="s">
        <v>72</v>
      </c>
      <c r="G895" s="13" t="s">
        <v>92</v>
      </c>
      <c r="H895">
        <v>120000</v>
      </c>
      <c r="I895" s="13" t="s">
        <v>105</v>
      </c>
      <c r="J895" s="13" t="s">
        <v>106</v>
      </c>
      <c r="K895" s="13" t="s">
        <v>107</v>
      </c>
      <c r="L895" s="13" t="s">
        <v>88</v>
      </c>
      <c r="M895">
        <v>60</v>
      </c>
      <c r="N895">
        <v>0</v>
      </c>
      <c r="O895" s="14">
        <v>45981</v>
      </c>
      <c r="P895" s="14">
        <v>46041</v>
      </c>
      <c r="Q895">
        <v>3097.86</v>
      </c>
      <c r="R895">
        <v>0</v>
      </c>
      <c r="S895">
        <v>0</v>
      </c>
      <c r="T895">
        <v>0</v>
      </c>
      <c r="U895">
        <v>0</v>
      </c>
      <c r="V895">
        <v>3097.86</v>
      </c>
      <c r="W895">
        <v>0</v>
      </c>
      <c r="X895">
        <v>1</v>
      </c>
      <c r="Y895">
        <v>0</v>
      </c>
      <c r="Z895">
        <v>-19</v>
      </c>
      <c r="AA895">
        <v>1</v>
      </c>
      <c r="AB895" s="13" t="s">
        <v>581</v>
      </c>
      <c r="AC895">
        <v>0</v>
      </c>
      <c r="AD895">
        <v>0</v>
      </c>
      <c r="AE895" s="13" t="s">
        <v>61</v>
      </c>
    </row>
    <row r="896" spans="1:31" x14ac:dyDescent="0.35">
      <c r="A896" s="13" t="s">
        <v>1512</v>
      </c>
      <c r="B896" s="13" t="s">
        <v>1288</v>
      </c>
      <c r="C896" s="13" t="s">
        <v>1289</v>
      </c>
      <c r="D896" s="13" t="s">
        <v>52</v>
      </c>
      <c r="E896" s="13" t="s">
        <v>65</v>
      </c>
      <c r="F896" s="13" t="s">
        <v>111</v>
      </c>
      <c r="G896" s="13" t="s">
        <v>67</v>
      </c>
      <c r="H896">
        <v>550000</v>
      </c>
      <c r="I896" s="13" t="s">
        <v>56</v>
      </c>
      <c r="J896" s="13" t="s">
        <v>57</v>
      </c>
      <c r="K896" s="13" t="s">
        <v>58</v>
      </c>
      <c r="L896" s="13" t="s">
        <v>59</v>
      </c>
      <c r="M896">
        <v>45</v>
      </c>
      <c r="N896">
        <v>0</v>
      </c>
      <c r="O896" s="14">
        <v>45981</v>
      </c>
      <c r="P896" s="14">
        <v>46026</v>
      </c>
      <c r="Q896">
        <v>1646.45</v>
      </c>
      <c r="R896">
        <v>0</v>
      </c>
      <c r="S896">
        <v>0</v>
      </c>
      <c r="T896">
        <v>0</v>
      </c>
      <c r="U896">
        <v>0</v>
      </c>
      <c r="V896">
        <v>1646.45</v>
      </c>
      <c r="W896">
        <v>0</v>
      </c>
      <c r="X896">
        <v>1</v>
      </c>
      <c r="Y896">
        <v>0</v>
      </c>
      <c r="Z896">
        <v>-4</v>
      </c>
      <c r="AA896">
        <v>1</v>
      </c>
      <c r="AB896" s="13" t="s">
        <v>581</v>
      </c>
      <c r="AC896">
        <v>0</v>
      </c>
      <c r="AD896">
        <v>0</v>
      </c>
      <c r="AE896" s="13" t="s">
        <v>61</v>
      </c>
    </row>
    <row r="897" spans="1:31" x14ac:dyDescent="0.35">
      <c r="A897" s="13" t="s">
        <v>1513</v>
      </c>
      <c r="B897" s="13" t="s">
        <v>716</v>
      </c>
      <c r="C897" s="13" t="s">
        <v>717</v>
      </c>
      <c r="D897" s="13" t="s">
        <v>126</v>
      </c>
      <c r="E897" s="13" t="s">
        <v>99</v>
      </c>
      <c r="F897" s="13" t="s">
        <v>127</v>
      </c>
      <c r="G897" s="13" t="s">
        <v>67</v>
      </c>
      <c r="H897">
        <v>195000</v>
      </c>
      <c r="I897" s="13" t="s">
        <v>86</v>
      </c>
      <c r="J897" s="13" t="s">
        <v>87</v>
      </c>
      <c r="K897" s="13" t="s">
        <v>58</v>
      </c>
      <c r="L897" s="13" t="s">
        <v>88</v>
      </c>
      <c r="M897">
        <v>60</v>
      </c>
      <c r="N897">
        <v>0</v>
      </c>
      <c r="O897" s="14">
        <v>45981</v>
      </c>
      <c r="P897" s="14">
        <v>46041</v>
      </c>
      <c r="Q897">
        <v>2022.68</v>
      </c>
      <c r="R897">
        <v>0</v>
      </c>
      <c r="S897">
        <v>0</v>
      </c>
      <c r="T897">
        <v>0</v>
      </c>
      <c r="U897">
        <v>0</v>
      </c>
      <c r="V897">
        <v>2022.68</v>
      </c>
      <c r="W897">
        <v>0</v>
      </c>
      <c r="X897">
        <v>1</v>
      </c>
      <c r="Y897">
        <v>0</v>
      </c>
      <c r="Z897">
        <v>-19</v>
      </c>
      <c r="AA897">
        <v>1</v>
      </c>
      <c r="AB897" s="13" t="s">
        <v>581</v>
      </c>
      <c r="AC897">
        <v>0</v>
      </c>
      <c r="AD897">
        <v>0</v>
      </c>
      <c r="AE897" s="13" t="s">
        <v>61</v>
      </c>
    </row>
    <row r="898" spans="1:31" x14ac:dyDescent="0.35">
      <c r="A898" s="13" t="s">
        <v>1514</v>
      </c>
      <c r="B898" s="13" t="s">
        <v>156</v>
      </c>
      <c r="C898" s="13" t="s">
        <v>157</v>
      </c>
      <c r="D898" s="13" t="s">
        <v>52</v>
      </c>
      <c r="E898" s="13" t="s">
        <v>53</v>
      </c>
      <c r="F898" s="13" t="s">
        <v>54</v>
      </c>
      <c r="G898" s="13" t="s">
        <v>92</v>
      </c>
      <c r="H898">
        <v>600000</v>
      </c>
      <c r="I898" s="13" t="s">
        <v>56</v>
      </c>
      <c r="J898" s="13" t="s">
        <v>57</v>
      </c>
      <c r="K898" s="13" t="s">
        <v>58</v>
      </c>
      <c r="L898" s="13" t="s">
        <v>88</v>
      </c>
      <c r="M898">
        <v>60</v>
      </c>
      <c r="N898">
        <v>0</v>
      </c>
      <c r="O898" s="14">
        <v>45981</v>
      </c>
      <c r="P898" s="14">
        <v>46041</v>
      </c>
      <c r="Q898">
        <v>12617.61</v>
      </c>
      <c r="R898">
        <v>0</v>
      </c>
      <c r="S898">
        <v>0</v>
      </c>
      <c r="T898">
        <v>2018.82</v>
      </c>
      <c r="U898">
        <v>0</v>
      </c>
      <c r="V898">
        <v>10598.79</v>
      </c>
      <c r="W898">
        <v>0</v>
      </c>
      <c r="X898">
        <v>1</v>
      </c>
      <c r="Y898">
        <v>0</v>
      </c>
      <c r="Z898">
        <v>-19</v>
      </c>
      <c r="AA898">
        <v>1</v>
      </c>
      <c r="AB898" s="13" t="s">
        <v>581</v>
      </c>
      <c r="AC898">
        <v>0</v>
      </c>
      <c r="AD898">
        <v>0</v>
      </c>
      <c r="AE898" s="13" t="s">
        <v>377</v>
      </c>
    </row>
    <row r="899" spans="1:31" x14ac:dyDescent="0.35">
      <c r="A899" s="13" t="s">
        <v>1515</v>
      </c>
      <c r="B899" s="13" t="s">
        <v>1247</v>
      </c>
      <c r="C899" s="13" t="s">
        <v>1248</v>
      </c>
      <c r="D899" s="13" t="s">
        <v>52</v>
      </c>
      <c r="E899" s="13" t="s">
        <v>99</v>
      </c>
      <c r="F899" s="13" t="s">
        <v>100</v>
      </c>
      <c r="G899" s="13" t="s">
        <v>55</v>
      </c>
      <c r="H899">
        <v>600000</v>
      </c>
      <c r="I899" s="13" t="s">
        <v>56</v>
      </c>
      <c r="J899" s="13" t="s">
        <v>57</v>
      </c>
      <c r="K899" s="13" t="s">
        <v>58</v>
      </c>
      <c r="L899" s="13" t="s">
        <v>59</v>
      </c>
      <c r="M899">
        <v>45</v>
      </c>
      <c r="N899">
        <v>0</v>
      </c>
      <c r="O899" s="14">
        <v>45981</v>
      </c>
      <c r="P899" s="14">
        <v>46026</v>
      </c>
      <c r="Q899">
        <v>1668.7</v>
      </c>
      <c r="R899">
        <v>0</v>
      </c>
      <c r="S899">
        <v>0</v>
      </c>
      <c r="T899">
        <v>0</v>
      </c>
      <c r="U899">
        <v>0</v>
      </c>
      <c r="V899">
        <v>1668.7</v>
      </c>
      <c r="W899">
        <v>0</v>
      </c>
      <c r="X899">
        <v>1</v>
      </c>
      <c r="Y899">
        <v>0</v>
      </c>
      <c r="Z899">
        <v>-4</v>
      </c>
      <c r="AA899">
        <v>1</v>
      </c>
      <c r="AB899" s="13" t="s">
        <v>581</v>
      </c>
      <c r="AC899">
        <v>0</v>
      </c>
      <c r="AD899">
        <v>0</v>
      </c>
      <c r="AE899" s="13" t="s">
        <v>61</v>
      </c>
    </row>
    <row r="900" spans="1:31" x14ac:dyDescent="0.35">
      <c r="A900" s="13" t="s">
        <v>1516</v>
      </c>
      <c r="B900" s="13" t="s">
        <v>914</v>
      </c>
      <c r="C900" s="13" t="s">
        <v>915</v>
      </c>
      <c r="D900" s="13" t="s">
        <v>76</v>
      </c>
      <c r="E900" s="13" t="s">
        <v>99</v>
      </c>
      <c r="F900" s="13" t="s">
        <v>100</v>
      </c>
      <c r="G900" s="13" t="s">
        <v>55</v>
      </c>
      <c r="H900">
        <v>95000</v>
      </c>
      <c r="I900" s="13" t="s">
        <v>93</v>
      </c>
      <c r="J900" s="13" t="s">
        <v>94</v>
      </c>
      <c r="K900" s="13" t="s">
        <v>81</v>
      </c>
      <c r="L900" s="13" t="s">
        <v>95</v>
      </c>
      <c r="M900">
        <v>30</v>
      </c>
      <c r="N900">
        <v>0</v>
      </c>
      <c r="O900" s="14">
        <v>45981</v>
      </c>
      <c r="P900" s="14">
        <v>46011</v>
      </c>
      <c r="Q900">
        <v>820.39</v>
      </c>
      <c r="R900">
        <v>0</v>
      </c>
      <c r="S900">
        <v>0</v>
      </c>
      <c r="T900">
        <v>0</v>
      </c>
      <c r="U900">
        <v>0</v>
      </c>
      <c r="V900">
        <v>820.39</v>
      </c>
      <c r="W900">
        <v>0</v>
      </c>
      <c r="X900">
        <v>1</v>
      </c>
      <c r="Y900">
        <v>1</v>
      </c>
      <c r="Z900">
        <v>11</v>
      </c>
      <c r="AA900">
        <v>2</v>
      </c>
      <c r="AB900" s="13" t="s">
        <v>405</v>
      </c>
      <c r="AC900">
        <v>0.25</v>
      </c>
      <c r="AD900">
        <v>1</v>
      </c>
      <c r="AE900" s="13" t="s">
        <v>348</v>
      </c>
    </row>
    <row r="901" spans="1:31" x14ac:dyDescent="0.35">
      <c r="A901" s="13" t="s">
        <v>1517</v>
      </c>
      <c r="B901" s="13" t="s">
        <v>506</v>
      </c>
      <c r="C901" s="13" t="s">
        <v>507</v>
      </c>
      <c r="D901" s="13" t="s">
        <v>126</v>
      </c>
      <c r="E901" s="13" t="s">
        <v>99</v>
      </c>
      <c r="F901" s="13" t="s">
        <v>100</v>
      </c>
      <c r="G901" s="13" t="s">
        <v>67</v>
      </c>
      <c r="H901">
        <v>215000</v>
      </c>
      <c r="I901" s="13" t="s">
        <v>86</v>
      </c>
      <c r="J901" s="13" t="s">
        <v>87</v>
      </c>
      <c r="K901" s="13" t="s">
        <v>58</v>
      </c>
      <c r="L901" s="13" t="s">
        <v>368</v>
      </c>
      <c r="M901">
        <v>90</v>
      </c>
      <c r="N901">
        <v>0</v>
      </c>
      <c r="O901" s="14">
        <v>45981</v>
      </c>
      <c r="P901" s="14">
        <v>46071</v>
      </c>
      <c r="Q901">
        <v>4900.33</v>
      </c>
      <c r="R901">
        <v>0</v>
      </c>
      <c r="S901">
        <v>0</v>
      </c>
      <c r="T901">
        <v>0</v>
      </c>
      <c r="U901">
        <v>0</v>
      </c>
      <c r="V901">
        <v>4900.33</v>
      </c>
      <c r="W901">
        <v>0</v>
      </c>
      <c r="X901">
        <v>1</v>
      </c>
      <c r="Y901">
        <v>0</v>
      </c>
      <c r="Z901">
        <v>-49</v>
      </c>
      <c r="AA901">
        <v>1</v>
      </c>
      <c r="AB901" s="13" t="s">
        <v>581</v>
      </c>
      <c r="AC901">
        <v>0</v>
      </c>
      <c r="AD901">
        <v>0</v>
      </c>
      <c r="AE901" s="13" t="s">
        <v>61</v>
      </c>
    </row>
    <row r="902" spans="1:31" x14ac:dyDescent="0.35">
      <c r="A902" s="13" t="s">
        <v>1518</v>
      </c>
      <c r="B902" s="13" t="s">
        <v>219</v>
      </c>
      <c r="C902" s="13" t="s">
        <v>220</v>
      </c>
      <c r="D902" s="13" t="s">
        <v>76</v>
      </c>
      <c r="E902" s="13" t="s">
        <v>71</v>
      </c>
      <c r="F902" s="13" t="s">
        <v>72</v>
      </c>
      <c r="G902" s="13" t="s">
        <v>55</v>
      </c>
      <c r="H902">
        <v>65000</v>
      </c>
      <c r="I902" s="13" t="s">
        <v>79</v>
      </c>
      <c r="J902" s="13" t="s">
        <v>80</v>
      </c>
      <c r="K902" s="13" t="s">
        <v>81</v>
      </c>
      <c r="L902" s="13" t="s">
        <v>95</v>
      </c>
      <c r="M902">
        <v>30</v>
      </c>
      <c r="N902">
        <v>0</v>
      </c>
      <c r="O902" s="14">
        <v>45981</v>
      </c>
      <c r="P902" s="14">
        <v>46011</v>
      </c>
      <c r="Q902">
        <v>837.56</v>
      </c>
      <c r="R902">
        <v>0</v>
      </c>
      <c r="S902">
        <v>0</v>
      </c>
      <c r="T902">
        <v>0</v>
      </c>
      <c r="U902">
        <v>0</v>
      </c>
      <c r="V902">
        <v>837.56</v>
      </c>
      <c r="W902">
        <v>0</v>
      </c>
      <c r="X902">
        <v>1</v>
      </c>
      <c r="Y902">
        <v>1</v>
      </c>
      <c r="Z902">
        <v>11</v>
      </c>
      <c r="AA902">
        <v>2</v>
      </c>
      <c r="AB902" s="13" t="s">
        <v>405</v>
      </c>
      <c r="AC902">
        <v>0.25</v>
      </c>
      <c r="AD902">
        <v>0</v>
      </c>
      <c r="AE902" s="13" t="s">
        <v>61</v>
      </c>
    </row>
    <row r="903" spans="1:31" x14ac:dyDescent="0.35">
      <c r="A903" s="13" t="s">
        <v>1519</v>
      </c>
      <c r="B903" s="13" t="s">
        <v>1520</v>
      </c>
      <c r="C903" s="13" t="s">
        <v>1521</v>
      </c>
      <c r="D903" s="13" t="s">
        <v>76</v>
      </c>
      <c r="E903" s="13" t="s">
        <v>53</v>
      </c>
      <c r="F903" s="13" t="s">
        <v>135</v>
      </c>
      <c r="G903" s="13" t="s">
        <v>55</v>
      </c>
      <c r="H903">
        <v>110000</v>
      </c>
      <c r="I903" s="13" t="s">
        <v>79</v>
      </c>
      <c r="J903" s="13" t="s">
        <v>80</v>
      </c>
      <c r="K903" s="13" t="s">
        <v>81</v>
      </c>
      <c r="L903" s="13" t="s">
        <v>95</v>
      </c>
      <c r="M903">
        <v>30</v>
      </c>
      <c r="N903">
        <v>0</v>
      </c>
      <c r="O903" s="14">
        <v>45981</v>
      </c>
      <c r="P903" s="14">
        <v>46011</v>
      </c>
      <c r="Q903">
        <v>933.22</v>
      </c>
      <c r="R903">
        <v>0</v>
      </c>
      <c r="S903">
        <v>0</v>
      </c>
      <c r="T903">
        <v>0</v>
      </c>
      <c r="U903">
        <v>0</v>
      </c>
      <c r="V903">
        <v>933.22</v>
      </c>
      <c r="W903">
        <v>0</v>
      </c>
      <c r="X903">
        <v>1</v>
      </c>
      <c r="Y903">
        <v>1</v>
      </c>
      <c r="Z903">
        <v>11</v>
      </c>
      <c r="AA903">
        <v>2</v>
      </c>
      <c r="AB903" s="13" t="s">
        <v>405</v>
      </c>
      <c r="AC903">
        <v>0.25</v>
      </c>
      <c r="AD903">
        <v>0</v>
      </c>
      <c r="AE903" s="13" t="s">
        <v>61</v>
      </c>
    </row>
    <row r="904" spans="1:31" x14ac:dyDescent="0.35">
      <c r="A904" s="13" t="s">
        <v>1522</v>
      </c>
      <c r="B904" s="13" t="s">
        <v>1523</v>
      </c>
      <c r="C904" s="13" t="s">
        <v>1524</v>
      </c>
      <c r="D904" s="13" t="s">
        <v>76</v>
      </c>
      <c r="E904" s="13" t="s">
        <v>65</v>
      </c>
      <c r="F904" s="13" t="s">
        <v>111</v>
      </c>
      <c r="G904" s="13" t="s">
        <v>55</v>
      </c>
      <c r="H904">
        <v>115000</v>
      </c>
      <c r="I904" s="13" t="s">
        <v>93</v>
      </c>
      <c r="J904" s="13" t="s">
        <v>94</v>
      </c>
      <c r="K904" s="13" t="s">
        <v>81</v>
      </c>
      <c r="L904" s="13" t="s">
        <v>95</v>
      </c>
      <c r="M904">
        <v>30</v>
      </c>
      <c r="N904">
        <v>0</v>
      </c>
      <c r="O904" s="14">
        <v>45981</v>
      </c>
      <c r="P904" s="14">
        <v>46011</v>
      </c>
      <c r="Q904">
        <v>874.38</v>
      </c>
      <c r="R904">
        <v>524.63</v>
      </c>
      <c r="S904">
        <v>0</v>
      </c>
      <c r="T904">
        <v>0</v>
      </c>
      <c r="U904">
        <v>0</v>
      </c>
      <c r="V904">
        <v>349.75</v>
      </c>
      <c r="W904">
        <v>0</v>
      </c>
      <c r="X904">
        <v>1</v>
      </c>
      <c r="Y904">
        <v>1</v>
      </c>
      <c r="Z904">
        <v>11</v>
      </c>
      <c r="AA904">
        <v>2</v>
      </c>
      <c r="AB904" s="13" t="s">
        <v>405</v>
      </c>
      <c r="AC904">
        <v>0.25</v>
      </c>
      <c r="AD904">
        <v>0</v>
      </c>
      <c r="AE904" s="13" t="s">
        <v>61</v>
      </c>
    </row>
    <row r="905" spans="1:31" x14ac:dyDescent="0.35">
      <c r="A905" s="13" t="s">
        <v>1525</v>
      </c>
      <c r="B905" s="13" t="s">
        <v>601</v>
      </c>
      <c r="C905" s="13" t="s">
        <v>602</v>
      </c>
      <c r="D905" s="13" t="s">
        <v>52</v>
      </c>
      <c r="E905" s="13" t="s">
        <v>53</v>
      </c>
      <c r="F905" s="13" t="s">
        <v>135</v>
      </c>
      <c r="G905" s="13" t="s">
        <v>67</v>
      </c>
      <c r="H905">
        <v>525000</v>
      </c>
      <c r="I905" s="13" t="s">
        <v>86</v>
      </c>
      <c r="J905" s="13" t="s">
        <v>87</v>
      </c>
      <c r="K905" s="13" t="s">
        <v>58</v>
      </c>
      <c r="L905" s="13" t="s">
        <v>59</v>
      </c>
      <c r="M905">
        <v>45</v>
      </c>
      <c r="N905">
        <v>0</v>
      </c>
      <c r="O905" s="14">
        <v>45981</v>
      </c>
      <c r="P905" s="14">
        <v>46026</v>
      </c>
      <c r="Q905">
        <v>15878.71</v>
      </c>
      <c r="R905">
        <v>0</v>
      </c>
      <c r="S905">
        <v>0</v>
      </c>
      <c r="T905">
        <v>0</v>
      </c>
      <c r="U905">
        <v>0</v>
      </c>
      <c r="V905">
        <v>15878.71</v>
      </c>
      <c r="W905">
        <v>0</v>
      </c>
      <c r="X905">
        <v>1</v>
      </c>
      <c r="Y905">
        <v>0</v>
      </c>
      <c r="Z905">
        <v>-4</v>
      </c>
      <c r="AA905">
        <v>1</v>
      </c>
      <c r="AB905" s="13" t="s">
        <v>581</v>
      </c>
      <c r="AC905">
        <v>0</v>
      </c>
      <c r="AD905">
        <v>0</v>
      </c>
      <c r="AE905" s="13" t="s">
        <v>61</v>
      </c>
    </row>
    <row r="906" spans="1:31" x14ac:dyDescent="0.35">
      <c r="A906" s="13" t="s">
        <v>1526</v>
      </c>
      <c r="B906" s="13" t="s">
        <v>144</v>
      </c>
      <c r="C906" s="13" t="s">
        <v>145</v>
      </c>
      <c r="D906" s="13" t="s">
        <v>52</v>
      </c>
      <c r="E906" s="13" t="s">
        <v>99</v>
      </c>
      <c r="F906" s="13" t="s">
        <v>100</v>
      </c>
      <c r="G906" s="13" t="s">
        <v>55</v>
      </c>
      <c r="H906">
        <v>590000</v>
      </c>
      <c r="I906" s="13" t="s">
        <v>56</v>
      </c>
      <c r="J906" s="13" t="s">
        <v>57</v>
      </c>
      <c r="K906" s="13" t="s">
        <v>58</v>
      </c>
      <c r="L906" s="13" t="s">
        <v>88</v>
      </c>
      <c r="M906">
        <v>60</v>
      </c>
      <c r="N906">
        <v>0</v>
      </c>
      <c r="O906" s="14">
        <v>45981</v>
      </c>
      <c r="P906" s="14">
        <v>46041</v>
      </c>
      <c r="Q906">
        <v>8486.9</v>
      </c>
      <c r="R906">
        <v>0</v>
      </c>
      <c r="S906">
        <v>0</v>
      </c>
      <c r="T906">
        <v>0</v>
      </c>
      <c r="U906">
        <v>0</v>
      </c>
      <c r="V906">
        <v>8486.9</v>
      </c>
      <c r="W906">
        <v>0</v>
      </c>
      <c r="X906">
        <v>1</v>
      </c>
      <c r="Y906">
        <v>0</v>
      </c>
      <c r="Z906">
        <v>-19</v>
      </c>
      <c r="AA906">
        <v>1</v>
      </c>
      <c r="AB906" s="13" t="s">
        <v>581</v>
      </c>
      <c r="AC906">
        <v>0</v>
      </c>
      <c r="AD906">
        <v>0</v>
      </c>
      <c r="AE906" s="13" t="s">
        <v>61</v>
      </c>
    </row>
    <row r="907" spans="1:31" x14ac:dyDescent="0.35">
      <c r="A907" s="13" t="s">
        <v>1527</v>
      </c>
      <c r="B907" s="13" t="s">
        <v>673</v>
      </c>
      <c r="C907" s="13" t="s">
        <v>674</v>
      </c>
      <c r="D907" s="13" t="s">
        <v>52</v>
      </c>
      <c r="E907" s="13" t="s">
        <v>77</v>
      </c>
      <c r="F907" s="13" t="s">
        <v>78</v>
      </c>
      <c r="G907" s="13" t="s">
        <v>67</v>
      </c>
      <c r="H907">
        <v>275000</v>
      </c>
      <c r="I907" s="13" t="s">
        <v>86</v>
      </c>
      <c r="J907" s="13" t="s">
        <v>87</v>
      </c>
      <c r="K907" s="13" t="s">
        <v>58</v>
      </c>
      <c r="L907" s="13" t="s">
        <v>88</v>
      </c>
      <c r="M907">
        <v>60</v>
      </c>
      <c r="N907">
        <v>0</v>
      </c>
      <c r="O907" s="14">
        <v>45981</v>
      </c>
      <c r="P907" s="14">
        <v>46041</v>
      </c>
      <c r="Q907">
        <v>2379</v>
      </c>
      <c r="R907">
        <v>0</v>
      </c>
      <c r="S907">
        <v>0</v>
      </c>
      <c r="T907">
        <v>0</v>
      </c>
      <c r="U907">
        <v>0</v>
      </c>
      <c r="V907">
        <v>2379</v>
      </c>
      <c r="W907">
        <v>0</v>
      </c>
      <c r="X907">
        <v>1</v>
      </c>
      <c r="Y907">
        <v>0</v>
      </c>
      <c r="Z907">
        <v>-19</v>
      </c>
      <c r="AA907">
        <v>1</v>
      </c>
      <c r="AB907" s="13" t="s">
        <v>581</v>
      </c>
      <c r="AC907">
        <v>0</v>
      </c>
      <c r="AD907">
        <v>0</v>
      </c>
      <c r="AE907" s="13" t="s">
        <v>61</v>
      </c>
    </row>
    <row r="908" spans="1:31" x14ac:dyDescent="0.35">
      <c r="A908" s="13" t="s">
        <v>1528</v>
      </c>
      <c r="B908" s="13" t="s">
        <v>422</v>
      </c>
      <c r="C908" s="13" t="s">
        <v>423</v>
      </c>
      <c r="D908" s="13" t="s">
        <v>126</v>
      </c>
      <c r="E908" s="13" t="s">
        <v>77</v>
      </c>
      <c r="F908" s="13" t="s">
        <v>174</v>
      </c>
      <c r="G908" s="13" t="s">
        <v>67</v>
      </c>
      <c r="H908">
        <v>145000</v>
      </c>
      <c r="I908" s="13" t="s">
        <v>105</v>
      </c>
      <c r="J908" s="13" t="s">
        <v>106</v>
      </c>
      <c r="K908" s="13" t="s">
        <v>107</v>
      </c>
      <c r="L908" s="13" t="s">
        <v>368</v>
      </c>
      <c r="M908">
        <v>90</v>
      </c>
      <c r="N908">
        <v>0</v>
      </c>
      <c r="O908" s="14">
        <v>45981</v>
      </c>
      <c r="P908" s="14">
        <v>46071</v>
      </c>
      <c r="Q908">
        <v>4172.1099999999997</v>
      </c>
      <c r="R908">
        <v>0</v>
      </c>
      <c r="S908">
        <v>0</v>
      </c>
      <c r="T908">
        <v>0</v>
      </c>
      <c r="U908">
        <v>0</v>
      </c>
      <c r="V908">
        <v>4172.1099999999997</v>
      </c>
      <c r="W908">
        <v>0</v>
      </c>
      <c r="X908">
        <v>1</v>
      </c>
      <c r="Y908">
        <v>0</v>
      </c>
      <c r="Z908">
        <v>-49</v>
      </c>
      <c r="AA908">
        <v>1</v>
      </c>
      <c r="AB908" s="13" t="s">
        <v>581</v>
      </c>
      <c r="AC908">
        <v>0</v>
      </c>
      <c r="AD908">
        <v>0</v>
      </c>
      <c r="AE908" s="13" t="s">
        <v>61</v>
      </c>
    </row>
    <row r="909" spans="1:31" x14ac:dyDescent="0.35">
      <c r="A909" s="13" t="s">
        <v>1529</v>
      </c>
      <c r="B909" s="13" t="s">
        <v>927</v>
      </c>
      <c r="C909" s="13" t="s">
        <v>928</v>
      </c>
      <c r="D909" s="13" t="s">
        <v>52</v>
      </c>
      <c r="E909" s="13" t="s">
        <v>99</v>
      </c>
      <c r="F909" s="13" t="s">
        <v>100</v>
      </c>
      <c r="G909" s="13" t="s">
        <v>67</v>
      </c>
      <c r="H909">
        <v>185000</v>
      </c>
      <c r="I909" s="13" t="s">
        <v>56</v>
      </c>
      <c r="J909" s="13" t="s">
        <v>57</v>
      </c>
      <c r="K909" s="13" t="s">
        <v>58</v>
      </c>
      <c r="L909" s="13" t="s">
        <v>88</v>
      </c>
      <c r="M909">
        <v>60</v>
      </c>
      <c r="N909">
        <v>0</v>
      </c>
      <c r="O909" s="14">
        <v>45981</v>
      </c>
      <c r="P909" s="14">
        <v>46041</v>
      </c>
      <c r="Q909">
        <v>7171.35</v>
      </c>
      <c r="R909">
        <v>0</v>
      </c>
      <c r="S909">
        <v>0</v>
      </c>
      <c r="T909">
        <v>0</v>
      </c>
      <c r="U909">
        <v>0</v>
      </c>
      <c r="V909">
        <v>7171.35</v>
      </c>
      <c r="W909">
        <v>0</v>
      </c>
      <c r="X909">
        <v>1</v>
      </c>
      <c r="Y909">
        <v>0</v>
      </c>
      <c r="Z909">
        <v>-19</v>
      </c>
      <c r="AA909">
        <v>1</v>
      </c>
      <c r="AB909" s="13" t="s">
        <v>581</v>
      </c>
      <c r="AC909">
        <v>0</v>
      </c>
      <c r="AD909">
        <v>1</v>
      </c>
      <c r="AE909" s="13" t="s">
        <v>377</v>
      </c>
    </row>
    <row r="910" spans="1:31" x14ac:dyDescent="0.35">
      <c r="A910" s="13" t="s">
        <v>1530</v>
      </c>
      <c r="B910" s="13" t="s">
        <v>930</v>
      </c>
      <c r="C910" s="13" t="s">
        <v>931</v>
      </c>
      <c r="D910" s="13" t="s">
        <v>104</v>
      </c>
      <c r="E910" s="13" t="s">
        <v>71</v>
      </c>
      <c r="F910" s="13" t="s">
        <v>214</v>
      </c>
      <c r="G910" s="13" t="s">
        <v>55</v>
      </c>
      <c r="H910">
        <v>120000</v>
      </c>
      <c r="I910" s="13" t="s">
        <v>121</v>
      </c>
      <c r="J910" s="13" t="s">
        <v>122</v>
      </c>
      <c r="K910" s="13" t="s">
        <v>107</v>
      </c>
      <c r="L910" s="13" t="s">
        <v>88</v>
      </c>
      <c r="M910">
        <v>60</v>
      </c>
      <c r="N910">
        <v>0</v>
      </c>
      <c r="O910" s="14">
        <v>45981</v>
      </c>
      <c r="P910" s="14">
        <v>46041</v>
      </c>
      <c r="Q910">
        <v>2813.18</v>
      </c>
      <c r="R910">
        <v>0</v>
      </c>
      <c r="S910">
        <v>0</v>
      </c>
      <c r="T910">
        <v>0</v>
      </c>
      <c r="U910">
        <v>0</v>
      </c>
      <c r="V910">
        <v>2813.18</v>
      </c>
      <c r="W910">
        <v>0</v>
      </c>
      <c r="X910">
        <v>1</v>
      </c>
      <c r="Y910">
        <v>0</v>
      </c>
      <c r="Z910">
        <v>-19</v>
      </c>
      <c r="AA910">
        <v>1</v>
      </c>
      <c r="AB910" s="13" t="s">
        <v>581</v>
      </c>
      <c r="AC910">
        <v>0</v>
      </c>
      <c r="AD910">
        <v>0</v>
      </c>
      <c r="AE910" s="13" t="s">
        <v>61</v>
      </c>
    </row>
    <row r="911" spans="1:31" x14ac:dyDescent="0.35">
      <c r="A911" s="13" t="s">
        <v>1531</v>
      </c>
      <c r="B911" s="13" t="s">
        <v>317</v>
      </c>
      <c r="C911" s="13" t="s">
        <v>318</v>
      </c>
      <c r="D911" s="13" t="s">
        <v>52</v>
      </c>
      <c r="E911" s="13" t="s">
        <v>77</v>
      </c>
      <c r="F911" s="13" t="s">
        <v>78</v>
      </c>
      <c r="G911" s="13" t="s">
        <v>67</v>
      </c>
      <c r="H911">
        <v>390000</v>
      </c>
      <c r="I911" s="13" t="s">
        <v>56</v>
      </c>
      <c r="J911" s="13" t="s">
        <v>57</v>
      </c>
      <c r="K911" s="13" t="s">
        <v>58</v>
      </c>
      <c r="L911" s="13" t="s">
        <v>88</v>
      </c>
      <c r="M911">
        <v>60</v>
      </c>
      <c r="N911">
        <v>0</v>
      </c>
      <c r="O911" s="14">
        <v>45981</v>
      </c>
      <c r="P911" s="14">
        <v>46041</v>
      </c>
      <c r="Q911">
        <v>8468.18</v>
      </c>
      <c r="R911">
        <v>0</v>
      </c>
      <c r="S911">
        <v>0</v>
      </c>
      <c r="T911">
        <v>0</v>
      </c>
      <c r="U911">
        <v>0</v>
      </c>
      <c r="V911">
        <v>8468.18</v>
      </c>
      <c r="W911">
        <v>0</v>
      </c>
      <c r="X911">
        <v>1</v>
      </c>
      <c r="Y911">
        <v>0</v>
      </c>
      <c r="Z911">
        <v>-19</v>
      </c>
      <c r="AA911">
        <v>1</v>
      </c>
      <c r="AB911" s="13" t="s">
        <v>581</v>
      </c>
      <c r="AC911">
        <v>0</v>
      </c>
      <c r="AD911">
        <v>0</v>
      </c>
      <c r="AE911" s="13" t="s">
        <v>61</v>
      </c>
    </row>
    <row r="912" spans="1:31" x14ac:dyDescent="0.35">
      <c r="A912" s="13" t="s">
        <v>1532</v>
      </c>
      <c r="B912" s="13" t="s">
        <v>587</v>
      </c>
      <c r="C912" s="13" t="s">
        <v>588</v>
      </c>
      <c r="D912" s="13" t="s">
        <v>126</v>
      </c>
      <c r="E912" s="13" t="s">
        <v>99</v>
      </c>
      <c r="F912" s="13" t="s">
        <v>100</v>
      </c>
      <c r="G912" s="13" t="s">
        <v>67</v>
      </c>
      <c r="H912">
        <v>190000</v>
      </c>
      <c r="I912" s="13" t="s">
        <v>86</v>
      </c>
      <c r="J912" s="13" t="s">
        <v>87</v>
      </c>
      <c r="K912" s="13" t="s">
        <v>58</v>
      </c>
      <c r="L912" s="13" t="s">
        <v>368</v>
      </c>
      <c r="M912">
        <v>90</v>
      </c>
      <c r="N912">
        <v>0</v>
      </c>
      <c r="O912" s="14">
        <v>45981</v>
      </c>
      <c r="P912" s="14">
        <v>46071</v>
      </c>
      <c r="Q912">
        <v>6219.67</v>
      </c>
      <c r="R912">
        <v>0</v>
      </c>
      <c r="S912">
        <v>0</v>
      </c>
      <c r="T912">
        <v>0</v>
      </c>
      <c r="U912">
        <v>0</v>
      </c>
      <c r="V912">
        <v>6219.67</v>
      </c>
      <c r="W912">
        <v>0</v>
      </c>
      <c r="X912">
        <v>1</v>
      </c>
      <c r="Y912">
        <v>0</v>
      </c>
      <c r="Z912">
        <v>-49</v>
      </c>
      <c r="AA912">
        <v>1</v>
      </c>
      <c r="AB912" s="13" t="s">
        <v>581</v>
      </c>
      <c r="AC912">
        <v>0</v>
      </c>
      <c r="AD912">
        <v>0</v>
      </c>
      <c r="AE912" s="13" t="s">
        <v>61</v>
      </c>
    </row>
    <row r="913" spans="1:31" x14ac:dyDescent="0.35">
      <c r="A913" s="13" t="s">
        <v>1533</v>
      </c>
      <c r="B913" s="13" t="s">
        <v>425</v>
      </c>
      <c r="C913" s="13" t="s">
        <v>426</v>
      </c>
      <c r="D913" s="13" t="s">
        <v>126</v>
      </c>
      <c r="E913" s="13" t="s">
        <v>77</v>
      </c>
      <c r="F913" s="13" t="s">
        <v>78</v>
      </c>
      <c r="G913" s="13" t="s">
        <v>67</v>
      </c>
      <c r="H913">
        <v>230000</v>
      </c>
      <c r="I913" s="13" t="s">
        <v>56</v>
      </c>
      <c r="J913" s="13" t="s">
        <v>57</v>
      </c>
      <c r="K913" s="13" t="s">
        <v>58</v>
      </c>
      <c r="L913" s="13" t="s">
        <v>368</v>
      </c>
      <c r="M913">
        <v>90</v>
      </c>
      <c r="N913">
        <v>0</v>
      </c>
      <c r="O913" s="14">
        <v>45981</v>
      </c>
      <c r="P913" s="14">
        <v>46071</v>
      </c>
      <c r="Q913">
        <v>3944.06</v>
      </c>
      <c r="R913">
        <v>0</v>
      </c>
      <c r="S913">
        <v>0</v>
      </c>
      <c r="T913">
        <v>0</v>
      </c>
      <c r="U913">
        <v>0</v>
      </c>
      <c r="V913">
        <v>3944.06</v>
      </c>
      <c r="W913">
        <v>0</v>
      </c>
      <c r="X913">
        <v>1</v>
      </c>
      <c r="Y913">
        <v>0</v>
      </c>
      <c r="Z913">
        <v>-49</v>
      </c>
      <c r="AA913">
        <v>1</v>
      </c>
      <c r="AB913" s="13" t="s">
        <v>581</v>
      </c>
      <c r="AC913">
        <v>0</v>
      </c>
      <c r="AD913">
        <v>0</v>
      </c>
      <c r="AE913" s="13" t="s">
        <v>61</v>
      </c>
    </row>
    <row r="914" spans="1:31" x14ac:dyDescent="0.35">
      <c r="A914" s="13" t="s">
        <v>1534</v>
      </c>
      <c r="B914" s="13" t="s">
        <v>902</v>
      </c>
      <c r="C914" s="13" t="s">
        <v>903</v>
      </c>
      <c r="D914" s="13" t="s">
        <v>52</v>
      </c>
      <c r="E914" s="13" t="s">
        <v>65</v>
      </c>
      <c r="F914" s="13" t="s">
        <v>111</v>
      </c>
      <c r="G914" s="13" t="s">
        <v>67</v>
      </c>
      <c r="H914">
        <v>540000</v>
      </c>
      <c r="I914" s="13" t="s">
        <v>56</v>
      </c>
      <c r="J914" s="13" t="s">
        <v>57</v>
      </c>
      <c r="K914" s="13" t="s">
        <v>58</v>
      </c>
      <c r="L914" s="13" t="s">
        <v>59</v>
      </c>
      <c r="M914">
        <v>45</v>
      </c>
      <c r="N914">
        <v>0</v>
      </c>
      <c r="O914" s="14">
        <v>45981</v>
      </c>
      <c r="P914" s="14">
        <v>46026</v>
      </c>
      <c r="Q914">
        <v>7602.43</v>
      </c>
      <c r="R914">
        <v>0</v>
      </c>
      <c r="S914">
        <v>0</v>
      </c>
      <c r="T914">
        <v>0</v>
      </c>
      <c r="U914">
        <v>0</v>
      </c>
      <c r="V914">
        <v>7602.43</v>
      </c>
      <c r="W914">
        <v>0</v>
      </c>
      <c r="X914">
        <v>1</v>
      </c>
      <c r="Y914">
        <v>0</v>
      </c>
      <c r="Z914">
        <v>-4</v>
      </c>
      <c r="AA914">
        <v>1</v>
      </c>
      <c r="AB914" s="13" t="s">
        <v>581</v>
      </c>
      <c r="AC914">
        <v>0</v>
      </c>
      <c r="AD914">
        <v>0</v>
      </c>
      <c r="AE914" s="13" t="s">
        <v>61</v>
      </c>
    </row>
    <row r="915" spans="1:31" x14ac:dyDescent="0.35">
      <c r="A915" s="13" t="s">
        <v>1535</v>
      </c>
      <c r="B915" s="13" t="s">
        <v>1536</v>
      </c>
      <c r="C915" s="13" t="s">
        <v>1537</v>
      </c>
      <c r="D915" s="13" t="s">
        <v>76</v>
      </c>
      <c r="E915" s="13" t="s">
        <v>99</v>
      </c>
      <c r="F915" s="13" t="s">
        <v>127</v>
      </c>
      <c r="G915" s="13" t="s">
        <v>55</v>
      </c>
      <c r="H915">
        <v>50000</v>
      </c>
      <c r="I915" s="13" t="s">
        <v>93</v>
      </c>
      <c r="J915" s="13" t="s">
        <v>94</v>
      </c>
      <c r="K915" s="13" t="s">
        <v>81</v>
      </c>
      <c r="L915" s="13" t="s">
        <v>95</v>
      </c>
      <c r="M915">
        <v>30</v>
      </c>
      <c r="N915">
        <v>0</v>
      </c>
      <c r="O915" s="14">
        <v>45981</v>
      </c>
      <c r="P915" s="14">
        <v>46011</v>
      </c>
      <c r="Q915">
        <v>4709.3500000000004</v>
      </c>
      <c r="R915">
        <v>0</v>
      </c>
      <c r="S915">
        <v>0</v>
      </c>
      <c r="T915">
        <v>0</v>
      </c>
      <c r="U915">
        <v>0</v>
      </c>
      <c r="V915">
        <v>4709.3500000000004</v>
      </c>
      <c r="W915">
        <v>0</v>
      </c>
      <c r="X915">
        <v>1</v>
      </c>
      <c r="Y915">
        <v>1</v>
      </c>
      <c r="Z915">
        <v>11</v>
      </c>
      <c r="AA915">
        <v>2</v>
      </c>
      <c r="AB915" s="13" t="s">
        <v>405</v>
      </c>
      <c r="AC915">
        <v>0.25</v>
      </c>
      <c r="AD915">
        <v>0</v>
      </c>
      <c r="AE915" s="13" t="s">
        <v>61</v>
      </c>
    </row>
    <row r="916" spans="1:31" x14ac:dyDescent="0.35">
      <c r="A916" s="13" t="s">
        <v>1538</v>
      </c>
      <c r="B916" s="13" t="s">
        <v>1227</v>
      </c>
      <c r="C916" s="13" t="s">
        <v>1228</v>
      </c>
      <c r="D916" s="13" t="s">
        <v>76</v>
      </c>
      <c r="E916" s="13" t="s">
        <v>99</v>
      </c>
      <c r="F916" s="13" t="s">
        <v>100</v>
      </c>
      <c r="G916" s="13" t="s">
        <v>55</v>
      </c>
      <c r="H916">
        <v>110000</v>
      </c>
      <c r="I916" s="13" t="s">
        <v>93</v>
      </c>
      <c r="J916" s="13" t="s">
        <v>94</v>
      </c>
      <c r="K916" s="13" t="s">
        <v>81</v>
      </c>
      <c r="L916" s="13" t="s">
        <v>95</v>
      </c>
      <c r="M916">
        <v>30</v>
      </c>
      <c r="N916">
        <v>0</v>
      </c>
      <c r="O916" s="14">
        <v>45981</v>
      </c>
      <c r="P916" s="14">
        <v>46011</v>
      </c>
      <c r="Q916">
        <v>1069.3499999999999</v>
      </c>
      <c r="R916">
        <v>0</v>
      </c>
      <c r="S916">
        <v>0</v>
      </c>
      <c r="T916">
        <v>0</v>
      </c>
      <c r="U916">
        <v>0</v>
      </c>
      <c r="V916">
        <v>1069.3499999999999</v>
      </c>
      <c r="W916">
        <v>0</v>
      </c>
      <c r="X916">
        <v>1</v>
      </c>
      <c r="Y916">
        <v>1</v>
      </c>
      <c r="Z916">
        <v>11</v>
      </c>
      <c r="AA916">
        <v>2</v>
      </c>
      <c r="AB916" s="13" t="s">
        <v>405</v>
      </c>
      <c r="AC916">
        <v>0.25</v>
      </c>
      <c r="AD916">
        <v>1</v>
      </c>
      <c r="AE916" s="13" t="s">
        <v>348</v>
      </c>
    </row>
    <row r="917" spans="1:31" x14ac:dyDescent="0.35">
      <c r="A917" s="13" t="s">
        <v>1539</v>
      </c>
      <c r="B917" s="13" t="s">
        <v>1059</v>
      </c>
      <c r="C917" s="13" t="s">
        <v>1060</v>
      </c>
      <c r="D917" s="13" t="s">
        <v>52</v>
      </c>
      <c r="E917" s="13" t="s">
        <v>77</v>
      </c>
      <c r="F917" s="13" t="s">
        <v>174</v>
      </c>
      <c r="G917" s="13" t="s">
        <v>67</v>
      </c>
      <c r="H917">
        <v>225000</v>
      </c>
      <c r="I917" s="13" t="s">
        <v>86</v>
      </c>
      <c r="J917" s="13" t="s">
        <v>87</v>
      </c>
      <c r="K917" s="13" t="s">
        <v>58</v>
      </c>
      <c r="L917" s="13" t="s">
        <v>88</v>
      </c>
      <c r="M917">
        <v>60</v>
      </c>
      <c r="N917">
        <v>0</v>
      </c>
      <c r="O917" s="14">
        <v>45981</v>
      </c>
      <c r="P917" s="14">
        <v>46041</v>
      </c>
      <c r="Q917">
        <v>1625</v>
      </c>
      <c r="R917">
        <v>0</v>
      </c>
      <c r="S917">
        <v>0</v>
      </c>
      <c r="T917">
        <v>0</v>
      </c>
      <c r="U917">
        <v>0</v>
      </c>
      <c r="V917">
        <v>1625</v>
      </c>
      <c r="W917">
        <v>0</v>
      </c>
      <c r="X917">
        <v>1</v>
      </c>
      <c r="Y917">
        <v>0</v>
      </c>
      <c r="Z917">
        <v>-19</v>
      </c>
      <c r="AA917">
        <v>1</v>
      </c>
      <c r="AB917" s="13" t="s">
        <v>581</v>
      </c>
      <c r="AC917">
        <v>0</v>
      </c>
      <c r="AD917">
        <v>0</v>
      </c>
      <c r="AE917" s="13" t="s">
        <v>61</v>
      </c>
    </row>
    <row r="918" spans="1:31" x14ac:dyDescent="0.35">
      <c r="A918" s="13" t="s">
        <v>1540</v>
      </c>
      <c r="B918" s="13" t="s">
        <v>1541</v>
      </c>
      <c r="C918" s="13" t="s">
        <v>1542</v>
      </c>
      <c r="D918" s="13" t="s">
        <v>104</v>
      </c>
      <c r="E918" s="13" t="s">
        <v>53</v>
      </c>
      <c r="F918" s="13" t="s">
        <v>54</v>
      </c>
      <c r="G918" s="13" t="s">
        <v>92</v>
      </c>
      <c r="H918">
        <v>150000</v>
      </c>
      <c r="I918" s="13" t="s">
        <v>56</v>
      </c>
      <c r="J918" s="13" t="s">
        <v>57</v>
      </c>
      <c r="K918" s="13" t="s">
        <v>58</v>
      </c>
      <c r="L918" s="13" t="s">
        <v>82</v>
      </c>
      <c r="M918">
        <v>30</v>
      </c>
      <c r="N918">
        <v>2</v>
      </c>
      <c r="O918" s="14">
        <v>45981</v>
      </c>
      <c r="P918" s="14">
        <v>46011</v>
      </c>
      <c r="Q918">
        <v>1357.08</v>
      </c>
      <c r="R918">
        <v>0</v>
      </c>
      <c r="S918">
        <v>0</v>
      </c>
      <c r="T918">
        <v>0</v>
      </c>
      <c r="U918">
        <v>0</v>
      </c>
      <c r="V918">
        <v>1357.08</v>
      </c>
      <c r="W918">
        <v>0</v>
      </c>
      <c r="X918">
        <v>1</v>
      </c>
      <c r="Y918">
        <v>1</v>
      </c>
      <c r="Z918">
        <v>11</v>
      </c>
      <c r="AA918">
        <v>2</v>
      </c>
      <c r="AB918" s="13" t="s">
        <v>405</v>
      </c>
      <c r="AC918">
        <v>0.25</v>
      </c>
      <c r="AD918">
        <v>0</v>
      </c>
      <c r="AE918" s="13" t="s">
        <v>61</v>
      </c>
    </row>
    <row r="919" spans="1:31" x14ac:dyDescent="0.35">
      <c r="A919" s="13" t="s">
        <v>1543</v>
      </c>
      <c r="B919" s="13" t="s">
        <v>575</v>
      </c>
      <c r="C919" s="13" t="s">
        <v>576</v>
      </c>
      <c r="D919" s="13" t="s">
        <v>126</v>
      </c>
      <c r="E919" s="13" t="s">
        <v>65</v>
      </c>
      <c r="F919" s="13" t="s">
        <v>111</v>
      </c>
      <c r="G919" s="13" t="s">
        <v>55</v>
      </c>
      <c r="H919">
        <v>160000</v>
      </c>
      <c r="I919" s="13" t="s">
        <v>86</v>
      </c>
      <c r="J919" s="13" t="s">
        <v>87</v>
      </c>
      <c r="K919" s="13" t="s">
        <v>58</v>
      </c>
      <c r="L919" s="13" t="s">
        <v>368</v>
      </c>
      <c r="M919">
        <v>90</v>
      </c>
      <c r="N919">
        <v>0</v>
      </c>
      <c r="O919" s="14">
        <v>45981</v>
      </c>
      <c r="P919" s="14">
        <v>46071</v>
      </c>
      <c r="Q919">
        <v>5360.91</v>
      </c>
      <c r="R919">
        <v>0</v>
      </c>
      <c r="S919">
        <v>0</v>
      </c>
      <c r="T919">
        <v>0</v>
      </c>
      <c r="U919">
        <v>0</v>
      </c>
      <c r="V919">
        <v>5360.91</v>
      </c>
      <c r="W919">
        <v>0</v>
      </c>
      <c r="X919">
        <v>1</v>
      </c>
      <c r="Y919">
        <v>0</v>
      </c>
      <c r="Z919">
        <v>-49</v>
      </c>
      <c r="AA919">
        <v>1</v>
      </c>
      <c r="AB919" s="13" t="s">
        <v>581</v>
      </c>
      <c r="AC919">
        <v>0</v>
      </c>
      <c r="AD919">
        <v>0</v>
      </c>
      <c r="AE919" s="13" t="s">
        <v>61</v>
      </c>
    </row>
    <row r="920" spans="1:31" x14ac:dyDescent="0.35">
      <c r="A920" s="13" t="s">
        <v>1544</v>
      </c>
      <c r="B920" s="13" t="s">
        <v>474</v>
      </c>
      <c r="C920" s="13" t="s">
        <v>475</v>
      </c>
      <c r="D920" s="13" t="s">
        <v>126</v>
      </c>
      <c r="E920" s="13" t="s">
        <v>77</v>
      </c>
      <c r="F920" s="13" t="s">
        <v>174</v>
      </c>
      <c r="G920" s="13" t="s">
        <v>67</v>
      </c>
      <c r="H920">
        <v>165000</v>
      </c>
      <c r="I920" s="13" t="s">
        <v>56</v>
      </c>
      <c r="J920" s="13" t="s">
        <v>57</v>
      </c>
      <c r="K920" s="13" t="s">
        <v>58</v>
      </c>
      <c r="L920" s="13" t="s">
        <v>368</v>
      </c>
      <c r="M920">
        <v>90</v>
      </c>
      <c r="N920">
        <v>0</v>
      </c>
      <c r="O920" s="14">
        <v>45981</v>
      </c>
      <c r="P920" s="14">
        <v>46071</v>
      </c>
      <c r="Q920">
        <v>4608.6400000000003</v>
      </c>
      <c r="R920">
        <v>0</v>
      </c>
      <c r="S920">
        <v>0</v>
      </c>
      <c r="T920">
        <v>0</v>
      </c>
      <c r="U920">
        <v>0</v>
      </c>
      <c r="V920">
        <v>4608.6400000000003</v>
      </c>
      <c r="W920">
        <v>0</v>
      </c>
      <c r="X920">
        <v>1</v>
      </c>
      <c r="Y920">
        <v>0</v>
      </c>
      <c r="Z920">
        <v>-49</v>
      </c>
      <c r="AA920">
        <v>1</v>
      </c>
      <c r="AB920" s="13" t="s">
        <v>581</v>
      </c>
      <c r="AC920">
        <v>0</v>
      </c>
      <c r="AD920">
        <v>0</v>
      </c>
      <c r="AE920" s="13" t="s">
        <v>61</v>
      </c>
    </row>
    <row r="921" spans="1:31" x14ac:dyDescent="0.35">
      <c r="A921" s="13" t="s">
        <v>1545</v>
      </c>
      <c r="B921" s="13" t="s">
        <v>1546</v>
      </c>
      <c r="C921" s="13" t="s">
        <v>1547</v>
      </c>
      <c r="D921" s="13" t="s">
        <v>76</v>
      </c>
      <c r="E921" s="13" t="s">
        <v>77</v>
      </c>
      <c r="F921" s="13" t="s">
        <v>174</v>
      </c>
      <c r="G921" s="13" t="s">
        <v>92</v>
      </c>
      <c r="H921">
        <v>70000</v>
      </c>
      <c r="I921" s="13" t="s">
        <v>93</v>
      </c>
      <c r="J921" s="13" t="s">
        <v>94</v>
      </c>
      <c r="K921" s="13" t="s">
        <v>81</v>
      </c>
      <c r="L921" s="13" t="s">
        <v>95</v>
      </c>
      <c r="M921">
        <v>30</v>
      </c>
      <c r="N921">
        <v>0</v>
      </c>
      <c r="O921" s="14">
        <v>45981</v>
      </c>
      <c r="P921" s="14">
        <v>46011</v>
      </c>
      <c r="Q921">
        <v>2453.0500000000002</v>
      </c>
      <c r="R921">
        <v>0</v>
      </c>
      <c r="S921">
        <v>0</v>
      </c>
      <c r="T921">
        <v>0</v>
      </c>
      <c r="U921">
        <v>0</v>
      </c>
      <c r="V921">
        <v>2453.0500000000002</v>
      </c>
      <c r="W921">
        <v>0</v>
      </c>
      <c r="X921">
        <v>1</v>
      </c>
      <c r="Y921">
        <v>1</v>
      </c>
      <c r="Z921">
        <v>11</v>
      </c>
      <c r="AA921">
        <v>2</v>
      </c>
      <c r="AB921" s="13" t="s">
        <v>405</v>
      </c>
      <c r="AC921">
        <v>0.25</v>
      </c>
      <c r="AD921">
        <v>0</v>
      </c>
      <c r="AE921" s="13" t="s">
        <v>61</v>
      </c>
    </row>
    <row r="922" spans="1:31" x14ac:dyDescent="0.35">
      <c r="A922" s="13" t="s">
        <v>1548</v>
      </c>
      <c r="B922" s="13" t="s">
        <v>50</v>
      </c>
      <c r="C922" s="13" t="s">
        <v>51</v>
      </c>
      <c r="D922" s="13" t="s">
        <v>52</v>
      </c>
      <c r="E922" s="13" t="s">
        <v>53</v>
      </c>
      <c r="F922" s="13" t="s">
        <v>54</v>
      </c>
      <c r="G922" s="13" t="s">
        <v>55</v>
      </c>
      <c r="H922">
        <v>585000</v>
      </c>
      <c r="I922" s="13" t="s">
        <v>56</v>
      </c>
      <c r="J922" s="13" t="s">
        <v>57</v>
      </c>
      <c r="K922" s="13" t="s">
        <v>58</v>
      </c>
      <c r="L922" s="13" t="s">
        <v>59</v>
      </c>
      <c r="M922">
        <v>45</v>
      </c>
      <c r="N922">
        <v>0</v>
      </c>
      <c r="O922" s="14">
        <v>45981</v>
      </c>
      <c r="P922" s="14">
        <v>46026</v>
      </c>
      <c r="Q922">
        <v>17654.47</v>
      </c>
      <c r="R922">
        <v>0</v>
      </c>
      <c r="S922">
        <v>0</v>
      </c>
      <c r="T922">
        <v>0</v>
      </c>
      <c r="U922">
        <v>0</v>
      </c>
      <c r="V922">
        <v>17654.47</v>
      </c>
      <c r="W922">
        <v>0</v>
      </c>
      <c r="X922">
        <v>1</v>
      </c>
      <c r="Y922">
        <v>0</v>
      </c>
      <c r="Z922">
        <v>-4</v>
      </c>
      <c r="AA922">
        <v>1</v>
      </c>
      <c r="AB922" s="13" t="s">
        <v>581</v>
      </c>
      <c r="AC922">
        <v>0</v>
      </c>
      <c r="AD922">
        <v>0</v>
      </c>
      <c r="AE922" s="13" t="s">
        <v>61</v>
      </c>
    </row>
    <row r="923" spans="1:31" x14ac:dyDescent="0.35">
      <c r="A923" s="13" t="s">
        <v>1549</v>
      </c>
      <c r="B923" s="13" t="s">
        <v>263</v>
      </c>
      <c r="C923" s="13" t="s">
        <v>264</v>
      </c>
      <c r="D923" s="13" t="s">
        <v>52</v>
      </c>
      <c r="E923" s="13" t="s">
        <v>99</v>
      </c>
      <c r="F923" s="13" t="s">
        <v>100</v>
      </c>
      <c r="G923" s="13" t="s">
        <v>55</v>
      </c>
      <c r="H923">
        <v>590000</v>
      </c>
      <c r="I923" s="13" t="s">
        <v>86</v>
      </c>
      <c r="J923" s="13" t="s">
        <v>87</v>
      </c>
      <c r="K923" s="13" t="s">
        <v>58</v>
      </c>
      <c r="L923" s="13" t="s">
        <v>88</v>
      </c>
      <c r="M923">
        <v>60</v>
      </c>
      <c r="N923">
        <v>0</v>
      </c>
      <c r="O923" s="14">
        <v>45981</v>
      </c>
      <c r="P923" s="14">
        <v>46041</v>
      </c>
      <c r="Q923">
        <v>8530.8799999999992</v>
      </c>
      <c r="R923">
        <v>0</v>
      </c>
      <c r="S923">
        <v>0</v>
      </c>
      <c r="T923">
        <v>0</v>
      </c>
      <c r="U923">
        <v>0</v>
      </c>
      <c r="V923">
        <v>8530.8799999999992</v>
      </c>
      <c r="W923">
        <v>0</v>
      </c>
      <c r="X923">
        <v>1</v>
      </c>
      <c r="Y923">
        <v>0</v>
      </c>
      <c r="Z923">
        <v>-19</v>
      </c>
      <c r="AA923">
        <v>1</v>
      </c>
      <c r="AB923" s="13" t="s">
        <v>581</v>
      </c>
      <c r="AC923">
        <v>0</v>
      </c>
      <c r="AD923">
        <v>0</v>
      </c>
      <c r="AE923" s="13" t="s">
        <v>61</v>
      </c>
    </row>
    <row r="924" spans="1:31" x14ac:dyDescent="0.35">
      <c r="A924" s="13" t="s">
        <v>1550</v>
      </c>
      <c r="B924" s="13" t="s">
        <v>186</v>
      </c>
      <c r="C924" s="13" t="s">
        <v>187</v>
      </c>
      <c r="D924" s="13" t="s">
        <v>76</v>
      </c>
      <c r="E924" s="13" t="s">
        <v>65</v>
      </c>
      <c r="F924" s="13" t="s">
        <v>66</v>
      </c>
      <c r="G924" s="13" t="s">
        <v>55</v>
      </c>
      <c r="H924">
        <v>120000</v>
      </c>
      <c r="I924" s="13" t="s">
        <v>93</v>
      </c>
      <c r="J924" s="13" t="s">
        <v>94</v>
      </c>
      <c r="K924" s="13" t="s">
        <v>81</v>
      </c>
      <c r="L924" s="13" t="s">
        <v>95</v>
      </c>
      <c r="M924">
        <v>30</v>
      </c>
      <c r="N924">
        <v>0</v>
      </c>
      <c r="O924" s="14">
        <v>45982</v>
      </c>
      <c r="P924" s="14">
        <v>46012</v>
      </c>
      <c r="Q924">
        <v>3052.73</v>
      </c>
      <c r="R924">
        <v>1831.64</v>
      </c>
      <c r="S924">
        <v>0</v>
      </c>
      <c r="T924">
        <v>0</v>
      </c>
      <c r="U924">
        <v>0</v>
      </c>
      <c r="V924">
        <v>1221.0899999999999</v>
      </c>
      <c r="W924">
        <v>0</v>
      </c>
      <c r="X924">
        <v>1</v>
      </c>
      <c r="Y924">
        <v>1</v>
      </c>
      <c r="Z924">
        <v>10</v>
      </c>
      <c r="AA924">
        <v>2</v>
      </c>
      <c r="AB924" s="13" t="s">
        <v>405</v>
      </c>
      <c r="AC924">
        <v>0.25</v>
      </c>
      <c r="AD924">
        <v>0</v>
      </c>
      <c r="AE924" s="13" t="s">
        <v>61</v>
      </c>
    </row>
    <row r="925" spans="1:31" x14ac:dyDescent="0.35">
      <c r="A925" s="13" t="s">
        <v>1551</v>
      </c>
      <c r="B925" s="13" t="s">
        <v>702</v>
      </c>
      <c r="C925" s="13" t="s">
        <v>703</v>
      </c>
      <c r="D925" s="13" t="s">
        <v>52</v>
      </c>
      <c r="E925" s="13" t="s">
        <v>65</v>
      </c>
      <c r="F925" s="13" t="s">
        <v>111</v>
      </c>
      <c r="G925" s="13" t="s">
        <v>67</v>
      </c>
      <c r="H925">
        <v>435000</v>
      </c>
      <c r="I925" s="13" t="s">
        <v>86</v>
      </c>
      <c r="J925" s="13" t="s">
        <v>87</v>
      </c>
      <c r="K925" s="13" t="s">
        <v>58</v>
      </c>
      <c r="L925" s="13" t="s">
        <v>59</v>
      </c>
      <c r="M925">
        <v>45</v>
      </c>
      <c r="N925">
        <v>0</v>
      </c>
      <c r="O925" s="14">
        <v>45982</v>
      </c>
      <c r="P925" s="14">
        <v>46027</v>
      </c>
      <c r="Q925">
        <v>2287.91</v>
      </c>
      <c r="R925">
        <v>0</v>
      </c>
      <c r="S925">
        <v>0</v>
      </c>
      <c r="T925">
        <v>0</v>
      </c>
      <c r="U925">
        <v>0</v>
      </c>
      <c r="V925">
        <v>2287.91</v>
      </c>
      <c r="W925">
        <v>0</v>
      </c>
      <c r="X925">
        <v>1</v>
      </c>
      <c r="Y925">
        <v>0</v>
      </c>
      <c r="Z925">
        <v>-5</v>
      </c>
      <c r="AA925">
        <v>1</v>
      </c>
      <c r="AB925" s="13" t="s">
        <v>581</v>
      </c>
      <c r="AC925">
        <v>0</v>
      </c>
      <c r="AD925">
        <v>0</v>
      </c>
      <c r="AE925" s="13" t="s">
        <v>61</v>
      </c>
    </row>
    <row r="926" spans="1:31" x14ac:dyDescent="0.35">
      <c r="A926" s="13" t="s">
        <v>1552</v>
      </c>
      <c r="B926" s="13" t="s">
        <v>1553</v>
      </c>
      <c r="C926" s="13" t="s">
        <v>1554</v>
      </c>
      <c r="D926" s="13" t="s">
        <v>76</v>
      </c>
      <c r="E926" s="13" t="s">
        <v>53</v>
      </c>
      <c r="F926" s="13" t="s">
        <v>135</v>
      </c>
      <c r="G926" s="13" t="s">
        <v>55</v>
      </c>
      <c r="H926">
        <v>95000</v>
      </c>
      <c r="I926" s="13" t="s">
        <v>79</v>
      </c>
      <c r="J926" s="13" t="s">
        <v>80</v>
      </c>
      <c r="K926" s="13" t="s">
        <v>81</v>
      </c>
      <c r="L926" s="13" t="s">
        <v>95</v>
      </c>
      <c r="M926">
        <v>30</v>
      </c>
      <c r="N926">
        <v>0</v>
      </c>
      <c r="O926" s="14">
        <v>45982</v>
      </c>
      <c r="P926" s="14">
        <v>46012</v>
      </c>
      <c r="Q926">
        <v>816.28</v>
      </c>
      <c r="R926">
        <v>0</v>
      </c>
      <c r="S926">
        <v>0</v>
      </c>
      <c r="T926">
        <v>0</v>
      </c>
      <c r="U926">
        <v>0</v>
      </c>
      <c r="V926">
        <v>816.28</v>
      </c>
      <c r="W926">
        <v>0</v>
      </c>
      <c r="X926">
        <v>1</v>
      </c>
      <c r="Y926">
        <v>1</v>
      </c>
      <c r="Z926">
        <v>10</v>
      </c>
      <c r="AA926">
        <v>2</v>
      </c>
      <c r="AB926" s="13" t="s">
        <v>405</v>
      </c>
      <c r="AC926">
        <v>0.25</v>
      </c>
      <c r="AD926">
        <v>0</v>
      </c>
      <c r="AE926" s="13" t="s">
        <v>61</v>
      </c>
    </row>
    <row r="927" spans="1:31" x14ac:dyDescent="0.35">
      <c r="A927" s="13" t="s">
        <v>1555</v>
      </c>
      <c r="B927" s="13" t="s">
        <v>1247</v>
      </c>
      <c r="C927" s="13" t="s">
        <v>1248</v>
      </c>
      <c r="D927" s="13" t="s">
        <v>52</v>
      </c>
      <c r="E927" s="13" t="s">
        <v>99</v>
      </c>
      <c r="F927" s="13" t="s">
        <v>100</v>
      </c>
      <c r="G927" s="13" t="s">
        <v>55</v>
      </c>
      <c r="H927">
        <v>600000</v>
      </c>
      <c r="I927" s="13" t="s">
        <v>56</v>
      </c>
      <c r="J927" s="13" t="s">
        <v>57</v>
      </c>
      <c r="K927" s="13" t="s">
        <v>58</v>
      </c>
      <c r="L927" s="13" t="s">
        <v>59</v>
      </c>
      <c r="M927">
        <v>45</v>
      </c>
      <c r="N927">
        <v>0</v>
      </c>
      <c r="O927" s="14">
        <v>45982</v>
      </c>
      <c r="P927" s="14">
        <v>46027</v>
      </c>
      <c r="Q927">
        <v>1732.15</v>
      </c>
      <c r="R927">
        <v>0</v>
      </c>
      <c r="S927">
        <v>0</v>
      </c>
      <c r="T927">
        <v>346.43</v>
      </c>
      <c r="U927">
        <v>0</v>
      </c>
      <c r="V927">
        <v>1385.72</v>
      </c>
      <c r="W927">
        <v>0</v>
      </c>
      <c r="X927">
        <v>1</v>
      </c>
      <c r="Y927">
        <v>0</v>
      </c>
      <c r="Z927">
        <v>-5</v>
      </c>
      <c r="AA927">
        <v>1</v>
      </c>
      <c r="AB927" s="13" t="s">
        <v>581</v>
      </c>
      <c r="AC927">
        <v>0</v>
      </c>
      <c r="AD927">
        <v>0</v>
      </c>
      <c r="AE927" s="13" t="s">
        <v>377</v>
      </c>
    </row>
    <row r="928" spans="1:31" x14ac:dyDescent="0.35">
      <c r="A928" s="13" t="s">
        <v>1556</v>
      </c>
      <c r="B928" s="13" t="s">
        <v>229</v>
      </c>
      <c r="C928" s="13" t="s">
        <v>230</v>
      </c>
      <c r="D928" s="13" t="s">
        <v>104</v>
      </c>
      <c r="E928" s="13" t="s">
        <v>71</v>
      </c>
      <c r="F928" s="13" t="s">
        <v>214</v>
      </c>
      <c r="G928" s="13" t="s">
        <v>67</v>
      </c>
      <c r="H928">
        <v>110000</v>
      </c>
      <c r="I928" s="13" t="s">
        <v>105</v>
      </c>
      <c r="J928" s="13" t="s">
        <v>106</v>
      </c>
      <c r="K928" s="13" t="s">
        <v>107</v>
      </c>
      <c r="L928" s="13" t="s">
        <v>88</v>
      </c>
      <c r="M928">
        <v>60</v>
      </c>
      <c r="N928">
        <v>0</v>
      </c>
      <c r="O928" s="14">
        <v>45982</v>
      </c>
      <c r="P928" s="14">
        <v>46042</v>
      </c>
      <c r="Q928">
        <v>854.53</v>
      </c>
      <c r="R928">
        <v>0</v>
      </c>
      <c r="S928">
        <v>0</v>
      </c>
      <c r="T928">
        <v>0</v>
      </c>
      <c r="U928">
        <v>0</v>
      </c>
      <c r="V928">
        <v>854.53</v>
      </c>
      <c r="W928">
        <v>0</v>
      </c>
      <c r="X928">
        <v>1</v>
      </c>
      <c r="Y928">
        <v>0</v>
      </c>
      <c r="Z928">
        <v>-20</v>
      </c>
      <c r="AA928">
        <v>1</v>
      </c>
      <c r="AB928" s="13" t="s">
        <v>581</v>
      </c>
      <c r="AC928">
        <v>0</v>
      </c>
      <c r="AD928">
        <v>0</v>
      </c>
      <c r="AE928" s="13" t="s">
        <v>61</v>
      </c>
    </row>
    <row r="929" spans="1:31" x14ac:dyDescent="0.35">
      <c r="A929" s="13" t="s">
        <v>1557</v>
      </c>
      <c r="B929" s="13" t="s">
        <v>270</v>
      </c>
      <c r="C929" s="13" t="s">
        <v>271</v>
      </c>
      <c r="D929" s="13" t="s">
        <v>52</v>
      </c>
      <c r="E929" s="13" t="s">
        <v>71</v>
      </c>
      <c r="F929" s="13" t="s">
        <v>72</v>
      </c>
      <c r="G929" s="13" t="s">
        <v>67</v>
      </c>
      <c r="H929">
        <v>555000</v>
      </c>
      <c r="I929" s="13" t="s">
        <v>56</v>
      </c>
      <c r="J929" s="13" t="s">
        <v>57</v>
      </c>
      <c r="K929" s="13" t="s">
        <v>58</v>
      </c>
      <c r="L929" s="13" t="s">
        <v>88</v>
      </c>
      <c r="M929">
        <v>60</v>
      </c>
      <c r="N929">
        <v>0</v>
      </c>
      <c r="O929" s="14">
        <v>45982</v>
      </c>
      <c r="P929" s="14">
        <v>46042</v>
      </c>
      <c r="Q929">
        <v>11093.3</v>
      </c>
      <c r="R929">
        <v>0</v>
      </c>
      <c r="S929">
        <v>0</v>
      </c>
      <c r="T929">
        <v>0</v>
      </c>
      <c r="U929">
        <v>0</v>
      </c>
      <c r="V929">
        <v>11093.3</v>
      </c>
      <c r="W929">
        <v>0</v>
      </c>
      <c r="X929">
        <v>1</v>
      </c>
      <c r="Y929">
        <v>0</v>
      </c>
      <c r="Z929">
        <v>-20</v>
      </c>
      <c r="AA929">
        <v>1</v>
      </c>
      <c r="AB929" s="13" t="s">
        <v>581</v>
      </c>
      <c r="AC929">
        <v>0</v>
      </c>
      <c r="AD929">
        <v>0</v>
      </c>
      <c r="AE929" s="13" t="s">
        <v>61</v>
      </c>
    </row>
    <row r="930" spans="1:31" x14ac:dyDescent="0.35">
      <c r="A930" s="13" t="s">
        <v>1558</v>
      </c>
      <c r="B930" s="13" t="s">
        <v>1559</v>
      </c>
      <c r="C930" s="13" t="s">
        <v>1560</v>
      </c>
      <c r="D930" s="13" t="s">
        <v>104</v>
      </c>
      <c r="E930" s="13" t="s">
        <v>99</v>
      </c>
      <c r="F930" s="13" t="s">
        <v>100</v>
      </c>
      <c r="G930" s="13" t="s">
        <v>55</v>
      </c>
      <c r="H930">
        <v>115000</v>
      </c>
      <c r="I930" s="13" t="s">
        <v>105</v>
      </c>
      <c r="J930" s="13" t="s">
        <v>106</v>
      </c>
      <c r="K930" s="13" t="s">
        <v>107</v>
      </c>
      <c r="L930" s="13" t="s">
        <v>95</v>
      </c>
      <c r="M930">
        <v>30</v>
      </c>
      <c r="N930">
        <v>0</v>
      </c>
      <c r="O930" s="14">
        <v>45982</v>
      </c>
      <c r="P930" s="14">
        <v>46012</v>
      </c>
      <c r="Q930">
        <v>7461.17</v>
      </c>
      <c r="R930">
        <v>0</v>
      </c>
      <c r="S930">
        <v>0</v>
      </c>
      <c r="T930">
        <v>0</v>
      </c>
      <c r="U930">
        <v>0</v>
      </c>
      <c r="V930">
        <v>7461.17</v>
      </c>
      <c r="W930">
        <v>0</v>
      </c>
      <c r="X930">
        <v>1</v>
      </c>
      <c r="Y930">
        <v>1</v>
      </c>
      <c r="Z930">
        <v>10</v>
      </c>
      <c r="AA930">
        <v>2</v>
      </c>
      <c r="AB930" s="13" t="s">
        <v>405</v>
      </c>
      <c r="AC930">
        <v>0.25</v>
      </c>
      <c r="AD930">
        <v>0</v>
      </c>
      <c r="AE930" s="13" t="s">
        <v>61</v>
      </c>
    </row>
    <row r="931" spans="1:31" x14ac:dyDescent="0.35">
      <c r="A931" s="13" t="s">
        <v>1561</v>
      </c>
      <c r="B931" s="13" t="s">
        <v>1470</v>
      </c>
      <c r="C931" s="13" t="s">
        <v>1471</v>
      </c>
      <c r="D931" s="13" t="s">
        <v>52</v>
      </c>
      <c r="E931" s="13" t="s">
        <v>77</v>
      </c>
      <c r="F931" s="13" t="s">
        <v>78</v>
      </c>
      <c r="G931" s="13" t="s">
        <v>67</v>
      </c>
      <c r="H931">
        <v>385000</v>
      </c>
      <c r="I931" s="13" t="s">
        <v>86</v>
      </c>
      <c r="J931" s="13" t="s">
        <v>87</v>
      </c>
      <c r="K931" s="13" t="s">
        <v>58</v>
      </c>
      <c r="L931" s="13" t="s">
        <v>88</v>
      </c>
      <c r="M931">
        <v>60</v>
      </c>
      <c r="N931">
        <v>0</v>
      </c>
      <c r="O931" s="14">
        <v>45982</v>
      </c>
      <c r="P931" s="14">
        <v>46042</v>
      </c>
      <c r="Q931">
        <v>2124.77</v>
      </c>
      <c r="R931">
        <v>0</v>
      </c>
      <c r="S931">
        <v>0</v>
      </c>
      <c r="T931">
        <v>0</v>
      </c>
      <c r="U931">
        <v>0</v>
      </c>
      <c r="V931">
        <v>2124.77</v>
      </c>
      <c r="W931">
        <v>0</v>
      </c>
      <c r="X931">
        <v>1</v>
      </c>
      <c r="Y931">
        <v>0</v>
      </c>
      <c r="Z931">
        <v>-20</v>
      </c>
      <c r="AA931">
        <v>1</v>
      </c>
      <c r="AB931" s="13" t="s">
        <v>581</v>
      </c>
      <c r="AC931">
        <v>0</v>
      </c>
      <c r="AD931">
        <v>0</v>
      </c>
      <c r="AE931" s="13" t="s">
        <v>61</v>
      </c>
    </row>
    <row r="932" spans="1:31" x14ac:dyDescent="0.35">
      <c r="A932" s="13" t="s">
        <v>1562</v>
      </c>
      <c r="B932" s="13" t="s">
        <v>1563</v>
      </c>
      <c r="C932" s="13" t="s">
        <v>1564</v>
      </c>
      <c r="D932" s="13" t="s">
        <v>104</v>
      </c>
      <c r="E932" s="13" t="s">
        <v>65</v>
      </c>
      <c r="F932" s="13" t="s">
        <v>66</v>
      </c>
      <c r="G932" s="13" t="s">
        <v>55</v>
      </c>
      <c r="H932">
        <v>65000</v>
      </c>
      <c r="I932" s="13" t="s">
        <v>121</v>
      </c>
      <c r="J932" s="13" t="s">
        <v>122</v>
      </c>
      <c r="K932" s="13" t="s">
        <v>107</v>
      </c>
      <c r="L932" s="13" t="s">
        <v>82</v>
      </c>
      <c r="M932">
        <v>30</v>
      </c>
      <c r="N932">
        <v>2</v>
      </c>
      <c r="O932" s="14">
        <v>45982</v>
      </c>
      <c r="P932" s="14">
        <v>46012</v>
      </c>
      <c r="Q932">
        <v>2890</v>
      </c>
      <c r="R932">
        <v>0</v>
      </c>
      <c r="S932">
        <v>0</v>
      </c>
      <c r="T932">
        <v>0</v>
      </c>
      <c r="U932">
        <v>0</v>
      </c>
      <c r="V932">
        <v>2890</v>
      </c>
      <c r="W932">
        <v>0</v>
      </c>
      <c r="X932">
        <v>1</v>
      </c>
      <c r="Y932">
        <v>1</v>
      </c>
      <c r="Z932">
        <v>10</v>
      </c>
      <c r="AA932">
        <v>2</v>
      </c>
      <c r="AB932" s="13" t="s">
        <v>405</v>
      </c>
      <c r="AC932">
        <v>0.25</v>
      </c>
      <c r="AD932">
        <v>0</v>
      </c>
      <c r="AE932" s="13" t="s">
        <v>61</v>
      </c>
    </row>
    <row r="933" spans="1:31" x14ac:dyDescent="0.35">
      <c r="A933" s="13" t="s">
        <v>1565</v>
      </c>
      <c r="B933" s="13" t="s">
        <v>277</v>
      </c>
      <c r="C933" s="13" t="s">
        <v>278</v>
      </c>
      <c r="D933" s="13" t="s">
        <v>104</v>
      </c>
      <c r="E933" s="13" t="s">
        <v>71</v>
      </c>
      <c r="F933" s="13" t="s">
        <v>214</v>
      </c>
      <c r="G933" s="13" t="s">
        <v>92</v>
      </c>
      <c r="H933">
        <v>105000</v>
      </c>
      <c r="I933" s="13" t="s">
        <v>105</v>
      </c>
      <c r="J933" s="13" t="s">
        <v>106</v>
      </c>
      <c r="K933" s="13" t="s">
        <v>107</v>
      </c>
      <c r="L933" s="13" t="s">
        <v>88</v>
      </c>
      <c r="M933">
        <v>60</v>
      </c>
      <c r="N933">
        <v>0</v>
      </c>
      <c r="O933" s="14">
        <v>45982</v>
      </c>
      <c r="P933" s="14">
        <v>46042</v>
      </c>
      <c r="Q933">
        <v>1680.37</v>
      </c>
      <c r="R933">
        <v>0</v>
      </c>
      <c r="S933">
        <v>0</v>
      </c>
      <c r="T933">
        <v>0</v>
      </c>
      <c r="U933">
        <v>0</v>
      </c>
      <c r="V933">
        <v>1680.37</v>
      </c>
      <c r="W933">
        <v>0</v>
      </c>
      <c r="X933">
        <v>1</v>
      </c>
      <c r="Y933">
        <v>0</v>
      </c>
      <c r="Z933">
        <v>-20</v>
      </c>
      <c r="AA933">
        <v>1</v>
      </c>
      <c r="AB933" s="13" t="s">
        <v>581</v>
      </c>
      <c r="AC933">
        <v>0</v>
      </c>
      <c r="AD933">
        <v>0</v>
      </c>
      <c r="AE933" s="13" t="s">
        <v>61</v>
      </c>
    </row>
    <row r="934" spans="1:31" x14ac:dyDescent="0.35">
      <c r="A934" s="13" t="s">
        <v>1566</v>
      </c>
      <c r="B934" s="13" t="s">
        <v>521</v>
      </c>
      <c r="C934" s="13" t="s">
        <v>522</v>
      </c>
      <c r="D934" s="13" t="s">
        <v>126</v>
      </c>
      <c r="E934" s="13" t="s">
        <v>77</v>
      </c>
      <c r="F934" s="13" t="s">
        <v>78</v>
      </c>
      <c r="G934" s="13" t="s">
        <v>67</v>
      </c>
      <c r="H934">
        <v>155000</v>
      </c>
      <c r="I934" s="13" t="s">
        <v>86</v>
      </c>
      <c r="J934" s="13" t="s">
        <v>87</v>
      </c>
      <c r="K934" s="13" t="s">
        <v>58</v>
      </c>
      <c r="L934" s="13" t="s">
        <v>368</v>
      </c>
      <c r="M934">
        <v>90</v>
      </c>
      <c r="N934">
        <v>0</v>
      </c>
      <c r="O934" s="14">
        <v>45982</v>
      </c>
      <c r="P934" s="14">
        <v>46072</v>
      </c>
      <c r="Q934">
        <v>2550.9</v>
      </c>
      <c r="R934">
        <v>0</v>
      </c>
      <c r="S934">
        <v>0</v>
      </c>
      <c r="T934">
        <v>0</v>
      </c>
      <c r="U934">
        <v>0</v>
      </c>
      <c r="V934">
        <v>2550.9</v>
      </c>
      <c r="W934">
        <v>0</v>
      </c>
      <c r="X934">
        <v>1</v>
      </c>
      <c r="Y934">
        <v>0</v>
      </c>
      <c r="Z934">
        <v>-50</v>
      </c>
      <c r="AA934">
        <v>1</v>
      </c>
      <c r="AB934" s="13" t="s">
        <v>581</v>
      </c>
      <c r="AC934">
        <v>0</v>
      </c>
      <c r="AD934">
        <v>0</v>
      </c>
      <c r="AE934" s="13" t="s">
        <v>61</v>
      </c>
    </row>
    <row r="935" spans="1:31" x14ac:dyDescent="0.35">
      <c r="A935" s="13" t="s">
        <v>1567</v>
      </c>
      <c r="B935" s="13" t="s">
        <v>225</v>
      </c>
      <c r="C935" s="13" t="s">
        <v>226</v>
      </c>
      <c r="D935" s="13" t="s">
        <v>52</v>
      </c>
      <c r="E935" s="13" t="s">
        <v>77</v>
      </c>
      <c r="F935" s="13" t="s">
        <v>174</v>
      </c>
      <c r="G935" s="13" t="s">
        <v>55</v>
      </c>
      <c r="H935">
        <v>570000</v>
      </c>
      <c r="I935" s="13" t="s">
        <v>56</v>
      </c>
      <c r="J935" s="13" t="s">
        <v>57</v>
      </c>
      <c r="K935" s="13" t="s">
        <v>58</v>
      </c>
      <c r="L935" s="13" t="s">
        <v>59</v>
      </c>
      <c r="M935">
        <v>45</v>
      </c>
      <c r="N935">
        <v>0</v>
      </c>
      <c r="O935" s="14">
        <v>45982</v>
      </c>
      <c r="P935" s="14">
        <v>46027</v>
      </c>
      <c r="Q935">
        <v>10158.33</v>
      </c>
      <c r="R935">
        <v>0</v>
      </c>
      <c r="S935">
        <v>0</v>
      </c>
      <c r="T935">
        <v>0</v>
      </c>
      <c r="U935">
        <v>0</v>
      </c>
      <c r="V935">
        <v>10158.33</v>
      </c>
      <c r="W935">
        <v>0</v>
      </c>
      <c r="X935">
        <v>1</v>
      </c>
      <c r="Y935">
        <v>0</v>
      </c>
      <c r="Z935">
        <v>-5</v>
      </c>
      <c r="AA935">
        <v>1</v>
      </c>
      <c r="AB935" s="13" t="s">
        <v>581</v>
      </c>
      <c r="AC935">
        <v>0</v>
      </c>
      <c r="AD935">
        <v>0</v>
      </c>
      <c r="AE935" s="13" t="s">
        <v>61</v>
      </c>
    </row>
    <row r="936" spans="1:31" x14ac:dyDescent="0.35">
      <c r="A936" s="13" t="s">
        <v>1568</v>
      </c>
      <c r="B936" s="13" t="s">
        <v>1038</v>
      </c>
      <c r="C936" s="13" t="s">
        <v>1039</v>
      </c>
      <c r="D936" s="13" t="s">
        <v>52</v>
      </c>
      <c r="E936" s="13" t="s">
        <v>77</v>
      </c>
      <c r="F936" s="13" t="s">
        <v>78</v>
      </c>
      <c r="G936" s="13" t="s">
        <v>67</v>
      </c>
      <c r="H936">
        <v>425000</v>
      </c>
      <c r="I936" s="13" t="s">
        <v>56</v>
      </c>
      <c r="J936" s="13" t="s">
        <v>57</v>
      </c>
      <c r="K936" s="13" t="s">
        <v>58</v>
      </c>
      <c r="L936" s="13" t="s">
        <v>59</v>
      </c>
      <c r="M936">
        <v>45</v>
      </c>
      <c r="N936">
        <v>0</v>
      </c>
      <c r="O936" s="14">
        <v>45982</v>
      </c>
      <c r="P936" s="14">
        <v>46027</v>
      </c>
      <c r="Q936">
        <v>12045.03</v>
      </c>
      <c r="R936">
        <v>0</v>
      </c>
      <c r="S936">
        <v>0</v>
      </c>
      <c r="T936">
        <v>0</v>
      </c>
      <c r="U936">
        <v>0</v>
      </c>
      <c r="V936">
        <v>12045.03</v>
      </c>
      <c r="W936">
        <v>0</v>
      </c>
      <c r="X936">
        <v>1</v>
      </c>
      <c r="Y936">
        <v>0</v>
      </c>
      <c r="Z936">
        <v>-5</v>
      </c>
      <c r="AA936">
        <v>1</v>
      </c>
      <c r="AB936" s="13" t="s">
        <v>581</v>
      </c>
      <c r="AC936">
        <v>0</v>
      </c>
      <c r="AD936">
        <v>0</v>
      </c>
      <c r="AE936" s="13" t="s">
        <v>61</v>
      </c>
    </row>
    <row r="937" spans="1:31" x14ac:dyDescent="0.35">
      <c r="A937" s="13" t="s">
        <v>1569</v>
      </c>
      <c r="B937" s="13" t="s">
        <v>920</v>
      </c>
      <c r="C937" s="13" t="s">
        <v>921</v>
      </c>
      <c r="D937" s="13" t="s">
        <v>104</v>
      </c>
      <c r="E937" s="13" t="s">
        <v>99</v>
      </c>
      <c r="F937" s="13" t="s">
        <v>100</v>
      </c>
      <c r="G937" s="13" t="s">
        <v>92</v>
      </c>
      <c r="H937">
        <v>100000</v>
      </c>
      <c r="I937" s="13" t="s">
        <v>121</v>
      </c>
      <c r="J937" s="13" t="s">
        <v>122</v>
      </c>
      <c r="K937" s="13" t="s">
        <v>107</v>
      </c>
      <c r="L937" s="13" t="s">
        <v>95</v>
      </c>
      <c r="M937">
        <v>30</v>
      </c>
      <c r="N937">
        <v>0</v>
      </c>
      <c r="O937" s="14">
        <v>45982</v>
      </c>
      <c r="P937" s="14">
        <v>46012</v>
      </c>
      <c r="Q937">
        <v>1048.1300000000001</v>
      </c>
      <c r="R937">
        <v>0</v>
      </c>
      <c r="S937">
        <v>0</v>
      </c>
      <c r="T937">
        <v>0</v>
      </c>
      <c r="U937">
        <v>0</v>
      </c>
      <c r="V937">
        <v>1048.1300000000001</v>
      </c>
      <c r="W937">
        <v>0</v>
      </c>
      <c r="X937">
        <v>1</v>
      </c>
      <c r="Y937">
        <v>1</v>
      </c>
      <c r="Z937">
        <v>10</v>
      </c>
      <c r="AA937">
        <v>2</v>
      </c>
      <c r="AB937" s="13" t="s">
        <v>405</v>
      </c>
      <c r="AC937">
        <v>0.25</v>
      </c>
      <c r="AD937">
        <v>0</v>
      </c>
      <c r="AE937" s="13" t="s">
        <v>61</v>
      </c>
    </row>
    <row r="938" spans="1:31" x14ac:dyDescent="0.35">
      <c r="A938" s="13" t="s">
        <v>1570</v>
      </c>
      <c r="B938" s="13" t="s">
        <v>1004</v>
      </c>
      <c r="C938" s="13" t="s">
        <v>1005</v>
      </c>
      <c r="D938" s="13" t="s">
        <v>104</v>
      </c>
      <c r="E938" s="13" t="s">
        <v>53</v>
      </c>
      <c r="F938" s="13" t="s">
        <v>135</v>
      </c>
      <c r="G938" s="13" t="s">
        <v>55</v>
      </c>
      <c r="H938">
        <v>55000</v>
      </c>
      <c r="I938" s="13" t="s">
        <v>121</v>
      </c>
      <c r="J938" s="13" t="s">
        <v>122</v>
      </c>
      <c r="K938" s="13" t="s">
        <v>107</v>
      </c>
      <c r="L938" s="13" t="s">
        <v>88</v>
      </c>
      <c r="M938">
        <v>60</v>
      </c>
      <c r="N938">
        <v>0</v>
      </c>
      <c r="O938" s="14">
        <v>45982</v>
      </c>
      <c r="P938" s="14">
        <v>46042</v>
      </c>
      <c r="Q938">
        <v>5701.5</v>
      </c>
      <c r="R938">
        <v>0</v>
      </c>
      <c r="S938">
        <v>0</v>
      </c>
      <c r="T938">
        <v>0</v>
      </c>
      <c r="U938">
        <v>0</v>
      </c>
      <c r="V938">
        <v>5701.5</v>
      </c>
      <c r="W938">
        <v>0</v>
      </c>
      <c r="X938">
        <v>1</v>
      </c>
      <c r="Y938">
        <v>0</v>
      </c>
      <c r="Z938">
        <v>-20</v>
      </c>
      <c r="AA938">
        <v>1</v>
      </c>
      <c r="AB938" s="13" t="s">
        <v>581</v>
      </c>
      <c r="AC938">
        <v>0</v>
      </c>
      <c r="AD938">
        <v>0</v>
      </c>
      <c r="AE938" s="13" t="s">
        <v>61</v>
      </c>
    </row>
    <row r="939" spans="1:31" x14ac:dyDescent="0.35">
      <c r="A939" s="13" t="s">
        <v>1571</v>
      </c>
      <c r="B939" s="13" t="s">
        <v>719</v>
      </c>
      <c r="C939" s="13" t="s">
        <v>720</v>
      </c>
      <c r="D939" s="13" t="s">
        <v>126</v>
      </c>
      <c r="E939" s="13" t="s">
        <v>99</v>
      </c>
      <c r="F939" s="13" t="s">
        <v>127</v>
      </c>
      <c r="G939" s="13" t="s">
        <v>67</v>
      </c>
      <c r="H939">
        <v>150000</v>
      </c>
      <c r="I939" s="13" t="s">
        <v>86</v>
      </c>
      <c r="J939" s="13" t="s">
        <v>87</v>
      </c>
      <c r="K939" s="13" t="s">
        <v>58</v>
      </c>
      <c r="L939" s="13" t="s">
        <v>88</v>
      </c>
      <c r="M939">
        <v>60</v>
      </c>
      <c r="N939">
        <v>0</v>
      </c>
      <c r="O939" s="14">
        <v>45982</v>
      </c>
      <c r="P939" s="14">
        <v>46042</v>
      </c>
      <c r="Q939">
        <v>2828.82</v>
      </c>
      <c r="R939">
        <v>0</v>
      </c>
      <c r="S939">
        <v>0</v>
      </c>
      <c r="T939">
        <v>0</v>
      </c>
      <c r="U939">
        <v>0</v>
      </c>
      <c r="V939">
        <v>2828.82</v>
      </c>
      <c r="W939">
        <v>0</v>
      </c>
      <c r="X939">
        <v>1</v>
      </c>
      <c r="Y939">
        <v>0</v>
      </c>
      <c r="Z939">
        <v>-20</v>
      </c>
      <c r="AA939">
        <v>1</v>
      </c>
      <c r="AB939" s="13" t="s">
        <v>581</v>
      </c>
      <c r="AC939">
        <v>0</v>
      </c>
      <c r="AD939">
        <v>0</v>
      </c>
      <c r="AE939" s="13" t="s">
        <v>61</v>
      </c>
    </row>
    <row r="940" spans="1:31" x14ac:dyDescent="0.35">
      <c r="A940" s="13" t="s">
        <v>1572</v>
      </c>
      <c r="B940" s="13" t="s">
        <v>1042</v>
      </c>
      <c r="C940" s="13" t="s">
        <v>1043</v>
      </c>
      <c r="D940" s="13" t="s">
        <v>104</v>
      </c>
      <c r="E940" s="13" t="s">
        <v>53</v>
      </c>
      <c r="F940" s="13" t="s">
        <v>135</v>
      </c>
      <c r="G940" s="13" t="s">
        <v>67</v>
      </c>
      <c r="H940">
        <v>85000</v>
      </c>
      <c r="I940" s="13" t="s">
        <v>121</v>
      </c>
      <c r="J940" s="13" t="s">
        <v>122</v>
      </c>
      <c r="K940" s="13" t="s">
        <v>107</v>
      </c>
      <c r="L940" s="13" t="s">
        <v>88</v>
      </c>
      <c r="M940">
        <v>60</v>
      </c>
      <c r="N940">
        <v>0</v>
      </c>
      <c r="O940" s="14">
        <v>45982</v>
      </c>
      <c r="P940" s="14">
        <v>46042</v>
      </c>
      <c r="Q940">
        <v>4211.74</v>
      </c>
      <c r="R940">
        <v>0</v>
      </c>
      <c r="S940">
        <v>0</v>
      </c>
      <c r="T940">
        <v>0</v>
      </c>
      <c r="U940">
        <v>0</v>
      </c>
      <c r="V940">
        <v>4211.74</v>
      </c>
      <c r="W940">
        <v>0</v>
      </c>
      <c r="X940">
        <v>1</v>
      </c>
      <c r="Y940">
        <v>0</v>
      </c>
      <c r="Z940">
        <v>-20</v>
      </c>
      <c r="AA940">
        <v>1</v>
      </c>
      <c r="AB940" s="13" t="s">
        <v>581</v>
      </c>
      <c r="AC940">
        <v>0</v>
      </c>
      <c r="AD940">
        <v>0</v>
      </c>
      <c r="AE940" s="13" t="s">
        <v>61</v>
      </c>
    </row>
    <row r="941" spans="1:31" x14ac:dyDescent="0.35">
      <c r="A941" s="13" t="s">
        <v>1573</v>
      </c>
      <c r="B941" s="13" t="s">
        <v>1179</v>
      </c>
      <c r="C941" s="13" t="s">
        <v>1180</v>
      </c>
      <c r="D941" s="13" t="s">
        <v>104</v>
      </c>
      <c r="E941" s="13" t="s">
        <v>71</v>
      </c>
      <c r="F941" s="13" t="s">
        <v>72</v>
      </c>
      <c r="G941" s="13" t="s">
        <v>67</v>
      </c>
      <c r="H941">
        <v>50000</v>
      </c>
      <c r="I941" s="13" t="s">
        <v>105</v>
      </c>
      <c r="J941" s="13" t="s">
        <v>106</v>
      </c>
      <c r="K941" s="13" t="s">
        <v>107</v>
      </c>
      <c r="L941" s="13" t="s">
        <v>88</v>
      </c>
      <c r="M941">
        <v>60</v>
      </c>
      <c r="N941">
        <v>0</v>
      </c>
      <c r="O941" s="14">
        <v>45982</v>
      </c>
      <c r="P941" s="14">
        <v>46042</v>
      </c>
      <c r="Q941">
        <v>854.67</v>
      </c>
      <c r="R941">
        <v>0</v>
      </c>
      <c r="S941">
        <v>0</v>
      </c>
      <c r="T941">
        <v>0</v>
      </c>
      <c r="U941">
        <v>0</v>
      </c>
      <c r="V941">
        <v>854.67</v>
      </c>
      <c r="W941">
        <v>0</v>
      </c>
      <c r="X941">
        <v>1</v>
      </c>
      <c r="Y941">
        <v>0</v>
      </c>
      <c r="Z941">
        <v>-20</v>
      </c>
      <c r="AA941">
        <v>1</v>
      </c>
      <c r="AB941" s="13" t="s">
        <v>581</v>
      </c>
      <c r="AC941">
        <v>0</v>
      </c>
      <c r="AD941">
        <v>0</v>
      </c>
      <c r="AE941" s="13" t="s">
        <v>61</v>
      </c>
    </row>
    <row r="942" spans="1:31" x14ac:dyDescent="0.35">
      <c r="A942" s="13" t="s">
        <v>1574</v>
      </c>
      <c r="B942" s="13" t="s">
        <v>250</v>
      </c>
      <c r="C942" s="13" t="s">
        <v>251</v>
      </c>
      <c r="D942" s="13" t="s">
        <v>104</v>
      </c>
      <c r="E942" s="13" t="s">
        <v>53</v>
      </c>
      <c r="F942" s="13" t="s">
        <v>135</v>
      </c>
      <c r="G942" s="13" t="s">
        <v>55</v>
      </c>
      <c r="H942">
        <v>85000</v>
      </c>
      <c r="I942" s="13" t="s">
        <v>105</v>
      </c>
      <c r="J942" s="13" t="s">
        <v>106</v>
      </c>
      <c r="K942" s="13" t="s">
        <v>107</v>
      </c>
      <c r="L942" s="13" t="s">
        <v>88</v>
      </c>
      <c r="M942">
        <v>60</v>
      </c>
      <c r="N942">
        <v>0</v>
      </c>
      <c r="O942" s="14">
        <v>45982</v>
      </c>
      <c r="P942" s="14">
        <v>46042</v>
      </c>
      <c r="Q942">
        <v>4983.13</v>
      </c>
      <c r="R942">
        <v>0</v>
      </c>
      <c r="S942">
        <v>0</v>
      </c>
      <c r="T942">
        <v>0</v>
      </c>
      <c r="U942">
        <v>0</v>
      </c>
      <c r="V942">
        <v>4983.13</v>
      </c>
      <c r="W942">
        <v>0</v>
      </c>
      <c r="X942">
        <v>1</v>
      </c>
      <c r="Y942">
        <v>0</v>
      </c>
      <c r="Z942">
        <v>-20</v>
      </c>
      <c r="AA942">
        <v>1</v>
      </c>
      <c r="AB942" s="13" t="s">
        <v>581</v>
      </c>
      <c r="AC942">
        <v>0</v>
      </c>
      <c r="AD942">
        <v>0</v>
      </c>
      <c r="AE942" s="13" t="s">
        <v>61</v>
      </c>
    </row>
    <row r="943" spans="1:31" x14ac:dyDescent="0.35">
      <c r="A943" s="13" t="s">
        <v>1575</v>
      </c>
      <c r="B943" s="13" t="s">
        <v>1220</v>
      </c>
      <c r="C943" s="13" t="s">
        <v>1221</v>
      </c>
      <c r="D943" s="13" t="s">
        <v>52</v>
      </c>
      <c r="E943" s="13" t="s">
        <v>65</v>
      </c>
      <c r="F943" s="13" t="s">
        <v>111</v>
      </c>
      <c r="G943" s="13" t="s">
        <v>67</v>
      </c>
      <c r="H943">
        <v>340000</v>
      </c>
      <c r="I943" s="13" t="s">
        <v>86</v>
      </c>
      <c r="J943" s="13" t="s">
        <v>87</v>
      </c>
      <c r="K943" s="13" t="s">
        <v>58</v>
      </c>
      <c r="L943" s="13" t="s">
        <v>59</v>
      </c>
      <c r="M943">
        <v>45</v>
      </c>
      <c r="N943">
        <v>0</v>
      </c>
      <c r="O943" s="14">
        <v>45982</v>
      </c>
      <c r="P943" s="14">
        <v>46027</v>
      </c>
      <c r="Q943">
        <v>6606.38</v>
      </c>
      <c r="R943">
        <v>0</v>
      </c>
      <c r="S943">
        <v>0</v>
      </c>
      <c r="T943">
        <v>0</v>
      </c>
      <c r="U943">
        <v>0</v>
      </c>
      <c r="V943">
        <v>6606.38</v>
      </c>
      <c r="W943">
        <v>0</v>
      </c>
      <c r="X943">
        <v>1</v>
      </c>
      <c r="Y943">
        <v>0</v>
      </c>
      <c r="Z943">
        <v>-5</v>
      </c>
      <c r="AA943">
        <v>1</v>
      </c>
      <c r="AB943" s="13" t="s">
        <v>581</v>
      </c>
      <c r="AC943">
        <v>0</v>
      </c>
      <c r="AD943">
        <v>0</v>
      </c>
      <c r="AE943" s="13" t="s">
        <v>61</v>
      </c>
    </row>
    <row r="944" spans="1:31" x14ac:dyDescent="0.35">
      <c r="A944" s="13" t="s">
        <v>1576</v>
      </c>
      <c r="B944" s="13" t="s">
        <v>1577</v>
      </c>
      <c r="C944" s="13" t="s">
        <v>1578</v>
      </c>
      <c r="D944" s="13" t="s">
        <v>76</v>
      </c>
      <c r="E944" s="13" t="s">
        <v>71</v>
      </c>
      <c r="F944" s="13" t="s">
        <v>72</v>
      </c>
      <c r="G944" s="13" t="s">
        <v>67</v>
      </c>
      <c r="H944">
        <v>100000</v>
      </c>
      <c r="I944" s="13" t="s">
        <v>79</v>
      </c>
      <c r="J944" s="13" t="s">
        <v>80</v>
      </c>
      <c r="K944" s="13" t="s">
        <v>81</v>
      </c>
      <c r="L944" s="13" t="s">
        <v>95</v>
      </c>
      <c r="M944">
        <v>30</v>
      </c>
      <c r="N944">
        <v>0</v>
      </c>
      <c r="O944" s="14">
        <v>45982</v>
      </c>
      <c r="P944" s="14">
        <v>46012</v>
      </c>
      <c r="Q944">
        <v>4424.97</v>
      </c>
      <c r="R944">
        <v>0</v>
      </c>
      <c r="S944">
        <v>0</v>
      </c>
      <c r="T944">
        <v>0</v>
      </c>
      <c r="U944">
        <v>0</v>
      </c>
      <c r="V944">
        <v>4424.97</v>
      </c>
      <c r="W944">
        <v>0</v>
      </c>
      <c r="X944">
        <v>1</v>
      </c>
      <c r="Y944">
        <v>1</v>
      </c>
      <c r="Z944">
        <v>10</v>
      </c>
      <c r="AA944">
        <v>2</v>
      </c>
      <c r="AB944" s="13" t="s">
        <v>405</v>
      </c>
      <c r="AC944">
        <v>0.25</v>
      </c>
      <c r="AD944">
        <v>0</v>
      </c>
      <c r="AE944" s="13" t="s">
        <v>61</v>
      </c>
    </row>
    <row r="945" spans="1:31" x14ac:dyDescent="0.35">
      <c r="A945" s="13" t="s">
        <v>1579</v>
      </c>
      <c r="B945" s="13" t="s">
        <v>172</v>
      </c>
      <c r="C945" s="13" t="s">
        <v>173</v>
      </c>
      <c r="D945" s="13" t="s">
        <v>52</v>
      </c>
      <c r="E945" s="13" t="s">
        <v>77</v>
      </c>
      <c r="F945" s="13" t="s">
        <v>174</v>
      </c>
      <c r="G945" s="13" t="s">
        <v>67</v>
      </c>
      <c r="H945">
        <v>590000</v>
      </c>
      <c r="I945" s="13" t="s">
        <v>56</v>
      </c>
      <c r="J945" s="13" t="s">
        <v>57</v>
      </c>
      <c r="K945" s="13" t="s">
        <v>58</v>
      </c>
      <c r="L945" s="13" t="s">
        <v>59</v>
      </c>
      <c r="M945">
        <v>45</v>
      </c>
      <c r="N945">
        <v>0</v>
      </c>
      <c r="O945" s="14">
        <v>45982</v>
      </c>
      <c r="P945" s="14">
        <v>46027</v>
      </c>
      <c r="Q945">
        <v>5493.23</v>
      </c>
      <c r="R945">
        <v>0</v>
      </c>
      <c r="S945">
        <v>0</v>
      </c>
      <c r="T945">
        <v>0</v>
      </c>
      <c r="U945">
        <v>0</v>
      </c>
      <c r="V945">
        <v>5493.23</v>
      </c>
      <c r="W945">
        <v>0</v>
      </c>
      <c r="X945">
        <v>1</v>
      </c>
      <c r="Y945">
        <v>0</v>
      </c>
      <c r="Z945">
        <v>-5</v>
      </c>
      <c r="AA945">
        <v>1</v>
      </c>
      <c r="AB945" s="13" t="s">
        <v>581</v>
      </c>
      <c r="AC945">
        <v>0</v>
      </c>
      <c r="AD945">
        <v>0</v>
      </c>
      <c r="AE945" s="13" t="s">
        <v>61</v>
      </c>
    </row>
    <row r="946" spans="1:31" x14ac:dyDescent="0.35">
      <c r="A946" s="13" t="s">
        <v>1580</v>
      </c>
      <c r="B946" s="13" t="s">
        <v>1581</v>
      </c>
      <c r="C946" s="13" t="s">
        <v>1582</v>
      </c>
      <c r="D946" s="13" t="s">
        <v>76</v>
      </c>
      <c r="E946" s="13" t="s">
        <v>53</v>
      </c>
      <c r="F946" s="13" t="s">
        <v>54</v>
      </c>
      <c r="G946" s="13" t="s">
        <v>55</v>
      </c>
      <c r="H946">
        <v>65000</v>
      </c>
      <c r="I946" s="13" t="s">
        <v>79</v>
      </c>
      <c r="J946" s="13" t="s">
        <v>80</v>
      </c>
      <c r="K946" s="13" t="s">
        <v>81</v>
      </c>
      <c r="L946" s="13" t="s">
        <v>95</v>
      </c>
      <c r="M946">
        <v>30</v>
      </c>
      <c r="N946">
        <v>0</v>
      </c>
      <c r="O946" s="14">
        <v>45982</v>
      </c>
      <c r="P946" s="14">
        <v>46012</v>
      </c>
      <c r="Q946">
        <v>880.52</v>
      </c>
      <c r="R946">
        <v>528.30999999999995</v>
      </c>
      <c r="S946">
        <v>0</v>
      </c>
      <c r="T946">
        <v>0</v>
      </c>
      <c r="U946">
        <v>0</v>
      </c>
      <c r="V946">
        <v>352.21</v>
      </c>
      <c r="W946">
        <v>0</v>
      </c>
      <c r="X946">
        <v>1</v>
      </c>
      <c r="Y946">
        <v>1</v>
      </c>
      <c r="Z946">
        <v>10</v>
      </c>
      <c r="AA946">
        <v>2</v>
      </c>
      <c r="AB946" s="13" t="s">
        <v>405</v>
      </c>
      <c r="AC946">
        <v>0.25</v>
      </c>
      <c r="AD946">
        <v>0</v>
      </c>
      <c r="AE946" s="13" t="s">
        <v>61</v>
      </c>
    </row>
    <row r="947" spans="1:31" x14ac:dyDescent="0.35">
      <c r="A947" s="13" t="s">
        <v>1583</v>
      </c>
      <c r="B947" s="13" t="s">
        <v>902</v>
      </c>
      <c r="C947" s="13" t="s">
        <v>903</v>
      </c>
      <c r="D947" s="13" t="s">
        <v>52</v>
      </c>
      <c r="E947" s="13" t="s">
        <v>65</v>
      </c>
      <c r="F947" s="13" t="s">
        <v>111</v>
      </c>
      <c r="G947" s="13" t="s">
        <v>67</v>
      </c>
      <c r="H947">
        <v>540000</v>
      </c>
      <c r="I947" s="13" t="s">
        <v>56</v>
      </c>
      <c r="J947" s="13" t="s">
        <v>57</v>
      </c>
      <c r="K947" s="13" t="s">
        <v>58</v>
      </c>
      <c r="L947" s="13" t="s">
        <v>59</v>
      </c>
      <c r="M947">
        <v>45</v>
      </c>
      <c r="N947">
        <v>0</v>
      </c>
      <c r="O947" s="14">
        <v>45982</v>
      </c>
      <c r="P947" s="14">
        <v>46027</v>
      </c>
      <c r="Q947">
        <v>4031.37</v>
      </c>
      <c r="R947">
        <v>0</v>
      </c>
      <c r="S947">
        <v>0</v>
      </c>
      <c r="T947">
        <v>0</v>
      </c>
      <c r="U947">
        <v>0</v>
      </c>
      <c r="V947">
        <v>4031.37</v>
      </c>
      <c r="W947">
        <v>0</v>
      </c>
      <c r="X947">
        <v>1</v>
      </c>
      <c r="Y947">
        <v>0</v>
      </c>
      <c r="Z947">
        <v>-5</v>
      </c>
      <c r="AA947">
        <v>1</v>
      </c>
      <c r="AB947" s="13" t="s">
        <v>581</v>
      </c>
      <c r="AC947">
        <v>0</v>
      </c>
      <c r="AD947">
        <v>0</v>
      </c>
      <c r="AE947" s="13" t="s">
        <v>61</v>
      </c>
    </row>
    <row r="948" spans="1:31" x14ac:dyDescent="0.35">
      <c r="A948" s="13" t="s">
        <v>1584</v>
      </c>
      <c r="B948" s="13" t="s">
        <v>206</v>
      </c>
      <c r="C948" s="13" t="s">
        <v>207</v>
      </c>
      <c r="D948" s="13" t="s">
        <v>52</v>
      </c>
      <c r="E948" s="13" t="s">
        <v>65</v>
      </c>
      <c r="F948" s="13" t="s">
        <v>111</v>
      </c>
      <c r="G948" s="13" t="s">
        <v>92</v>
      </c>
      <c r="H948">
        <v>490000</v>
      </c>
      <c r="I948" s="13" t="s">
        <v>86</v>
      </c>
      <c r="J948" s="13" t="s">
        <v>87</v>
      </c>
      <c r="K948" s="13" t="s">
        <v>58</v>
      </c>
      <c r="L948" s="13" t="s">
        <v>88</v>
      </c>
      <c r="M948">
        <v>60</v>
      </c>
      <c r="N948">
        <v>0</v>
      </c>
      <c r="O948" s="14">
        <v>45982</v>
      </c>
      <c r="P948" s="14">
        <v>46042</v>
      </c>
      <c r="Q948">
        <v>2199.84</v>
      </c>
      <c r="R948">
        <v>0</v>
      </c>
      <c r="S948">
        <v>0</v>
      </c>
      <c r="T948">
        <v>0</v>
      </c>
      <c r="U948">
        <v>0</v>
      </c>
      <c r="V948">
        <v>2199.84</v>
      </c>
      <c r="W948">
        <v>0</v>
      </c>
      <c r="X948">
        <v>1</v>
      </c>
      <c r="Y948">
        <v>0</v>
      </c>
      <c r="Z948">
        <v>-20</v>
      </c>
      <c r="AA948">
        <v>1</v>
      </c>
      <c r="AB948" s="13" t="s">
        <v>581</v>
      </c>
      <c r="AC948">
        <v>0</v>
      </c>
      <c r="AD948">
        <v>0</v>
      </c>
      <c r="AE948" s="13" t="s">
        <v>61</v>
      </c>
    </row>
    <row r="949" spans="1:31" x14ac:dyDescent="0.35">
      <c r="A949" s="13" t="s">
        <v>1585</v>
      </c>
      <c r="B949" s="13" t="s">
        <v>340</v>
      </c>
      <c r="C949" s="13" t="s">
        <v>341</v>
      </c>
      <c r="D949" s="13" t="s">
        <v>52</v>
      </c>
      <c r="E949" s="13" t="s">
        <v>77</v>
      </c>
      <c r="F949" s="13" t="s">
        <v>78</v>
      </c>
      <c r="G949" s="13" t="s">
        <v>92</v>
      </c>
      <c r="H949">
        <v>565000</v>
      </c>
      <c r="I949" s="13" t="s">
        <v>56</v>
      </c>
      <c r="J949" s="13" t="s">
        <v>57</v>
      </c>
      <c r="K949" s="13" t="s">
        <v>58</v>
      </c>
      <c r="L949" s="13" t="s">
        <v>59</v>
      </c>
      <c r="M949">
        <v>45</v>
      </c>
      <c r="N949">
        <v>0</v>
      </c>
      <c r="O949" s="14">
        <v>45982</v>
      </c>
      <c r="P949" s="14">
        <v>46027</v>
      </c>
      <c r="Q949">
        <v>2078.16</v>
      </c>
      <c r="R949">
        <v>0</v>
      </c>
      <c r="S949">
        <v>0</v>
      </c>
      <c r="T949">
        <v>0</v>
      </c>
      <c r="U949">
        <v>0</v>
      </c>
      <c r="V949">
        <v>2078.16</v>
      </c>
      <c r="W949">
        <v>0</v>
      </c>
      <c r="X949">
        <v>1</v>
      </c>
      <c r="Y949">
        <v>0</v>
      </c>
      <c r="Z949">
        <v>-5</v>
      </c>
      <c r="AA949">
        <v>1</v>
      </c>
      <c r="AB949" s="13" t="s">
        <v>581</v>
      </c>
      <c r="AC949">
        <v>0</v>
      </c>
      <c r="AD949">
        <v>0</v>
      </c>
      <c r="AE949" s="13" t="s">
        <v>61</v>
      </c>
    </row>
    <row r="950" spans="1:31" x14ac:dyDescent="0.35">
      <c r="A950" s="13" t="s">
        <v>1586</v>
      </c>
      <c r="B950" s="13" t="s">
        <v>590</v>
      </c>
      <c r="C950" s="13" t="s">
        <v>591</v>
      </c>
      <c r="D950" s="13" t="s">
        <v>52</v>
      </c>
      <c r="E950" s="13" t="s">
        <v>53</v>
      </c>
      <c r="F950" s="13" t="s">
        <v>135</v>
      </c>
      <c r="G950" s="13" t="s">
        <v>67</v>
      </c>
      <c r="H950">
        <v>240000</v>
      </c>
      <c r="I950" s="13" t="s">
        <v>86</v>
      </c>
      <c r="J950" s="13" t="s">
        <v>87</v>
      </c>
      <c r="K950" s="13" t="s">
        <v>58</v>
      </c>
      <c r="L950" s="13" t="s">
        <v>88</v>
      </c>
      <c r="M950">
        <v>60</v>
      </c>
      <c r="N950">
        <v>0</v>
      </c>
      <c r="O950" s="14">
        <v>45982</v>
      </c>
      <c r="P950" s="14">
        <v>46042</v>
      </c>
      <c r="Q950">
        <v>2638.71</v>
      </c>
      <c r="R950">
        <v>0</v>
      </c>
      <c r="S950">
        <v>0</v>
      </c>
      <c r="T950">
        <v>0</v>
      </c>
      <c r="U950">
        <v>0</v>
      </c>
      <c r="V950">
        <v>2638.71</v>
      </c>
      <c r="W950">
        <v>0</v>
      </c>
      <c r="X950">
        <v>1</v>
      </c>
      <c r="Y950">
        <v>0</v>
      </c>
      <c r="Z950">
        <v>-20</v>
      </c>
      <c r="AA950">
        <v>1</v>
      </c>
      <c r="AB950" s="13" t="s">
        <v>581</v>
      </c>
      <c r="AC950">
        <v>0</v>
      </c>
      <c r="AD950">
        <v>1</v>
      </c>
      <c r="AE950" s="13" t="s">
        <v>377</v>
      </c>
    </row>
    <row r="951" spans="1:31" x14ac:dyDescent="0.35">
      <c r="A951" s="13" t="s">
        <v>1587</v>
      </c>
      <c r="B951" s="13" t="s">
        <v>1165</v>
      </c>
      <c r="C951" s="13" t="s">
        <v>1166</v>
      </c>
      <c r="D951" s="13" t="s">
        <v>52</v>
      </c>
      <c r="E951" s="13" t="s">
        <v>99</v>
      </c>
      <c r="F951" s="13" t="s">
        <v>127</v>
      </c>
      <c r="G951" s="13" t="s">
        <v>67</v>
      </c>
      <c r="H951">
        <v>370000</v>
      </c>
      <c r="I951" s="13" t="s">
        <v>56</v>
      </c>
      <c r="J951" s="13" t="s">
        <v>57</v>
      </c>
      <c r="K951" s="13" t="s">
        <v>58</v>
      </c>
      <c r="L951" s="13" t="s">
        <v>88</v>
      </c>
      <c r="M951">
        <v>60</v>
      </c>
      <c r="N951">
        <v>0</v>
      </c>
      <c r="O951" s="14">
        <v>45982</v>
      </c>
      <c r="P951" s="14">
        <v>46042</v>
      </c>
      <c r="Q951">
        <v>2595.0500000000002</v>
      </c>
      <c r="R951">
        <v>0</v>
      </c>
      <c r="S951">
        <v>0</v>
      </c>
      <c r="T951">
        <v>0</v>
      </c>
      <c r="U951">
        <v>0</v>
      </c>
      <c r="V951">
        <v>2595.0500000000002</v>
      </c>
      <c r="W951">
        <v>0</v>
      </c>
      <c r="X951">
        <v>1</v>
      </c>
      <c r="Y951">
        <v>0</v>
      </c>
      <c r="Z951">
        <v>-20</v>
      </c>
      <c r="AA951">
        <v>1</v>
      </c>
      <c r="AB951" s="13" t="s">
        <v>581</v>
      </c>
      <c r="AC951">
        <v>0</v>
      </c>
      <c r="AD951">
        <v>0</v>
      </c>
      <c r="AE951" s="13" t="s">
        <v>61</v>
      </c>
    </row>
    <row r="952" spans="1:31" x14ac:dyDescent="0.35">
      <c r="A952" s="13" t="s">
        <v>1588</v>
      </c>
      <c r="B952" s="13" t="s">
        <v>1589</v>
      </c>
      <c r="C952" s="13" t="s">
        <v>1590</v>
      </c>
      <c r="D952" s="13" t="s">
        <v>76</v>
      </c>
      <c r="E952" s="13" t="s">
        <v>99</v>
      </c>
      <c r="F952" s="13" t="s">
        <v>100</v>
      </c>
      <c r="G952" s="13" t="s">
        <v>67</v>
      </c>
      <c r="H952">
        <v>40000</v>
      </c>
      <c r="I952" s="13" t="s">
        <v>79</v>
      </c>
      <c r="J952" s="13" t="s">
        <v>80</v>
      </c>
      <c r="K952" s="13" t="s">
        <v>81</v>
      </c>
      <c r="L952" s="13" t="s">
        <v>95</v>
      </c>
      <c r="M952">
        <v>30</v>
      </c>
      <c r="N952">
        <v>0</v>
      </c>
      <c r="O952" s="14">
        <v>45982</v>
      </c>
      <c r="P952" s="14">
        <v>46012</v>
      </c>
      <c r="Q952">
        <v>1354.03</v>
      </c>
      <c r="R952">
        <v>0</v>
      </c>
      <c r="S952">
        <v>0</v>
      </c>
      <c r="T952">
        <v>0</v>
      </c>
      <c r="U952">
        <v>0</v>
      </c>
      <c r="V952">
        <v>1354.03</v>
      </c>
      <c r="W952">
        <v>0</v>
      </c>
      <c r="X952">
        <v>1</v>
      </c>
      <c r="Y952">
        <v>1</v>
      </c>
      <c r="Z952">
        <v>10</v>
      </c>
      <c r="AA952">
        <v>2</v>
      </c>
      <c r="AB952" s="13" t="s">
        <v>405</v>
      </c>
      <c r="AC952">
        <v>0.25</v>
      </c>
      <c r="AD952">
        <v>1</v>
      </c>
      <c r="AE952" s="13" t="s">
        <v>377</v>
      </c>
    </row>
    <row r="953" spans="1:31" x14ac:dyDescent="0.35">
      <c r="A953" s="13" t="s">
        <v>1591</v>
      </c>
      <c r="B953" s="13" t="s">
        <v>186</v>
      </c>
      <c r="C953" s="13" t="s">
        <v>187</v>
      </c>
      <c r="D953" s="13" t="s">
        <v>76</v>
      </c>
      <c r="E953" s="13" t="s">
        <v>65</v>
      </c>
      <c r="F953" s="13" t="s">
        <v>66</v>
      </c>
      <c r="G953" s="13" t="s">
        <v>55</v>
      </c>
      <c r="H953">
        <v>120000</v>
      </c>
      <c r="I953" s="13" t="s">
        <v>93</v>
      </c>
      <c r="J953" s="13" t="s">
        <v>94</v>
      </c>
      <c r="K953" s="13" t="s">
        <v>81</v>
      </c>
      <c r="L953" s="13" t="s">
        <v>95</v>
      </c>
      <c r="M953">
        <v>30</v>
      </c>
      <c r="N953">
        <v>0</v>
      </c>
      <c r="O953" s="14">
        <v>45985</v>
      </c>
      <c r="P953" s="14">
        <v>46015</v>
      </c>
      <c r="Q953">
        <v>603.59</v>
      </c>
      <c r="R953">
        <v>0</v>
      </c>
      <c r="S953">
        <v>0</v>
      </c>
      <c r="T953">
        <v>0</v>
      </c>
      <c r="U953">
        <v>0</v>
      </c>
      <c r="V953">
        <v>603.59</v>
      </c>
      <c r="W953">
        <v>0</v>
      </c>
      <c r="X953">
        <v>1</v>
      </c>
      <c r="Y953">
        <v>1</v>
      </c>
      <c r="Z953">
        <v>7</v>
      </c>
      <c r="AA953">
        <v>2</v>
      </c>
      <c r="AB953" s="13" t="s">
        <v>405</v>
      </c>
      <c r="AC953">
        <v>0.25</v>
      </c>
      <c r="AD953">
        <v>1</v>
      </c>
      <c r="AE953" s="13" t="s">
        <v>348</v>
      </c>
    </row>
    <row r="954" spans="1:31" x14ac:dyDescent="0.35">
      <c r="A954" s="13" t="s">
        <v>1592</v>
      </c>
      <c r="B954" s="13" t="s">
        <v>244</v>
      </c>
      <c r="C954" s="13" t="s">
        <v>245</v>
      </c>
      <c r="D954" s="13" t="s">
        <v>52</v>
      </c>
      <c r="E954" s="13" t="s">
        <v>65</v>
      </c>
      <c r="F954" s="13" t="s">
        <v>111</v>
      </c>
      <c r="G954" s="13" t="s">
        <v>55</v>
      </c>
      <c r="H954">
        <v>590000</v>
      </c>
      <c r="I954" s="13" t="s">
        <v>86</v>
      </c>
      <c r="J954" s="13" t="s">
        <v>87</v>
      </c>
      <c r="K954" s="13" t="s">
        <v>58</v>
      </c>
      <c r="L954" s="13" t="s">
        <v>59</v>
      </c>
      <c r="M954">
        <v>45</v>
      </c>
      <c r="N954">
        <v>0</v>
      </c>
      <c r="O954" s="14">
        <v>45985</v>
      </c>
      <c r="P954" s="14">
        <v>46030</v>
      </c>
      <c r="Q954">
        <v>9551.2999999999993</v>
      </c>
      <c r="R954">
        <v>0</v>
      </c>
      <c r="S954">
        <v>0</v>
      </c>
      <c r="T954">
        <v>0</v>
      </c>
      <c r="U954">
        <v>0</v>
      </c>
      <c r="V954">
        <v>9551.2999999999993</v>
      </c>
      <c r="W954">
        <v>0</v>
      </c>
      <c r="X954">
        <v>1</v>
      </c>
      <c r="Y954">
        <v>0</v>
      </c>
      <c r="Z954">
        <v>-8</v>
      </c>
      <c r="AA954">
        <v>1</v>
      </c>
      <c r="AB954" s="13" t="s">
        <v>581</v>
      </c>
      <c r="AC954">
        <v>0</v>
      </c>
      <c r="AD954">
        <v>0</v>
      </c>
      <c r="AE954" s="13" t="s">
        <v>61</v>
      </c>
    </row>
    <row r="955" spans="1:31" x14ac:dyDescent="0.35">
      <c r="A955" s="13" t="s">
        <v>1593</v>
      </c>
      <c r="B955" s="13" t="s">
        <v>1285</v>
      </c>
      <c r="C955" s="13" t="s">
        <v>1286</v>
      </c>
      <c r="D955" s="13" t="s">
        <v>76</v>
      </c>
      <c r="E955" s="13" t="s">
        <v>53</v>
      </c>
      <c r="F955" s="13" t="s">
        <v>54</v>
      </c>
      <c r="G955" s="13" t="s">
        <v>55</v>
      </c>
      <c r="H955">
        <v>105000</v>
      </c>
      <c r="I955" s="13" t="s">
        <v>79</v>
      </c>
      <c r="J955" s="13" t="s">
        <v>80</v>
      </c>
      <c r="K955" s="13" t="s">
        <v>81</v>
      </c>
      <c r="L955" s="13" t="s">
        <v>95</v>
      </c>
      <c r="M955">
        <v>30</v>
      </c>
      <c r="N955">
        <v>0</v>
      </c>
      <c r="O955" s="14">
        <v>45985</v>
      </c>
      <c r="P955" s="14">
        <v>46015</v>
      </c>
      <c r="Q955">
        <v>1648.31</v>
      </c>
      <c r="R955">
        <v>0</v>
      </c>
      <c r="S955">
        <v>0</v>
      </c>
      <c r="T955">
        <v>0</v>
      </c>
      <c r="U955">
        <v>0</v>
      </c>
      <c r="V955">
        <v>1648.31</v>
      </c>
      <c r="W955">
        <v>0</v>
      </c>
      <c r="X955">
        <v>1</v>
      </c>
      <c r="Y955">
        <v>1</v>
      </c>
      <c r="Z955">
        <v>7</v>
      </c>
      <c r="AA955">
        <v>2</v>
      </c>
      <c r="AB955" s="13" t="s">
        <v>405</v>
      </c>
      <c r="AC955">
        <v>0.25</v>
      </c>
      <c r="AD955">
        <v>0</v>
      </c>
      <c r="AE955" s="13" t="s">
        <v>61</v>
      </c>
    </row>
    <row r="956" spans="1:31" x14ac:dyDescent="0.35">
      <c r="A956" s="13" t="s">
        <v>1594</v>
      </c>
      <c r="B956" s="13" t="s">
        <v>203</v>
      </c>
      <c r="C956" s="13" t="s">
        <v>204</v>
      </c>
      <c r="D956" s="13" t="s">
        <v>52</v>
      </c>
      <c r="E956" s="13" t="s">
        <v>53</v>
      </c>
      <c r="F956" s="13" t="s">
        <v>135</v>
      </c>
      <c r="G956" s="13" t="s">
        <v>67</v>
      </c>
      <c r="H956">
        <v>500000</v>
      </c>
      <c r="I956" s="13" t="s">
        <v>56</v>
      </c>
      <c r="J956" s="13" t="s">
        <v>57</v>
      </c>
      <c r="K956" s="13" t="s">
        <v>58</v>
      </c>
      <c r="L956" s="13" t="s">
        <v>59</v>
      </c>
      <c r="M956">
        <v>45</v>
      </c>
      <c r="N956">
        <v>0</v>
      </c>
      <c r="O956" s="14">
        <v>45985</v>
      </c>
      <c r="P956" s="14">
        <v>46030</v>
      </c>
      <c r="Q956">
        <v>9339.98</v>
      </c>
      <c r="R956">
        <v>0</v>
      </c>
      <c r="S956">
        <v>0</v>
      </c>
      <c r="T956">
        <v>0</v>
      </c>
      <c r="U956">
        <v>0</v>
      </c>
      <c r="V956">
        <v>9339.98</v>
      </c>
      <c r="W956">
        <v>0</v>
      </c>
      <c r="X956">
        <v>1</v>
      </c>
      <c r="Y956">
        <v>0</v>
      </c>
      <c r="Z956">
        <v>-8</v>
      </c>
      <c r="AA956">
        <v>1</v>
      </c>
      <c r="AB956" s="13" t="s">
        <v>581</v>
      </c>
      <c r="AC956">
        <v>0</v>
      </c>
      <c r="AD956">
        <v>0</v>
      </c>
      <c r="AE956" s="13" t="s">
        <v>61</v>
      </c>
    </row>
    <row r="957" spans="1:31" x14ac:dyDescent="0.35">
      <c r="A957" s="13" t="s">
        <v>1595</v>
      </c>
      <c r="B957" s="13" t="s">
        <v>702</v>
      </c>
      <c r="C957" s="13" t="s">
        <v>703</v>
      </c>
      <c r="D957" s="13" t="s">
        <v>52</v>
      </c>
      <c r="E957" s="13" t="s">
        <v>65</v>
      </c>
      <c r="F957" s="13" t="s">
        <v>111</v>
      </c>
      <c r="G957" s="13" t="s">
        <v>67</v>
      </c>
      <c r="H957">
        <v>435000</v>
      </c>
      <c r="I957" s="13" t="s">
        <v>86</v>
      </c>
      <c r="J957" s="13" t="s">
        <v>87</v>
      </c>
      <c r="K957" s="13" t="s">
        <v>58</v>
      </c>
      <c r="L957" s="13" t="s">
        <v>59</v>
      </c>
      <c r="M957">
        <v>45</v>
      </c>
      <c r="N957">
        <v>0</v>
      </c>
      <c r="O957" s="14">
        <v>45985</v>
      </c>
      <c r="P957" s="14">
        <v>46030</v>
      </c>
      <c r="Q957">
        <v>2099.1999999999998</v>
      </c>
      <c r="R957">
        <v>0</v>
      </c>
      <c r="S957">
        <v>0</v>
      </c>
      <c r="T957">
        <v>0</v>
      </c>
      <c r="U957">
        <v>0</v>
      </c>
      <c r="V957">
        <v>2099.1999999999998</v>
      </c>
      <c r="W957">
        <v>0</v>
      </c>
      <c r="X957">
        <v>1</v>
      </c>
      <c r="Y957">
        <v>0</v>
      </c>
      <c r="Z957">
        <v>-8</v>
      </c>
      <c r="AA957">
        <v>1</v>
      </c>
      <c r="AB957" s="13" t="s">
        <v>581</v>
      </c>
      <c r="AC957">
        <v>0</v>
      </c>
      <c r="AD957">
        <v>0</v>
      </c>
      <c r="AE957" s="13" t="s">
        <v>61</v>
      </c>
    </row>
    <row r="958" spans="1:31" x14ac:dyDescent="0.35">
      <c r="A958" s="13" t="s">
        <v>1596</v>
      </c>
      <c r="B958" s="13" t="s">
        <v>1288</v>
      </c>
      <c r="C958" s="13" t="s">
        <v>1289</v>
      </c>
      <c r="D958" s="13" t="s">
        <v>52</v>
      </c>
      <c r="E958" s="13" t="s">
        <v>65</v>
      </c>
      <c r="F958" s="13" t="s">
        <v>111</v>
      </c>
      <c r="G958" s="13" t="s">
        <v>67</v>
      </c>
      <c r="H958">
        <v>550000</v>
      </c>
      <c r="I958" s="13" t="s">
        <v>56</v>
      </c>
      <c r="J958" s="13" t="s">
        <v>57</v>
      </c>
      <c r="K958" s="13" t="s">
        <v>58</v>
      </c>
      <c r="L958" s="13" t="s">
        <v>59</v>
      </c>
      <c r="M958">
        <v>45</v>
      </c>
      <c r="N958">
        <v>0</v>
      </c>
      <c r="O958" s="14">
        <v>45985</v>
      </c>
      <c r="P958" s="14">
        <v>46030</v>
      </c>
      <c r="Q958">
        <v>3421.3</v>
      </c>
      <c r="R958">
        <v>0</v>
      </c>
      <c r="S958">
        <v>0</v>
      </c>
      <c r="T958">
        <v>0</v>
      </c>
      <c r="U958">
        <v>0</v>
      </c>
      <c r="V958">
        <v>3421.3</v>
      </c>
      <c r="W958">
        <v>0</v>
      </c>
      <c r="X958">
        <v>1</v>
      </c>
      <c r="Y958">
        <v>0</v>
      </c>
      <c r="Z958">
        <v>-8</v>
      </c>
      <c r="AA958">
        <v>1</v>
      </c>
      <c r="AB958" s="13" t="s">
        <v>581</v>
      </c>
      <c r="AC958">
        <v>0</v>
      </c>
      <c r="AD958">
        <v>0</v>
      </c>
      <c r="AE958" s="13" t="s">
        <v>61</v>
      </c>
    </row>
    <row r="959" spans="1:31" x14ac:dyDescent="0.35">
      <c r="A959" s="13" t="s">
        <v>1597</v>
      </c>
      <c r="B959" s="13" t="s">
        <v>183</v>
      </c>
      <c r="C959" s="13" t="s">
        <v>184</v>
      </c>
      <c r="D959" s="13" t="s">
        <v>104</v>
      </c>
      <c r="E959" s="13" t="s">
        <v>53</v>
      </c>
      <c r="F959" s="13" t="s">
        <v>54</v>
      </c>
      <c r="G959" s="13" t="s">
        <v>67</v>
      </c>
      <c r="H959">
        <v>75000</v>
      </c>
      <c r="I959" s="13" t="s">
        <v>105</v>
      </c>
      <c r="J959" s="13" t="s">
        <v>106</v>
      </c>
      <c r="K959" s="13" t="s">
        <v>107</v>
      </c>
      <c r="L959" s="13" t="s">
        <v>88</v>
      </c>
      <c r="M959">
        <v>60</v>
      </c>
      <c r="N959">
        <v>0</v>
      </c>
      <c r="O959" s="14">
        <v>45985</v>
      </c>
      <c r="P959" s="14">
        <v>46045</v>
      </c>
      <c r="Q959">
        <v>800.19</v>
      </c>
      <c r="R959">
        <v>0</v>
      </c>
      <c r="S959">
        <v>0</v>
      </c>
      <c r="T959">
        <v>0</v>
      </c>
      <c r="U959">
        <v>0</v>
      </c>
      <c r="V959">
        <v>800.19</v>
      </c>
      <c r="W959">
        <v>0</v>
      </c>
      <c r="X959">
        <v>1</v>
      </c>
      <c r="Y959">
        <v>0</v>
      </c>
      <c r="Z959">
        <v>-23</v>
      </c>
      <c r="AA959">
        <v>1</v>
      </c>
      <c r="AB959" s="13" t="s">
        <v>581</v>
      </c>
      <c r="AC959">
        <v>0</v>
      </c>
      <c r="AD959">
        <v>0</v>
      </c>
      <c r="AE959" s="13" t="s">
        <v>61</v>
      </c>
    </row>
    <row r="960" spans="1:31" x14ac:dyDescent="0.35">
      <c r="A960" s="13" t="s">
        <v>1598</v>
      </c>
      <c r="B960" s="13" t="s">
        <v>259</v>
      </c>
      <c r="C960" s="13" t="s">
        <v>260</v>
      </c>
      <c r="D960" s="13" t="s">
        <v>104</v>
      </c>
      <c r="E960" s="13" t="s">
        <v>71</v>
      </c>
      <c r="F960" s="13" t="s">
        <v>72</v>
      </c>
      <c r="G960" s="13" t="s">
        <v>67</v>
      </c>
      <c r="H960">
        <v>145000</v>
      </c>
      <c r="I960" s="13" t="s">
        <v>121</v>
      </c>
      <c r="J960" s="13" t="s">
        <v>122</v>
      </c>
      <c r="K960" s="13" t="s">
        <v>107</v>
      </c>
      <c r="L960" s="13" t="s">
        <v>88</v>
      </c>
      <c r="M960">
        <v>60</v>
      </c>
      <c r="N960">
        <v>0</v>
      </c>
      <c r="O960" s="14">
        <v>45985</v>
      </c>
      <c r="P960" s="14">
        <v>46045</v>
      </c>
      <c r="Q960">
        <v>810.14</v>
      </c>
      <c r="R960">
        <v>0</v>
      </c>
      <c r="S960">
        <v>0</v>
      </c>
      <c r="T960">
        <v>0</v>
      </c>
      <c r="U960">
        <v>0</v>
      </c>
      <c r="V960">
        <v>810.14</v>
      </c>
      <c r="W960">
        <v>0</v>
      </c>
      <c r="X960">
        <v>1</v>
      </c>
      <c r="Y960">
        <v>0</v>
      </c>
      <c r="Z960">
        <v>-23</v>
      </c>
      <c r="AA960">
        <v>1</v>
      </c>
      <c r="AB960" s="13" t="s">
        <v>581</v>
      </c>
      <c r="AC960">
        <v>0</v>
      </c>
      <c r="AD960">
        <v>0</v>
      </c>
      <c r="AE960" s="13" t="s">
        <v>61</v>
      </c>
    </row>
    <row r="961" spans="1:31" x14ac:dyDescent="0.35">
      <c r="A961" s="13" t="s">
        <v>1599</v>
      </c>
      <c r="B961" s="13" t="s">
        <v>222</v>
      </c>
      <c r="C961" s="13" t="s">
        <v>223</v>
      </c>
      <c r="D961" s="13" t="s">
        <v>52</v>
      </c>
      <c r="E961" s="13" t="s">
        <v>65</v>
      </c>
      <c r="F961" s="13" t="s">
        <v>66</v>
      </c>
      <c r="G961" s="13" t="s">
        <v>92</v>
      </c>
      <c r="H961">
        <v>430000</v>
      </c>
      <c r="I961" s="13" t="s">
        <v>56</v>
      </c>
      <c r="J961" s="13" t="s">
        <v>57</v>
      </c>
      <c r="K961" s="13" t="s">
        <v>58</v>
      </c>
      <c r="L961" s="13" t="s">
        <v>59</v>
      </c>
      <c r="M961">
        <v>45</v>
      </c>
      <c r="N961">
        <v>0</v>
      </c>
      <c r="O961" s="14">
        <v>45985</v>
      </c>
      <c r="P961" s="14">
        <v>46030</v>
      </c>
      <c r="Q961">
        <v>2080.1999999999998</v>
      </c>
      <c r="R961">
        <v>0</v>
      </c>
      <c r="S961">
        <v>0</v>
      </c>
      <c r="T961">
        <v>0</v>
      </c>
      <c r="U961">
        <v>0</v>
      </c>
      <c r="V961">
        <v>2080.1999999999998</v>
      </c>
      <c r="W961">
        <v>0</v>
      </c>
      <c r="X961">
        <v>1</v>
      </c>
      <c r="Y961">
        <v>0</v>
      </c>
      <c r="Z961">
        <v>-8</v>
      </c>
      <c r="AA961">
        <v>1</v>
      </c>
      <c r="AB961" s="13" t="s">
        <v>581</v>
      </c>
      <c r="AC961">
        <v>0</v>
      </c>
      <c r="AD961">
        <v>0</v>
      </c>
      <c r="AE961" s="13" t="s">
        <v>61</v>
      </c>
    </row>
    <row r="962" spans="1:31" x14ac:dyDescent="0.35">
      <c r="A962" s="13" t="s">
        <v>1600</v>
      </c>
      <c r="B962" s="13" t="s">
        <v>1601</v>
      </c>
      <c r="C962" s="13" t="s">
        <v>1602</v>
      </c>
      <c r="D962" s="13" t="s">
        <v>76</v>
      </c>
      <c r="E962" s="13" t="s">
        <v>99</v>
      </c>
      <c r="F962" s="13" t="s">
        <v>127</v>
      </c>
      <c r="G962" s="13" t="s">
        <v>55</v>
      </c>
      <c r="H962">
        <v>90000</v>
      </c>
      <c r="I962" s="13" t="s">
        <v>93</v>
      </c>
      <c r="J962" s="13" t="s">
        <v>94</v>
      </c>
      <c r="K962" s="13" t="s">
        <v>81</v>
      </c>
      <c r="L962" s="13" t="s">
        <v>95</v>
      </c>
      <c r="M962">
        <v>30</v>
      </c>
      <c r="N962">
        <v>0</v>
      </c>
      <c r="O962" s="14">
        <v>45985</v>
      </c>
      <c r="P962" s="14">
        <v>46015</v>
      </c>
      <c r="Q962">
        <v>3235.67</v>
      </c>
      <c r="R962">
        <v>0</v>
      </c>
      <c r="S962">
        <v>0</v>
      </c>
      <c r="T962">
        <v>0</v>
      </c>
      <c r="U962">
        <v>0</v>
      </c>
      <c r="V962">
        <v>3235.67</v>
      </c>
      <c r="W962">
        <v>0</v>
      </c>
      <c r="X962">
        <v>1</v>
      </c>
      <c r="Y962">
        <v>1</v>
      </c>
      <c r="Z962">
        <v>7</v>
      </c>
      <c r="AA962">
        <v>2</v>
      </c>
      <c r="AB962" s="13" t="s">
        <v>405</v>
      </c>
      <c r="AC962">
        <v>0.25</v>
      </c>
      <c r="AD962">
        <v>0</v>
      </c>
      <c r="AE962" s="13" t="s">
        <v>61</v>
      </c>
    </row>
    <row r="963" spans="1:31" x14ac:dyDescent="0.35">
      <c r="A963" s="13" t="s">
        <v>1603</v>
      </c>
      <c r="B963" s="13" t="s">
        <v>1604</v>
      </c>
      <c r="C963" s="13" t="s">
        <v>1605</v>
      </c>
      <c r="D963" s="13" t="s">
        <v>104</v>
      </c>
      <c r="E963" s="13" t="s">
        <v>65</v>
      </c>
      <c r="F963" s="13" t="s">
        <v>66</v>
      </c>
      <c r="G963" s="13" t="s">
        <v>55</v>
      </c>
      <c r="H963">
        <v>95000</v>
      </c>
      <c r="I963" s="13" t="s">
        <v>121</v>
      </c>
      <c r="J963" s="13" t="s">
        <v>122</v>
      </c>
      <c r="K963" s="13" t="s">
        <v>107</v>
      </c>
      <c r="L963" s="13" t="s">
        <v>95</v>
      </c>
      <c r="M963">
        <v>30</v>
      </c>
      <c r="N963">
        <v>0</v>
      </c>
      <c r="O963" s="14">
        <v>45985</v>
      </c>
      <c r="P963" s="14">
        <v>46015</v>
      </c>
      <c r="Q963">
        <v>5867.56</v>
      </c>
      <c r="R963">
        <v>0</v>
      </c>
      <c r="S963">
        <v>0</v>
      </c>
      <c r="T963">
        <v>0</v>
      </c>
      <c r="U963">
        <v>0</v>
      </c>
      <c r="V963">
        <v>5867.56</v>
      </c>
      <c r="W963">
        <v>0</v>
      </c>
      <c r="X963">
        <v>1</v>
      </c>
      <c r="Y963">
        <v>1</v>
      </c>
      <c r="Z963">
        <v>7</v>
      </c>
      <c r="AA963">
        <v>2</v>
      </c>
      <c r="AB963" s="13" t="s">
        <v>405</v>
      </c>
      <c r="AC963">
        <v>0.25</v>
      </c>
      <c r="AD963">
        <v>0</v>
      </c>
      <c r="AE963" s="13" t="s">
        <v>61</v>
      </c>
    </row>
    <row r="964" spans="1:31" x14ac:dyDescent="0.35">
      <c r="A964" s="13" t="s">
        <v>1606</v>
      </c>
      <c r="B964" s="13" t="s">
        <v>1115</v>
      </c>
      <c r="C964" s="13" t="s">
        <v>1116</v>
      </c>
      <c r="D964" s="13" t="s">
        <v>52</v>
      </c>
      <c r="E964" s="13" t="s">
        <v>65</v>
      </c>
      <c r="F964" s="13" t="s">
        <v>66</v>
      </c>
      <c r="G964" s="13" t="s">
        <v>92</v>
      </c>
      <c r="H964">
        <v>300000</v>
      </c>
      <c r="I964" s="13" t="s">
        <v>56</v>
      </c>
      <c r="J964" s="13" t="s">
        <v>57</v>
      </c>
      <c r="K964" s="13" t="s">
        <v>58</v>
      </c>
      <c r="L964" s="13" t="s">
        <v>59</v>
      </c>
      <c r="M964">
        <v>45</v>
      </c>
      <c r="N964">
        <v>0</v>
      </c>
      <c r="O964" s="14">
        <v>45985</v>
      </c>
      <c r="P964" s="14">
        <v>46030</v>
      </c>
      <c r="Q964">
        <v>2058.84</v>
      </c>
      <c r="R964">
        <v>0</v>
      </c>
      <c r="S964">
        <v>0</v>
      </c>
      <c r="T964">
        <v>0</v>
      </c>
      <c r="U964">
        <v>0</v>
      </c>
      <c r="V964">
        <v>2058.84</v>
      </c>
      <c r="W964">
        <v>0</v>
      </c>
      <c r="X964">
        <v>1</v>
      </c>
      <c r="Y964">
        <v>0</v>
      </c>
      <c r="Z964">
        <v>-8</v>
      </c>
      <c r="AA964">
        <v>1</v>
      </c>
      <c r="AB964" s="13" t="s">
        <v>581</v>
      </c>
      <c r="AC964">
        <v>0</v>
      </c>
      <c r="AD964">
        <v>0</v>
      </c>
      <c r="AE964" s="13" t="s">
        <v>61</v>
      </c>
    </row>
    <row r="965" spans="1:31" x14ac:dyDescent="0.35">
      <c r="A965" s="13" t="s">
        <v>1607</v>
      </c>
      <c r="B965" s="13" t="s">
        <v>270</v>
      </c>
      <c r="C965" s="13" t="s">
        <v>271</v>
      </c>
      <c r="D965" s="13" t="s">
        <v>52</v>
      </c>
      <c r="E965" s="13" t="s">
        <v>71</v>
      </c>
      <c r="F965" s="13" t="s">
        <v>72</v>
      </c>
      <c r="G965" s="13" t="s">
        <v>67</v>
      </c>
      <c r="H965">
        <v>555000</v>
      </c>
      <c r="I965" s="13" t="s">
        <v>56</v>
      </c>
      <c r="J965" s="13" t="s">
        <v>57</v>
      </c>
      <c r="K965" s="13" t="s">
        <v>58</v>
      </c>
      <c r="L965" s="13" t="s">
        <v>88</v>
      </c>
      <c r="M965">
        <v>60</v>
      </c>
      <c r="N965">
        <v>0</v>
      </c>
      <c r="O965" s="14">
        <v>45985</v>
      </c>
      <c r="P965" s="14">
        <v>46045</v>
      </c>
      <c r="Q965">
        <v>14430.61</v>
      </c>
      <c r="R965">
        <v>0</v>
      </c>
      <c r="S965">
        <v>0</v>
      </c>
      <c r="T965">
        <v>0</v>
      </c>
      <c r="U965">
        <v>0</v>
      </c>
      <c r="V965">
        <v>14430.61</v>
      </c>
      <c r="W965">
        <v>0</v>
      </c>
      <c r="X965">
        <v>1</v>
      </c>
      <c r="Y965">
        <v>0</v>
      </c>
      <c r="Z965">
        <v>-23</v>
      </c>
      <c r="AA965">
        <v>1</v>
      </c>
      <c r="AB965" s="13" t="s">
        <v>581</v>
      </c>
      <c r="AC965">
        <v>0</v>
      </c>
      <c r="AD965">
        <v>0</v>
      </c>
      <c r="AE965" s="13" t="s">
        <v>61</v>
      </c>
    </row>
    <row r="966" spans="1:31" x14ac:dyDescent="0.35">
      <c r="A966" s="13" t="s">
        <v>1608</v>
      </c>
      <c r="B966" s="13" t="s">
        <v>914</v>
      </c>
      <c r="C966" s="13" t="s">
        <v>915</v>
      </c>
      <c r="D966" s="13" t="s">
        <v>76</v>
      </c>
      <c r="E966" s="13" t="s">
        <v>99</v>
      </c>
      <c r="F966" s="13" t="s">
        <v>100</v>
      </c>
      <c r="G966" s="13" t="s">
        <v>55</v>
      </c>
      <c r="H966">
        <v>95000</v>
      </c>
      <c r="I966" s="13" t="s">
        <v>93</v>
      </c>
      <c r="J966" s="13" t="s">
        <v>94</v>
      </c>
      <c r="K966" s="13" t="s">
        <v>81</v>
      </c>
      <c r="L966" s="13" t="s">
        <v>95</v>
      </c>
      <c r="M966">
        <v>30</v>
      </c>
      <c r="N966">
        <v>0</v>
      </c>
      <c r="O966" s="14">
        <v>45985</v>
      </c>
      <c r="P966" s="14">
        <v>46015</v>
      </c>
      <c r="Q966">
        <v>1914.53</v>
      </c>
      <c r="R966">
        <v>0</v>
      </c>
      <c r="S966">
        <v>0</v>
      </c>
      <c r="T966">
        <v>0</v>
      </c>
      <c r="U966">
        <v>0</v>
      </c>
      <c r="V966">
        <v>1914.53</v>
      </c>
      <c r="W966">
        <v>0</v>
      </c>
      <c r="X966">
        <v>1</v>
      </c>
      <c r="Y966">
        <v>1</v>
      </c>
      <c r="Z966">
        <v>7</v>
      </c>
      <c r="AA966">
        <v>2</v>
      </c>
      <c r="AB966" s="13" t="s">
        <v>405</v>
      </c>
      <c r="AC966">
        <v>0.25</v>
      </c>
      <c r="AD966">
        <v>1</v>
      </c>
      <c r="AE966" s="13" t="s">
        <v>377</v>
      </c>
    </row>
    <row r="967" spans="1:31" x14ac:dyDescent="0.35">
      <c r="A967" s="13" t="s">
        <v>1609</v>
      </c>
      <c r="B967" s="13" t="s">
        <v>667</v>
      </c>
      <c r="C967" s="13" t="s">
        <v>668</v>
      </c>
      <c r="D967" s="13" t="s">
        <v>126</v>
      </c>
      <c r="E967" s="13" t="s">
        <v>65</v>
      </c>
      <c r="F967" s="13" t="s">
        <v>66</v>
      </c>
      <c r="G967" s="13" t="s">
        <v>67</v>
      </c>
      <c r="H967">
        <v>180000</v>
      </c>
      <c r="I967" s="13" t="s">
        <v>86</v>
      </c>
      <c r="J967" s="13" t="s">
        <v>87</v>
      </c>
      <c r="K967" s="13" t="s">
        <v>58</v>
      </c>
      <c r="L967" s="13" t="s">
        <v>88</v>
      </c>
      <c r="M967">
        <v>60</v>
      </c>
      <c r="N967">
        <v>0</v>
      </c>
      <c r="O967" s="14">
        <v>45985</v>
      </c>
      <c r="P967" s="14">
        <v>46045</v>
      </c>
      <c r="Q967">
        <v>1960.85</v>
      </c>
      <c r="R967">
        <v>0</v>
      </c>
      <c r="S967">
        <v>0</v>
      </c>
      <c r="T967">
        <v>0</v>
      </c>
      <c r="U967">
        <v>0</v>
      </c>
      <c r="V967">
        <v>1960.85</v>
      </c>
      <c r="W967">
        <v>0</v>
      </c>
      <c r="X967">
        <v>1</v>
      </c>
      <c r="Y967">
        <v>0</v>
      </c>
      <c r="Z967">
        <v>-23</v>
      </c>
      <c r="AA967">
        <v>1</v>
      </c>
      <c r="AB967" s="13" t="s">
        <v>581</v>
      </c>
      <c r="AC967">
        <v>0</v>
      </c>
      <c r="AD967">
        <v>0</v>
      </c>
      <c r="AE967" s="13" t="s">
        <v>61</v>
      </c>
    </row>
    <row r="968" spans="1:31" x14ac:dyDescent="0.35">
      <c r="A968" s="13" t="s">
        <v>1610</v>
      </c>
      <c r="B968" s="13" t="s">
        <v>854</v>
      </c>
      <c r="C968" s="13" t="s">
        <v>855</v>
      </c>
      <c r="D968" s="13" t="s">
        <v>52</v>
      </c>
      <c r="E968" s="13" t="s">
        <v>77</v>
      </c>
      <c r="F968" s="13" t="s">
        <v>78</v>
      </c>
      <c r="G968" s="13" t="s">
        <v>67</v>
      </c>
      <c r="H968">
        <v>385000</v>
      </c>
      <c r="I968" s="13" t="s">
        <v>86</v>
      </c>
      <c r="J968" s="13" t="s">
        <v>87</v>
      </c>
      <c r="K968" s="13" t="s">
        <v>58</v>
      </c>
      <c r="L968" s="13" t="s">
        <v>88</v>
      </c>
      <c r="M968">
        <v>60</v>
      </c>
      <c r="N968">
        <v>0</v>
      </c>
      <c r="O968" s="14">
        <v>45985</v>
      </c>
      <c r="P968" s="14">
        <v>46045</v>
      </c>
      <c r="Q968">
        <v>3694.19</v>
      </c>
      <c r="R968">
        <v>0</v>
      </c>
      <c r="S968">
        <v>0</v>
      </c>
      <c r="T968">
        <v>0</v>
      </c>
      <c r="U968">
        <v>0</v>
      </c>
      <c r="V968">
        <v>3694.19</v>
      </c>
      <c r="W968">
        <v>0</v>
      </c>
      <c r="X968">
        <v>1</v>
      </c>
      <c r="Y968">
        <v>0</v>
      </c>
      <c r="Z968">
        <v>-23</v>
      </c>
      <c r="AA968">
        <v>1</v>
      </c>
      <c r="AB968" s="13" t="s">
        <v>581</v>
      </c>
      <c r="AC968">
        <v>0</v>
      </c>
      <c r="AD968">
        <v>0</v>
      </c>
      <c r="AE968" s="13" t="s">
        <v>61</v>
      </c>
    </row>
    <row r="969" spans="1:31" x14ac:dyDescent="0.35">
      <c r="A969" s="13" t="s">
        <v>1611</v>
      </c>
      <c r="B969" s="13" t="s">
        <v>539</v>
      </c>
      <c r="C969" s="13" t="s">
        <v>540</v>
      </c>
      <c r="D969" s="13" t="s">
        <v>52</v>
      </c>
      <c r="E969" s="13" t="s">
        <v>65</v>
      </c>
      <c r="F969" s="13" t="s">
        <v>66</v>
      </c>
      <c r="G969" s="13" t="s">
        <v>67</v>
      </c>
      <c r="H969">
        <v>435000</v>
      </c>
      <c r="I969" s="13" t="s">
        <v>56</v>
      </c>
      <c r="J969" s="13" t="s">
        <v>57</v>
      </c>
      <c r="K969" s="13" t="s">
        <v>58</v>
      </c>
      <c r="L969" s="13" t="s">
        <v>59</v>
      </c>
      <c r="M969">
        <v>45</v>
      </c>
      <c r="N969">
        <v>0</v>
      </c>
      <c r="O969" s="14">
        <v>45985</v>
      </c>
      <c r="P969" s="14">
        <v>46030</v>
      </c>
      <c r="Q969">
        <v>1934.62</v>
      </c>
      <c r="R969">
        <v>0</v>
      </c>
      <c r="S969">
        <v>0</v>
      </c>
      <c r="T969">
        <v>0</v>
      </c>
      <c r="U969">
        <v>0</v>
      </c>
      <c r="V969">
        <v>1934.62</v>
      </c>
      <c r="W969">
        <v>0</v>
      </c>
      <c r="X969">
        <v>1</v>
      </c>
      <c r="Y969">
        <v>0</v>
      </c>
      <c r="Z969">
        <v>-8</v>
      </c>
      <c r="AA969">
        <v>1</v>
      </c>
      <c r="AB969" s="13" t="s">
        <v>581</v>
      </c>
      <c r="AC969">
        <v>0</v>
      </c>
      <c r="AD969">
        <v>0</v>
      </c>
      <c r="AE969" s="13" t="s">
        <v>61</v>
      </c>
    </row>
    <row r="970" spans="1:31" x14ac:dyDescent="0.35">
      <c r="A970" s="13" t="s">
        <v>1612</v>
      </c>
      <c r="B970" s="13" t="s">
        <v>277</v>
      </c>
      <c r="C970" s="13" t="s">
        <v>278</v>
      </c>
      <c r="D970" s="13" t="s">
        <v>104</v>
      </c>
      <c r="E970" s="13" t="s">
        <v>71</v>
      </c>
      <c r="F970" s="13" t="s">
        <v>214</v>
      </c>
      <c r="G970" s="13" t="s">
        <v>92</v>
      </c>
      <c r="H970">
        <v>105000</v>
      </c>
      <c r="I970" s="13" t="s">
        <v>105</v>
      </c>
      <c r="J970" s="13" t="s">
        <v>106</v>
      </c>
      <c r="K970" s="13" t="s">
        <v>107</v>
      </c>
      <c r="L970" s="13" t="s">
        <v>88</v>
      </c>
      <c r="M970">
        <v>60</v>
      </c>
      <c r="N970">
        <v>0</v>
      </c>
      <c r="O970" s="14">
        <v>45985</v>
      </c>
      <c r="P970" s="14">
        <v>46045</v>
      </c>
      <c r="Q970">
        <v>1158.8699999999999</v>
      </c>
      <c r="R970">
        <v>0</v>
      </c>
      <c r="S970">
        <v>0</v>
      </c>
      <c r="T970">
        <v>0</v>
      </c>
      <c r="U970">
        <v>0</v>
      </c>
      <c r="V970">
        <v>1158.8699999999999</v>
      </c>
      <c r="W970">
        <v>0</v>
      </c>
      <c r="X970">
        <v>1</v>
      </c>
      <c r="Y970">
        <v>0</v>
      </c>
      <c r="Z970">
        <v>-23</v>
      </c>
      <c r="AA970">
        <v>1</v>
      </c>
      <c r="AB970" s="13" t="s">
        <v>581</v>
      </c>
      <c r="AC970">
        <v>0</v>
      </c>
      <c r="AD970">
        <v>0</v>
      </c>
      <c r="AE970" s="13" t="s">
        <v>61</v>
      </c>
    </row>
    <row r="971" spans="1:31" x14ac:dyDescent="0.35">
      <c r="A971" s="13" t="s">
        <v>1613</v>
      </c>
      <c r="B971" s="13" t="s">
        <v>225</v>
      </c>
      <c r="C971" s="13" t="s">
        <v>226</v>
      </c>
      <c r="D971" s="13" t="s">
        <v>52</v>
      </c>
      <c r="E971" s="13" t="s">
        <v>77</v>
      </c>
      <c r="F971" s="13" t="s">
        <v>174</v>
      </c>
      <c r="G971" s="13" t="s">
        <v>55</v>
      </c>
      <c r="H971">
        <v>570000</v>
      </c>
      <c r="I971" s="13" t="s">
        <v>56</v>
      </c>
      <c r="J971" s="13" t="s">
        <v>57</v>
      </c>
      <c r="K971" s="13" t="s">
        <v>58</v>
      </c>
      <c r="L971" s="13" t="s">
        <v>59</v>
      </c>
      <c r="M971">
        <v>45</v>
      </c>
      <c r="N971">
        <v>0</v>
      </c>
      <c r="O971" s="14">
        <v>45985</v>
      </c>
      <c r="P971" s="14">
        <v>46030</v>
      </c>
      <c r="Q971">
        <v>11348.15</v>
      </c>
      <c r="R971">
        <v>0</v>
      </c>
      <c r="S971">
        <v>0</v>
      </c>
      <c r="T971">
        <v>0</v>
      </c>
      <c r="U971">
        <v>0</v>
      </c>
      <c r="V971">
        <v>11348.15</v>
      </c>
      <c r="W971">
        <v>0</v>
      </c>
      <c r="X971">
        <v>1</v>
      </c>
      <c r="Y971">
        <v>0</v>
      </c>
      <c r="Z971">
        <v>-8</v>
      </c>
      <c r="AA971">
        <v>1</v>
      </c>
      <c r="AB971" s="13" t="s">
        <v>581</v>
      </c>
      <c r="AC971">
        <v>0</v>
      </c>
      <c r="AD971">
        <v>0</v>
      </c>
      <c r="AE971" s="13" t="s">
        <v>61</v>
      </c>
    </row>
    <row r="972" spans="1:31" x14ac:dyDescent="0.35">
      <c r="A972" s="13" t="s">
        <v>1614</v>
      </c>
      <c r="B972" s="13" t="s">
        <v>109</v>
      </c>
      <c r="C972" s="13" t="s">
        <v>110</v>
      </c>
      <c r="D972" s="13" t="s">
        <v>52</v>
      </c>
      <c r="E972" s="13" t="s">
        <v>65</v>
      </c>
      <c r="F972" s="13" t="s">
        <v>111</v>
      </c>
      <c r="G972" s="13" t="s">
        <v>67</v>
      </c>
      <c r="H972">
        <v>455000</v>
      </c>
      <c r="I972" s="13" t="s">
        <v>86</v>
      </c>
      <c r="J972" s="13" t="s">
        <v>87</v>
      </c>
      <c r="K972" s="13" t="s">
        <v>58</v>
      </c>
      <c r="L972" s="13" t="s">
        <v>59</v>
      </c>
      <c r="M972">
        <v>45</v>
      </c>
      <c r="N972">
        <v>0</v>
      </c>
      <c r="O972" s="14">
        <v>45985</v>
      </c>
      <c r="P972" s="14">
        <v>46030</v>
      </c>
      <c r="Q972">
        <v>12077.28</v>
      </c>
      <c r="R972">
        <v>0</v>
      </c>
      <c r="S972">
        <v>0</v>
      </c>
      <c r="T972">
        <v>0</v>
      </c>
      <c r="U972">
        <v>0</v>
      </c>
      <c r="V972">
        <v>12077.28</v>
      </c>
      <c r="W972">
        <v>0</v>
      </c>
      <c r="X972">
        <v>1</v>
      </c>
      <c r="Y972">
        <v>0</v>
      </c>
      <c r="Z972">
        <v>-8</v>
      </c>
      <c r="AA972">
        <v>1</v>
      </c>
      <c r="AB972" s="13" t="s">
        <v>581</v>
      </c>
      <c r="AC972">
        <v>0</v>
      </c>
      <c r="AD972">
        <v>0</v>
      </c>
      <c r="AE972" s="13" t="s">
        <v>61</v>
      </c>
    </row>
    <row r="973" spans="1:31" x14ac:dyDescent="0.35">
      <c r="A973" s="13" t="s">
        <v>1615</v>
      </c>
      <c r="B973" s="13" t="s">
        <v>312</v>
      </c>
      <c r="C973" s="13" t="s">
        <v>313</v>
      </c>
      <c r="D973" s="13" t="s">
        <v>52</v>
      </c>
      <c r="E973" s="13" t="s">
        <v>77</v>
      </c>
      <c r="F973" s="13" t="s">
        <v>174</v>
      </c>
      <c r="G973" s="13" t="s">
        <v>55</v>
      </c>
      <c r="H973">
        <v>600000</v>
      </c>
      <c r="I973" s="13" t="s">
        <v>56</v>
      </c>
      <c r="J973" s="13" t="s">
        <v>57</v>
      </c>
      <c r="K973" s="13" t="s">
        <v>58</v>
      </c>
      <c r="L973" s="13" t="s">
        <v>88</v>
      </c>
      <c r="M973">
        <v>60</v>
      </c>
      <c r="N973">
        <v>0</v>
      </c>
      <c r="O973" s="14">
        <v>45985</v>
      </c>
      <c r="P973" s="14">
        <v>46045</v>
      </c>
      <c r="Q973">
        <v>2754.08</v>
      </c>
      <c r="R973">
        <v>0</v>
      </c>
      <c r="S973">
        <v>0</v>
      </c>
      <c r="T973">
        <v>0</v>
      </c>
      <c r="U973">
        <v>0</v>
      </c>
      <c r="V973">
        <v>2754.08</v>
      </c>
      <c r="W973">
        <v>0</v>
      </c>
      <c r="X973">
        <v>1</v>
      </c>
      <c r="Y973">
        <v>0</v>
      </c>
      <c r="Z973">
        <v>-23</v>
      </c>
      <c r="AA973">
        <v>1</v>
      </c>
      <c r="AB973" s="13" t="s">
        <v>581</v>
      </c>
      <c r="AC973">
        <v>0</v>
      </c>
      <c r="AD973">
        <v>0</v>
      </c>
      <c r="AE973" s="13" t="s">
        <v>61</v>
      </c>
    </row>
    <row r="974" spans="1:31" x14ac:dyDescent="0.35">
      <c r="A974" s="13" t="s">
        <v>1616</v>
      </c>
      <c r="B974" s="13" t="s">
        <v>1430</v>
      </c>
      <c r="C974" s="13" t="s">
        <v>1431</v>
      </c>
      <c r="D974" s="13" t="s">
        <v>76</v>
      </c>
      <c r="E974" s="13" t="s">
        <v>65</v>
      </c>
      <c r="F974" s="13" t="s">
        <v>66</v>
      </c>
      <c r="G974" s="13" t="s">
        <v>55</v>
      </c>
      <c r="H974">
        <v>85000</v>
      </c>
      <c r="I974" s="13" t="s">
        <v>93</v>
      </c>
      <c r="J974" s="13" t="s">
        <v>94</v>
      </c>
      <c r="K974" s="13" t="s">
        <v>81</v>
      </c>
      <c r="L974" s="13" t="s">
        <v>95</v>
      </c>
      <c r="M974">
        <v>30</v>
      </c>
      <c r="N974">
        <v>0</v>
      </c>
      <c r="O974" s="14">
        <v>45985</v>
      </c>
      <c r="P974" s="14">
        <v>46015</v>
      </c>
      <c r="Q974">
        <v>455.65</v>
      </c>
      <c r="R974">
        <v>0</v>
      </c>
      <c r="S974">
        <v>0</v>
      </c>
      <c r="T974">
        <v>0</v>
      </c>
      <c r="U974">
        <v>0</v>
      </c>
      <c r="V974">
        <v>455.65</v>
      </c>
      <c r="W974">
        <v>0</v>
      </c>
      <c r="X974">
        <v>1</v>
      </c>
      <c r="Y974">
        <v>1</v>
      </c>
      <c r="Z974">
        <v>7</v>
      </c>
      <c r="AA974">
        <v>2</v>
      </c>
      <c r="AB974" s="13" t="s">
        <v>405</v>
      </c>
      <c r="AC974">
        <v>0.25</v>
      </c>
      <c r="AD974">
        <v>0</v>
      </c>
      <c r="AE974" s="13" t="s">
        <v>61</v>
      </c>
    </row>
    <row r="975" spans="1:31" x14ac:dyDescent="0.35">
      <c r="A975" s="13" t="s">
        <v>1617</v>
      </c>
      <c r="B975" s="13" t="s">
        <v>168</v>
      </c>
      <c r="C975" s="13" t="s">
        <v>169</v>
      </c>
      <c r="D975" s="13" t="s">
        <v>52</v>
      </c>
      <c r="E975" s="13" t="s">
        <v>65</v>
      </c>
      <c r="F975" s="13" t="s">
        <v>66</v>
      </c>
      <c r="G975" s="13" t="s">
        <v>67</v>
      </c>
      <c r="H975">
        <v>580000</v>
      </c>
      <c r="I975" s="13" t="s">
        <v>56</v>
      </c>
      <c r="J975" s="13" t="s">
        <v>57</v>
      </c>
      <c r="K975" s="13" t="s">
        <v>58</v>
      </c>
      <c r="L975" s="13" t="s">
        <v>59</v>
      </c>
      <c r="M975">
        <v>45</v>
      </c>
      <c r="N975">
        <v>0</v>
      </c>
      <c r="O975" s="14">
        <v>45985</v>
      </c>
      <c r="P975" s="14">
        <v>46030</v>
      </c>
      <c r="Q975">
        <v>10836.5</v>
      </c>
      <c r="R975">
        <v>0</v>
      </c>
      <c r="S975">
        <v>0</v>
      </c>
      <c r="T975">
        <v>0</v>
      </c>
      <c r="U975">
        <v>0</v>
      </c>
      <c r="V975">
        <v>10836.5</v>
      </c>
      <c r="W975">
        <v>0</v>
      </c>
      <c r="X975">
        <v>1</v>
      </c>
      <c r="Y975">
        <v>0</v>
      </c>
      <c r="Z975">
        <v>-8</v>
      </c>
      <c r="AA975">
        <v>1</v>
      </c>
      <c r="AB975" s="13" t="s">
        <v>581</v>
      </c>
      <c r="AC975">
        <v>0</v>
      </c>
      <c r="AD975">
        <v>0</v>
      </c>
      <c r="AE975" s="13" t="s">
        <v>61</v>
      </c>
    </row>
    <row r="976" spans="1:31" x14ac:dyDescent="0.35">
      <c r="A976" s="13" t="s">
        <v>1618</v>
      </c>
      <c r="B976" s="13" t="s">
        <v>69</v>
      </c>
      <c r="C976" s="13" t="s">
        <v>70</v>
      </c>
      <c r="D976" s="13" t="s">
        <v>52</v>
      </c>
      <c r="E976" s="13" t="s">
        <v>71</v>
      </c>
      <c r="F976" s="13" t="s">
        <v>72</v>
      </c>
      <c r="G976" s="13" t="s">
        <v>55</v>
      </c>
      <c r="H976">
        <v>580000</v>
      </c>
      <c r="I976" s="13" t="s">
        <v>56</v>
      </c>
      <c r="J976" s="13" t="s">
        <v>57</v>
      </c>
      <c r="K976" s="13" t="s">
        <v>58</v>
      </c>
      <c r="L976" s="13" t="s">
        <v>59</v>
      </c>
      <c r="M976">
        <v>45</v>
      </c>
      <c r="N976">
        <v>0</v>
      </c>
      <c r="O976" s="14">
        <v>45985</v>
      </c>
      <c r="P976" s="14">
        <v>46030</v>
      </c>
      <c r="Q976">
        <v>3622.11</v>
      </c>
      <c r="R976">
        <v>0</v>
      </c>
      <c r="S976">
        <v>0</v>
      </c>
      <c r="T976">
        <v>0</v>
      </c>
      <c r="U976">
        <v>0</v>
      </c>
      <c r="V976">
        <v>3622.11</v>
      </c>
      <c r="W976">
        <v>0</v>
      </c>
      <c r="X976">
        <v>1</v>
      </c>
      <c r="Y976">
        <v>0</v>
      </c>
      <c r="Z976">
        <v>-8</v>
      </c>
      <c r="AA976">
        <v>1</v>
      </c>
      <c r="AB976" s="13" t="s">
        <v>581</v>
      </c>
      <c r="AC976">
        <v>0</v>
      </c>
      <c r="AD976">
        <v>0</v>
      </c>
      <c r="AE976" s="13" t="s">
        <v>61</v>
      </c>
    </row>
    <row r="977" spans="1:31" x14ac:dyDescent="0.35">
      <c r="A977" s="13" t="s">
        <v>1619</v>
      </c>
      <c r="B977" s="13" t="s">
        <v>1382</v>
      </c>
      <c r="C977" s="13" t="s">
        <v>1383</v>
      </c>
      <c r="D977" s="13" t="s">
        <v>104</v>
      </c>
      <c r="E977" s="13" t="s">
        <v>77</v>
      </c>
      <c r="F977" s="13" t="s">
        <v>78</v>
      </c>
      <c r="G977" s="13" t="s">
        <v>92</v>
      </c>
      <c r="H977">
        <v>45000</v>
      </c>
      <c r="I977" s="13" t="s">
        <v>105</v>
      </c>
      <c r="J977" s="13" t="s">
        <v>106</v>
      </c>
      <c r="K977" s="13" t="s">
        <v>107</v>
      </c>
      <c r="L977" s="13" t="s">
        <v>95</v>
      </c>
      <c r="M977">
        <v>30</v>
      </c>
      <c r="N977">
        <v>0</v>
      </c>
      <c r="O977" s="14">
        <v>45985</v>
      </c>
      <c r="P977" s="14">
        <v>46015</v>
      </c>
      <c r="Q977">
        <v>5564.02</v>
      </c>
      <c r="R977">
        <v>0</v>
      </c>
      <c r="S977">
        <v>0</v>
      </c>
      <c r="T977">
        <v>0</v>
      </c>
      <c r="U977">
        <v>0</v>
      </c>
      <c r="V977">
        <v>5564.02</v>
      </c>
      <c r="W977">
        <v>0</v>
      </c>
      <c r="X977">
        <v>1</v>
      </c>
      <c r="Y977">
        <v>1</v>
      </c>
      <c r="Z977">
        <v>7</v>
      </c>
      <c r="AA977">
        <v>2</v>
      </c>
      <c r="AB977" s="13" t="s">
        <v>405</v>
      </c>
      <c r="AC977">
        <v>0.25</v>
      </c>
      <c r="AD977">
        <v>0</v>
      </c>
      <c r="AE977" s="13" t="s">
        <v>61</v>
      </c>
    </row>
    <row r="978" spans="1:31" x14ac:dyDescent="0.35">
      <c r="A978" s="13" t="s">
        <v>1620</v>
      </c>
      <c r="B978" s="13" t="s">
        <v>144</v>
      </c>
      <c r="C978" s="13" t="s">
        <v>145</v>
      </c>
      <c r="D978" s="13" t="s">
        <v>52</v>
      </c>
      <c r="E978" s="13" t="s">
        <v>99</v>
      </c>
      <c r="F978" s="13" t="s">
        <v>100</v>
      </c>
      <c r="G978" s="13" t="s">
        <v>55</v>
      </c>
      <c r="H978">
        <v>590000</v>
      </c>
      <c r="I978" s="13" t="s">
        <v>56</v>
      </c>
      <c r="J978" s="13" t="s">
        <v>57</v>
      </c>
      <c r="K978" s="13" t="s">
        <v>58</v>
      </c>
      <c r="L978" s="13" t="s">
        <v>88</v>
      </c>
      <c r="M978">
        <v>60</v>
      </c>
      <c r="N978">
        <v>0</v>
      </c>
      <c r="O978" s="14">
        <v>45985</v>
      </c>
      <c r="P978" s="14">
        <v>46045</v>
      </c>
      <c r="Q978">
        <v>8482.23</v>
      </c>
      <c r="R978">
        <v>0</v>
      </c>
      <c r="S978">
        <v>0</v>
      </c>
      <c r="T978">
        <v>0</v>
      </c>
      <c r="U978">
        <v>0</v>
      </c>
      <c r="V978">
        <v>8482.23</v>
      </c>
      <c r="W978">
        <v>0</v>
      </c>
      <c r="X978">
        <v>1</v>
      </c>
      <c r="Y978">
        <v>0</v>
      </c>
      <c r="Z978">
        <v>-23</v>
      </c>
      <c r="AA978">
        <v>1</v>
      </c>
      <c r="AB978" s="13" t="s">
        <v>581</v>
      </c>
      <c r="AC978">
        <v>0</v>
      </c>
      <c r="AD978">
        <v>0</v>
      </c>
      <c r="AE978" s="13" t="s">
        <v>61</v>
      </c>
    </row>
    <row r="979" spans="1:31" x14ac:dyDescent="0.35">
      <c r="A979" s="13" t="s">
        <v>1621</v>
      </c>
      <c r="B979" s="13" t="s">
        <v>584</v>
      </c>
      <c r="C979" s="13" t="s">
        <v>585</v>
      </c>
      <c r="D979" s="13" t="s">
        <v>104</v>
      </c>
      <c r="E979" s="13" t="s">
        <v>53</v>
      </c>
      <c r="F979" s="13" t="s">
        <v>54</v>
      </c>
      <c r="G979" s="13" t="s">
        <v>67</v>
      </c>
      <c r="H979">
        <v>115000</v>
      </c>
      <c r="I979" s="13" t="s">
        <v>121</v>
      </c>
      <c r="J979" s="13" t="s">
        <v>122</v>
      </c>
      <c r="K979" s="13" t="s">
        <v>107</v>
      </c>
      <c r="L979" s="13" t="s">
        <v>88</v>
      </c>
      <c r="M979">
        <v>60</v>
      </c>
      <c r="N979">
        <v>0</v>
      </c>
      <c r="O979" s="14">
        <v>45985</v>
      </c>
      <c r="P979" s="14">
        <v>46045</v>
      </c>
      <c r="Q979">
        <v>7652.51</v>
      </c>
      <c r="R979">
        <v>0</v>
      </c>
      <c r="S979">
        <v>0</v>
      </c>
      <c r="T979">
        <v>0</v>
      </c>
      <c r="U979">
        <v>0</v>
      </c>
      <c r="V979">
        <v>7652.51</v>
      </c>
      <c r="W979">
        <v>0</v>
      </c>
      <c r="X979">
        <v>1</v>
      </c>
      <c r="Y979">
        <v>0</v>
      </c>
      <c r="Z979">
        <v>-23</v>
      </c>
      <c r="AA979">
        <v>1</v>
      </c>
      <c r="AB979" s="13" t="s">
        <v>581</v>
      </c>
      <c r="AC979">
        <v>0</v>
      </c>
      <c r="AD979">
        <v>0</v>
      </c>
      <c r="AE979" s="13" t="s">
        <v>61</v>
      </c>
    </row>
    <row r="980" spans="1:31" x14ac:dyDescent="0.35">
      <c r="A980" s="13" t="s">
        <v>1622</v>
      </c>
      <c r="B980" s="13" t="s">
        <v>283</v>
      </c>
      <c r="C980" s="13" t="s">
        <v>284</v>
      </c>
      <c r="D980" s="13" t="s">
        <v>104</v>
      </c>
      <c r="E980" s="13" t="s">
        <v>53</v>
      </c>
      <c r="F980" s="13" t="s">
        <v>135</v>
      </c>
      <c r="G980" s="13" t="s">
        <v>92</v>
      </c>
      <c r="H980">
        <v>105000</v>
      </c>
      <c r="I980" s="13" t="s">
        <v>105</v>
      </c>
      <c r="J980" s="13" t="s">
        <v>106</v>
      </c>
      <c r="K980" s="13" t="s">
        <v>107</v>
      </c>
      <c r="L980" s="13" t="s">
        <v>82</v>
      </c>
      <c r="M980">
        <v>30</v>
      </c>
      <c r="N980">
        <v>2</v>
      </c>
      <c r="O980" s="14">
        <v>45985</v>
      </c>
      <c r="P980" s="14">
        <v>46015</v>
      </c>
      <c r="Q980">
        <v>825.46</v>
      </c>
      <c r="R980">
        <v>0</v>
      </c>
      <c r="S980">
        <v>0</v>
      </c>
      <c r="T980">
        <v>0</v>
      </c>
      <c r="U980">
        <v>0</v>
      </c>
      <c r="V980">
        <v>825.46</v>
      </c>
      <c r="W980">
        <v>0</v>
      </c>
      <c r="X980">
        <v>1</v>
      </c>
      <c r="Y980">
        <v>1</v>
      </c>
      <c r="Z980">
        <v>7</v>
      </c>
      <c r="AA980">
        <v>2</v>
      </c>
      <c r="AB980" s="13" t="s">
        <v>405</v>
      </c>
      <c r="AC980">
        <v>0.25</v>
      </c>
      <c r="AD980">
        <v>0</v>
      </c>
      <c r="AE980" s="13" t="s">
        <v>61</v>
      </c>
    </row>
    <row r="981" spans="1:31" x14ac:dyDescent="0.35">
      <c r="A981" s="13" t="s">
        <v>1623</v>
      </c>
      <c r="B981" s="13" t="s">
        <v>1624</v>
      </c>
      <c r="C981" s="13" t="s">
        <v>1625</v>
      </c>
      <c r="D981" s="13" t="s">
        <v>126</v>
      </c>
      <c r="E981" s="13" t="s">
        <v>99</v>
      </c>
      <c r="F981" s="13" t="s">
        <v>100</v>
      </c>
      <c r="G981" s="13" t="s">
        <v>67</v>
      </c>
      <c r="H981">
        <v>70000</v>
      </c>
      <c r="I981" s="13" t="s">
        <v>105</v>
      </c>
      <c r="J981" s="13" t="s">
        <v>106</v>
      </c>
      <c r="K981" s="13" t="s">
        <v>107</v>
      </c>
      <c r="L981" s="13" t="s">
        <v>88</v>
      </c>
      <c r="M981">
        <v>60</v>
      </c>
      <c r="N981">
        <v>0</v>
      </c>
      <c r="O981" s="14">
        <v>45985</v>
      </c>
      <c r="P981" s="14">
        <v>46045</v>
      </c>
      <c r="Q981">
        <v>2346.9499999999998</v>
      </c>
      <c r="R981">
        <v>0</v>
      </c>
      <c r="S981">
        <v>0</v>
      </c>
      <c r="T981">
        <v>0</v>
      </c>
      <c r="U981">
        <v>0</v>
      </c>
      <c r="V981">
        <v>2346.9499999999998</v>
      </c>
      <c r="W981">
        <v>0</v>
      </c>
      <c r="X981">
        <v>1</v>
      </c>
      <c r="Y981">
        <v>0</v>
      </c>
      <c r="Z981">
        <v>-23</v>
      </c>
      <c r="AA981">
        <v>1</v>
      </c>
      <c r="AB981" s="13" t="s">
        <v>581</v>
      </c>
      <c r="AC981">
        <v>0</v>
      </c>
      <c r="AD981">
        <v>0</v>
      </c>
      <c r="AE981" s="13" t="s">
        <v>61</v>
      </c>
    </row>
    <row r="982" spans="1:31" x14ac:dyDescent="0.35">
      <c r="A982" s="13" t="s">
        <v>1626</v>
      </c>
      <c r="B982" s="13" t="s">
        <v>1627</v>
      </c>
      <c r="C982" s="13" t="s">
        <v>1628</v>
      </c>
      <c r="D982" s="13" t="s">
        <v>76</v>
      </c>
      <c r="E982" s="13" t="s">
        <v>99</v>
      </c>
      <c r="F982" s="13" t="s">
        <v>100</v>
      </c>
      <c r="G982" s="13" t="s">
        <v>55</v>
      </c>
      <c r="H982">
        <v>45000</v>
      </c>
      <c r="I982" s="13" t="s">
        <v>79</v>
      </c>
      <c r="J982" s="13" t="s">
        <v>80</v>
      </c>
      <c r="K982" s="13" t="s">
        <v>81</v>
      </c>
      <c r="L982" s="13" t="s">
        <v>95</v>
      </c>
      <c r="M982">
        <v>30</v>
      </c>
      <c r="N982">
        <v>0</v>
      </c>
      <c r="O982" s="14">
        <v>45985</v>
      </c>
      <c r="P982" s="14">
        <v>46015</v>
      </c>
      <c r="Q982">
        <v>472.56</v>
      </c>
      <c r="R982">
        <v>0</v>
      </c>
      <c r="S982">
        <v>0</v>
      </c>
      <c r="T982">
        <v>0</v>
      </c>
      <c r="U982">
        <v>0</v>
      </c>
      <c r="V982">
        <v>472.56</v>
      </c>
      <c r="W982">
        <v>0</v>
      </c>
      <c r="X982">
        <v>1</v>
      </c>
      <c r="Y982">
        <v>1</v>
      </c>
      <c r="Z982">
        <v>7</v>
      </c>
      <c r="AA982">
        <v>2</v>
      </c>
      <c r="AB982" s="13" t="s">
        <v>405</v>
      </c>
      <c r="AC982">
        <v>0.25</v>
      </c>
      <c r="AD982">
        <v>0</v>
      </c>
      <c r="AE982" s="13" t="s">
        <v>348</v>
      </c>
    </row>
    <row r="983" spans="1:31" x14ac:dyDescent="0.35">
      <c r="A983" s="13" t="s">
        <v>1629</v>
      </c>
      <c r="B983" s="13" t="s">
        <v>438</v>
      </c>
      <c r="C983" s="13" t="s">
        <v>439</v>
      </c>
      <c r="D983" s="13" t="s">
        <v>126</v>
      </c>
      <c r="E983" s="13" t="s">
        <v>65</v>
      </c>
      <c r="F983" s="13" t="s">
        <v>111</v>
      </c>
      <c r="G983" s="13" t="s">
        <v>67</v>
      </c>
      <c r="H983">
        <v>155000</v>
      </c>
      <c r="I983" s="13" t="s">
        <v>86</v>
      </c>
      <c r="J983" s="13" t="s">
        <v>87</v>
      </c>
      <c r="K983" s="13" t="s">
        <v>58</v>
      </c>
      <c r="L983" s="13" t="s">
        <v>368</v>
      </c>
      <c r="M983">
        <v>90</v>
      </c>
      <c r="N983">
        <v>0</v>
      </c>
      <c r="O983" s="14">
        <v>45985</v>
      </c>
      <c r="P983" s="14">
        <v>46075</v>
      </c>
      <c r="Q983">
        <v>2226.86</v>
      </c>
      <c r="R983">
        <v>0</v>
      </c>
      <c r="S983">
        <v>0</v>
      </c>
      <c r="T983">
        <v>0</v>
      </c>
      <c r="U983">
        <v>0</v>
      </c>
      <c r="V983">
        <v>2226.86</v>
      </c>
      <c r="W983">
        <v>0</v>
      </c>
      <c r="X983">
        <v>1</v>
      </c>
      <c r="Y983">
        <v>0</v>
      </c>
      <c r="Z983">
        <v>-53</v>
      </c>
      <c r="AA983">
        <v>1</v>
      </c>
      <c r="AB983" s="13" t="s">
        <v>581</v>
      </c>
      <c r="AC983">
        <v>0</v>
      </c>
      <c r="AD983">
        <v>0</v>
      </c>
      <c r="AE983" s="13" t="s">
        <v>61</v>
      </c>
    </row>
    <row r="984" spans="1:31" x14ac:dyDescent="0.35">
      <c r="A984" s="13" t="s">
        <v>1630</v>
      </c>
      <c r="B984" s="13" t="s">
        <v>1097</v>
      </c>
      <c r="C984" s="13" t="s">
        <v>1098</v>
      </c>
      <c r="D984" s="13" t="s">
        <v>52</v>
      </c>
      <c r="E984" s="13" t="s">
        <v>77</v>
      </c>
      <c r="F984" s="13" t="s">
        <v>78</v>
      </c>
      <c r="G984" s="13" t="s">
        <v>67</v>
      </c>
      <c r="H984">
        <v>510000</v>
      </c>
      <c r="I984" s="13" t="s">
        <v>86</v>
      </c>
      <c r="J984" s="13" t="s">
        <v>87</v>
      </c>
      <c r="K984" s="13" t="s">
        <v>58</v>
      </c>
      <c r="L984" s="13" t="s">
        <v>88</v>
      </c>
      <c r="M984">
        <v>60</v>
      </c>
      <c r="N984">
        <v>0</v>
      </c>
      <c r="O984" s="14">
        <v>45985</v>
      </c>
      <c r="P984" s="14">
        <v>46045</v>
      </c>
      <c r="Q984">
        <v>8602.4500000000007</v>
      </c>
      <c r="R984">
        <v>0</v>
      </c>
      <c r="S984">
        <v>0</v>
      </c>
      <c r="T984">
        <v>0</v>
      </c>
      <c r="U984">
        <v>0</v>
      </c>
      <c r="V984">
        <v>8602.4500000000007</v>
      </c>
      <c r="W984">
        <v>0</v>
      </c>
      <c r="X984">
        <v>1</v>
      </c>
      <c r="Y984">
        <v>0</v>
      </c>
      <c r="Z984">
        <v>-23</v>
      </c>
      <c r="AA984">
        <v>1</v>
      </c>
      <c r="AB984" s="13" t="s">
        <v>581</v>
      </c>
      <c r="AC984">
        <v>0</v>
      </c>
      <c r="AD984">
        <v>0</v>
      </c>
      <c r="AE984" s="13" t="s">
        <v>61</v>
      </c>
    </row>
    <row r="985" spans="1:31" x14ac:dyDescent="0.35">
      <c r="A985" s="13" t="s">
        <v>1631</v>
      </c>
      <c r="B985" s="13" t="s">
        <v>317</v>
      </c>
      <c r="C985" s="13" t="s">
        <v>318</v>
      </c>
      <c r="D985" s="13" t="s">
        <v>52</v>
      </c>
      <c r="E985" s="13" t="s">
        <v>77</v>
      </c>
      <c r="F985" s="13" t="s">
        <v>78</v>
      </c>
      <c r="G985" s="13" t="s">
        <v>67</v>
      </c>
      <c r="H985">
        <v>390000</v>
      </c>
      <c r="I985" s="13" t="s">
        <v>56</v>
      </c>
      <c r="J985" s="13" t="s">
        <v>57</v>
      </c>
      <c r="K985" s="13" t="s">
        <v>58</v>
      </c>
      <c r="L985" s="13" t="s">
        <v>88</v>
      </c>
      <c r="M985">
        <v>60</v>
      </c>
      <c r="N985">
        <v>0</v>
      </c>
      <c r="O985" s="14">
        <v>45985</v>
      </c>
      <c r="P985" s="14">
        <v>46045</v>
      </c>
      <c r="Q985">
        <v>3559.12</v>
      </c>
      <c r="R985">
        <v>0</v>
      </c>
      <c r="S985">
        <v>0</v>
      </c>
      <c r="T985">
        <v>0</v>
      </c>
      <c r="U985">
        <v>0</v>
      </c>
      <c r="V985">
        <v>3559.12</v>
      </c>
      <c r="W985">
        <v>0</v>
      </c>
      <c r="X985">
        <v>1</v>
      </c>
      <c r="Y985">
        <v>0</v>
      </c>
      <c r="Z985">
        <v>-23</v>
      </c>
      <c r="AA985">
        <v>1</v>
      </c>
      <c r="AB985" s="13" t="s">
        <v>581</v>
      </c>
      <c r="AC985">
        <v>0</v>
      </c>
      <c r="AD985">
        <v>0</v>
      </c>
      <c r="AE985" s="13" t="s">
        <v>61</v>
      </c>
    </row>
    <row r="986" spans="1:31" x14ac:dyDescent="0.35">
      <c r="A986" s="13" t="s">
        <v>1632</v>
      </c>
      <c r="B986" s="13" t="s">
        <v>981</v>
      </c>
      <c r="C986" s="13" t="s">
        <v>982</v>
      </c>
      <c r="D986" s="13" t="s">
        <v>52</v>
      </c>
      <c r="E986" s="13" t="s">
        <v>53</v>
      </c>
      <c r="F986" s="13" t="s">
        <v>54</v>
      </c>
      <c r="G986" s="13" t="s">
        <v>67</v>
      </c>
      <c r="H986">
        <v>275000</v>
      </c>
      <c r="I986" s="13" t="s">
        <v>86</v>
      </c>
      <c r="J986" s="13" t="s">
        <v>87</v>
      </c>
      <c r="K986" s="13" t="s">
        <v>58</v>
      </c>
      <c r="L986" s="13" t="s">
        <v>88</v>
      </c>
      <c r="M986">
        <v>60</v>
      </c>
      <c r="N986">
        <v>0</v>
      </c>
      <c r="O986" s="14">
        <v>45985</v>
      </c>
      <c r="P986" s="14">
        <v>46045</v>
      </c>
      <c r="Q986">
        <v>16146.97</v>
      </c>
      <c r="R986">
        <v>0</v>
      </c>
      <c r="S986">
        <v>0</v>
      </c>
      <c r="T986">
        <v>0</v>
      </c>
      <c r="U986">
        <v>0</v>
      </c>
      <c r="V986">
        <v>16146.97</v>
      </c>
      <c r="W986">
        <v>0</v>
      </c>
      <c r="X986">
        <v>1</v>
      </c>
      <c r="Y986">
        <v>0</v>
      </c>
      <c r="Z986">
        <v>-23</v>
      </c>
      <c r="AA986">
        <v>1</v>
      </c>
      <c r="AB986" s="13" t="s">
        <v>581</v>
      </c>
      <c r="AC986">
        <v>0</v>
      </c>
      <c r="AD986">
        <v>0</v>
      </c>
      <c r="AE986" s="13" t="s">
        <v>61</v>
      </c>
    </row>
    <row r="987" spans="1:31" x14ac:dyDescent="0.35">
      <c r="A987" s="13" t="s">
        <v>1633</v>
      </c>
      <c r="B987" s="13" t="s">
        <v>386</v>
      </c>
      <c r="C987" s="13" t="s">
        <v>387</v>
      </c>
      <c r="D987" s="13" t="s">
        <v>52</v>
      </c>
      <c r="E987" s="13" t="s">
        <v>65</v>
      </c>
      <c r="F987" s="13" t="s">
        <v>66</v>
      </c>
      <c r="G987" s="13" t="s">
        <v>67</v>
      </c>
      <c r="H987">
        <v>215000</v>
      </c>
      <c r="I987" s="13" t="s">
        <v>56</v>
      </c>
      <c r="J987" s="13" t="s">
        <v>57</v>
      </c>
      <c r="K987" s="13" t="s">
        <v>58</v>
      </c>
      <c r="L987" s="13" t="s">
        <v>88</v>
      </c>
      <c r="M987">
        <v>60</v>
      </c>
      <c r="N987">
        <v>0</v>
      </c>
      <c r="O987" s="14">
        <v>45985</v>
      </c>
      <c r="P987" s="14">
        <v>46045</v>
      </c>
      <c r="Q987">
        <v>10558.72</v>
      </c>
      <c r="R987">
        <v>0</v>
      </c>
      <c r="S987">
        <v>0</v>
      </c>
      <c r="T987">
        <v>0</v>
      </c>
      <c r="U987">
        <v>0</v>
      </c>
      <c r="V987">
        <v>10558.72</v>
      </c>
      <c r="W987">
        <v>0</v>
      </c>
      <c r="X987">
        <v>1</v>
      </c>
      <c r="Y987">
        <v>0</v>
      </c>
      <c r="Z987">
        <v>-23</v>
      </c>
      <c r="AA987">
        <v>1</v>
      </c>
      <c r="AB987" s="13" t="s">
        <v>581</v>
      </c>
      <c r="AC987">
        <v>0</v>
      </c>
      <c r="AD987">
        <v>0</v>
      </c>
      <c r="AE987" s="13" t="s">
        <v>61</v>
      </c>
    </row>
    <row r="988" spans="1:31" x14ac:dyDescent="0.35">
      <c r="A988" s="13" t="s">
        <v>1634</v>
      </c>
      <c r="B988" s="13" t="s">
        <v>1018</v>
      </c>
      <c r="C988" s="13" t="s">
        <v>1019</v>
      </c>
      <c r="D988" s="13" t="s">
        <v>52</v>
      </c>
      <c r="E988" s="13" t="s">
        <v>65</v>
      </c>
      <c r="F988" s="13" t="s">
        <v>66</v>
      </c>
      <c r="G988" s="13" t="s">
        <v>67</v>
      </c>
      <c r="H988">
        <v>250000</v>
      </c>
      <c r="I988" s="13" t="s">
        <v>86</v>
      </c>
      <c r="J988" s="13" t="s">
        <v>87</v>
      </c>
      <c r="K988" s="13" t="s">
        <v>58</v>
      </c>
      <c r="L988" s="13" t="s">
        <v>59</v>
      </c>
      <c r="M988">
        <v>45</v>
      </c>
      <c r="N988">
        <v>0</v>
      </c>
      <c r="O988" s="14">
        <v>45985</v>
      </c>
      <c r="P988" s="14">
        <v>46030</v>
      </c>
      <c r="Q988">
        <v>10681.71</v>
      </c>
      <c r="R988">
        <v>0</v>
      </c>
      <c r="S988">
        <v>0</v>
      </c>
      <c r="T988">
        <v>0</v>
      </c>
      <c r="U988">
        <v>0</v>
      </c>
      <c r="V988">
        <v>10681.71</v>
      </c>
      <c r="W988">
        <v>0</v>
      </c>
      <c r="X988">
        <v>1</v>
      </c>
      <c r="Y988">
        <v>0</v>
      </c>
      <c r="Z988">
        <v>-8</v>
      </c>
      <c r="AA988">
        <v>1</v>
      </c>
      <c r="AB988" s="13" t="s">
        <v>581</v>
      </c>
      <c r="AC988">
        <v>0</v>
      </c>
      <c r="AD988">
        <v>0</v>
      </c>
      <c r="AE988" s="13" t="s">
        <v>61</v>
      </c>
    </row>
    <row r="989" spans="1:31" x14ac:dyDescent="0.35">
      <c r="A989" s="13" t="s">
        <v>1635</v>
      </c>
      <c r="B989" s="13" t="s">
        <v>1577</v>
      </c>
      <c r="C989" s="13" t="s">
        <v>1578</v>
      </c>
      <c r="D989" s="13" t="s">
        <v>76</v>
      </c>
      <c r="E989" s="13" t="s">
        <v>71</v>
      </c>
      <c r="F989" s="13" t="s">
        <v>72</v>
      </c>
      <c r="G989" s="13" t="s">
        <v>67</v>
      </c>
      <c r="H989">
        <v>100000</v>
      </c>
      <c r="I989" s="13" t="s">
        <v>79</v>
      </c>
      <c r="J989" s="13" t="s">
        <v>80</v>
      </c>
      <c r="K989" s="13" t="s">
        <v>81</v>
      </c>
      <c r="L989" s="13" t="s">
        <v>95</v>
      </c>
      <c r="M989">
        <v>30</v>
      </c>
      <c r="N989">
        <v>0</v>
      </c>
      <c r="O989" s="14">
        <v>45985</v>
      </c>
      <c r="P989" s="14">
        <v>46015</v>
      </c>
      <c r="Q989">
        <v>519.57000000000005</v>
      </c>
      <c r="R989">
        <v>0</v>
      </c>
      <c r="S989">
        <v>0</v>
      </c>
      <c r="T989">
        <v>0</v>
      </c>
      <c r="U989">
        <v>0</v>
      </c>
      <c r="V989">
        <v>519.57000000000005</v>
      </c>
      <c r="W989">
        <v>0</v>
      </c>
      <c r="X989">
        <v>1</v>
      </c>
      <c r="Y989">
        <v>1</v>
      </c>
      <c r="Z989">
        <v>7</v>
      </c>
      <c r="AA989">
        <v>2</v>
      </c>
      <c r="AB989" s="13" t="s">
        <v>405</v>
      </c>
      <c r="AC989">
        <v>0.25</v>
      </c>
      <c r="AD989">
        <v>0</v>
      </c>
      <c r="AE989" s="13" t="s">
        <v>61</v>
      </c>
    </row>
    <row r="990" spans="1:31" x14ac:dyDescent="0.35">
      <c r="A990" s="13" t="s">
        <v>1636</v>
      </c>
      <c r="B990" s="13" t="s">
        <v>206</v>
      </c>
      <c r="C990" s="13" t="s">
        <v>207</v>
      </c>
      <c r="D990" s="13" t="s">
        <v>52</v>
      </c>
      <c r="E990" s="13" t="s">
        <v>65</v>
      </c>
      <c r="F990" s="13" t="s">
        <v>111</v>
      </c>
      <c r="G990" s="13" t="s">
        <v>92</v>
      </c>
      <c r="H990">
        <v>490000</v>
      </c>
      <c r="I990" s="13" t="s">
        <v>86</v>
      </c>
      <c r="J990" s="13" t="s">
        <v>87</v>
      </c>
      <c r="K990" s="13" t="s">
        <v>58</v>
      </c>
      <c r="L990" s="13" t="s">
        <v>88</v>
      </c>
      <c r="M990">
        <v>60</v>
      </c>
      <c r="N990">
        <v>0</v>
      </c>
      <c r="O990" s="14">
        <v>45985</v>
      </c>
      <c r="P990" s="14">
        <v>46045</v>
      </c>
      <c r="Q990">
        <v>12852.4</v>
      </c>
      <c r="R990">
        <v>0</v>
      </c>
      <c r="S990">
        <v>0</v>
      </c>
      <c r="T990">
        <v>0</v>
      </c>
      <c r="U990">
        <v>0</v>
      </c>
      <c r="V990">
        <v>12852.4</v>
      </c>
      <c r="W990">
        <v>0</v>
      </c>
      <c r="X990">
        <v>1</v>
      </c>
      <c r="Y990">
        <v>0</v>
      </c>
      <c r="Z990">
        <v>-23</v>
      </c>
      <c r="AA990">
        <v>1</v>
      </c>
      <c r="AB990" s="13" t="s">
        <v>581</v>
      </c>
      <c r="AC990">
        <v>0</v>
      </c>
      <c r="AD990">
        <v>0</v>
      </c>
      <c r="AE990" s="13" t="s">
        <v>61</v>
      </c>
    </row>
    <row r="991" spans="1:31" x14ac:dyDescent="0.35">
      <c r="A991" s="13" t="s">
        <v>1637</v>
      </c>
      <c r="B991" s="13" t="s">
        <v>876</v>
      </c>
      <c r="C991" s="13" t="s">
        <v>877</v>
      </c>
      <c r="D991" s="13" t="s">
        <v>126</v>
      </c>
      <c r="E991" s="13" t="s">
        <v>77</v>
      </c>
      <c r="F991" s="13" t="s">
        <v>174</v>
      </c>
      <c r="G991" s="13" t="s">
        <v>67</v>
      </c>
      <c r="H991">
        <v>105000</v>
      </c>
      <c r="I991" s="13" t="s">
        <v>121</v>
      </c>
      <c r="J991" s="13" t="s">
        <v>122</v>
      </c>
      <c r="K991" s="13" t="s">
        <v>107</v>
      </c>
      <c r="L991" s="13" t="s">
        <v>88</v>
      </c>
      <c r="M991">
        <v>60</v>
      </c>
      <c r="N991">
        <v>0</v>
      </c>
      <c r="O991" s="14">
        <v>45985</v>
      </c>
      <c r="P991" s="14">
        <v>46045</v>
      </c>
      <c r="Q991">
        <v>10886.45</v>
      </c>
      <c r="R991">
        <v>0</v>
      </c>
      <c r="S991">
        <v>0</v>
      </c>
      <c r="T991">
        <v>0</v>
      </c>
      <c r="U991">
        <v>0</v>
      </c>
      <c r="V991">
        <v>10886.45</v>
      </c>
      <c r="W991">
        <v>0</v>
      </c>
      <c r="X991">
        <v>1</v>
      </c>
      <c r="Y991">
        <v>0</v>
      </c>
      <c r="Z991">
        <v>-23</v>
      </c>
      <c r="AA991">
        <v>1</v>
      </c>
      <c r="AB991" s="13" t="s">
        <v>581</v>
      </c>
      <c r="AC991">
        <v>0</v>
      </c>
      <c r="AD991">
        <v>0</v>
      </c>
      <c r="AE991" s="13" t="s">
        <v>61</v>
      </c>
    </row>
    <row r="992" spans="1:31" x14ac:dyDescent="0.35">
      <c r="A992" s="13" t="s">
        <v>1638</v>
      </c>
      <c r="B992" s="13" t="s">
        <v>1105</v>
      </c>
      <c r="C992" s="13" t="s">
        <v>1106</v>
      </c>
      <c r="D992" s="13" t="s">
        <v>52</v>
      </c>
      <c r="E992" s="13" t="s">
        <v>71</v>
      </c>
      <c r="F992" s="13" t="s">
        <v>72</v>
      </c>
      <c r="G992" s="13" t="s">
        <v>67</v>
      </c>
      <c r="H992">
        <v>205000</v>
      </c>
      <c r="I992" s="13" t="s">
        <v>56</v>
      </c>
      <c r="J992" s="13" t="s">
        <v>57</v>
      </c>
      <c r="K992" s="13" t="s">
        <v>58</v>
      </c>
      <c r="L992" s="13" t="s">
        <v>88</v>
      </c>
      <c r="M992">
        <v>60</v>
      </c>
      <c r="N992">
        <v>0</v>
      </c>
      <c r="O992" s="14">
        <v>45985</v>
      </c>
      <c r="P992" s="14">
        <v>46045</v>
      </c>
      <c r="Q992">
        <v>9833.7900000000009</v>
      </c>
      <c r="R992">
        <v>0</v>
      </c>
      <c r="S992">
        <v>0</v>
      </c>
      <c r="T992">
        <v>0</v>
      </c>
      <c r="U992">
        <v>0</v>
      </c>
      <c r="V992">
        <v>9833.7900000000009</v>
      </c>
      <c r="W992">
        <v>0</v>
      </c>
      <c r="X992">
        <v>1</v>
      </c>
      <c r="Y992">
        <v>0</v>
      </c>
      <c r="Z992">
        <v>-23</v>
      </c>
      <c r="AA992">
        <v>1</v>
      </c>
      <c r="AB992" s="13" t="s">
        <v>581</v>
      </c>
      <c r="AC992">
        <v>0</v>
      </c>
      <c r="AD992">
        <v>0</v>
      </c>
      <c r="AE992" s="13" t="s">
        <v>61</v>
      </c>
    </row>
    <row r="993" spans="1:31" x14ac:dyDescent="0.35">
      <c r="A993" s="13" t="s">
        <v>1639</v>
      </c>
      <c r="B993" s="13" t="s">
        <v>113</v>
      </c>
      <c r="C993" s="13" t="s">
        <v>114</v>
      </c>
      <c r="D993" s="13" t="s">
        <v>52</v>
      </c>
      <c r="E993" s="13" t="s">
        <v>77</v>
      </c>
      <c r="F993" s="13" t="s">
        <v>78</v>
      </c>
      <c r="G993" s="13" t="s">
        <v>92</v>
      </c>
      <c r="H993">
        <v>545000</v>
      </c>
      <c r="I993" s="13" t="s">
        <v>86</v>
      </c>
      <c r="J993" s="13" t="s">
        <v>87</v>
      </c>
      <c r="K993" s="13" t="s">
        <v>58</v>
      </c>
      <c r="L993" s="13" t="s">
        <v>88</v>
      </c>
      <c r="M993">
        <v>60</v>
      </c>
      <c r="N993">
        <v>0</v>
      </c>
      <c r="O993" s="14">
        <v>45985</v>
      </c>
      <c r="P993" s="14">
        <v>46045</v>
      </c>
      <c r="Q993">
        <v>1746.23</v>
      </c>
      <c r="R993">
        <v>0</v>
      </c>
      <c r="S993">
        <v>0</v>
      </c>
      <c r="T993">
        <v>0</v>
      </c>
      <c r="U993">
        <v>0</v>
      </c>
      <c r="V993">
        <v>1746.23</v>
      </c>
      <c r="W993">
        <v>0</v>
      </c>
      <c r="X993">
        <v>1</v>
      </c>
      <c r="Y993">
        <v>0</v>
      </c>
      <c r="Z993">
        <v>-23</v>
      </c>
      <c r="AA993">
        <v>1</v>
      </c>
      <c r="AB993" s="13" t="s">
        <v>581</v>
      </c>
      <c r="AC993">
        <v>0</v>
      </c>
      <c r="AD993">
        <v>0</v>
      </c>
      <c r="AE993" s="13" t="s">
        <v>61</v>
      </c>
    </row>
    <row r="994" spans="1:31" x14ac:dyDescent="0.35">
      <c r="A994" s="13" t="s">
        <v>1640</v>
      </c>
      <c r="B994" s="13" t="s">
        <v>340</v>
      </c>
      <c r="C994" s="13" t="s">
        <v>341</v>
      </c>
      <c r="D994" s="13" t="s">
        <v>52</v>
      </c>
      <c r="E994" s="13" t="s">
        <v>77</v>
      </c>
      <c r="F994" s="13" t="s">
        <v>78</v>
      </c>
      <c r="G994" s="13" t="s">
        <v>92</v>
      </c>
      <c r="H994">
        <v>565000</v>
      </c>
      <c r="I994" s="13" t="s">
        <v>56</v>
      </c>
      <c r="J994" s="13" t="s">
        <v>57</v>
      </c>
      <c r="K994" s="13" t="s">
        <v>58</v>
      </c>
      <c r="L994" s="13" t="s">
        <v>59</v>
      </c>
      <c r="M994">
        <v>45</v>
      </c>
      <c r="N994">
        <v>0</v>
      </c>
      <c r="O994" s="14">
        <v>45985</v>
      </c>
      <c r="P994" s="14">
        <v>46030</v>
      </c>
      <c r="Q994">
        <v>17245.759999999998</v>
      </c>
      <c r="R994">
        <v>0</v>
      </c>
      <c r="S994">
        <v>0</v>
      </c>
      <c r="T994">
        <v>0</v>
      </c>
      <c r="U994">
        <v>0</v>
      </c>
      <c r="V994">
        <v>17245.759999999998</v>
      </c>
      <c r="W994">
        <v>0</v>
      </c>
      <c r="X994">
        <v>1</v>
      </c>
      <c r="Y994">
        <v>0</v>
      </c>
      <c r="Z994">
        <v>-8</v>
      </c>
      <c r="AA994">
        <v>1</v>
      </c>
      <c r="AB994" s="13" t="s">
        <v>581</v>
      </c>
      <c r="AC994">
        <v>0</v>
      </c>
      <c r="AD994">
        <v>0</v>
      </c>
      <c r="AE994" s="13" t="s">
        <v>61</v>
      </c>
    </row>
    <row r="995" spans="1:31" x14ac:dyDescent="0.35">
      <c r="A995" s="13" t="s">
        <v>1641</v>
      </c>
      <c r="B995" s="13" t="s">
        <v>1280</v>
      </c>
      <c r="C995" s="13" t="s">
        <v>1281</v>
      </c>
      <c r="D995" s="13" t="s">
        <v>104</v>
      </c>
      <c r="E995" s="13" t="s">
        <v>71</v>
      </c>
      <c r="F995" s="13" t="s">
        <v>72</v>
      </c>
      <c r="G995" s="13" t="s">
        <v>67</v>
      </c>
      <c r="H995">
        <v>135000</v>
      </c>
      <c r="I995" s="13" t="s">
        <v>121</v>
      </c>
      <c r="J995" s="13" t="s">
        <v>122</v>
      </c>
      <c r="K995" s="13" t="s">
        <v>107</v>
      </c>
      <c r="L995" s="13" t="s">
        <v>88</v>
      </c>
      <c r="M995">
        <v>60</v>
      </c>
      <c r="N995">
        <v>0</v>
      </c>
      <c r="O995" s="14">
        <v>45985</v>
      </c>
      <c r="P995" s="14">
        <v>46045</v>
      </c>
      <c r="Q995">
        <v>3896.04</v>
      </c>
      <c r="R995">
        <v>0</v>
      </c>
      <c r="S995">
        <v>0</v>
      </c>
      <c r="T995">
        <v>0</v>
      </c>
      <c r="U995">
        <v>0</v>
      </c>
      <c r="V995">
        <v>3896.04</v>
      </c>
      <c r="W995">
        <v>0</v>
      </c>
      <c r="X995">
        <v>1</v>
      </c>
      <c r="Y995">
        <v>0</v>
      </c>
      <c r="Z995">
        <v>-23</v>
      </c>
      <c r="AA995">
        <v>1</v>
      </c>
      <c r="AB995" s="13" t="s">
        <v>581</v>
      </c>
      <c r="AC995">
        <v>0</v>
      </c>
      <c r="AD995">
        <v>0</v>
      </c>
      <c r="AE995" s="13" t="s">
        <v>61</v>
      </c>
    </row>
    <row r="996" spans="1:31" x14ac:dyDescent="0.35">
      <c r="A996" s="13" t="s">
        <v>1642</v>
      </c>
      <c r="B996" s="13" t="s">
        <v>186</v>
      </c>
      <c r="C996" s="13" t="s">
        <v>187</v>
      </c>
      <c r="D996" s="13" t="s">
        <v>76</v>
      </c>
      <c r="E996" s="13" t="s">
        <v>65</v>
      </c>
      <c r="F996" s="13" t="s">
        <v>66</v>
      </c>
      <c r="G996" s="13" t="s">
        <v>55</v>
      </c>
      <c r="H996">
        <v>120000</v>
      </c>
      <c r="I996" s="13" t="s">
        <v>93</v>
      </c>
      <c r="J996" s="13" t="s">
        <v>94</v>
      </c>
      <c r="K996" s="13" t="s">
        <v>81</v>
      </c>
      <c r="L996" s="13" t="s">
        <v>95</v>
      </c>
      <c r="M996">
        <v>30</v>
      </c>
      <c r="N996">
        <v>0</v>
      </c>
      <c r="O996" s="14">
        <v>45986</v>
      </c>
      <c r="P996" s="14">
        <v>46016</v>
      </c>
      <c r="Q996">
        <v>2512.1</v>
      </c>
      <c r="R996">
        <v>0</v>
      </c>
      <c r="S996">
        <v>0</v>
      </c>
      <c r="T996">
        <v>0</v>
      </c>
      <c r="U996">
        <v>0</v>
      </c>
      <c r="V996">
        <v>2512.1</v>
      </c>
      <c r="W996">
        <v>0</v>
      </c>
      <c r="X996">
        <v>1</v>
      </c>
      <c r="Y996">
        <v>1</v>
      </c>
      <c r="Z996">
        <v>6</v>
      </c>
      <c r="AA996">
        <v>2</v>
      </c>
      <c r="AB996" s="13" t="s">
        <v>405</v>
      </c>
      <c r="AC996">
        <v>0.25</v>
      </c>
      <c r="AD996">
        <v>1</v>
      </c>
      <c r="AE996" s="13" t="s">
        <v>465</v>
      </c>
    </row>
    <row r="997" spans="1:31" x14ac:dyDescent="0.35">
      <c r="A997" s="13" t="s">
        <v>1643</v>
      </c>
      <c r="B997" s="13" t="s">
        <v>1644</v>
      </c>
      <c r="C997" s="13" t="s">
        <v>1645</v>
      </c>
      <c r="D997" s="13" t="s">
        <v>76</v>
      </c>
      <c r="E997" s="13" t="s">
        <v>77</v>
      </c>
      <c r="F997" s="13" t="s">
        <v>78</v>
      </c>
      <c r="G997" s="13" t="s">
        <v>55</v>
      </c>
      <c r="H997">
        <v>85000</v>
      </c>
      <c r="I997" s="13" t="s">
        <v>79</v>
      </c>
      <c r="J997" s="13" t="s">
        <v>80</v>
      </c>
      <c r="K997" s="13" t="s">
        <v>81</v>
      </c>
      <c r="L997" s="13" t="s">
        <v>82</v>
      </c>
      <c r="M997">
        <v>30</v>
      </c>
      <c r="N997">
        <v>2</v>
      </c>
      <c r="O997" s="14">
        <v>45986</v>
      </c>
      <c r="P997" s="14">
        <v>46016</v>
      </c>
      <c r="Q997">
        <v>461.63</v>
      </c>
      <c r="R997">
        <v>0</v>
      </c>
      <c r="S997">
        <v>0</v>
      </c>
      <c r="T997">
        <v>0</v>
      </c>
      <c r="U997">
        <v>0</v>
      </c>
      <c r="V997">
        <v>461.63</v>
      </c>
      <c r="W997">
        <v>0</v>
      </c>
      <c r="X997">
        <v>1</v>
      </c>
      <c r="Y997">
        <v>1</v>
      </c>
      <c r="Z997">
        <v>6</v>
      </c>
      <c r="AA997">
        <v>2</v>
      </c>
      <c r="AB997" s="13" t="s">
        <v>405</v>
      </c>
      <c r="AC997">
        <v>0.25</v>
      </c>
      <c r="AD997">
        <v>0</v>
      </c>
      <c r="AE997" s="13" t="s">
        <v>61</v>
      </c>
    </row>
    <row r="998" spans="1:31" x14ac:dyDescent="0.35">
      <c r="A998" s="13" t="s">
        <v>1646</v>
      </c>
      <c r="B998" s="13" t="s">
        <v>273</v>
      </c>
      <c r="C998" s="13" t="s">
        <v>274</v>
      </c>
      <c r="D998" s="13" t="s">
        <v>104</v>
      </c>
      <c r="E998" s="13" t="s">
        <v>71</v>
      </c>
      <c r="F998" s="13" t="s">
        <v>72</v>
      </c>
      <c r="G998" s="13" t="s">
        <v>92</v>
      </c>
      <c r="H998">
        <v>120000</v>
      </c>
      <c r="I998" s="13" t="s">
        <v>105</v>
      </c>
      <c r="J998" s="13" t="s">
        <v>106</v>
      </c>
      <c r="K998" s="13" t="s">
        <v>107</v>
      </c>
      <c r="L998" s="13" t="s">
        <v>88</v>
      </c>
      <c r="M998">
        <v>60</v>
      </c>
      <c r="N998">
        <v>0</v>
      </c>
      <c r="O998" s="14">
        <v>45986</v>
      </c>
      <c r="P998" s="14">
        <v>46046</v>
      </c>
      <c r="Q998">
        <v>6121.62</v>
      </c>
      <c r="R998">
        <v>0</v>
      </c>
      <c r="S998">
        <v>0</v>
      </c>
      <c r="T998">
        <v>0</v>
      </c>
      <c r="U998">
        <v>0</v>
      </c>
      <c r="V998">
        <v>6121.62</v>
      </c>
      <c r="W998">
        <v>0</v>
      </c>
      <c r="X998">
        <v>1</v>
      </c>
      <c r="Y998">
        <v>0</v>
      </c>
      <c r="Z998">
        <v>-24</v>
      </c>
      <c r="AA998">
        <v>1</v>
      </c>
      <c r="AB998" s="13" t="s">
        <v>581</v>
      </c>
      <c r="AC998">
        <v>0</v>
      </c>
      <c r="AD998">
        <v>0</v>
      </c>
      <c r="AE998" s="13" t="s">
        <v>61</v>
      </c>
    </row>
    <row r="999" spans="1:31" x14ac:dyDescent="0.35">
      <c r="A999" s="13" t="s">
        <v>1647</v>
      </c>
      <c r="B999" s="13" t="s">
        <v>1648</v>
      </c>
      <c r="C999" s="13" t="s">
        <v>1649</v>
      </c>
      <c r="D999" s="13" t="s">
        <v>52</v>
      </c>
      <c r="E999" s="13" t="s">
        <v>65</v>
      </c>
      <c r="F999" s="13" t="s">
        <v>111</v>
      </c>
      <c r="G999" s="13" t="s">
        <v>67</v>
      </c>
      <c r="H999">
        <v>230000</v>
      </c>
      <c r="I999" s="13" t="s">
        <v>86</v>
      </c>
      <c r="J999" s="13" t="s">
        <v>87</v>
      </c>
      <c r="K999" s="13" t="s">
        <v>58</v>
      </c>
      <c r="L999" s="13" t="s">
        <v>59</v>
      </c>
      <c r="M999">
        <v>45</v>
      </c>
      <c r="N999">
        <v>0</v>
      </c>
      <c r="O999" s="14">
        <v>45986</v>
      </c>
      <c r="P999" s="14">
        <v>46031</v>
      </c>
      <c r="Q999">
        <v>2565.46</v>
      </c>
      <c r="R999">
        <v>0</v>
      </c>
      <c r="S999">
        <v>0</v>
      </c>
      <c r="T999">
        <v>0</v>
      </c>
      <c r="U999">
        <v>0</v>
      </c>
      <c r="V999">
        <v>2565.46</v>
      </c>
      <c r="W999">
        <v>0</v>
      </c>
      <c r="X999">
        <v>1</v>
      </c>
      <c r="Y999">
        <v>0</v>
      </c>
      <c r="Z999">
        <v>-9</v>
      </c>
      <c r="AA999">
        <v>1</v>
      </c>
      <c r="AB999" s="13" t="s">
        <v>581</v>
      </c>
      <c r="AC999">
        <v>0</v>
      </c>
      <c r="AD999">
        <v>0</v>
      </c>
      <c r="AE999" s="13" t="s">
        <v>61</v>
      </c>
    </row>
    <row r="1000" spans="1:31" x14ac:dyDescent="0.35">
      <c r="A1000" s="13" t="s">
        <v>1650</v>
      </c>
      <c r="B1000" s="13" t="s">
        <v>667</v>
      </c>
      <c r="C1000" s="13" t="s">
        <v>668</v>
      </c>
      <c r="D1000" s="13" t="s">
        <v>126</v>
      </c>
      <c r="E1000" s="13" t="s">
        <v>65</v>
      </c>
      <c r="F1000" s="13" t="s">
        <v>66</v>
      </c>
      <c r="G1000" s="13" t="s">
        <v>67</v>
      </c>
      <c r="H1000">
        <v>180000</v>
      </c>
      <c r="I1000" s="13" t="s">
        <v>86</v>
      </c>
      <c r="J1000" s="13" t="s">
        <v>87</v>
      </c>
      <c r="K1000" s="13" t="s">
        <v>58</v>
      </c>
      <c r="L1000" s="13" t="s">
        <v>88</v>
      </c>
      <c r="M1000">
        <v>60</v>
      </c>
      <c r="N1000">
        <v>0</v>
      </c>
      <c r="O1000" s="14">
        <v>45986</v>
      </c>
      <c r="P1000" s="14">
        <v>46046</v>
      </c>
      <c r="Q1000">
        <v>9350.1200000000008</v>
      </c>
      <c r="R1000">
        <v>0</v>
      </c>
      <c r="S1000">
        <v>0</v>
      </c>
      <c r="T1000">
        <v>0</v>
      </c>
      <c r="U1000">
        <v>0</v>
      </c>
      <c r="V1000">
        <v>9350.1200000000008</v>
      </c>
      <c r="W1000">
        <v>0</v>
      </c>
      <c r="X1000">
        <v>1</v>
      </c>
      <c r="Y1000">
        <v>0</v>
      </c>
      <c r="Z1000">
        <v>-24</v>
      </c>
      <c r="AA1000">
        <v>1</v>
      </c>
      <c r="AB1000" s="13" t="s">
        <v>581</v>
      </c>
      <c r="AC1000">
        <v>0</v>
      </c>
      <c r="AD1000">
        <v>0</v>
      </c>
      <c r="AE1000" s="13" t="s">
        <v>61</v>
      </c>
    </row>
    <row r="1001" spans="1:31" x14ac:dyDescent="0.35">
      <c r="A1001" s="13" t="s">
        <v>1651</v>
      </c>
      <c r="B1001" s="13" t="s">
        <v>1559</v>
      </c>
      <c r="C1001" s="13" t="s">
        <v>1560</v>
      </c>
      <c r="D1001" s="13" t="s">
        <v>104</v>
      </c>
      <c r="E1001" s="13" t="s">
        <v>99</v>
      </c>
      <c r="F1001" s="13" t="s">
        <v>100</v>
      </c>
      <c r="G1001" s="13" t="s">
        <v>55</v>
      </c>
      <c r="H1001">
        <v>115000</v>
      </c>
      <c r="I1001" s="13" t="s">
        <v>105</v>
      </c>
      <c r="J1001" s="13" t="s">
        <v>106</v>
      </c>
      <c r="K1001" s="13" t="s">
        <v>107</v>
      </c>
      <c r="L1001" s="13" t="s">
        <v>95</v>
      </c>
      <c r="M1001">
        <v>30</v>
      </c>
      <c r="N1001">
        <v>0</v>
      </c>
      <c r="O1001" s="14">
        <v>45986</v>
      </c>
      <c r="P1001" s="14">
        <v>46016</v>
      </c>
      <c r="Q1001">
        <v>8212.75</v>
      </c>
      <c r="R1001">
        <v>0</v>
      </c>
      <c r="S1001">
        <v>0</v>
      </c>
      <c r="T1001">
        <v>0</v>
      </c>
      <c r="U1001">
        <v>0</v>
      </c>
      <c r="V1001">
        <v>8212.75</v>
      </c>
      <c r="W1001">
        <v>0</v>
      </c>
      <c r="X1001">
        <v>1</v>
      </c>
      <c r="Y1001">
        <v>1</v>
      </c>
      <c r="Z1001">
        <v>6</v>
      </c>
      <c r="AA1001">
        <v>2</v>
      </c>
      <c r="AB1001" s="13" t="s">
        <v>405</v>
      </c>
      <c r="AC1001">
        <v>0.25</v>
      </c>
      <c r="AD1001">
        <v>1</v>
      </c>
      <c r="AE1001" s="13" t="s">
        <v>348</v>
      </c>
    </row>
    <row r="1002" spans="1:31" x14ac:dyDescent="0.35">
      <c r="A1002" s="13" t="s">
        <v>1652</v>
      </c>
      <c r="B1002" s="13" t="s">
        <v>1470</v>
      </c>
      <c r="C1002" s="13" t="s">
        <v>1471</v>
      </c>
      <c r="D1002" s="13" t="s">
        <v>52</v>
      </c>
      <c r="E1002" s="13" t="s">
        <v>77</v>
      </c>
      <c r="F1002" s="13" t="s">
        <v>78</v>
      </c>
      <c r="G1002" s="13" t="s">
        <v>67</v>
      </c>
      <c r="H1002">
        <v>385000</v>
      </c>
      <c r="I1002" s="13" t="s">
        <v>86</v>
      </c>
      <c r="J1002" s="13" t="s">
        <v>87</v>
      </c>
      <c r="K1002" s="13" t="s">
        <v>58</v>
      </c>
      <c r="L1002" s="13" t="s">
        <v>88</v>
      </c>
      <c r="M1002">
        <v>60</v>
      </c>
      <c r="N1002">
        <v>0</v>
      </c>
      <c r="O1002" s="14">
        <v>45986</v>
      </c>
      <c r="P1002" s="14">
        <v>46046</v>
      </c>
      <c r="Q1002">
        <v>7193.46</v>
      </c>
      <c r="R1002">
        <v>0</v>
      </c>
      <c r="S1002">
        <v>0</v>
      </c>
      <c r="T1002">
        <v>0</v>
      </c>
      <c r="U1002">
        <v>0</v>
      </c>
      <c r="V1002">
        <v>7193.46</v>
      </c>
      <c r="W1002">
        <v>0</v>
      </c>
      <c r="X1002">
        <v>1</v>
      </c>
      <c r="Y1002">
        <v>0</v>
      </c>
      <c r="Z1002">
        <v>-24</v>
      </c>
      <c r="AA1002">
        <v>1</v>
      </c>
      <c r="AB1002" s="13" t="s">
        <v>581</v>
      </c>
      <c r="AC1002">
        <v>0</v>
      </c>
      <c r="AD1002">
        <v>0</v>
      </c>
      <c r="AE1002" s="13" t="s">
        <v>61</v>
      </c>
    </row>
    <row r="1003" spans="1:31" x14ac:dyDescent="0.35">
      <c r="A1003" s="13" t="s">
        <v>1653</v>
      </c>
      <c r="B1003" s="13" t="s">
        <v>309</v>
      </c>
      <c r="C1003" s="13" t="s">
        <v>310</v>
      </c>
      <c r="D1003" s="13" t="s">
        <v>104</v>
      </c>
      <c r="E1003" s="13" t="s">
        <v>53</v>
      </c>
      <c r="F1003" s="13" t="s">
        <v>135</v>
      </c>
      <c r="G1003" s="13" t="s">
        <v>67</v>
      </c>
      <c r="H1003">
        <v>125000</v>
      </c>
      <c r="I1003" s="13" t="s">
        <v>121</v>
      </c>
      <c r="J1003" s="13" t="s">
        <v>122</v>
      </c>
      <c r="K1003" s="13" t="s">
        <v>107</v>
      </c>
      <c r="L1003" s="13" t="s">
        <v>88</v>
      </c>
      <c r="M1003">
        <v>60</v>
      </c>
      <c r="N1003">
        <v>0</v>
      </c>
      <c r="O1003" s="14">
        <v>45986</v>
      </c>
      <c r="P1003" s="14">
        <v>46046</v>
      </c>
      <c r="Q1003">
        <v>7846.97</v>
      </c>
      <c r="R1003">
        <v>0</v>
      </c>
      <c r="S1003">
        <v>0</v>
      </c>
      <c r="T1003">
        <v>0</v>
      </c>
      <c r="U1003">
        <v>0</v>
      </c>
      <c r="V1003">
        <v>7846.97</v>
      </c>
      <c r="W1003">
        <v>0</v>
      </c>
      <c r="X1003">
        <v>1</v>
      </c>
      <c r="Y1003">
        <v>0</v>
      </c>
      <c r="Z1003">
        <v>-24</v>
      </c>
      <c r="AA1003">
        <v>1</v>
      </c>
      <c r="AB1003" s="13" t="s">
        <v>581</v>
      </c>
      <c r="AC1003">
        <v>0</v>
      </c>
      <c r="AD1003">
        <v>0</v>
      </c>
      <c r="AE1003" s="13" t="s">
        <v>61</v>
      </c>
    </row>
    <row r="1004" spans="1:31" x14ac:dyDescent="0.35">
      <c r="A1004" s="13" t="s">
        <v>1654</v>
      </c>
      <c r="B1004" s="13" t="s">
        <v>1655</v>
      </c>
      <c r="C1004" s="13" t="s">
        <v>1656</v>
      </c>
      <c r="D1004" s="13" t="s">
        <v>104</v>
      </c>
      <c r="E1004" s="13" t="s">
        <v>77</v>
      </c>
      <c r="F1004" s="13" t="s">
        <v>78</v>
      </c>
      <c r="G1004" s="13" t="s">
        <v>55</v>
      </c>
      <c r="H1004">
        <v>115000</v>
      </c>
      <c r="I1004" s="13" t="s">
        <v>121</v>
      </c>
      <c r="J1004" s="13" t="s">
        <v>122</v>
      </c>
      <c r="K1004" s="13" t="s">
        <v>107</v>
      </c>
      <c r="L1004" s="13" t="s">
        <v>95</v>
      </c>
      <c r="M1004">
        <v>30</v>
      </c>
      <c r="N1004">
        <v>0</v>
      </c>
      <c r="O1004" s="14">
        <v>45986</v>
      </c>
      <c r="P1004" s="14">
        <v>46016</v>
      </c>
      <c r="Q1004">
        <v>836.45</v>
      </c>
      <c r="R1004">
        <v>0</v>
      </c>
      <c r="S1004">
        <v>0</v>
      </c>
      <c r="T1004">
        <v>0</v>
      </c>
      <c r="U1004">
        <v>0</v>
      </c>
      <c r="V1004">
        <v>836.45</v>
      </c>
      <c r="W1004">
        <v>0</v>
      </c>
      <c r="X1004">
        <v>1</v>
      </c>
      <c r="Y1004">
        <v>1</v>
      </c>
      <c r="Z1004">
        <v>6</v>
      </c>
      <c r="AA1004">
        <v>2</v>
      </c>
      <c r="AB1004" s="13" t="s">
        <v>405</v>
      </c>
      <c r="AC1004">
        <v>0.25</v>
      </c>
      <c r="AD1004">
        <v>0</v>
      </c>
      <c r="AE1004" s="13" t="s">
        <v>61</v>
      </c>
    </row>
    <row r="1005" spans="1:31" x14ac:dyDescent="0.35">
      <c r="A1005" s="13" t="s">
        <v>1657</v>
      </c>
      <c r="B1005" s="13" t="s">
        <v>225</v>
      </c>
      <c r="C1005" s="13" t="s">
        <v>226</v>
      </c>
      <c r="D1005" s="13" t="s">
        <v>52</v>
      </c>
      <c r="E1005" s="13" t="s">
        <v>77</v>
      </c>
      <c r="F1005" s="13" t="s">
        <v>174</v>
      </c>
      <c r="G1005" s="13" t="s">
        <v>55</v>
      </c>
      <c r="H1005">
        <v>570000</v>
      </c>
      <c r="I1005" s="13" t="s">
        <v>56</v>
      </c>
      <c r="J1005" s="13" t="s">
        <v>57</v>
      </c>
      <c r="K1005" s="13" t="s">
        <v>58</v>
      </c>
      <c r="L1005" s="13" t="s">
        <v>59</v>
      </c>
      <c r="M1005">
        <v>45</v>
      </c>
      <c r="N1005">
        <v>0</v>
      </c>
      <c r="O1005" s="14">
        <v>45986</v>
      </c>
      <c r="P1005" s="14">
        <v>46031</v>
      </c>
      <c r="Q1005">
        <v>4063.3</v>
      </c>
      <c r="R1005">
        <v>0</v>
      </c>
      <c r="S1005">
        <v>0</v>
      </c>
      <c r="T1005">
        <v>0</v>
      </c>
      <c r="U1005">
        <v>0</v>
      </c>
      <c r="V1005">
        <v>4063.3</v>
      </c>
      <c r="W1005">
        <v>0</v>
      </c>
      <c r="X1005">
        <v>1</v>
      </c>
      <c r="Y1005">
        <v>0</v>
      </c>
      <c r="Z1005">
        <v>-9</v>
      </c>
      <c r="AA1005">
        <v>1</v>
      </c>
      <c r="AB1005" s="13" t="s">
        <v>581</v>
      </c>
      <c r="AC1005">
        <v>0</v>
      </c>
      <c r="AD1005">
        <v>0</v>
      </c>
      <c r="AE1005" s="13" t="s">
        <v>61</v>
      </c>
    </row>
    <row r="1006" spans="1:31" x14ac:dyDescent="0.35">
      <c r="A1006" s="13" t="s">
        <v>1658</v>
      </c>
      <c r="B1006" s="13" t="s">
        <v>1038</v>
      </c>
      <c r="C1006" s="13" t="s">
        <v>1039</v>
      </c>
      <c r="D1006" s="13" t="s">
        <v>52</v>
      </c>
      <c r="E1006" s="13" t="s">
        <v>77</v>
      </c>
      <c r="F1006" s="13" t="s">
        <v>78</v>
      </c>
      <c r="G1006" s="13" t="s">
        <v>67</v>
      </c>
      <c r="H1006">
        <v>425000</v>
      </c>
      <c r="I1006" s="13" t="s">
        <v>56</v>
      </c>
      <c r="J1006" s="13" t="s">
        <v>57</v>
      </c>
      <c r="K1006" s="13" t="s">
        <v>58</v>
      </c>
      <c r="L1006" s="13" t="s">
        <v>59</v>
      </c>
      <c r="M1006">
        <v>45</v>
      </c>
      <c r="N1006">
        <v>0</v>
      </c>
      <c r="O1006" s="14">
        <v>45986</v>
      </c>
      <c r="P1006" s="14">
        <v>46031</v>
      </c>
      <c r="Q1006">
        <v>2397.39</v>
      </c>
      <c r="R1006">
        <v>0</v>
      </c>
      <c r="S1006">
        <v>0</v>
      </c>
      <c r="T1006">
        <v>0</v>
      </c>
      <c r="U1006">
        <v>0</v>
      </c>
      <c r="V1006">
        <v>2397.39</v>
      </c>
      <c r="W1006">
        <v>0</v>
      </c>
      <c r="X1006">
        <v>1</v>
      </c>
      <c r="Y1006">
        <v>0</v>
      </c>
      <c r="Z1006">
        <v>-9</v>
      </c>
      <c r="AA1006">
        <v>1</v>
      </c>
      <c r="AB1006" s="13" t="s">
        <v>581</v>
      </c>
      <c r="AC1006">
        <v>0</v>
      </c>
      <c r="AD1006">
        <v>0</v>
      </c>
      <c r="AE1006" s="13" t="s">
        <v>61</v>
      </c>
    </row>
    <row r="1007" spans="1:31" x14ac:dyDescent="0.35">
      <c r="A1007" s="13" t="s">
        <v>1659</v>
      </c>
      <c r="B1007" s="13" t="s">
        <v>857</v>
      </c>
      <c r="C1007" s="13" t="s">
        <v>858</v>
      </c>
      <c r="D1007" s="13" t="s">
        <v>126</v>
      </c>
      <c r="E1007" s="13" t="s">
        <v>99</v>
      </c>
      <c r="F1007" s="13" t="s">
        <v>127</v>
      </c>
      <c r="G1007" s="13" t="s">
        <v>55</v>
      </c>
      <c r="H1007">
        <v>160000</v>
      </c>
      <c r="I1007" s="13" t="s">
        <v>56</v>
      </c>
      <c r="J1007" s="13" t="s">
        <v>57</v>
      </c>
      <c r="K1007" s="13" t="s">
        <v>58</v>
      </c>
      <c r="L1007" s="13" t="s">
        <v>88</v>
      </c>
      <c r="M1007">
        <v>60</v>
      </c>
      <c r="N1007">
        <v>0</v>
      </c>
      <c r="O1007" s="14">
        <v>45986</v>
      </c>
      <c r="P1007" s="14">
        <v>46046</v>
      </c>
      <c r="Q1007">
        <v>5323.43</v>
      </c>
      <c r="R1007">
        <v>0</v>
      </c>
      <c r="S1007">
        <v>0</v>
      </c>
      <c r="T1007">
        <v>0</v>
      </c>
      <c r="U1007">
        <v>0</v>
      </c>
      <c r="V1007">
        <v>5323.43</v>
      </c>
      <c r="W1007">
        <v>0</v>
      </c>
      <c r="X1007">
        <v>1</v>
      </c>
      <c r="Y1007">
        <v>0</v>
      </c>
      <c r="Z1007">
        <v>-24</v>
      </c>
      <c r="AA1007">
        <v>1</v>
      </c>
      <c r="AB1007" s="13" t="s">
        <v>581</v>
      </c>
      <c r="AC1007">
        <v>0</v>
      </c>
      <c r="AD1007">
        <v>0</v>
      </c>
      <c r="AE1007" s="13" t="s">
        <v>61</v>
      </c>
    </row>
    <row r="1008" spans="1:31" x14ac:dyDescent="0.35">
      <c r="A1008" s="13" t="s">
        <v>1660</v>
      </c>
      <c r="B1008" s="13" t="s">
        <v>920</v>
      </c>
      <c r="C1008" s="13" t="s">
        <v>921</v>
      </c>
      <c r="D1008" s="13" t="s">
        <v>104</v>
      </c>
      <c r="E1008" s="13" t="s">
        <v>99</v>
      </c>
      <c r="F1008" s="13" t="s">
        <v>100</v>
      </c>
      <c r="G1008" s="13" t="s">
        <v>92</v>
      </c>
      <c r="H1008">
        <v>100000</v>
      </c>
      <c r="I1008" s="13" t="s">
        <v>121</v>
      </c>
      <c r="J1008" s="13" t="s">
        <v>122</v>
      </c>
      <c r="K1008" s="13" t="s">
        <v>107</v>
      </c>
      <c r="L1008" s="13" t="s">
        <v>95</v>
      </c>
      <c r="M1008">
        <v>30</v>
      </c>
      <c r="N1008">
        <v>0</v>
      </c>
      <c r="O1008" s="14">
        <v>45986</v>
      </c>
      <c r="P1008" s="14">
        <v>46016</v>
      </c>
      <c r="Q1008">
        <v>7271.07</v>
      </c>
      <c r="R1008">
        <v>0</v>
      </c>
      <c r="S1008">
        <v>0</v>
      </c>
      <c r="T1008">
        <v>0</v>
      </c>
      <c r="U1008">
        <v>0</v>
      </c>
      <c r="V1008">
        <v>7271.07</v>
      </c>
      <c r="W1008">
        <v>0</v>
      </c>
      <c r="X1008">
        <v>1</v>
      </c>
      <c r="Y1008">
        <v>1</v>
      </c>
      <c r="Z1008">
        <v>6</v>
      </c>
      <c r="AA1008">
        <v>2</v>
      </c>
      <c r="AB1008" s="13" t="s">
        <v>405</v>
      </c>
      <c r="AC1008">
        <v>0.25</v>
      </c>
      <c r="AD1008">
        <v>0</v>
      </c>
      <c r="AE1008" s="13" t="s">
        <v>61</v>
      </c>
    </row>
    <row r="1009" spans="1:31" x14ac:dyDescent="0.35">
      <c r="A1009" s="13" t="s">
        <v>1661</v>
      </c>
      <c r="B1009" s="13" t="s">
        <v>1430</v>
      </c>
      <c r="C1009" s="13" t="s">
        <v>1431</v>
      </c>
      <c r="D1009" s="13" t="s">
        <v>76</v>
      </c>
      <c r="E1009" s="13" t="s">
        <v>65</v>
      </c>
      <c r="F1009" s="13" t="s">
        <v>66</v>
      </c>
      <c r="G1009" s="13" t="s">
        <v>55</v>
      </c>
      <c r="H1009">
        <v>85000</v>
      </c>
      <c r="I1009" s="13" t="s">
        <v>93</v>
      </c>
      <c r="J1009" s="13" t="s">
        <v>94</v>
      </c>
      <c r="K1009" s="13" t="s">
        <v>81</v>
      </c>
      <c r="L1009" s="13" t="s">
        <v>95</v>
      </c>
      <c r="M1009">
        <v>30</v>
      </c>
      <c r="N1009">
        <v>0</v>
      </c>
      <c r="O1009" s="14">
        <v>45986</v>
      </c>
      <c r="P1009" s="14">
        <v>46016</v>
      </c>
      <c r="Q1009">
        <v>3378.35</v>
      </c>
      <c r="R1009">
        <v>0</v>
      </c>
      <c r="S1009">
        <v>0</v>
      </c>
      <c r="T1009">
        <v>0</v>
      </c>
      <c r="U1009">
        <v>0</v>
      </c>
      <c r="V1009">
        <v>3378.35</v>
      </c>
      <c r="W1009">
        <v>0</v>
      </c>
      <c r="X1009">
        <v>1</v>
      </c>
      <c r="Y1009">
        <v>1</v>
      </c>
      <c r="Z1009">
        <v>6</v>
      </c>
      <c r="AA1009">
        <v>2</v>
      </c>
      <c r="AB1009" s="13" t="s">
        <v>405</v>
      </c>
      <c r="AC1009">
        <v>0.25</v>
      </c>
      <c r="AD1009">
        <v>0</v>
      </c>
      <c r="AE1009" s="13" t="s">
        <v>61</v>
      </c>
    </row>
    <row r="1010" spans="1:31" x14ac:dyDescent="0.35">
      <c r="A1010" s="13" t="s">
        <v>1662</v>
      </c>
      <c r="B1010" s="13" t="s">
        <v>168</v>
      </c>
      <c r="C1010" s="13" t="s">
        <v>169</v>
      </c>
      <c r="D1010" s="13" t="s">
        <v>52</v>
      </c>
      <c r="E1010" s="13" t="s">
        <v>65</v>
      </c>
      <c r="F1010" s="13" t="s">
        <v>66</v>
      </c>
      <c r="G1010" s="13" t="s">
        <v>67</v>
      </c>
      <c r="H1010">
        <v>580000</v>
      </c>
      <c r="I1010" s="13" t="s">
        <v>56</v>
      </c>
      <c r="J1010" s="13" t="s">
        <v>57</v>
      </c>
      <c r="K1010" s="13" t="s">
        <v>58</v>
      </c>
      <c r="L1010" s="13" t="s">
        <v>59</v>
      </c>
      <c r="M1010">
        <v>45</v>
      </c>
      <c r="N1010">
        <v>0</v>
      </c>
      <c r="O1010" s="14">
        <v>45986</v>
      </c>
      <c r="P1010" s="14">
        <v>46031</v>
      </c>
      <c r="Q1010">
        <v>14192.93</v>
      </c>
      <c r="R1010">
        <v>0</v>
      </c>
      <c r="S1010">
        <v>0</v>
      </c>
      <c r="T1010">
        <v>0</v>
      </c>
      <c r="U1010">
        <v>0</v>
      </c>
      <c r="V1010">
        <v>14192.93</v>
      </c>
      <c r="W1010">
        <v>0</v>
      </c>
      <c r="X1010">
        <v>1</v>
      </c>
      <c r="Y1010">
        <v>0</v>
      </c>
      <c r="Z1010">
        <v>-9</v>
      </c>
      <c r="AA1010">
        <v>1</v>
      </c>
      <c r="AB1010" s="13" t="s">
        <v>581</v>
      </c>
      <c r="AC1010">
        <v>0</v>
      </c>
      <c r="AD1010">
        <v>0</v>
      </c>
      <c r="AE1010" s="13" t="s">
        <v>61</v>
      </c>
    </row>
    <row r="1011" spans="1:31" x14ac:dyDescent="0.35">
      <c r="A1011" s="13" t="s">
        <v>1663</v>
      </c>
      <c r="B1011" s="13" t="s">
        <v>1042</v>
      </c>
      <c r="C1011" s="13" t="s">
        <v>1043</v>
      </c>
      <c r="D1011" s="13" t="s">
        <v>104</v>
      </c>
      <c r="E1011" s="13" t="s">
        <v>53</v>
      </c>
      <c r="F1011" s="13" t="s">
        <v>135</v>
      </c>
      <c r="G1011" s="13" t="s">
        <v>67</v>
      </c>
      <c r="H1011">
        <v>85000</v>
      </c>
      <c r="I1011" s="13" t="s">
        <v>121</v>
      </c>
      <c r="J1011" s="13" t="s">
        <v>122</v>
      </c>
      <c r="K1011" s="13" t="s">
        <v>107</v>
      </c>
      <c r="L1011" s="13" t="s">
        <v>88</v>
      </c>
      <c r="M1011">
        <v>60</v>
      </c>
      <c r="N1011">
        <v>0</v>
      </c>
      <c r="O1011" s="14">
        <v>45986</v>
      </c>
      <c r="P1011" s="14">
        <v>46046</v>
      </c>
      <c r="Q1011">
        <v>2611.5700000000002</v>
      </c>
      <c r="R1011">
        <v>0</v>
      </c>
      <c r="S1011">
        <v>0</v>
      </c>
      <c r="T1011">
        <v>0</v>
      </c>
      <c r="U1011">
        <v>0</v>
      </c>
      <c r="V1011">
        <v>2611.5700000000002</v>
      </c>
      <c r="W1011">
        <v>0</v>
      </c>
      <c r="X1011">
        <v>1</v>
      </c>
      <c r="Y1011">
        <v>0</v>
      </c>
      <c r="Z1011">
        <v>-24</v>
      </c>
      <c r="AA1011">
        <v>1</v>
      </c>
      <c r="AB1011" s="13" t="s">
        <v>581</v>
      </c>
      <c r="AC1011">
        <v>0</v>
      </c>
      <c r="AD1011">
        <v>0</v>
      </c>
      <c r="AE1011" s="13" t="s">
        <v>61</v>
      </c>
    </row>
    <row r="1012" spans="1:31" x14ac:dyDescent="0.35">
      <c r="A1012" s="13" t="s">
        <v>1664</v>
      </c>
      <c r="B1012" s="13" t="s">
        <v>1665</v>
      </c>
      <c r="C1012" s="13" t="s">
        <v>1666</v>
      </c>
      <c r="D1012" s="13" t="s">
        <v>76</v>
      </c>
      <c r="E1012" s="13" t="s">
        <v>77</v>
      </c>
      <c r="F1012" s="13" t="s">
        <v>78</v>
      </c>
      <c r="G1012" s="13" t="s">
        <v>55</v>
      </c>
      <c r="H1012">
        <v>65000</v>
      </c>
      <c r="I1012" s="13" t="s">
        <v>93</v>
      </c>
      <c r="J1012" s="13" t="s">
        <v>94</v>
      </c>
      <c r="K1012" s="13" t="s">
        <v>81</v>
      </c>
      <c r="L1012" s="13" t="s">
        <v>95</v>
      </c>
      <c r="M1012">
        <v>30</v>
      </c>
      <c r="N1012">
        <v>0</v>
      </c>
      <c r="O1012" s="14">
        <v>45986</v>
      </c>
      <c r="P1012" s="14">
        <v>46016</v>
      </c>
      <c r="Q1012">
        <v>4137.63</v>
      </c>
      <c r="R1012">
        <v>0</v>
      </c>
      <c r="S1012">
        <v>0</v>
      </c>
      <c r="T1012">
        <v>0</v>
      </c>
      <c r="U1012">
        <v>0</v>
      </c>
      <c r="V1012">
        <v>4137.63</v>
      </c>
      <c r="W1012">
        <v>0</v>
      </c>
      <c r="X1012">
        <v>1</v>
      </c>
      <c r="Y1012">
        <v>1</v>
      </c>
      <c r="Z1012">
        <v>6</v>
      </c>
      <c r="AA1012">
        <v>2</v>
      </c>
      <c r="AB1012" s="13" t="s">
        <v>405</v>
      </c>
      <c r="AC1012">
        <v>0.25</v>
      </c>
      <c r="AD1012">
        <v>0</v>
      </c>
      <c r="AE1012" s="13" t="s">
        <v>61</v>
      </c>
    </row>
    <row r="1013" spans="1:31" x14ac:dyDescent="0.35">
      <c r="A1013" s="13" t="s">
        <v>1667</v>
      </c>
      <c r="B1013" s="13" t="s">
        <v>1127</v>
      </c>
      <c r="C1013" s="13" t="s">
        <v>1128</v>
      </c>
      <c r="D1013" s="13" t="s">
        <v>52</v>
      </c>
      <c r="E1013" s="13" t="s">
        <v>53</v>
      </c>
      <c r="F1013" s="13" t="s">
        <v>135</v>
      </c>
      <c r="G1013" s="13" t="s">
        <v>67</v>
      </c>
      <c r="H1013">
        <v>470000</v>
      </c>
      <c r="I1013" s="13" t="s">
        <v>56</v>
      </c>
      <c r="J1013" s="13" t="s">
        <v>57</v>
      </c>
      <c r="K1013" s="13" t="s">
        <v>58</v>
      </c>
      <c r="L1013" s="13" t="s">
        <v>88</v>
      </c>
      <c r="M1013">
        <v>60</v>
      </c>
      <c r="N1013">
        <v>0</v>
      </c>
      <c r="O1013" s="14">
        <v>45986</v>
      </c>
      <c r="P1013" s="14">
        <v>46046</v>
      </c>
      <c r="Q1013">
        <v>3384.25</v>
      </c>
      <c r="R1013">
        <v>0</v>
      </c>
      <c r="S1013">
        <v>0</v>
      </c>
      <c r="T1013">
        <v>0</v>
      </c>
      <c r="U1013">
        <v>0</v>
      </c>
      <c r="V1013">
        <v>3384.25</v>
      </c>
      <c r="W1013">
        <v>0</v>
      </c>
      <c r="X1013">
        <v>1</v>
      </c>
      <c r="Y1013">
        <v>0</v>
      </c>
      <c r="Z1013">
        <v>-24</v>
      </c>
      <c r="AA1013">
        <v>1</v>
      </c>
      <c r="AB1013" s="13" t="s">
        <v>581</v>
      </c>
      <c r="AC1013">
        <v>0</v>
      </c>
      <c r="AD1013">
        <v>0</v>
      </c>
      <c r="AE1013" s="13" t="s">
        <v>61</v>
      </c>
    </row>
    <row r="1014" spans="1:31" x14ac:dyDescent="0.35">
      <c r="A1014" s="13" t="s">
        <v>1668</v>
      </c>
      <c r="B1014" s="13" t="s">
        <v>144</v>
      </c>
      <c r="C1014" s="13" t="s">
        <v>145</v>
      </c>
      <c r="D1014" s="13" t="s">
        <v>52</v>
      </c>
      <c r="E1014" s="13" t="s">
        <v>99</v>
      </c>
      <c r="F1014" s="13" t="s">
        <v>100</v>
      </c>
      <c r="G1014" s="13" t="s">
        <v>55</v>
      </c>
      <c r="H1014">
        <v>590000</v>
      </c>
      <c r="I1014" s="13" t="s">
        <v>56</v>
      </c>
      <c r="J1014" s="13" t="s">
        <v>57</v>
      </c>
      <c r="K1014" s="13" t="s">
        <v>58</v>
      </c>
      <c r="L1014" s="13" t="s">
        <v>88</v>
      </c>
      <c r="M1014">
        <v>60</v>
      </c>
      <c r="N1014">
        <v>0</v>
      </c>
      <c r="O1014" s="14">
        <v>45986</v>
      </c>
      <c r="P1014" s="14">
        <v>46046</v>
      </c>
      <c r="Q1014">
        <v>7641.45</v>
      </c>
      <c r="R1014">
        <v>0</v>
      </c>
      <c r="S1014">
        <v>0</v>
      </c>
      <c r="T1014">
        <v>0</v>
      </c>
      <c r="U1014">
        <v>0</v>
      </c>
      <c r="V1014">
        <v>7641.45</v>
      </c>
      <c r="W1014">
        <v>0</v>
      </c>
      <c r="X1014">
        <v>1</v>
      </c>
      <c r="Y1014">
        <v>0</v>
      </c>
      <c r="Z1014">
        <v>-24</v>
      </c>
      <c r="AA1014">
        <v>1</v>
      </c>
      <c r="AB1014" s="13" t="s">
        <v>581</v>
      </c>
      <c r="AC1014">
        <v>0</v>
      </c>
      <c r="AD1014">
        <v>0</v>
      </c>
      <c r="AE1014" s="13" t="s">
        <v>61</v>
      </c>
    </row>
    <row r="1015" spans="1:31" x14ac:dyDescent="0.35">
      <c r="A1015" s="13" t="s">
        <v>1669</v>
      </c>
      <c r="B1015" s="13" t="s">
        <v>894</v>
      </c>
      <c r="C1015" s="13" t="s">
        <v>895</v>
      </c>
      <c r="D1015" s="13" t="s">
        <v>104</v>
      </c>
      <c r="E1015" s="13" t="s">
        <v>71</v>
      </c>
      <c r="F1015" s="13" t="s">
        <v>72</v>
      </c>
      <c r="G1015" s="13" t="s">
        <v>67</v>
      </c>
      <c r="H1015">
        <v>85000</v>
      </c>
      <c r="I1015" s="13" t="s">
        <v>105</v>
      </c>
      <c r="J1015" s="13" t="s">
        <v>106</v>
      </c>
      <c r="K1015" s="13" t="s">
        <v>107</v>
      </c>
      <c r="L1015" s="13" t="s">
        <v>88</v>
      </c>
      <c r="M1015">
        <v>60</v>
      </c>
      <c r="N1015">
        <v>0</v>
      </c>
      <c r="O1015" s="14">
        <v>45986</v>
      </c>
      <c r="P1015" s="14">
        <v>46046</v>
      </c>
      <c r="Q1015">
        <v>1016.99</v>
      </c>
      <c r="R1015">
        <v>0</v>
      </c>
      <c r="S1015">
        <v>0</v>
      </c>
      <c r="T1015">
        <v>0</v>
      </c>
      <c r="U1015">
        <v>0</v>
      </c>
      <c r="V1015">
        <v>1016.99</v>
      </c>
      <c r="W1015">
        <v>0</v>
      </c>
      <c r="X1015">
        <v>1</v>
      </c>
      <c r="Y1015">
        <v>0</v>
      </c>
      <c r="Z1015">
        <v>-24</v>
      </c>
      <c r="AA1015">
        <v>1</v>
      </c>
      <c r="AB1015" s="13" t="s">
        <v>581</v>
      </c>
      <c r="AC1015">
        <v>0</v>
      </c>
      <c r="AD1015">
        <v>0</v>
      </c>
      <c r="AE1015" s="13" t="s">
        <v>61</v>
      </c>
    </row>
    <row r="1016" spans="1:31" x14ac:dyDescent="0.35">
      <c r="A1016" s="13" t="s">
        <v>1670</v>
      </c>
      <c r="B1016" s="13" t="s">
        <v>784</v>
      </c>
      <c r="C1016" s="13" t="s">
        <v>785</v>
      </c>
      <c r="D1016" s="13" t="s">
        <v>104</v>
      </c>
      <c r="E1016" s="13" t="s">
        <v>65</v>
      </c>
      <c r="F1016" s="13" t="s">
        <v>66</v>
      </c>
      <c r="G1016" s="13" t="s">
        <v>55</v>
      </c>
      <c r="H1016">
        <v>110000</v>
      </c>
      <c r="I1016" s="13" t="s">
        <v>121</v>
      </c>
      <c r="J1016" s="13" t="s">
        <v>122</v>
      </c>
      <c r="K1016" s="13" t="s">
        <v>107</v>
      </c>
      <c r="L1016" s="13" t="s">
        <v>82</v>
      </c>
      <c r="M1016">
        <v>30</v>
      </c>
      <c r="N1016">
        <v>2</v>
      </c>
      <c r="O1016" s="14">
        <v>45986</v>
      </c>
      <c r="P1016" s="14">
        <v>46016</v>
      </c>
      <c r="Q1016">
        <v>4216.96</v>
      </c>
      <c r="R1016">
        <v>0</v>
      </c>
      <c r="S1016">
        <v>0</v>
      </c>
      <c r="T1016">
        <v>0</v>
      </c>
      <c r="U1016">
        <v>0</v>
      </c>
      <c r="V1016">
        <v>4216.96</v>
      </c>
      <c r="W1016">
        <v>0</v>
      </c>
      <c r="X1016">
        <v>1</v>
      </c>
      <c r="Y1016">
        <v>1</v>
      </c>
      <c r="Z1016">
        <v>6</v>
      </c>
      <c r="AA1016">
        <v>2</v>
      </c>
      <c r="AB1016" s="13" t="s">
        <v>405</v>
      </c>
      <c r="AC1016">
        <v>0.25</v>
      </c>
      <c r="AD1016">
        <v>0</v>
      </c>
      <c r="AE1016" s="13" t="s">
        <v>61</v>
      </c>
    </row>
    <row r="1017" spans="1:31" x14ac:dyDescent="0.35">
      <c r="A1017" s="13" t="s">
        <v>1671</v>
      </c>
      <c r="B1017" s="13" t="s">
        <v>1672</v>
      </c>
      <c r="C1017" s="13" t="s">
        <v>1673</v>
      </c>
      <c r="D1017" s="13" t="s">
        <v>76</v>
      </c>
      <c r="E1017" s="13" t="s">
        <v>77</v>
      </c>
      <c r="F1017" s="13" t="s">
        <v>78</v>
      </c>
      <c r="G1017" s="13" t="s">
        <v>67</v>
      </c>
      <c r="H1017">
        <v>115000</v>
      </c>
      <c r="I1017" s="13" t="s">
        <v>79</v>
      </c>
      <c r="J1017" s="13" t="s">
        <v>80</v>
      </c>
      <c r="K1017" s="13" t="s">
        <v>81</v>
      </c>
      <c r="L1017" s="13" t="s">
        <v>95</v>
      </c>
      <c r="M1017">
        <v>30</v>
      </c>
      <c r="N1017">
        <v>0</v>
      </c>
      <c r="O1017" s="14">
        <v>45986</v>
      </c>
      <c r="P1017" s="14">
        <v>46016</v>
      </c>
      <c r="Q1017">
        <v>1498.04</v>
      </c>
      <c r="R1017">
        <v>0</v>
      </c>
      <c r="S1017">
        <v>0</v>
      </c>
      <c r="T1017">
        <v>0</v>
      </c>
      <c r="U1017">
        <v>0</v>
      </c>
      <c r="V1017">
        <v>1498.04</v>
      </c>
      <c r="W1017">
        <v>0</v>
      </c>
      <c r="X1017">
        <v>1</v>
      </c>
      <c r="Y1017">
        <v>1</v>
      </c>
      <c r="Z1017">
        <v>6</v>
      </c>
      <c r="AA1017">
        <v>2</v>
      </c>
      <c r="AB1017" s="13" t="s">
        <v>405</v>
      </c>
      <c r="AC1017">
        <v>0.25</v>
      </c>
      <c r="AD1017">
        <v>0</v>
      </c>
      <c r="AE1017" s="13" t="s">
        <v>61</v>
      </c>
    </row>
    <row r="1018" spans="1:31" x14ac:dyDescent="0.35">
      <c r="A1018" s="13" t="s">
        <v>1674</v>
      </c>
      <c r="B1018" s="13" t="s">
        <v>209</v>
      </c>
      <c r="C1018" s="13" t="s">
        <v>210</v>
      </c>
      <c r="D1018" s="13" t="s">
        <v>52</v>
      </c>
      <c r="E1018" s="13" t="s">
        <v>77</v>
      </c>
      <c r="F1018" s="13" t="s">
        <v>78</v>
      </c>
      <c r="G1018" s="13" t="s">
        <v>55</v>
      </c>
      <c r="H1018">
        <v>410000</v>
      </c>
      <c r="I1018" s="13" t="s">
        <v>56</v>
      </c>
      <c r="J1018" s="13" t="s">
        <v>57</v>
      </c>
      <c r="K1018" s="13" t="s">
        <v>58</v>
      </c>
      <c r="L1018" s="13" t="s">
        <v>88</v>
      </c>
      <c r="M1018">
        <v>60</v>
      </c>
      <c r="N1018">
        <v>0</v>
      </c>
      <c r="O1018" s="14">
        <v>45986</v>
      </c>
      <c r="P1018" s="14">
        <v>46046</v>
      </c>
      <c r="Q1018">
        <v>1692.77</v>
      </c>
      <c r="R1018">
        <v>0</v>
      </c>
      <c r="S1018">
        <v>0</v>
      </c>
      <c r="T1018">
        <v>0</v>
      </c>
      <c r="U1018">
        <v>0</v>
      </c>
      <c r="V1018">
        <v>1692.77</v>
      </c>
      <c r="W1018">
        <v>0</v>
      </c>
      <c r="X1018">
        <v>1</v>
      </c>
      <c r="Y1018">
        <v>0</v>
      </c>
      <c r="Z1018">
        <v>-24</v>
      </c>
      <c r="AA1018">
        <v>1</v>
      </c>
      <c r="AB1018" s="13" t="s">
        <v>581</v>
      </c>
      <c r="AC1018">
        <v>0</v>
      </c>
      <c r="AD1018">
        <v>1</v>
      </c>
      <c r="AE1018" s="13" t="s">
        <v>377</v>
      </c>
    </row>
    <row r="1019" spans="1:31" x14ac:dyDescent="0.35">
      <c r="A1019" s="13" t="s">
        <v>1675</v>
      </c>
      <c r="B1019" s="13" t="s">
        <v>862</v>
      </c>
      <c r="C1019" s="13" t="s">
        <v>863</v>
      </c>
      <c r="D1019" s="13" t="s">
        <v>126</v>
      </c>
      <c r="E1019" s="13" t="s">
        <v>99</v>
      </c>
      <c r="F1019" s="13" t="s">
        <v>127</v>
      </c>
      <c r="G1019" s="13" t="s">
        <v>67</v>
      </c>
      <c r="H1019">
        <v>110000</v>
      </c>
      <c r="I1019" s="13" t="s">
        <v>105</v>
      </c>
      <c r="J1019" s="13" t="s">
        <v>106</v>
      </c>
      <c r="K1019" s="13" t="s">
        <v>107</v>
      </c>
      <c r="L1019" s="13" t="s">
        <v>88</v>
      </c>
      <c r="M1019">
        <v>60</v>
      </c>
      <c r="N1019">
        <v>0</v>
      </c>
      <c r="O1019" s="14">
        <v>45986</v>
      </c>
      <c r="P1019" s="14">
        <v>46046</v>
      </c>
      <c r="Q1019">
        <v>6655.58</v>
      </c>
      <c r="R1019">
        <v>0</v>
      </c>
      <c r="S1019">
        <v>0</v>
      </c>
      <c r="T1019">
        <v>0</v>
      </c>
      <c r="U1019">
        <v>0</v>
      </c>
      <c r="V1019">
        <v>6655.58</v>
      </c>
      <c r="W1019">
        <v>0</v>
      </c>
      <c r="X1019">
        <v>1</v>
      </c>
      <c r="Y1019">
        <v>0</v>
      </c>
      <c r="Z1019">
        <v>-24</v>
      </c>
      <c r="AA1019">
        <v>1</v>
      </c>
      <c r="AB1019" s="13" t="s">
        <v>581</v>
      </c>
      <c r="AC1019">
        <v>0</v>
      </c>
      <c r="AD1019">
        <v>0</v>
      </c>
      <c r="AE1019" s="13" t="s">
        <v>61</v>
      </c>
    </row>
    <row r="1020" spans="1:31" x14ac:dyDescent="0.35">
      <c r="A1020" s="13" t="s">
        <v>1676</v>
      </c>
      <c r="B1020" s="13" t="s">
        <v>610</v>
      </c>
      <c r="C1020" s="13" t="s">
        <v>611</v>
      </c>
      <c r="D1020" s="13" t="s">
        <v>126</v>
      </c>
      <c r="E1020" s="13" t="s">
        <v>65</v>
      </c>
      <c r="F1020" s="13" t="s">
        <v>111</v>
      </c>
      <c r="G1020" s="13" t="s">
        <v>67</v>
      </c>
      <c r="H1020">
        <v>85000</v>
      </c>
      <c r="I1020" s="13" t="s">
        <v>121</v>
      </c>
      <c r="J1020" s="13" t="s">
        <v>122</v>
      </c>
      <c r="K1020" s="13" t="s">
        <v>107</v>
      </c>
      <c r="L1020" s="13" t="s">
        <v>88</v>
      </c>
      <c r="M1020">
        <v>60</v>
      </c>
      <c r="N1020">
        <v>0</v>
      </c>
      <c r="O1020" s="14">
        <v>45986</v>
      </c>
      <c r="P1020" s="14">
        <v>46046</v>
      </c>
      <c r="Q1020">
        <v>1050.18</v>
      </c>
      <c r="R1020">
        <v>0</v>
      </c>
      <c r="S1020">
        <v>0</v>
      </c>
      <c r="T1020">
        <v>0</v>
      </c>
      <c r="U1020">
        <v>0</v>
      </c>
      <c r="V1020">
        <v>1050.18</v>
      </c>
      <c r="W1020">
        <v>0</v>
      </c>
      <c r="X1020">
        <v>1</v>
      </c>
      <c r="Y1020">
        <v>0</v>
      </c>
      <c r="Z1020">
        <v>-24</v>
      </c>
      <c r="AA1020">
        <v>1</v>
      </c>
      <c r="AB1020" s="13" t="s">
        <v>581</v>
      </c>
      <c r="AC1020">
        <v>0</v>
      </c>
      <c r="AD1020">
        <v>0</v>
      </c>
      <c r="AE1020" s="13" t="s">
        <v>61</v>
      </c>
    </row>
    <row r="1021" spans="1:31" x14ac:dyDescent="0.35">
      <c r="A1021" s="13" t="s">
        <v>1677</v>
      </c>
      <c r="B1021" s="13" t="s">
        <v>1678</v>
      </c>
      <c r="C1021" s="13" t="s">
        <v>1679</v>
      </c>
      <c r="D1021" s="13" t="s">
        <v>126</v>
      </c>
      <c r="E1021" s="13" t="s">
        <v>53</v>
      </c>
      <c r="F1021" s="13" t="s">
        <v>135</v>
      </c>
      <c r="G1021" s="13" t="s">
        <v>67</v>
      </c>
      <c r="H1021">
        <v>70000</v>
      </c>
      <c r="I1021" s="13" t="s">
        <v>121</v>
      </c>
      <c r="J1021" s="13" t="s">
        <v>122</v>
      </c>
      <c r="K1021" s="13" t="s">
        <v>107</v>
      </c>
      <c r="L1021" s="13" t="s">
        <v>368</v>
      </c>
      <c r="M1021">
        <v>90</v>
      </c>
      <c r="N1021">
        <v>0</v>
      </c>
      <c r="O1021" s="14">
        <v>45986</v>
      </c>
      <c r="P1021" s="14">
        <v>46076</v>
      </c>
      <c r="Q1021">
        <v>1104.17</v>
      </c>
      <c r="R1021">
        <v>0</v>
      </c>
      <c r="S1021">
        <v>0</v>
      </c>
      <c r="T1021">
        <v>0</v>
      </c>
      <c r="U1021">
        <v>0</v>
      </c>
      <c r="V1021">
        <v>1104.17</v>
      </c>
      <c r="W1021">
        <v>0</v>
      </c>
      <c r="X1021">
        <v>1</v>
      </c>
      <c r="Y1021">
        <v>0</v>
      </c>
      <c r="Z1021">
        <v>-54</v>
      </c>
      <c r="AA1021">
        <v>1</v>
      </c>
      <c r="AB1021" s="13" t="s">
        <v>581</v>
      </c>
      <c r="AC1021">
        <v>0</v>
      </c>
      <c r="AD1021">
        <v>0</v>
      </c>
      <c r="AE1021" s="13" t="s">
        <v>61</v>
      </c>
    </row>
    <row r="1022" spans="1:31" x14ac:dyDescent="0.35">
      <c r="A1022" s="13" t="s">
        <v>1680</v>
      </c>
      <c r="B1022" s="13" t="s">
        <v>866</v>
      </c>
      <c r="C1022" s="13" t="s">
        <v>867</v>
      </c>
      <c r="D1022" s="13" t="s">
        <v>104</v>
      </c>
      <c r="E1022" s="13" t="s">
        <v>71</v>
      </c>
      <c r="F1022" s="13" t="s">
        <v>214</v>
      </c>
      <c r="G1022" s="13" t="s">
        <v>55</v>
      </c>
      <c r="H1022">
        <v>50000</v>
      </c>
      <c r="I1022" s="13" t="s">
        <v>105</v>
      </c>
      <c r="J1022" s="13" t="s">
        <v>106</v>
      </c>
      <c r="K1022" s="13" t="s">
        <v>107</v>
      </c>
      <c r="L1022" s="13" t="s">
        <v>88</v>
      </c>
      <c r="M1022">
        <v>60</v>
      </c>
      <c r="N1022">
        <v>0</v>
      </c>
      <c r="O1022" s="14">
        <v>45986</v>
      </c>
      <c r="P1022" s="14">
        <v>46046</v>
      </c>
      <c r="Q1022">
        <v>958.28</v>
      </c>
      <c r="R1022">
        <v>0</v>
      </c>
      <c r="S1022">
        <v>0</v>
      </c>
      <c r="T1022">
        <v>0</v>
      </c>
      <c r="U1022">
        <v>0</v>
      </c>
      <c r="V1022">
        <v>958.28</v>
      </c>
      <c r="W1022">
        <v>0</v>
      </c>
      <c r="X1022">
        <v>1</v>
      </c>
      <c r="Y1022">
        <v>0</v>
      </c>
      <c r="Z1022">
        <v>-24</v>
      </c>
      <c r="AA1022">
        <v>1</v>
      </c>
      <c r="AB1022" s="13" t="s">
        <v>581</v>
      </c>
      <c r="AC1022">
        <v>0</v>
      </c>
      <c r="AD1022">
        <v>0</v>
      </c>
      <c r="AE1022" s="13" t="s">
        <v>61</v>
      </c>
    </row>
    <row r="1023" spans="1:31" x14ac:dyDescent="0.35">
      <c r="A1023" s="13" t="s">
        <v>1681</v>
      </c>
      <c r="B1023" s="13" t="s">
        <v>1682</v>
      </c>
      <c r="C1023" s="13" t="s">
        <v>1683</v>
      </c>
      <c r="D1023" s="13" t="s">
        <v>76</v>
      </c>
      <c r="E1023" s="13" t="s">
        <v>99</v>
      </c>
      <c r="F1023" s="13" t="s">
        <v>127</v>
      </c>
      <c r="G1023" s="13" t="s">
        <v>67</v>
      </c>
      <c r="H1023">
        <v>120000</v>
      </c>
      <c r="I1023" s="13" t="s">
        <v>79</v>
      </c>
      <c r="J1023" s="13" t="s">
        <v>80</v>
      </c>
      <c r="K1023" s="13" t="s">
        <v>81</v>
      </c>
      <c r="L1023" s="13" t="s">
        <v>95</v>
      </c>
      <c r="M1023">
        <v>30</v>
      </c>
      <c r="N1023">
        <v>0</v>
      </c>
      <c r="O1023" s="14">
        <v>45986</v>
      </c>
      <c r="P1023" s="14">
        <v>46016</v>
      </c>
      <c r="Q1023">
        <v>4084.12</v>
      </c>
      <c r="R1023">
        <v>0</v>
      </c>
      <c r="S1023">
        <v>0</v>
      </c>
      <c r="T1023">
        <v>0</v>
      </c>
      <c r="U1023">
        <v>0</v>
      </c>
      <c r="V1023">
        <v>4084.12</v>
      </c>
      <c r="W1023">
        <v>0</v>
      </c>
      <c r="X1023">
        <v>1</v>
      </c>
      <c r="Y1023">
        <v>1</v>
      </c>
      <c r="Z1023">
        <v>6</v>
      </c>
      <c r="AA1023">
        <v>2</v>
      </c>
      <c r="AB1023" s="13" t="s">
        <v>405</v>
      </c>
      <c r="AC1023">
        <v>0.25</v>
      </c>
      <c r="AD1023">
        <v>0</v>
      </c>
      <c r="AE1023" s="13" t="s">
        <v>61</v>
      </c>
    </row>
    <row r="1024" spans="1:31" x14ac:dyDescent="0.35">
      <c r="A1024" s="13" t="s">
        <v>1684</v>
      </c>
      <c r="B1024" s="13" t="s">
        <v>162</v>
      </c>
      <c r="C1024" s="13" t="s">
        <v>163</v>
      </c>
      <c r="D1024" s="13" t="s">
        <v>76</v>
      </c>
      <c r="E1024" s="13" t="s">
        <v>99</v>
      </c>
      <c r="F1024" s="13" t="s">
        <v>127</v>
      </c>
      <c r="G1024" s="13" t="s">
        <v>67</v>
      </c>
      <c r="H1024">
        <v>90000</v>
      </c>
      <c r="I1024" s="13" t="s">
        <v>79</v>
      </c>
      <c r="J1024" s="13" t="s">
        <v>80</v>
      </c>
      <c r="K1024" s="13" t="s">
        <v>81</v>
      </c>
      <c r="L1024" s="13" t="s">
        <v>95</v>
      </c>
      <c r="M1024">
        <v>30</v>
      </c>
      <c r="N1024">
        <v>0</v>
      </c>
      <c r="O1024" s="14">
        <v>45986</v>
      </c>
      <c r="P1024" s="14">
        <v>46016</v>
      </c>
      <c r="Q1024">
        <v>1030.45</v>
      </c>
      <c r="R1024">
        <v>0</v>
      </c>
      <c r="S1024">
        <v>0</v>
      </c>
      <c r="T1024">
        <v>0</v>
      </c>
      <c r="U1024">
        <v>0</v>
      </c>
      <c r="V1024">
        <v>1030.45</v>
      </c>
      <c r="W1024">
        <v>0</v>
      </c>
      <c r="X1024">
        <v>1</v>
      </c>
      <c r="Y1024">
        <v>1</v>
      </c>
      <c r="Z1024">
        <v>6</v>
      </c>
      <c r="AA1024">
        <v>2</v>
      </c>
      <c r="AB1024" s="13" t="s">
        <v>405</v>
      </c>
      <c r="AC1024">
        <v>0.25</v>
      </c>
      <c r="AD1024">
        <v>0</v>
      </c>
      <c r="AE1024" s="13" t="s">
        <v>61</v>
      </c>
    </row>
    <row r="1025" spans="1:31" x14ac:dyDescent="0.35">
      <c r="A1025" s="13" t="s">
        <v>1685</v>
      </c>
      <c r="B1025" s="13" t="s">
        <v>366</v>
      </c>
      <c r="C1025" s="13" t="s">
        <v>367</v>
      </c>
      <c r="D1025" s="13" t="s">
        <v>126</v>
      </c>
      <c r="E1025" s="13" t="s">
        <v>77</v>
      </c>
      <c r="F1025" s="13" t="s">
        <v>78</v>
      </c>
      <c r="G1025" s="13" t="s">
        <v>67</v>
      </c>
      <c r="H1025">
        <v>70000</v>
      </c>
      <c r="I1025" s="13" t="s">
        <v>105</v>
      </c>
      <c r="J1025" s="13" t="s">
        <v>106</v>
      </c>
      <c r="K1025" s="13" t="s">
        <v>107</v>
      </c>
      <c r="L1025" s="13" t="s">
        <v>368</v>
      </c>
      <c r="M1025">
        <v>90</v>
      </c>
      <c r="N1025">
        <v>0</v>
      </c>
      <c r="O1025" s="14">
        <v>45986</v>
      </c>
      <c r="P1025" s="14">
        <v>46076</v>
      </c>
      <c r="Q1025">
        <v>5919.49</v>
      </c>
      <c r="R1025">
        <v>0</v>
      </c>
      <c r="S1025">
        <v>0</v>
      </c>
      <c r="T1025">
        <v>0</v>
      </c>
      <c r="U1025">
        <v>0</v>
      </c>
      <c r="V1025">
        <v>5919.49</v>
      </c>
      <c r="W1025">
        <v>0</v>
      </c>
      <c r="X1025">
        <v>1</v>
      </c>
      <c r="Y1025">
        <v>0</v>
      </c>
      <c r="Z1025">
        <v>-54</v>
      </c>
      <c r="AA1025">
        <v>1</v>
      </c>
      <c r="AB1025" s="13" t="s">
        <v>581</v>
      </c>
      <c r="AC1025">
        <v>0</v>
      </c>
      <c r="AD1025">
        <v>0</v>
      </c>
      <c r="AE1025" s="13" t="s">
        <v>61</v>
      </c>
    </row>
    <row r="1026" spans="1:31" x14ac:dyDescent="0.35">
      <c r="A1026" s="13" t="s">
        <v>1686</v>
      </c>
      <c r="B1026" s="13" t="s">
        <v>1214</v>
      </c>
      <c r="C1026" s="13" t="s">
        <v>1215</v>
      </c>
      <c r="D1026" s="13" t="s">
        <v>76</v>
      </c>
      <c r="E1026" s="13" t="s">
        <v>53</v>
      </c>
      <c r="F1026" s="13" t="s">
        <v>135</v>
      </c>
      <c r="G1026" s="13" t="s">
        <v>92</v>
      </c>
      <c r="H1026">
        <v>55000</v>
      </c>
      <c r="I1026" s="13" t="s">
        <v>79</v>
      </c>
      <c r="J1026" s="13" t="s">
        <v>80</v>
      </c>
      <c r="K1026" s="13" t="s">
        <v>81</v>
      </c>
      <c r="L1026" s="13" t="s">
        <v>95</v>
      </c>
      <c r="M1026">
        <v>30</v>
      </c>
      <c r="N1026">
        <v>0</v>
      </c>
      <c r="O1026" s="14">
        <v>45986</v>
      </c>
      <c r="P1026" s="14">
        <v>46016</v>
      </c>
      <c r="Q1026">
        <v>3771.78</v>
      </c>
      <c r="R1026">
        <v>0</v>
      </c>
      <c r="S1026">
        <v>0</v>
      </c>
      <c r="T1026">
        <v>0</v>
      </c>
      <c r="U1026">
        <v>0</v>
      </c>
      <c r="V1026">
        <v>3771.78</v>
      </c>
      <c r="W1026">
        <v>0</v>
      </c>
      <c r="X1026">
        <v>1</v>
      </c>
      <c r="Y1026">
        <v>1</v>
      </c>
      <c r="Z1026">
        <v>6</v>
      </c>
      <c r="AA1026">
        <v>2</v>
      </c>
      <c r="AB1026" s="13" t="s">
        <v>405</v>
      </c>
      <c r="AC1026">
        <v>0.25</v>
      </c>
      <c r="AD1026">
        <v>0</v>
      </c>
      <c r="AE1026" s="13" t="s">
        <v>61</v>
      </c>
    </row>
    <row r="1027" spans="1:31" x14ac:dyDescent="0.35">
      <c r="A1027" s="13" t="s">
        <v>1687</v>
      </c>
      <c r="B1027" s="13" t="s">
        <v>446</v>
      </c>
      <c r="C1027" s="13" t="s">
        <v>447</v>
      </c>
      <c r="D1027" s="13" t="s">
        <v>52</v>
      </c>
      <c r="E1027" s="13" t="s">
        <v>53</v>
      </c>
      <c r="F1027" s="13" t="s">
        <v>54</v>
      </c>
      <c r="G1027" s="13" t="s">
        <v>67</v>
      </c>
      <c r="H1027">
        <v>245000</v>
      </c>
      <c r="I1027" s="13" t="s">
        <v>86</v>
      </c>
      <c r="J1027" s="13" t="s">
        <v>87</v>
      </c>
      <c r="K1027" s="13" t="s">
        <v>58</v>
      </c>
      <c r="L1027" s="13" t="s">
        <v>88</v>
      </c>
      <c r="M1027">
        <v>60</v>
      </c>
      <c r="N1027">
        <v>0</v>
      </c>
      <c r="O1027" s="14">
        <v>45986</v>
      </c>
      <c r="P1027" s="14">
        <v>46046</v>
      </c>
      <c r="Q1027">
        <v>1892.36</v>
      </c>
      <c r="R1027">
        <v>0</v>
      </c>
      <c r="S1027">
        <v>0</v>
      </c>
      <c r="T1027">
        <v>0</v>
      </c>
      <c r="U1027">
        <v>0</v>
      </c>
      <c r="V1027">
        <v>1892.36</v>
      </c>
      <c r="W1027">
        <v>0</v>
      </c>
      <c r="X1027">
        <v>1</v>
      </c>
      <c r="Y1027">
        <v>0</v>
      </c>
      <c r="Z1027">
        <v>-24</v>
      </c>
      <c r="AA1027">
        <v>1</v>
      </c>
      <c r="AB1027" s="13" t="s">
        <v>581</v>
      </c>
      <c r="AC1027">
        <v>0</v>
      </c>
      <c r="AD1027">
        <v>0</v>
      </c>
      <c r="AE1027" s="13" t="s">
        <v>61</v>
      </c>
    </row>
    <row r="1028" spans="1:31" x14ac:dyDescent="0.35">
      <c r="A1028" s="13" t="s">
        <v>1688</v>
      </c>
      <c r="B1028" s="13" t="s">
        <v>695</v>
      </c>
      <c r="C1028" s="13" t="s">
        <v>696</v>
      </c>
      <c r="D1028" s="13" t="s">
        <v>52</v>
      </c>
      <c r="E1028" s="13" t="s">
        <v>53</v>
      </c>
      <c r="F1028" s="13" t="s">
        <v>54</v>
      </c>
      <c r="G1028" s="13" t="s">
        <v>92</v>
      </c>
      <c r="H1028">
        <v>535000</v>
      </c>
      <c r="I1028" s="13" t="s">
        <v>56</v>
      </c>
      <c r="J1028" s="13" t="s">
        <v>57</v>
      </c>
      <c r="K1028" s="13" t="s">
        <v>58</v>
      </c>
      <c r="L1028" s="13" t="s">
        <v>88</v>
      </c>
      <c r="M1028">
        <v>60</v>
      </c>
      <c r="N1028">
        <v>0</v>
      </c>
      <c r="O1028" s="14">
        <v>45986</v>
      </c>
      <c r="P1028" s="14">
        <v>46046</v>
      </c>
      <c r="Q1028">
        <v>3456.6</v>
      </c>
      <c r="R1028">
        <v>0</v>
      </c>
      <c r="S1028">
        <v>0</v>
      </c>
      <c r="T1028">
        <v>0</v>
      </c>
      <c r="U1028">
        <v>0</v>
      </c>
      <c r="V1028">
        <v>3456.6</v>
      </c>
      <c r="W1028">
        <v>0</v>
      </c>
      <c r="X1028">
        <v>1</v>
      </c>
      <c r="Y1028">
        <v>0</v>
      </c>
      <c r="Z1028">
        <v>-24</v>
      </c>
      <c r="AA1028">
        <v>1</v>
      </c>
      <c r="AB1028" s="13" t="s">
        <v>581</v>
      </c>
      <c r="AC1028">
        <v>0</v>
      </c>
      <c r="AD1028">
        <v>0</v>
      </c>
      <c r="AE1028" s="13" t="s">
        <v>61</v>
      </c>
    </row>
    <row r="1029" spans="1:31" x14ac:dyDescent="0.35">
      <c r="A1029" s="13" t="s">
        <v>1689</v>
      </c>
      <c r="B1029" s="13" t="s">
        <v>438</v>
      </c>
      <c r="C1029" s="13" t="s">
        <v>439</v>
      </c>
      <c r="D1029" s="13" t="s">
        <v>126</v>
      </c>
      <c r="E1029" s="13" t="s">
        <v>65</v>
      </c>
      <c r="F1029" s="13" t="s">
        <v>111</v>
      </c>
      <c r="G1029" s="13" t="s">
        <v>67</v>
      </c>
      <c r="H1029">
        <v>155000</v>
      </c>
      <c r="I1029" s="13" t="s">
        <v>86</v>
      </c>
      <c r="J1029" s="13" t="s">
        <v>87</v>
      </c>
      <c r="K1029" s="13" t="s">
        <v>58</v>
      </c>
      <c r="L1029" s="13" t="s">
        <v>368</v>
      </c>
      <c r="M1029">
        <v>90</v>
      </c>
      <c r="N1029">
        <v>0</v>
      </c>
      <c r="O1029" s="14">
        <v>45986</v>
      </c>
      <c r="P1029" s="14">
        <v>46076</v>
      </c>
      <c r="Q1029">
        <v>2277.1799999999998</v>
      </c>
      <c r="R1029">
        <v>0</v>
      </c>
      <c r="S1029">
        <v>0</v>
      </c>
      <c r="T1029">
        <v>0</v>
      </c>
      <c r="U1029">
        <v>0</v>
      </c>
      <c r="V1029">
        <v>2277.1799999999998</v>
      </c>
      <c r="W1029">
        <v>0</v>
      </c>
      <c r="X1029">
        <v>1</v>
      </c>
      <c r="Y1029">
        <v>0</v>
      </c>
      <c r="Z1029">
        <v>-54</v>
      </c>
      <c r="AA1029">
        <v>1</v>
      </c>
      <c r="AB1029" s="13" t="s">
        <v>581</v>
      </c>
      <c r="AC1029">
        <v>0</v>
      </c>
      <c r="AD1029">
        <v>0</v>
      </c>
      <c r="AE1029" s="13" t="s">
        <v>61</v>
      </c>
    </row>
    <row r="1030" spans="1:31" x14ac:dyDescent="0.35">
      <c r="A1030" s="13" t="s">
        <v>1690</v>
      </c>
      <c r="B1030" s="13" t="s">
        <v>930</v>
      </c>
      <c r="C1030" s="13" t="s">
        <v>931</v>
      </c>
      <c r="D1030" s="13" t="s">
        <v>104</v>
      </c>
      <c r="E1030" s="13" t="s">
        <v>71</v>
      </c>
      <c r="F1030" s="13" t="s">
        <v>214</v>
      </c>
      <c r="G1030" s="13" t="s">
        <v>55</v>
      </c>
      <c r="H1030">
        <v>120000</v>
      </c>
      <c r="I1030" s="13" t="s">
        <v>121</v>
      </c>
      <c r="J1030" s="13" t="s">
        <v>122</v>
      </c>
      <c r="K1030" s="13" t="s">
        <v>107</v>
      </c>
      <c r="L1030" s="13" t="s">
        <v>88</v>
      </c>
      <c r="M1030">
        <v>60</v>
      </c>
      <c r="N1030">
        <v>0</v>
      </c>
      <c r="O1030" s="14">
        <v>45986</v>
      </c>
      <c r="P1030" s="14">
        <v>46046</v>
      </c>
      <c r="Q1030">
        <v>1064.27</v>
      </c>
      <c r="R1030">
        <v>0</v>
      </c>
      <c r="S1030">
        <v>0</v>
      </c>
      <c r="T1030">
        <v>0</v>
      </c>
      <c r="U1030">
        <v>0</v>
      </c>
      <c r="V1030">
        <v>1064.27</v>
      </c>
      <c r="W1030">
        <v>0</v>
      </c>
      <c r="X1030">
        <v>1</v>
      </c>
      <c r="Y1030">
        <v>0</v>
      </c>
      <c r="Z1030">
        <v>-24</v>
      </c>
      <c r="AA1030">
        <v>1</v>
      </c>
      <c r="AB1030" s="13" t="s">
        <v>581</v>
      </c>
      <c r="AC1030">
        <v>0</v>
      </c>
      <c r="AD1030">
        <v>0</v>
      </c>
      <c r="AE1030" s="13" t="s">
        <v>61</v>
      </c>
    </row>
    <row r="1031" spans="1:31" x14ac:dyDescent="0.35">
      <c r="A1031" s="13" t="s">
        <v>1691</v>
      </c>
      <c r="B1031" s="13" t="s">
        <v>317</v>
      </c>
      <c r="C1031" s="13" t="s">
        <v>318</v>
      </c>
      <c r="D1031" s="13" t="s">
        <v>52</v>
      </c>
      <c r="E1031" s="13" t="s">
        <v>77</v>
      </c>
      <c r="F1031" s="13" t="s">
        <v>78</v>
      </c>
      <c r="G1031" s="13" t="s">
        <v>67</v>
      </c>
      <c r="H1031">
        <v>390000</v>
      </c>
      <c r="I1031" s="13" t="s">
        <v>56</v>
      </c>
      <c r="J1031" s="13" t="s">
        <v>57</v>
      </c>
      <c r="K1031" s="13" t="s">
        <v>58</v>
      </c>
      <c r="L1031" s="13" t="s">
        <v>88</v>
      </c>
      <c r="M1031">
        <v>60</v>
      </c>
      <c r="N1031">
        <v>0</v>
      </c>
      <c r="O1031" s="14">
        <v>45986</v>
      </c>
      <c r="P1031" s="14">
        <v>46046</v>
      </c>
      <c r="Q1031">
        <v>17733.310000000001</v>
      </c>
      <c r="R1031">
        <v>0</v>
      </c>
      <c r="S1031">
        <v>0</v>
      </c>
      <c r="T1031">
        <v>0</v>
      </c>
      <c r="U1031">
        <v>0</v>
      </c>
      <c r="V1031">
        <v>17733.310000000001</v>
      </c>
      <c r="W1031">
        <v>0</v>
      </c>
      <c r="X1031">
        <v>1</v>
      </c>
      <c r="Y1031">
        <v>0</v>
      </c>
      <c r="Z1031">
        <v>-24</v>
      </c>
      <c r="AA1031">
        <v>1</v>
      </c>
      <c r="AB1031" s="13" t="s">
        <v>581</v>
      </c>
      <c r="AC1031">
        <v>0</v>
      </c>
      <c r="AD1031">
        <v>0</v>
      </c>
      <c r="AE1031" s="13" t="s">
        <v>61</v>
      </c>
    </row>
    <row r="1032" spans="1:31" x14ac:dyDescent="0.35">
      <c r="A1032" s="13" t="s">
        <v>1692</v>
      </c>
      <c r="B1032" s="13" t="s">
        <v>561</v>
      </c>
      <c r="C1032" s="13" t="s">
        <v>562</v>
      </c>
      <c r="D1032" s="13" t="s">
        <v>126</v>
      </c>
      <c r="E1032" s="13" t="s">
        <v>53</v>
      </c>
      <c r="F1032" s="13" t="s">
        <v>135</v>
      </c>
      <c r="G1032" s="13" t="s">
        <v>67</v>
      </c>
      <c r="H1032">
        <v>155000</v>
      </c>
      <c r="I1032" s="13" t="s">
        <v>86</v>
      </c>
      <c r="J1032" s="13" t="s">
        <v>87</v>
      </c>
      <c r="K1032" s="13" t="s">
        <v>58</v>
      </c>
      <c r="L1032" s="13" t="s">
        <v>368</v>
      </c>
      <c r="M1032">
        <v>90</v>
      </c>
      <c r="N1032">
        <v>0</v>
      </c>
      <c r="O1032" s="14">
        <v>45986</v>
      </c>
      <c r="P1032" s="14">
        <v>46076</v>
      </c>
      <c r="Q1032">
        <v>1297.1600000000001</v>
      </c>
      <c r="R1032">
        <v>0</v>
      </c>
      <c r="S1032">
        <v>0</v>
      </c>
      <c r="T1032">
        <v>0</v>
      </c>
      <c r="U1032">
        <v>0</v>
      </c>
      <c r="V1032">
        <v>1297.1600000000001</v>
      </c>
      <c r="W1032">
        <v>0</v>
      </c>
      <c r="X1032">
        <v>1</v>
      </c>
      <c r="Y1032">
        <v>0</v>
      </c>
      <c r="Z1032">
        <v>-54</v>
      </c>
      <c r="AA1032">
        <v>1</v>
      </c>
      <c r="AB1032" s="13" t="s">
        <v>581</v>
      </c>
      <c r="AC1032">
        <v>0</v>
      </c>
      <c r="AD1032">
        <v>0</v>
      </c>
      <c r="AE1032" s="13" t="s">
        <v>61</v>
      </c>
    </row>
    <row r="1033" spans="1:31" x14ac:dyDescent="0.35">
      <c r="A1033" s="13" t="s">
        <v>1693</v>
      </c>
      <c r="B1033" s="13" t="s">
        <v>116</v>
      </c>
      <c r="C1033" s="13" t="s">
        <v>117</v>
      </c>
      <c r="D1033" s="13" t="s">
        <v>76</v>
      </c>
      <c r="E1033" s="13" t="s">
        <v>65</v>
      </c>
      <c r="F1033" s="13" t="s">
        <v>111</v>
      </c>
      <c r="G1033" s="13" t="s">
        <v>67</v>
      </c>
      <c r="H1033">
        <v>85000</v>
      </c>
      <c r="I1033" s="13" t="s">
        <v>79</v>
      </c>
      <c r="J1033" s="13" t="s">
        <v>80</v>
      </c>
      <c r="K1033" s="13" t="s">
        <v>81</v>
      </c>
      <c r="L1033" s="13" t="s">
        <v>82</v>
      </c>
      <c r="M1033">
        <v>30</v>
      </c>
      <c r="N1033">
        <v>2</v>
      </c>
      <c r="O1033" s="14">
        <v>45986</v>
      </c>
      <c r="P1033" s="14">
        <v>46016</v>
      </c>
      <c r="Q1033">
        <v>3053.68</v>
      </c>
      <c r="R1033">
        <v>0</v>
      </c>
      <c r="S1033">
        <v>0</v>
      </c>
      <c r="T1033">
        <v>0</v>
      </c>
      <c r="U1033">
        <v>0</v>
      </c>
      <c r="V1033">
        <v>3053.68</v>
      </c>
      <c r="W1033">
        <v>0</v>
      </c>
      <c r="X1033">
        <v>1</v>
      </c>
      <c r="Y1033">
        <v>1</v>
      </c>
      <c r="Z1033">
        <v>6</v>
      </c>
      <c r="AA1033">
        <v>2</v>
      </c>
      <c r="AB1033" s="13" t="s">
        <v>405</v>
      </c>
      <c r="AC1033">
        <v>0.25</v>
      </c>
      <c r="AD1033">
        <v>1</v>
      </c>
      <c r="AE1033" s="13" t="s">
        <v>629</v>
      </c>
    </row>
    <row r="1034" spans="1:31" x14ac:dyDescent="0.35">
      <c r="A1034" s="13" t="s">
        <v>1694</v>
      </c>
      <c r="B1034" s="13" t="s">
        <v>1015</v>
      </c>
      <c r="C1034" s="13" t="s">
        <v>1016</v>
      </c>
      <c r="D1034" s="13" t="s">
        <v>52</v>
      </c>
      <c r="E1034" s="13" t="s">
        <v>77</v>
      </c>
      <c r="F1034" s="13" t="s">
        <v>174</v>
      </c>
      <c r="G1034" s="13" t="s">
        <v>55</v>
      </c>
      <c r="H1034">
        <v>590000</v>
      </c>
      <c r="I1034" s="13" t="s">
        <v>56</v>
      </c>
      <c r="J1034" s="13" t="s">
        <v>57</v>
      </c>
      <c r="K1034" s="13" t="s">
        <v>58</v>
      </c>
      <c r="L1034" s="13" t="s">
        <v>59</v>
      </c>
      <c r="M1034">
        <v>45</v>
      </c>
      <c r="N1034">
        <v>0</v>
      </c>
      <c r="O1034" s="14">
        <v>45986</v>
      </c>
      <c r="P1034" s="14">
        <v>46031</v>
      </c>
      <c r="Q1034">
        <v>2444.92</v>
      </c>
      <c r="R1034">
        <v>0</v>
      </c>
      <c r="S1034">
        <v>0</v>
      </c>
      <c r="T1034">
        <v>0</v>
      </c>
      <c r="U1034">
        <v>0</v>
      </c>
      <c r="V1034">
        <v>2444.92</v>
      </c>
      <c r="W1034">
        <v>0</v>
      </c>
      <c r="X1034">
        <v>1</v>
      </c>
      <c r="Y1034">
        <v>0</v>
      </c>
      <c r="Z1034">
        <v>-9</v>
      </c>
      <c r="AA1034">
        <v>1</v>
      </c>
      <c r="AB1034" s="13" t="s">
        <v>581</v>
      </c>
      <c r="AC1034">
        <v>0</v>
      </c>
      <c r="AD1034">
        <v>0</v>
      </c>
      <c r="AE1034" s="13" t="s">
        <v>61</v>
      </c>
    </row>
    <row r="1035" spans="1:31" x14ac:dyDescent="0.35">
      <c r="A1035" s="13" t="s">
        <v>1695</v>
      </c>
      <c r="B1035" s="13" t="s">
        <v>986</v>
      </c>
      <c r="C1035" s="13" t="s">
        <v>987</v>
      </c>
      <c r="D1035" s="13" t="s">
        <v>104</v>
      </c>
      <c r="E1035" s="13" t="s">
        <v>71</v>
      </c>
      <c r="F1035" s="13" t="s">
        <v>72</v>
      </c>
      <c r="G1035" s="13" t="s">
        <v>67</v>
      </c>
      <c r="H1035">
        <v>125000</v>
      </c>
      <c r="I1035" s="13" t="s">
        <v>105</v>
      </c>
      <c r="J1035" s="13" t="s">
        <v>106</v>
      </c>
      <c r="K1035" s="13" t="s">
        <v>107</v>
      </c>
      <c r="L1035" s="13" t="s">
        <v>88</v>
      </c>
      <c r="M1035">
        <v>60</v>
      </c>
      <c r="N1035">
        <v>0</v>
      </c>
      <c r="O1035" s="14">
        <v>45986</v>
      </c>
      <c r="P1035" s="14">
        <v>46046</v>
      </c>
      <c r="Q1035">
        <v>4075.89</v>
      </c>
      <c r="R1035">
        <v>0</v>
      </c>
      <c r="S1035">
        <v>0</v>
      </c>
      <c r="T1035">
        <v>0</v>
      </c>
      <c r="U1035">
        <v>0</v>
      </c>
      <c r="V1035">
        <v>4075.89</v>
      </c>
      <c r="W1035">
        <v>0</v>
      </c>
      <c r="X1035">
        <v>1</v>
      </c>
      <c r="Y1035">
        <v>0</v>
      </c>
      <c r="Z1035">
        <v>-24</v>
      </c>
      <c r="AA1035">
        <v>1</v>
      </c>
      <c r="AB1035" s="13" t="s">
        <v>581</v>
      </c>
      <c r="AC1035">
        <v>0</v>
      </c>
      <c r="AD1035">
        <v>0</v>
      </c>
      <c r="AE1035" s="13" t="s">
        <v>61</v>
      </c>
    </row>
    <row r="1036" spans="1:31" x14ac:dyDescent="0.35">
      <c r="A1036" s="13" t="s">
        <v>1696</v>
      </c>
      <c r="B1036" s="13" t="s">
        <v>206</v>
      </c>
      <c r="C1036" s="13" t="s">
        <v>207</v>
      </c>
      <c r="D1036" s="13" t="s">
        <v>52</v>
      </c>
      <c r="E1036" s="13" t="s">
        <v>65</v>
      </c>
      <c r="F1036" s="13" t="s">
        <v>111</v>
      </c>
      <c r="G1036" s="13" t="s">
        <v>92</v>
      </c>
      <c r="H1036">
        <v>490000</v>
      </c>
      <c r="I1036" s="13" t="s">
        <v>86</v>
      </c>
      <c r="J1036" s="13" t="s">
        <v>87</v>
      </c>
      <c r="K1036" s="13" t="s">
        <v>58</v>
      </c>
      <c r="L1036" s="13" t="s">
        <v>88</v>
      </c>
      <c r="M1036">
        <v>60</v>
      </c>
      <c r="N1036">
        <v>0</v>
      </c>
      <c r="O1036" s="14">
        <v>45986</v>
      </c>
      <c r="P1036" s="14">
        <v>46046</v>
      </c>
      <c r="Q1036">
        <v>4719.3999999999996</v>
      </c>
      <c r="R1036">
        <v>0</v>
      </c>
      <c r="S1036">
        <v>0</v>
      </c>
      <c r="T1036">
        <v>0</v>
      </c>
      <c r="U1036">
        <v>0</v>
      </c>
      <c r="V1036">
        <v>4719.3999999999996</v>
      </c>
      <c r="W1036">
        <v>0</v>
      </c>
      <c r="X1036">
        <v>1</v>
      </c>
      <c r="Y1036">
        <v>0</v>
      </c>
      <c r="Z1036">
        <v>-24</v>
      </c>
      <c r="AA1036">
        <v>1</v>
      </c>
      <c r="AB1036" s="13" t="s">
        <v>581</v>
      </c>
      <c r="AC1036">
        <v>0</v>
      </c>
      <c r="AD1036">
        <v>0</v>
      </c>
      <c r="AE1036" s="13" t="s">
        <v>61</v>
      </c>
    </row>
    <row r="1037" spans="1:31" x14ac:dyDescent="0.35">
      <c r="A1037" s="13" t="s">
        <v>1697</v>
      </c>
      <c r="B1037" s="13" t="s">
        <v>379</v>
      </c>
      <c r="C1037" s="13" t="s">
        <v>380</v>
      </c>
      <c r="D1037" s="13" t="s">
        <v>52</v>
      </c>
      <c r="E1037" s="13" t="s">
        <v>77</v>
      </c>
      <c r="F1037" s="13" t="s">
        <v>78</v>
      </c>
      <c r="G1037" s="13" t="s">
        <v>92</v>
      </c>
      <c r="H1037">
        <v>450000</v>
      </c>
      <c r="I1037" s="13" t="s">
        <v>56</v>
      </c>
      <c r="J1037" s="13" t="s">
        <v>57</v>
      </c>
      <c r="K1037" s="13" t="s">
        <v>58</v>
      </c>
      <c r="L1037" s="13" t="s">
        <v>59</v>
      </c>
      <c r="M1037">
        <v>45</v>
      </c>
      <c r="N1037">
        <v>0</v>
      </c>
      <c r="O1037" s="14">
        <v>45986</v>
      </c>
      <c r="P1037" s="14">
        <v>46031</v>
      </c>
      <c r="Q1037">
        <v>7161.51</v>
      </c>
      <c r="R1037">
        <v>0</v>
      </c>
      <c r="S1037">
        <v>0</v>
      </c>
      <c r="T1037">
        <v>0</v>
      </c>
      <c r="U1037">
        <v>0</v>
      </c>
      <c r="V1037">
        <v>7161.51</v>
      </c>
      <c r="W1037">
        <v>0</v>
      </c>
      <c r="X1037">
        <v>1</v>
      </c>
      <c r="Y1037">
        <v>0</v>
      </c>
      <c r="Z1037">
        <v>-9</v>
      </c>
      <c r="AA1037">
        <v>1</v>
      </c>
      <c r="AB1037" s="13" t="s">
        <v>581</v>
      </c>
      <c r="AC1037">
        <v>0</v>
      </c>
      <c r="AD1037">
        <v>1</v>
      </c>
      <c r="AE1037" s="13" t="s">
        <v>377</v>
      </c>
    </row>
    <row r="1038" spans="1:31" x14ac:dyDescent="0.35">
      <c r="A1038" s="13" t="s">
        <v>1698</v>
      </c>
      <c r="B1038" s="13" t="s">
        <v>633</v>
      </c>
      <c r="C1038" s="13" t="s">
        <v>634</v>
      </c>
      <c r="D1038" s="13" t="s">
        <v>126</v>
      </c>
      <c r="E1038" s="13" t="s">
        <v>53</v>
      </c>
      <c r="F1038" s="13" t="s">
        <v>135</v>
      </c>
      <c r="G1038" s="13" t="s">
        <v>67</v>
      </c>
      <c r="H1038">
        <v>90000</v>
      </c>
      <c r="I1038" s="13" t="s">
        <v>121</v>
      </c>
      <c r="J1038" s="13" t="s">
        <v>122</v>
      </c>
      <c r="K1038" s="13" t="s">
        <v>107</v>
      </c>
      <c r="L1038" s="13" t="s">
        <v>368</v>
      </c>
      <c r="M1038">
        <v>90</v>
      </c>
      <c r="N1038">
        <v>0</v>
      </c>
      <c r="O1038" s="14">
        <v>45986</v>
      </c>
      <c r="P1038" s="14">
        <v>46076</v>
      </c>
      <c r="Q1038">
        <v>1232.24</v>
      </c>
      <c r="R1038">
        <v>0</v>
      </c>
      <c r="S1038">
        <v>0</v>
      </c>
      <c r="T1038">
        <v>0</v>
      </c>
      <c r="U1038">
        <v>0</v>
      </c>
      <c r="V1038">
        <v>1232.24</v>
      </c>
      <c r="W1038">
        <v>0</v>
      </c>
      <c r="X1038">
        <v>1</v>
      </c>
      <c r="Y1038">
        <v>0</v>
      </c>
      <c r="Z1038">
        <v>-54</v>
      </c>
      <c r="AA1038">
        <v>1</v>
      </c>
      <c r="AB1038" s="13" t="s">
        <v>581</v>
      </c>
      <c r="AC1038">
        <v>0</v>
      </c>
      <c r="AD1038">
        <v>0</v>
      </c>
      <c r="AE1038" s="13" t="s">
        <v>61</v>
      </c>
    </row>
    <row r="1039" spans="1:31" x14ac:dyDescent="0.35">
      <c r="A1039" s="13" t="s">
        <v>1699</v>
      </c>
      <c r="B1039" s="13" t="s">
        <v>1414</v>
      </c>
      <c r="C1039" s="13" t="s">
        <v>1415</v>
      </c>
      <c r="D1039" s="13" t="s">
        <v>104</v>
      </c>
      <c r="E1039" s="13" t="s">
        <v>65</v>
      </c>
      <c r="F1039" s="13" t="s">
        <v>66</v>
      </c>
      <c r="G1039" s="13" t="s">
        <v>55</v>
      </c>
      <c r="H1039">
        <v>60000</v>
      </c>
      <c r="I1039" s="13" t="s">
        <v>121</v>
      </c>
      <c r="J1039" s="13" t="s">
        <v>122</v>
      </c>
      <c r="K1039" s="13" t="s">
        <v>107</v>
      </c>
      <c r="L1039" s="13" t="s">
        <v>95</v>
      </c>
      <c r="M1039">
        <v>30</v>
      </c>
      <c r="N1039">
        <v>0</v>
      </c>
      <c r="O1039" s="14">
        <v>45986</v>
      </c>
      <c r="P1039" s="14">
        <v>46016</v>
      </c>
      <c r="Q1039">
        <v>1413.07</v>
      </c>
      <c r="R1039">
        <v>0</v>
      </c>
      <c r="S1039">
        <v>0</v>
      </c>
      <c r="T1039">
        <v>0</v>
      </c>
      <c r="U1039">
        <v>0</v>
      </c>
      <c r="V1039">
        <v>1413.07</v>
      </c>
      <c r="W1039">
        <v>0</v>
      </c>
      <c r="X1039">
        <v>1</v>
      </c>
      <c r="Y1039">
        <v>1</v>
      </c>
      <c r="Z1039">
        <v>6</v>
      </c>
      <c r="AA1039">
        <v>2</v>
      </c>
      <c r="AB1039" s="13" t="s">
        <v>405</v>
      </c>
      <c r="AC1039">
        <v>0.25</v>
      </c>
      <c r="AD1039">
        <v>0</v>
      </c>
      <c r="AE1039" s="13" t="s">
        <v>61</v>
      </c>
    </row>
    <row r="1040" spans="1:31" x14ac:dyDescent="0.35">
      <c r="A1040" s="13" t="s">
        <v>1700</v>
      </c>
      <c r="B1040" s="13" t="s">
        <v>1165</v>
      </c>
      <c r="C1040" s="13" t="s">
        <v>1166</v>
      </c>
      <c r="D1040" s="13" t="s">
        <v>52</v>
      </c>
      <c r="E1040" s="13" t="s">
        <v>99</v>
      </c>
      <c r="F1040" s="13" t="s">
        <v>127</v>
      </c>
      <c r="G1040" s="13" t="s">
        <v>67</v>
      </c>
      <c r="H1040">
        <v>370000</v>
      </c>
      <c r="I1040" s="13" t="s">
        <v>56</v>
      </c>
      <c r="J1040" s="13" t="s">
        <v>57</v>
      </c>
      <c r="K1040" s="13" t="s">
        <v>58</v>
      </c>
      <c r="L1040" s="13" t="s">
        <v>88</v>
      </c>
      <c r="M1040">
        <v>60</v>
      </c>
      <c r="N1040">
        <v>0</v>
      </c>
      <c r="O1040" s="14">
        <v>45986</v>
      </c>
      <c r="P1040" s="14">
        <v>46046</v>
      </c>
      <c r="Q1040">
        <v>2026</v>
      </c>
      <c r="R1040">
        <v>0</v>
      </c>
      <c r="S1040">
        <v>0</v>
      </c>
      <c r="T1040">
        <v>0</v>
      </c>
      <c r="U1040">
        <v>0</v>
      </c>
      <c r="V1040">
        <v>2026</v>
      </c>
      <c r="W1040">
        <v>0</v>
      </c>
      <c r="X1040">
        <v>1</v>
      </c>
      <c r="Y1040">
        <v>0</v>
      </c>
      <c r="Z1040">
        <v>-24</v>
      </c>
      <c r="AA1040">
        <v>1</v>
      </c>
      <c r="AB1040" s="13" t="s">
        <v>581</v>
      </c>
      <c r="AC1040">
        <v>0</v>
      </c>
      <c r="AD1040">
        <v>0</v>
      </c>
      <c r="AE1040" s="13" t="s">
        <v>61</v>
      </c>
    </row>
    <row r="1041" spans="1:31" x14ac:dyDescent="0.35">
      <c r="A1041" s="13" t="s">
        <v>1701</v>
      </c>
      <c r="B1041" s="13" t="s">
        <v>280</v>
      </c>
      <c r="C1041" s="13" t="s">
        <v>281</v>
      </c>
      <c r="D1041" s="13" t="s">
        <v>104</v>
      </c>
      <c r="E1041" s="13" t="s">
        <v>71</v>
      </c>
      <c r="F1041" s="13" t="s">
        <v>214</v>
      </c>
      <c r="G1041" s="13" t="s">
        <v>92</v>
      </c>
      <c r="H1041">
        <v>100000</v>
      </c>
      <c r="I1041" s="13" t="s">
        <v>121</v>
      </c>
      <c r="J1041" s="13" t="s">
        <v>122</v>
      </c>
      <c r="K1041" s="13" t="s">
        <v>107</v>
      </c>
      <c r="L1041" s="13" t="s">
        <v>88</v>
      </c>
      <c r="M1041">
        <v>60</v>
      </c>
      <c r="N1041">
        <v>0</v>
      </c>
      <c r="O1041" s="14">
        <v>45986</v>
      </c>
      <c r="P1041" s="14">
        <v>46046</v>
      </c>
      <c r="Q1041">
        <v>1556.53</v>
      </c>
      <c r="R1041">
        <v>0</v>
      </c>
      <c r="S1041">
        <v>0</v>
      </c>
      <c r="T1041">
        <v>0</v>
      </c>
      <c r="U1041">
        <v>0</v>
      </c>
      <c r="V1041">
        <v>1556.53</v>
      </c>
      <c r="W1041">
        <v>0</v>
      </c>
      <c r="X1041">
        <v>1</v>
      </c>
      <c r="Y1041">
        <v>0</v>
      </c>
      <c r="Z1041">
        <v>-24</v>
      </c>
      <c r="AA1041">
        <v>1</v>
      </c>
      <c r="AB1041" s="13" t="s">
        <v>581</v>
      </c>
      <c r="AC1041">
        <v>0</v>
      </c>
      <c r="AD1041">
        <v>0</v>
      </c>
      <c r="AE1041" s="13" t="s">
        <v>61</v>
      </c>
    </row>
    <row r="1042" spans="1:31" x14ac:dyDescent="0.35">
      <c r="A1042" s="13" t="s">
        <v>1702</v>
      </c>
      <c r="B1042" s="13" t="s">
        <v>1703</v>
      </c>
      <c r="C1042" s="13" t="s">
        <v>1704</v>
      </c>
      <c r="D1042" s="13" t="s">
        <v>76</v>
      </c>
      <c r="E1042" s="13" t="s">
        <v>65</v>
      </c>
      <c r="F1042" s="13" t="s">
        <v>66</v>
      </c>
      <c r="G1042" s="13" t="s">
        <v>55</v>
      </c>
      <c r="H1042">
        <v>30000</v>
      </c>
      <c r="I1042" s="13" t="s">
        <v>93</v>
      </c>
      <c r="J1042" s="13" t="s">
        <v>94</v>
      </c>
      <c r="K1042" s="13" t="s">
        <v>81</v>
      </c>
      <c r="L1042" s="13" t="s">
        <v>95</v>
      </c>
      <c r="M1042">
        <v>30</v>
      </c>
      <c r="N1042">
        <v>0</v>
      </c>
      <c r="O1042" s="14">
        <v>45987</v>
      </c>
      <c r="P1042" s="14">
        <v>46017</v>
      </c>
      <c r="Q1042">
        <v>2282.6</v>
      </c>
      <c r="R1042">
        <v>0</v>
      </c>
      <c r="S1042">
        <v>0</v>
      </c>
      <c r="T1042">
        <v>0</v>
      </c>
      <c r="U1042">
        <v>0</v>
      </c>
      <c r="V1042">
        <v>2282.6</v>
      </c>
      <c r="W1042">
        <v>0</v>
      </c>
      <c r="X1042">
        <v>1</v>
      </c>
      <c r="Y1042">
        <v>1</v>
      </c>
      <c r="Z1042">
        <v>5</v>
      </c>
      <c r="AA1042">
        <v>2</v>
      </c>
      <c r="AB1042" s="13" t="s">
        <v>405</v>
      </c>
      <c r="AC1042">
        <v>0.25</v>
      </c>
      <c r="AD1042">
        <v>0</v>
      </c>
      <c r="AE1042" s="13" t="s">
        <v>61</v>
      </c>
    </row>
    <row r="1043" spans="1:31" x14ac:dyDescent="0.35">
      <c r="A1043" s="13" t="s">
        <v>1705</v>
      </c>
      <c r="B1043" s="13" t="s">
        <v>244</v>
      </c>
      <c r="C1043" s="13" t="s">
        <v>245</v>
      </c>
      <c r="D1043" s="13" t="s">
        <v>52</v>
      </c>
      <c r="E1043" s="13" t="s">
        <v>65</v>
      </c>
      <c r="F1043" s="13" t="s">
        <v>111</v>
      </c>
      <c r="G1043" s="13" t="s">
        <v>55</v>
      </c>
      <c r="H1043">
        <v>590000</v>
      </c>
      <c r="I1043" s="13" t="s">
        <v>86</v>
      </c>
      <c r="J1043" s="13" t="s">
        <v>87</v>
      </c>
      <c r="K1043" s="13" t="s">
        <v>58</v>
      </c>
      <c r="L1043" s="13" t="s">
        <v>59</v>
      </c>
      <c r="M1043">
        <v>45</v>
      </c>
      <c r="N1043">
        <v>0</v>
      </c>
      <c r="O1043" s="14">
        <v>45987</v>
      </c>
      <c r="P1043" s="14">
        <v>46032</v>
      </c>
      <c r="Q1043">
        <v>4088.49</v>
      </c>
      <c r="R1043">
        <v>0</v>
      </c>
      <c r="S1043">
        <v>0</v>
      </c>
      <c r="T1043">
        <v>0</v>
      </c>
      <c r="U1043">
        <v>0</v>
      </c>
      <c r="V1043">
        <v>4088.49</v>
      </c>
      <c r="W1043">
        <v>0</v>
      </c>
      <c r="X1043">
        <v>1</v>
      </c>
      <c r="Y1043">
        <v>0</v>
      </c>
      <c r="Z1043">
        <v>-10</v>
      </c>
      <c r="AA1043">
        <v>1</v>
      </c>
      <c r="AB1043" s="13" t="s">
        <v>581</v>
      </c>
      <c r="AC1043">
        <v>0</v>
      </c>
      <c r="AD1043">
        <v>0</v>
      </c>
      <c r="AE1043" s="13" t="s">
        <v>61</v>
      </c>
    </row>
    <row r="1044" spans="1:31" x14ac:dyDescent="0.35">
      <c r="A1044" s="13" t="s">
        <v>1706</v>
      </c>
      <c r="B1044" s="13" t="s">
        <v>1285</v>
      </c>
      <c r="C1044" s="13" t="s">
        <v>1286</v>
      </c>
      <c r="D1044" s="13" t="s">
        <v>76</v>
      </c>
      <c r="E1044" s="13" t="s">
        <v>53</v>
      </c>
      <c r="F1044" s="13" t="s">
        <v>54</v>
      </c>
      <c r="G1044" s="13" t="s">
        <v>55</v>
      </c>
      <c r="H1044">
        <v>105000</v>
      </c>
      <c r="I1044" s="13" t="s">
        <v>79</v>
      </c>
      <c r="J1044" s="13" t="s">
        <v>80</v>
      </c>
      <c r="K1044" s="13" t="s">
        <v>81</v>
      </c>
      <c r="L1044" s="13" t="s">
        <v>95</v>
      </c>
      <c r="M1044">
        <v>30</v>
      </c>
      <c r="N1044">
        <v>0</v>
      </c>
      <c r="O1044" s="14">
        <v>45987</v>
      </c>
      <c r="P1044" s="14">
        <v>46017</v>
      </c>
      <c r="Q1044">
        <v>1880.48</v>
      </c>
      <c r="R1044">
        <v>0</v>
      </c>
      <c r="S1044">
        <v>0</v>
      </c>
      <c r="T1044">
        <v>0</v>
      </c>
      <c r="U1044">
        <v>0</v>
      </c>
      <c r="V1044">
        <v>1880.48</v>
      </c>
      <c r="W1044">
        <v>0</v>
      </c>
      <c r="X1044">
        <v>1</v>
      </c>
      <c r="Y1044">
        <v>1</v>
      </c>
      <c r="Z1044">
        <v>5</v>
      </c>
      <c r="AA1044">
        <v>2</v>
      </c>
      <c r="AB1044" s="13" t="s">
        <v>405</v>
      </c>
      <c r="AC1044">
        <v>0.25</v>
      </c>
      <c r="AD1044">
        <v>0</v>
      </c>
      <c r="AE1044" s="13" t="s">
        <v>61</v>
      </c>
    </row>
    <row r="1045" spans="1:31" x14ac:dyDescent="0.35">
      <c r="A1045" s="13" t="s">
        <v>1707</v>
      </c>
      <c r="B1045" s="13" t="s">
        <v>203</v>
      </c>
      <c r="C1045" s="13" t="s">
        <v>204</v>
      </c>
      <c r="D1045" s="13" t="s">
        <v>52</v>
      </c>
      <c r="E1045" s="13" t="s">
        <v>53</v>
      </c>
      <c r="F1045" s="13" t="s">
        <v>135</v>
      </c>
      <c r="G1045" s="13" t="s">
        <v>67</v>
      </c>
      <c r="H1045">
        <v>500000</v>
      </c>
      <c r="I1045" s="13" t="s">
        <v>56</v>
      </c>
      <c r="J1045" s="13" t="s">
        <v>57</v>
      </c>
      <c r="K1045" s="13" t="s">
        <v>58</v>
      </c>
      <c r="L1045" s="13" t="s">
        <v>59</v>
      </c>
      <c r="M1045">
        <v>45</v>
      </c>
      <c r="N1045">
        <v>0</v>
      </c>
      <c r="O1045" s="14">
        <v>45987</v>
      </c>
      <c r="P1045" s="14">
        <v>46032</v>
      </c>
      <c r="Q1045">
        <v>14185.06</v>
      </c>
      <c r="R1045">
        <v>0</v>
      </c>
      <c r="S1045">
        <v>0</v>
      </c>
      <c r="T1045">
        <v>0</v>
      </c>
      <c r="U1045">
        <v>0</v>
      </c>
      <c r="V1045">
        <v>14185.06</v>
      </c>
      <c r="W1045">
        <v>0</v>
      </c>
      <c r="X1045">
        <v>1</v>
      </c>
      <c r="Y1045">
        <v>0</v>
      </c>
      <c r="Z1045">
        <v>-10</v>
      </c>
      <c r="AA1045">
        <v>1</v>
      </c>
      <c r="AB1045" s="13" t="s">
        <v>581</v>
      </c>
      <c r="AC1045">
        <v>0</v>
      </c>
      <c r="AD1045">
        <v>0</v>
      </c>
      <c r="AE1045" s="13" t="s">
        <v>61</v>
      </c>
    </row>
    <row r="1046" spans="1:31" x14ac:dyDescent="0.35">
      <c r="A1046" s="13" t="s">
        <v>1708</v>
      </c>
      <c r="B1046" s="13" t="s">
        <v>259</v>
      </c>
      <c r="C1046" s="13" t="s">
        <v>260</v>
      </c>
      <c r="D1046" s="13" t="s">
        <v>104</v>
      </c>
      <c r="E1046" s="13" t="s">
        <v>71</v>
      </c>
      <c r="F1046" s="13" t="s">
        <v>72</v>
      </c>
      <c r="G1046" s="13" t="s">
        <v>67</v>
      </c>
      <c r="H1046">
        <v>145000</v>
      </c>
      <c r="I1046" s="13" t="s">
        <v>121</v>
      </c>
      <c r="J1046" s="13" t="s">
        <v>122</v>
      </c>
      <c r="K1046" s="13" t="s">
        <v>107</v>
      </c>
      <c r="L1046" s="13" t="s">
        <v>88</v>
      </c>
      <c r="M1046">
        <v>60</v>
      </c>
      <c r="N1046">
        <v>0</v>
      </c>
      <c r="O1046" s="14">
        <v>45987</v>
      </c>
      <c r="P1046" s="14">
        <v>46047</v>
      </c>
      <c r="Q1046">
        <v>810.84</v>
      </c>
      <c r="R1046">
        <v>0</v>
      </c>
      <c r="S1046">
        <v>0</v>
      </c>
      <c r="T1046">
        <v>0</v>
      </c>
      <c r="U1046">
        <v>0</v>
      </c>
      <c r="V1046">
        <v>810.84</v>
      </c>
      <c r="W1046">
        <v>0</v>
      </c>
      <c r="X1046">
        <v>1</v>
      </c>
      <c r="Y1046">
        <v>0</v>
      </c>
      <c r="Z1046">
        <v>-25</v>
      </c>
      <c r="AA1046">
        <v>1</v>
      </c>
      <c r="AB1046" s="13" t="s">
        <v>581</v>
      </c>
      <c r="AC1046">
        <v>0</v>
      </c>
      <c r="AD1046">
        <v>1</v>
      </c>
      <c r="AE1046" s="13" t="s">
        <v>377</v>
      </c>
    </row>
    <row r="1047" spans="1:31" x14ac:dyDescent="0.35">
      <c r="A1047" s="13" t="s">
        <v>1709</v>
      </c>
      <c r="B1047" s="13" t="s">
        <v>434</v>
      </c>
      <c r="C1047" s="13" t="s">
        <v>435</v>
      </c>
      <c r="D1047" s="13" t="s">
        <v>52</v>
      </c>
      <c r="E1047" s="13" t="s">
        <v>77</v>
      </c>
      <c r="F1047" s="13" t="s">
        <v>78</v>
      </c>
      <c r="G1047" s="13" t="s">
        <v>55</v>
      </c>
      <c r="H1047">
        <v>510000</v>
      </c>
      <c r="I1047" s="13" t="s">
        <v>56</v>
      </c>
      <c r="J1047" s="13" t="s">
        <v>57</v>
      </c>
      <c r="K1047" s="13" t="s">
        <v>58</v>
      </c>
      <c r="L1047" s="13" t="s">
        <v>88</v>
      </c>
      <c r="M1047">
        <v>60</v>
      </c>
      <c r="N1047">
        <v>0</v>
      </c>
      <c r="O1047" s="14">
        <v>45987</v>
      </c>
      <c r="P1047" s="14">
        <v>46047</v>
      </c>
      <c r="Q1047">
        <v>1733.27</v>
      </c>
      <c r="R1047">
        <v>0</v>
      </c>
      <c r="S1047">
        <v>0</v>
      </c>
      <c r="T1047">
        <v>0</v>
      </c>
      <c r="U1047">
        <v>0</v>
      </c>
      <c r="V1047">
        <v>1733.27</v>
      </c>
      <c r="W1047">
        <v>0</v>
      </c>
      <c r="X1047">
        <v>1</v>
      </c>
      <c r="Y1047">
        <v>0</v>
      </c>
      <c r="Z1047">
        <v>-25</v>
      </c>
      <c r="AA1047">
        <v>1</v>
      </c>
      <c r="AB1047" s="13" t="s">
        <v>581</v>
      </c>
      <c r="AC1047">
        <v>0</v>
      </c>
      <c r="AD1047">
        <v>0</v>
      </c>
      <c r="AE1047" s="13" t="s">
        <v>61</v>
      </c>
    </row>
    <row r="1048" spans="1:31" x14ac:dyDescent="0.35">
      <c r="A1048" s="13" t="s">
        <v>1710</v>
      </c>
      <c r="B1048" s="13" t="s">
        <v>156</v>
      </c>
      <c r="C1048" s="13" t="s">
        <v>157</v>
      </c>
      <c r="D1048" s="13" t="s">
        <v>52</v>
      </c>
      <c r="E1048" s="13" t="s">
        <v>53</v>
      </c>
      <c r="F1048" s="13" t="s">
        <v>54</v>
      </c>
      <c r="G1048" s="13" t="s">
        <v>92</v>
      </c>
      <c r="H1048">
        <v>600000</v>
      </c>
      <c r="I1048" s="13" t="s">
        <v>56</v>
      </c>
      <c r="J1048" s="13" t="s">
        <v>57</v>
      </c>
      <c r="K1048" s="13" t="s">
        <v>58</v>
      </c>
      <c r="L1048" s="13" t="s">
        <v>88</v>
      </c>
      <c r="M1048">
        <v>60</v>
      </c>
      <c r="N1048">
        <v>0</v>
      </c>
      <c r="O1048" s="14">
        <v>45987</v>
      </c>
      <c r="P1048" s="14">
        <v>46047</v>
      </c>
      <c r="Q1048">
        <v>11679.69</v>
      </c>
      <c r="R1048">
        <v>0</v>
      </c>
      <c r="S1048">
        <v>0</v>
      </c>
      <c r="T1048">
        <v>0</v>
      </c>
      <c r="U1048">
        <v>0</v>
      </c>
      <c r="V1048">
        <v>11679.69</v>
      </c>
      <c r="W1048">
        <v>0</v>
      </c>
      <c r="X1048">
        <v>1</v>
      </c>
      <c r="Y1048">
        <v>0</v>
      </c>
      <c r="Z1048">
        <v>-25</v>
      </c>
      <c r="AA1048">
        <v>1</v>
      </c>
      <c r="AB1048" s="13" t="s">
        <v>581</v>
      </c>
      <c r="AC1048">
        <v>0</v>
      </c>
      <c r="AD1048">
        <v>0</v>
      </c>
      <c r="AE1048" s="13" t="s">
        <v>61</v>
      </c>
    </row>
    <row r="1049" spans="1:31" x14ac:dyDescent="0.35">
      <c r="A1049" s="13" t="s">
        <v>1711</v>
      </c>
      <c r="B1049" s="13" t="s">
        <v>1424</v>
      </c>
      <c r="C1049" s="13" t="s">
        <v>1425</v>
      </c>
      <c r="D1049" s="13" t="s">
        <v>76</v>
      </c>
      <c r="E1049" s="13" t="s">
        <v>77</v>
      </c>
      <c r="F1049" s="13" t="s">
        <v>174</v>
      </c>
      <c r="G1049" s="13" t="s">
        <v>55</v>
      </c>
      <c r="H1049">
        <v>120000</v>
      </c>
      <c r="I1049" s="13" t="s">
        <v>79</v>
      </c>
      <c r="J1049" s="13" t="s">
        <v>80</v>
      </c>
      <c r="K1049" s="13" t="s">
        <v>81</v>
      </c>
      <c r="L1049" s="13" t="s">
        <v>82</v>
      </c>
      <c r="M1049">
        <v>30</v>
      </c>
      <c r="N1049">
        <v>2</v>
      </c>
      <c r="O1049" s="14">
        <v>45987</v>
      </c>
      <c r="P1049" s="14">
        <v>46017</v>
      </c>
      <c r="Q1049">
        <v>1005.17</v>
      </c>
      <c r="R1049">
        <v>0</v>
      </c>
      <c r="S1049">
        <v>0</v>
      </c>
      <c r="T1049">
        <v>0</v>
      </c>
      <c r="U1049">
        <v>0</v>
      </c>
      <c r="V1049">
        <v>1005.17</v>
      </c>
      <c r="W1049">
        <v>0</v>
      </c>
      <c r="X1049">
        <v>1</v>
      </c>
      <c r="Y1049">
        <v>1</v>
      </c>
      <c r="Z1049">
        <v>5</v>
      </c>
      <c r="AA1049">
        <v>2</v>
      </c>
      <c r="AB1049" s="13" t="s">
        <v>405</v>
      </c>
      <c r="AC1049">
        <v>0.25</v>
      </c>
      <c r="AD1049">
        <v>0</v>
      </c>
      <c r="AE1049" s="13" t="s">
        <v>61</v>
      </c>
    </row>
    <row r="1050" spans="1:31" x14ac:dyDescent="0.35">
      <c r="A1050" s="13" t="s">
        <v>1712</v>
      </c>
      <c r="B1050" s="13" t="s">
        <v>119</v>
      </c>
      <c r="C1050" s="13" t="s">
        <v>120</v>
      </c>
      <c r="D1050" s="13" t="s">
        <v>104</v>
      </c>
      <c r="E1050" s="13" t="s">
        <v>53</v>
      </c>
      <c r="F1050" s="13" t="s">
        <v>54</v>
      </c>
      <c r="G1050" s="13" t="s">
        <v>55</v>
      </c>
      <c r="H1050">
        <v>145000</v>
      </c>
      <c r="I1050" s="13" t="s">
        <v>121</v>
      </c>
      <c r="J1050" s="13" t="s">
        <v>122</v>
      </c>
      <c r="K1050" s="13" t="s">
        <v>107</v>
      </c>
      <c r="L1050" s="13" t="s">
        <v>82</v>
      </c>
      <c r="M1050">
        <v>30</v>
      </c>
      <c r="N1050">
        <v>2</v>
      </c>
      <c r="O1050" s="14">
        <v>45987</v>
      </c>
      <c r="P1050" s="14">
        <v>46017</v>
      </c>
      <c r="Q1050">
        <v>2965.22</v>
      </c>
      <c r="R1050">
        <v>0</v>
      </c>
      <c r="S1050">
        <v>0</v>
      </c>
      <c r="T1050">
        <v>0</v>
      </c>
      <c r="U1050">
        <v>0</v>
      </c>
      <c r="V1050">
        <v>2965.22</v>
      </c>
      <c r="W1050">
        <v>0</v>
      </c>
      <c r="X1050">
        <v>1</v>
      </c>
      <c r="Y1050">
        <v>1</v>
      </c>
      <c r="Z1050">
        <v>5</v>
      </c>
      <c r="AA1050">
        <v>2</v>
      </c>
      <c r="AB1050" s="13" t="s">
        <v>405</v>
      </c>
      <c r="AC1050">
        <v>0.25</v>
      </c>
      <c r="AD1050">
        <v>0</v>
      </c>
      <c r="AE1050" s="13" t="s">
        <v>61</v>
      </c>
    </row>
    <row r="1051" spans="1:31" x14ac:dyDescent="0.35">
      <c r="A1051" s="13" t="s">
        <v>1713</v>
      </c>
      <c r="B1051" s="13" t="s">
        <v>1714</v>
      </c>
      <c r="C1051" s="13" t="s">
        <v>1715</v>
      </c>
      <c r="D1051" s="13" t="s">
        <v>104</v>
      </c>
      <c r="E1051" s="13" t="s">
        <v>99</v>
      </c>
      <c r="F1051" s="13" t="s">
        <v>100</v>
      </c>
      <c r="G1051" s="13" t="s">
        <v>55</v>
      </c>
      <c r="H1051">
        <v>50000</v>
      </c>
      <c r="I1051" s="13" t="s">
        <v>105</v>
      </c>
      <c r="J1051" s="13" t="s">
        <v>106</v>
      </c>
      <c r="K1051" s="13" t="s">
        <v>107</v>
      </c>
      <c r="L1051" s="13" t="s">
        <v>95</v>
      </c>
      <c r="M1051">
        <v>30</v>
      </c>
      <c r="N1051">
        <v>0</v>
      </c>
      <c r="O1051" s="14">
        <v>45987</v>
      </c>
      <c r="P1051" s="14">
        <v>46017</v>
      </c>
      <c r="Q1051">
        <v>3504.13</v>
      </c>
      <c r="R1051">
        <v>0</v>
      </c>
      <c r="S1051">
        <v>0</v>
      </c>
      <c r="T1051">
        <v>0</v>
      </c>
      <c r="U1051">
        <v>0</v>
      </c>
      <c r="V1051">
        <v>3504.13</v>
      </c>
      <c r="W1051">
        <v>0</v>
      </c>
      <c r="X1051">
        <v>1</v>
      </c>
      <c r="Y1051">
        <v>1</v>
      </c>
      <c r="Z1051">
        <v>5</v>
      </c>
      <c r="AA1051">
        <v>2</v>
      </c>
      <c r="AB1051" s="13" t="s">
        <v>405</v>
      </c>
      <c r="AC1051">
        <v>0.25</v>
      </c>
      <c r="AD1051">
        <v>0</v>
      </c>
      <c r="AE1051" s="13" t="s">
        <v>61</v>
      </c>
    </row>
    <row r="1052" spans="1:31" x14ac:dyDescent="0.35">
      <c r="A1052" s="13" t="s">
        <v>1716</v>
      </c>
      <c r="B1052" s="13" t="s">
        <v>997</v>
      </c>
      <c r="C1052" s="13" t="s">
        <v>998</v>
      </c>
      <c r="D1052" s="13" t="s">
        <v>52</v>
      </c>
      <c r="E1052" s="13" t="s">
        <v>71</v>
      </c>
      <c r="F1052" s="13" t="s">
        <v>72</v>
      </c>
      <c r="G1052" s="13" t="s">
        <v>55</v>
      </c>
      <c r="H1052">
        <v>405000</v>
      </c>
      <c r="I1052" s="13" t="s">
        <v>86</v>
      </c>
      <c r="J1052" s="13" t="s">
        <v>87</v>
      </c>
      <c r="K1052" s="13" t="s">
        <v>58</v>
      </c>
      <c r="L1052" s="13" t="s">
        <v>59</v>
      </c>
      <c r="M1052">
        <v>45</v>
      </c>
      <c r="N1052">
        <v>0</v>
      </c>
      <c r="O1052" s="14">
        <v>45987</v>
      </c>
      <c r="P1052" s="14">
        <v>46032</v>
      </c>
      <c r="Q1052">
        <v>7319.86</v>
      </c>
      <c r="R1052">
        <v>0</v>
      </c>
      <c r="S1052">
        <v>0</v>
      </c>
      <c r="T1052">
        <v>0</v>
      </c>
      <c r="U1052">
        <v>0</v>
      </c>
      <c r="V1052">
        <v>7319.86</v>
      </c>
      <c r="W1052">
        <v>0</v>
      </c>
      <c r="X1052">
        <v>1</v>
      </c>
      <c r="Y1052">
        <v>0</v>
      </c>
      <c r="Z1052">
        <v>-10</v>
      </c>
      <c r="AA1052">
        <v>1</v>
      </c>
      <c r="AB1052" s="13" t="s">
        <v>581</v>
      </c>
      <c r="AC1052">
        <v>0</v>
      </c>
      <c r="AD1052">
        <v>0</v>
      </c>
      <c r="AE1052" s="13" t="s">
        <v>61</v>
      </c>
    </row>
    <row r="1053" spans="1:31" x14ac:dyDescent="0.35">
      <c r="A1053" s="13" t="s">
        <v>1717</v>
      </c>
      <c r="B1053" s="13" t="s">
        <v>1470</v>
      </c>
      <c r="C1053" s="13" t="s">
        <v>1471</v>
      </c>
      <c r="D1053" s="13" t="s">
        <v>52</v>
      </c>
      <c r="E1053" s="13" t="s">
        <v>77</v>
      </c>
      <c r="F1053" s="13" t="s">
        <v>78</v>
      </c>
      <c r="G1053" s="13" t="s">
        <v>67</v>
      </c>
      <c r="H1053">
        <v>385000</v>
      </c>
      <c r="I1053" s="13" t="s">
        <v>86</v>
      </c>
      <c r="J1053" s="13" t="s">
        <v>87</v>
      </c>
      <c r="K1053" s="13" t="s">
        <v>58</v>
      </c>
      <c r="L1053" s="13" t="s">
        <v>88</v>
      </c>
      <c r="M1053">
        <v>60</v>
      </c>
      <c r="N1053">
        <v>0</v>
      </c>
      <c r="O1053" s="14">
        <v>45987</v>
      </c>
      <c r="P1053" s="14">
        <v>46047</v>
      </c>
      <c r="Q1053">
        <v>13344.36</v>
      </c>
      <c r="R1053">
        <v>0</v>
      </c>
      <c r="S1053">
        <v>0</v>
      </c>
      <c r="T1053">
        <v>0</v>
      </c>
      <c r="U1053">
        <v>0</v>
      </c>
      <c r="V1053">
        <v>13344.36</v>
      </c>
      <c r="W1053">
        <v>0</v>
      </c>
      <c r="X1053">
        <v>1</v>
      </c>
      <c r="Y1053">
        <v>0</v>
      </c>
      <c r="Z1053">
        <v>-25</v>
      </c>
      <c r="AA1053">
        <v>1</v>
      </c>
      <c r="AB1053" s="13" t="s">
        <v>581</v>
      </c>
      <c r="AC1053">
        <v>0</v>
      </c>
      <c r="AD1053">
        <v>0</v>
      </c>
      <c r="AE1053" s="13" t="s">
        <v>61</v>
      </c>
    </row>
    <row r="1054" spans="1:31" x14ac:dyDescent="0.35">
      <c r="A1054" s="13" t="s">
        <v>1718</v>
      </c>
      <c r="B1054" s="13" t="s">
        <v>539</v>
      </c>
      <c r="C1054" s="13" t="s">
        <v>540</v>
      </c>
      <c r="D1054" s="13" t="s">
        <v>52</v>
      </c>
      <c r="E1054" s="13" t="s">
        <v>65</v>
      </c>
      <c r="F1054" s="13" t="s">
        <v>66</v>
      </c>
      <c r="G1054" s="13" t="s">
        <v>67</v>
      </c>
      <c r="H1054">
        <v>435000</v>
      </c>
      <c r="I1054" s="13" t="s">
        <v>56</v>
      </c>
      <c r="J1054" s="13" t="s">
        <v>57</v>
      </c>
      <c r="K1054" s="13" t="s">
        <v>58</v>
      </c>
      <c r="L1054" s="13" t="s">
        <v>59</v>
      </c>
      <c r="M1054">
        <v>45</v>
      </c>
      <c r="N1054">
        <v>0</v>
      </c>
      <c r="O1054" s="14">
        <v>45987</v>
      </c>
      <c r="P1054" s="14">
        <v>46032</v>
      </c>
      <c r="Q1054">
        <v>2178.83</v>
      </c>
      <c r="R1054">
        <v>0</v>
      </c>
      <c r="S1054">
        <v>0</v>
      </c>
      <c r="T1054">
        <v>0</v>
      </c>
      <c r="U1054">
        <v>0</v>
      </c>
      <c r="V1054">
        <v>2178.83</v>
      </c>
      <c r="W1054">
        <v>0</v>
      </c>
      <c r="X1054">
        <v>1</v>
      </c>
      <c r="Y1054">
        <v>0</v>
      </c>
      <c r="Z1054">
        <v>-10</v>
      </c>
      <c r="AA1054">
        <v>1</v>
      </c>
      <c r="AB1054" s="13" t="s">
        <v>581</v>
      </c>
      <c r="AC1054">
        <v>0</v>
      </c>
      <c r="AD1054">
        <v>0</v>
      </c>
      <c r="AE1054" s="13" t="s">
        <v>61</v>
      </c>
    </row>
    <row r="1055" spans="1:31" x14ac:dyDescent="0.35">
      <c r="A1055" s="13" t="s">
        <v>1719</v>
      </c>
      <c r="B1055" s="13" t="s">
        <v>1720</v>
      </c>
      <c r="C1055" s="13" t="s">
        <v>1721</v>
      </c>
      <c r="D1055" s="13" t="s">
        <v>104</v>
      </c>
      <c r="E1055" s="13" t="s">
        <v>65</v>
      </c>
      <c r="F1055" s="13" t="s">
        <v>111</v>
      </c>
      <c r="G1055" s="13" t="s">
        <v>67</v>
      </c>
      <c r="H1055">
        <v>80000</v>
      </c>
      <c r="I1055" s="13" t="s">
        <v>105</v>
      </c>
      <c r="J1055" s="13" t="s">
        <v>106</v>
      </c>
      <c r="K1055" s="13" t="s">
        <v>107</v>
      </c>
      <c r="L1055" s="13" t="s">
        <v>95</v>
      </c>
      <c r="M1055">
        <v>30</v>
      </c>
      <c r="N1055">
        <v>0</v>
      </c>
      <c r="O1055" s="14">
        <v>45987</v>
      </c>
      <c r="P1055" s="14">
        <v>46017</v>
      </c>
      <c r="Q1055">
        <v>922.45</v>
      </c>
      <c r="R1055">
        <v>0</v>
      </c>
      <c r="S1055">
        <v>0</v>
      </c>
      <c r="T1055">
        <v>0</v>
      </c>
      <c r="U1055">
        <v>0</v>
      </c>
      <c r="V1055">
        <v>922.45</v>
      </c>
      <c r="W1055">
        <v>0</v>
      </c>
      <c r="X1055">
        <v>1</v>
      </c>
      <c r="Y1055">
        <v>1</v>
      </c>
      <c r="Z1055">
        <v>5</v>
      </c>
      <c r="AA1055">
        <v>2</v>
      </c>
      <c r="AB1055" s="13" t="s">
        <v>405</v>
      </c>
      <c r="AC1055">
        <v>0.25</v>
      </c>
      <c r="AD1055">
        <v>0</v>
      </c>
      <c r="AE1055" s="13" t="s">
        <v>61</v>
      </c>
    </row>
    <row r="1056" spans="1:31" x14ac:dyDescent="0.35">
      <c r="A1056" s="13" t="s">
        <v>1722</v>
      </c>
      <c r="B1056" s="13" t="s">
        <v>1723</v>
      </c>
      <c r="C1056" s="13" t="s">
        <v>1724</v>
      </c>
      <c r="D1056" s="13" t="s">
        <v>76</v>
      </c>
      <c r="E1056" s="13" t="s">
        <v>71</v>
      </c>
      <c r="F1056" s="13" t="s">
        <v>214</v>
      </c>
      <c r="G1056" s="13" t="s">
        <v>92</v>
      </c>
      <c r="H1056">
        <v>65000</v>
      </c>
      <c r="I1056" s="13" t="s">
        <v>93</v>
      </c>
      <c r="J1056" s="13" t="s">
        <v>94</v>
      </c>
      <c r="K1056" s="13" t="s">
        <v>81</v>
      </c>
      <c r="L1056" s="13" t="s">
        <v>95</v>
      </c>
      <c r="M1056">
        <v>30</v>
      </c>
      <c r="N1056">
        <v>0</v>
      </c>
      <c r="O1056" s="14">
        <v>45987</v>
      </c>
      <c r="P1056" s="14">
        <v>46017</v>
      </c>
      <c r="Q1056">
        <v>2737.54</v>
      </c>
      <c r="R1056">
        <v>0</v>
      </c>
      <c r="S1056">
        <v>0</v>
      </c>
      <c r="T1056">
        <v>0</v>
      </c>
      <c r="U1056">
        <v>0</v>
      </c>
      <c r="V1056">
        <v>2737.54</v>
      </c>
      <c r="W1056">
        <v>0</v>
      </c>
      <c r="X1056">
        <v>1</v>
      </c>
      <c r="Y1056">
        <v>1</v>
      </c>
      <c r="Z1056">
        <v>5</v>
      </c>
      <c r="AA1056">
        <v>2</v>
      </c>
      <c r="AB1056" s="13" t="s">
        <v>405</v>
      </c>
      <c r="AC1056">
        <v>0.25</v>
      </c>
      <c r="AD1056">
        <v>0</v>
      </c>
      <c r="AE1056" s="13" t="s">
        <v>61</v>
      </c>
    </row>
    <row r="1057" spans="1:31" x14ac:dyDescent="0.35">
      <c r="A1057" s="13" t="s">
        <v>1725</v>
      </c>
      <c r="B1057" s="13" t="s">
        <v>1520</v>
      </c>
      <c r="C1057" s="13" t="s">
        <v>1521</v>
      </c>
      <c r="D1057" s="13" t="s">
        <v>76</v>
      </c>
      <c r="E1057" s="13" t="s">
        <v>53</v>
      </c>
      <c r="F1057" s="13" t="s">
        <v>135</v>
      </c>
      <c r="G1057" s="13" t="s">
        <v>55</v>
      </c>
      <c r="H1057">
        <v>110000</v>
      </c>
      <c r="I1057" s="13" t="s">
        <v>79</v>
      </c>
      <c r="J1057" s="13" t="s">
        <v>80</v>
      </c>
      <c r="K1057" s="13" t="s">
        <v>81</v>
      </c>
      <c r="L1057" s="13" t="s">
        <v>95</v>
      </c>
      <c r="M1057">
        <v>30</v>
      </c>
      <c r="N1057">
        <v>0</v>
      </c>
      <c r="O1057" s="14">
        <v>45987</v>
      </c>
      <c r="P1057" s="14">
        <v>46017</v>
      </c>
      <c r="Q1057">
        <v>2354.69</v>
      </c>
      <c r="R1057">
        <v>0</v>
      </c>
      <c r="S1057">
        <v>0</v>
      </c>
      <c r="T1057">
        <v>0</v>
      </c>
      <c r="U1057">
        <v>0</v>
      </c>
      <c r="V1057">
        <v>2354.69</v>
      </c>
      <c r="W1057">
        <v>0</v>
      </c>
      <c r="X1057">
        <v>1</v>
      </c>
      <c r="Y1057">
        <v>1</v>
      </c>
      <c r="Z1057">
        <v>5</v>
      </c>
      <c r="AA1057">
        <v>2</v>
      </c>
      <c r="AB1057" s="13" t="s">
        <v>405</v>
      </c>
      <c r="AC1057">
        <v>0.25</v>
      </c>
      <c r="AD1057">
        <v>0</v>
      </c>
      <c r="AE1057" s="13" t="s">
        <v>61</v>
      </c>
    </row>
    <row r="1058" spans="1:31" x14ac:dyDescent="0.35">
      <c r="A1058" s="13" t="s">
        <v>1726</v>
      </c>
      <c r="B1058" s="13" t="s">
        <v>1727</v>
      </c>
      <c r="C1058" s="13" t="s">
        <v>1728</v>
      </c>
      <c r="D1058" s="13" t="s">
        <v>76</v>
      </c>
      <c r="E1058" s="13" t="s">
        <v>77</v>
      </c>
      <c r="F1058" s="13" t="s">
        <v>78</v>
      </c>
      <c r="G1058" s="13" t="s">
        <v>55</v>
      </c>
      <c r="H1058">
        <v>75000</v>
      </c>
      <c r="I1058" s="13" t="s">
        <v>79</v>
      </c>
      <c r="J1058" s="13" t="s">
        <v>80</v>
      </c>
      <c r="K1058" s="13" t="s">
        <v>81</v>
      </c>
      <c r="L1058" s="13" t="s">
        <v>82</v>
      </c>
      <c r="M1058">
        <v>30</v>
      </c>
      <c r="N1058">
        <v>2</v>
      </c>
      <c r="O1058" s="14">
        <v>45987</v>
      </c>
      <c r="P1058" s="14">
        <v>46017</v>
      </c>
      <c r="Q1058">
        <v>1356.38</v>
      </c>
      <c r="R1058">
        <v>0</v>
      </c>
      <c r="S1058">
        <v>0</v>
      </c>
      <c r="T1058">
        <v>0</v>
      </c>
      <c r="U1058">
        <v>0</v>
      </c>
      <c r="V1058">
        <v>1356.38</v>
      </c>
      <c r="W1058">
        <v>0</v>
      </c>
      <c r="X1058">
        <v>1</v>
      </c>
      <c r="Y1058">
        <v>1</v>
      </c>
      <c r="Z1058">
        <v>5</v>
      </c>
      <c r="AA1058">
        <v>2</v>
      </c>
      <c r="AB1058" s="13" t="s">
        <v>405</v>
      </c>
      <c r="AC1058">
        <v>0.25</v>
      </c>
      <c r="AD1058">
        <v>0</v>
      </c>
      <c r="AE1058" s="13" t="s">
        <v>61</v>
      </c>
    </row>
    <row r="1059" spans="1:31" x14ac:dyDescent="0.35">
      <c r="A1059" s="13" t="s">
        <v>1729</v>
      </c>
      <c r="B1059" s="13" t="s">
        <v>238</v>
      </c>
      <c r="C1059" s="13" t="s">
        <v>239</v>
      </c>
      <c r="D1059" s="13" t="s">
        <v>76</v>
      </c>
      <c r="E1059" s="13" t="s">
        <v>71</v>
      </c>
      <c r="F1059" s="13" t="s">
        <v>214</v>
      </c>
      <c r="G1059" s="13" t="s">
        <v>92</v>
      </c>
      <c r="H1059">
        <v>100000</v>
      </c>
      <c r="I1059" s="13" t="s">
        <v>93</v>
      </c>
      <c r="J1059" s="13" t="s">
        <v>94</v>
      </c>
      <c r="K1059" s="13" t="s">
        <v>81</v>
      </c>
      <c r="L1059" s="13" t="s">
        <v>95</v>
      </c>
      <c r="M1059">
        <v>30</v>
      </c>
      <c r="N1059">
        <v>0</v>
      </c>
      <c r="O1059" s="14">
        <v>45987</v>
      </c>
      <c r="P1059" s="14">
        <v>46017</v>
      </c>
      <c r="Q1059">
        <v>806.38</v>
      </c>
      <c r="R1059">
        <v>0</v>
      </c>
      <c r="S1059">
        <v>0</v>
      </c>
      <c r="T1059">
        <v>0</v>
      </c>
      <c r="U1059">
        <v>0</v>
      </c>
      <c r="V1059">
        <v>806.38</v>
      </c>
      <c r="W1059">
        <v>0</v>
      </c>
      <c r="X1059">
        <v>1</v>
      </c>
      <c r="Y1059">
        <v>1</v>
      </c>
      <c r="Z1059">
        <v>5</v>
      </c>
      <c r="AA1059">
        <v>2</v>
      </c>
      <c r="AB1059" s="13" t="s">
        <v>405</v>
      </c>
      <c r="AC1059">
        <v>0.25</v>
      </c>
      <c r="AD1059">
        <v>0</v>
      </c>
      <c r="AE1059" s="13" t="s">
        <v>61</v>
      </c>
    </row>
    <row r="1060" spans="1:31" x14ac:dyDescent="0.35">
      <c r="A1060" s="13" t="s">
        <v>1730</v>
      </c>
      <c r="B1060" s="13" t="s">
        <v>69</v>
      </c>
      <c r="C1060" s="13" t="s">
        <v>70</v>
      </c>
      <c r="D1060" s="13" t="s">
        <v>52</v>
      </c>
      <c r="E1060" s="13" t="s">
        <v>71</v>
      </c>
      <c r="F1060" s="13" t="s">
        <v>72</v>
      </c>
      <c r="G1060" s="13" t="s">
        <v>55</v>
      </c>
      <c r="H1060">
        <v>580000</v>
      </c>
      <c r="I1060" s="13" t="s">
        <v>56</v>
      </c>
      <c r="J1060" s="13" t="s">
        <v>57</v>
      </c>
      <c r="K1060" s="13" t="s">
        <v>58</v>
      </c>
      <c r="L1060" s="13" t="s">
        <v>59</v>
      </c>
      <c r="M1060">
        <v>45</v>
      </c>
      <c r="N1060">
        <v>0</v>
      </c>
      <c r="O1060" s="14">
        <v>45987</v>
      </c>
      <c r="P1060" s="14">
        <v>46032</v>
      </c>
      <c r="Q1060">
        <v>7326.88</v>
      </c>
      <c r="R1060">
        <v>0</v>
      </c>
      <c r="S1060">
        <v>0</v>
      </c>
      <c r="T1060">
        <v>0</v>
      </c>
      <c r="U1060">
        <v>0</v>
      </c>
      <c r="V1060">
        <v>7326.88</v>
      </c>
      <c r="W1060">
        <v>0</v>
      </c>
      <c r="X1060">
        <v>1</v>
      </c>
      <c r="Y1060">
        <v>0</v>
      </c>
      <c r="Z1060">
        <v>-10</v>
      </c>
      <c r="AA1060">
        <v>1</v>
      </c>
      <c r="AB1060" s="13" t="s">
        <v>581</v>
      </c>
      <c r="AC1060">
        <v>0</v>
      </c>
      <c r="AD1060">
        <v>0</v>
      </c>
      <c r="AE1060" s="13" t="s">
        <v>61</v>
      </c>
    </row>
    <row r="1061" spans="1:31" x14ac:dyDescent="0.35">
      <c r="A1061" s="13" t="s">
        <v>1731</v>
      </c>
      <c r="B1061" s="13" t="s">
        <v>1127</v>
      </c>
      <c r="C1061" s="13" t="s">
        <v>1128</v>
      </c>
      <c r="D1061" s="13" t="s">
        <v>52</v>
      </c>
      <c r="E1061" s="13" t="s">
        <v>53</v>
      </c>
      <c r="F1061" s="13" t="s">
        <v>135</v>
      </c>
      <c r="G1061" s="13" t="s">
        <v>67</v>
      </c>
      <c r="H1061">
        <v>470000</v>
      </c>
      <c r="I1061" s="13" t="s">
        <v>56</v>
      </c>
      <c r="J1061" s="13" t="s">
        <v>57</v>
      </c>
      <c r="K1061" s="13" t="s">
        <v>58</v>
      </c>
      <c r="L1061" s="13" t="s">
        <v>88</v>
      </c>
      <c r="M1061">
        <v>60</v>
      </c>
      <c r="N1061">
        <v>0</v>
      </c>
      <c r="O1061" s="14">
        <v>45987</v>
      </c>
      <c r="P1061" s="14">
        <v>46047</v>
      </c>
      <c r="Q1061">
        <v>1739.97</v>
      </c>
      <c r="R1061">
        <v>0</v>
      </c>
      <c r="S1061">
        <v>0</v>
      </c>
      <c r="T1061">
        <v>0</v>
      </c>
      <c r="U1061">
        <v>0</v>
      </c>
      <c r="V1061">
        <v>1739.97</v>
      </c>
      <c r="W1061">
        <v>0</v>
      </c>
      <c r="X1061">
        <v>1</v>
      </c>
      <c r="Y1061">
        <v>0</v>
      </c>
      <c r="Z1061">
        <v>-25</v>
      </c>
      <c r="AA1061">
        <v>1</v>
      </c>
      <c r="AB1061" s="13" t="s">
        <v>581</v>
      </c>
      <c r="AC1061">
        <v>0</v>
      </c>
      <c r="AD1061">
        <v>0</v>
      </c>
      <c r="AE1061" s="13" t="s">
        <v>61</v>
      </c>
    </row>
    <row r="1062" spans="1:31" x14ac:dyDescent="0.35">
      <c r="A1062" s="13" t="s">
        <v>1732</v>
      </c>
      <c r="B1062" s="13" t="s">
        <v>894</v>
      </c>
      <c r="C1062" s="13" t="s">
        <v>895</v>
      </c>
      <c r="D1062" s="13" t="s">
        <v>104</v>
      </c>
      <c r="E1062" s="13" t="s">
        <v>71</v>
      </c>
      <c r="F1062" s="13" t="s">
        <v>72</v>
      </c>
      <c r="G1062" s="13" t="s">
        <v>67</v>
      </c>
      <c r="H1062">
        <v>85000</v>
      </c>
      <c r="I1062" s="13" t="s">
        <v>105</v>
      </c>
      <c r="J1062" s="13" t="s">
        <v>106</v>
      </c>
      <c r="K1062" s="13" t="s">
        <v>107</v>
      </c>
      <c r="L1062" s="13" t="s">
        <v>88</v>
      </c>
      <c r="M1062">
        <v>60</v>
      </c>
      <c r="N1062">
        <v>0</v>
      </c>
      <c r="O1062" s="14">
        <v>45987</v>
      </c>
      <c r="P1062" s="14">
        <v>46047</v>
      </c>
      <c r="Q1062">
        <v>8353.51</v>
      </c>
      <c r="R1062">
        <v>0</v>
      </c>
      <c r="S1062">
        <v>0</v>
      </c>
      <c r="T1062">
        <v>0</v>
      </c>
      <c r="U1062">
        <v>0</v>
      </c>
      <c r="V1062">
        <v>8353.51</v>
      </c>
      <c r="W1062">
        <v>0</v>
      </c>
      <c r="X1062">
        <v>1</v>
      </c>
      <c r="Y1062">
        <v>0</v>
      </c>
      <c r="Z1062">
        <v>-25</v>
      </c>
      <c r="AA1062">
        <v>1</v>
      </c>
      <c r="AB1062" s="13" t="s">
        <v>581</v>
      </c>
      <c r="AC1062">
        <v>0</v>
      </c>
      <c r="AD1062">
        <v>0</v>
      </c>
      <c r="AE1062" s="13" t="s">
        <v>61</v>
      </c>
    </row>
    <row r="1063" spans="1:31" x14ac:dyDescent="0.35">
      <c r="A1063" s="13" t="s">
        <v>1733</v>
      </c>
      <c r="B1063" s="13" t="s">
        <v>1150</v>
      </c>
      <c r="C1063" s="13" t="s">
        <v>1151</v>
      </c>
      <c r="D1063" s="13" t="s">
        <v>76</v>
      </c>
      <c r="E1063" s="13" t="s">
        <v>77</v>
      </c>
      <c r="F1063" s="13" t="s">
        <v>174</v>
      </c>
      <c r="G1063" s="13" t="s">
        <v>92</v>
      </c>
      <c r="H1063">
        <v>50000</v>
      </c>
      <c r="I1063" s="13" t="s">
        <v>79</v>
      </c>
      <c r="J1063" s="13" t="s">
        <v>80</v>
      </c>
      <c r="K1063" s="13" t="s">
        <v>81</v>
      </c>
      <c r="L1063" s="13" t="s">
        <v>82</v>
      </c>
      <c r="M1063">
        <v>30</v>
      </c>
      <c r="N1063">
        <v>2</v>
      </c>
      <c r="O1063" s="14">
        <v>45987</v>
      </c>
      <c r="P1063" s="14">
        <v>46017</v>
      </c>
      <c r="Q1063">
        <v>1250.26</v>
      </c>
      <c r="R1063">
        <v>0</v>
      </c>
      <c r="S1063">
        <v>0</v>
      </c>
      <c r="T1063">
        <v>0</v>
      </c>
      <c r="U1063">
        <v>0</v>
      </c>
      <c r="V1063">
        <v>1250.26</v>
      </c>
      <c r="W1063">
        <v>0</v>
      </c>
      <c r="X1063">
        <v>1</v>
      </c>
      <c r="Y1063">
        <v>1</v>
      </c>
      <c r="Z1063">
        <v>5</v>
      </c>
      <c r="AA1063">
        <v>2</v>
      </c>
      <c r="AB1063" s="13" t="s">
        <v>405</v>
      </c>
      <c r="AC1063">
        <v>0.25</v>
      </c>
      <c r="AD1063">
        <v>0</v>
      </c>
      <c r="AE1063" s="13" t="s">
        <v>61</v>
      </c>
    </row>
    <row r="1064" spans="1:31" x14ac:dyDescent="0.35">
      <c r="A1064" s="13" t="s">
        <v>1734</v>
      </c>
      <c r="B1064" s="13" t="s">
        <v>1735</v>
      </c>
      <c r="C1064" s="13" t="s">
        <v>1736</v>
      </c>
      <c r="D1064" s="13" t="s">
        <v>104</v>
      </c>
      <c r="E1064" s="13" t="s">
        <v>65</v>
      </c>
      <c r="F1064" s="13" t="s">
        <v>111</v>
      </c>
      <c r="G1064" s="13" t="s">
        <v>67</v>
      </c>
      <c r="H1064">
        <v>40000</v>
      </c>
      <c r="I1064" s="13" t="s">
        <v>105</v>
      </c>
      <c r="J1064" s="13" t="s">
        <v>106</v>
      </c>
      <c r="K1064" s="13" t="s">
        <v>107</v>
      </c>
      <c r="L1064" s="13" t="s">
        <v>95</v>
      </c>
      <c r="M1064">
        <v>30</v>
      </c>
      <c r="N1064">
        <v>0</v>
      </c>
      <c r="O1064" s="14">
        <v>45987</v>
      </c>
      <c r="P1064" s="14">
        <v>46017</v>
      </c>
      <c r="Q1064">
        <v>4570.38</v>
      </c>
      <c r="R1064">
        <v>0</v>
      </c>
      <c r="S1064">
        <v>0</v>
      </c>
      <c r="T1064">
        <v>0</v>
      </c>
      <c r="U1064">
        <v>0</v>
      </c>
      <c r="V1064">
        <v>4570.38</v>
      </c>
      <c r="W1064">
        <v>0</v>
      </c>
      <c r="X1064">
        <v>1</v>
      </c>
      <c r="Y1064">
        <v>1</v>
      </c>
      <c r="Z1064">
        <v>5</v>
      </c>
      <c r="AA1064">
        <v>2</v>
      </c>
      <c r="AB1064" s="13" t="s">
        <v>405</v>
      </c>
      <c r="AC1064">
        <v>0.25</v>
      </c>
      <c r="AD1064">
        <v>0</v>
      </c>
      <c r="AE1064" s="13" t="s">
        <v>61</v>
      </c>
    </row>
    <row r="1065" spans="1:31" x14ac:dyDescent="0.35">
      <c r="A1065" s="13" t="s">
        <v>1737</v>
      </c>
      <c r="B1065" s="13" t="s">
        <v>1214</v>
      </c>
      <c r="C1065" s="13" t="s">
        <v>1215</v>
      </c>
      <c r="D1065" s="13" t="s">
        <v>76</v>
      </c>
      <c r="E1065" s="13" t="s">
        <v>53</v>
      </c>
      <c r="F1065" s="13" t="s">
        <v>135</v>
      </c>
      <c r="G1065" s="13" t="s">
        <v>92</v>
      </c>
      <c r="H1065">
        <v>55000</v>
      </c>
      <c r="I1065" s="13" t="s">
        <v>79</v>
      </c>
      <c r="J1065" s="13" t="s">
        <v>80</v>
      </c>
      <c r="K1065" s="13" t="s">
        <v>81</v>
      </c>
      <c r="L1065" s="13" t="s">
        <v>95</v>
      </c>
      <c r="M1065">
        <v>30</v>
      </c>
      <c r="N1065">
        <v>0</v>
      </c>
      <c r="O1065" s="14">
        <v>45987</v>
      </c>
      <c r="P1065" s="14">
        <v>46017</v>
      </c>
      <c r="Q1065">
        <v>3035.83</v>
      </c>
      <c r="R1065">
        <v>0</v>
      </c>
      <c r="S1065">
        <v>0</v>
      </c>
      <c r="T1065">
        <v>0</v>
      </c>
      <c r="U1065">
        <v>0</v>
      </c>
      <c r="V1065">
        <v>3035.83</v>
      </c>
      <c r="W1065">
        <v>0</v>
      </c>
      <c r="X1065">
        <v>1</v>
      </c>
      <c r="Y1065">
        <v>1</v>
      </c>
      <c r="Z1065">
        <v>5</v>
      </c>
      <c r="AA1065">
        <v>2</v>
      </c>
      <c r="AB1065" s="13" t="s">
        <v>405</v>
      </c>
      <c r="AC1065">
        <v>0.25</v>
      </c>
      <c r="AD1065">
        <v>0</v>
      </c>
      <c r="AE1065" s="13" t="s">
        <v>61</v>
      </c>
    </row>
    <row r="1066" spans="1:31" x14ac:dyDescent="0.35">
      <c r="A1066" s="13" t="s">
        <v>1738</v>
      </c>
      <c r="B1066" s="13" t="s">
        <v>1155</v>
      </c>
      <c r="C1066" s="13" t="s">
        <v>1156</v>
      </c>
      <c r="D1066" s="13" t="s">
        <v>52</v>
      </c>
      <c r="E1066" s="13" t="s">
        <v>53</v>
      </c>
      <c r="F1066" s="13" t="s">
        <v>54</v>
      </c>
      <c r="G1066" s="13" t="s">
        <v>67</v>
      </c>
      <c r="H1066">
        <v>420000</v>
      </c>
      <c r="I1066" s="13" t="s">
        <v>86</v>
      </c>
      <c r="J1066" s="13" t="s">
        <v>87</v>
      </c>
      <c r="K1066" s="13" t="s">
        <v>58</v>
      </c>
      <c r="L1066" s="13" t="s">
        <v>88</v>
      </c>
      <c r="M1066">
        <v>60</v>
      </c>
      <c r="N1066">
        <v>0</v>
      </c>
      <c r="O1066" s="14">
        <v>45987</v>
      </c>
      <c r="P1066" s="14">
        <v>46047</v>
      </c>
      <c r="Q1066">
        <v>6381.45</v>
      </c>
      <c r="R1066">
        <v>0</v>
      </c>
      <c r="S1066">
        <v>0</v>
      </c>
      <c r="T1066">
        <v>0</v>
      </c>
      <c r="U1066">
        <v>0</v>
      </c>
      <c r="V1066">
        <v>6381.45</v>
      </c>
      <c r="W1066">
        <v>0</v>
      </c>
      <c r="X1066">
        <v>1</v>
      </c>
      <c r="Y1066">
        <v>0</v>
      </c>
      <c r="Z1066">
        <v>-25</v>
      </c>
      <c r="AA1066">
        <v>1</v>
      </c>
      <c r="AB1066" s="13" t="s">
        <v>581</v>
      </c>
      <c r="AC1066">
        <v>0</v>
      </c>
      <c r="AD1066">
        <v>0</v>
      </c>
      <c r="AE1066" s="13" t="s">
        <v>61</v>
      </c>
    </row>
    <row r="1067" spans="1:31" x14ac:dyDescent="0.35">
      <c r="A1067" s="13" t="s">
        <v>1739</v>
      </c>
      <c r="B1067" s="13" t="s">
        <v>1015</v>
      </c>
      <c r="C1067" s="13" t="s">
        <v>1016</v>
      </c>
      <c r="D1067" s="13" t="s">
        <v>52</v>
      </c>
      <c r="E1067" s="13" t="s">
        <v>77</v>
      </c>
      <c r="F1067" s="13" t="s">
        <v>174</v>
      </c>
      <c r="G1067" s="13" t="s">
        <v>55</v>
      </c>
      <c r="H1067">
        <v>590000</v>
      </c>
      <c r="I1067" s="13" t="s">
        <v>56</v>
      </c>
      <c r="J1067" s="13" t="s">
        <v>57</v>
      </c>
      <c r="K1067" s="13" t="s">
        <v>58</v>
      </c>
      <c r="L1067" s="13" t="s">
        <v>59</v>
      </c>
      <c r="M1067">
        <v>45</v>
      </c>
      <c r="N1067">
        <v>0</v>
      </c>
      <c r="O1067" s="14">
        <v>45987</v>
      </c>
      <c r="P1067" s="14">
        <v>46032</v>
      </c>
      <c r="Q1067">
        <v>6893.13</v>
      </c>
      <c r="R1067">
        <v>0</v>
      </c>
      <c r="S1067">
        <v>0</v>
      </c>
      <c r="T1067">
        <v>0</v>
      </c>
      <c r="U1067">
        <v>0</v>
      </c>
      <c r="V1067">
        <v>6893.13</v>
      </c>
      <c r="W1067">
        <v>0</v>
      </c>
      <c r="X1067">
        <v>1</v>
      </c>
      <c r="Y1067">
        <v>0</v>
      </c>
      <c r="Z1067">
        <v>-10</v>
      </c>
      <c r="AA1067">
        <v>1</v>
      </c>
      <c r="AB1067" s="13" t="s">
        <v>581</v>
      </c>
      <c r="AC1067">
        <v>0</v>
      </c>
      <c r="AD1067">
        <v>0</v>
      </c>
      <c r="AE1067" s="13" t="s">
        <v>61</v>
      </c>
    </row>
    <row r="1068" spans="1:31" x14ac:dyDescent="0.35">
      <c r="A1068" s="13" t="s">
        <v>1740</v>
      </c>
      <c r="B1068" s="13" t="s">
        <v>499</v>
      </c>
      <c r="C1068" s="13" t="s">
        <v>500</v>
      </c>
      <c r="D1068" s="13" t="s">
        <v>104</v>
      </c>
      <c r="E1068" s="13" t="s">
        <v>53</v>
      </c>
      <c r="F1068" s="13" t="s">
        <v>54</v>
      </c>
      <c r="G1068" s="13" t="s">
        <v>67</v>
      </c>
      <c r="H1068">
        <v>90000</v>
      </c>
      <c r="I1068" s="13" t="s">
        <v>105</v>
      </c>
      <c r="J1068" s="13" t="s">
        <v>106</v>
      </c>
      <c r="K1068" s="13" t="s">
        <v>107</v>
      </c>
      <c r="L1068" s="13" t="s">
        <v>88</v>
      </c>
      <c r="M1068">
        <v>60</v>
      </c>
      <c r="N1068">
        <v>0</v>
      </c>
      <c r="O1068" s="14">
        <v>45987</v>
      </c>
      <c r="P1068" s="14">
        <v>45997</v>
      </c>
      <c r="Q1068">
        <v>4812.78</v>
      </c>
      <c r="R1068">
        <v>0</v>
      </c>
      <c r="S1068">
        <v>0</v>
      </c>
      <c r="T1068">
        <v>0</v>
      </c>
      <c r="U1068">
        <v>0</v>
      </c>
      <c r="V1068">
        <v>4812.78</v>
      </c>
      <c r="W1068">
        <v>0</v>
      </c>
      <c r="X1068">
        <v>1</v>
      </c>
      <c r="Y1068">
        <v>1</v>
      </c>
      <c r="Z1068">
        <v>25</v>
      </c>
      <c r="AA1068">
        <v>2</v>
      </c>
      <c r="AB1068" s="13" t="s">
        <v>405</v>
      </c>
      <c r="AC1068">
        <v>0.25</v>
      </c>
      <c r="AD1068">
        <v>0</v>
      </c>
      <c r="AE1068" s="13" t="s">
        <v>61</v>
      </c>
    </row>
    <row r="1069" spans="1:31" x14ac:dyDescent="0.35">
      <c r="A1069" s="13" t="s">
        <v>1741</v>
      </c>
      <c r="B1069" s="13" t="s">
        <v>1493</v>
      </c>
      <c r="C1069" s="13" t="s">
        <v>1494</v>
      </c>
      <c r="D1069" s="13" t="s">
        <v>52</v>
      </c>
      <c r="E1069" s="13" t="s">
        <v>71</v>
      </c>
      <c r="F1069" s="13" t="s">
        <v>72</v>
      </c>
      <c r="G1069" s="13" t="s">
        <v>55</v>
      </c>
      <c r="H1069">
        <v>155000</v>
      </c>
      <c r="I1069" s="13" t="s">
        <v>86</v>
      </c>
      <c r="J1069" s="13" t="s">
        <v>87</v>
      </c>
      <c r="K1069" s="13" t="s">
        <v>58</v>
      </c>
      <c r="L1069" s="13" t="s">
        <v>59</v>
      </c>
      <c r="M1069">
        <v>45</v>
      </c>
      <c r="N1069">
        <v>0</v>
      </c>
      <c r="O1069" s="14">
        <v>45987</v>
      </c>
      <c r="P1069" s="14">
        <v>46032</v>
      </c>
      <c r="Q1069">
        <v>13530.48</v>
      </c>
      <c r="R1069">
        <v>0</v>
      </c>
      <c r="S1069">
        <v>0</v>
      </c>
      <c r="T1069">
        <v>0</v>
      </c>
      <c r="U1069">
        <v>0</v>
      </c>
      <c r="V1069">
        <v>13530.48</v>
      </c>
      <c r="W1069">
        <v>0</v>
      </c>
      <c r="X1069">
        <v>1</v>
      </c>
      <c r="Y1069">
        <v>0</v>
      </c>
      <c r="Z1069">
        <v>-10</v>
      </c>
      <c r="AA1069">
        <v>1</v>
      </c>
      <c r="AB1069" s="13" t="s">
        <v>581</v>
      </c>
      <c r="AC1069">
        <v>0</v>
      </c>
      <c r="AD1069">
        <v>0</v>
      </c>
      <c r="AE1069" s="13" t="s">
        <v>61</v>
      </c>
    </row>
    <row r="1070" spans="1:31" x14ac:dyDescent="0.35">
      <c r="A1070" s="13" t="s">
        <v>1742</v>
      </c>
      <c r="B1070" s="13" t="s">
        <v>63</v>
      </c>
      <c r="C1070" s="13" t="s">
        <v>64</v>
      </c>
      <c r="D1070" s="13" t="s">
        <v>52</v>
      </c>
      <c r="E1070" s="13" t="s">
        <v>65</v>
      </c>
      <c r="F1070" s="13" t="s">
        <v>66</v>
      </c>
      <c r="G1070" s="13" t="s">
        <v>67</v>
      </c>
      <c r="H1070">
        <v>315000</v>
      </c>
      <c r="I1070" s="13" t="s">
        <v>56</v>
      </c>
      <c r="J1070" s="13" t="s">
        <v>57</v>
      </c>
      <c r="K1070" s="13" t="s">
        <v>58</v>
      </c>
      <c r="L1070" s="13" t="s">
        <v>59</v>
      </c>
      <c r="M1070">
        <v>45</v>
      </c>
      <c r="N1070">
        <v>0</v>
      </c>
      <c r="O1070" s="14">
        <v>45987</v>
      </c>
      <c r="P1070" s="14">
        <v>46032</v>
      </c>
      <c r="Q1070">
        <v>6597.44</v>
      </c>
      <c r="R1070">
        <v>0</v>
      </c>
      <c r="S1070">
        <v>0</v>
      </c>
      <c r="T1070">
        <v>0</v>
      </c>
      <c r="U1070">
        <v>0</v>
      </c>
      <c r="V1070">
        <v>6597.44</v>
      </c>
      <c r="W1070">
        <v>0</v>
      </c>
      <c r="X1070">
        <v>1</v>
      </c>
      <c r="Y1070">
        <v>0</v>
      </c>
      <c r="Z1070">
        <v>-10</v>
      </c>
      <c r="AA1070">
        <v>1</v>
      </c>
      <c r="AB1070" s="13" t="s">
        <v>581</v>
      </c>
      <c r="AC1070">
        <v>0</v>
      </c>
      <c r="AD1070">
        <v>0</v>
      </c>
      <c r="AE1070" s="13" t="s">
        <v>61</v>
      </c>
    </row>
    <row r="1071" spans="1:31" x14ac:dyDescent="0.35">
      <c r="A1071" s="13" t="s">
        <v>1743</v>
      </c>
      <c r="B1071" s="13" t="s">
        <v>172</v>
      </c>
      <c r="C1071" s="13" t="s">
        <v>173</v>
      </c>
      <c r="D1071" s="13" t="s">
        <v>52</v>
      </c>
      <c r="E1071" s="13" t="s">
        <v>77</v>
      </c>
      <c r="F1071" s="13" t="s">
        <v>174</v>
      </c>
      <c r="G1071" s="13" t="s">
        <v>67</v>
      </c>
      <c r="H1071">
        <v>590000</v>
      </c>
      <c r="I1071" s="13" t="s">
        <v>56</v>
      </c>
      <c r="J1071" s="13" t="s">
        <v>57</v>
      </c>
      <c r="K1071" s="13" t="s">
        <v>58</v>
      </c>
      <c r="L1071" s="13" t="s">
        <v>59</v>
      </c>
      <c r="M1071">
        <v>45</v>
      </c>
      <c r="N1071">
        <v>0</v>
      </c>
      <c r="O1071" s="14">
        <v>45987</v>
      </c>
      <c r="P1071" s="14">
        <v>46032</v>
      </c>
      <c r="Q1071">
        <v>2236.1</v>
      </c>
      <c r="R1071">
        <v>0</v>
      </c>
      <c r="S1071">
        <v>0</v>
      </c>
      <c r="T1071">
        <v>0</v>
      </c>
      <c r="U1071">
        <v>0</v>
      </c>
      <c r="V1071">
        <v>2236.1</v>
      </c>
      <c r="W1071">
        <v>0</v>
      </c>
      <c r="X1071">
        <v>1</v>
      </c>
      <c r="Y1071">
        <v>0</v>
      </c>
      <c r="Z1071">
        <v>-10</v>
      </c>
      <c r="AA1071">
        <v>1</v>
      </c>
      <c r="AB1071" s="13" t="s">
        <v>581</v>
      </c>
      <c r="AC1071">
        <v>0</v>
      </c>
      <c r="AD1071">
        <v>0</v>
      </c>
      <c r="AE1071" s="13" t="s">
        <v>61</v>
      </c>
    </row>
    <row r="1072" spans="1:31" x14ac:dyDescent="0.35">
      <c r="A1072" s="13" t="s">
        <v>1744</v>
      </c>
      <c r="B1072" s="13" t="s">
        <v>463</v>
      </c>
      <c r="C1072" s="13" t="s">
        <v>464</v>
      </c>
      <c r="D1072" s="13" t="s">
        <v>76</v>
      </c>
      <c r="E1072" s="13" t="s">
        <v>53</v>
      </c>
      <c r="F1072" s="13" t="s">
        <v>135</v>
      </c>
      <c r="G1072" s="13" t="s">
        <v>55</v>
      </c>
      <c r="H1072">
        <v>75000</v>
      </c>
      <c r="I1072" s="13" t="s">
        <v>93</v>
      </c>
      <c r="J1072" s="13" t="s">
        <v>94</v>
      </c>
      <c r="K1072" s="13" t="s">
        <v>81</v>
      </c>
      <c r="L1072" s="13" t="s">
        <v>95</v>
      </c>
      <c r="M1072">
        <v>30</v>
      </c>
      <c r="N1072">
        <v>0</v>
      </c>
      <c r="O1072" s="14">
        <v>45987</v>
      </c>
      <c r="P1072" s="14">
        <v>46017</v>
      </c>
      <c r="Q1072">
        <v>610.76</v>
      </c>
      <c r="R1072">
        <v>0</v>
      </c>
      <c r="S1072">
        <v>0</v>
      </c>
      <c r="T1072">
        <v>0</v>
      </c>
      <c r="U1072">
        <v>0</v>
      </c>
      <c r="V1072">
        <v>610.76</v>
      </c>
      <c r="W1072">
        <v>0</v>
      </c>
      <c r="X1072">
        <v>1</v>
      </c>
      <c r="Y1072">
        <v>1</v>
      </c>
      <c r="Z1072">
        <v>5</v>
      </c>
      <c r="AA1072">
        <v>2</v>
      </c>
      <c r="AB1072" s="13" t="s">
        <v>405</v>
      </c>
      <c r="AC1072">
        <v>0.25</v>
      </c>
      <c r="AD1072">
        <v>0</v>
      </c>
      <c r="AE1072" s="13" t="s">
        <v>61</v>
      </c>
    </row>
    <row r="1073" spans="1:31" x14ac:dyDescent="0.35">
      <c r="A1073" s="13" t="s">
        <v>1745</v>
      </c>
      <c r="B1073" s="13" t="s">
        <v>1536</v>
      </c>
      <c r="C1073" s="13" t="s">
        <v>1537</v>
      </c>
      <c r="D1073" s="13" t="s">
        <v>76</v>
      </c>
      <c r="E1073" s="13" t="s">
        <v>99</v>
      </c>
      <c r="F1073" s="13" t="s">
        <v>127</v>
      </c>
      <c r="G1073" s="13" t="s">
        <v>55</v>
      </c>
      <c r="H1073">
        <v>50000</v>
      </c>
      <c r="I1073" s="13" t="s">
        <v>93</v>
      </c>
      <c r="J1073" s="13" t="s">
        <v>94</v>
      </c>
      <c r="K1073" s="13" t="s">
        <v>81</v>
      </c>
      <c r="L1073" s="13" t="s">
        <v>95</v>
      </c>
      <c r="M1073">
        <v>30</v>
      </c>
      <c r="N1073">
        <v>0</v>
      </c>
      <c r="O1073" s="14">
        <v>45987</v>
      </c>
      <c r="P1073" s="14">
        <v>46017</v>
      </c>
      <c r="Q1073">
        <v>777.19</v>
      </c>
      <c r="R1073">
        <v>0</v>
      </c>
      <c r="S1073">
        <v>0</v>
      </c>
      <c r="T1073">
        <v>0</v>
      </c>
      <c r="U1073">
        <v>0</v>
      </c>
      <c r="V1073">
        <v>777.19</v>
      </c>
      <c r="W1073">
        <v>0</v>
      </c>
      <c r="X1073">
        <v>1</v>
      </c>
      <c r="Y1073">
        <v>1</v>
      </c>
      <c r="Z1073">
        <v>5</v>
      </c>
      <c r="AA1073">
        <v>2</v>
      </c>
      <c r="AB1073" s="13" t="s">
        <v>405</v>
      </c>
      <c r="AC1073">
        <v>0.25</v>
      </c>
      <c r="AD1073">
        <v>0</v>
      </c>
      <c r="AE1073" s="13" t="s">
        <v>61</v>
      </c>
    </row>
    <row r="1074" spans="1:31" x14ac:dyDescent="0.35">
      <c r="A1074" s="13" t="s">
        <v>1746</v>
      </c>
      <c r="B1074" s="13" t="s">
        <v>206</v>
      </c>
      <c r="C1074" s="13" t="s">
        <v>207</v>
      </c>
      <c r="D1074" s="13" t="s">
        <v>52</v>
      </c>
      <c r="E1074" s="13" t="s">
        <v>65</v>
      </c>
      <c r="F1074" s="13" t="s">
        <v>111</v>
      </c>
      <c r="G1074" s="13" t="s">
        <v>92</v>
      </c>
      <c r="H1074">
        <v>490000</v>
      </c>
      <c r="I1074" s="13" t="s">
        <v>86</v>
      </c>
      <c r="J1074" s="13" t="s">
        <v>87</v>
      </c>
      <c r="K1074" s="13" t="s">
        <v>58</v>
      </c>
      <c r="L1074" s="13" t="s">
        <v>88</v>
      </c>
      <c r="M1074">
        <v>60</v>
      </c>
      <c r="N1074">
        <v>0</v>
      </c>
      <c r="O1074" s="14">
        <v>45987</v>
      </c>
      <c r="P1074" s="14">
        <v>46047</v>
      </c>
      <c r="Q1074">
        <v>4680.47</v>
      </c>
      <c r="R1074">
        <v>0</v>
      </c>
      <c r="S1074">
        <v>0</v>
      </c>
      <c r="T1074">
        <v>0</v>
      </c>
      <c r="U1074">
        <v>0</v>
      </c>
      <c r="V1074">
        <v>4680.47</v>
      </c>
      <c r="W1074">
        <v>0</v>
      </c>
      <c r="X1074">
        <v>1</v>
      </c>
      <c r="Y1074">
        <v>0</v>
      </c>
      <c r="Z1074">
        <v>-25</v>
      </c>
      <c r="AA1074">
        <v>1</v>
      </c>
      <c r="AB1074" s="13" t="s">
        <v>581</v>
      </c>
      <c r="AC1074">
        <v>0</v>
      </c>
      <c r="AD1074">
        <v>0</v>
      </c>
      <c r="AE1074" s="13" t="s">
        <v>61</v>
      </c>
    </row>
    <row r="1075" spans="1:31" x14ac:dyDescent="0.35">
      <c r="A1075" s="13" t="s">
        <v>1747</v>
      </c>
      <c r="B1075" s="13" t="s">
        <v>1102</v>
      </c>
      <c r="C1075" s="13" t="s">
        <v>1103</v>
      </c>
      <c r="D1075" s="13" t="s">
        <v>52</v>
      </c>
      <c r="E1075" s="13" t="s">
        <v>71</v>
      </c>
      <c r="F1075" s="13" t="s">
        <v>72</v>
      </c>
      <c r="G1075" s="13" t="s">
        <v>67</v>
      </c>
      <c r="H1075">
        <v>335000</v>
      </c>
      <c r="I1075" s="13" t="s">
        <v>86</v>
      </c>
      <c r="J1075" s="13" t="s">
        <v>87</v>
      </c>
      <c r="K1075" s="13" t="s">
        <v>58</v>
      </c>
      <c r="L1075" s="13" t="s">
        <v>59</v>
      </c>
      <c r="M1075">
        <v>45</v>
      </c>
      <c r="N1075">
        <v>0</v>
      </c>
      <c r="O1075" s="14">
        <v>45987</v>
      </c>
      <c r="P1075" s="14">
        <v>46032</v>
      </c>
      <c r="Q1075">
        <v>1975.7</v>
      </c>
      <c r="R1075">
        <v>0</v>
      </c>
      <c r="S1075">
        <v>0</v>
      </c>
      <c r="T1075">
        <v>0</v>
      </c>
      <c r="U1075">
        <v>0</v>
      </c>
      <c r="V1075">
        <v>1975.7</v>
      </c>
      <c r="W1075">
        <v>0</v>
      </c>
      <c r="X1075">
        <v>1</v>
      </c>
      <c r="Y1075">
        <v>0</v>
      </c>
      <c r="Z1075">
        <v>-10</v>
      </c>
      <c r="AA1075">
        <v>1</v>
      </c>
      <c r="AB1075" s="13" t="s">
        <v>581</v>
      </c>
      <c r="AC1075">
        <v>0</v>
      </c>
      <c r="AD1075">
        <v>0</v>
      </c>
      <c r="AE1075" s="13" t="s">
        <v>61</v>
      </c>
    </row>
    <row r="1076" spans="1:31" x14ac:dyDescent="0.35">
      <c r="A1076" s="13" t="s">
        <v>1748</v>
      </c>
      <c r="B1076" s="13" t="s">
        <v>1749</v>
      </c>
      <c r="C1076" s="13" t="s">
        <v>1750</v>
      </c>
      <c r="D1076" s="13" t="s">
        <v>76</v>
      </c>
      <c r="E1076" s="13" t="s">
        <v>99</v>
      </c>
      <c r="F1076" s="13" t="s">
        <v>127</v>
      </c>
      <c r="G1076" s="13" t="s">
        <v>92</v>
      </c>
      <c r="H1076">
        <v>25000</v>
      </c>
      <c r="I1076" s="13" t="s">
        <v>93</v>
      </c>
      <c r="J1076" s="13" t="s">
        <v>94</v>
      </c>
      <c r="K1076" s="13" t="s">
        <v>81</v>
      </c>
      <c r="L1076" s="13" t="s">
        <v>82</v>
      </c>
      <c r="M1076">
        <v>30</v>
      </c>
      <c r="N1076">
        <v>2</v>
      </c>
      <c r="O1076" s="14">
        <v>45987</v>
      </c>
      <c r="P1076" s="14">
        <v>46017</v>
      </c>
      <c r="Q1076">
        <v>3280.77</v>
      </c>
      <c r="R1076">
        <v>0</v>
      </c>
      <c r="S1076">
        <v>0</v>
      </c>
      <c r="T1076">
        <v>0</v>
      </c>
      <c r="U1076">
        <v>0</v>
      </c>
      <c r="V1076">
        <v>3280.77</v>
      </c>
      <c r="W1076">
        <v>0</v>
      </c>
      <c r="X1076">
        <v>1</v>
      </c>
      <c r="Y1076">
        <v>1</v>
      </c>
      <c r="Z1076">
        <v>5</v>
      </c>
      <c r="AA1076">
        <v>2</v>
      </c>
      <c r="AB1076" s="13" t="s">
        <v>405</v>
      </c>
      <c r="AC1076">
        <v>0.25</v>
      </c>
      <c r="AD1076">
        <v>0</v>
      </c>
      <c r="AE1076" s="13" t="s">
        <v>61</v>
      </c>
    </row>
    <row r="1077" spans="1:31" x14ac:dyDescent="0.35">
      <c r="A1077" s="13" t="s">
        <v>1751</v>
      </c>
      <c r="B1077" s="13" t="s">
        <v>113</v>
      </c>
      <c r="C1077" s="13" t="s">
        <v>114</v>
      </c>
      <c r="D1077" s="13" t="s">
        <v>52</v>
      </c>
      <c r="E1077" s="13" t="s">
        <v>77</v>
      </c>
      <c r="F1077" s="13" t="s">
        <v>78</v>
      </c>
      <c r="G1077" s="13" t="s">
        <v>92</v>
      </c>
      <c r="H1077">
        <v>545000</v>
      </c>
      <c r="I1077" s="13" t="s">
        <v>86</v>
      </c>
      <c r="J1077" s="13" t="s">
        <v>87</v>
      </c>
      <c r="K1077" s="13" t="s">
        <v>58</v>
      </c>
      <c r="L1077" s="13" t="s">
        <v>88</v>
      </c>
      <c r="M1077">
        <v>60</v>
      </c>
      <c r="N1077">
        <v>0</v>
      </c>
      <c r="O1077" s="14">
        <v>45987</v>
      </c>
      <c r="P1077" s="14">
        <v>46047</v>
      </c>
      <c r="Q1077">
        <v>17669.63</v>
      </c>
      <c r="R1077">
        <v>0</v>
      </c>
      <c r="S1077">
        <v>0</v>
      </c>
      <c r="T1077">
        <v>0</v>
      </c>
      <c r="U1077">
        <v>0</v>
      </c>
      <c r="V1077">
        <v>17669.63</v>
      </c>
      <c r="W1077">
        <v>0</v>
      </c>
      <c r="X1077">
        <v>1</v>
      </c>
      <c r="Y1077">
        <v>0</v>
      </c>
      <c r="Z1077">
        <v>-25</v>
      </c>
      <c r="AA1077">
        <v>1</v>
      </c>
      <c r="AB1077" s="13" t="s">
        <v>581</v>
      </c>
      <c r="AC1077">
        <v>0</v>
      </c>
      <c r="AD1077">
        <v>0</v>
      </c>
      <c r="AE1077" s="13" t="s">
        <v>61</v>
      </c>
    </row>
    <row r="1078" spans="1:31" x14ac:dyDescent="0.35">
      <c r="A1078" s="13" t="s">
        <v>1752</v>
      </c>
      <c r="B1078" s="13" t="s">
        <v>1753</v>
      </c>
      <c r="C1078" s="13" t="s">
        <v>1754</v>
      </c>
      <c r="D1078" s="13" t="s">
        <v>126</v>
      </c>
      <c r="E1078" s="13" t="s">
        <v>71</v>
      </c>
      <c r="F1078" s="13" t="s">
        <v>214</v>
      </c>
      <c r="G1078" s="13" t="s">
        <v>67</v>
      </c>
      <c r="H1078">
        <v>135000</v>
      </c>
      <c r="I1078" s="13" t="s">
        <v>121</v>
      </c>
      <c r="J1078" s="13" t="s">
        <v>122</v>
      </c>
      <c r="K1078" s="13" t="s">
        <v>107</v>
      </c>
      <c r="L1078" s="13" t="s">
        <v>88</v>
      </c>
      <c r="M1078">
        <v>60</v>
      </c>
      <c r="N1078">
        <v>0</v>
      </c>
      <c r="O1078" s="14">
        <v>45987</v>
      </c>
      <c r="P1078" s="14">
        <v>46047</v>
      </c>
      <c r="Q1078">
        <v>8519.3799999999992</v>
      </c>
      <c r="R1078">
        <v>0</v>
      </c>
      <c r="S1078">
        <v>0</v>
      </c>
      <c r="T1078">
        <v>0</v>
      </c>
      <c r="U1078">
        <v>0</v>
      </c>
      <c r="V1078">
        <v>8519.3799999999992</v>
      </c>
      <c r="W1078">
        <v>0</v>
      </c>
      <c r="X1078">
        <v>1</v>
      </c>
      <c r="Y1078">
        <v>0</v>
      </c>
      <c r="Z1078">
        <v>-25</v>
      </c>
      <c r="AA1078">
        <v>1</v>
      </c>
      <c r="AB1078" s="13" t="s">
        <v>581</v>
      </c>
      <c r="AC1078">
        <v>0</v>
      </c>
      <c r="AD1078">
        <v>0</v>
      </c>
      <c r="AE1078" s="13" t="s">
        <v>61</v>
      </c>
    </row>
    <row r="1079" spans="1:31" x14ac:dyDescent="0.35">
      <c r="A1079" s="13" t="s">
        <v>1755</v>
      </c>
      <c r="B1079" s="13" t="s">
        <v>1165</v>
      </c>
      <c r="C1079" s="13" t="s">
        <v>1166</v>
      </c>
      <c r="D1079" s="13" t="s">
        <v>52</v>
      </c>
      <c r="E1079" s="13" t="s">
        <v>99</v>
      </c>
      <c r="F1079" s="13" t="s">
        <v>127</v>
      </c>
      <c r="G1079" s="13" t="s">
        <v>67</v>
      </c>
      <c r="H1079">
        <v>370000</v>
      </c>
      <c r="I1079" s="13" t="s">
        <v>56</v>
      </c>
      <c r="J1079" s="13" t="s">
        <v>57</v>
      </c>
      <c r="K1079" s="13" t="s">
        <v>58</v>
      </c>
      <c r="L1079" s="13" t="s">
        <v>88</v>
      </c>
      <c r="M1079">
        <v>60</v>
      </c>
      <c r="N1079">
        <v>0</v>
      </c>
      <c r="O1079" s="14">
        <v>45987</v>
      </c>
      <c r="P1079" s="14">
        <v>46047</v>
      </c>
      <c r="Q1079">
        <v>15363.48</v>
      </c>
      <c r="R1079">
        <v>0</v>
      </c>
      <c r="S1079">
        <v>0</v>
      </c>
      <c r="T1079">
        <v>0</v>
      </c>
      <c r="U1079">
        <v>0</v>
      </c>
      <c r="V1079">
        <v>15363.48</v>
      </c>
      <c r="W1079">
        <v>0</v>
      </c>
      <c r="X1079">
        <v>1</v>
      </c>
      <c r="Y1079">
        <v>0</v>
      </c>
      <c r="Z1079">
        <v>-25</v>
      </c>
      <c r="AA1079">
        <v>1</v>
      </c>
      <c r="AB1079" s="13" t="s">
        <v>581</v>
      </c>
      <c r="AC1079">
        <v>0</v>
      </c>
      <c r="AD1079">
        <v>0</v>
      </c>
      <c r="AE1079" s="13" t="s">
        <v>61</v>
      </c>
    </row>
    <row r="1080" spans="1:31" x14ac:dyDescent="0.35">
      <c r="A1080" s="13" t="s">
        <v>1756</v>
      </c>
      <c r="B1080" s="13" t="s">
        <v>1280</v>
      </c>
      <c r="C1080" s="13" t="s">
        <v>1281</v>
      </c>
      <c r="D1080" s="13" t="s">
        <v>104</v>
      </c>
      <c r="E1080" s="13" t="s">
        <v>71</v>
      </c>
      <c r="F1080" s="13" t="s">
        <v>72</v>
      </c>
      <c r="G1080" s="13" t="s">
        <v>67</v>
      </c>
      <c r="H1080">
        <v>135000</v>
      </c>
      <c r="I1080" s="13" t="s">
        <v>121</v>
      </c>
      <c r="J1080" s="13" t="s">
        <v>122</v>
      </c>
      <c r="K1080" s="13" t="s">
        <v>107</v>
      </c>
      <c r="L1080" s="13" t="s">
        <v>88</v>
      </c>
      <c r="M1080">
        <v>60</v>
      </c>
      <c r="N1080">
        <v>0</v>
      </c>
      <c r="O1080" s="14">
        <v>45987</v>
      </c>
      <c r="P1080" s="14">
        <v>46047</v>
      </c>
      <c r="Q1080">
        <v>1836.74</v>
      </c>
      <c r="R1080">
        <v>0</v>
      </c>
      <c r="S1080">
        <v>0</v>
      </c>
      <c r="T1080">
        <v>0</v>
      </c>
      <c r="U1080">
        <v>0</v>
      </c>
      <c r="V1080">
        <v>1836.74</v>
      </c>
      <c r="W1080">
        <v>0</v>
      </c>
      <c r="X1080">
        <v>1</v>
      </c>
      <c r="Y1080">
        <v>0</v>
      </c>
      <c r="Z1080">
        <v>-25</v>
      </c>
      <c r="AA1080">
        <v>1</v>
      </c>
      <c r="AB1080" s="13" t="s">
        <v>581</v>
      </c>
      <c r="AC1080">
        <v>0</v>
      </c>
      <c r="AD1080">
        <v>0</v>
      </c>
      <c r="AE1080" s="13" t="s">
        <v>61</v>
      </c>
    </row>
    <row r="1081" spans="1:31" x14ac:dyDescent="0.35">
      <c r="A1081" s="13" t="s">
        <v>1757</v>
      </c>
      <c r="B1081" s="13" t="s">
        <v>177</v>
      </c>
      <c r="C1081" s="13" t="s">
        <v>178</v>
      </c>
      <c r="D1081" s="13" t="s">
        <v>52</v>
      </c>
      <c r="E1081" s="13" t="s">
        <v>71</v>
      </c>
      <c r="F1081" s="13" t="s">
        <v>72</v>
      </c>
      <c r="G1081" s="13" t="s">
        <v>67</v>
      </c>
      <c r="H1081">
        <v>415000</v>
      </c>
      <c r="I1081" s="13" t="s">
        <v>56</v>
      </c>
      <c r="J1081" s="13" t="s">
        <v>57</v>
      </c>
      <c r="K1081" s="13" t="s">
        <v>58</v>
      </c>
      <c r="L1081" s="13" t="s">
        <v>59</v>
      </c>
      <c r="M1081">
        <v>45</v>
      </c>
      <c r="N1081">
        <v>0</v>
      </c>
      <c r="O1081" s="14">
        <v>45987</v>
      </c>
      <c r="P1081" s="14">
        <v>46032</v>
      </c>
      <c r="Q1081">
        <v>1719.79</v>
      </c>
      <c r="R1081">
        <v>0</v>
      </c>
      <c r="S1081">
        <v>0</v>
      </c>
      <c r="T1081">
        <v>0</v>
      </c>
      <c r="U1081">
        <v>0</v>
      </c>
      <c r="V1081">
        <v>1719.79</v>
      </c>
      <c r="W1081">
        <v>0</v>
      </c>
      <c r="X1081">
        <v>1</v>
      </c>
      <c r="Y1081">
        <v>0</v>
      </c>
      <c r="Z1081">
        <v>-10</v>
      </c>
      <c r="AA1081">
        <v>1</v>
      </c>
      <c r="AB1081" s="13" t="s">
        <v>581</v>
      </c>
      <c r="AC1081">
        <v>0</v>
      </c>
      <c r="AD1081">
        <v>0</v>
      </c>
      <c r="AE1081" s="13" t="s">
        <v>61</v>
      </c>
    </row>
    <row r="1082" spans="1:31" x14ac:dyDescent="0.35">
      <c r="A1082" s="13" t="s">
        <v>1758</v>
      </c>
      <c r="B1082" s="13" t="s">
        <v>550</v>
      </c>
      <c r="C1082" s="13" t="s">
        <v>551</v>
      </c>
      <c r="D1082" s="13" t="s">
        <v>104</v>
      </c>
      <c r="E1082" s="13" t="s">
        <v>71</v>
      </c>
      <c r="F1082" s="13" t="s">
        <v>214</v>
      </c>
      <c r="G1082" s="13" t="s">
        <v>55</v>
      </c>
      <c r="H1082">
        <v>110000</v>
      </c>
      <c r="I1082" s="13" t="s">
        <v>121</v>
      </c>
      <c r="J1082" s="13" t="s">
        <v>122</v>
      </c>
      <c r="K1082" s="13" t="s">
        <v>107</v>
      </c>
      <c r="L1082" s="13" t="s">
        <v>88</v>
      </c>
      <c r="M1082">
        <v>60</v>
      </c>
      <c r="N1082">
        <v>0</v>
      </c>
      <c r="O1082" s="14">
        <v>45987</v>
      </c>
      <c r="P1082" s="14">
        <v>46047</v>
      </c>
      <c r="Q1082">
        <v>1269.01</v>
      </c>
      <c r="R1082">
        <v>0</v>
      </c>
      <c r="S1082">
        <v>0</v>
      </c>
      <c r="T1082">
        <v>0</v>
      </c>
      <c r="U1082">
        <v>0</v>
      </c>
      <c r="V1082">
        <v>1269.01</v>
      </c>
      <c r="W1082">
        <v>0</v>
      </c>
      <c r="X1082">
        <v>1</v>
      </c>
      <c r="Y1082">
        <v>0</v>
      </c>
      <c r="Z1082">
        <v>-25</v>
      </c>
      <c r="AA1082">
        <v>1</v>
      </c>
      <c r="AB1082" s="13" t="s">
        <v>581</v>
      </c>
      <c r="AC1082">
        <v>0</v>
      </c>
      <c r="AD1082">
        <v>0</v>
      </c>
      <c r="AE1082" s="13" t="s">
        <v>61</v>
      </c>
    </row>
    <row r="1083" spans="1:31" x14ac:dyDescent="0.35">
      <c r="A1083" s="13" t="s">
        <v>1759</v>
      </c>
      <c r="B1083" s="13" t="s">
        <v>1288</v>
      </c>
      <c r="C1083" s="13" t="s">
        <v>1289</v>
      </c>
      <c r="D1083" s="13" t="s">
        <v>52</v>
      </c>
      <c r="E1083" s="13" t="s">
        <v>65</v>
      </c>
      <c r="F1083" s="13" t="s">
        <v>111</v>
      </c>
      <c r="G1083" s="13" t="s">
        <v>67</v>
      </c>
      <c r="H1083">
        <v>550000</v>
      </c>
      <c r="I1083" s="13" t="s">
        <v>56</v>
      </c>
      <c r="J1083" s="13" t="s">
        <v>57</v>
      </c>
      <c r="K1083" s="13" t="s">
        <v>58</v>
      </c>
      <c r="L1083" s="13" t="s">
        <v>59</v>
      </c>
      <c r="M1083">
        <v>45</v>
      </c>
      <c r="N1083">
        <v>0</v>
      </c>
      <c r="O1083" s="14">
        <v>45988</v>
      </c>
      <c r="P1083" s="14">
        <v>46033</v>
      </c>
      <c r="Q1083">
        <v>7130.59</v>
      </c>
      <c r="R1083">
        <v>0</v>
      </c>
      <c r="S1083">
        <v>0</v>
      </c>
      <c r="T1083">
        <v>0</v>
      </c>
      <c r="U1083">
        <v>0</v>
      </c>
      <c r="V1083">
        <v>7130.59</v>
      </c>
      <c r="W1083">
        <v>0</v>
      </c>
      <c r="X1083">
        <v>1</v>
      </c>
      <c r="Y1083">
        <v>0</v>
      </c>
      <c r="Z1083">
        <v>-11</v>
      </c>
      <c r="AA1083">
        <v>1</v>
      </c>
      <c r="AB1083" s="13" t="s">
        <v>581</v>
      </c>
      <c r="AC1083">
        <v>0</v>
      </c>
      <c r="AD1083">
        <v>0</v>
      </c>
      <c r="AE1083" s="13" t="s">
        <v>61</v>
      </c>
    </row>
    <row r="1084" spans="1:31" x14ac:dyDescent="0.35">
      <c r="A1084" s="13" t="s">
        <v>1760</v>
      </c>
      <c r="B1084" s="13" t="s">
        <v>183</v>
      </c>
      <c r="C1084" s="13" t="s">
        <v>184</v>
      </c>
      <c r="D1084" s="13" t="s">
        <v>104</v>
      </c>
      <c r="E1084" s="13" t="s">
        <v>53</v>
      </c>
      <c r="F1084" s="13" t="s">
        <v>54</v>
      </c>
      <c r="G1084" s="13" t="s">
        <v>67</v>
      </c>
      <c r="H1084">
        <v>75000</v>
      </c>
      <c r="I1084" s="13" t="s">
        <v>105</v>
      </c>
      <c r="J1084" s="13" t="s">
        <v>106</v>
      </c>
      <c r="K1084" s="13" t="s">
        <v>107</v>
      </c>
      <c r="L1084" s="13" t="s">
        <v>88</v>
      </c>
      <c r="M1084">
        <v>60</v>
      </c>
      <c r="N1084">
        <v>0</v>
      </c>
      <c r="O1084" s="14">
        <v>45988</v>
      </c>
      <c r="P1084" s="14">
        <v>46048</v>
      </c>
      <c r="Q1084">
        <v>831.71</v>
      </c>
      <c r="R1084">
        <v>0</v>
      </c>
      <c r="S1084">
        <v>0</v>
      </c>
      <c r="T1084">
        <v>0</v>
      </c>
      <c r="U1084">
        <v>0</v>
      </c>
      <c r="V1084">
        <v>831.71</v>
      </c>
      <c r="W1084">
        <v>0</v>
      </c>
      <c r="X1084">
        <v>1</v>
      </c>
      <c r="Y1084">
        <v>0</v>
      </c>
      <c r="Z1084">
        <v>-26</v>
      </c>
      <c r="AA1084">
        <v>1</v>
      </c>
      <c r="AB1084" s="13" t="s">
        <v>581</v>
      </c>
      <c r="AC1084">
        <v>0</v>
      </c>
      <c r="AD1084">
        <v>1</v>
      </c>
      <c r="AE1084" s="13" t="s">
        <v>348</v>
      </c>
    </row>
    <row r="1085" spans="1:31" x14ac:dyDescent="0.35">
      <c r="A1085" s="13" t="s">
        <v>1761</v>
      </c>
      <c r="B1085" s="13" t="s">
        <v>259</v>
      </c>
      <c r="C1085" s="13" t="s">
        <v>260</v>
      </c>
      <c r="D1085" s="13" t="s">
        <v>104</v>
      </c>
      <c r="E1085" s="13" t="s">
        <v>71</v>
      </c>
      <c r="F1085" s="13" t="s">
        <v>72</v>
      </c>
      <c r="G1085" s="13" t="s">
        <v>67</v>
      </c>
      <c r="H1085">
        <v>145000</v>
      </c>
      <c r="I1085" s="13" t="s">
        <v>121</v>
      </c>
      <c r="J1085" s="13" t="s">
        <v>122</v>
      </c>
      <c r="K1085" s="13" t="s">
        <v>107</v>
      </c>
      <c r="L1085" s="13" t="s">
        <v>88</v>
      </c>
      <c r="M1085">
        <v>60</v>
      </c>
      <c r="N1085">
        <v>0</v>
      </c>
      <c r="O1085" s="14">
        <v>45988</v>
      </c>
      <c r="P1085" s="14">
        <v>46048</v>
      </c>
      <c r="Q1085">
        <v>2484.42</v>
      </c>
      <c r="R1085">
        <v>0</v>
      </c>
      <c r="S1085">
        <v>0</v>
      </c>
      <c r="T1085">
        <v>0</v>
      </c>
      <c r="U1085">
        <v>0</v>
      </c>
      <c r="V1085">
        <v>2484.42</v>
      </c>
      <c r="W1085">
        <v>0</v>
      </c>
      <c r="X1085">
        <v>1</v>
      </c>
      <c r="Y1085">
        <v>0</v>
      </c>
      <c r="Z1085">
        <v>-26</v>
      </c>
      <c r="AA1085">
        <v>1</v>
      </c>
      <c r="AB1085" s="13" t="s">
        <v>581</v>
      </c>
      <c r="AC1085">
        <v>0</v>
      </c>
      <c r="AD1085">
        <v>0</v>
      </c>
      <c r="AE1085" s="13" t="s">
        <v>61</v>
      </c>
    </row>
    <row r="1086" spans="1:31" x14ac:dyDescent="0.35">
      <c r="A1086" s="13" t="s">
        <v>1762</v>
      </c>
      <c r="B1086" s="13" t="s">
        <v>1763</v>
      </c>
      <c r="C1086" s="13" t="s">
        <v>1764</v>
      </c>
      <c r="D1086" s="13" t="s">
        <v>104</v>
      </c>
      <c r="E1086" s="13" t="s">
        <v>99</v>
      </c>
      <c r="F1086" s="13" t="s">
        <v>127</v>
      </c>
      <c r="G1086" s="13" t="s">
        <v>92</v>
      </c>
      <c r="H1086">
        <v>40000</v>
      </c>
      <c r="I1086" s="13" t="s">
        <v>105</v>
      </c>
      <c r="J1086" s="13" t="s">
        <v>106</v>
      </c>
      <c r="K1086" s="13" t="s">
        <v>107</v>
      </c>
      <c r="L1086" s="13" t="s">
        <v>82</v>
      </c>
      <c r="M1086">
        <v>30</v>
      </c>
      <c r="N1086">
        <v>2</v>
      </c>
      <c r="O1086" s="14">
        <v>45988</v>
      </c>
      <c r="P1086" s="14">
        <v>46018</v>
      </c>
      <c r="Q1086">
        <v>5927.02</v>
      </c>
      <c r="R1086">
        <v>0</v>
      </c>
      <c r="S1086">
        <v>0</v>
      </c>
      <c r="T1086">
        <v>0</v>
      </c>
      <c r="U1086">
        <v>0</v>
      </c>
      <c r="V1086">
        <v>5927.02</v>
      </c>
      <c r="W1086">
        <v>0</v>
      </c>
      <c r="X1086">
        <v>1</v>
      </c>
      <c r="Y1086">
        <v>1</v>
      </c>
      <c r="Z1086">
        <v>4</v>
      </c>
      <c r="AA1086">
        <v>2</v>
      </c>
      <c r="AB1086" s="13" t="s">
        <v>405</v>
      </c>
      <c r="AC1086">
        <v>0.25</v>
      </c>
      <c r="AD1086">
        <v>0</v>
      </c>
      <c r="AE1086" s="13" t="s">
        <v>61</v>
      </c>
    </row>
    <row r="1087" spans="1:31" x14ac:dyDescent="0.35">
      <c r="A1087" s="13" t="s">
        <v>1765</v>
      </c>
      <c r="B1087" s="13" t="s">
        <v>1766</v>
      </c>
      <c r="C1087" s="13" t="s">
        <v>1767</v>
      </c>
      <c r="D1087" s="13" t="s">
        <v>52</v>
      </c>
      <c r="E1087" s="13" t="s">
        <v>77</v>
      </c>
      <c r="F1087" s="13" t="s">
        <v>174</v>
      </c>
      <c r="G1087" s="13" t="s">
        <v>67</v>
      </c>
      <c r="H1087">
        <v>440000</v>
      </c>
      <c r="I1087" s="13" t="s">
        <v>56</v>
      </c>
      <c r="J1087" s="13" t="s">
        <v>57</v>
      </c>
      <c r="K1087" s="13" t="s">
        <v>58</v>
      </c>
      <c r="L1087" s="13" t="s">
        <v>59</v>
      </c>
      <c r="M1087">
        <v>45</v>
      </c>
      <c r="N1087">
        <v>0</v>
      </c>
      <c r="O1087" s="14">
        <v>45988</v>
      </c>
      <c r="P1087" s="14">
        <v>46033</v>
      </c>
      <c r="Q1087">
        <v>1664.82</v>
      </c>
      <c r="R1087">
        <v>0</v>
      </c>
      <c r="S1087">
        <v>0</v>
      </c>
      <c r="T1087">
        <v>0</v>
      </c>
      <c r="U1087">
        <v>0</v>
      </c>
      <c r="V1087">
        <v>1664.82</v>
      </c>
      <c r="W1087">
        <v>0</v>
      </c>
      <c r="X1087">
        <v>1</v>
      </c>
      <c r="Y1087">
        <v>0</v>
      </c>
      <c r="Z1087">
        <v>-11</v>
      </c>
      <c r="AA1087">
        <v>1</v>
      </c>
      <c r="AB1087" s="13" t="s">
        <v>581</v>
      </c>
      <c r="AC1087">
        <v>0</v>
      </c>
      <c r="AD1087">
        <v>0</v>
      </c>
      <c r="AE1087" s="13" t="s">
        <v>61</v>
      </c>
    </row>
    <row r="1088" spans="1:31" x14ac:dyDescent="0.35">
      <c r="A1088" s="13" t="s">
        <v>1768</v>
      </c>
      <c r="B1088" s="13" t="s">
        <v>286</v>
      </c>
      <c r="C1088" s="13" t="s">
        <v>287</v>
      </c>
      <c r="D1088" s="13" t="s">
        <v>104</v>
      </c>
      <c r="E1088" s="13" t="s">
        <v>77</v>
      </c>
      <c r="F1088" s="13" t="s">
        <v>174</v>
      </c>
      <c r="G1088" s="13" t="s">
        <v>92</v>
      </c>
      <c r="H1088">
        <v>150000</v>
      </c>
      <c r="I1088" s="13" t="s">
        <v>86</v>
      </c>
      <c r="J1088" s="13" t="s">
        <v>87</v>
      </c>
      <c r="K1088" s="13" t="s">
        <v>58</v>
      </c>
      <c r="L1088" s="13" t="s">
        <v>95</v>
      </c>
      <c r="M1088">
        <v>30</v>
      </c>
      <c r="N1088">
        <v>0</v>
      </c>
      <c r="O1088" s="14">
        <v>45988</v>
      </c>
      <c r="P1088" s="14">
        <v>46018</v>
      </c>
      <c r="Q1088">
        <v>1100.04</v>
      </c>
      <c r="R1088">
        <v>0</v>
      </c>
      <c r="S1088">
        <v>0</v>
      </c>
      <c r="T1088">
        <v>0</v>
      </c>
      <c r="U1088">
        <v>0</v>
      </c>
      <c r="V1088">
        <v>1100.04</v>
      </c>
      <c r="W1088">
        <v>0</v>
      </c>
      <c r="X1088">
        <v>1</v>
      </c>
      <c r="Y1088">
        <v>1</v>
      </c>
      <c r="Z1088">
        <v>4</v>
      </c>
      <c r="AA1088">
        <v>2</v>
      </c>
      <c r="AB1088" s="13" t="s">
        <v>405</v>
      </c>
      <c r="AC1088">
        <v>0.25</v>
      </c>
      <c r="AD1088">
        <v>0</v>
      </c>
      <c r="AE1088" s="13" t="s">
        <v>61</v>
      </c>
    </row>
    <row r="1089" spans="1:31" x14ac:dyDescent="0.35">
      <c r="A1089" s="13" t="s">
        <v>1769</v>
      </c>
      <c r="B1089" s="13" t="s">
        <v>492</v>
      </c>
      <c r="C1089" s="13" t="s">
        <v>493</v>
      </c>
      <c r="D1089" s="13" t="s">
        <v>126</v>
      </c>
      <c r="E1089" s="13" t="s">
        <v>77</v>
      </c>
      <c r="F1089" s="13" t="s">
        <v>78</v>
      </c>
      <c r="G1089" s="13" t="s">
        <v>67</v>
      </c>
      <c r="H1089">
        <v>210000</v>
      </c>
      <c r="I1089" s="13" t="s">
        <v>56</v>
      </c>
      <c r="J1089" s="13" t="s">
        <v>57</v>
      </c>
      <c r="K1089" s="13" t="s">
        <v>58</v>
      </c>
      <c r="L1089" s="13" t="s">
        <v>368</v>
      </c>
      <c r="M1089">
        <v>90</v>
      </c>
      <c r="N1089">
        <v>0</v>
      </c>
      <c r="O1089" s="14">
        <v>45988</v>
      </c>
      <c r="P1089" s="14">
        <v>46078</v>
      </c>
      <c r="Q1089">
        <v>1205.07</v>
      </c>
      <c r="R1089">
        <v>0</v>
      </c>
      <c r="S1089">
        <v>0</v>
      </c>
      <c r="T1089">
        <v>0</v>
      </c>
      <c r="U1089">
        <v>0</v>
      </c>
      <c r="V1089">
        <v>1205.07</v>
      </c>
      <c r="W1089">
        <v>0</v>
      </c>
      <c r="X1089">
        <v>1</v>
      </c>
      <c r="Y1089">
        <v>0</v>
      </c>
      <c r="Z1089">
        <v>-56</v>
      </c>
      <c r="AA1089">
        <v>1</v>
      </c>
      <c r="AB1089" s="13" t="s">
        <v>581</v>
      </c>
      <c r="AC1089">
        <v>0</v>
      </c>
      <c r="AD1089">
        <v>0</v>
      </c>
      <c r="AE1089" s="13" t="s">
        <v>61</v>
      </c>
    </row>
    <row r="1090" spans="1:31" x14ac:dyDescent="0.35">
      <c r="A1090" s="13" t="s">
        <v>1770</v>
      </c>
      <c r="B1090" s="13" t="s">
        <v>478</v>
      </c>
      <c r="C1090" s="13" t="s">
        <v>479</v>
      </c>
      <c r="D1090" s="13" t="s">
        <v>52</v>
      </c>
      <c r="E1090" s="13" t="s">
        <v>77</v>
      </c>
      <c r="F1090" s="13" t="s">
        <v>174</v>
      </c>
      <c r="G1090" s="13" t="s">
        <v>55</v>
      </c>
      <c r="H1090">
        <v>385000</v>
      </c>
      <c r="I1090" s="13" t="s">
        <v>86</v>
      </c>
      <c r="J1090" s="13" t="s">
        <v>87</v>
      </c>
      <c r="K1090" s="13" t="s">
        <v>58</v>
      </c>
      <c r="L1090" s="13" t="s">
        <v>88</v>
      </c>
      <c r="M1090">
        <v>60</v>
      </c>
      <c r="N1090">
        <v>0</v>
      </c>
      <c r="O1090" s="14">
        <v>45988</v>
      </c>
      <c r="P1090" s="14">
        <v>46048</v>
      </c>
      <c r="Q1090">
        <v>6837.82</v>
      </c>
      <c r="R1090">
        <v>0</v>
      </c>
      <c r="S1090">
        <v>0</v>
      </c>
      <c r="T1090">
        <v>0</v>
      </c>
      <c r="U1090">
        <v>0</v>
      </c>
      <c r="V1090">
        <v>6837.82</v>
      </c>
      <c r="W1090">
        <v>0</v>
      </c>
      <c r="X1090">
        <v>1</v>
      </c>
      <c r="Y1090">
        <v>0</v>
      </c>
      <c r="Z1090">
        <v>-26</v>
      </c>
      <c r="AA1090">
        <v>1</v>
      </c>
      <c r="AB1090" s="13" t="s">
        <v>581</v>
      </c>
      <c r="AC1090">
        <v>0</v>
      </c>
      <c r="AD1090">
        <v>0</v>
      </c>
      <c r="AE1090" s="13" t="s">
        <v>61</v>
      </c>
    </row>
    <row r="1091" spans="1:31" x14ac:dyDescent="0.35">
      <c r="A1091" s="13" t="s">
        <v>1771</v>
      </c>
      <c r="B1091" s="13" t="s">
        <v>156</v>
      </c>
      <c r="C1091" s="13" t="s">
        <v>157</v>
      </c>
      <c r="D1091" s="13" t="s">
        <v>52</v>
      </c>
      <c r="E1091" s="13" t="s">
        <v>53</v>
      </c>
      <c r="F1091" s="13" t="s">
        <v>54</v>
      </c>
      <c r="G1091" s="13" t="s">
        <v>92</v>
      </c>
      <c r="H1091">
        <v>600000</v>
      </c>
      <c r="I1091" s="13" t="s">
        <v>56</v>
      </c>
      <c r="J1091" s="13" t="s">
        <v>57</v>
      </c>
      <c r="K1091" s="13" t="s">
        <v>58</v>
      </c>
      <c r="L1091" s="13" t="s">
        <v>88</v>
      </c>
      <c r="M1091">
        <v>60</v>
      </c>
      <c r="N1091">
        <v>0</v>
      </c>
      <c r="O1091" s="14">
        <v>45988</v>
      </c>
      <c r="P1091" s="14">
        <v>46048</v>
      </c>
      <c r="Q1091">
        <v>6026.37</v>
      </c>
      <c r="R1091">
        <v>0</v>
      </c>
      <c r="S1091">
        <v>0</v>
      </c>
      <c r="T1091">
        <v>0</v>
      </c>
      <c r="U1091">
        <v>0</v>
      </c>
      <c r="V1091">
        <v>6026.37</v>
      </c>
      <c r="W1091">
        <v>0</v>
      </c>
      <c r="X1091">
        <v>1</v>
      </c>
      <c r="Y1091">
        <v>0</v>
      </c>
      <c r="Z1091">
        <v>-26</v>
      </c>
      <c r="AA1091">
        <v>1</v>
      </c>
      <c r="AB1091" s="13" t="s">
        <v>581</v>
      </c>
      <c r="AC1091">
        <v>0</v>
      </c>
      <c r="AD1091">
        <v>0</v>
      </c>
      <c r="AE1091" s="13" t="s">
        <v>61</v>
      </c>
    </row>
    <row r="1092" spans="1:31" x14ac:dyDescent="0.35">
      <c r="A1092" s="13" t="s">
        <v>1772</v>
      </c>
      <c r="B1092" s="13" t="s">
        <v>1115</v>
      </c>
      <c r="C1092" s="13" t="s">
        <v>1116</v>
      </c>
      <c r="D1092" s="13" t="s">
        <v>52</v>
      </c>
      <c r="E1092" s="13" t="s">
        <v>65</v>
      </c>
      <c r="F1092" s="13" t="s">
        <v>66</v>
      </c>
      <c r="G1092" s="13" t="s">
        <v>92</v>
      </c>
      <c r="H1092">
        <v>300000</v>
      </c>
      <c r="I1092" s="13" t="s">
        <v>56</v>
      </c>
      <c r="J1092" s="13" t="s">
        <v>57</v>
      </c>
      <c r="K1092" s="13" t="s">
        <v>58</v>
      </c>
      <c r="L1092" s="13" t="s">
        <v>59</v>
      </c>
      <c r="M1092">
        <v>45</v>
      </c>
      <c r="N1092">
        <v>0</v>
      </c>
      <c r="O1092" s="14">
        <v>45988</v>
      </c>
      <c r="P1092" s="14">
        <v>46033</v>
      </c>
      <c r="Q1092">
        <v>4505.46</v>
      </c>
      <c r="R1092">
        <v>0</v>
      </c>
      <c r="S1092">
        <v>0</v>
      </c>
      <c r="T1092">
        <v>0</v>
      </c>
      <c r="U1092">
        <v>0</v>
      </c>
      <c r="V1092">
        <v>4505.46</v>
      </c>
      <c r="W1092">
        <v>0</v>
      </c>
      <c r="X1092">
        <v>1</v>
      </c>
      <c r="Y1092">
        <v>0</v>
      </c>
      <c r="Z1092">
        <v>-11</v>
      </c>
      <c r="AA1092">
        <v>1</v>
      </c>
      <c r="AB1092" s="13" t="s">
        <v>581</v>
      </c>
      <c r="AC1092">
        <v>0</v>
      </c>
      <c r="AD1092">
        <v>0</v>
      </c>
      <c r="AE1092" s="13" t="s">
        <v>61</v>
      </c>
    </row>
    <row r="1093" spans="1:31" x14ac:dyDescent="0.35">
      <c r="A1093" s="13" t="s">
        <v>1773</v>
      </c>
      <c r="B1093" s="13" t="s">
        <v>1247</v>
      </c>
      <c r="C1093" s="13" t="s">
        <v>1248</v>
      </c>
      <c r="D1093" s="13" t="s">
        <v>52</v>
      </c>
      <c r="E1093" s="13" t="s">
        <v>99</v>
      </c>
      <c r="F1093" s="13" t="s">
        <v>100</v>
      </c>
      <c r="G1093" s="13" t="s">
        <v>55</v>
      </c>
      <c r="H1093">
        <v>600000</v>
      </c>
      <c r="I1093" s="13" t="s">
        <v>56</v>
      </c>
      <c r="J1093" s="13" t="s">
        <v>57</v>
      </c>
      <c r="K1093" s="13" t="s">
        <v>58</v>
      </c>
      <c r="L1093" s="13" t="s">
        <v>59</v>
      </c>
      <c r="M1093">
        <v>45</v>
      </c>
      <c r="N1093">
        <v>0</v>
      </c>
      <c r="O1093" s="14">
        <v>45988</v>
      </c>
      <c r="P1093" s="14">
        <v>46033</v>
      </c>
      <c r="Q1093">
        <v>5476.25</v>
      </c>
      <c r="R1093">
        <v>0</v>
      </c>
      <c r="S1093">
        <v>0</v>
      </c>
      <c r="T1093">
        <v>0</v>
      </c>
      <c r="U1093">
        <v>0</v>
      </c>
      <c r="V1093">
        <v>5476.25</v>
      </c>
      <c r="W1093">
        <v>0</v>
      </c>
      <c r="X1093">
        <v>1</v>
      </c>
      <c r="Y1093">
        <v>0</v>
      </c>
      <c r="Z1093">
        <v>-11</v>
      </c>
      <c r="AA1093">
        <v>1</v>
      </c>
      <c r="AB1093" s="13" t="s">
        <v>581</v>
      </c>
      <c r="AC1093">
        <v>0</v>
      </c>
      <c r="AD1093">
        <v>1</v>
      </c>
      <c r="AE1093" s="13" t="s">
        <v>665</v>
      </c>
    </row>
    <row r="1094" spans="1:31" x14ac:dyDescent="0.35">
      <c r="A1094" s="13" t="s">
        <v>1774</v>
      </c>
      <c r="B1094" s="13" t="s">
        <v>1300</v>
      </c>
      <c r="C1094" s="13" t="s">
        <v>1301</v>
      </c>
      <c r="D1094" s="13" t="s">
        <v>126</v>
      </c>
      <c r="E1094" s="13" t="s">
        <v>65</v>
      </c>
      <c r="F1094" s="13" t="s">
        <v>66</v>
      </c>
      <c r="G1094" s="13" t="s">
        <v>67</v>
      </c>
      <c r="H1094">
        <v>95000</v>
      </c>
      <c r="I1094" s="13" t="s">
        <v>121</v>
      </c>
      <c r="J1094" s="13" t="s">
        <v>122</v>
      </c>
      <c r="K1094" s="13" t="s">
        <v>107</v>
      </c>
      <c r="L1094" s="13" t="s">
        <v>88</v>
      </c>
      <c r="M1094">
        <v>60</v>
      </c>
      <c r="N1094">
        <v>0</v>
      </c>
      <c r="O1094" s="14">
        <v>45988</v>
      </c>
      <c r="P1094" s="14">
        <v>46048</v>
      </c>
      <c r="Q1094">
        <v>3251.62</v>
      </c>
      <c r="R1094">
        <v>0</v>
      </c>
      <c r="S1094">
        <v>0</v>
      </c>
      <c r="T1094">
        <v>0</v>
      </c>
      <c r="U1094">
        <v>0</v>
      </c>
      <c r="V1094">
        <v>3251.62</v>
      </c>
      <c r="W1094">
        <v>0</v>
      </c>
      <c r="X1094">
        <v>1</v>
      </c>
      <c r="Y1094">
        <v>0</v>
      </c>
      <c r="Z1094">
        <v>-26</v>
      </c>
      <c r="AA1094">
        <v>1</v>
      </c>
      <c r="AB1094" s="13" t="s">
        <v>581</v>
      </c>
      <c r="AC1094">
        <v>0</v>
      </c>
      <c r="AD1094">
        <v>0</v>
      </c>
      <c r="AE1094" s="13" t="s">
        <v>61</v>
      </c>
    </row>
    <row r="1095" spans="1:31" x14ac:dyDescent="0.35">
      <c r="A1095" s="13" t="s">
        <v>1775</v>
      </c>
      <c r="B1095" s="13" t="s">
        <v>688</v>
      </c>
      <c r="C1095" s="13" t="s">
        <v>689</v>
      </c>
      <c r="D1095" s="13" t="s">
        <v>104</v>
      </c>
      <c r="E1095" s="13" t="s">
        <v>99</v>
      </c>
      <c r="F1095" s="13" t="s">
        <v>100</v>
      </c>
      <c r="G1095" s="13" t="s">
        <v>67</v>
      </c>
      <c r="H1095">
        <v>140000</v>
      </c>
      <c r="I1095" s="13" t="s">
        <v>105</v>
      </c>
      <c r="J1095" s="13" t="s">
        <v>106</v>
      </c>
      <c r="K1095" s="13" t="s">
        <v>107</v>
      </c>
      <c r="L1095" s="13" t="s">
        <v>95</v>
      </c>
      <c r="M1095">
        <v>30</v>
      </c>
      <c r="N1095">
        <v>0</v>
      </c>
      <c r="O1095" s="14">
        <v>45988</v>
      </c>
      <c r="P1095" s="14">
        <v>46018</v>
      </c>
      <c r="Q1095">
        <v>1658.94</v>
      </c>
      <c r="R1095">
        <v>0</v>
      </c>
      <c r="S1095">
        <v>0</v>
      </c>
      <c r="T1095">
        <v>0</v>
      </c>
      <c r="U1095">
        <v>0</v>
      </c>
      <c r="V1095">
        <v>1658.94</v>
      </c>
      <c r="W1095">
        <v>0</v>
      </c>
      <c r="X1095">
        <v>1</v>
      </c>
      <c r="Y1095">
        <v>1</v>
      </c>
      <c r="Z1095">
        <v>4</v>
      </c>
      <c r="AA1095">
        <v>2</v>
      </c>
      <c r="AB1095" s="13" t="s">
        <v>405</v>
      </c>
      <c r="AC1095">
        <v>0.25</v>
      </c>
      <c r="AD1095">
        <v>0</v>
      </c>
      <c r="AE1095" s="13" t="s">
        <v>61</v>
      </c>
    </row>
    <row r="1096" spans="1:31" x14ac:dyDescent="0.35">
      <c r="A1096" s="13" t="s">
        <v>1776</v>
      </c>
      <c r="B1096" s="13" t="s">
        <v>277</v>
      </c>
      <c r="C1096" s="13" t="s">
        <v>278</v>
      </c>
      <c r="D1096" s="13" t="s">
        <v>104</v>
      </c>
      <c r="E1096" s="13" t="s">
        <v>71</v>
      </c>
      <c r="F1096" s="13" t="s">
        <v>214</v>
      </c>
      <c r="G1096" s="13" t="s">
        <v>92</v>
      </c>
      <c r="H1096">
        <v>105000</v>
      </c>
      <c r="I1096" s="13" t="s">
        <v>105</v>
      </c>
      <c r="J1096" s="13" t="s">
        <v>106</v>
      </c>
      <c r="K1096" s="13" t="s">
        <v>107</v>
      </c>
      <c r="L1096" s="13" t="s">
        <v>88</v>
      </c>
      <c r="M1096">
        <v>60</v>
      </c>
      <c r="N1096">
        <v>0</v>
      </c>
      <c r="O1096" s="14">
        <v>45988</v>
      </c>
      <c r="P1096" s="14">
        <v>46048</v>
      </c>
      <c r="Q1096">
        <v>2525.2600000000002</v>
      </c>
      <c r="R1096">
        <v>0</v>
      </c>
      <c r="S1096">
        <v>0</v>
      </c>
      <c r="T1096">
        <v>0</v>
      </c>
      <c r="U1096">
        <v>0</v>
      </c>
      <c r="V1096">
        <v>2525.2600000000002</v>
      </c>
      <c r="W1096">
        <v>0</v>
      </c>
      <c r="X1096">
        <v>1</v>
      </c>
      <c r="Y1096">
        <v>0</v>
      </c>
      <c r="Z1096">
        <v>-26</v>
      </c>
      <c r="AA1096">
        <v>1</v>
      </c>
      <c r="AB1096" s="13" t="s">
        <v>581</v>
      </c>
      <c r="AC1096">
        <v>0</v>
      </c>
      <c r="AD1096">
        <v>0</v>
      </c>
      <c r="AE1096" s="13" t="s">
        <v>61</v>
      </c>
    </row>
    <row r="1097" spans="1:31" x14ac:dyDescent="0.35">
      <c r="A1097" s="13" t="s">
        <v>1777</v>
      </c>
      <c r="B1097" s="13" t="s">
        <v>312</v>
      </c>
      <c r="C1097" s="13" t="s">
        <v>313</v>
      </c>
      <c r="D1097" s="13" t="s">
        <v>52</v>
      </c>
      <c r="E1097" s="13" t="s">
        <v>77</v>
      </c>
      <c r="F1097" s="13" t="s">
        <v>174</v>
      </c>
      <c r="G1097" s="13" t="s">
        <v>55</v>
      </c>
      <c r="H1097">
        <v>600000</v>
      </c>
      <c r="I1097" s="13" t="s">
        <v>56</v>
      </c>
      <c r="J1097" s="13" t="s">
        <v>57</v>
      </c>
      <c r="K1097" s="13" t="s">
        <v>58</v>
      </c>
      <c r="L1097" s="13" t="s">
        <v>88</v>
      </c>
      <c r="M1097">
        <v>60</v>
      </c>
      <c r="N1097">
        <v>0</v>
      </c>
      <c r="O1097" s="14">
        <v>45988</v>
      </c>
      <c r="P1097" s="14">
        <v>46048</v>
      </c>
      <c r="Q1097">
        <v>1692.06</v>
      </c>
      <c r="R1097">
        <v>0</v>
      </c>
      <c r="S1097">
        <v>0</v>
      </c>
      <c r="T1097">
        <v>0</v>
      </c>
      <c r="U1097">
        <v>0</v>
      </c>
      <c r="V1097">
        <v>1692.06</v>
      </c>
      <c r="W1097">
        <v>0</v>
      </c>
      <c r="X1097">
        <v>1</v>
      </c>
      <c r="Y1097">
        <v>0</v>
      </c>
      <c r="Z1097">
        <v>-26</v>
      </c>
      <c r="AA1097">
        <v>1</v>
      </c>
      <c r="AB1097" s="13" t="s">
        <v>581</v>
      </c>
      <c r="AC1097">
        <v>0</v>
      </c>
      <c r="AD1097">
        <v>0</v>
      </c>
      <c r="AE1097" s="13" t="s">
        <v>61</v>
      </c>
    </row>
    <row r="1098" spans="1:31" x14ac:dyDescent="0.35">
      <c r="A1098" s="13" t="s">
        <v>1778</v>
      </c>
      <c r="B1098" s="13" t="s">
        <v>692</v>
      </c>
      <c r="C1098" s="13" t="s">
        <v>693</v>
      </c>
      <c r="D1098" s="13" t="s">
        <v>52</v>
      </c>
      <c r="E1098" s="13" t="s">
        <v>53</v>
      </c>
      <c r="F1098" s="13" t="s">
        <v>135</v>
      </c>
      <c r="G1098" s="13" t="s">
        <v>55</v>
      </c>
      <c r="H1098">
        <v>360000</v>
      </c>
      <c r="I1098" s="13" t="s">
        <v>56</v>
      </c>
      <c r="J1098" s="13" t="s">
        <v>57</v>
      </c>
      <c r="K1098" s="13" t="s">
        <v>58</v>
      </c>
      <c r="L1098" s="13" t="s">
        <v>88</v>
      </c>
      <c r="M1098">
        <v>60</v>
      </c>
      <c r="N1098">
        <v>0</v>
      </c>
      <c r="O1098" s="14">
        <v>45988</v>
      </c>
      <c r="P1098" s="14">
        <v>46048</v>
      </c>
      <c r="Q1098">
        <v>1771.66</v>
      </c>
      <c r="R1098">
        <v>0</v>
      </c>
      <c r="S1098">
        <v>0</v>
      </c>
      <c r="T1098">
        <v>0</v>
      </c>
      <c r="U1098">
        <v>0</v>
      </c>
      <c r="V1098">
        <v>1771.66</v>
      </c>
      <c r="W1098">
        <v>0</v>
      </c>
      <c r="X1098">
        <v>1</v>
      </c>
      <c r="Y1098">
        <v>0</v>
      </c>
      <c r="Z1098">
        <v>-26</v>
      </c>
      <c r="AA1098">
        <v>1</v>
      </c>
      <c r="AB1098" s="13" t="s">
        <v>581</v>
      </c>
      <c r="AC1098">
        <v>0</v>
      </c>
      <c r="AD1098">
        <v>0</v>
      </c>
      <c r="AE1098" s="13" t="s">
        <v>61</v>
      </c>
    </row>
    <row r="1099" spans="1:31" x14ac:dyDescent="0.35">
      <c r="A1099" s="13" t="s">
        <v>1779</v>
      </c>
      <c r="B1099" s="13" t="s">
        <v>1179</v>
      </c>
      <c r="C1099" s="13" t="s">
        <v>1180</v>
      </c>
      <c r="D1099" s="13" t="s">
        <v>104</v>
      </c>
      <c r="E1099" s="13" t="s">
        <v>71</v>
      </c>
      <c r="F1099" s="13" t="s">
        <v>72</v>
      </c>
      <c r="G1099" s="13" t="s">
        <v>67</v>
      </c>
      <c r="H1099">
        <v>50000</v>
      </c>
      <c r="I1099" s="13" t="s">
        <v>105</v>
      </c>
      <c r="J1099" s="13" t="s">
        <v>106</v>
      </c>
      <c r="K1099" s="13" t="s">
        <v>107</v>
      </c>
      <c r="L1099" s="13" t="s">
        <v>88</v>
      </c>
      <c r="M1099">
        <v>60</v>
      </c>
      <c r="N1099">
        <v>0</v>
      </c>
      <c r="O1099" s="14">
        <v>45988</v>
      </c>
      <c r="P1099" s="14">
        <v>46048</v>
      </c>
      <c r="Q1099">
        <v>800.97</v>
      </c>
      <c r="R1099">
        <v>0</v>
      </c>
      <c r="S1099">
        <v>0</v>
      </c>
      <c r="T1099">
        <v>0</v>
      </c>
      <c r="U1099">
        <v>0</v>
      </c>
      <c r="V1099">
        <v>800.97</v>
      </c>
      <c r="W1099">
        <v>0</v>
      </c>
      <c r="X1099">
        <v>1</v>
      </c>
      <c r="Y1099">
        <v>0</v>
      </c>
      <c r="Z1099">
        <v>-26</v>
      </c>
      <c r="AA1099">
        <v>1</v>
      </c>
      <c r="AB1099" s="13" t="s">
        <v>581</v>
      </c>
      <c r="AC1099">
        <v>0</v>
      </c>
      <c r="AD1099">
        <v>0</v>
      </c>
      <c r="AE1099" s="13" t="s">
        <v>61</v>
      </c>
    </row>
    <row r="1100" spans="1:31" x14ac:dyDescent="0.35">
      <c r="A1100" s="13" t="s">
        <v>1780</v>
      </c>
      <c r="B1100" s="13" t="s">
        <v>516</v>
      </c>
      <c r="C1100" s="13" t="s">
        <v>517</v>
      </c>
      <c r="D1100" s="13" t="s">
        <v>52</v>
      </c>
      <c r="E1100" s="13" t="s">
        <v>65</v>
      </c>
      <c r="F1100" s="13" t="s">
        <v>66</v>
      </c>
      <c r="G1100" s="13" t="s">
        <v>55</v>
      </c>
      <c r="H1100">
        <v>305000</v>
      </c>
      <c r="I1100" s="13" t="s">
        <v>56</v>
      </c>
      <c r="J1100" s="13" t="s">
        <v>57</v>
      </c>
      <c r="K1100" s="13" t="s">
        <v>58</v>
      </c>
      <c r="L1100" s="13" t="s">
        <v>88</v>
      </c>
      <c r="M1100">
        <v>60</v>
      </c>
      <c r="N1100">
        <v>0</v>
      </c>
      <c r="O1100" s="14">
        <v>45988</v>
      </c>
      <c r="P1100" s="14">
        <v>46048</v>
      </c>
      <c r="Q1100">
        <v>15036.03</v>
      </c>
      <c r="R1100">
        <v>0</v>
      </c>
      <c r="S1100">
        <v>0</v>
      </c>
      <c r="T1100">
        <v>0</v>
      </c>
      <c r="U1100">
        <v>0</v>
      </c>
      <c r="V1100">
        <v>15036.03</v>
      </c>
      <c r="W1100">
        <v>0</v>
      </c>
      <c r="X1100">
        <v>1</v>
      </c>
      <c r="Y1100">
        <v>0</v>
      </c>
      <c r="Z1100">
        <v>-26</v>
      </c>
      <c r="AA1100">
        <v>1</v>
      </c>
      <c r="AB1100" s="13" t="s">
        <v>581</v>
      </c>
      <c r="AC1100">
        <v>0</v>
      </c>
      <c r="AD1100">
        <v>0</v>
      </c>
      <c r="AE1100" s="13" t="s">
        <v>61</v>
      </c>
    </row>
    <row r="1101" spans="1:31" x14ac:dyDescent="0.35">
      <c r="A1101" s="13" t="s">
        <v>1781</v>
      </c>
      <c r="B1101" s="13" t="s">
        <v>1782</v>
      </c>
      <c r="C1101" s="13" t="s">
        <v>1783</v>
      </c>
      <c r="D1101" s="13" t="s">
        <v>76</v>
      </c>
      <c r="E1101" s="13" t="s">
        <v>99</v>
      </c>
      <c r="F1101" s="13" t="s">
        <v>127</v>
      </c>
      <c r="G1101" s="13" t="s">
        <v>67</v>
      </c>
      <c r="H1101">
        <v>55000</v>
      </c>
      <c r="I1101" s="13" t="s">
        <v>93</v>
      </c>
      <c r="J1101" s="13" t="s">
        <v>94</v>
      </c>
      <c r="K1101" s="13" t="s">
        <v>81</v>
      </c>
      <c r="L1101" s="13" t="s">
        <v>95</v>
      </c>
      <c r="M1101">
        <v>30</v>
      </c>
      <c r="N1101">
        <v>0</v>
      </c>
      <c r="O1101" s="14">
        <v>45988</v>
      </c>
      <c r="P1101" s="14">
        <v>46018</v>
      </c>
      <c r="Q1101">
        <v>840.46</v>
      </c>
      <c r="R1101">
        <v>0</v>
      </c>
      <c r="S1101">
        <v>0</v>
      </c>
      <c r="T1101">
        <v>0</v>
      </c>
      <c r="U1101">
        <v>0</v>
      </c>
      <c r="V1101">
        <v>840.46</v>
      </c>
      <c r="W1101">
        <v>0</v>
      </c>
      <c r="X1101">
        <v>1</v>
      </c>
      <c r="Y1101">
        <v>1</v>
      </c>
      <c r="Z1101">
        <v>4</v>
      </c>
      <c r="AA1101">
        <v>2</v>
      </c>
      <c r="AB1101" s="13" t="s">
        <v>405</v>
      </c>
      <c r="AC1101">
        <v>0.25</v>
      </c>
      <c r="AD1101">
        <v>0</v>
      </c>
      <c r="AE1101" s="13" t="s">
        <v>61</v>
      </c>
    </row>
    <row r="1102" spans="1:31" x14ac:dyDescent="0.35">
      <c r="A1102" s="13" t="s">
        <v>1784</v>
      </c>
      <c r="B1102" s="13" t="s">
        <v>1785</v>
      </c>
      <c r="C1102" s="13" t="s">
        <v>1786</v>
      </c>
      <c r="D1102" s="13" t="s">
        <v>104</v>
      </c>
      <c r="E1102" s="13" t="s">
        <v>77</v>
      </c>
      <c r="F1102" s="13" t="s">
        <v>78</v>
      </c>
      <c r="G1102" s="13" t="s">
        <v>67</v>
      </c>
      <c r="H1102">
        <v>65000</v>
      </c>
      <c r="I1102" s="13" t="s">
        <v>121</v>
      </c>
      <c r="J1102" s="13" t="s">
        <v>122</v>
      </c>
      <c r="K1102" s="13" t="s">
        <v>107</v>
      </c>
      <c r="L1102" s="13" t="s">
        <v>95</v>
      </c>
      <c r="M1102">
        <v>30</v>
      </c>
      <c r="N1102">
        <v>0</v>
      </c>
      <c r="O1102" s="14">
        <v>45988</v>
      </c>
      <c r="P1102" s="14">
        <v>46018</v>
      </c>
      <c r="Q1102">
        <v>1499.82</v>
      </c>
      <c r="R1102">
        <v>0</v>
      </c>
      <c r="S1102">
        <v>0</v>
      </c>
      <c r="T1102">
        <v>0</v>
      </c>
      <c r="U1102">
        <v>0</v>
      </c>
      <c r="V1102">
        <v>1499.82</v>
      </c>
      <c r="W1102">
        <v>0</v>
      </c>
      <c r="X1102">
        <v>1</v>
      </c>
      <c r="Y1102">
        <v>1</v>
      </c>
      <c r="Z1102">
        <v>4</v>
      </c>
      <c r="AA1102">
        <v>2</v>
      </c>
      <c r="AB1102" s="13" t="s">
        <v>405</v>
      </c>
      <c r="AC1102">
        <v>0.25</v>
      </c>
      <c r="AD1102">
        <v>0</v>
      </c>
      <c r="AE1102" s="13" t="s">
        <v>61</v>
      </c>
    </row>
    <row r="1103" spans="1:31" x14ac:dyDescent="0.35">
      <c r="A1103" s="13" t="s">
        <v>1787</v>
      </c>
      <c r="B1103" s="13" t="s">
        <v>375</v>
      </c>
      <c r="C1103" s="13" t="s">
        <v>376</v>
      </c>
      <c r="D1103" s="13" t="s">
        <v>52</v>
      </c>
      <c r="E1103" s="13" t="s">
        <v>99</v>
      </c>
      <c r="F1103" s="13" t="s">
        <v>100</v>
      </c>
      <c r="G1103" s="13" t="s">
        <v>55</v>
      </c>
      <c r="H1103">
        <v>395000</v>
      </c>
      <c r="I1103" s="13" t="s">
        <v>56</v>
      </c>
      <c r="J1103" s="13" t="s">
        <v>57</v>
      </c>
      <c r="K1103" s="13" t="s">
        <v>58</v>
      </c>
      <c r="L1103" s="13" t="s">
        <v>59</v>
      </c>
      <c r="M1103">
        <v>45</v>
      </c>
      <c r="N1103">
        <v>0</v>
      </c>
      <c r="O1103" s="14">
        <v>45988</v>
      </c>
      <c r="P1103" s="14">
        <v>46033</v>
      </c>
      <c r="Q1103">
        <v>15376.88</v>
      </c>
      <c r="R1103">
        <v>0</v>
      </c>
      <c r="S1103">
        <v>0</v>
      </c>
      <c r="T1103">
        <v>0</v>
      </c>
      <c r="U1103">
        <v>0</v>
      </c>
      <c r="V1103">
        <v>15376.88</v>
      </c>
      <c r="W1103">
        <v>0</v>
      </c>
      <c r="X1103">
        <v>1</v>
      </c>
      <c r="Y1103">
        <v>0</v>
      </c>
      <c r="Z1103">
        <v>-11</v>
      </c>
      <c r="AA1103">
        <v>1</v>
      </c>
      <c r="AB1103" s="13" t="s">
        <v>581</v>
      </c>
      <c r="AC1103">
        <v>0</v>
      </c>
      <c r="AD1103">
        <v>0</v>
      </c>
      <c r="AE1103" s="13" t="s">
        <v>61</v>
      </c>
    </row>
    <row r="1104" spans="1:31" x14ac:dyDescent="0.35">
      <c r="A1104" s="13" t="s">
        <v>1788</v>
      </c>
      <c r="B1104" s="13" t="s">
        <v>1097</v>
      </c>
      <c r="C1104" s="13" t="s">
        <v>1098</v>
      </c>
      <c r="D1104" s="13" t="s">
        <v>52</v>
      </c>
      <c r="E1104" s="13" t="s">
        <v>77</v>
      </c>
      <c r="F1104" s="13" t="s">
        <v>78</v>
      </c>
      <c r="G1104" s="13" t="s">
        <v>67</v>
      </c>
      <c r="H1104">
        <v>510000</v>
      </c>
      <c r="I1104" s="13" t="s">
        <v>86</v>
      </c>
      <c r="J1104" s="13" t="s">
        <v>87</v>
      </c>
      <c r="K1104" s="13" t="s">
        <v>58</v>
      </c>
      <c r="L1104" s="13" t="s">
        <v>88</v>
      </c>
      <c r="M1104">
        <v>60</v>
      </c>
      <c r="N1104">
        <v>0</v>
      </c>
      <c r="O1104" s="14">
        <v>45988</v>
      </c>
      <c r="P1104" s="14">
        <v>46048</v>
      </c>
      <c r="Q1104">
        <v>4226.26</v>
      </c>
      <c r="R1104">
        <v>0</v>
      </c>
      <c r="S1104">
        <v>0</v>
      </c>
      <c r="T1104">
        <v>0</v>
      </c>
      <c r="U1104">
        <v>0</v>
      </c>
      <c r="V1104">
        <v>4226.26</v>
      </c>
      <c r="W1104">
        <v>0</v>
      </c>
      <c r="X1104">
        <v>1</v>
      </c>
      <c r="Y1104">
        <v>0</v>
      </c>
      <c r="Z1104">
        <v>-26</v>
      </c>
      <c r="AA1104">
        <v>1</v>
      </c>
      <c r="AB1104" s="13" t="s">
        <v>581</v>
      </c>
      <c r="AC1104">
        <v>0</v>
      </c>
      <c r="AD1104">
        <v>0</v>
      </c>
      <c r="AE1104" s="13" t="s">
        <v>61</v>
      </c>
    </row>
    <row r="1105" spans="1:31" x14ac:dyDescent="0.35">
      <c r="A1105" s="13" t="s">
        <v>1789</v>
      </c>
      <c r="B1105" s="13" t="s">
        <v>1015</v>
      </c>
      <c r="C1105" s="13" t="s">
        <v>1016</v>
      </c>
      <c r="D1105" s="13" t="s">
        <v>52</v>
      </c>
      <c r="E1105" s="13" t="s">
        <v>77</v>
      </c>
      <c r="F1105" s="13" t="s">
        <v>174</v>
      </c>
      <c r="G1105" s="13" t="s">
        <v>55</v>
      </c>
      <c r="H1105">
        <v>590000</v>
      </c>
      <c r="I1105" s="13" t="s">
        <v>56</v>
      </c>
      <c r="J1105" s="13" t="s">
        <v>57</v>
      </c>
      <c r="K1105" s="13" t="s">
        <v>58</v>
      </c>
      <c r="L1105" s="13" t="s">
        <v>59</v>
      </c>
      <c r="M1105">
        <v>45</v>
      </c>
      <c r="N1105">
        <v>0</v>
      </c>
      <c r="O1105" s="14">
        <v>45988</v>
      </c>
      <c r="P1105" s="14">
        <v>46033</v>
      </c>
      <c r="Q1105">
        <v>2048.88</v>
      </c>
      <c r="R1105">
        <v>0</v>
      </c>
      <c r="S1105">
        <v>0</v>
      </c>
      <c r="T1105">
        <v>0</v>
      </c>
      <c r="U1105">
        <v>0</v>
      </c>
      <c r="V1105">
        <v>2048.88</v>
      </c>
      <c r="W1105">
        <v>0</v>
      </c>
      <c r="X1105">
        <v>1</v>
      </c>
      <c r="Y1105">
        <v>0</v>
      </c>
      <c r="Z1105">
        <v>-11</v>
      </c>
      <c r="AA1105">
        <v>1</v>
      </c>
      <c r="AB1105" s="13" t="s">
        <v>581</v>
      </c>
      <c r="AC1105">
        <v>0</v>
      </c>
      <c r="AD1105">
        <v>0</v>
      </c>
      <c r="AE1105" s="13" t="s">
        <v>61</v>
      </c>
    </row>
    <row r="1106" spans="1:31" x14ac:dyDescent="0.35">
      <c r="A1106" s="13" t="s">
        <v>1790</v>
      </c>
      <c r="B1106" s="13" t="s">
        <v>499</v>
      </c>
      <c r="C1106" s="13" t="s">
        <v>500</v>
      </c>
      <c r="D1106" s="13" t="s">
        <v>104</v>
      </c>
      <c r="E1106" s="13" t="s">
        <v>53</v>
      </c>
      <c r="F1106" s="13" t="s">
        <v>54</v>
      </c>
      <c r="G1106" s="13" t="s">
        <v>67</v>
      </c>
      <c r="H1106">
        <v>90000</v>
      </c>
      <c r="I1106" s="13" t="s">
        <v>105</v>
      </c>
      <c r="J1106" s="13" t="s">
        <v>106</v>
      </c>
      <c r="K1106" s="13" t="s">
        <v>107</v>
      </c>
      <c r="L1106" s="13" t="s">
        <v>88</v>
      </c>
      <c r="M1106">
        <v>60</v>
      </c>
      <c r="N1106">
        <v>0</v>
      </c>
      <c r="O1106" s="14">
        <v>45988</v>
      </c>
      <c r="P1106" s="14">
        <v>46048</v>
      </c>
      <c r="Q1106">
        <v>7358.03</v>
      </c>
      <c r="R1106">
        <v>0</v>
      </c>
      <c r="S1106">
        <v>0</v>
      </c>
      <c r="T1106">
        <v>0</v>
      </c>
      <c r="U1106">
        <v>0</v>
      </c>
      <c r="V1106">
        <v>7358.03</v>
      </c>
      <c r="W1106">
        <v>0</v>
      </c>
      <c r="X1106">
        <v>1</v>
      </c>
      <c r="Y1106">
        <v>0</v>
      </c>
      <c r="Z1106">
        <v>-26</v>
      </c>
      <c r="AA1106">
        <v>1</v>
      </c>
      <c r="AB1106" s="13" t="s">
        <v>581</v>
      </c>
      <c r="AC1106">
        <v>0</v>
      </c>
      <c r="AD1106">
        <v>0</v>
      </c>
      <c r="AE1106" s="13" t="s">
        <v>61</v>
      </c>
    </row>
    <row r="1107" spans="1:31" x14ac:dyDescent="0.35">
      <c r="A1107" s="13" t="s">
        <v>1791</v>
      </c>
      <c r="B1107" s="13" t="s">
        <v>305</v>
      </c>
      <c r="C1107" s="13" t="s">
        <v>306</v>
      </c>
      <c r="D1107" s="13" t="s">
        <v>76</v>
      </c>
      <c r="E1107" s="13" t="s">
        <v>53</v>
      </c>
      <c r="F1107" s="13" t="s">
        <v>135</v>
      </c>
      <c r="G1107" s="13" t="s">
        <v>67</v>
      </c>
      <c r="H1107">
        <v>30000</v>
      </c>
      <c r="I1107" s="13" t="s">
        <v>93</v>
      </c>
      <c r="J1107" s="13" t="s">
        <v>94</v>
      </c>
      <c r="K1107" s="13" t="s">
        <v>81</v>
      </c>
      <c r="L1107" s="13" t="s">
        <v>95</v>
      </c>
      <c r="M1107">
        <v>30</v>
      </c>
      <c r="N1107">
        <v>0</v>
      </c>
      <c r="O1107" s="14">
        <v>45988</v>
      </c>
      <c r="P1107" s="14">
        <v>46018</v>
      </c>
      <c r="Q1107">
        <v>4907.03</v>
      </c>
      <c r="R1107">
        <v>2944.22</v>
      </c>
      <c r="S1107">
        <v>0</v>
      </c>
      <c r="T1107">
        <v>0</v>
      </c>
      <c r="U1107">
        <v>0</v>
      </c>
      <c r="V1107">
        <v>1962.81</v>
      </c>
      <c r="W1107">
        <v>0</v>
      </c>
      <c r="X1107">
        <v>1</v>
      </c>
      <c r="Y1107">
        <v>1</v>
      </c>
      <c r="Z1107">
        <v>4</v>
      </c>
      <c r="AA1107">
        <v>2</v>
      </c>
      <c r="AB1107" s="13" t="s">
        <v>405</v>
      </c>
      <c r="AC1107">
        <v>0.25</v>
      </c>
      <c r="AD1107">
        <v>0</v>
      </c>
      <c r="AE1107" s="13" t="s">
        <v>61</v>
      </c>
    </row>
    <row r="1108" spans="1:31" x14ac:dyDescent="0.35">
      <c r="A1108" s="13" t="s">
        <v>1792</v>
      </c>
      <c r="B1108" s="13" t="s">
        <v>430</v>
      </c>
      <c r="C1108" s="13" t="s">
        <v>431</v>
      </c>
      <c r="D1108" s="13" t="s">
        <v>126</v>
      </c>
      <c r="E1108" s="13" t="s">
        <v>77</v>
      </c>
      <c r="F1108" s="13" t="s">
        <v>174</v>
      </c>
      <c r="G1108" s="13" t="s">
        <v>67</v>
      </c>
      <c r="H1108">
        <v>195000</v>
      </c>
      <c r="I1108" s="13" t="s">
        <v>56</v>
      </c>
      <c r="J1108" s="13" t="s">
        <v>57</v>
      </c>
      <c r="K1108" s="13" t="s">
        <v>58</v>
      </c>
      <c r="L1108" s="13" t="s">
        <v>368</v>
      </c>
      <c r="M1108">
        <v>90</v>
      </c>
      <c r="N1108">
        <v>0</v>
      </c>
      <c r="O1108" s="14">
        <v>45988</v>
      </c>
      <c r="P1108" s="14">
        <v>46078</v>
      </c>
      <c r="Q1108">
        <v>1473.98</v>
      </c>
      <c r="R1108">
        <v>0</v>
      </c>
      <c r="S1108">
        <v>0</v>
      </c>
      <c r="T1108">
        <v>0</v>
      </c>
      <c r="U1108">
        <v>0</v>
      </c>
      <c r="V1108">
        <v>1473.98</v>
      </c>
      <c r="W1108">
        <v>0</v>
      </c>
      <c r="X1108">
        <v>1</v>
      </c>
      <c r="Y1108">
        <v>0</v>
      </c>
      <c r="Z1108">
        <v>-56</v>
      </c>
      <c r="AA1108">
        <v>1</v>
      </c>
      <c r="AB1108" s="13" t="s">
        <v>581</v>
      </c>
      <c r="AC1108">
        <v>0</v>
      </c>
      <c r="AD1108">
        <v>0</v>
      </c>
      <c r="AE1108" s="13" t="s">
        <v>61</v>
      </c>
    </row>
    <row r="1109" spans="1:31" x14ac:dyDescent="0.35">
      <c r="A1109" s="13" t="s">
        <v>1793</v>
      </c>
      <c r="B1109" s="13" t="s">
        <v>172</v>
      </c>
      <c r="C1109" s="13" t="s">
        <v>173</v>
      </c>
      <c r="D1109" s="13" t="s">
        <v>52</v>
      </c>
      <c r="E1109" s="13" t="s">
        <v>77</v>
      </c>
      <c r="F1109" s="13" t="s">
        <v>174</v>
      </c>
      <c r="G1109" s="13" t="s">
        <v>67</v>
      </c>
      <c r="H1109">
        <v>590000</v>
      </c>
      <c r="I1109" s="13" t="s">
        <v>56</v>
      </c>
      <c r="J1109" s="13" t="s">
        <v>57</v>
      </c>
      <c r="K1109" s="13" t="s">
        <v>58</v>
      </c>
      <c r="L1109" s="13" t="s">
        <v>59</v>
      </c>
      <c r="M1109">
        <v>45</v>
      </c>
      <c r="N1109">
        <v>0</v>
      </c>
      <c r="O1109" s="14">
        <v>45988</v>
      </c>
      <c r="P1109" s="14">
        <v>46033</v>
      </c>
      <c r="Q1109">
        <v>1633.81</v>
      </c>
      <c r="R1109">
        <v>0</v>
      </c>
      <c r="S1109">
        <v>0</v>
      </c>
      <c r="T1109">
        <v>0</v>
      </c>
      <c r="U1109">
        <v>0</v>
      </c>
      <c r="V1109">
        <v>1633.81</v>
      </c>
      <c r="W1109">
        <v>0</v>
      </c>
      <c r="X1109">
        <v>1</v>
      </c>
      <c r="Y1109">
        <v>0</v>
      </c>
      <c r="Z1109">
        <v>-11</v>
      </c>
      <c r="AA1109">
        <v>1</v>
      </c>
      <c r="AB1109" s="13" t="s">
        <v>581</v>
      </c>
      <c r="AC1109">
        <v>0</v>
      </c>
      <c r="AD1109">
        <v>0</v>
      </c>
      <c r="AE1109" s="13" t="s">
        <v>61</v>
      </c>
    </row>
    <row r="1110" spans="1:31" x14ac:dyDescent="0.35">
      <c r="A1110" s="13" t="s">
        <v>1794</v>
      </c>
      <c r="B1110" s="13" t="s">
        <v>711</v>
      </c>
      <c r="C1110" s="13" t="s">
        <v>712</v>
      </c>
      <c r="D1110" s="13" t="s">
        <v>126</v>
      </c>
      <c r="E1110" s="13" t="s">
        <v>71</v>
      </c>
      <c r="F1110" s="13" t="s">
        <v>72</v>
      </c>
      <c r="G1110" s="13" t="s">
        <v>67</v>
      </c>
      <c r="H1110">
        <v>190000</v>
      </c>
      <c r="I1110" s="13" t="s">
        <v>56</v>
      </c>
      <c r="J1110" s="13" t="s">
        <v>57</v>
      </c>
      <c r="K1110" s="13" t="s">
        <v>58</v>
      </c>
      <c r="L1110" s="13" t="s">
        <v>368</v>
      </c>
      <c r="M1110">
        <v>90</v>
      </c>
      <c r="N1110">
        <v>0</v>
      </c>
      <c r="O1110" s="14">
        <v>45988</v>
      </c>
      <c r="P1110" s="14">
        <v>46078</v>
      </c>
      <c r="Q1110">
        <v>1277.43</v>
      </c>
      <c r="R1110">
        <v>0</v>
      </c>
      <c r="S1110">
        <v>0</v>
      </c>
      <c r="T1110">
        <v>0</v>
      </c>
      <c r="U1110">
        <v>0</v>
      </c>
      <c r="V1110">
        <v>1277.43</v>
      </c>
      <c r="W1110">
        <v>0</v>
      </c>
      <c r="X1110">
        <v>1</v>
      </c>
      <c r="Y1110">
        <v>0</v>
      </c>
      <c r="Z1110">
        <v>-56</v>
      </c>
      <c r="AA1110">
        <v>1</v>
      </c>
      <c r="AB1110" s="13" t="s">
        <v>581</v>
      </c>
      <c r="AC1110">
        <v>0</v>
      </c>
      <c r="AD1110">
        <v>0</v>
      </c>
      <c r="AE1110" s="13" t="s">
        <v>61</v>
      </c>
    </row>
    <row r="1111" spans="1:31" x14ac:dyDescent="0.35">
      <c r="A1111" s="13" t="s">
        <v>1795</v>
      </c>
      <c r="B1111" s="13" t="s">
        <v>1536</v>
      </c>
      <c r="C1111" s="13" t="s">
        <v>1537</v>
      </c>
      <c r="D1111" s="13" t="s">
        <v>76</v>
      </c>
      <c r="E1111" s="13" t="s">
        <v>99</v>
      </c>
      <c r="F1111" s="13" t="s">
        <v>127</v>
      </c>
      <c r="G1111" s="13" t="s">
        <v>55</v>
      </c>
      <c r="H1111">
        <v>50000</v>
      </c>
      <c r="I1111" s="13" t="s">
        <v>93</v>
      </c>
      <c r="J1111" s="13" t="s">
        <v>94</v>
      </c>
      <c r="K1111" s="13" t="s">
        <v>81</v>
      </c>
      <c r="L1111" s="13" t="s">
        <v>95</v>
      </c>
      <c r="M1111">
        <v>30</v>
      </c>
      <c r="N1111">
        <v>0</v>
      </c>
      <c r="O1111" s="14">
        <v>45988</v>
      </c>
      <c r="P1111" s="14">
        <v>46018</v>
      </c>
      <c r="Q1111">
        <v>2812.6</v>
      </c>
      <c r="R1111">
        <v>0</v>
      </c>
      <c r="S1111">
        <v>0</v>
      </c>
      <c r="T1111">
        <v>0</v>
      </c>
      <c r="U1111">
        <v>0</v>
      </c>
      <c r="V1111">
        <v>2812.6</v>
      </c>
      <c r="W1111">
        <v>0</v>
      </c>
      <c r="X1111">
        <v>1</v>
      </c>
      <c r="Y1111">
        <v>1</v>
      </c>
      <c r="Z1111">
        <v>4</v>
      </c>
      <c r="AA1111">
        <v>2</v>
      </c>
      <c r="AB1111" s="13" t="s">
        <v>405</v>
      </c>
      <c r="AC1111">
        <v>0.25</v>
      </c>
      <c r="AD1111">
        <v>0</v>
      </c>
      <c r="AE1111" s="13" t="s">
        <v>61</v>
      </c>
    </row>
    <row r="1112" spans="1:31" x14ac:dyDescent="0.35">
      <c r="A1112" s="13" t="s">
        <v>1796</v>
      </c>
      <c r="B1112" s="13" t="s">
        <v>1227</v>
      </c>
      <c r="C1112" s="13" t="s">
        <v>1228</v>
      </c>
      <c r="D1112" s="13" t="s">
        <v>76</v>
      </c>
      <c r="E1112" s="13" t="s">
        <v>99</v>
      </c>
      <c r="F1112" s="13" t="s">
        <v>100</v>
      </c>
      <c r="G1112" s="13" t="s">
        <v>55</v>
      </c>
      <c r="H1112">
        <v>110000</v>
      </c>
      <c r="I1112" s="13" t="s">
        <v>93</v>
      </c>
      <c r="J1112" s="13" t="s">
        <v>94</v>
      </c>
      <c r="K1112" s="13" t="s">
        <v>81</v>
      </c>
      <c r="L1112" s="13" t="s">
        <v>95</v>
      </c>
      <c r="M1112">
        <v>30</v>
      </c>
      <c r="N1112">
        <v>0</v>
      </c>
      <c r="O1112" s="14">
        <v>45988</v>
      </c>
      <c r="P1112" s="14">
        <v>46018</v>
      </c>
      <c r="Q1112">
        <v>4583.62</v>
      </c>
      <c r="R1112">
        <v>0</v>
      </c>
      <c r="S1112">
        <v>0</v>
      </c>
      <c r="T1112">
        <v>0</v>
      </c>
      <c r="U1112">
        <v>0</v>
      </c>
      <c r="V1112">
        <v>4583.62</v>
      </c>
      <c r="W1112">
        <v>0</v>
      </c>
      <c r="X1112">
        <v>1</v>
      </c>
      <c r="Y1112">
        <v>1</v>
      </c>
      <c r="Z1112">
        <v>4</v>
      </c>
      <c r="AA1112">
        <v>2</v>
      </c>
      <c r="AB1112" s="13" t="s">
        <v>405</v>
      </c>
      <c r="AC1112">
        <v>0.25</v>
      </c>
      <c r="AD1112">
        <v>0</v>
      </c>
      <c r="AE1112" s="13" t="s">
        <v>61</v>
      </c>
    </row>
    <row r="1113" spans="1:31" x14ac:dyDescent="0.35">
      <c r="A1113" s="13" t="s">
        <v>1797</v>
      </c>
      <c r="B1113" s="13" t="s">
        <v>1022</v>
      </c>
      <c r="C1113" s="13" t="s">
        <v>1023</v>
      </c>
      <c r="D1113" s="13" t="s">
        <v>126</v>
      </c>
      <c r="E1113" s="13" t="s">
        <v>77</v>
      </c>
      <c r="F1113" s="13" t="s">
        <v>174</v>
      </c>
      <c r="G1113" s="13" t="s">
        <v>55</v>
      </c>
      <c r="H1113">
        <v>160000</v>
      </c>
      <c r="I1113" s="13" t="s">
        <v>56</v>
      </c>
      <c r="J1113" s="13" t="s">
        <v>57</v>
      </c>
      <c r="K1113" s="13" t="s">
        <v>58</v>
      </c>
      <c r="L1113" s="13" t="s">
        <v>88</v>
      </c>
      <c r="M1113">
        <v>60</v>
      </c>
      <c r="N1113">
        <v>0</v>
      </c>
      <c r="O1113" s="14">
        <v>45988</v>
      </c>
      <c r="P1113" s="14">
        <v>46048</v>
      </c>
      <c r="Q1113">
        <v>2985.58</v>
      </c>
      <c r="R1113">
        <v>0</v>
      </c>
      <c r="S1113">
        <v>0</v>
      </c>
      <c r="T1113">
        <v>0</v>
      </c>
      <c r="U1113">
        <v>0</v>
      </c>
      <c r="V1113">
        <v>2985.58</v>
      </c>
      <c r="W1113">
        <v>0</v>
      </c>
      <c r="X1113">
        <v>1</v>
      </c>
      <c r="Y1113">
        <v>0</v>
      </c>
      <c r="Z1113">
        <v>-26</v>
      </c>
      <c r="AA1113">
        <v>1</v>
      </c>
      <c r="AB1113" s="13" t="s">
        <v>581</v>
      </c>
      <c r="AC1113">
        <v>0</v>
      </c>
      <c r="AD1113">
        <v>0</v>
      </c>
      <c r="AE1113" s="13" t="s">
        <v>61</v>
      </c>
    </row>
    <row r="1114" spans="1:31" x14ac:dyDescent="0.35">
      <c r="A1114" s="13" t="s">
        <v>1798</v>
      </c>
      <c r="B1114" s="13" t="s">
        <v>1541</v>
      </c>
      <c r="C1114" s="13" t="s">
        <v>1542</v>
      </c>
      <c r="D1114" s="13" t="s">
        <v>104</v>
      </c>
      <c r="E1114" s="13" t="s">
        <v>53</v>
      </c>
      <c r="F1114" s="13" t="s">
        <v>54</v>
      </c>
      <c r="G1114" s="13" t="s">
        <v>92</v>
      </c>
      <c r="H1114">
        <v>150000</v>
      </c>
      <c r="I1114" s="13" t="s">
        <v>56</v>
      </c>
      <c r="J1114" s="13" t="s">
        <v>57</v>
      </c>
      <c r="K1114" s="13" t="s">
        <v>58</v>
      </c>
      <c r="L1114" s="13" t="s">
        <v>82</v>
      </c>
      <c r="M1114">
        <v>30</v>
      </c>
      <c r="N1114">
        <v>2</v>
      </c>
      <c r="O1114" s="14">
        <v>45988</v>
      </c>
      <c r="P1114" s="14">
        <v>46018</v>
      </c>
      <c r="Q1114">
        <v>7757.69</v>
      </c>
      <c r="R1114">
        <v>0</v>
      </c>
      <c r="S1114">
        <v>0</v>
      </c>
      <c r="T1114">
        <v>0</v>
      </c>
      <c r="U1114">
        <v>0</v>
      </c>
      <c r="V1114">
        <v>7757.69</v>
      </c>
      <c r="W1114">
        <v>0</v>
      </c>
      <c r="X1114">
        <v>1</v>
      </c>
      <c r="Y1114">
        <v>1</v>
      </c>
      <c r="Z1114">
        <v>4</v>
      </c>
      <c r="AA1114">
        <v>2</v>
      </c>
      <c r="AB1114" s="13" t="s">
        <v>405</v>
      </c>
      <c r="AC1114">
        <v>0.25</v>
      </c>
      <c r="AD1114">
        <v>0</v>
      </c>
      <c r="AE1114" s="13" t="s">
        <v>61</v>
      </c>
    </row>
    <row r="1115" spans="1:31" x14ac:dyDescent="0.35">
      <c r="A1115" s="13" t="s">
        <v>1799</v>
      </c>
      <c r="B1115" s="13" t="s">
        <v>565</v>
      </c>
      <c r="C1115" s="13" t="s">
        <v>566</v>
      </c>
      <c r="D1115" s="13" t="s">
        <v>126</v>
      </c>
      <c r="E1115" s="13" t="s">
        <v>77</v>
      </c>
      <c r="F1115" s="13" t="s">
        <v>174</v>
      </c>
      <c r="G1115" s="13" t="s">
        <v>67</v>
      </c>
      <c r="H1115">
        <v>145000</v>
      </c>
      <c r="I1115" s="13" t="s">
        <v>121</v>
      </c>
      <c r="J1115" s="13" t="s">
        <v>122</v>
      </c>
      <c r="K1115" s="13" t="s">
        <v>107</v>
      </c>
      <c r="L1115" s="13" t="s">
        <v>368</v>
      </c>
      <c r="M1115">
        <v>90</v>
      </c>
      <c r="N1115">
        <v>0</v>
      </c>
      <c r="O1115" s="14">
        <v>45988</v>
      </c>
      <c r="P1115" s="14">
        <v>46078</v>
      </c>
      <c r="Q1115">
        <v>4637.03</v>
      </c>
      <c r="R1115">
        <v>0</v>
      </c>
      <c r="S1115">
        <v>0</v>
      </c>
      <c r="T1115">
        <v>0</v>
      </c>
      <c r="U1115">
        <v>0</v>
      </c>
      <c r="V1115">
        <v>4637.03</v>
      </c>
      <c r="W1115">
        <v>0</v>
      </c>
      <c r="X1115">
        <v>1</v>
      </c>
      <c r="Y1115">
        <v>0</v>
      </c>
      <c r="Z1115">
        <v>-56</v>
      </c>
      <c r="AA1115">
        <v>1</v>
      </c>
      <c r="AB1115" s="13" t="s">
        <v>581</v>
      </c>
      <c r="AC1115">
        <v>0</v>
      </c>
      <c r="AD1115">
        <v>0</v>
      </c>
      <c r="AE1115" s="13" t="s">
        <v>61</v>
      </c>
    </row>
    <row r="1116" spans="1:31" x14ac:dyDescent="0.35">
      <c r="A1116" s="13" t="s">
        <v>1800</v>
      </c>
      <c r="B1116" s="13" t="s">
        <v>533</v>
      </c>
      <c r="C1116" s="13" t="s">
        <v>534</v>
      </c>
      <c r="D1116" s="13" t="s">
        <v>126</v>
      </c>
      <c r="E1116" s="13" t="s">
        <v>99</v>
      </c>
      <c r="F1116" s="13" t="s">
        <v>127</v>
      </c>
      <c r="G1116" s="13" t="s">
        <v>67</v>
      </c>
      <c r="H1116">
        <v>205000</v>
      </c>
      <c r="I1116" s="13" t="s">
        <v>86</v>
      </c>
      <c r="J1116" s="13" t="s">
        <v>87</v>
      </c>
      <c r="K1116" s="13" t="s">
        <v>58</v>
      </c>
      <c r="L1116" s="13" t="s">
        <v>368</v>
      </c>
      <c r="M1116">
        <v>90</v>
      </c>
      <c r="N1116">
        <v>0</v>
      </c>
      <c r="O1116" s="14">
        <v>45988</v>
      </c>
      <c r="P1116" s="14">
        <v>46078</v>
      </c>
      <c r="Q1116">
        <v>8027.29</v>
      </c>
      <c r="R1116">
        <v>0</v>
      </c>
      <c r="S1116">
        <v>0</v>
      </c>
      <c r="T1116">
        <v>0</v>
      </c>
      <c r="U1116">
        <v>0</v>
      </c>
      <c r="V1116">
        <v>8027.29</v>
      </c>
      <c r="W1116">
        <v>0</v>
      </c>
      <c r="X1116">
        <v>1</v>
      </c>
      <c r="Y1116">
        <v>0</v>
      </c>
      <c r="Z1116">
        <v>-56</v>
      </c>
      <c r="AA1116">
        <v>1</v>
      </c>
      <c r="AB1116" s="13" t="s">
        <v>581</v>
      </c>
      <c r="AC1116">
        <v>0</v>
      </c>
      <c r="AD1116">
        <v>0</v>
      </c>
      <c r="AE1116" s="13" t="s">
        <v>61</v>
      </c>
    </row>
    <row r="1117" spans="1:31" x14ac:dyDescent="0.35">
      <c r="A1117" s="13" t="s">
        <v>1801</v>
      </c>
      <c r="B1117" s="13" t="s">
        <v>280</v>
      </c>
      <c r="C1117" s="13" t="s">
        <v>281</v>
      </c>
      <c r="D1117" s="13" t="s">
        <v>104</v>
      </c>
      <c r="E1117" s="13" t="s">
        <v>71</v>
      </c>
      <c r="F1117" s="13" t="s">
        <v>214</v>
      </c>
      <c r="G1117" s="13" t="s">
        <v>92</v>
      </c>
      <c r="H1117">
        <v>100000</v>
      </c>
      <c r="I1117" s="13" t="s">
        <v>121</v>
      </c>
      <c r="J1117" s="13" t="s">
        <v>122</v>
      </c>
      <c r="K1117" s="13" t="s">
        <v>107</v>
      </c>
      <c r="L1117" s="13" t="s">
        <v>88</v>
      </c>
      <c r="M1117">
        <v>60</v>
      </c>
      <c r="N1117">
        <v>0</v>
      </c>
      <c r="O1117" s="14">
        <v>45988</v>
      </c>
      <c r="P1117" s="14">
        <v>46048</v>
      </c>
      <c r="Q1117">
        <v>6370.28</v>
      </c>
      <c r="R1117">
        <v>0</v>
      </c>
      <c r="S1117">
        <v>0</v>
      </c>
      <c r="T1117">
        <v>0</v>
      </c>
      <c r="U1117">
        <v>0</v>
      </c>
      <c r="V1117">
        <v>6370.28</v>
      </c>
      <c r="W1117">
        <v>0</v>
      </c>
      <c r="X1117">
        <v>1</v>
      </c>
      <c r="Y1117">
        <v>0</v>
      </c>
      <c r="Z1117">
        <v>-26</v>
      </c>
      <c r="AA1117">
        <v>1</v>
      </c>
      <c r="AB1117" s="13" t="s">
        <v>581</v>
      </c>
      <c r="AC1117">
        <v>0</v>
      </c>
      <c r="AD1117">
        <v>0</v>
      </c>
      <c r="AE1117" s="13" t="s">
        <v>61</v>
      </c>
    </row>
    <row r="1118" spans="1:31" x14ac:dyDescent="0.35">
      <c r="A1118" s="13" t="s">
        <v>1802</v>
      </c>
      <c r="B1118" s="13" t="s">
        <v>263</v>
      </c>
      <c r="C1118" s="13" t="s">
        <v>264</v>
      </c>
      <c r="D1118" s="13" t="s">
        <v>52</v>
      </c>
      <c r="E1118" s="13" t="s">
        <v>99</v>
      </c>
      <c r="F1118" s="13" t="s">
        <v>100</v>
      </c>
      <c r="G1118" s="13" t="s">
        <v>55</v>
      </c>
      <c r="H1118">
        <v>590000</v>
      </c>
      <c r="I1118" s="13" t="s">
        <v>86</v>
      </c>
      <c r="J1118" s="13" t="s">
        <v>87</v>
      </c>
      <c r="K1118" s="13" t="s">
        <v>58</v>
      </c>
      <c r="L1118" s="13" t="s">
        <v>88</v>
      </c>
      <c r="M1118">
        <v>60</v>
      </c>
      <c r="N1118">
        <v>0</v>
      </c>
      <c r="O1118" s="14">
        <v>45988</v>
      </c>
      <c r="P1118" s="14">
        <v>46048</v>
      </c>
      <c r="Q1118">
        <v>6204.9</v>
      </c>
      <c r="R1118">
        <v>0</v>
      </c>
      <c r="S1118">
        <v>0</v>
      </c>
      <c r="T1118">
        <v>0</v>
      </c>
      <c r="U1118">
        <v>0</v>
      </c>
      <c r="V1118">
        <v>6204.9</v>
      </c>
      <c r="W1118">
        <v>0</v>
      </c>
      <c r="X1118">
        <v>1</v>
      </c>
      <c r="Y1118">
        <v>0</v>
      </c>
      <c r="Z1118">
        <v>-26</v>
      </c>
      <c r="AA1118">
        <v>1</v>
      </c>
      <c r="AB1118" s="13" t="s">
        <v>581</v>
      </c>
      <c r="AC1118">
        <v>0</v>
      </c>
      <c r="AD1118">
        <v>0</v>
      </c>
      <c r="AE1118" s="13" t="s">
        <v>61</v>
      </c>
    </row>
    <row r="1119" spans="1:31" x14ac:dyDescent="0.35">
      <c r="A1119" s="13" t="s">
        <v>1803</v>
      </c>
      <c r="B1119" s="13" t="s">
        <v>186</v>
      </c>
      <c r="C1119" s="13" t="s">
        <v>187</v>
      </c>
      <c r="D1119" s="13" t="s">
        <v>76</v>
      </c>
      <c r="E1119" s="13" t="s">
        <v>65</v>
      </c>
      <c r="F1119" s="13" t="s">
        <v>66</v>
      </c>
      <c r="G1119" s="13" t="s">
        <v>55</v>
      </c>
      <c r="H1119">
        <v>120000</v>
      </c>
      <c r="I1119" s="13" t="s">
        <v>93</v>
      </c>
      <c r="J1119" s="13" t="s">
        <v>94</v>
      </c>
      <c r="K1119" s="13" t="s">
        <v>81</v>
      </c>
      <c r="L1119" s="13" t="s">
        <v>95</v>
      </c>
      <c r="M1119">
        <v>30</v>
      </c>
      <c r="N1119">
        <v>0</v>
      </c>
      <c r="O1119" s="14">
        <v>45989</v>
      </c>
      <c r="P1119" s="14">
        <v>46019</v>
      </c>
      <c r="Q1119">
        <v>1025.43</v>
      </c>
      <c r="R1119">
        <v>0</v>
      </c>
      <c r="S1119">
        <v>0</v>
      </c>
      <c r="T1119">
        <v>0</v>
      </c>
      <c r="U1119">
        <v>0</v>
      </c>
      <c r="V1119">
        <v>1025.43</v>
      </c>
      <c r="W1119">
        <v>0</v>
      </c>
      <c r="X1119">
        <v>1</v>
      </c>
      <c r="Y1119">
        <v>1</v>
      </c>
      <c r="Z1119">
        <v>3</v>
      </c>
      <c r="AA1119">
        <v>2</v>
      </c>
      <c r="AB1119" s="13" t="s">
        <v>405</v>
      </c>
      <c r="AC1119">
        <v>0.25</v>
      </c>
      <c r="AD1119">
        <v>0</v>
      </c>
      <c r="AE1119" s="13" t="s">
        <v>61</v>
      </c>
    </row>
    <row r="1120" spans="1:31" x14ac:dyDescent="0.35">
      <c r="A1120" s="13" t="s">
        <v>1804</v>
      </c>
      <c r="B1120" s="13" t="s">
        <v>244</v>
      </c>
      <c r="C1120" s="13" t="s">
        <v>245</v>
      </c>
      <c r="D1120" s="13" t="s">
        <v>52</v>
      </c>
      <c r="E1120" s="13" t="s">
        <v>65</v>
      </c>
      <c r="F1120" s="13" t="s">
        <v>111</v>
      </c>
      <c r="G1120" s="13" t="s">
        <v>55</v>
      </c>
      <c r="H1120">
        <v>590000</v>
      </c>
      <c r="I1120" s="13" t="s">
        <v>86</v>
      </c>
      <c r="J1120" s="13" t="s">
        <v>87</v>
      </c>
      <c r="K1120" s="13" t="s">
        <v>58</v>
      </c>
      <c r="L1120" s="13" t="s">
        <v>59</v>
      </c>
      <c r="M1120">
        <v>45</v>
      </c>
      <c r="N1120">
        <v>0</v>
      </c>
      <c r="O1120" s="14">
        <v>45989</v>
      </c>
      <c r="P1120" s="14">
        <v>46034</v>
      </c>
      <c r="Q1120">
        <v>15853.49</v>
      </c>
      <c r="R1120">
        <v>0</v>
      </c>
      <c r="S1120">
        <v>0</v>
      </c>
      <c r="T1120">
        <v>0</v>
      </c>
      <c r="U1120">
        <v>0</v>
      </c>
      <c r="V1120">
        <v>15853.49</v>
      </c>
      <c r="W1120">
        <v>0</v>
      </c>
      <c r="X1120">
        <v>1</v>
      </c>
      <c r="Y1120">
        <v>0</v>
      </c>
      <c r="Z1120">
        <v>-12</v>
      </c>
      <c r="AA1120">
        <v>1</v>
      </c>
      <c r="AB1120" s="13" t="s">
        <v>581</v>
      </c>
      <c r="AC1120">
        <v>0</v>
      </c>
      <c r="AD1120">
        <v>0</v>
      </c>
      <c r="AE1120" s="13" t="s">
        <v>61</v>
      </c>
    </row>
    <row r="1121" spans="1:31" x14ac:dyDescent="0.35">
      <c r="A1121" s="13" t="s">
        <v>1805</v>
      </c>
      <c r="B1121" s="13" t="s">
        <v>702</v>
      </c>
      <c r="C1121" s="13" t="s">
        <v>703</v>
      </c>
      <c r="D1121" s="13" t="s">
        <v>52</v>
      </c>
      <c r="E1121" s="13" t="s">
        <v>65</v>
      </c>
      <c r="F1121" s="13" t="s">
        <v>111</v>
      </c>
      <c r="G1121" s="13" t="s">
        <v>67</v>
      </c>
      <c r="H1121">
        <v>435000</v>
      </c>
      <c r="I1121" s="13" t="s">
        <v>86</v>
      </c>
      <c r="J1121" s="13" t="s">
        <v>87</v>
      </c>
      <c r="K1121" s="13" t="s">
        <v>58</v>
      </c>
      <c r="L1121" s="13" t="s">
        <v>59</v>
      </c>
      <c r="M1121">
        <v>45</v>
      </c>
      <c r="N1121">
        <v>0</v>
      </c>
      <c r="O1121" s="14">
        <v>45989</v>
      </c>
      <c r="P1121" s="14">
        <v>46034</v>
      </c>
      <c r="Q1121">
        <v>13218.74</v>
      </c>
      <c r="R1121">
        <v>0</v>
      </c>
      <c r="S1121">
        <v>0</v>
      </c>
      <c r="T1121">
        <v>0</v>
      </c>
      <c r="U1121">
        <v>0</v>
      </c>
      <c r="V1121">
        <v>13218.74</v>
      </c>
      <c r="W1121">
        <v>0</v>
      </c>
      <c r="X1121">
        <v>1</v>
      </c>
      <c r="Y1121">
        <v>0</v>
      </c>
      <c r="Z1121">
        <v>-12</v>
      </c>
      <c r="AA1121">
        <v>1</v>
      </c>
      <c r="AB1121" s="13" t="s">
        <v>581</v>
      </c>
      <c r="AC1121">
        <v>0</v>
      </c>
      <c r="AD1121">
        <v>0</v>
      </c>
      <c r="AE1121" s="13" t="s">
        <v>61</v>
      </c>
    </row>
    <row r="1122" spans="1:31" x14ac:dyDescent="0.35">
      <c r="A1122" s="13" t="s">
        <v>1806</v>
      </c>
      <c r="B1122" s="13" t="s">
        <v>1807</v>
      </c>
      <c r="C1122" s="13" t="s">
        <v>1808</v>
      </c>
      <c r="D1122" s="13" t="s">
        <v>76</v>
      </c>
      <c r="E1122" s="13" t="s">
        <v>65</v>
      </c>
      <c r="F1122" s="13" t="s">
        <v>66</v>
      </c>
      <c r="G1122" s="13" t="s">
        <v>55</v>
      </c>
      <c r="H1122">
        <v>45000</v>
      </c>
      <c r="I1122" s="13" t="s">
        <v>93</v>
      </c>
      <c r="J1122" s="13" t="s">
        <v>94</v>
      </c>
      <c r="K1122" s="13" t="s">
        <v>81</v>
      </c>
      <c r="L1122" s="13" t="s">
        <v>95</v>
      </c>
      <c r="M1122">
        <v>30</v>
      </c>
      <c r="N1122">
        <v>0</v>
      </c>
      <c r="O1122" s="14">
        <v>45989</v>
      </c>
      <c r="P1122" s="14">
        <v>46019</v>
      </c>
      <c r="Q1122">
        <v>615.72</v>
      </c>
      <c r="R1122">
        <v>0</v>
      </c>
      <c r="S1122">
        <v>0</v>
      </c>
      <c r="T1122">
        <v>0</v>
      </c>
      <c r="U1122">
        <v>0</v>
      </c>
      <c r="V1122">
        <v>615.72</v>
      </c>
      <c r="W1122">
        <v>0</v>
      </c>
      <c r="X1122">
        <v>1</v>
      </c>
      <c r="Y1122">
        <v>1</v>
      </c>
      <c r="Z1122">
        <v>3</v>
      </c>
      <c r="AA1122">
        <v>2</v>
      </c>
      <c r="AB1122" s="13" t="s">
        <v>405</v>
      </c>
      <c r="AC1122">
        <v>0.25</v>
      </c>
      <c r="AD1122">
        <v>0</v>
      </c>
      <c r="AE1122" s="13" t="s">
        <v>61</v>
      </c>
    </row>
    <row r="1123" spans="1:31" x14ac:dyDescent="0.35">
      <c r="A1123" s="13" t="s">
        <v>1809</v>
      </c>
      <c r="B1123" s="13" t="s">
        <v>273</v>
      </c>
      <c r="C1123" s="13" t="s">
        <v>274</v>
      </c>
      <c r="D1123" s="13" t="s">
        <v>104</v>
      </c>
      <c r="E1123" s="13" t="s">
        <v>71</v>
      </c>
      <c r="F1123" s="13" t="s">
        <v>72</v>
      </c>
      <c r="G1123" s="13" t="s">
        <v>92</v>
      </c>
      <c r="H1123">
        <v>120000</v>
      </c>
      <c r="I1123" s="13" t="s">
        <v>105</v>
      </c>
      <c r="J1123" s="13" t="s">
        <v>106</v>
      </c>
      <c r="K1123" s="13" t="s">
        <v>107</v>
      </c>
      <c r="L1123" s="13" t="s">
        <v>88</v>
      </c>
      <c r="M1123">
        <v>60</v>
      </c>
      <c r="N1123">
        <v>0</v>
      </c>
      <c r="O1123" s="14">
        <v>45989</v>
      </c>
      <c r="P1123" s="14">
        <v>46049</v>
      </c>
      <c r="Q1123">
        <v>1912.63</v>
      </c>
      <c r="R1123">
        <v>0</v>
      </c>
      <c r="S1123">
        <v>0</v>
      </c>
      <c r="T1123">
        <v>0</v>
      </c>
      <c r="U1123">
        <v>0</v>
      </c>
      <c r="V1123">
        <v>1912.63</v>
      </c>
      <c r="W1123">
        <v>0</v>
      </c>
      <c r="X1123">
        <v>1</v>
      </c>
      <c r="Y1123">
        <v>0</v>
      </c>
      <c r="Z1123">
        <v>-27</v>
      </c>
      <c r="AA1123">
        <v>1</v>
      </c>
      <c r="AB1123" s="13" t="s">
        <v>581</v>
      </c>
      <c r="AC1123">
        <v>0</v>
      </c>
      <c r="AD1123">
        <v>0</v>
      </c>
      <c r="AE1123" s="13" t="s">
        <v>61</v>
      </c>
    </row>
    <row r="1124" spans="1:31" x14ac:dyDescent="0.35">
      <c r="A1124" s="13" t="s">
        <v>1810</v>
      </c>
      <c r="B1124" s="13" t="s">
        <v>222</v>
      </c>
      <c r="C1124" s="13" t="s">
        <v>223</v>
      </c>
      <c r="D1124" s="13" t="s">
        <v>52</v>
      </c>
      <c r="E1124" s="13" t="s">
        <v>65</v>
      </c>
      <c r="F1124" s="13" t="s">
        <v>66</v>
      </c>
      <c r="G1124" s="13" t="s">
        <v>92</v>
      </c>
      <c r="H1124">
        <v>430000</v>
      </c>
      <c r="I1124" s="13" t="s">
        <v>56</v>
      </c>
      <c r="J1124" s="13" t="s">
        <v>57</v>
      </c>
      <c r="K1124" s="13" t="s">
        <v>58</v>
      </c>
      <c r="L1124" s="13" t="s">
        <v>59</v>
      </c>
      <c r="M1124">
        <v>45</v>
      </c>
      <c r="N1124">
        <v>0</v>
      </c>
      <c r="O1124" s="14">
        <v>45989</v>
      </c>
      <c r="P1124" s="14">
        <v>46034</v>
      </c>
      <c r="Q1124">
        <v>3558.29</v>
      </c>
      <c r="R1124">
        <v>0</v>
      </c>
      <c r="S1124">
        <v>0</v>
      </c>
      <c r="T1124">
        <v>0</v>
      </c>
      <c r="U1124">
        <v>0</v>
      </c>
      <c r="V1124">
        <v>3558.29</v>
      </c>
      <c r="W1124">
        <v>0</v>
      </c>
      <c r="X1124">
        <v>1</v>
      </c>
      <c r="Y1124">
        <v>0</v>
      </c>
      <c r="Z1124">
        <v>-12</v>
      </c>
      <c r="AA1124">
        <v>1</v>
      </c>
      <c r="AB1124" s="13" t="s">
        <v>581</v>
      </c>
      <c r="AC1124">
        <v>0</v>
      </c>
      <c r="AD1124">
        <v>0</v>
      </c>
      <c r="AE1124" s="13" t="s">
        <v>61</v>
      </c>
    </row>
    <row r="1125" spans="1:31" x14ac:dyDescent="0.35">
      <c r="A1125" s="13" t="s">
        <v>1811</v>
      </c>
      <c r="B1125" s="13" t="s">
        <v>253</v>
      </c>
      <c r="C1125" s="13" t="s">
        <v>254</v>
      </c>
      <c r="D1125" s="13" t="s">
        <v>52</v>
      </c>
      <c r="E1125" s="13" t="s">
        <v>65</v>
      </c>
      <c r="F1125" s="13" t="s">
        <v>111</v>
      </c>
      <c r="G1125" s="13" t="s">
        <v>55</v>
      </c>
      <c r="H1125">
        <v>415000</v>
      </c>
      <c r="I1125" s="13" t="s">
        <v>56</v>
      </c>
      <c r="J1125" s="13" t="s">
        <v>57</v>
      </c>
      <c r="K1125" s="13" t="s">
        <v>58</v>
      </c>
      <c r="L1125" s="13" t="s">
        <v>59</v>
      </c>
      <c r="M1125">
        <v>45</v>
      </c>
      <c r="N1125">
        <v>0</v>
      </c>
      <c r="O1125" s="14">
        <v>45989</v>
      </c>
      <c r="P1125" s="14">
        <v>46034</v>
      </c>
      <c r="Q1125">
        <v>9915.44</v>
      </c>
      <c r="R1125">
        <v>0</v>
      </c>
      <c r="S1125">
        <v>0</v>
      </c>
      <c r="T1125">
        <v>0</v>
      </c>
      <c r="U1125">
        <v>0</v>
      </c>
      <c r="V1125">
        <v>9915.44</v>
      </c>
      <c r="W1125">
        <v>0</v>
      </c>
      <c r="X1125">
        <v>1</v>
      </c>
      <c r="Y1125">
        <v>0</v>
      </c>
      <c r="Z1125">
        <v>-12</v>
      </c>
      <c r="AA1125">
        <v>1</v>
      </c>
      <c r="AB1125" s="13" t="s">
        <v>581</v>
      </c>
      <c r="AC1125">
        <v>0</v>
      </c>
      <c r="AD1125">
        <v>0</v>
      </c>
      <c r="AE1125" s="13" t="s">
        <v>61</v>
      </c>
    </row>
    <row r="1126" spans="1:31" x14ac:dyDescent="0.35">
      <c r="A1126" s="13" t="s">
        <v>1812</v>
      </c>
      <c r="B1126" s="13" t="s">
        <v>1813</v>
      </c>
      <c r="C1126" s="13" t="s">
        <v>1814</v>
      </c>
      <c r="D1126" s="13" t="s">
        <v>104</v>
      </c>
      <c r="E1126" s="13" t="s">
        <v>71</v>
      </c>
      <c r="F1126" s="13" t="s">
        <v>214</v>
      </c>
      <c r="G1126" s="13" t="s">
        <v>67</v>
      </c>
      <c r="H1126">
        <v>35000</v>
      </c>
      <c r="I1126" s="13" t="s">
        <v>105</v>
      </c>
      <c r="J1126" s="13" t="s">
        <v>106</v>
      </c>
      <c r="K1126" s="13" t="s">
        <v>107</v>
      </c>
      <c r="L1126" s="13" t="s">
        <v>82</v>
      </c>
      <c r="M1126">
        <v>30</v>
      </c>
      <c r="N1126">
        <v>2</v>
      </c>
      <c r="O1126" s="14">
        <v>45989</v>
      </c>
      <c r="P1126" s="14">
        <v>46019</v>
      </c>
      <c r="Q1126">
        <v>6456.32</v>
      </c>
      <c r="R1126">
        <v>0</v>
      </c>
      <c r="S1126">
        <v>0</v>
      </c>
      <c r="T1126">
        <v>0</v>
      </c>
      <c r="U1126">
        <v>0</v>
      </c>
      <c r="V1126">
        <v>6456.32</v>
      </c>
      <c r="W1126">
        <v>0</v>
      </c>
      <c r="X1126">
        <v>1</v>
      </c>
      <c r="Y1126">
        <v>1</v>
      </c>
      <c r="Z1126">
        <v>3</v>
      </c>
      <c r="AA1126">
        <v>2</v>
      </c>
      <c r="AB1126" s="13" t="s">
        <v>405</v>
      </c>
      <c r="AC1126">
        <v>0.25</v>
      </c>
      <c r="AD1126">
        <v>0</v>
      </c>
      <c r="AE1126" s="13" t="s">
        <v>61</v>
      </c>
    </row>
    <row r="1127" spans="1:31" x14ac:dyDescent="0.35">
      <c r="A1127" s="13" t="s">
        <v>1815</v>
      </c>
      <c r="B1127" s="13" t="s">
        <v>1115</v>
      </c>
      <c r="C1127" s="13" t="s">
        <v>1116</v>
      </c>
      <c r="D1127" s="13" t="s">
        <v>52</v>
      </c>
      <c r="E1127" s="13" t="s">
        <v>65</v>
      </c>
      <c r="F1127" s="13" t="s">
        <v>66</v>
      </c>
      <c r="G1127" s="13" t="s">
        <v>92</v>
      </c>
      <c r="H1127">
        <v>300000</v>
      </c>
      <c r="I1127" s="13" t="s">
        <v>56</v>
      </c>
      <c r="J1127" s="13" t="s">
        <v>57</v>
      </c>
      <c r="K1127" s="13" t="s">
        <v>58</v>
      </c>
      <c r="L1127" s="13" t="s">
        <v>59</v>
      </c>
      <c r="M1127">
        <v>45</v>
      </c>
      <c r="N1127">
        <v>0</v>
      </c>
      <c r="O1127" s="14">
        <v>45989</v>
      </c>
      <c r="P1127" s="14">
        <v>46034</v>
      </c>
      <c r="Q1127">
        <v>7003.64</v>
      </c>
      <c r="R1127">
        <v>0</v>
      </c>
      <c r="S1127">
        <v>0</v>
      </c>
      <c r="T1127">
        <v>0</v>
      </c>
      <c r="U1127">
        <v>0</v>
      </c>
      <c r="V1127">
        <v>7003.64</v>
      </c>
      <c r="W1127">
        <v>0</v>
      </c>
      <c r="X1127">
        <v>1</v>
      </c>
      <c r="Y1127">
        <v>0</v>
      </c>
      <c r="Z1127">
        <v>-12</v>
      </c>
      <c r="AA1127">
        <v>1</v>
      </c>
      <c r="AB1127" s="13" t="s">
        <v>581</v>
      </c>
      <c r="AC1127">
        <v>0</v>
      </c>
      <c r="AD1127">
        <v>0</v>
      </c>
      <c r="AE1127" s="13" t="s">
        <v>61</v>
      </c>
    </row>
    <row r="1128" spans="1:31" x14ac:dyDescent="0.35">
      <c r="A1128" s="13" t="s">
        <v>1816</v>
      </c>
      <c r="B1128" s="13" t="s">
        <v>418</v>
      </c>
      <c r="C1128" s="13" t="s">
        <v>419</v>
      </c>
      <c r="D1128" s="13" t="s">
        <v>52</v>
      </c>
      <c r="E1128" s="13" t="s">
        <v>99</v>
      </c>
      <c r="F1128" s="13" t="s">
        <v>100</v>
      </c>
      <c r="G1128" s="13" t="s">
        <v>67</v>
      </c>
      <c r="H1128">
        <v>535000</v>
      </c>
      <c r="I1128" s="13" t="s">
        <v>86</v>
      </c>
      <c r="J1128" s="13" t="s">
        <v>87</v>
      </c>
      <c r="K1128" s="13" t="s">
        <v>58</v>
      </c>
      <c r="L1128" s="13" t="s">
        <v>59</v>
      </c>
      <c r="M1128">
        <v>45</v>
      </c>
      <c r="N1128">
        <v>0</v>
      </c>
      <c r="O1128" s="14">
        <v>45989</v>
      </c>
      <c r="P1128" s="14">
        <v>46034</v>
      </c>
      <c r="Q1128">
        <v>2442.81</v>
      </c>
      <c r="R1128">
        <v>0</v>
      </c>
      <c r="S1128">
        <v>0</v>
      </c>
      <c r="T1128">
        <v>0</v>
      </c>
      <c r="U1128">
        <v>0</v>
      </c>
      <c r="V1128">
        <v>2442.81</v>
      </c>
      <c r="W1128">
        <v>0</v>
      </c>
      <c r="X1128">
        <v>1</v>
      </c>
      <c r="Y1128">
        <v>0</v>
      </c>
      <c r="Z1128">
        <v>-12</v>
      </c>
      <c r="AA1128">
        <v>1</v>
      </c>
      <c r="AB1128" s="13" t="s">
        <v>581</v>
      </c>
      <c r="AC1128">
        <v>0</v>
      </c>
      <c r="AD1128">
        <v>0</v>
      </c>
      <c r="AE1128" s="13" t="s">
        <v>61</v>
      </c>
    </row>
    <row r="1129" spans="1:31" x14ac:dyDescent="0.35">
      <c r="A1129" s="13" t="s">
        <v>1817</v>
      </c>
      <c r="B1129" s="13" t="s">
        <v>1467</v>
      </c>
      <c r="C1129" s="13" t="s">
        <v>1468</v>
      </c>
      <c r="D1129" s="13" t="s">
        <v>104</v>
      </c>
      <c r="E1129" s="13" t="s">
        <v>99</v>
      </c>
      <c r="F1129" s="13" t="s">
        <v>127</v>
      </c>
      <c r="G1129" s="13" t="s">
        <v>55</v>
      </c>
      <c r="H1129">
        <v>135000</v>
      </c>
      <c r="I1129" s="13" t="s">
        <v>121</v>
      </c>
      <c r="J1129" s="13" t="s">
        <v>122</v>
      </c>
      <c r="K1129" s="13" t="s">
        <v>107</v>
      </c>
      <c r="L1129" s="13" t="s">
        <v>95</v>
      </c>
      <c r="M1129">
        <v>30</v>
      </c>
      <c r="N1129">
        <v>0</v>
      </c>
      <c r="O1129" s="14">
        <v>45989</v>
      </c>
      <c r="P1129" s="14">
        <v>46019</v>
      </c>
      <c r="Q1129">
        <v>8030.38</v>
      </c>
      <c r="R1129">
        <v>0</v>
      </c>
      <c r="S1129">
        <v>0</v>
      </c>
      <c r="T1129">
        <v>0</v>
      </c>
      <c r="U1129">
        <v>0</v>
      </c>
      <c r="V1129">
        <v>8030.38</v>
      </c>
      <c r="W1129">
        <v>0</v>
      </c>
      <c r="X1129">
        <v>1</v>
      </c>
      <c r="Y1129">
        <v>1</v>
      </c>
      <c r="Z1129">
        <v>3</v>
      </c>
      <c r="AA1129">
        <v>2</v>
      </c>
      <c r="AB1129" s="13" t="s">
        <v>405</v>
      </c>
      <c r="AC1129">
        <v>0.25</v>
      </c>
      <c r="AD1129">
        <v>0</v>
      </c>
      <c r="AE1129" s="13" t="s">
        <v>61</v>
      </c>
    </row>
    <row r="1130" spans="1:31" x14ac:dyDescent="0.35">
      <c r="A1130" s="13" t="s">
        <v>1818</v>
      </c>
      <c r="B1130" s="13" t="s">
        <v>1819</v>
      </c>
      <c r="C1130" s="13" t="s">
        <v>1820</v>
      </c>
      <c r="D1130" s="13" t="s">
        <v>126</v>
      </c>
      <c r="E1130" s="13" t="s">
        <v>71</v>
      </c>
      <c r="F1130" s="13" t="s">
        <v>72</v>
      </c>
      <c r="G1130" s="13" t="s">
        <v>67</v>
      </c>
      <c r="H1130">
        <v>90000</v>
      </c>
      <c r="I1130" s="13" t="s">
        <v>105</v>
      </c>
      <c r="J1130" s="13" t="s">
        <v>106</v>
      </c>
      <c r="K1130" s="13" t="s">
        <v>107</v>
      </c>
      <c r="L1130" s="13" t="s">
        <v>88</v>
      </c>
      <c r="M1130">
        <v>60</v>
      </c>
      <c r="N1130">
        <v>0</v>
      </c>
      <c r="O1130" s="14">
        <v>45989</v>
      </c>
      <c r="P1130" s="14">
        <v>46049</v>
      </c>
      <c r="Q1130">
        <v>8577.07</v>
      </c>
      <c r="R1130">
        <v>0</v>
      </c>
      <c r="S1130">
        <v>0</v>
      </c>
      <c r="T1130">
        <v>0</v>
      </c>
      <c r="U1130">
        <v>0</v>
      </c>
      <c r="V1130">
        <v>8577.07</v>
      </c>
      <c r="W1130">
        <v>0</v>
      </c>
      <c r="X1130">
        <v>1</v>
      </c>
      <c r="Y1130">
        <v>0</v>
      </c>
      <c r="Z1130">
        <v>-27</v>
      </c>
      <c r="AA1130">
        <v>1</v>
      </c>
      <c r="AB1130" s="13" t="s">
        <v>581</v>
      </c>
      <c r="AC1130">
        <v>0</v>
      </c>
      <c r="AD1130">
        <v>0</v>
      </c>
      <c r="AE1130" s="13" t="s">
        <v>61</v>
      </c>
    </row>
    <row r="1131" spans="1:31" x14ac:dyDescent="0.35">
      <c r="A1131" s="13" t="s">
        <v>1821</v>
      </c>
      <c r="B1131" s="13" t="s">
        <v>309</v>
      </c>
      <c r="C1131" s="13" t="s">
        <v>310</v>
      </c>
      <c r="D1131" s="13" t="s">
        <v>104</v>
      </c>
      <c r="E1131" s="13" t="s">
        <v>53</v>
      </c>
      <c r="F1131" s="13" t="s">
        <v>135</v>
      </c>
      <c r="G1131" s="13" t="s">
        <v>67</v>
      </c>
      <c r="H1131">
        <v>125000</v>
      </c>
      <c r="I1131" s="13" t="s">
        <v>121</v>
      </c>
      <c r="J1131" s="13" t="s">
        <v>122</v>
      </c>
      <c r="K1131" s="13" t="s">
        <v>107</v>
      </c>
      <c r="L1131" s="13" t="s">
        <v>88</v>
      </c>
      <c r="M1131">
        <v>60</v>
      </c>
      <c r="N1131">
        <v>0</v>
      </c>
      <c r="O1131" s="14">
        <v>45989</v>
      </c>
      <c r="P1131" s="14">
        <v>46049</v>
      </c>
      <c r="Q1131">
        <v>2478.91</v>
      </c>
      <c r="R1131">
        <v>0</v>
      </c>
      <c r="S1131">
        <v>0</v>
      </c>
      <c r="T1131">
        <v>0</v>
      </c>
      <c r="U1131">
        <v>0</v>
      </c>
      <c r="V1131">
        <v>2478.91</v>
      </c>
      <c r="W1131">
        <v>0</v>
      </c>
      <c r="X1131">
        <v>1</v>
      </c>
      <c r="Y1131">
        <v>0</v>
      </c>
      <c r="Z1131">
        <v>-27</v>
      </c>
      <c r="AA1131">
        <v>1</v>
      </c>
      <c r="AB1131" s="13" t="s">
        <v>581</v>
      </c>
      <c r="AC1131">
        <v>0</v>
      </c>
      <c r="AD1131">
        <v>0</v>
      </c>
      <c r="AE1131" s="13" t="s">
        <v>61</v>
      </c>
    </row>
    <row r="1132" spans="1:31" x14ac:dyDescent="0.35">
      <c r="A1132" s="13" t="s">
        <v>1822</v>
      </c>
      <c r="B1132" s="13" t="s">
        <v>834</v>
      </c>
      <c r="C1132" s="13" t="s">
        <v>835</v>
      </c>
      <c r="D1132" s="13" t="s">
        <v>104</v>
      </c>
      <c r="E1132" s="13" t="s">
        <v>77</v>
      </c>
      <c r="F1132" s="13" t="s">
        <v>174</v>
      </c>
      <c r="G1132" s="13" t="s">
        <v>67</v>
      </c>
      <c r="H1132">
        <v>140000</v>
      </c>
      <c r="I1132" s="13" t="s">
        <v>105</v>
      </c>
      <c r="J1132" s="13" t="s">
        <v>106</v>
      </c>
      <c r="K1132" s="13" t="s">
        <v>107</v>
      </c>
      <c r="L1132" s="13" t="s">
        <v>95</v>
      </c>
      <c r="M1132">
        <v>30</v>
      </c>
      <c r="N1132">
        <v>0</v>
      </c>
      <c r="O1132" s="14">
        <v>45989</v>
      </c>
      <c r="P1132" s="14">
        <v>46019</v>
      </c>
      <c r="Q1132">
        <v>931.61</v>
      </c>
      <c r="R1132">
        <v>0</v>
      </c>
      <c r="S1132">
        <v>0</v>
      </c>
      <c r="T1132">
        <v>0</v>
      </c>
      <c r="U1132">
        <v>0</v>
      </c>
      <c r="V1132">
        <v>931.61</v>
      </c>
      <c r="W1132">
        <v>0</v>
      </c>
      <c r="X1132">
        <v>1</v>
      </c>
      <c r="Y1132">
        <v>1</v>
      </c>
      <c r="Z1132">
        <v>3</v>
      </c>
      <c r="AA1132">
        <v>2</v>
      </c>
      <c r="AB1132" s="13" t="s">
        <v>405</v>
      </c>
      <c r="AC1132">
        <v>0.25</v>
      </c>
      <c r="AD1132">
        <v>1</v>
      </c>
      <c r="AE1132" s="13" t="s">
        <v>465</v>
      </c>
    </row>
    <row r="1133" spans="1:31" x14ac:dyDescent="0.35">
      <c r="A1133" s="13" t="s">
        <v>1823</v>
      </c>
      <c r="B1133" s="13" t="s">
        <v>455</v>
      </c>
      <c r="C1133" s="13" t="s">
        <v>456</v>
      </c>
      <c r="D1133" s="13" t="s">
        <v>126</v>
      </c>
      <c r="E1133" s="13" t="s">
        <v>71</v>
      </c>
      <c r="F1133" s="13" t="s">
        <v>214</v>
      </c>
      <c r="G1133" s="13" t="s">
        <v>67</v>
      </c>
      <c r="H1133">
        <v>120000</v>
      </c>
      <c r="I1133" s="13" t="s">
        <v>105</v>
      </c>
      <c r="J1133" s="13" t="s">
        <v>106</v>
      </c>
      <c r="K1133" s="13" t="s">
        <v>107</v>
      </c>
      <c r="L1133" s="13" t="s">
        <v>368</v>
      </c>
      <c r="M1133">
        <v>90</v>
      </c>
      <c r="N1133">
        <v>0</v>
      </c>
      <c r="O1133" s="14">
        <v>45989</v>
      </c>
      <c r="P1133" s="14">
        <v>46079</v>
      </c>
      <c r="Q1133">
        <v>1898.67</v>
      </c>
      <c r="R1133">
        <v>0</v>
      </c>
      <c r="S1133">
        <v>0</v>
      </c>
      <c r="T1133">
        <v>0</v>
      </c>
      <c r="U1133">
        <v>0</v>
      </c>
      <c r="V1133">
        <v>1898.67</v>
      </c>
      <c r="W1133">
        <v>0</v>
      </c>
      <c r="X1133">
        <v>1</v>
      </c>
      <c r="Y1133">
        <v>0</v>
      </c>
      <c r="Z1133">
        <v>-57</v>
      </c>
      <c r="AA1133">
        <v>1</v>
      </c>
      <c r="AB1133" s="13" t="s">
        <v>581</v>
      </c>
      <c r="AC1133">
        <v>0</v>
      </c>
      <c r="AD1133">
        <v>0</v>
      </c>
      <c r="AE1133" s="13" t="s">
        <v>61</v>
      </c>
    </row>
    <row r="1134" spans="1:31" x14ac:dyDescent="0.35">
      <c r="A1134" s="13" t="s">
        <v>1824</v>
      </c>
      <c r="B1134" s="13" t="s">
        <v>857</v>
      </c>
      <c r="C1134" s="13" t="s">
        <v>858</v>
      </c>
      <c r="D1134" s="13" t="s">
        <v>126</v>
      </c>
      <c r="E1134" s="13" t="s">
        <v>99</v>
      </c>
      <c r="F1134" s="13" t="s">
        <v>127</v>
      </c>
      <c r="G1134" s="13" t="s">
        <v>55</v>
      </c>
      <c r="H1134">
        <v>160000</v>
      </c>
      <c r="I1134" s="13" t="s">
        <v>56</v>
      </c>
      <c r="J1134" s="13" t="s">
        <v>57</v>
      </c>
      <c r="K1134" s="13" t="s">
        <v>58</v>
      </c>
      <c r="L1134" s="13" t="s">
        <v>88</v>
      </c>
      <c r="M1134">
        <v>60</v>
      </c>
      <c r="N1134">
        <v>0</v>
      </c>
      <c r="O1134" s="14">
        <v>45989</v>
      </c>
      <c r="P1134" s="14">
        <v>46049</v>
      </c>
      <c r="Q1134">
        <v>2708.82</v>
      </c>
      <c r="R1134">
        <v>0</v>
      </c>
      <c r="S1134">
        <v>0</v>
      </c>
      <c r="T1134">
        <v>0</v>
      </c>
      <c r="U1134">
        <v>0</v>
      </c>
      <c r="V1134">
        <v>2708.82</v>
      </c>
      <c r="W1134">
        <v>0</v>
      </c>
      <c r="X1134">
        <v>1</v>
      </c>
      <c r="Y1134">
        <v>0</v>
      </c>
      <c r="Z1134">
        <v>-27</v>
      </c>
      <c r="AA1134">
        <v>1</v>
      </c>
      <c r="AB1134" s="13" t="s">
        <v>581</v>
      </c>
      <c r="AC1134">
        <v>0</v>
      </c>
      <c r="AD1134">
        <v>0</v>
      </c>
      <c r="AE1134" s="13" t="s">
        <v>61</v>
      </c>
    </row>
    <row r="1135" spans="1:31" x14ac:dyDescent="0.35">
      <c r="A1135" s="13" t="s">
        <v>1825</v>
      </c>
      <c r="B1135" s="13" t="s">
        <v>1826</v>
      </c>
      <c r="C1135" s="13" t="s">
        <v>1827</v>
      </c>
      <c r="D1135" s="13" t="s">
        <v>104</v>
      </c>
      <c r="E1135" s="13" t="s">
        <v>65</v>
      </c>
      <c r="F1135" s="13" t="s">
        <v>111</v>
      </c>
      <c r="G1135" s="13" t="s">
        <v>67</v>
      </c>
      <c r="H1135">
        <v>120000</v>
      </c>
      <c r="I1135" s="13" t="s">
        <v>121</v>
      </c>
      <c r="J1135" s="13" t="s">
        <v>122</v>
      </c>
      <c r="K1135" s="13" t="s">
        <v>107</v>
      </c>
      <c r="L1135" s="13" t="s">
        <v>95</v>
      </c>
      <c r="M1135">
        <v>30</v>
      </c>
      <c r="N1135">
        <v>0</v>
      </c>
      <c r="O1135" s="14">
        <v>45989</v>
      </c>
      <c r="P1135" s="14">
        <v>46019</v>
      </c>
      <c r="Q1135">
        <v>836.24</v>
      </c>
      <c r="R1135">
        <v>0</v>
      </c>
      <c r="S1135">
        <v>0</v>
      </c>
      <c r="T1135">
        <v>0</v>
      </c>
      <c r="U1135">
        <v>0</v>
      </c>
      <c r="V1135">
        <v>836.24</v>
      </c>
      <c r="W1135">
        <v>0</v>
      </c>
      <c r="X1135">
        <v>1</v>
      </c>
      <c r="Y1135">
        <v>1</v>
      </c>
      <c r="Z1135">
        <v>3</v>
      </c>
      <c r="AA1135">
        <v>2</v>
      </c>
      <c r="AB1135" s="13" t="s">
        <v>405</v>
      </c>
      <c r="AC1135">
        <v>0.25</v>
      </c>
      <c r="AD1135">
        <v>0</v>
      </c>
      <c r="AE1135" s="13" t="s">
        <v>61</v>
      </c>
    </row>
    <row r="1136" spans="1:31" x14ac:dyDescent="0.35">
      <c r="A1136" s="13" t="s">
        <v>1828</v>
      </c>
      <c r="B1136" s="13" t="s">
        <v>1004</v>
      </c>
      <c r="C1136" s="13" t="s">
        <v>1005</v>
      </c>
      <c r="D1136" s="13" t="s">
        <v>104</v>
      </c>
      <c r="E1136" s="13" t="s">
        <v>53</v>
      </c>
      <c r="F1136" s="13" t="s">
        <v>135</v>
      </c>
      <c r="G1136" s="13" t="s">
        <v>55</v>
      </c>
      <c r="H1136">
        <v>55000</v>
      </c>
      <c r="I1136" s="13" t="s">
        <v>121</v>
      </c>
      <c r="J1136" s="13" t="s">
        <v>122</v>
      </c>
      <c r="K1136" s="13" t="s">
        <v>107</v>
      </c>
      <c r="L1136" s="13" t="s">
        <v>88</v>
      </c>
      <c r="M1136">
        <v>60</v>
      </c>
      <c r="N1136">
        <v>0</v>
      </c>
      <c r="O1136" s="14">
        <v>45989</v>
      </c>
      <c r="P1136" s="14">
        <v>46049</v>
      </c>
      <c r="Q1136">
        <v>2550.85</v>
      </c>
      <c r="R1136">
        <v>0</v>
      </c>
      <c r="S1136">
        <v>0</v>
      </c>
      <c r="T1136">
        <v>0</v>
      </c>
      <c r="U1136">
        <v>0</v>
      </c>
      <c r="V1136">
        <v>2550.85</v>
      </c>
      <c r="W1136">
        <v>0</v>
      </c>
      <c r="X1136">
        <v>1</v>
      </c>
      <c r="Y1136">
        <v>0</v>
      </c>
      <c r="Z1136">
        <v>-27</v>
      </c>
      <c r="AA1136">
        <v>1</v>
      </c>
      <c r="AB1136" s="13" t="s">
        <v>581</v>
      </c>
      <c r="AC1136">
        <v>0</v>
      </c>
      <c r="AD1136">
        <v>0</v>
      </c>
      <c r="AE1136" s="13" t="s">
        <v>61</v>
      </c>
    </row>
    <row r="1137" spans="1:31" x14ac:dyDescent="0.35">
      <c r="A1137" s="13" t="s">
        <v>1829</v>
      </c>
      <c r="B1137" s="13" t="s">
        <v>780</v>
      </c>
      <c r="C1137" s="13" t="s">
        <v>781</v>
      </c>
      <c r="D1137" s="13" t="s">
        <v>52</v>
      </c>
      <c r="E1137" s="13" t="s">
        <v>77</v>
      </c>
      <c r="F1137" s="13" t="s">
        <v>174</v>
      </c>
      <c r="G1137" s="13" t="s">
        <v>55</v>
      </c>
      <c r="H1137">
        <v>290000</v>
      </c>
      <c r="I1137" s="13" t="s">
        <v>86</v>
      </c>
      <c r="J1137" s="13" t="s">
        <v>87</v>
      </c>
      <c r="K1137" s="13" t="s">
        <v>58</v>
      </c>
      <c r="L1137" s="13" t="s">
        <v>88</v>
      </c>
      <c r="M1137">
        <v>60</v>
      </c>
      <c r="N1137">
        <v>0</v>
      </c>
      <c r="O1137" s="14">
        <v>45989</v>
      </c>
      <c r="P1137" s="14">
        <v>46049</v>
      </c>
      <c r="Q1137">
        <v>2175.0300000000002</v>
      </c>
      <c r="R1137">
        <v>0</v>
      </c>
      <c r="S1137">
        <v>0</v>
      </c>
      <c r="T1137">
        <v>0</v>
      </c>
      <c r="U1137">
        <v>0</v>
      </c>
      <c r="V1137">
        <v>2175.0300000000002</v>
      </c>
      <c r="W1137">
        <v>0</v>
      </c>
      <c r="X1137">
        <v>1</v>
      </c>
      <c r="Y1137">
        <v>0</v>
      </c>
      <c r="Z1137">
        <v>-27</v>
      </c>
      <c r="AA1137">
        <v>1</v>
      </c>
      <c r="AB1137" s="13" t="s">
        <v>581</v>
      </c>
      <c r="AC1137">
        <v>0</v>
      </c>
      <c r="AD1137">
        <v>0</v>
      </c>
      <c r="AE1137" s="13" t="s">
        <v>61</v>
      </c>
    </row>
    <row r="1138" spans="1:31" x14ac:dyDescent="0.35">
      <c r="A1138" s="13" t="s">
        <v>1830</v>
      </c>
      <c r="B1138" s="13" t="s">
        <v>102</v>
      </c>
      <c r="C1138" s="13" t="s">
        <v>103</v>
      </c>
      <c r="D1138" s="13" t="s">
        <v>104</v>
      </c>
      <c r="E1138" s="13" t="s">
        <v>71</v>
      </c>
      <c r="F1138" s="13" t="s">
        <v>72</v>
      </c>
      <c r="G1138" s="13" t="s">
        <v>55</v>
      </c>
      <c r="H1138">
        <v>120000</v>
      </c>
      <c r="I1138" s="13" t="s">
        <v>105</v>
      </c>
      <c r="J1138" s="13" t="s">
        <v>106</v>
      </c>
      <c r="K1138" s="13" t="s">
        <v>107</v>
      </c>
      <c r="L1138" s="13" t="s">
        <v>82</v>
      </c>
      <c r="M1138">
        <v>30</v>
      </c>
      <c r="N1138">
        <v>2</v>
      </c>
      <c r="O1138" s="14">
        <v>45989</v>
      </c>
      <c r="P1138" s="14">
        <v>46019</v>
      </c>
      <c r="Q1138">
        <v>5723.07</v>
      </c>
      <c r="R1138">
        <v>0</v>
      </c>
      <c r="S1138">
        <v>0</v>
      </c>
      <c r="T1138">
        <v>0</v>
      </c>
      <c r="U1138">
        <v>0</v>
      </c>
      <c r="V1138">
        <v>5723.07</v>
      </c>
      <c r="W1138">
        <v>0</v>
      </c>
      <c r="X1138">
        <v>1</v>
      </c>
      <c r="Y1138">
        <v>1</v>
      </c>
      <c r="Z1138">
        <v>3</v>
      </c>
      <c r="AA1138">
        <v>2</v>
      </c>
      <c r="AB1138" s="13" t="s">
        <v>405</v>
      </c>
      <c r="AC1138">
        <v>0.25</v>
      </c>
      <c r="AD1138">
        <v>0</v>
      </c>
      <c r="AE1138" s="13" t="s">
        <v>61</v>
      </c>
    </row>
    <row r="1139" spans="1:31" x14ac:dyDescent="0.35">
      <c r="A1139" s="13" t="s">
        <v>1831</v>
      </c>
      <c r="B1139" s="13" t="s">
        <v>496</v>
      </c>
      <c r="C1139" s="13" t="s">
        <v>497</v>
      </c>
      <c r="D1139" s="13" t="s">
        <v>104</v>
      </c>
      <c r="E1139" s="13" t="s">
        <v>53</v>
      </c>
      <c r="F1139" s="13" t="s">
        <v>135</v>
      </c>
      <c r="G1139" s="13" t="s">
        <v>67</v>
      </c>
      <c r="H1139">
        <v>25000</v>
      </c>
      <c r="I1139" s="13" t="s">
        <v>121</v>
      </c>
      <c r="J1139" s="13" t="s">
        <v>122</v>
      </c>
      <c r="K1139" s="13" t="s">
        <v>107</v>
      </c>
      <c r="L1139" s="13" t="s">
        <v>88</v>
      </c>
      <c r="M1139">
        <v>60</v>
      </c>
      <c r="N1139">
        <v>0</v>
      </c>
      <c r="O1139" s="14">
        <v>45989</v>
      </c>
      <c r="P1139" s="14">
        <v>46049</v>
      </c>
      <c r="Q1139">
        <v>7620.29</v>
      </c>
      <c r="R1139">
        <v>0</v>
      </c>
      <c r="S1139">
        <v>0</v>
      </c>
      <c r="T1139">
        <v>0</v>
      </c>
      <c r="U1139">
        <v>0</v>
      </c>
      <c r="V1139">
        <v>7620.29</v>
      </c>
      <c r="W1139">
        <v>0</v>
      </c>
      <c r="X1139">
        <v>1</v>
      </c>
      <c r="Y1139">
        <v>0</v>
      </c>
      <c r="Z1139">
        <v>-27</v>
      </c>
      <c r="AA1139">
        <v>1</v>
      </c>
      <c r="AB1139" s="13" t="s">
        <v>581</v>
      </c>
      <c r="AC1139">
        <v>0</v>
      </c>
      <c r="AD1139">
        <v>0</v>
      </c>
      <c r="AE1139" s="13" t="s">
        <v>61</v>
      </c>
    </row>
    <row r="1140" spans="1:31" x14ac:dyDescent="0.35">
      <c r="A1140" s="13" t="s">
        <v>1832</v>
      </c>
      <c r="B1140" s="13" t="s">
        <v>238</v>
      </c>
      <c r="C1140" s="13" t="s">
        <v>239</v>
      </c>
      <c r="D1140" s="13" t="s">
        <v>76</v>
      </c>
      <c r="E1140" s="13" t="s">
        <v>71</v>
      </c>
      <c r="F1140" s="13" t="s">
        <v>214</v>
      </c>
      <c r="G1140" s="13" t="s">
        <v>92</v>
      </c>
      <c r="H1140">
        <v>100000</v>
      </c>
      <c r="I1140" s="13" t="s">
        <v>93</v>
      </c>
      <c r="J1140" s="13" t="s">
        <v>94</v>
      </c>
      <c r="K1140" s="13" t="s">
        <v>81</v>
      </c>
      <c r="L1140" s="13" t="s">
        <v>95</v>
      </c>
      <c r="M1140">
        <v>30</v>
      </c>
      <c r="N1140">
        <v>0</v>
      </c>
      <c r="O1140" s="14">
        <v>45989</v>
      </c>
      <c r="P1140" s="14">
        <v>46019</v>
      </c>
      <c r="Q1140">
        <v>683.29</v>
      </c>
      <c r="R1140">
        <v>0</v>
      </c>
      <c r="S1140">
        <v>0</v>
      </c>
      <c r="T1140">
        <v>0</v>
      </c>
      <c r="U1140">
        <v>0</v>
      </c>
      <c r="V1140">
        <v>683.29</v>
      </c>
      <c r="W1140">
        <v>0</v>
      </c>
      <c r="X1140">
        <v>1</v>
      </c>
      <c r="Y1140">
        <v>1</v>
      </c>
      <c r="Z1140">
        <v>3</v>
      </c>
      <c r="AA1140">
        <v>2</v>
      </c>
      <c r="AB1140" s="13" t="s">
        <v>405</v>
      </c>
      <c r="AC1140">
        <v>0.25</v>
      </c>
      <c r="AD1140">
        <v>0</v>
      </c>
      <c r="AE1140" s="13" t="s">
        <v>61</v>
      </c>
    </row>
    <row r="1141" spans="1:31" x14ac:dyDescent="0.35">
      <c r="A1141" s="13" t="s">
        <v>1833</v>
      </c>
      <c r="B1141" s="13" t="s">
        <v>601</v>
      </c>
      <c r="C1141" s="13" t="s">
        <v>602</v>
      </c>
      <c r="D1141" s="13" t="s">
        <v>52</v>
      </c>
      <c r="E1141" s="13" t="s">
        <v>53</v>
      </c>
      <c r="F1141" s="13" t="s">
        <v>135</v>
      </c>
      <c r="G1141" s="13" t="s">
        <v>67</v>
      </c>
      <c r="H1141">
        <v>525000</v>
      </c>
      <c r="I1141" s="13" t="s">
        <v>86</v>
      </c>
      <c r="J1141" s="13" t="s">
        <v>87</v>
      </c>
      <c r="K1141" s="13" t="s">
        <v>58</v>
      </c>
      <c r="L1141" s="13" t="s">
        <v>59</v>
      </c>
      <c r="M1141">
        <v>45</v>
      </c>
      <c r="N1141">
        <v>0</v>
      </c>
      <c r="O1141" s="14">
        <v>45989</v>
      </c>
      <c r="P1141" s="14">
        <v>46034</v>
      </c>
      <c r="Q1141">
        <v>1626.96</v>
      </c>
      <c r="R1141">
        <v>0</v>
      </c>
      <c r="S1141">
        <v>0</v>
      </c>
      <c r="T1141">
        <v>0</v>
      </c>
      <c r="U1141">
        <v>0</v>
      </c>
      <c r="V1141">
        <v>1626.96</v>
      </c>
      <c r="W1141">
        <v>0</v>
      </c>
      <c r="X1141">
        <v>1</v>
      </c>
      <c r="Y1141">
        <v>0</v>
      </c>
      <c r="Z1141">
        <v>-12</v>
      </c>
      <c r="AA1141">
        <v>1</v>
      </c>
      <c r="AB1141" s="13" t="s">
        <v>581</v>
      </c>
      <c r="AC1141">
        <v>0</v>
      </c>
      <c r="AD1141">
        <v>0</v>
      </c>
      <c r="AE1141" s="13" t="s">
        <v>61</v>
      </c>
    </row>
    <row r="1142" spans="1:31" x14ac:dyDescent="0.35">
      <c r="A1142" s="13" t="s">
        <v>1834</v>
      </c>
      <c r="B1142" s="13" t="s">
        <v>1008</v>
      </c>
      <c r="C1142" s="13" t="s">
        <v>1009</v>
      </c>
      <c r="D1142" s="13" t="s">
        <v>104</v>
      </c>
      <c r="E1142" s="13" t="s">
        <v>77</v>
      </c>
      <c r="F1142" s="13" t="s">
        <v>174</v>
      </c>
      <c r="G1142" s="13" t="s">
        <v>67</v>
      </c>
      <c r="H1142">
        <v>95000</v>
      </c>
      <c r="I1142" s="13" t="s">
        <v>121</v>
      </c>
      <c r="J1142" s="13" t="s">
        <v>122</v>
      </c>
      <c r="K1142" s="13" t="s">
        <v>107</v>
      </c>
      <c r="L1142" s="13" t="s">
        <v>95</v>
      </c>
      <c r="M1142">
        <v>30</v>
      </c>
      <c r="N1142">
        <v>0</v>
      </c>
      <c r="O1142" s="14">
        <v>45989</v>
      </c>
      <c r="P1142" s="14">
        <v>46019</v>
      </c>
      <c r="Q1142">
        <v>1602.28</v>
      </c>
      <c r="R1142">
        <v>0</v>
      </c>
      <c r="S1142">
        <v>0</v>
      </c>
      <c r="T1142">
        <v>0</v>
      </c>
      <c r="U1142">
        <v>0</v>
      </c>
      <c r="V1142">
        <v>1602.28</v>
      </c>
      <c r="W1142">
        <v>0</v>
      </c>
      <c r="X1142">
        <v>1</v>
      </c>
      <c r="Y1142">
        <v>1</v>
      </c>
      <c r="Z1142">
        <v>3</v>
      </c>
      <c r="AA1142">
        <v>2</v>
      </c>
      <c r="AB1142" s="13" t="s">
        <v>405</v>
      </c>
      <c r="AC1142">
        <v>0.25</v>
      </c>
      <c r="AD1142">
        <v>0</v>
      </c>
      <c r="AE1142" s="13" t="s">
        <v>61</v>
      </c>
    </row>
    <row r="1143" spans="1:31" x14ac:dyDescent="0.35">
      <c r="A1143" s="13" t="s">
        <v>1835</v>
      </c>
      <c r="B1143" s="13" t="s">
        <v>784</v>
      </c>
      <c r="C1143" s="13" t="s">
        <v>785</v>
      </c>
      <c r="D1143" s="13" t="s">
        <v>104</v>
      </c>
      <c r="E1143" s="13" t="s">
        <v>65</v>
      </c>
      <c r="F1143" s="13" t="s">
        <v>66</v>
      </c>
      <c r="G1143" s="13" t="s">
        <v>55</v>
      </c>
      <c r="H1143">
        <v>110000</v>
      </c>
      <c r="I1143" s="13" t="s">
        <v>121</v>
      </c>
      <c r="J1143" s="13" t="s">
        <v>122</v>
      </c>
      <c r="K1143" s="13" t="s">
        <v>107</v>
      </c>
      <c r="L1143" s="13" t="s">
        <v>82</v>
      </c>
      <c r="M1143">
        <v>30</v>
      </c>
      <c r="N1143">
        <v>2</v>
      </c>
      <c r="O1143" s="14">
        <v>45989</v>
      </c>
      <c r="P1143" s="14">
        <v>46019</v>
      </c>
      <c r="Q1143">
        <v>3648.94</v>
      </c>
      <c r="R1143">
        <v>0</v>
      </c>
      <c r="S1143">
        <v>0</v>
      </c>
      <c r="T1143">
        <v>0</v>
      </c>
      <c r="U1143">
        <v>0</v>
      </c>
      <c r="V1143">
        <v>3648.94</v>
      </c>
      <c r="W1143">
        <v>0</v>
      </c>
      <c r="X1143">
        <v>1</v>
      </c>
      <c r="Y1143">
        <v>1</v>
      </c>
      <c r="Z1143">
        <v>3</v>
      </c>
      <c r="AA1143">
        <v>2</v>
      </c>
      <c r="AB1143" s="13" t="s">
        <v>405</v>
      </c>
      <c r="AC1143">
        <v>0.25</v>
      </c>
      <c r="AD1143">
        <v>0</v>
      </c>
      <c r="AE1143" s="13" t="s">
        <v>61</v>
      </c>
    </row>
    <row r="1144" spans="1:31" x14ac:dyDescent="0.35">
      <c r="A1144" s="13" t="s">
        <v>1836</v>
      </c>
      <c r="B1144" s="13" t="s">
        <v>866</v>
      </c>
      <c r="C1144" s="13" t="s">
        <v>867</v>
      </c>
      <c r="D1144" s="13" t="s">
        <v>104</v>
      </c>
      <c r="E1144" s="13" t="s">
        <v>71</v>
      </c>
      <c r="F1144" s="13" t="s">
        <v>214</v>
      </c>
      <c r="G1144" s="13" t="s">
        <v>55</v>
      </c>
      <c r="H1144">
        <v>50000</v>
      </c>
      <c r="I1144" s="13" t="s">
        <v>105</v>
      </c>
      <c r="J1144" s="13" t="s">
        <v>106</v>
      </c>
      <c r="K1144" s="13" t="s">
        <v>107</v>
      </c>
      <c r="L1144" s="13" t="s">
        <v>88</v>
      </c>
      <c r="M1144">
        <v>60</v>
      </c>
      <c r="N1144">
        <v>0</v>
      </c>
      <c r="O1144" s="14">
        <v>45989</v>
      </c>
      <c r="P1144" s="14">
        <v>46049</v>
      </c>
      <c r="Q1144">
        <v>4990.49</v>
      </c>
      <c r="R1144">
        <v>0</v>
      </c>
      <c r="S1144">
        <v>0</v>
      </c>
      <c r="T1144">
        <v>0</v>
      </c>
      <c r="U1144">
        <v>0</v>
      </c>
      <c r="V1144">
        <v>4990.49</v>
      </c>
      <c r="W1144">
        <v>0</v>
      </c>
      <c r="X1144">
        <v>1</v>
      </c>
      <c r="Y1144">
        <v>0</v>
      </c>
      <c r="Z1144">
        <v>-27</v>
      </c>
      <c r="AA1144">
        <v>1</v>
      </c>
      <c r="AB1144" s="13" t="s">
        <v>581</v>
      </c>
      <c r="AC1144">
        <v>0</v>
      </c>
      <c r="AD1144">
        <v>0</v>
      </c>
      <c r="AE1144" s="13" t="s">
        <v>61</v>
      </c>
    </row>
    <row r="1145" spans="1:31" x14ac:dyDescent="0.35">
      <c r="A1145" s="13" t="s">
        <v>1837</v>
      </c>
      <c r="B1145" s="13" t="s">
        <v>899</v>
      </c>
      <c r="C1145" s="13" t="s">
        <v>900</v>
      </c>
      <c r="D1145" s="13" t="s">
        <v>76</v>
      </c>
      <c r="E1145" s="13" t="s">
        <v>71</v>
      </c>
      <c r="F1145" s="13" t="s">
        <v>72</v>
      </c>
      <c r="G1145" s="13" t="s">
        <v>92</v>
      </c>
      <c r="H1145">
        <v>85000</v>
      </c>
      <c r="I1145" s="13" t="s">
        <v>93</v>
      </c>
      <c r="J1145" s="13" t="s">
        <v>94</v>
      </c>
      <c r="K1145" s="13" t="s">
        <v>81</v>
      </c>
      <c r="L1145" s="13" t="s">
        <v>82</v>
      </c>
      <c r="M1145">
        <v>30</v>
      </c>
      <c r="N1145">
        <v>2</v>
      </c>
      <c r="O1145" s="14">
        <v>45989</v>
      </c>
      <c r="P1145" s="14">
        <v>46019</v>
      </c>
      <c r="Q1145">
        <v>3538.72</v>
      </c>
      <c r="R1145">
        <v>0</v>
      </c>
      <c r="S1145">
        <v>0</v>
      </c>
      <c r="T1145">
        <v>0</v>
      </c>
      <c r="U1145">
        <v>0</v>
      </c>
      <c r="V1145">
        <v>3538.72</v>
      </c>
      <c r="W1145">
        <v>0</v>
      </c>
      <c r="X1145">
        <v>1</v>
      </c>
      <c r="Y1145">
        <v>1</v>
      </c>
      <c r="Z1145">
        <v>3</v>
      </c>
      <c r="AA1145">
        <v>2</v>
      </c>
      <c r="AB1145" s="13" t="s">
        <v>405</v>
      </c>
      <c r="AC1145">
        <v>0.25</v>
      </c>
      <c r="AD1145">
        <v>0</v>
      </c>
      <c r="AE1145" s="13" t="s">
        <v>61</v>
      </c>
    </row>
    <row r="1146" spans="1:31" x14ac:dyDescent="0.35">
      <c r="A1146" s="13" t="s">
        <v>1838</v>
      </c>
      <c r="B1146" s="13" t="s">
        <v>159</v>
      </c>
      <c r="C1146" s="13" t="s">
        <v>160</v>
      </c>
      <c r="D1146" s="13" t="s">
        <v>104</v>
      </c>
      <c r="E1146" s="13" t="s">
        <v>53</v>
      </c>
      <c r="F1146" s="13" t="s">
        <v>135</v>
      </c>
      <c r="G1146" s="13" t="s">
        <v>67</v>
      </c>
      <c r="H1146">
        <v>140000</v>
      </c>
      <c r="I1146" s="13" t="s">
        <v>105</v>
      </c>
      <c r="J1146" s="13" t="s">
        <v>106</v>
      </c>
      <c r="K1146" s="13" t="s">
        <v>107</v>
      </c>
      <c r="L1146" s="13" t="s">
        <v>88</v>
      </c>
      <c r="M1146">
        <v>60</v>
      </c>
      <c r="N1146">
        <v>0</v>
      </c>
      <c r="O1146" s="14">
        <v>45989</v>
      </c>
      <c r="P1146" s="14">
        <v>46049</v>
      </c>
      <c r="Q1146">
        <v>941.83</v>
      </c>
      <c r="R1146">
        <v>0</v>
      </c>
      <c r="S1146">
        <v>0</v>
      </c>
      <c r="T1146">
        <v>0</v>
      </c>
      <c r="U1146">
        <v>0</v>
      </c>
      <c r="V1146">
        <v>941.83</v>
      </c>
      <c r="W1146">
        <v>0</v>
      </c>
      <c r="X1146">
        <v>1</v>
      </c>
      <c r="Y1146">
        <v>0</v>
      </c>
      <c r="Z1146">
        <v>-27</v>
      </c>
      <c r="AA1146">
        <v>1</v>
      </c>
      <c r="AB1146" s="13" t="s">
        <v>581</v>
      </c>
      <c r="AC1146">
        <v>0</v>
      </c>
      <c r="AD1146">
        <v>0</v>
      </c>
      <c r="AE1146" s="13" t="s">
        <v>61</v>
      </c>
    </row>
    <row r="1147" spans="1:31" x14ac:dyDescent="0.35">
      <c r="A1147" s="13" t="s">
        <v>1839</v>
      </c>
      <c r="B1147" s="13" t="s">
        <v>446</v>
      </c>
      <c r="C1147" s="13" t="s">
        <v>447</v>
      </c>
      <c r="D1147" s="13" t="s">
        <v>52</v>
      </c>
      <c r="E1147" s="13" t="s">
        <v>53</v>
      </c>
      <c r="F1147" s="13" t="s">
        <v>54</v>
      </c>
      <c r="G1147" s="13" t="s">
        <v>67</v>
      </c>
      <c r="H1147">
        <v>245000</v>
      </c>
      <c r="I1147" s="13" t="s">
        <v>86</v>
      </c>
      <c r="J1147" s="13" t="s">
        <v>87</v>
      </c>
      <c r="K1147" s="13" t="s">
        <v>58</v>
      </c>
      <c r="L1147" s="13" t="s">
        <v>88</v>
      </c>
      <c r="M1147">
        <v>60</v>
      </c>
      <c r="N1147">
        <v>0</v>
      </c>
      <c r="O1147" s="14">
        <v>45989</v>
      </c>
      <c r="P1147" s="14">
        <v>46049</v>
      </c>
      <c r="Q1147">
        <v>3233.05</v>
      </c>
      <c r="R1147">
        <v>0</v>
      </c>
      <c r="S1147">
        <v>0</v>
      </c>
      <c r="T1147">
        <v>0</v>
      </c>
      <c r="U1147">
        <v>0</v>
      </c>
      <c r="V1147">
        <v>3233.05</v>
      </c>
      <c r="W1147">
        <v>0</v>
      </c>
      <c r="X1147">
        <v>1</v>
      </c>
      <c r="Y1147">
        <v>0</v>
      </c>
      <c r="Z1147">
        <v>-27</v>
      </c>
      <c r="AA1147">
        <v>1</v>
      </c>
      <c r="AB1147" s="13" t="s">
        <v>581</v>
      </c>
      <c r="AC1147">
        <v>0</v>
      </c>
      <c r="AD1147">
        <v>0</v>
      </c>
      <c r="AE1147" s="13" t="s">
        <v>61</v>
      </c>
    </row>
    <row r="1148" spans="1:31" x14ac:dyDescent="0.35">
      <c r="A1148" s="13" t="s">
        <v>1840</v>
      </c>
      <c r="B1148" s="13" t="s">
        <v>722</v>
      </c>
      <c r="C1148" s="13" t="s">
        <v>723</v>
      </c>
      <c r="D1148" s="13" t="s">
        <v>104</v>
      </c>
      <c r="E1148" s="13" t="s">
        <v>71</v>
      </c>
      <c r="F1148" s="13" t="s">
        <v>72</v>
      </c>
      <c r="G1148" s="13" t="s">
        <v>67</v>
      </c>
      <c r="H1148">
        <v>45000</v>
      </c>
      <c r="I1148" s="13" t="s">
        <v>105</v>
      </c>
      <c r="J1148" s="13" t="s">
        <v>106</v>
      </c>
      <c r="K1148" s="13" t="s">
        <v>107</v>
      </c>
      <c r="L1148" s="13" t="s">
        <v>88</v>
      </c>
      <c r="M1148">
        <v>60</v>
      </c>
      <c r="N1148">
        <v>0</v>
      </c>
      <c r="O1148" s="14">
        <v>45989</v>
      </c>
      <c r="P1148" s="14">
        <v>46049</v>
      </c>
      <c r="Q1148">
        <v>994.45</v>
      </c>
      <c r="R1148">
        <v>0</v>
      </c>
      <c r="S1148">
        <v>0</v>
      </c>
      <c r="T1148">
        <v>0</v>
      </c>
      <c r="U1148">
        <v>0</v>
      </c>
      <c r="V1148">
        <v>994.45</v>
      </c>
      <c r="W1148">
        <v>0</v>
      </c>
      <c r="X1148">
        <v>1</v>
      </c>
      <c r="Y1148">
        <v>0</v>
      </c>
      <c r="Z1148">
        <v>-27</v>
      </c>
      <c r="AA1148">
        <v>1</v>
      </c>
      <c r="AB1148" s="13" t="s">
        <v>581</v>
      </c>
      <c r="AC1148">
        <v>0</v>
      </c>
      <c r="AD1148">
        <v>0</v>
      </c>
      <c r="AE1148" s="13" t="s">
        <v>61</v>
      </c>
    </row>
    <row r="1149" spans="1:31" x14ac:dyDescent="0.35">
      <c r="A1149" s="13" t="s">
        <v>1841</v>
      </c>
      <c r="B1149" s="13" t="s">
        <v>1842</v>
      </c>
      <c r="C1149" s="13" t="s">
        <v>1843</v>
      </c>
      <c r="D1149" s="13" t="s">
        <v>104</v>
      </c>
      <c r="E1149" s="13" t="s">
        <v>99</v>
      </c>
      <c r="F1149" s="13" t="s">
        <v>127</v>
      </c>
      <c r="G1149" s="13" t="s">
        <v>67</v>
      </c>
      <c r="H1149">
        <v>75000</v>
      </c>
      <c r="I1149" s="13" t="s">
        <v>105</v>
      </c>
      <c r="J1149" s="13" t="s">
        <v>106</v>
      </c>
      <c r="K1149" s="13" t="s">
        <v>107</v>
      </c>
      <c r="L1149" s="13" t="s">
        <v>95</v>
      </c>
      <c r="M1149">
        <v>30</v>
      </c>
      <c r="N1149">
        <v>0</v>
      </c>
      <c r="O1149" s="14">
        <v>45989</v>
      </c>
      <c r="P1149" s="14">
        <v>46019</v>
      </c>
      <c r="Q1149">
        <v>1384.5</v>
      </c>
      <c r="R1149">
        <v>0</v>
      </c>
      <c r="S1149">
        <v>0</v>
      </c>
      <c r="T1149">
        <v>0</v>
      </c>
      <c r="U1149">
        <v>0</v>
      </c>
      <c r="V1149">
        <v>1384.5</v>
      </c>
      <c r="W1149">
        <v>0</v>
      </c>
      <c r="X1149">
        <v>1</v>
      </c>
      <c r="Y1149">
        <v>1</v>
      </c>
      <c r="Z1149">
        <v>3</v>
      </c>
      <c r="AA1149">
        <v>2</v>
      </c>
      <c r="AB1149" s="13" t="s">
        <v>405</v>
      </c>
      <c r="AC1149">
        <v>0.25</v>
      </c>
      <c r="AD1149">
        <v>0</v>
      </c>
      <c r="AE1149" s="13" t="s">
        <v>61</v>
      </c>
    </row>
    <row r="1150" spans="1:31" x14ac:dyDescent="0.35">
      <c r="A1150" s="13" t="s">
        <v>1844</v>
      </c>
      <c r="B1150" s="13" t="s">
        <v>153</v>
      </c>
      <c r="C1150" s="13" t="s">
        <v>154</v>
      </c>
      <c r="D1150" s="13" t="s">
        <v>104</v>
      </c>
      <c r="E1150" s="13" t="s">
        <v>65</v>
      </c>
      <c r="F1150" s="13" t="s">
        <v>111</v>
      </c>
      <c r="G1150" s="13" t="s">
        <v>67</v>
      </c>
      <c r="H1150">
        <v>150000</v>
      </c>
      <c r="I1150" s="13" t="s">
        <v>56</v>
      </c>
      <c r="J1150" s="13" t="s">
        <v>57</v>
      </c>
      <c r="K1150" s="13" t="s">
        <v>58</v>
      </c>
      <c r="L1150" s="13" t="s">
        <v>95</v>
      </c>
      <c r="M1150">
        <v>30</v>
      </c>
      <c r="N1150">
        <v>0</v>
      </c>
      <c r="O1150" s="14">
        <v>45989</v>
      </c>
      <c r="P1150" s="14">
        <v>46019</v>
      </c>
      <c r="Q1150">
        <v>1246.8599999999999</v>
      </c>
      <c r="R1150">
        <v>0</v>
      </c>
      <c r="S1150">
        <v>0</v>
      </c>
      <c r="T1150">
        <v>0</v>
      </c>
      <c r="U1150">
        <v>0</v>
      </c>
      <c r="V1150">
        <v>1246.8599999999999</v>
      </c>
      <c r="W1150">
        <v>0</v>
      </c>
      <c r="X1150">
        <v>1</v>
      </c>
      <c r="Y1150">
        <v>1</v>
      </c>
      <c r="Z1150">
        <v>3</v>
      </c>
      <c r="AA1150">
        <v>2</v>
      </c>
      <c r="AB1150" s="13" t="s">
        <v>405</v>
      </c>
      <c r="AC1150">
        <v>0.25</v>
      </c>
      <c r="AD1150">
        <v>0</v>
      </c>
      <c r="AE1150" s="13" t="s">
        <v>61</v>
      </c>
    </row>
    <row r="1151" spans="1:31" x14ac:dyDescent="0.35">
      <c r="A1151" s="13" t="s">
        <v>1845</v>
      </c>
      <c r="B1151" s="13" t="s">
        <v>788</v>
      </c>
      <c r="C1151" s="13" t="s">
        <v>789</v>
      </c>
      <c r="D1151" s="13" t="s">
        <v>52</v>
      </c>
      <c r="E1151" s="13" t="s">
        <v>53</v>
      </c>
      <c r="F1151" s="13" t="s">
        <v>54</v>
      </c>
      <c r="G1151" s="13" t="s">
        <v>67</v>
      </c>
      <c r="H1151">
        <v>405000</v>
      </c>
      <c r="I1151" s="13" t="s">
        <v>86</v>
      </c>
      <c r="J1151" s="13" t="s">
        <v>87</v>
      </c>
      <c r="K1151" s="13" t="s">
        <v>58</v>
      </c>
      <c r="L1151" s="13" t="s">
        <v>88</v>
      </c>
      <c r="M1151">
        <v>60</v>
      </c>
      <c r="N1151">
        <v>0</v>
      </c>
      <c r="O1151" s="14">
        <v>45989</v>
      </c>
      <c r="P1151" s="14">
        <v>46049</v>
      </c>
      <c r="Q1151">
        <v>2746.94</v>
      </c>
      <c r="R1151">
        <v>0</v>
      </c>
      <c r="S1151">
        <v>0</v>
      </c>
      <c r="T1151">
        <v>0</v>
      </c>
      <c r="U1151">
        <v>0</v>
      </c>
      <c r="V1151">
        <v>2746.94</v>
      </c>
      <c r="W1151">
        <v>0</v>
      </c>
      <c r="X1151">
        <v>1</v>
      </c>
      <c r="Y1151">
        <v>0</v>
      </c>
      <c r="Z1151">
        <v>-27</v>
      </c>
      <c r="AA1151">
        <v>1</v>
      </c>
      <c r="AB1151" s="13" t="s">
        <v>581</v>
      </c>
      <c r="AC1151">
        <v>0</v>
      </c>
      <c r="AD1151">
        <v>0</v>
      </c>
      <c r="AE1151" s="13" t="s">
        <v>61</v>
      </c>
    </row>
    <row r="1152" spans="1:31" x14ac:dyDescent="0.35">
      <c r="A1152" s="13" t="s">
        <v>1846</v>
      </c>
      <c r="B1152" s="13" t="s">
        <v>1220</v>
      </c>
      <c r="C1152" s="13" t="s">
        <v>1221</v>
      </c>
      <c r="D1152" s="13" t="s">
        <v>52</v>
      </c>
      <c r="E1152" s="13" t="s">
        <v>65</v>
      </c>
      <c r="F1152" s="13" t="s">
        <v>111</v>
      </c>
      <c r="G1152" s="13" t="s">
        <v>67</v>
      </c>
      <c r="H1152">
        <v>340000</v>
      </c>
      <c r="I1152" s="13" t="s">
        <v>86</v>
      </c>
      <c r="J1152" s="13" t="s">
        <v>87</v>
      </c>
      <c r="K1152" s="13" t="s">
        <v>58</v>
      </c>
      <c r="L1152" s="13" t="s">
        <v>59</v>
      </c>
      <c r="M1152">
        <v>45</v>
      </c>
      <c r="N1152">
        <v>0</v>
      </c>
      <c r="O1152" s="14">
        <v>45989</v>
      </c>
      <c r="P1152" s="14">
        <v>46034</v>
      </c>
      <c r="Q1152">
        <v>10566.01</v>
      </c>
      <c r="R1152">
        <v>0</v>
      </c>
      <c r="S1152">
        <v>0</v>
      </c>
      <c r="T1152">
        <v>0</v>
      </c>
      <c r="U1152">
        <v>0</v>
      </c>
      <c r="V1152">
        <v>10566.01</v>
      </c>
      <c r="W1152">
        <v>0</v>
      </c>
      <c r="X1152">
        <v>1</v>
      </c>
      <c r="Y1152">
        <v>0</v>
      </c>
      <c r="Z1152">
        <v>-12</v>
      </c>
      <c r="AA1152">
        <v>1</v>
      </c>
      <c r="AB1152" s="13" t="s">
        <v>581</v>
      </c>
      <c r="AC1152">
        <v>0</v>
      </c>
      <c r="AD1152">
        <v>0</v>
      </c>
      <c r="AE1152" s="13" t="s">
        <v>61</v>
      </c>
    </row>
    <row r="1153" spans="1:31" x14ac:dyDescent="0.35">
      <c r="A1153" s="13" t="s">
        <v>1847</v>
      </c>
      <c r="B1153" s="13" t="s">
        <v>403</v>
      </c>
      <c r="C1153" s="13" t="s">
        <v>404</v>
      </c>
      <c r="D1153" s="13" t="s">
        <v>126</v>
      </c>
      <c r="E1153" s="13" t="s">
        <v>77</v>
      </c>
      <c r="F1153" s="13" t="s">
        <v>78</v>
      </c>
      <c r="G1153" s="13" t="s">
        <v>67</v>
      </c>
      <c r="H1153">
        <v>170000</v>
      </c>
      <c r="I1153" s="13" t="s">
        <v>56</v>
      </c>
      <c r="J1153" s="13" t="s">
        <v>57</v>
      </c>
      <c r="K1153" s="13" t="s">
        <v>58</v>
      </c>
      <c r="L1153" s="13" t="s">
        <v>368</v>
      </c>
      <c r="M1153">
        <v>90</v>
      </c>
      <c r="N1153">
        <v>0</v>
      </c>
      <c r="O1153" s="14">
        <v>45989</v>
      </c>
      <c r="P1153" s="14">
        <v>46079</v>
      </c>
      <c r="Q1153">
        <v>10925.2</v>
      </c>
      <c r="R1153">
        <v>0</v>
      </c>
      <c r="S1153">
        <v>0</v>
      </c>
      <c r="T1153">
        <v>0</v>
      </c>
      <c r="U1153">
        <v>0</v>
      </c>
      <c r="V1153">
        <v>10925.2</v>
      </c>
      <c r="W1153">
        <v>0</v>
      </c>
      <c r="X1153">
        <v>1</v>
      </c>
      <c r="Y1153">
        <v>0</v>
      </c>
      <c r="Z1153">
        <v>-57</v>
      </c>
      <c r="AA1153">
        <v>1</v>
      </c>
      <c r="AB1153" s="13" t="s">
        <v>581</v>
      </c>
      <c r="AC1153">
        <v>0</v>
      </c>
      <c r="AD1153">
        <v>0</v>
      </c>
      <c r="AE1153" s="13" t="s">
        <v>61</v>
      </c>
    </row>
    <row r="1154" spans="1:31" x14ac:dyDescent="0.35">
      <c r="A1154" s="13" t="s">
        <v>1848</v>
      </c>
      <c r="B1154" s="13" t="s">
        <v>1849</v>
      </c>
      <c r="C1154" s="13" t="s">
        <v>1850</v>
      </c>
      <c r="D1154" s="13" t="s">
        <v>76</v>
      </c>
      <c r="E1154" s="13" t="s">
        <v>99</v>
      </c>
      <c r="F1154" s="13" t="s">
        <v>100</v>
      </c>
      <c r="G1154" s="13" t="s">
        <v>67</v>
      </c>
      <c r="H1154">
        <v>65000</v>
      </c>
      <c r="I1154" s="13" t="s">
        <v>93</v>
      </c>
      <c r="J1154" s="13" t="s">
        <v>94</v>
      </c>
      <c r="K1154" s="13" t="s">
        <v>81</v>
      </c>
      <c r="L1154" s="13" t="s">
        <v>95</v>
      </c>
      <c r="M1154">
        <v>30</v>
      </c>
      <c r="N1154">
        <v>0</v>
      </c>
      <c r="O1154" s="14">
        <v>45989</v>
      </c>
      <c r="P1154" s="14">
        <v>46019</v>
      </c>
      <c r="Q1154">
        <v>2212.4499999999998</v>
      </c>
      <c r="R1154">
        <v>0</v>
      </c>
      <c r="S1154">
        <v>0</v>
      </c>
      <c r="T1154">
        <v>0</v>
      </c>
      <c r="U1154">
        <v>0</v>
      </c>
      <c r="V1154">
        <v>2212.4499999999998</v>
      </c>
      <c r="W1154">
        <v>0</v>
      </c>
      <c r="X1154">
        <v>1</v>
      </c>
      <c r="Y1154">
        <v>1</v>
      </c>
      <c r="Z1154">
        <v>3</v>
      </c>
      <c r="AA1154">
        <v>2</v>
      </c>
      <c r="AB1154" s="13" t="s">
        <v>405</v>
      </c>
      <c r="AC1154">
        <v>0.25</v>
      </c>
      <c r="AD1154">
        <v>0</v>
      </c>
      <c r="AE1154" s="13" t="s">
        <v>61</v>
      </c>
    </row>
    <row r="1155" spans="1:31" x14ac:dyDescent="0.35">
      <c r="A1155" s="13" t="s">
        <v>1851</v>
      </c>
      <c r="B1155" s="13" t="s">
        <v>293</v>
      </c>
      <c r="C1155" s="13" t="s">
        <v>294</v>
      </c>
      <c r="D1155" s="13" t="s">
        <v>104</v>
      </c>
      <c r="E1155" s="13" t="s">
        <v>99</v>
      </c>
      <c r="F1155" s="13" t="s">
        <v>100</v>
      </c>
      <c r="G1155" s="13" t="s">
        <v>92</v>
      </c>
      <c r="H1155">
        <v>145000</v>
      </c>
      <c r="I1155" s="13" t="s">
        <v>121</v>
      </c>
      <c r="J1155" s="13" t="s">
        <v>122</v>
      </c>
      <c r="K1155" s="13" t="s">
        <v>107</v>
      </c>
      <c r="L1155" s="13" t="s">
        <v>82</v>
      </c>
      <c r="M1155">
        <v>30</v>
      </c>
      <c r="N1155">
        <v>2</v>
      </c>
      <c r="O1155" s="14">
        <v>45989</v>
      </c>
      <c r="P1155" s="14">
        <v>46019</v>
      </c>
      <c r="Q1155">
        <v>2246.16</v>
      </c>
      <c r="R1155">
        <v>0</v>
      </c>
      <c r="S1155">
        <v>0</v>
      </c>
      <c r="T1155">
        <v>0</v>
      </c>
      <c r="U1155">
        <v>0</v>
      </c>
      <c r="V1155">
        <v>2246.16</v>
      </c>
      <c r="W1155">
        <v>0</v>
      </c>
      <c r="X1155">
        <v>1</v>
      </c>
      <c r="Y1155">
        <v>1</v>
      </c>
      <c r="Z1155">
        <v>3</v>
      </c>
      <c r="AA1155">
        <v>2</v>
      </c>
      <c r="AB1155" s="13" t="s">
        <v>405</v>
      </c>
      <c r="AC1155">
        <v>0.25</v>
      </c>
      <c r="AD1155">
        <v>0</v>
      </c>
      <c r="AE1155" s="13" t="s">
        <v>61</v>
      </c>
    </row>
    <row r="1156" spans="1:31" x14ac:dyDescent="0.35">
      <c r="A1156" s="13" t="s">
        <v>1852</v>
      </c>
      <c r="B1156" s="13" t="s">
        <v>172</v>
      </c>
      <c r="C1156" s="13" t="s">
        <v>173</v>
      </c>
      <c r="D1156" s="13" t="s">
        <v>52</v>
      </c>
      <c r="E1156" s="13" t="s">
        <v>77</v>
      </c>
      <c r="F1156" s="13" t="s">
        <v>174</v>
      </c>
      <c r="G1156" s="13" t="s">
        <v>67</v>
      </c>
      <c r="H1156">
        <v>590000</v>
      </c>
      <c r="I1156" s="13" t="s">
        <v>56</v>
      </c>
      <c r="J1156" s="13" t="s">
        <v>57</v>
      </c>
      <c r="K1156" s="13" t="s">
        <v>58</v>
      </c>
      <c r="L1156" s="13" t="s">
        <v>59</v>
      </c>
      <c r="M1156">
        <v>45</v>
      </c>
      <c r="N1156">
        <v>0</v>
      </c>
      <c r="O1156" s="14">
        <v>45989</v>
      </c>
      <c r="P1156" s="14">
        <v>46034</v>
      </c>
      <c r="Q1156">
        <v>12655.27</v>
      </c>
      <c r="R1156">
        <v>0</v>
      </c>
      <c r="S1156">
        <v>0</v>
      </c>
      <c r="T1156">
        <v>0</v>
      </c>
      <c r="U1156">
        <v>0</v>
      </c>
      <c r="V1156">
        <v>12655.27</v>
      </c>
      <c r="W1156">
        <v>0</v>
      </c>
      <c r="X1156">
        <v>1</v>
      </c>
      <c r="Y1156">
        <v>0</v>
      </c>
      <c r="Z1156">
        <v>-12</v>
      </c>
      <c r="AA1156">
        <v>1</v>
      </c>
      <c r="AB1156" s="13" t="s">
        <v>581</v>
      </c>
      <c r="AC1156">
        <v>0</v>
      </c>
      <c r="AD1156">
        <v>1</v>
      </c>
      <c r="AE1156" s="13" t="s">
        <v>377</v>
      </c>
    </row>
    <row r="1157" spans="1:31" x14ac:dyDescent="0.35">
      <c r="A1157" s="13" t="s">
        <v>1853</v>
      </c>
      <c r="B1157" s="13" t="s">
        <v>212</v>
      </c>
      <c r="C1157" s="13" t="s">
        <v>213</v>
      </c>
      <c r="D1157" s="13" t="s">
        <v>52</v>
      </c>
      <c r="E1157" s="13" t="s">
        <v>71</v>
      </c>
      <c r="F1157" s="13" t="s">
        <v>214</v>
      </c>
      <c r="G1157" s="13" t="s">
        <v>92</v>
      </c>
      <c r="H1157">
        <v>380000</v>
      </c>
      <c r="I1157" s="13" t="s">
        <v>86</v>
      </c>
      <c r="J1157" s="13" t="s">
        <v>87</v>
      </c>
      <c r="K1157" s="13" t="s">
        <v>58</v>
      </c>
      <c r="L1157" s="13" t="s">
        <v>88</v>
      </c>
      <c r="M1157">
        <v>60</v>
      </c>
      <c r="N1157">
        <v>0</v>
      </c>
      <c r="O1157" s="14">
        <v>45989</v>
      </c>
      <c r="P1157" s="14">
        <v>46049</v>
      </c>
      <c r="Q1157">
        <v>1639.65</v>
      </c>
      <c r="R1157">
        <v>0</v>
      </c>
      <c r="S1157">
        <v>0</v>
      </c>
      <c r="T1157">
        <v>0</v>
      </c>
      <c r="U1157">
        <v>0</v>
      </c>
      <c r="V1157">
        <v>1639.65</v>
      </c>
      <c r="W1157">
        <v>0</v>
      </c>
      <c r="X1157">
        <v>1</v>
      </c>
      <c r="Y1157">
        <v>0</v>
      </c>
      <c r="Z1157">
        <v>-27</v>
      </c>
      <c r="AA1157">
        <v>1</v>
      </c>
      <c r="AB1157" s="13" t="s">
        <v>581</v>
      </c>
      <c r="AC1157">
        <v>0</v>
      </c>
      <c r="AD1157">
        <v>0</v>
      </c>
      <c r="AE1157" s="13" t="s">
        <v>61</v>
      </c>
    </row>
    <row r="1158" spans="1:31" x14ac:dyDescent="0.35">
      <c r="A1158" s="13" t="s">
        <v>1854</v>
      </c>
      <c r="B1158" s="13" t="s">
        <v>1546</v>
      </c>
      <c r="C1158" s="13" t="s">
        <v>1547</v>
      </c>
      <c r="D1158" s="13" t="s">
        <v>76</v>
      </c>
      <c r="E1158" s="13" t="s">
        <v>77</v>
      </c>
      <c r="F1158" s="13" t="s">
        <v>174</v>
      </c>
      <c r="G1158" s="13" t="s">
        <v>92</v>
      </c>
      <c r="H1158">
        <v>70000</v>
      </c>
      <c r="I1158" s="13" t="s">
        <v>93</v>
      </c>
      <c r="J1158" s="13" t="s">
        <v>94</v>
      </c>
      <c r="K1158" s="13" t="s">
        <v>81</v>
      </c>
      <c r="L1158" s="13" t="s">
        <v>95</v>
      </c>
      <c r="M1158">
        <v>30</v>
      </c>
      <c r="N1158">
        <v>0</v>
      </c>
      <c r="O1158" s="14">
        <v>45989</v>
      </c>
      <c r="P1158" s="14">
        <v>46019</v>
      </c>
      <c r="Q1158">
        <v>2399.96</v>
      </c>
      <c r="R1158">
        <v>0</v>
      </c>
      <c r="S1158">
        <v>0</v>
      </c>
      <c r="T1158">
        <v>0</v>
      </c>
      <c r="U1158">
        <v>0</v>
      </c>
      <c r="V1158">
        <v>2399.96</v>
      </c>
      <c r="W1158">
        <v>0</v>
      </c>
      <c r="X1158">
        <v>1</v>
      </c>
      <c r="Y1158">
        <v>1</v>
      </c>
      <c r="Z1158">
        <v>3</v>
      </c>
      <c r="AA1158">
        <v>2</v>
      </c>
      <c r="AB1158" s="13" t="s">
        <v>405</v>
      </c>
      <c r="AC1158">
        <v>0.25</v>
      </c>
      <c r="AD1158">
        <v>0</v>
      </c>
      <c r="AE1158" s="13" t="s">
        <v>61</v>
      </c>
    </row>
    <row r="1159" spans="1:31" x14ac:dyDescent="0.35">
      <c r="A1159" s="13" t="s">
        <v>1855</v>
      </c>
      <c r="B1159" s="13" t="s">
        <v>772</v>
      </c>
      <c r="C1159" s="13" t="s">
        <v>773</v>
      </c>
      <c r="D1159" s="13" t="s">
        <v>76</v>
      </c>
      <c r="E1159" s="13" t="s">
        <v>99</v>
      </c>
      <c r="F1159" s="13" t="s">
        <v>100</v>
      </c>
      <c r="G1159" s="13" t="s">
        <v>55</v>
      </c>
      <c r="H1159">
        <v>105000</v>
      </c>
      <c r="I1159" s="13" t="s">
        <v>79</v>
      </c>
      <c r="J1159" s="13" t="s">
        <v>80</v>
      </c>
      <c r="K1159" s="13" t="s">
        <v>81</v>
      </c>
      <c r="L1159" s="13" t="s">
        <v>82</v>
      </c>
      <c r="M1159">
        <v>30</v>
      </c>
      <c r="N1159">
        <v>2</v>
      </c>
      <c r="O1159" s="14">
        <v>45989</v>
      </c>
      <c r="P1159" s="14">
        <v>46019</v>
      </c>
      <c r="Q1159">
        <v>3421.54</v>
      </c>
      <c r="R1159">
        <v>0</v>
      </c>
      <c r="S1159">
        <v>0</v>
      </c>
      <c r="T1159">
        <v>0</v>
      </c>
      <c r="U1159">
        <v>0</v>
      </c>
      <c r="V1159">
        <v>3421.54</v>
      </c>
      <c r="W1159">
        <v>0</v>
      </c>
      <c r="X1159">
        <v>1</v>
      </c>
      <c r="Y1159">
        <v>1</v>
      </c>
      <c r="Z1159">
        <v>3</v>
      </c>
      <c r="AA1159">
        <v>2</v>
      </c>
      <c r="AB1159" s="13" t="s">
        <v>405</v>
      </c>
      <c r="AC1159">
        <v>0.25</v>
      </c>
      <c r="AD1159">
        <v>0</v>
      </c>
      <c r="AE1159" s="13" t="s">
        <v>61</v>
      </c>
    </row>
    <row r="1160" spans="1:31" x14ac:dyDescent="0.35">
      <c r="A1160" s="13" t="s">
        <v>1856</v>
      </c>
      <c r="B1160" s="13" t="s">
        <v>1105</v>
      </c>
      <c r="C1160" s="13" t="s">
        <v>1106</v>
      </c>
      <c r="D1160" s="13" t="s">
        <v>52</v>
      </c>
      <c r="E1160" s="13" t="s">
        <v>71</v>
      </c>
      <c r="F1160" s="13" t="s">
        <v>72</v>
      </c>
      <c r="G1160" s="13" t="s">
        <v>67</v>
      </c>
      <c r="H1160">
        <v>205000</v>
      </c>
      <c r="I1160" s="13" t="s">
        <v>56</v>
      </c>
      <c r="J1160" s="13" t="s">
        <v>57</v>
      </c>
      <c r="K1160" s="13" t="s">
        <v>58</v>
      </c>
      <c r="L1160" s="13" t="s">
        <v>88</v>
      </c>
      <c r="M1160">
        <v>60</v>
      </c>
      <c r="N1160">
        <v>0</v>
      </c>
      <c r="O1160" s="14">
        <v>45989</v>
      </c>
      <c r="P1160" s="14">
        <v>46049</v>
      </c>
      <c r="Q1160">
        <v>2266.21</v>
      </c>
      <c r="R1160">
        <v>0</v>
      </c>
      <c r="S1160">
        <v>0</v>
      </c>
      <c r="T1160">
        <v>0</v>
      </c>
      <c r="U1160">
        <v>0</v>
      </c>
      <c r="V1160">
        <v>2266.21</v>
      </c>
      <c r="W1160">
        <v>0</v>
      </c>
      <c r="X1160">
        <v>1</v>
      </c>
      <c r="Y1160">
        <v>0</v>
      </c>
      <c r="Z1160">
        <v>-27</v>
      </c>
      <c r="AA1160">
        <v>1</v>
      </c>
      <c r="AB1160" s="13" t="s">
        <v>581</v>
      </c>
      <c r="AC1160">
        <v>0</v>
      </c>
      <c r="AD1160">
        <v>0</v>
      </c>
      <c r="AE1160" s="13" t="s">
        <v>61</v>
      </c>
    </row>
    <row r="1161" spans="1:31" x14ac:dyDescent="0.35">
      <c r="A1161" s="13" t="s">
        <v>1857</v>
      </c>
      <c r="B1161" s="13" t="s">
        <v>189</v>
      </c>
      <c r="C1161" s="13" t="s">
        <v>190</v>
      </c>
      <c r="D1161" s="13" t="s">
        <v>104</v>
      </c>
      <c r="E1161" s="13" t="s">
        <v>53</v>
      </c>
      <c r="F1161" s="13" t="s">
        <v>135</v>
      </c>
      <c r="G1161" s="13" t="s">
        <v>67</v>
      </c>
      <c r="H1161">
        <v>30000</v>
      </c>
      <c r="I1161" s="13" t="s">
        <v>105</v>
      </c>
      <c r="J1161" s="13" t="s">
        <v>106</v>
      </c>
      <c r="K1161" s="13" t="s">
        <v>107</v>
      </c>
      <c r="L1161" s="13" t="s">
        <v>88</v>
      </c>
      <c r="M1161">
        <v>60</v>
      </c>
      <c r="N1161">
        <v>0</v>
      </c>
      <c r="O1161" s="14">
        <v>45989</v>
      </c>
      <c r="P1161" s="14">
        <v>46049</v>
      </c>
      <c r="Q1161">
        <v>4428.1400000000003</v>
      </c>
      <c r="R1161">
        <v>0</v>
      </c>
      <c r="S1161">
        <v>0</v>
      </c>
      <c r="T1161">
        <v>664.22</v>
      </c>
      <c r="U1161">
        <v>0</v>
      </c>
      <c r="V1161">
        <v>3763.92</v>
      </c>
      <c r="W1161">
        <v>0</v>
      </c>
      <c r="X1161">
        <v>1</v>
      </c>
      <c r="Y1161">
        <v>0</v>
      </c>
      <c r="Z1161">
        <v>-27</v>
      </c>
      <c r="AA1161">
        <v>1</v>
      </c>
      <c r="AB1161" s="13" t="s">
        <v>581</v>
      </c>
      <c r="AC1161">
        <v>0</v>
      </c>
      <c r="AD1161">
        <v>0</v>
      </c>
      <c r="AE1161" s="13" t="s">
        <v>665</v>
      </c>
    </row>
    <row r="1162" spans="1:31" x14ac:dyDescent="0.35">
      <c r="A1162" s="13" t="s">
        <v>1858</v>
      </c>
      <c r="B1162" s="13" t="s">
        <v>1165</v>
      </c>
      <c r="C1162" s="13" t="s">
        <v>1166</v>
      </c>
      <c r="D1162" s="13" t="s">
        <v>52</v>
      </c>
      <c r="E1162" s="13" t="s">
        <v>99</v>
      </c>
      <c r="F1162" s="13" t="s">
        <v>127</v>
      </c>
      <c r="G1162" s="13" t="s">
        <v>67</v>
      </c>
      <c r="H1162">
        <v>370000</v>
      </c>
      <c r="I1162" s="13" t="s">
        <v>56</v>
      </c>
      <c r="J1162" s="13" t="s">
        <v>57</v>
      </c>
      <c r="K1162" s="13" t="s">
        <v>58</v>
      </c>
      <c r="L1162" s="13" t="s">
        <v>88</v>
      </c>
      <c r="M1162">
        <v>60</v>
      </c>
      <c r="N1162">
        <v>0</v>
      </c>
      <c r="O1162" s="14">
        <v>45989</v>
      </c>
      <c r="P1162" s="14">
        <v>46049</v>
      </c>
      <c r="Q1162">
        <v>3023.31</v>
      </c>
      <c r="R1162">
        <v>0</v>
      </c>
      <c r="S1162">
        <v>0</v>
      </c>
      <c r="T1162">
        <v>0</v>
      </c>
      <c r="U1162">
        <v>0</v>
      </c>
      <c r="V1162">
        <v>3023.31</v>
      </c>
      <c r="W1162">
        <v>0</v>
      </c>
      <c r="X1162">
        <v>1</v>
      </c>
      <c r="Y1162">
        <v>0</v>
      </c>
      <c r="Z1162">
        <v>-27</v>
      </c>
      <c r="AA1162">
        <v>1</v>
      </c>
      <c r="AB1162" s="13" t="s">
        <v>581</v>
      </c>
      <c r="AC1162">
        <v>0</v>
      </c>
      <c r="AD1162">
        <v>0</v>
      </c>
      <c r="AE1162" s="13" t="s">
        <v>61</v>
      </c>
    </row>
    <row r="1163" spans="1:31" x14ac:dyDescent="0.35">
      <c r="A1163" s="13" t="s">
        <v>1859</v>
      </c>
      <c r="B1163" s="13" t="s">
        <v>280</v>
      </c>
      <c r="C1163" s="13" t="s">
        <v>281</v>
      </c>
      <c r="D1163" s="13" t="s">
        <v>104</v>
      </c>
      <c r="E1163" s="13" t="s">
        <v>71</v>
      </c>
      <c r="F1163" s="13" t="s">
        <v>214</v>
      </c>
      <c r="G1163" s="13" t="s">
        <v>92</v>
      </c>
      <c r="H1163">
        <v>100000</v>
      </c>
      <c r="I1163" s="13" t="s">
        <v>121</v>
      </c>
      <c r="J1163" s="13" t="s">
        <v>122</v>
      </c>
      <c r="K1163" s="13" t="s">
        <v>107</v>
      </c>
      <c r="L1163" s="13" t="s">
        <v>88</v>
      </c>
      <c r="M1163">
        <v>60</v>
      </c>
      <c r="N1163">
        <v>0</v>
      </c>
      <c r="O1163" s="14">
        <v>45989</v>
      </c>
      <c r="P1163" s="14">
        <v>46049</v>
      </c>
      <c r="Q1163">
        <v>8153.01</v>
      </c>
      <c r="R1163">
        <v>0</v>
      </c>
      <c r="S1163">
        <v>0</v>
      </c>
      <c r="T1163">
        <v>0</v>
      </c>
      <c r="U1163">
        <v>0</v>
      </c>
      <c r="V1163">
        <v>8153.01</v>
      </c>
      <c r="W1163">
        <v>0</v>
      </c>
      <c r="X1163">
        <v>1</v>
      </c>
      <c r="Y1163">
        <v>0</v>
      </c>
      <c r="Z1163">
        <v>-27</v>
      </c>
      <c r="AA1163">
        <v>1</v>
      </c>
      <c r="AB1163" s="13" t="s">
        <v>581</v>
      </c>
      <c r="AC1163">
        <v>0</v>
      </c>
      <c r="AD1163">
        <v>0</v>
      </c>
      <c r="AE1163" s="13" t="s">
        <v>61</v>
      </c>
    </row>
    <row r="1164" spans="1:31" x14ac:dyDescent="0.35">
      <c r="A1164" s="13" t="s">
        <v>1860</v>
      </c>
      <c r="B1164" s="13" t="s">
        <v>263</v>
      </c>
      <c r="C1164" s="13" t="s">
        <v>264</v>
      </c>
      <c r="D1164" s="13" t="s">
        <v>52</v>
      </c>
      <c r="E1164" s="13" t="s">
        <v>99</v>
      </c>
      <c r="F1164" s="13" t="s">
        <v>100</v>
      </c>
      <c r="G1164" s="13" t="s">
        <v>55</v>
      </c>
      <c r="H1164">
        <v>590000</v>
      </c>
      <c r="I1164" s="13" t="s">
        <v>86</v>
      </c>
      <c r="J1164" s="13" t="s">
        <v>87</v>
      </c>
      <c r="K1164" s="13" t="s">
        <v>58</v>
      </c>
      <c r="L1164" s="13" t="s">
        <v>88</v>
      </c>
      <c r="M1164">
        <v>60</v>
      </c>
      <c r="N1164">
        <v>0</v>
      </c>
      <c r="O1164" s="14">
        <v>45989</v>
      </c>
      <c r="P1164" s="14">
        <v>46049</v>
      </c>
      <c r="Q1164">
        <v>13442.83</v>
      </c>
      <c r="R1164">
        <v>0</v>
      </c>
      <c r="S1164">
        <v>0</v>
      </c>
      <c r="T1164">
        <v>0</v>
      </c>
      <c r="U1164">
        <v>0</v>
      </c>
      <c r="V1164">
        <v>13442.83</v>
      </c>
      <c r="W1164">
        <v>0</v>
      </c>
      <c r="X1164">
        <v>1</v>
      </c>
      <c r="Y1164">
        <v>0</v>
      </c>
      <c r="Z1164">
        <v>-27</v>
      </c>
      <c r="AA1164">
        <v>1</v>
      </c>
      <c r="AB1164" s="13" t="s">
        <v>581</v>
      </c>
      <c r="AC1164">
        <v>0</v>
      </c>
      <c r="AD1164">
        <v>0</v>
      </c>
      <c r="AE1164" s="13" t="s">
        <v>61</v>
      </c>
    </row>
    <row r="1165" spans="1:31" x14ac:dyDescent="0.35">
      <c r="A1165" s="13" t="s">
        <v>1861</v>
      </c>
      <c r="B1165" s="13" t="s">
        <v>361</v>
      </c>
      <c r="C1165" s="13" t="s">
        <v>362</v>
      </c>
      <c r="D1165" s="13" t="s">
        <v>76</v>
      </c>
      <c r="E1165" s="13" t="s">
        <v>65</v>
      </c>
      <c r="F1165" s="13" t="s">
        <v>66</v>
      </c>
      <c r="G1165" s="13" t="s">
        <v>67</v>
      </c>
      <c r="H1165">
        <v>30000</v>
      </c>
      <c r="I1165" s="13" t="s">
        <v>93</v>
      </c>
      <c r="J1165" s="13" t="s">
        <v>94</v>
      </c>
      <c r="K1165" s="13" t="s">
        <v>81</v>
      </c>
      <c r="L1165" s="13" t="s">
        <v>95</v>
      </c>
      <c r="M1165">
        <v>30</v>
      </c>
      <c r="N1165">
        <v>0</v>
      </c>
      <c r="O1165" s="14">
        <v>45989</v>
      </c>
      <c r="P1165" s="14">
        <v>46019</v>
      </c>
      <c r="Q1165">
        <v>2478.37</v>
      </c>
      <c r="R1165">
        <v>0</v>
      </c>
      <c r="S1165">
        <v>0</v>
      </c>
      <c r="T1165">
        <v>0</v>
      </c>
      <c r="U1165">
        <v>0</v>
      </c>
      <c r="V1165">
        <v>2478.37</v>
      </c>
      <c r="W1165">
        <v>0</v>
      </c>
      <c r="X1165">
        <v>1</v>
      </c>
      <c r="Y1165">
        <v>1</v>
      </c>
      <c r="Z1165">
        <v>3</v>
      </c>
      <c r="AA1165">
        <v>2</v>
      </c>
      <c r="AB1165" s="13" t="s">
        <v>405</v>
      </c>
      <c r="AC1165">
        <v>0.25</v>
      </c>
      <c r="AD1165">
        <v>0</v>
      </c>
      <c r="AE1165" s="13" t="s">
        <v>61</v>
      </c>
    </row>
    <row r="1166" spans="1:31" x14ac:dyDescent="0.35">
      <c r="A1166" s="13" t="s">
        <v>1862</v>
      </c>
      <c r="B1166" s="13" t="s">
        <v>1358</v>
      </c>
      <c r="C1166" s="13" t="s">
        <v>1359</v>
      </c>
      <c r="D1166" s="13" t="s">
        <v>76</v>
      </c>
      <c r="E1166" s="13" t="s">
        <v>71</v>
      </c>
      <c r="F1166" s="13" t="s">
        <v>72</v>
      </c>
      <c r="G1166" s="13" t="s">
        <v>92</v>
      </c>
      <c r="H1166">
        <v>105000</v>
      </c>
      <c r="I1166" s="13" t="s">
        <v>79</v>
      </c>
      <c r="J1166" s="13" t="s">
        <v>80</v>
      </c>
      <c r="K1166" s="13" t="s">
        <v>81</v>
      </c>
      <c r="L1166" s="13" t="s">
        <v>95</v>
      </c>
      <c r="M1166">
        <v>30</v>
      </c>
      <c r="N1166">
        <v>0</v>
      </c>
      <c r="O1166" s="14">
        <v>45992</v>
      </c>
      <c r="P1166" s="14">
        <v>46022</v>
      </c>
      <c r="Q1166">
        <v>1013.97</v>
      </c>
      <c r="R1166">
        <v>0</v>
      </c>
      <c r="S1166">
        <v>0</v>
      </c>
      <c r="T1166">
        <v>0</v>
      </c>
      <c r="U1166">
        <v>0</v>
      </c>
      <c r="V1166">
        <v>1013.97</v>
      </c>
      <c r="W1166">
        <v>0</v>
      </c>
      <c r="X1166">
        <v>1</v>
      </c>
      <c r="Y1166">
        <v>0</v>
      </c>
      <c r="Z1166">
        <v>0</v>
      </c>
      <c r="AA1166">
        <v>1</v>
      </c>
      <c r="AB1166" s="13" t="s">
        <v>581</v>
      </c>
      <c r="AC1166">
        <v>0</v>
      </c>
      <c r="AD1166">
        <v>0</v>
      </c>
      <c r="AE1166" s="13" t="s">
        <v>61</v>
      </c>
    </row>
    <row r="1167" spans="1:31" x14ac:dyDescent="0.35">
      <c r="A1167" s="13" t="s">
        <v>1863</v>
      </c>
      <c r="B1167" s="13" t="s">
        <v>203</v>
      </c>
      <c r="C1167" s="13" t="s">
        <v>204</v>
      </c>
      <c r="D1167" s="13" t="s">
        <v>52</v>
      </c>
      <c r="E1167" s="13" t="s">
        <v>53</v>
      </c>
      <c r="F1167" s="13" t="s">
        <v>135</v>
      </c>
      <c r="G1167" s="13" t="s">
        <v>67</v>
      </c>
      <c r="H1167">
        <v>500000</v>
      </c>
      <c r="I1167" s="13" t="s">
        <v>56</v>
      </c>
      <c r="J1167" s="13" t="s">
        <v>57</v>
      </c>
      <c r="K1167" s="13" t="s">
        <v>58</v>
      </c>
      <c r="L1167" s="13" t="s">
        <v>59</v>
      </c>
      <c r="M1167">
        <v>45</v>
      </c>
      <c r="N1167">
        <v>0</v>
      </c>
      <c r="O1167" s="14">
        <v>45992</v>
      </c>
      <c r="P1167" s="14">
        <v>46037</v>
      </c>
      <c r="Q1167">
        <v>6245.08</v>
      </c>
      <c r="R1167">
        <v>0</v>
      </c>
      <c r="S1167">
        <v>0</v>
      </c>
      <c r="T1167">
        <v>0</v>
      </c>
      <c r="U1167">
        <v>0</v>
      </c>
      <c r="V1167">
        <v>6245.08</v>
      </c>
      <c r="W1167">
        <v>0</v>
      </c>
      <c r="X1167">
        <v>1</v>
      </c>
      <c r="Y1167">
        <v>0</v>
      </c>
      <c r="Z1167">
        <v>-15</v>
      </c>
      <c r="AA1167">
        <v>1</v>
      </c>
      <c r="AB1167" s="13" t="s">
        <v>581</v>
      </c>
      <c r="AC1167">
        <v>0</v>
      </c>
      <c r="AD1167">
        <v>0</v>
      </c>
      <c r="AE1167" s="13" t="s">
        <v>61</v>
      </c>
    </row>
    <row r="1168" spans="1:31" x14ac:dyDescent="0.35">
      <c r="A1168" s="13" t="s">
        <v>1864</v>
      </c>
      <c r="B1168" s="13" t="s">
        <v>1865</v>
      </c>
      <c r="C1168" s="13" t="s">
        <v>1866</v>
      </c>
      <c r="D1168" s="13" t="s">
        <v>104</v>
      </c>
      <c r="E1168" s="13" t="s">
        <v>65</v>
      </c>
      <c r="F1168" s="13" t="s">
        <v>111</v>
      </c>
      <c r="G1168" s="13" t="s">
        <v>67</v>
      </c>
      <c r="H1168">
        <v>75000</v>
      </c>
      <c r="I1168" s="13" t="s">
        <v>105</v>
      </c>
      <c r="J1168" s="13" t="s">
        <v>106</v>
      </c>
      <c r="K1168" s="13" t="s">
        <v>107</v>
      </c>
      <c r="L1168" s="13" t="s">
        <v>82</v>
      </c>
      <c r="M1168">
        <v>30</v>
      </c>
      <c r="N1168">
        <v>2</v>
      </c>
      <c r="O1168" s="14">
        <v>45992</v>
      </c>
      <c r="P1168" s="14">
        <v>46022</v>
      </c>
      <c r="Q1168">
        <v>923.64</v>
      </c>
      <c r="R1168">
        <v>0</v>
      </c>
      <c r="S1168">
        <v>0</v>
      </c>
      <c r="T1168">
        <v>0</v>
      </c>
      <c r="U1168">
        <v>0</v>
      </c>
      <c r="V1168">
        <v>923.64</v>
      </c>
      <c r="W1168">
        <v>0</v>
      </c>
      <c r="X1168">
        <v>1</v>
      </c>
      <c r="Y1168">
        <v>0</v>
      </c>
      <c r="Z1168">
        <v>0</v>
      </c>
      <c r="AA1168">
        <v>1</v>
      </c>
      <c r="AB1168" s="13" t="s">
        <v>581</v>
      </c>
      <c r="AC1168">
        <v>0</v>
      </c>
      <c r="AD1168">
        <v>1</v>
      </c>
      <c r="AE1168" s="13" t="s">
        <v>665</v>
      </c>
    </row>
    <row r="1169" spans="1:31" x14ac:dyDescent="0.35">
      <c r="A1169" s="13" t="s">
        <v>1867</v>
      </c>
      <c r="B1169" s="13" t="s">
        <v>449</v>
      </c>
      <c r="C1169" s="13" t="s">
        <v>450</v>
      </c>
      <c r="D1169" s="13" t="s">
        <v>126</v>
      </c>
      <c r="E1169" s="13" t="s">
        <v>71</v>
      </c>
      <c r="F1169" s="13" t="s">
        <v>72</v>
      </c>
      <c r="G1169" s="13" t="s">
        <v>67</v>
      </c>
      <c r="H1169">
        <v>65000</v>
      </c>
      <c r="I1169" s="13" t="s">
        <v>121</v>
      </c>
      <c r="J1169" s="13" t="s">
        <v>122</v>
      </c>
      <c r="K1169" s="13" t="s">
        <v>107</v>
      </c>
      <c r="L1169" s="13" t="s">
        <v>368</v>
      </c>
      <c r="M1169">
        <v>90</v>
      </c>
      <c r="N1169">
        <v>0</v>
      </c>
      <c r="O1169" s="14">
        <v>45992</v>
      </c>
      <c r="P1169" s="14">
        <v>46082</v>
      </c>
      <c r="Q1169">
        <v>1591.18</v>
      </c>
      <c r="R1169">
        <v>0</v>
      </c>
      <c r="S1169">
        <v>0</v>
      </c>
      <c r="T1169">
        <v>0</v>
      </c>
      <c r="U1169">
        <v>0</v>
      </c>
      <c r="V1169">
        <v>1591.18</v>
      </c>
      <c r="W1169">
        <v>0</v>
      </c>
      <c r="X1169">
        <v>1</v>
      </c>
      <c r="Y1169">
        <v>0</v>
      </c>
      <c r="Z1169">
        <v>-60</v>
      </c>
      <c r="AA1169">
        <v>1</v>
      </c>
      <c r="AB1169" s="13" t="s">
        <v>581</v>
      </c>
      <c r="AC1169">
        <v>0</v>
      </c>
      <c r="AD1169">
        <v>0</v>
      </c>
      <c r="AE1169" s="13" t="s">
        <v>61</v>
      </c>
    </row>
    <row r="1170" spans="1:31" x14ac:dyDescent="0.35">
      <c r="A1170" s="13" t="s">
        <v>1868</v>
      </c>
      <c r="B1170" s="13" t="s">
        <v>1288</v>
      </c>
      <c r="C1170" s="13" t="s">
        <v>1289</v>
      </c>
      <c r="D1170" s="13" t="s">
        <v>52</v>
      </c>
      <c r="E1170" s="13" t="s">
        <v>65</v>
      </c>
      <c r="F1170" s="13" t="s">
        <v>111</v>
      </c>
      <c r="G1170" s="13" t="s">
        <v>67</v>
      </c>
      <c r="H1170">
        <v>550000</v>
      </c>
      <c r="I1170" s="13" t="s">
        <v>56</v>
      </c>
      <c r="J1170" s="13" t="s">
        <v>57</v>
      </c>
      <c r="K1170" s="13" t="s">
        <v>58</v>
      </c>
      <c r="L1170" s="13" t="s">
        <v>59</v>
      </c>
      <c r="M1170">
        <v>45</v>
      </c>
      <c r="N1170">
        <v>0</v>
      </c>
      <c r="O1170" s="14">
        <v>45992</v>
      </c>
      <c r="P1170" s="14">
        <v>46037</v>
      </c>
      <c r="Q1170">
        <v>5028.8100000000004</v>
      </c>
      <c r="R1170">
        <v>0</v>
      </c>
      <c r="S1170">
        <v>0</v>
      </c>
      <c r="T1170">
        <v>0</v>
      </c>
      <c r="U1170">
        <v>0</v>
      </c>
      <c r="V1170">
        <v>5028.8100000000004</v>
      </c>
      <c r="W1170">
        <v>0</v>
      </c>
      <c r="X1170">
        <v>1</v>
      </c>
      <c r="Y1170">
        <v>0</v>
      </c>
      <c r="Z1170">
        <v>-15</v>
      </c>
      <c r="AA1170">
        <v>1</v>
      </c>
      <c r="AB1170" s="13" t="s">
        <v>581</v>
      </c>
      <c r="AC1170">
        <v>0</v>
      </c>
      <c r="AD1170">
        <v>0</v>
      </c>
      <c r="AE1170" s="13" t="s">
        <v>61</v>
      </c>
    </row>
    <row r="1171" spans="1:31" x14ac:dyDescent="0.35">
      <c r="A1171" s="13" t="s">
        <v>1869</v>
      </c>
      <c r="B1171" s="13" t="s">
        <v>1648</v>
      </c>
      <c r="C1171" s="13" t="s">
        <v>1649</v>
      </c>
      <c r="D1171" s="13" t="s">
        <v>52</v>
      </c>
      <c r="E1171" s="13" t="s">
        <v>65</v>
      </c>
      <c r="F1171" s="13" t="s">
        <v>111</v>
      </c>
      <c r="G1171" s="13" t="s">
        <v>67</v>
      </c>
      <c r="H1171">
        <v>230000</v>
      </c>
      <c r="I1171" s="13" t="s">
        <v>86</v>
      </c>
      <c r="J1171" s="13" t="s">
        <v>87</v>
      </c>
      <c r="K1171" s="13" t="s">
        <v>58</v>
      </c>
      <c r="L1171" s="13" t="s">
        <v>59</v>
      </c>
      <c r="M1171">
        <v>45</v>
      </c>
      <c r="N1171">
        <v>0</v>
      </c>
      <c r="O1171" s="14">
        <v>45992</v>
      </c>
      <c r="P1171" s="14">
        <v>46037</v>
      </c>
      <c r="Q1171">
        <v>2987.75</v>
      </c>
      <c r="R1171">
        <v>0</v>
      </c>
      <c r="S1171">
        <v>0</v>
      </c>
      <c r="T1171">
        <v>0</v>
      </c>
      <c r="U1171">
        <v>0</v>
      </c>
      <c r="V1171">
        <v>2987.75</v>
      </c>
      <c r="W1171">
        <v>0</v>
      </c>
      <c r="X1171">
        <v>1</v>
      </c>
      <c r="Y1171">
        <v>0</v>
      </c>
      <c r="Z1171">
        <v>-15</v>
      </c>
      <c r="AA1171">
        <v>1</v>
      </c>
      <c r="AB1171" s="13" t="s">
        <v>581</v>
      </c>
      <c r="AC1171">
        <v>0</v>
      </c>
      <c r="AD1171">
        <v>1</v>
      </c>
      <c r="AE1171" s="13" t="s">
        <v>465</v>
      </c>
    </row>
    <row r="1172" spans="1:31" x14ac:dyDescent="0.35">
      <c r="A1172" s="13" t="s">
        <v>1870</v>
      </c>
      <c r="B1172" s="13" t="s">
        <v>1871</v>
      </c>
      <c r="C1172" s="13" t="s">
        <v>1872</v>
      </c>
      <c r="D1172" s="13" t="s">
        <v>76</v>
      </c>
      <c r="E1172" s="13" t="s">
        <v>99</v>
      </c>
      <c r="F1172" s="13" t="s">
        <v>127</v>
      </c>
      <c r="G1172" s="13" t="s">
        <v>55</v>
      </c>
      <c r="H1172">
        <v>35000</v>
      </c>
      <c r="I1172" s="13" t="s">
        <v>93</v>
      </c>
      <c r="J1172" s="13" t="s">
        <v>94</v>
      </c>
      <c r="K1172" s="13" t="s">
        <v>81</v>
      </c>
      <c r="L1172" s="13" t="s">
        <v>95</v>
      </c>
      <c r="M1172">
        <v>30</v>
      </c>
      <c r="N1172">
        <v>0</v>
      </c>
      <c r="O1172" s="14">
        <v>45992</v>
      </c>
      <c r="P1172" s="14">
        <v>46022</v>
      </c>
      <c r="Q1172">
        <v>2816.35</v>
      </c>
      <c r="R1172">
        <v>0</v>
      </c>
      <c r="S1172">
        <v>0</v>
      </c>
      <c r="T1172">
        <v>0</v>
      </c>
      <c r="U1172">
        <v>0</v>
      </c>
      <c r="V1172">
        <v>2816.35</v>
      </c>
      <c r="W1172">
        <v>0</v>
      </c>
      <c r="X1172">
        <v>1</v>
      </c>
      <c r="Y1172">
        <v>0</v>
      </c>
      <c r="Z1172">
        <v>0</v>
      </c>
      <c r="AA1172">
        <v>1</v>
      </c>
      <c r="AB1172" s="13" t="s">
        <v>581</v>
      </c>
      <c r="AC1172">
        <v>0</v>
      </c>
      <c r="AD1172">
        <v>0</v>
      </c>
      <c r="AE1172" s="13" t="s">
        <v>61</v>
      </c>
    </row>
    <row r="1173" spans="1:31" x14ac:dyDescent="0.35">
      <c r="A1173" s="13" t="s">
        <v>1873</v>
      </c>
      <c r="B1173" s="13" t="s">
        <v>216</v>
      </c>
      <c r="C1173" s="13" t="s">
        <v>217</v>
      </c>
      <c r="D1173" s="13" t="s">
        <v>52</v>
      </c>
      <c r="E1173" s="13" t="s">
        <v>65</v>
      </c>
      <c r="F1173" s="13" t="s">
        <v>66</v>
      </c>
      <c r="G1173" s="13" t="s">
        <v>67</v>
      </c>
      <c r="H1173">
        <v>515000</v>
      </c>
      <c r="I1173" s="13" t="s">
        <v>86</v>
      </c>
      <c r="J1173" s="13" t="s">
        <v>87</v>
      </c>
      <c r="K1173" s="13" t="s">
        <v>58</v>
      </c>
      <c r="L1173" s="13" t="s">
        <v>88</v>
      </c>
      <c r="M1173">
        <v>60</v>
      </c>
      <c r="N1173">
        <v>0</v>
      </c>
      <c r="O1173" s="14">
        <v>45992</v>
      </c>
      <c r="P1173" s="14">
        <v>46002</v>
      </c>
      <c r="Q1173">
        <v>3349.11</v>
      </c>
      <c r="R1173">
        <v>0</v>
      </c>
      <c r="S1173">
        <v>0</v>
      </c>
      <c r="T1173">
        <v>0</v>
      </c>
      <c r="U1173">
        <v>0</v>
      </c>
      <c r="V1173">
        <v>3349.11</v>
      </c>
      <c r="W1173">
        <v>0</v>
      </c>
      <c r="X1173">
        <v>1</v>
      </c>
      <c r="Y1173">
        <v>1</v>
      </c>
      <c r="Z1173">
        <v>20</v>
      </c>
      <c r="AA1173">
        <v>2</v>
      </c>
      <c r="AB1173" s="13" t="s">
        <v>405</v>
      </c>
      <c r="AC1173">
        <v>0.25</v>
      </c>
      <c r="AD1173">
        <v>0</v>
      </c>
      <c r="AE1173" s="13" t="s">
        <v>61</v>
      </c>
    </row>
    <row r="1174" spans="1:31" x14ac:dyDescent="0.35">
      <c r="A1174" s="13" t="s">
        <v>1874</v>
      </c>
      <c r="B1174" s="13" t="s">
        <v>1875</v>
      </c>
      <c r="C1174" s="13" t="s">
        <v>1876</v>
      </c>
      <c r="D1174" s="13" t="s">
        <v>104</v>
      </c>
      <c r="E1174" s="13" t="s">
        <v>65</v>
      </c>
      <c r="F1174" s="13" t="s">
        <v>66</v>
      </c>
      <c r="G1174" s="13" t="s">
        <v>67</v>
      </c>
      <c r="H1174">
        <v>70000</v>
      </c>
      <c r="I1174" s="13" t="s">
        <v>105</v>
      </c>
      <c r="J1174" s="13" t="s">
        <v>106</v>
      </c>
      <c r="K1174" s="13" t="s">
        <v>107</v>
      </c>
      <c r="L1174" s="13" t="s">
        <v>95</v>
      </c>
      <c r="M1174">
        <v>30</v>
      </c>
      <c r="N1174">
        <v>0</v>
      </c>
      <c r="O1174" s="14">
        <v>45992</v>
      </c>
      <c r="P1174" s="14">
        <v>46022</v>
      </c>
      <c r="Q1174">
        <v>8537.1200000000008</v>
      </c>
      <c r="R1174">
        <v>0</v>
      </c>
      <c r="S1174">
        <v>0</v>
      </c>
      <c r="T1174">
        <v>0</v>
      </c>
      <c r="U1174">
        <v>0</v>
      </c>
      <c r="V1174">
        <v>8537.1200000000008</v>
      </c>
      <c r="W1174">
        <v>0</v>
      </c>
      <c r="X1174">
        <v>1</v>
      </c>
      <c r="Y1174">
        <v>0</v>
      </c>
      <c r="Z1174">
        <v>0</v>
      </c>
      <c r="AA1174">
        <v>1</v>
      </c>
      <c r="AB1174" s="13" t="s">
        <v>581</v>
      </c>
      <c r="AC1174">
        <v>0</v>
      </c>
      <c r="AD1174">
        <v>0</v>
      </c>
      <c r="AE1174" s="13" t="s">
        <v>61</v>
      </c>
    </row>
    <row r="1175" spans="1:31" x14ac:dyDescent="0.35">
      <c r="A1175" s="13" t="s">
        <v>1877</v>
      </c>
      <c r="B1175" s="13" t="s">
        <v>253</v>
      </c>
      <c r="C1175" s="13" t="s">
        <v>254</v>
      </c>
      <c r="D1175" s="13" t="s">
        <v>52</v>
      </c>
      <c r="E1175" s="13" t="s">
        <v>65</v>
      </c>
      <c r="F1175" s="13" t="s">
        <v>111</v>
      </c>
      <c r="G1175" s="13" t="s">
        <v>55</v>
      </c>
      <c r="H1175">
        <v>415000</v>
      </c>
      <c r="I1175" s="13" t="s">
        <v>56</v>
      </c>
      <c r="J1175" s="13" t="s">
        <v>57</v>
      </c>
      <c r="K1175" s="13" t="s">
        <v>58</v>
      </c>
      <c r="L1175" s="13" t="s">
        <v>59</v>
      </c>
      <c r="M1175">
        <v>45</v>
      </c>
      <c r="N1175">
        <v>0</v>
      </c>
      <c r="O1175" s="14">
        <v>45992</v>
      </c>
      <c r="P1175" s="14">
        <v>46037</v>
      </c>
      <c r="Q1175">
        <v>7563.19</v>
      </c>
      <c r="R1175">
        <v>0</v>
      </c>
      <c r="S1175">
        <v>0</v>
      </c>
      <c r="T1175">
        <v>0</v>
      </c>
      <c r="U1175">
        <v>0</v>
      </c>
      <c r="V1175">
        <v>7563.19</v>
      </c>
      <c r="W1175">
        <v>0</v>
      </c>
      <c r="X1175">
        <v>1</v>
      </c>
      <c r="Y1175">
        <v>0</v>
      </c>
      <c r="Z1175">
        <v>-15</v>
      </c>
      <c r="AA1175">
        <v>1</v>
      </c>
      <c r="AB1175" s="13" t="s">
        <v>581</v>
      </c>
      <c r="AC1175">
        <v>0</v>
      </c>
      <c r="AD1175">
        <v>0</v>
      </c>
      <c r="AE1175" s="13" t="s">
        <v>61</v>
      </c>
    </row>
    <row r="1176" spans="1:31" x14ac:dyDescent="0.35">
      <c r="A1176" s="13" t="s">
        <v>1878</v>
      </c>
      <c r="B1176" s="13" t="s">
        <v>434</v>
      </c>
      <c r="C1176" s="13" t="s">
        <v>435</v>
      </c>
      <c r="D1176" s="13" t="s">
        <v>52</v>
      </c>
      <c r="E1176" s="13" t="s">
        <v>77</v>
      </c>
      <c r="F1176" s="13" t="s">
        <v>78</v>
      </c>
      <c r="G1176" s="13" t="s">
        <v>55</v>
      </c>
      <c r="H1176">
        <v>510000</v>
      </c>
      <c r="I1176" s="13" t="s">
        <v>56</v>
      </c>
      <c r="J1176" s="13" t="s">
        <v>57</v>
      </c>
      <c r="K1176" s="13" t="s">
        <v>58</v>
      </c>
      <c r="L1176" s="13" t="s">
        <v>88</v>
      </c>
      <c r="M1176">
        <v>60</v>
      </c>
      <c r="N1176">
        <v>0</v>
      </c>
      <c r="O1176" s="14">
        <v>45992</v>
      </c>
      <c r="P1176" s="14">
        <v>46052</v>
      </c>
      <c r="Q1176">
        <v>12190.73</v>
      </c>
      <c r="R1176">
        <v>0</v>
      </c>
      <c r="S1176">
        <v>0</v>
      </c>
      <c r="T1176">
        <v>0</v>
      </c>
      <c r="U1176">
        <v>0</v>
      </c>
      <c r="V1176">
        <v>12190.73</v>
      </c>
      <c r="W1176">
        <v>0</v>
      </c>
      <c r="X1176">
        <v>1</v>
      </c>
      <c r="Y1176">
        <v>0</v>
      </c>
      <c r="Z1176">
        <v>-30</v>
      </c>
      <c r="AA1176">
        <v>1</v>
      </c>
      <c r="AB1176" s="13" t="s">
        <v>581</v>
      </c>
      <c r="AC1176">
        <v>0</v>
      </c>
      <c r="AD1176">
        <v>0</v>
      </c>
      <c r="AE1176" s="13" t="s">
        <v>61</v>
      </c>
    </row>
    <row r="1177" spans="1:31" x14ac:dyDescent="0.35">
      <c r="A1177" s="13" t="s">
        <v>1879</v>
      </c>
      <c r="B1177" s="13" t="s">
        <v>1366</v>
      </c>
      <c r="C1177" s="13" t="s">
        <v>1367</v>
      </c>
      <c r="D1177" s="13" t="s">
        <v>126</v>
      </c>
      <c r="E1177" s="13" t="s">
        <v>65</v>
      </c>
      <c r="F1177" s="13" t="s">
        <v>111</v>
      </c>
      <c r="G1177" s="13" t="s">
        <v>67</v>
      </c>
      <c r="H1177">
        <v>205000</v>
      </c>
      <c r="I1177" s="13" t="s">
        <v>56</v>
      </c>
      <c r="J1177" s="13" t="s">
        <v>57</v>
      </c>
      <c r="K1177" s="13" t="s">
        <v>58</v>
      </c>
      <c r="L1177" s="13" t="s">
        <v>88</v>
      </c>
      <c r="M1177">
        <v>60</v>
      </c>
      <c r="N1177">
        <v>0</v>
      </c>
      <c r="O1177" s="14">
        <v>45992</v>
      </c>
      <c r="P1177" s="14">
        <v>46052</v>
      </c>
      <c r="Q1177">
        <v>10445.629999999999</v>
      </c>
      <c r="R1177">
        <v>0</v>
      </c>
      <c r="S1177">
        <v>0</v>
      </c>
      <c r="T1177">
        <v>0</v>
      </c>
      <c r="U1177">
        <v>0</v>
      </c>
      <c r="V1177">
        <v>10445.629999999999</v>
      </c>
      <c r="W1177">
        <v>0</v>
      </c>
      <c r="X1177">
        <v>1</v>
      </c>
      <c r="Y1177">
        <v>0</v>
      </c>
      <c r="Z1177">
        <v>-30</v>
      </c>
      <c r="AA1177">
        <v>1</v>
      </c>
      <c r="AB1177" s="13" t="s">
        <v>581</v>
      </c>
      <c r="AC1177">
        <v>0</v>
      </c>
      <c r="AD1177">
        <v>0</v>
      </c>
      <c r="AE1177" s="13" t="s">
        <v>61</v>
      </c>
    </row>
    <row r="1178" spans="1:31" x14ac:dyDescent="0.35">
      <c r="A1178" s="13" t="s">
        <v>1880</v>
      </c>
      <c r="B1178" s="13" t="s">
        <v>1881</v>
      </c>
      <c r="C1178" s="13" t="s">
        <v>1882</v>
      </c>
      <c r="D1178" s="13" t="s">
        <v>76</v>
      </c>
      <c r="E1178" s="13" t="s">
        <v>65</v>
      </c>
      <c r="F1178" s="13" t="s">
        <v>66</v>
      </c>
      <c r="G1178" s="13" t="s">
        <v>67</v>
      </c>
      <c r="H1178">
        <v>80000</v>
      </c>
      <c r="I1178" s="13" t="s">
        <v>93</v>
      </c>
      <c r="J1178" s="13" t="s">
        <v>94</v>
      </c>
      <c r="K1178" s="13" t="s">
        <v>81</v>
      </c>
      <c r="L1178" s="13" t="s">
        <v>95</v>
      </c>
      <c r="M1178">
        <v>30</v>
      </c>
      <c r="N1178">
        <v>0</v>
      </c>
      <c r="O1178" s="14">
        <v>45992</v>
      </c>
      <c r="P1178" s="14">
        <v>46022</v>
      </c>
      <c r="Q1178">
        <v>1632.17</v>
      </c>
      <c r="R1178">
        <v>0</v>
      </c>
      <c r="S1178">
        <v>0</v>
      </c>
      <c r="T1178">
        <v>0</v>
      </c>
      <c r="U1178">
        <v>0</v>
      </c>
      <c r="V1178">
        <v>1632.17</v>
      </c>
      <c r="W1178">
        <v>0</v>
      </c>
      <c r="X1178">
        <v>1</v>
      </c>
      <c r="Y1178">
        <v>0</v>
      </c>
      <c r="Z1178">
        <v>0</v>
      </c>
      <c r="AA1178">
        <v>1</v>
      </c>
      <c r="AB1178" s="13" t="s">
        <v>581</v>
      </c>
      <c r="AC1178">
        <v>0</v>
      </c>
      <c r="AD1178">
        <v>0</v>
      </c>
      <c r="AE1178" s="13" t="s">
        <v>61</v>
      </c>
    </row>
    <row r="1179" spans="1:31" x14ac:dyDescent="0.35">
      <c r="A1179" s="13" t="s">
        <v>1883</v>
      </c>
      <c r="B1179" s="13" t="s">
        <v>156</v>
      </c>
      <c r="C1179" s="13" t="s">
        <v>157</v>
      </c>
      <c r="D1179" s="13" t="s">
        <v>52</v>
      </c>
      <c r="E1179" s="13" t="s">
        <v>53</v>
      </c>
      <c r="F1179" s="13" t="s">
        <v>54</v>
      </c>
      <c r="G1179" s="13" t="s">
        <v>92</v>
      </c>
      <c r="H1179">
        <v>600000</v>
      </c>
      <c r="I1179" s="13" t="s">
        <v>56</v>
      </c>
      <c r="J1179" s="13" t="s">
        <v>57</v>
      </c>
      <c r="K1179" s="13" t="s">
        <v>58</v>
      </c>
      <c r="L1179" s="13" t="s">
        <v>88</v>
      </c>
      <c r="M1179">
        <v>60</v>
      </c>
      <c r="N1179">
        <v>0</v>
      </c>
      <c r="O1179" s="14">
        <v>45992</v>
      </c>
      <c r="P1179" s="14">
        <v>46052</v>
      </c>
      <c r="Q1179">
        <v>1821.42</v>
      </c>
      <c r="R1179">
        <v>0</v>
      </c>
      <c r="S1179">
        <v>0</v>
      </c>
      <c r="T1179">
        <v>0</v>
      </c>
      <c r="U1179">
        <v>0</v>
      </c>
      <c r="V1179">
        <v>1821.42</v>
      </c>
      <c r="W1179">
        <v>0</v>
      </c>
      <c r="X1179">
        <v>1</v>
      </c>
      <c r="Y1179">
        <v>0</v>
      </c>
      <c r="Z1179">
        <v>-30</v>
      </c>
      <c r="AA1179">
        <v>1</v>
      </c>
      <c r="AB1179" s="13" t="s">
        <v>581</v>
      </c>
      <c r="AC1179">
        <v>0</v>
      </c>
      <c r="AD1179">
        <v>0</v>
      </c>
      <c r="AE1179" s="13" t="s">
        <v>61</v>
      </c>
    </row>
    <row r="1180" spans="1:31" x14ac:dyDescent="0.35">
      <c r="A1180" s="13" t="s">
        <v>1884</v>
      </c>
      <c r="B1180" s="13" t="s">
        <v>1247</v>
      </c>
      <c r="C1180" s="13" t="s">
        <v>1248</v>
      </c>
      <c r="D1180" s="13" t="s">
        <v>52</v>
      </c>
      <c r="E1180" s="13" t="s">
        <v>99</v>
      </c>
      <c r="F1180" s="13" t="s">
        <v>100</v>
      </c>
      <c r="G1180" s="13" t="s">
        <v>55</v>
      </c>
      <c r="H1180">
        <v>600000</v>
      </c>
      <c r="I1180" s="13" t="s">
        <v>56</v>
      </c>
      <c r="J1180" s="13" t="s">
        <v>57</v>
      </c>
      <c r="K1180" s="13" t="s">
        <v>58</v>
      </c>
      <c r="L1180" s="13" t="s">
        <v>59</v>
      </c>
      <c r="M1180">
        <v>45</v>
      </c>
      <c r="N1180">
        <v>0</v>
      </c>
      <c r="O1180" s="14">
        <v>45992</v>
      </c>
      <c r="P1180" s="14">
        <v>46037</v>
      </c>
      <c r="Q1180">
        <v>1797.16</v>
      </c>
      <c r="R1180">
        <v>0</v>
      </c>
      <c r="S1180">
        <v>0</v>
      </c>
      <c r="T1180">
        <v>0</v>
      </c>
      <c r="U1180">
        <v>0</v>
      </c>
      <c r="V1180">
        <v>1797.16</v>
      </c>
      <c r="W1180">
        <v>0</v>
      </c>
      <c r="X1180">
        <v>1</v>
      </c>
      <c r="Y1180">
        <v>0</v>
      </c>
      <c r="Z1180">
        <v>-15</v>
      </c>
      <c r="AA1180">
        <v>1</v>
      </c>
      <c r="AB1180" s="13" t="s">
        <v>581</v>
      </c>
      <c r="AC1180">
        <v>0</v>
      </c>
      <c r="AD1180">
        <v>0</v>
      </c>
      <c r="AE1180" s="13" t="s">
        <v>61</v>
      </c>
    </row>
    <row r="1181" spans="1:31" x14ac:dyDescent="0.35">
      <c r="A1181" s="13" t="s">
        <v>1885</v>
      </c>
      <c r="B1181" s="13" t="s">
        <v>1470</v>
      </c>
      <c r="C1181" s="13" t="s">
        <v>1471</v>
      </c>
      <c r="D1181" s="13" t="s">
        <v>52</v>
      </c>
      <c r="E1181" s="13" t="s">
        <v>77</v>
      </c>
      <c r="F1181" s="13" t="s">
        <v>78</v>
      </c>
      <c r="G1181" s="13" t="s">
        <v>67</v>
      </c>
      <c r="H1181">
        <v>385000</v>
      </c>
      <c r="I1181" s="13" t="s">
        <v>86</v>
      </c>
      <c r="J1181" s="13" t="s">
        <v>87</v>
      </c>
      <c r="K1181" s="13" t="s">
        <v>58</v>
      </c>
      <c r="L1181" s="13" t="s">
        <v>88</v>
      </c>
      <c r="M1181">
        <v>60</v>
      </c>
      <c r="N1181">
        <v>0</v>
      </c>
      <c r="O1181" s="14">
        <v>45992</v>
      </c>
      <c r="P1181" s="14">
        <v>46052</v>
      </c>
      <c r="Q1181">
        <v>3257.24</v>
      </c>
      <c r="R1181">
        <v>0</v>
      </c>
      <c r="S1181">
        <v>0</v>
      </c>
      <c r="T1181">
        <v>0</v>
      </c>
      <c r="U1181">
        <v>0</v>
      </c>
      <c r="V1181">
        <v>3257.24</v>
      </c>
      <c r="W1181">
        <v>0</v>
      </c>
      <c r="X1181">
        <v>1</v>
      </c>
      <c r="Y1181">
        <v>0</v>
      </c>
      <c r="Z1181">
        <v>-30</v>
      </c>
      <c r="AA1181">
        <v>1</v>
      </c>
      <c r="AB1181" s="13" t="s">
        <v>581</v>
      </c>
      <c r="AC1181">
        <v>0</v>
      </c>
      <c r="AD1181">
        <v>0</v>
      </c>
      <c r="AE1181" s="13" t="s">
        <v>61</v>
      </c>
    </row>
    <row r="1182" spans="1:31" x14ac:dyDescent="0.35">
      <c r="A1182" s="13" t="s">
        <v>1886</v>
      </c>
      <c r="B1182" s="13" t="s">
        <v>1201</v>
      </c>
      <c r="C1182" s="13" t="s">
        <v>1202</v>
      </c>
      <c r="D1182" s="13" t="s">
        <v>126</v>
      </c>
      <c r="E1182" s="13" t="s">
        <v>99</v>
      </c>
      <c r="F1182" s="13" t="s">
        <v>100</v>
      </c>
      <c r="G1182" s="13" t="s">
        <v>67</v>
      </c>
      <c r="H1182">
        <v>175000</v>
      </c>
      <c r="I1182" s="13" t="s">
        <v>86</v>
      </c>
      <c r="J1182" s="13" t="s">
        <v>87</v>
      </c>
      <c r="K1182" s="13" t="s">
        <v>58</v>
      </c>
      <c r="L1182" s="13" t="s">
        <v>88</v>
      </c>
      <c r="M1182">
        <v>60</v>
      </c>
      <c r="N1182">
        <v>0</v>
      </c>
      <c r="O1182" s="14">
        <v>45992</v>
      </c>
      <c r="P1182" s="14">
        <v>46052</v>
      </c>
      <c r="Q1182">
        <v>3190.44</v>
      </c>
      <c r="R1182">
        <v>0</v>
      </c>
      <c r="S1182">
        <v>0</v>
      </c>
      <c r="T1182">
        <v>0</v>
      </c>
      <c r="U1182">
        <v>0</v>
      </c>
      <c r="V1182">
        <v>3190.44</v>
      </c>
      <c r="W1182">
        <v>0</v>
      </c>
      <c r="X1182">
        <v>1</v>
      </c>
      <c r="Y1182">
        <v>0</v>
      </c>
      <c r="Z1182">
        <v>-30</v>
      </c>
      <c r="AA1182">
        <v>1</v>
      </c>
      <c r="AB1182" s="13" t="s">
        <v>581</v>
      </c>
      <c r="AC1182">
        <v>0</v>
      </c>
      <c r="AD1182">
        <v>1</v>
      </c>
      <c r="AE1182" s="13" t="s">
        <v>348</v>
      </c>
    </row>
    <row r="1183" spans="1:31" x14ac:dyDescent="0.35">
      <c r="A1183" s="13" t="s">
        <v>1887</v>
      </c>
      <c r="B1183" s="13" t="s">
        <v>219</v>
      </c>
      <c r="C1183" s="13" t="s">
        <v>220</v>
      </c>
      <c r="D1183" s="13" t="s">
        <v>76</v>
      </c>
      <c r="E1183" s="13" t="s">
        <v>71</v>
      </c>
      <c r="F1183" s="13" t="s">
        <v>72</v>
      </c>
      <c r="G1183" s="13" t="s">
        <v>55</v>
      </c>
      <c r="H1183">
        <v>65000</v>
      </c>
      <c r="I1183" s="13" t="s">
        <v>79</v>
      </c>
      <c r="J1183" s="13" t="s">
        <v>80</v>
      </c>
      <c r="K1183" s="13" t="s">
        <v>81</v>
      </c>
      <c r="L1183" s="13" t="s">
        <v>95</v>
      </c>
      <c r="M1183">
        <v>30</v>
      </c>
      <c r="N1183">
        <v>0</v>
      </c>
      <c r="O1183" s="14">
        <v>45992</v>
      </c>
      <c r="P1183" s="14">
        <v>46022</v>
      </c>
      <c r="Q1183">
        <v>1690.65</v>
      </c>
      <c r="R1183">
        <v>0</v>
      </c>
      <c r="S1183">
        <v>0</v>
      </c>
      <c r="T1183">
        <v>0</v>
      </c>
      <c r="U1183">
        <v>0</v>
      </c>
      <c r="V1183">
        <v>1690.65</v>
      </c>
      <c r="W1183">
        <v>0</v>
      </c>
      <c r="X1183">
        <v>1</v>
      </c>
      <c r="Y1183">
        <v>0</v>
      </c>
      <c r="Z1183">
        <v>0</v>
      </c>
      <c r="AA1183">
        <v>1</v>
      </c>
      <c r="AB1183" s="13" t="s">
        <v>581</v>
      </c>
      <c r="AC1183">
        <v>0</v>
      </c>
      <c r="AD1183">
        <v>1</v>
      </c>
      <c r="AE1183" s="13" t="s">
        <v>377</v>
      </c>
    </row>
    <row r="1184" spans="1:31" x14ac:dyDescent="0.35">
      <c r="A1184" s="13" t="s">
        <v>1888</v>
      </c>
      <c r="B1184" s="13" t="s">
        <v>688</v>
      </c>
      <c r="C1184" s="13" t="s">
        <v>689</v>
      </c>
      <c r="D1184" s="13" t="s">
        <v>104</v>
      </c>
      <c r="E1184" s="13" t="s">
        <v>99</v>
      </c>
      <c r="F1184" s="13" t="s">
        <v>100</v>
      </c>
      <c r="G1184" s="13" t="s">
        <v>67</v>
      </c>
      <c r="H1184">
        <v>140000</v>
      </c>
      <c r="I1184" s="13" t="s">
        <v>105</v>
      </c>
      <c r="J1184" s="13" t="s">
        <v>106</v>
      </c>
      <c r="K1184" s="13" t="s">
        <v>107</v>
      </c>
      <c r="L1184" s="13" t="s">
        <v>95</v>
      </c>
      <c r="M1184">
        <v>30</v>
      </c>
      <c r="N1184">
        <v>0</v>
      </c>
      <c r="O1184" s="14">
        <v>45992</v>
      </c>
      <c r="P1184" s="14">
        <v>46022</v>
      </c>
      <c r="Q1184">
        <v>800.12</v>
      </c>
      <c r="R1184">
        <v>0</v>
      </c>
      <c r="S1184">
        <v>0</v>
      </c>
      <c r="T1184">
        <v>0</v>
      </c>
      <c r="U1184">
        <v>0</v>
      </c>
      <c r="V1184">
        <v>800.12</v>
      </c>
      <c r="W1184">
        <v>0</v>
      </c>
      <c r="X1184">
        <v>1</v>
      </c>
      <c r="Y1184">
        <v>0</v>
      </c>
      <c r="Z1184">
        <v>0</v>
      </c>
      <c r="AA1184">
        <v>1</v>
      </c>
      <c r="AB1184" s="13" t="s">
        <v>581</v>
      </c>
      <c r="AC1184">
        <v>0</v>
      </c>
      <c r="AD1184">
        <v>1</v>
      </c>
      <c r="AE1184" s="13" t="s">
        <v>377</v>
      </c>
    </row>
    <row r="1185" spans="1:31" x14ac:dyDescent="0.35">
      <c r="A1185" s="13" t="s">
        <v>1889</v>
      </c>
      <c r="B1185" s="13" t="s">
        <v>1723</v>
      </c>
      <c r="C1185" s="13" t="s">
        <v>1724</v>
      </c>
      <c r="D1185" s="13" t="s">
        <v>76</v>
      </c>
      <c r="E1185" s="13" t="s">
        <v>71</v>
      </c>
      <c r="F1185" s="13" t="s">
        <v>214</v>
      </c>
      <c r="G1185" s="13" t="s">
        <v>92</v>
      </c>
      <c r="H1185">
        <v>65000</v>
      </c>
      <c r="I1185" s="13" t="s">
        <v>93</v>
      </c>
      <c r="J1185" s="13" t="s">
        <v>94</v>
      </c>
      <c r="K1185" s="13" t="s">
        <v>81</v>
      </c>
      <c r="L1185" s="13" t="s">
        <v>95</v>
      </c>
      <c r="M1185">
        <v>30</v>
      </c>
      <c r="N1185">
        <v>0</v>
      </c>
      <c r="O1185" s="14">
        <v>45992</v>
      </c>
      <c r="P1185" s="14">
        <v>46022</v>
      </c>
      <c r="Q1185">
        <v>1270.18</v>
      </c>
      <c r="R1185">
        <v>0</v>
      </c>
      <c r="S1185">
        <v>0</v>
      </c>
      <c r="T1185">
        <v>0</v>
      </c>
      <c r="U1185">
        <v>0</v>
      </c>
      <c r="V1185">
        <v>1270.18</v>
      </c>
      <c r="W1185">
        <v>0</v>
      </c>
      <c r="X1185">
        <v>1</v>
      </c>
      <c r="Y1185">
        <v>0</v>
      </c>
      <c r="Z1185">
        <v>0</v>
      </c>
      <c r="AA1185">
        <v>1</v>
      </c>
      <c r="AB1185" s="13" t="s">
        <v>581</v>
      </c>
      <c r="AC1185">
        <v>0</v>
      </c>
      <c r="AD1185">
        <v>0</v>
      </c>
      <c r="AE1185" s="13" t="s">
        <v>61</v>
      </c>
    </row>
    <row r="1186" spans="1:31" x14ac:dyDescent="0.35">
      <c r="A1186" s="13" t="s">
        <v>1890</v>
      </c>
      <c r="B1186" s="13" t="s">
        <v>109</v>
      </c>
      <c r="C1186" s="13" t="s">
        <v>110</v>
      </c>
      <c r="D1186" s="13" t="s">
        <v>52</v>
      </c>
      <c r="E1186" s="13" t="s">
        <v>65</v>
      </c>
      <c r="F1186" s="13" t="s">
        <v>111</v>
      </c>
      <c r="G1186" s="13" t="s">
        <v>67</v>
      </c>
      <c r="H1186">
        <v>455000</v>
      </c>
      <c r="I1186" s="13" t="s">
        <v>86</v>
      </c>
      <c r="J1186" s="13" t="s">
        <v>87</v>
      </c>
      <c r="K1186" s="13" t="s">
        <v>58</v>
      </c>
      <c r="L1186" s="13" t="s">
        <v>59</v>
      </c>
      <c r="M1186">
        <v>45</v>
      </c>
      <c r="N1186">
        <v>0</v>
      </c>
      <c r="O1186" s="14">
        <v>45992</v>
      </c>
      <c r="P1186" s="14">
        <v>46037</v>
      </c>
      <c r="Q1186">
        <v>3395.23</v>
      </c>
      <c r="R1186">
        <v>0</v>
      </c>
      <c r="S1186">
        <v>0</v>
      </c>
      <c r="T1186">
        <v>0</v>
      </c>
      <c r="U1186">
        <v>0</v>
      </c>
      <c r="V1186">
        <v>3395.23</v>
      </c>
      <c r="W1186">
        <v>0</v>
      </c>
      <c r="X1186">
        <v>1</v>
      </c>
      <c r="Y1186">
        <v>0</v>
      </c>
      <c r="Z1186">
        <v>-15</v>
      </c>
      <c r="AA1186">
        <v>1</v>
      </c>
      <c r="AB1186" s="13" t="s">
        <v>581</v>
      </c>
      <c r="AC1186">
        <v>0</v>
      </c>
      <c r="AD1186">
        <v>0</v>
      </c>
      <c r="AE1186" s="13" t="s">
        <v>61</v>
      </c>
    </row>
    <row r="1187" spans="1:31" x14ac:dyDescent="0.35">
      <c r="A1187" s="13" t="s">
        <v>1891</v>
      </c>
      <c r="B1187" s="13" t="s">
        <v>719</v>
      </c>
      <c r="C1187" s="13" t="s">
        <v>720</v>
      </c>
      <c r="D1187" s="13" t="s">
        <v>126</v>
      </c>
      <c r="E1187" s="13" t="s">
        <v>99</v>
      </c>
      <c r="F1187" s="13" t="s">
        <v>127</v>
      </c>
      <c r="G1187" s="13" t="s">
        <v>67</v>
      </c>
      <c r="H1187">
        <v>150000</v>
      </c>
      <c r="I1187" s="13" t="s">
        <v>86</v>
      </c>
      <c r="J1187" s="13" t="s">
        <v>87</v>
      </c>
      <c r="K1187" s="13" t="s">
        <v>58</v>
      </c>
      <c r="L1187" s="13" t="s">
        <v>88</v>
      </c>
      <c r="M1187">
        <v>60</v>
      </c>
      <c r="N1187">
        <v>0</v>
      </c>
      <c r="O1187" s="14">
        <v>45992</v>
      </c>
      <c r="P1187" s="14">
        <v>46052</v>
      </c>
      <c r="Q1187">
        <v>7637.62</v>
      </c>
      <c r="R1187">
        <v>0</v>
      </c>
      <c r="S1187">
        <v>0</v>
      </c>
      <c r="T1187">
        <v>0</v>
      </c>
      <c r="U1187">
        <v>0</v>
      </c>
      <c r="V1187">
        <v>7637.62</v>
      </c>
      <c r="W1187">
        <v>0</v>
      </c>
      <c r="X1187">
        <v>1</v>
      </c>
      <c r="Y1187">
        <v>0</v>
      </c>
      <c r="Z1187">
        <v>-30</v>
      </c>
      <c r="AA1187">
        <v>1</v>
      </c>
      <c r="AB1187" s="13" t="s">
        <v>581</v>
      </c>
      <c r="AC1187">
        <v>0</v>
      </c>
      <c r="AD1187">
        <v>0</v>
      </c>
      <c r="AE1187" s="13" t="s">
        <v>61</v>
      </c>
    </row>
    <row r="1188" spans="1:31" x14ac:dyDescent="0.35">
      <c r="A1188" s="13" t="s">
        <v>1892</v>
      </c>
      <c r="B1188" s="13" t="s">
        <v>168</v>
      </c>
      <c r="C1188" s="13" t="s">
        <v>169</v>
      </c>
      <c r="D1188" s="13" t="s">
        <v>52</v>
      </c>
      <c r="E1188" s="13" t="s">
        <v>65</v>
      </c>
      <c r="F1188" s="13" t="s">
        <v>66</v>
      </c>
      <c r="G1188" s="13" t="s">
        <v>67</v>
      </c>
      <c r="H1188">
        <v>580000</v>
      </c>
      <c r="I1188" s="13" t="s">
        <v>56</v>
      </c>
      <c r="J1188" s="13" t="s">
        <v>57</v>
      </c>
      <c r="K1188" s="13" t="s">
        <v>58</v>
      </c>
      <c r="L1188" s="13" t="s">
        <v>59</v>
      </c>
      <c r="M1188">
        <v>45</v>
      </c>
      <c r="N1188">
        <v>0</v>
      </c>
      <c r="O1188" s="14">
        <v>45992</v>
      </c>
      <c r="P1188" s="14">
        <v>46037</v>
      </c>
      <c r="Q1188">
        <v>12673.01</v>
      </c>
      <c r="R1188">
        <v>0</v>
      </c>
      <c r="S1188">
        <v>0</v>
      </c>
      <c r="T1188">
        <v>0</v>
      </c>
      <c r="U1188">
        <v>0</v>
      </c>
      <c r="V1188">
        <v>12673.01</v>
      </c>
      <c r="W1188">
        <v>0</v>
      </c>
      <c r="X1188">
        <v>1</v>
      </c>
      <c r="Y1188">
        <v>0</v>
      </c>
      <c r="Z1188">
        <v>-15</v>
      </c>
      <c r="AA1188">
        <v>1</v>
      </c>
      <c r="AB1188" s="13" t="s">
        <v>581</v>
      </c>
      <c r="AC1188">
        <v>0</v>
      </c>
      <c r="AD1188">
        <v>0</v>
      </c>
      <c r="AE1188" s="13" t="s">
        <v>61</v>
      </c>
    </row>
    <row r="1189" spans="1:31" x14ac:dyDescent="0.35">
      <c r="A1189" s="13" t="s">
        <v>1893</v>
      </c>
      <c r="B1189" s="13" t="s">
        <v>496</v>
      </c>
      <c r="C1189" s="13" t="s">
        <v>497</v>
      </c>
      <c r="D1189" s="13" t="s">
        <v>104</v>
      </c>
      <c r="E1189" s="13" t="s">
        <v>53</v>
      </c>
      <c r="F1189" s="13" t="s">
        <v>135</v>
      </c>
      <c r="G1189" s="13" t="s">
        <v>67</v>
      </c>
      <c r="H1189">
        <v>25000</v>
      </c>
      <c r="I1189" s="13" t="s">
        <v>121</v>
      </c>
      <c r="J1189" s="13" t="s">
        <v>122</v>
      </c>
      <c r="K1189" s="13" t="s">
        <v>107</v>
      </c>
      <c r="L1189" s="13" t="s">
        <v>88</v>
      </c>
      <c r="M1189">
        <v>60</v>
      </c>
      <c r="N1189">
        <v>0</v>
      </c>
      <c r="O1189" s="14">
        <v>45992</v>
      </c>
      <c r="P1189" s="14">
        <v>46052</v>
      </c>
      <c r="Q1189">
        <v>802.95</v>
      </c>
      <c r="R1189">
        <v>0</v>
      </c>
      <c r="S1189">
        <v>0</v>
      </c>
      <c r="T1189">
        <v>0</v>
      </c>
      <c r="U1189">
        <v>0</v>
      </c>
      <c r="V1189">
        <v>802.95</v>
      </c>
      <c r="W1189">
        <v>0</v>
      </c>
      <c r="X1189">
        <v>1</v>
      </c>
      <c r="Y1189">
        <v>0</v>
      </c>
      <c r="Z1189">
        <v>-30</v>
      </c>
      <c r="AA1189">
        <v>1</v>
      </c>
      <c r="AB1189" s="13" t="s">
        <v>581</v>
      </c>
      <c r="AC1189">
        <v>0</v>
      </c>
      <c r="AD1189">
        <v>0</v>
      </c>
      <c r="AE1189" s="13" t="s">
        <v>61</v>
      </c>
    </row>
    <row r="1190" spans="1:31" x14ac:dyDescent="0.35">
      <c r="A1190" s="13" t="s">
        <v>1894</v>
      </c>
      <c r="B1190" s="13" t="s">
        <v>644</v>
      </c>
      <c r="C1190" s="13" t="s">
        <v>645</v>
      </c>
      <c r="D1190" s="13" t="s">
        <v>76</v>
      </c>
      <c r="E1190" s="13" t="s">
        <v>53</v>
      </c>
      <c r="F1190" s="13" t="s">
        <v>54</v>
      </c>
      <c r="G1190" s="13" t="s">
        <v>92</v>
      </c>
      <c r="H1190">
        <v>35000</v>
      </c>
      <c r="I1190" s="13" t="s">
        <v>79</v>
      </c>
      <c r="J1190" s="13" t="s">
        <v>80</v>
      </c>
      <c r="K1190" s="13" t="s">
        <v>81</v>
      </c>
      <c r="L1190" s="13" t="s">
        <v>95</v>
      </c>
      <c r="M1190">
        <v>30</v>
      </c>
      <c r="N1190">
        <v>0</v>
      </c>
      <c r="O1190" s="14">
        <v>45992</v>
      </c>
      <c r="P1190" s="14">
        <v>46022</v>
      </c>
      <c r="Q1190">
        <v>3616.55</v>
      </c>
      <c r="R1190">
        <v>0</v>
      </c>
      <c r="S1190">
        <v>0</v>
      </c>
      <c r="T1190">
        <v>0</v>
      </c>
      <c r="U1190">
        <v>0</v>
      </c>
      <c r="V1190">
        <v>3616.55</v>
      </c>
      <c r="W1190">
        <v>0</v>
      </c>
      <c r="X1190">
        <v>1</v>
      </c>
      <c r="Y1190">
        <v>0</v>
      </c>
      <c r="Z1190">
        <v>0</v>
      </c>
      <c r="AA1190">
        <v>1</v>
      </c>
      <c r="AB1190" s="13" t="s">
        <v>581</v>
      </c>
      <c r="AC1190">
        <v>0</v>
      </c>
      <c r="AD1190">
        <v>0</v>
      </c>
      <c r="AE1190" s="13" t="s">
        <v>61</v>
      </c>
    </row>
    <row r="1191" spans="1:31" x14ac:dyDescent="0.35">
      <c r="A1191" s="13" t="s">
        <v>1895</v>
      </c>
      <c r="B1191" s="13" t="s">
        <v>69</v>
      </c>
      <c r="C1191" s="13" t="s">
        <v>70</v>
      </c>
      <c r="D1191" s="13" t="s">
        <v>52</v>
      </c>
      <c r="E1191" s="13" t="s">
        <v>71</v>
      </c>
      <c r="F1191" s="13" t="s">
        <v>72</v>
      </c>
      <c r="G1191" s="13" t="s">
        <v>55</v>
      </c>
      <c r="H1191">
        <v>580000</v>
      </c>
      <c r="I1191" s="13" t="s">
        <v>56</v>
      </c>
      <c r="J1191" s="13" t="s">
        <v>57</v>
      </c>
      <c r="K1191" s="13" t="s">
        <v>58</v>
      </c>
      <c r="L1191" s="13" t="s">
        <v>59</v>
      </c>
      <c r="M1191">
        <v>45</v>
      </c>
      <c r="N1191">
        <v>0</v>
      </c>
      <c r="O1191" s="14">
        <v>45992</v>
      </c>
      <c r="P1191" s="14">
        <v>46037</v>
      </c>
      <c r="Q1191">
        <v>10326.31</v>
      </c>
      <c r="R1191">
        <v>0</v>
      </c>
      <c r="S1191">
        <v>0</v>
      </c>
      <c r="T1191">
        <v>0</v>
      </c>
      <c r="U1191">
        <v>0</v>
      </c>
      <c r="V1191">
        <v>10326.31</v>
      </c>
      <c r="W1191">
        <v>0</v>
      </c>
      <c r="X1191">
        <v>1</v>
      </c>
      <c r="Y1191">
        <v>0</v>
      </c>
      <c r="Z1191">
        <v>-15</v>
      </c>
      <c r="AA1191">
        <v>1</v>
      </c>
      <c r="AB1191" s="13" t="s">
        <v>581</v>
      </c>
      <c r="AC1191">
        <v>0</v>
      </c>
      <c r="AD1191">
        <v>0</v>
      </c>
      <c r="AE1191" s="13" t="s">
        <v>61</v>
      </c>
    </row>
    <row r="1192" spans="1:31" x14ac:dyDescent="0.35">
      <c r="A1192" s="13" t="s">
        <v>1896</v>
      </c>
      <c r="B1192" s="13" t="s">
        <v>1523</v>
      </c>
      <c r="C1192" s="13" t="s">
        <v>1524</v>
      </c>
      <c r="D1192" s="13" t="s">
        <v>76</v>
      </c>
      <c r="E1192" s="13" t="s">
        <v>65</v>
      </c>
      <c r="F1192" s="13" t="s">
        <v>111</v>
      </c>
      <c r="G1192" s="13" t="s">
        <v>55</v>
      </c>
      <c r="H1192">
        <v>115000</v>
      </c>
      <c r="I1192" s="13" t="s">
        <v>93</v>
      </c>
      <c r="J1192" s="13" t="s">
        <v>94</v>
      </c>
      <c r="K1192" s="13" t="s">
        <v>81</v>
      </c>
      <c r="L1192" s="13" t="s">
        <v>95</v>
      </c>
      <c r="M1192">
        <v>30</v>
      </c>
      <c r="N1192">
        <v>0</v>
      </c>
      <c r="O1192" s="14">
        <v>45992</v>
      </c>
      <c r="P1192" s="14">
        <v>46022</v>
      </c>
      <c r="Q1192">
        <v>1355.8</v>
      </c>
      <c r="R1192">
        <v>0</v>
      </c>
      <c r="S1192">
        <v>0</v>
      </c>
      <c r="T1192">
        <v>0</v>
      </c>
      <c r="U1192">
        <v>0</v>
      </c>
      <c r="V1192">
        <v>1355.8</v>
      </c>
      <c r="W1192">
        <v>0</v>
      </c>
      <c r="X1192">
        <v>1</v>
      </c>
      <c r="Y1192">
        <v>0</v>
      </c>
      <c r="Z1192">
        <v>0</v>
      </c>
      <c r="AA1192">
        <v>1</v>
      </c>
      <c r="AB1192" s="13" t="s">
        <v>581</v>
      </c>
      <c r="AC1192">
        <v>0</v>
      </c>
      <c r="AD1192">
        <v>0</v>
      </c>
      <c r="AE1192" s="13" t="s">
        <v>61</v>
      </c>
    </row>
    <row r="1193" spans="1:31" x14ac:dyDescent="0.35">
      <c r="A1193" s="13" t="s">
        <v>1897</v>
      </c>
      <c r="B1193" s="13" t="s">
        <v>1898</v>
      </c>
      <c r="C1193" s="13" t="s">
        <v>1899</v>
      </c>
      <c r="D1193" s="13" t="s">
        <v>104</v>
      </c>
      <c r="E1193" s="13" t="s">
        <v>77</v>
      </c>
      <c r="F1193" s="13" t="s">
        <v>174</v>
      </c>
      <c r="G1193" s="13" t="s">
        <v>67</v>
      </c>
      <c r="H1193">
        <v>105000</v>
      </c>
      <c r="I1193" s="13" t="s">
        <v>105</v>
      </c>
      <c r="J1193" s="13" t="s">
        <v>106</v>
      </c>
      <c r="K1193" s="13" t="s">
        <v>107</v>
      </c>
      <c r="L1193" s="13" t="s">
        <v>95</v>
      </c>
      <c r="M1193">
        <v>30</v>
      </c>
      <c r="N1193">
        <v>0</v>
      </c>
      <c r="O1193" s="14">
        <v>45992</v>
      </c>
      <c r="P1193" s="14">
        <v>46022</v>
      </c>
      <c r="Q1193">
        <v>800.02</v>
      </c>
      <c r="R1193">
        <v>0</v>
      </c>
      <c r="S1193">
        <v>0</v>
      </c>
      <c r="T1193">
        <v>0</v>
      </c>
      <c r="U1193">
        <v>0</v>
      </c>
      <c r="V1193">
        <v>800.02</v>
      </c>
      <c r="W1193">
        <v>0</v>
      </c>
      <c r="X1193">
        <v>1</v>
      </c>
      <c r="Y1193">
        <v>0</v>
      </c>
      <c r="Z1193">
        <v>0</v>
      </c>
      <c r="AA1193">
        <v>1</v>
      </c>
      <c r="AB1193" s="13" t="s">
        <v>581</v>
      </c>
      <c r="AC1193">
        <v>0</v>
      </c>
      <c r="AD1193">
        <v>0</v>
      </c>
      <c r="AE1193" s="13" t="s">
        <v>61</v>
      </c>
    </row>
    <row r="1194" spans="1:31" x14ac:dyDescent="0.35">
      <c r="A1194" s="13" t="s">
        <v>1900</v>
      </c>
      <c r="B1194" s="13" t="s">
        <v>890</v>
      </c>
      <c r="C1194" s="13" t="s">
        <v>891</v>
      </c>
      <c r="D1194" s="13" t="s">
        <v>76</v>
      </c>
      <c r="E1194" s="13" t="s">
        <v>99</v>
      </c>
      <c r="F1194" s="13" t="s">
        <v>100</v>
      </c>
      <c r="G1194" s="13" t="s">
        <v>67</v>
      </c>
      <c r="H1194">
        <v>110000</v>
      </c>
      <c r="I1194" s="13" t="s">
        <v>79</v>
      </c>
      <c r="J1194" s="13" t="s">
        <v>80</v>
      </c>
      <c r="K1194" s="13" t="s">
        <v>81</v>
      </c>
      <c r="L1194" s="13" t="s">
        <v>95</v>
      </c>
      <c r="M1194">
        <v>30</v>
      </c>
      <c r="N1194">
        <v>0</v>
      </c>
      <c r="O1194" s="14">
        <v>45992</v>
      </c>
      <c r="P1194" s="14">
        <v>46022</v>
      </c>
      <c r="Q1194">
        <v>1245.01</v>
      </c>
      <c r="R1194">
        <v>0</v>
      </c>
      <c r="S1194">
        <v>0</v>
      </c>
      <c r="T1194">
        <v>0</v>
      </c>
      <c r="U1194">
        <v>0</v>
      </c>
      <c r="V1194">
        <v>1245.01</v>
      </c>
      <c r="W1194">
        <v>0</v>
      </c>
      <c r="X1194">
        <v>1</v>
      </c>
      <c r="Y1194">
        <v>0</v>
      </c>
      <c r="Z1194">
        <v>0</v>
      </c>
      <c r="AA1194">
        <v>1</v>
      </c>
      <c r="AB1194" s="13" t="s">
        <v>581</v>
      </c>
      <c r="AC1194">
        <v>0</v>
      </c>
      <c r="AD1194">
        <v>0</v>
      </c>
      <c r="AE1194" s="13" t="s">
        <v>61</v>
      </c>
    </row>
    <row r="1195" spans="1:31" x14ac:dyDescent="0.35">
      <c r="A1195" s="13" t="s">
        <v>1901</v>
      </c>
      <c r="B1195" s="13" t="s">
        <v>1008</v>
      </c>
      <c r="C1195" s="13" t="s">
        <v>1009</v>
      </c>
      <c r="D1195" s="13" t="s">
        <v>104</v>
      </c>
      <c r="E1195" s="13" t="s">
        <v>77</v>
      </c>
      <c r="F1195" s="13" t="s">
        <v>174</v>
      </c>
      <c r="G1195" s="13" t="s">
        <v>67</v>
      </c>
      <c r="H1195">
        <v>95000</v>
      </c>
      <c r="I1195" s="13" t="s">
        <v>121</v>
      </c>
      <c r="J1195" s="13" t="s">
        <v>122</v>
      </c>
      <c r="K1195" s="13" t="s">
        <v>107</v>
      </c>
      <c r="L1195" s="13" t="s">
        <v>95</v>
      </c>
      <c r="M1195">
        <v>30</v>
      </c>
      <c r="N1195">
        <v>0</v>
      </c>
      <c r="O1195" s="14">
        <v>45992</v>
      </c>
      <c r="P1195" s="14">
        <v>46022</v>
      </c>
      <c r="Q1195">
        <v>4628.59</v>
      </c>
      <c r="R1195">
        <v>0</v>
      </c>
      <c r="S1195">
        <v>0</v>
      </c>
      <c r="T1195">
        <v>0</v>
      </c>
      <c r="U1195">
        <v>0</v>
      </c>
      <c r="V1195">
        <v>4628.59</v>
      </c>
      <c r="W1195">
        <v>0</v>
      </c>
      <c r="X1195">
        <v>1</v>
      </c>
      <c r="Y1195">
        <v>0</v>
      </c>
      <c r="Z1195">
        <v>0</v>
      </c>
      <c r="AA1195">
        <v>1</v>
      </c>
      <c r="AB1195" s="13" t="s">
        <v>581</v>
      </c>
      <c r="AC1195">
        <v>0</v>
      </c>
      <c r="AD1195">
        <v>0</v>
      </c>
      <c r="AE1195" s="13" t="s">
        <v>61</v>
      </c>
    </row>
    <row r="1196" spans="1:31" x14ac:dyDescent="0.35">
      <c r="A1196" s="13" t="s">
        <v>1902</v>
      </c>
      <c r="B1196" s="13" t="s">
        <v>147</v>
      </c>
      <c r="C1196" s="13" t="s">
        <v>148</v>
      </c>
      <c r="D1196" s="13" t="s">
        <v>104</v>
      </c>
      <c r="E1196" s="13" t="s">
        <v>53</v>
      </c>
      <c r="F1196" s="13" t="s">
        <v>54</v>
      </c>
      <c r="G1196" s="13" t="s">
        <v>67</v>
      </c>
      <c r="H1196">
        <v>80000</v>
      </c>
      <c r="I1196" s="13" t="s">
        <v>105</v>
      </c>
      <c r="J1196" s="13" t="s">
        <v>106</v>
      </c>
      <c r="K1196" s="13" t="s">
        <v>107</v>
      </c>
      <c r="L1196" s="13" t="s">
        <v>88</v>
      </c>
      <c r="M1196">
        <v>60</v>
      </c>
      <c r="N1196">
        <v>0</v>
      </c>
      <c r="O1196" s="14">
        <v>45992</v>
      </c>
      <c r="P1196" s="14">
        <v>46052</v>
      </c>
      <c r="Q1196">
        <v>3656.26</v>
      </c>
      <c r="R1196">
        <v>0</v>
      </c>
      <c r="S1196">
        <v>0</v>
      </c>
      <c r="T1196">
        <v>0</v>
      </c>
      <c r="U1196">
        <v>0</v>
      </c>
      <c r="V1196">
        <v>3656.26</v>
      </c>
      <c r="W1196">
        <v>0</v>
      </c>
      <c r="X1196">
        <v>1</v>
      </c>
      <c r="Y1196">
        <v>0</v>
      </c>
      <c r="Z1196">
        <v>-30</v>
      </c>
      <c r="AA1196">
        <v>1</v>
      </c>
      <c r="AB1196" s="13" t="s">
        <v>581</v>
      </c>
      <c r="AC1196">
        <v>0</v>
      </c>
      <c r="AD1196">
        <v>0</v>
      </c>
      <c r="AE1196" s="13" t="s">
        <v>61</v>
      </c>
    </row>
    <row r="1197" spans="1:31" x14ac:dyDescent="0.35">
      <c r="A1197" s="13" t="s">
        <v>1903</v>
      </c>
      <c r="B1197" s="13" t="s">
        <v>1672</v>
      </c>
      <c r="C1197" s="13" t="s">
        <v>1673</v>
      </c>
      <c r="D1197" s="13" t="s">
        <v>76</v>
      </c>
      <c r="E1197" s="13" t="s">
        <v>77</v>
      </c>
      <c r="F1197" s="13" t="s">
        <v>78</v>
      </c>
      <c r="G1197" s="13" t="s">
        <v>67</v>
      </c>
      <c r="H1197">
        <v>115000</v>
      </c>
      <c r="I1197" s="13" t="s">
        <v>79</v>
      </c>
      <c r="J1197" s="13" t="s">
        <v>80</v>
      </c>
      <c r="K1197" s="13" t="s">
        <v>81</v>
      </c>
      <c r="L1197" s="13" t="s">
        <v>95</v>
      </c>
      <c r="M1197">
        <v>30</v>
      </c>
      <c r="N1197">
        <v>0</v>
      </c>
      <c r="O1197" s="14">
        <v>45992</v>
      </c>
      <c r="P1197" s="14">
        <v>46022</v>
      </c>
      <c r="Q1197">
        <v>3404.27</v>
      </c>
      <c r="R1197">
        <v>0</v>
      </c>
      <c r="S1197">
        <v>0</v>
      </c>
      <c r="T1197">
        <v>0</v>
      </c>
      <c r="U1197">
        <v>0</v>
      </c>
      <c r="V1197">
        <v>3404.27</v>
      </c>
      <c r="W1197">
        <v>0</v>
      </c>
      <c r="X1197">
        <v>1</v>
      </c>
      <c r="Y1197">
        <v>0</v>
      </c>
      <c r="Z1197">
        <v>0</v>
      </c>
      <c r="AA1197">
        <v>1</v>
      </c>
      <c r="AB1197" s="13" t="s">
        <v>581</v>
      </c>
      <c r="AC1197">
        <v>0</v>
      </c>
      <c r="AD1197">
        <v>0</v>
      </c>
      <c r="AE1197" s="13" t="s">
        <v>61</v>
      </c>
    </row>
    <row r="1198" spans="1:31" x14ac:dyDescent="0.35">
      <c r="A1198" s="13" t="s">
        <v>1904</v>
      </c>
      <c r="B1198" s="13" t="s">
        <v>209</v>
      </c>
      <c r="C1198" s="13" t="s">
        <v>210</v>
      </c>
      <c r="D1198" s="13" t="s">
        <v>52</v>
      </c>
      <c r="E1198" s="13" t="s">
        <v>77</v>
      </c>
      <c r="F1198" s="13" t="s">
        <v>78</v>
      </c>
      <c r="G1198" s="13" t="s">
        <v>55</v>
      </c>
      <c r="H1198">
        <v>410000</v>
      </c>
      <c r="I1198" s="13" t="s">
        <v>56</v>
      </c>
      <c r="J1198" s="13" t="s">
        <v>57</v>
      </c>
      <c r="K1198" s="13" t="s">
        <v>58</v>
      </c>
      <c r="L1198" s="13" t="s">
        <v>88</v>
      </c>
      <c r="M1198">
        <v>60</v>
      </c>
      <c r="N1198">
        <v>0</v>
      </c>
      <c r="O1198" s="14">
        <v>45992</v>
      </c>
      <c r="P1198" s="14">
        <v>46052</v>
      </c>
      <c r="Q1198">
        <v>9765.83</v>
      </c>
      <c r="R1198">
        <v>0</v>
      </c>
      <c r="S1198">
        <v>0</v>
      </c>
      <c r="T1198">
        <v>0</v>
      </c>
      <c r="U1198">
        <v>0</v>
      </c>
      <c r="V1198">
        <v>9765.83</v>
      </c>
      <c r="W1198">
        <v>0</v>
      </c>
      <c r="X1198">
        <v>1</v>
      </c>
      <c r="Y1198">
        <v>0</v>
      </c>
      <c r="Z1198">
        <v>-30</v>
      </c>
      <c r="AA1198">
        <v>1</v>
      </c>
      <c r="AB1198" s="13" t="s">
        <v>581</v>
      </c>
      <c r="AC1198">
        <v>0</v>
      </c>
      <c r="AD1198">
        <v>0</v>
      </c>
      <c r="AE1198" s="13" t="s">
        <v>61</v>
      </c>
    </row>
    <row r="1199" spans="1:31" x14ac:dyDescent="0.35">
      <c r="A1199" s="13" t="s">
        <v>1905</v>
      </c>
      <c r="B1199" s="13" t="s">
        <v>283</v>
      </c>
      <c r="C1199" s="13" t="s">
        <v>284</v>
      </c>
      <c r="D1199" s="13" t="s">
        <v>104</v>
      </c>
      <c r="E1199" s="13" t="s">
        <v>53</v>
      </c>
      <c r="F1199" s="13" t="s">
        <v>135</v>
      </c>
      <c r="G1199" s="13" t="s">
        <v>92</v>
      </c>
      <c r="H1199">
        <v>105000</v>
      </c>
      <c r="I1199" s="13" t="s">
        <v>105</v>
      </c>
      <c r="J1199" s="13" t="s">
        <v>106</v>
      </c>
      <c r="K1199" s="13" t="s">
        <v>107</v>
      </c>
      <c r="L1199" s="13" t="s">
        <v>82</v>
      </c>
      <c r="M1199">
        <v>30</v>
      </c>
      <c r="N1199">
        <v>2</v>
      </c>
      <c r="O1199" s="14">
        <v>45992</v>
      </c>
      <c r="P1199" s="14">
        <v>46022</v>
      </c>
      <c r="Q1199">
        <v>1438.84</v>
      </c>
      <c r="R1199">
        <v>0</v>
      </c>
      <c r="S1199">
        <v>0</v>
      </c>
      <c r="T1199">
        <v>86.33</v>
      </c>
      <c r="U1199">
        <v>0</v>
      </c>
      <c r="V1199">
        <v>1352.51</v>
      </c>
      <c r="W1199">
        <v>0</v>
      </c>
      <c r="X1199">
        <v>1</v>
      </c>
      <c r="Y1199">
        <v>0</v>
      </c>
      <c r="Z1199">
        <v>0</v>
      </c>
      <c r="AA1199">
        <v>1</v>
      </c>
      <c r="AB1199" s="13" t="s">
        <v>581</v>
      </c>
      <c r="AC1199">
        <v>0</v>
      </c>
      <c r="AD1199">
        <v>0</v>
      </c>
      <c r="AE1199" s="13" t="s">
        <v>665</v>
      </c>
    </row>
    <row r="1200" spans="1:31" x14ac:dyDescent="0.35">
      <c r="A1200" s="13" t="s">
        <v>1906</v>
      </c>
      <c r="B1200" s="13" t="s">
        <v>1907</v>
      </c>
      <c r="C1200" s="13" t="s">
        <v>1908</v>
      </c>
      <c r="D1200" s="13" t="s">
        <v>104</v>
      </c>
      <c r="E1200" s="13" t="s">
        <v>77</v>
      </c>
      <c r="F1200" s="13" t="s">
        <v>78</v>
      </c>
      <c r="G1200" s="13" t="s">
        <v>92</v>
      </c>
      <c r="H1200">
        <v>65000</v>
      </c>
      <c r="I1200" s="13" t="s">
        <v>121</v>
      </c>
      <c r="J1200" s="13" t="s">
        <v>122</v>
      </c>
      <c r="K1200" s="13" t="s">
        <v>107</v>
      </c>
      <c r="L1200" s="13" t="s">
        <v>95</v>
      </c>
      <c r="M1200">
        <v>30</v>
      </c>
      <c r="N1200">
        <v>0</v>
      </c>
      <c r="O1200" s="14">
        <v>45992</v>
      </c>
      <c r="P1200" s="14">
        <v>46022</v>
      </c>
      <c r="Q1200">
        <v>6807.25</v>
      </c>
      <c r="R1200">
        <v>0</v>
      </c>
      <c r="S1200">
        <v>0</v>
      </c>
      <c r="T1200">
        <v>0</v>
      </c>
      <c r="U1200">
        <v>0</v>
      </c>
      <c r="V1200">
        <v>6807.25</v>
      </c>
      <c r="W1200">
        <v>0</v>
      </c>
      <c r="X1200">
        <v>1</v>
      </c>
      <c r="Y1200">
        <v>0</v>
      </c>
      <c r="Z1200">
        <v>0</v>
      </c>
      <c r="AA1200">
        <v>1</v>
      </c>
      <c r="AB1200" s="13" t="s">
        <v>581</v>
      </c>
      <c r="AC1200">
        <v>0</v>
      </c>
      <c r="AD1200">
        <v>0</v>
      </c>
      <c r="AE1200" s="13" t="s">
        <v>61</v>
      </c>
    </row>
    <row r="1201" spans="1:31" x14ac:dyDescent="0.35">
      <c r="A1201" s="13" t="s">
        <v>1909</v>
      </c>
      <c r="B1201" s="13" t="s">
        <v>162</v>
      </c>
      <c r="C1201" s="13" t="s">
        <v>163</v>
      </c>
      <c r="D1201" s="13" t="s">
        <v>76</v>
      </c>
      <c r="E1201" s="13" t="s">
        <v>99</v>
      </c>
      <c r="F1201" s="13" t="s">
        <v>127</v>
      </c>
      <c r="G1201" s="13" t="s">
        <v>67</v>
      </c>
      <c r="H1201">
        <v>90000</v>
      </c>
      <c r="I1201" s="13" t="s">
        <v>79</v>
      </c>
      <c r="J1201" s="13" t="s">
        <v>80</v>
      </c>
      <c r="K1201" s="13" t="s">
        <v>81</v>
      </c>
      <c r="L1201" s="13" t="s">
        <v>95</v>
      </c>
      <c r="M1201">
        <v>30</v>
      </c>
      <c r="N1201">
        <v>0</v>
      </c>
      <c r="O1201" s="14">
        <v>45992</v>
      </c>
      <c r="P1201" s="14">
        <v>46022</v>
      </c>
      <c r="Q1201">
        <v>460.38</v>
      </c>
      <c r="R1201">
        <v>0</v>
      </c>
      <c r="S1201">
        <v>0</v>
      </c>
      <c r="T1201">
        <v>0</v>
      </c>
      <c r="U1201">
        <v>0</v>
      </c>
      <c r="V1201">
        <v>460.38</v>
      </c>
      <c r="W1201">
        <v>0</v>
      </c>
      <c r="X1201">
        <v>1</v>
      </c>
      <c r="Y1201">
        <v>0</v>
      </c>
      <c r="Z1201">
        <v>0</v>
      </c>
      <c r="AA1201">
        <v>1</v>
      </c>
      <c r="AB1201" s="13" t="s">
        <v>581</v>
      </c>
      <c r="AC1201">
        <v>0</v>
      </c>
      <c r="AD1201">
        <v>0</v>
      </c>
      <c r="AE1201" s="13" t="s">
        <v>61</v>
      </c>
    </row>
    <row r="1202" spans="1:31" x14ac:dyDescent="0.35">
      <c r="A1202" s="13" t="s">
        <v>1910</v>
      </c>
      <c r="B1202" s="13" t="s">
        <v>1214</v>
      </c>
      <c r="C1202" s="13" t="s">
        <v>1215</v>
      </c>
      <c r="D1202" s="13" t="s">
        <v>76</v>
      </c>
      <c r="E1202" s="13" t="s">
        <v>53</v>
      </c>
      <c r="F1202" s="13" t="s">
        <v>135</v>
      </c>
      <c r="G1202" s="13" t="s">
        <v>92</v>
      </c>
      <c r="H1202">
        <v>55000</v>
      </c>
      <c r="I1202" s="13" t="s">
        <v>79</v>
      </c>
      <c r="J1202" s="13" t="s">
        <v>80</v>
      </c>
      <c r="K1202" s="13" t="s">
        <v>81</v>
      </c>
      <c r="L1202" s="13" t="s">
        <v>95</v>
      </c>
      <c r="M1202">
        <v>30</v>
      </c>
      <c r="N1202">
        <v>0</v>
      </c>
      <c r="O1202" s="14">
        <v>45992</v>
      </c>
      <c r="P1202" s="14">
        <v>46022</v>
      </c>
      <c r="Q1202">
        <v>594.75</v>
      </c>
      <c r="R1202">
        <v>0</v>
      </c>
      <c r="S1202">
        <v>0</v>
      </c>
      <c r="T1202">
        <v>0</v>
      </c>
      <c r="U1202">
        <v>0</v>
      </c>
      <c r="V1202">
        <v>594.75</v>
      </c>
      <c r="W1202">
        <v>0</v>
      </c>
      <c r="X1202">
        <v>1</v>
      </c>
      <c r="Y1202">
        <v>0</v>
      </c>
      <c r="Z1202">
        <v>0</v>
      </c>
      <c r="AA1202">
        <v>1</v>
      </c>
      <c r="AB1202" s="13" t="s">
        <v>581</v>
      </c>
      <c r="AC1202">
        <v>0</v>
      </c>
      <c r="AD1202">
        <v>0</v>
      </c>
      <c r="AE1202" s="13" t="s">
        <v>61</v>
      </c>
    </row>
    <row r="1203" spans="1:31" x14ac:dyDescent="0.35">
      <c r="A1203" s="13" t="s">
        <v>1911</v>
      </c>
      <c r="B1203" s="13" t="s">
        <v>542</v>
      </c>
      <c r="C1203" s="13" t="s">
        <v>543</v>
      </c>
      <c r="D1203" s="13" t="s">
        <v>126</v>
      </c>
      <c r="E1203" s="13" t="s">
        <v>71</v>
      </c>
      <c r="F1203" s="13" t="s">
        <v>72</v>
      </c>
      <c r="G1203" s="13" t="s">
        <v>67</v>
      </c>
      <c r="H1203">
        <v>95000</v>
      </c>
      <c r="I1203" s="13" t="s">
        <v>121</v>
      </c>
      <c r="J1203" s="13" t="s">
        <v>122</v>
      </c>
      <c r="K1203" s="13" t="s">
        <v>107</v>
      </c>
      <c r="L1203" s="13" t="s">
        <v>368</v>
      </c>
      <c r="M1203">
        <v>90</v>
      </c>
      <c r="N1203">
        <v>0</v>
      </c>
      <c r="O1203" s="14">
        <v>45992</v>
      </c>
      <c r="P1203" s="14">
        <v>46082</v>
      </c>
      <c r="Q1203">
        <v>1705.16</v>
      </c>
      <c r="R1203">
        <v>0</v>
      </c>
      <c r="S1203">
        <v>0</v>
      </c>
      <c r="T1203">
        <v>0</v>
      </c>
      <c r="U1203">
        <v>0</v>
      </c>
      <c r="V1203">
        <v>1705.16</v>
      </c>
      <c r="W1203">
        <v>0</v>
      </c>
      <c r="X1203">
        <v>1</v>
      </c>
      <c r="Y1203">
        <v>0</v>
      </c>
      <c r="Z1203">
        <v>-60</v>
      </c>
      <c r="AA1203">
        <v>1</v>
      </c>
      <c r="AB1203" s="13" t="s">
        <v>581</v>
      </c>
      <c r="AC1203">
        <v>0</v>
      </c>
      <c r="AD1203">
        <v>0</v>
      </c>
      <c r="AE1203" s="13" t="s">
        <v>61</v>
      </c>
    </row>
    <row r="1204" spans="1:31" x14ac:dyDescent="0.35">
      <c r="A1204" s="13" t="s">
        <v>1912</v>
      </c>
      <c r="B1204" s="13" t="s">
        <v>250</v>
      </c>
      <c r="C1204" s="13" t="s">
        <v>251</v>
      </c>
      <c r="D1204" s="13" t="s">
        <v>104</v>
      </c>
      <c r="E1204" s="13" t="s">
        <v>53</v>
      </c>
      <c r="F1204" s="13" t="s">
        <v>135</v>
      </c>
      <c r="G1204" s="13" t="s">
        <v>55</v>
      </c>
      <c r="H1204">
        <v>85000</v>
      </c>
      <c r="I1204" s="13" t="s">
        <v>105</v>
      </c>
      <c r="J1204" s="13" t="s">
        <v>106</v>
      </c>
      <c r="K1204" s="13" t="s">
        <v>107</v>
      </c>
      <c r="L1204" s="13" t="s">
        <v>88</v>
      </c>
      <c r="M1204">
        <v>60</v>
      </c>
      <c r="N1204">
        <v>0</v>
      </c>
      <c r="O1204" s="14">
        <v>45992</v>
      </c>
      <c r="P1204" s="14">
        <v>46052</v>
      </c>
      <c r="Q1204">
        <v>1384.04</v>
      </c>
      <c r="R1204">
        <v>0</v>
      </c>
      <c r="S1204">
        <v>0</v>
      </c>
      <c r="T1204">
        <v>0</v>
      </c>
      <c r="U1204">
        <v>0</v>
      </c>
      <c r="V1204">
        <v>1384.04</v>
      </c>
      <c r="W1204">
        <v>0</v>
      </c>
      <c r="X1204">
        <v>1</v>
      </c>
      <c r="Y1204">
        <v>0</v>
      </c>
      <c r="Z1204">
        <v>-30</v>
      </c>
      <c r="AA1204">
        <v>1</v>
      </c>
      <c r="AB1204" s="13" t="s">
        <v>581</v>
      </c>
      <c r="AC1204">
        <v>0</v>
      </c>
      <c r="AD1204">
        <v>0</v>
      </c>
      <c r="AE1204" s="13" t="s">
        <v>61</v>
      </c>
    </row>
    <row r="1205" spans="1:31" x14ac:dyDescent="0.35">
      <c r="A1205" s="13" t="s">
        <v>1913</v>
      </c>
      <c r="B1205" s="13" t="s">
        <v>695</v>
      </c>
      <c r="C1205" s="13" t="s">
        <v>696</v>
      </c>
      <c r="D1205" s="13" t="s">
        <v>52</v>
      </c>
      <c r="E1205" s="13" t="s">
        <v>53</v>
      </c>
      <c r="F1205" s="13" t="s">
        <v>54</v>
      </c>
      <c r="G1205" s="13" t="s">
        <v>92</v>
      </c>
      <c r="H1205">
        <v>535000</v>
      </c>
      <c r="I1205" s="13" t="s">
        <v>56</v>
      </c>
      <c r="J1205" s="13" t="s">
        <v>57</v>
      </c>
      <c r="K1205" s="13" t="s">
        <v>58</v>
      </c>
      <c r="L1205" s="13" t="s">
        <v>88</v>
      </c>
      <c r="M1205">
        <v>60</v>
      </c>
      <c r="N1205">
        <v>0</v>
      </c>
      <c r="O1205" s="14">
        <v>45992</v>
      </c>
      <c r="P1205" s="14">
        <v>46052</v>
      </c>
      <c r="Q1205">
        <v>2490.69</v>
      </c>
      <c r="R1205">
        <v>0</v>
      </c>
      <c r="S1205">
        <v>0</v>
      </c>
      <c r="T1205">
        <v>0</v>
      </c>
      <c r="U1205">
        <v>0</v>
      </c>
      <c r="V1205">
        <v>2490.69</v>
      </c>
      <c r="W1205">
        <v>0</v>
      </c>
      <c r="X1205">
        <v>1</v>
      </c>
      <c r="Y1205">
        <v>0</v>
      </c>
      <c r="Z1205">
        <v>-30</v>
      </c>
      <c r="AA1205">
        <v>1</v>
      </c>
      <c r="AB1205" s="13" t="s">
        <v>581</v>
      </c>
      <c r="AC1205">
        <v>0</v>
      </c>
      <c r="AD1205">
        <v>0</v>
      </c>
      <c r="AE1205" s="13" t="s">
        <v>61</v>
      </c>
    </row>
    <row r="1206" spans="1:31" x14ac:dyDescent="0.35">
      <c r="A1206" s="13" t="s">
        <v>1914</v>
      </c>
      <c r="B1206" s="13" t="s">
        <v>930</v>
      </c>
      <c r="C1206" s="13" t="s">
        <v>931</v>
      </c>
      <c r="D1206" s="13" t="s">
        <v>104</v>
      </c>
      <c r="E1206" s="13" t="s">
        <v>71</v>
      </c>
      <c r="F1206" s="13" t="s">
        <v>214</v>
      </c>
      <c r="G1206" s="13" t="s">
        <v>55</v>
      </c>
      <c r="H1206">
        <v>120000</v>
      </c>
      <c r="I1206" s="13" t="s">
        <v>121</v>
      </c>
      <c r="J1206" s="13" t="s">
        <v>122</v>
      </c>
      <c r="K1206" s="13" t="s">
        <v>107</v>
      </c>
      <c r="L1206" s="13" t="s">
        <v>88</v>
      </c>
      <c r="M1206">
        <v>60</v>
      </c>
      <c r="N1206">
        <v>0</v>
      </c>
      <c r="O1206" s="14">
        <v>45992</v>
      </c>
      <c r="P1206" s="14">
        <v>46052</v>
      </c>
      <c r="Q1206">
        <v>5094.3</v>
      </c>
      <c r="R1206">
        <v>0</v>
      </c>
      <c r="S1206">
        <v>0</v>
      </c>
      <c r="T1206">
        <v>0</v>
      </c>
      <c r="U1206">
        <v>0</v>
      </c>
      <c r="V1206">
        <v>5094.3</v>
      </c>
      <c r="W1206">
        <v>0</v>
      </c>
      <c r="X1206">
        <v>1</v>
      </c>
      <c r="Y1206">
        <v>0</v>
      </c>
      <c r="Z1206">
        <v>-30</v>
      </c>
      <c r="AA1206">
        <v>1</v>
      </c>
      <c r="AB1206" s="13" t="s">
        <v>581</v>
      </c>
      <c r="AC1206">
        <v>0</v>
      </c>
      <c r="AD1206">
        <v>0</v>
      </c>
      <c r="AE1206" s="13" t="s">
        <v>61</v>
      </c>
    </row>
    <row r="1207" spans="1:31" x14ac:dyDescent="0.35">
      <c r="A1207" s="13" t="s">
        <v>1915</v>
      </c>
      <c r="B1207" s="13" t="s">
        <v>1916</v>
      </c>
      <c r="C1207" s="13" t="s">
        <v>1917</v>
      </c>
      <c r="D1207" s="13" t="s">
        <v>104</v>
      </c>
      <c r="E1207" s="13" t="s">
        <v>99</v>
      </c>
      <c r="F1207" s="13" t="s">
        <v>127</v>
      </c>
      <c r="G1207" s="13" t="s">
        <v>67</v>
      </c>
      <c r="H1207">
        <v>140000</v>
      </c>
      <c r="I1207" s="13" t="s">
        <v>121</v>
      </c>
      <c r="J1207" s="13" t="s">
        <v>122</v>
      </c>
      <c r="K1207" s="13" t="s">
        <v>107</v>
      </c>
      <c r="L1207" s="13" t="s">
        <v>95</v>
      </c>
      <c r="M1207">
        <v>30</v>
      </c>
      <c r="N1207">
        <v>0</v>
      </c>
      <c r="O1207" s="14">
        <v>45992</v>
      </c>
      <c r="P1207" s="14">
        <v>46022</v>
      </c>
      <c r="Q1207">
        <v>921.21</v>
      </c>
      <c r="R1207">
        <v>0</v>
      </c>
      <c r="S1207">
        <v>0</v>
      </c>
      <c r="T1207">
        <v>0</v>
      </c>
      <c r="U1207">
        <v>0</v>
      </c>
      <c r="V1207">
        <v>921.21</v>
      </c>
      <c r="W1207">
        <v>0</v>
      </c>
      <c r="X1207">
        <v>1</v>
      </c>
      <c r="Y1207">
        <v>0</v>
      </c>
      <c r="Z1207">
        <v>0</v>
      </c>
      <c r="AA1207">
        <v>1</v>
      </c>
      <c r="AB1207" s="13" t="s">
        <v>581</v>
      </c>
      <c r="AC1207">
        <v>0</v>
      </c>
      <c r="AD1207">
        <v>0</v>
      </c>
      <c r="AE1207" s="13" t="s">
        <v>61</v>
      </c>
    </row>
    <row r="1208" spans="1:31" x14ac:dyDescent="0.35">
      <c r="A1208" s="13" t="s">
        <v>1918</v>
      </c>
      <c r="B1208" s="13" t="s">
        <v>812</v>
      </c>
      <c r="C1208" s="13" t="s">
        <v>813</v>
      </c>
      <c r="D1208" s="13" t="s">
        <v>126</v>
      </c>
      <c r="E1208" s="13" t="s">
        <v>53</v>
      </c>
      <c r="F1208" s="13" t="s">
        <v>135</v>
      </c>
      <c r="G1208" s="13" t="s">
        <v>67</v>
      </c>
      <c r="H1208">
        <v>175000</v>
      </c>
      <c r="I1208" s="13" t="s">
        <v>56</v>
      </c>
      <c r="J1208" s="13" t="s">
        <v>57</v>
      </c>
      <c r="K1208" s="13" t="s">
        <v>58</v>
      </c>
      <c r="L1208" s="13" t="s">
        <v>368</v>
      </c>
      <c r="M1208">
        <v>90</v>
      </c>
      <c r="N1208">
        <v>0</v>
      </c>
      <c r="O1208" s="14">
        <v>45992</v>
      </c>
      <c r="P1208" s="14">
        <v>46082</v>
      </c>
      <c r="Q1208">
        <v>2111.89</v>
      </c>
      <c r="R1208">
        <v>0</v>
      </c>
      <c r="S1208">
        <v>0</v>
      </c>
      <c r="T1208">
        <v>0</v>
      </c>
      <c r="U1208">
        <v>0</v>
      </c>
      <c r="V1208">
        <v>2111.89</v>
      </c>
      <c r="W1208">
        <v>0</v>
      </c>
      <c r="X1208">
        <v>1</v>
      </c>
      <c r="Y1208">
        <v>0</v>
      </c>
      <c r="Z1208">
        <v>-60</v>
      </c>
      <c r="AA1208">
        <v>1</v>
      </c>
      <c r="AB1208" s="13" t="s">
        <v>581</v>
      </c>
      <c r="AC1208">
        <v>0</v>
      </c>
      <c r="AD1208">
        <v>0</v>
      </c>
      <c r="AE1208" s="13" t="s">
        <v>61</v>
      </c>
    </row>
    <row r="1209" spans="1:31" x14ac:dyDescent="0.35">
      <c r="A1209" s="13" t="s">
        <v>1919</v>
      </c>
      <c r="B1209" s="13" t="s">
        <v>788</v>
      </c>
      <c r="C1209" s="13" t="s">
        <v>789</v>
      </c>
      <c r="D1209" s="13" t="s">
        <v>52</v>
      </c>
      <c r="E1209" s="13" t="s">
        <v>53</v>
      </c>
      <c r="F1209" s="13" t="s">
        <v>54</v>
      </c>
      <c r="G1209" s="13" t="s">
        <v>67</v>
      </c>
      <c r="H1209">
        <v>405000</v>
      </c>
      <c r="I1209" s="13" t="s">
        <v>86</v>
      </c>
      <c r="J1209" s="13" t="s">
        <v>87</v>
      </c>
      <c r="K1209" s="13" t="s">
        <v>58</v>
      </c>
      <c r="L1209" s="13" t="s">
        <v>88</v>
      </c>
      <c r="M1209">
        <v>60</v>
      </c>
      <c r="N1209">
        <v>0</v>
      </c>
      <c r="O1209" s="14">
        <v>45992</v>
      </c>
      <c r="P1209" s="14">
        <v>46052</v>
      </c>
      <c r="Q1209">
        <v>8070.84</v>
      </c>
      <c r="R1209">
        <v>0</v>
      </c>
      <c r="S1209">
        <v>0</v>
      </c>
      <c r="T1209">
        <v>0</v>
      </c>
      <c r="U1209">
        <v>0</v>
      </c>
      <c r="V1209">
        <v>8070.84</v>
      </c>
      <c r="W1209">
        <v>0</v>
      </c>
      <c r="X1209">
        <v>1</v>
      </c>
      <c r="Y1209">
        <v>0</v>
      </c>
      <c r="Z1209">
        <v>-30</v>
      </c>
      <c r="AA1209">
        <v>1</v>
      </c>
      <c r="AB1209" s="13" t="s">
        <v>581</v>
      </c>
      <c r="AC1209">
        <v>0</v>
      </c>
      <c r="AD1209">
        <v>0</v>
      </c>
      <c r="AE1209" s="13" t="s">
        <v>61</v>
      </c>
    </row>
    <row r="1210" spans="1:31" x14ac:dyDescent="0.35">
      <c r="A1210" s="13" t="s">
        <v>1920</v>
      </c>
      <c r="B1210" s="13" t="s">
        <v>587</v>
      </c>
      <c r="C1210" s="13" t="s">
        <v>588</v>
      </c>
      <c r="D1210" s="13" t="s">
        <v>126</v>
      </c>
      <c r="E1210" s="13" t="s">
        <v>99</v>
      </c>
      <c r="F1210" s="13" t="s">
        <v>100</v>
      </c>
      <c r="G1210" s="13" t="s">
        <v>67</v>
      </c>
      <c r="H1210">
        <v>190000</v>
      </c>
      <c r="I1210" s="13" t="s">
        <v>86</v>
      </c>
      <c r="J1210" s="13" t="s">
        <v>87</v>
      </c>
      <c r="K1210" s="13" t="s">
        <v>58</v>
      </c>
      <c r="L1210" s="13" t="s">
        <v>368</v>
      </c>
      <c r="M1210">
        <v>90</v>
      </c>
      <c r="N1210">
        <v>0</v>
      </c>
      <c r="O1210" s="14">
        <v>45992</v>
      </c>
      <c r="P1210" s="14">
        <v>46082</v>
      </c>
      <c r="Q1210">
        <v>1107.83</v>
      </c>
      <c r="R1210">
        <v>0</v>
      </c>
      <c r="S1210">
        <v>0</v>
      </c>
      <c r="T1210">
        <v>0</v>
      </c>
      <c r="U1210">
        <v>0</v>
      </c>
      <c r="V1210">
        <v>1107.83</v>
      </c>
      <c r="W1210">
        <v>0</v>
      </c>
      <c r="X1210">
        <v>1</v>
      </c>
      <c r="Y1210">
        <v>0</v>
      </c>
      <c r="Z1210">
        <v>-60</v>
      </c>
      <c r="AA1210">
        <v>1</v>
      </c>
      <c r="AB1210" s="13" t="s">
        <v>581</v>
      </c>
      <c r="AC1210">
        <v>0</v>
      </c>
      <c r="AD1210">
        <v>0</v>
      </c>
      <c r="AE1210" s="13" t="s">
        <v>61</v>
      </c>
    </row>
    <row r="1211" spans="1:31" x14ac:dyDescent="0.35">
      <c r="A1211" s="13" t="s">
        <v>1921</v>
      </c>
      <c r="B1211" s="13" t="s">
        <v>425</v>
      </c>
      <c r="C1211" s="13" t="s">
        <v>426</v>
      </c>
      <c r="D1211" s="13" t="s">
        <v>126</v>
      </c>
      <c r="E1211" s="13" t="s">
        <v>77</v>
      </c>
      <c r="F1211" s="13" t="s">
        <v>78</v>
      </c>
      <c r="G1211" s="13" t="s">
        <v>67</v>
      </c>
      <c r="H1211">
        <v>230000</v>
      </c>
      <c r="I1211" s="13" t="s">
        <v>56</v>
      </c>
      <c r="J1211" s="13" t="s">
        <v>57</v>
      </c>
      <c r="K1211" s="13" t="s">
        <v>58</v>
      </c>
      <c r="L1211" s="13" t="s">
        <v>368</v>
      </c>
      <c r="M1211">
        <v>90</v>
      </c>
      <c r="N1211">
        <v>0</v>
      </c>
      <c r="O1211" s="14">
        <v>45992</v>
      </c>
      <c r="P1211" s="14">
        <v>46082</v>
      </c>
      <c r="Q1211">
        <v>4334.5</v>
      </c>
      <c r="R1211">
        <v>0</v>
      </c>
      <c r="S1211">
        <v>0</v>
      </c>
      <c r="T1211">
        <v>0</v>
      </c>
      <c r="U1211">
        <v>0</v>
      </c>
      <c r="V1211">
        <v>4334.5</v>
      </c>
      <c r="W1211">
        <v>0</v>
      </c>
      <c r="X1211">
        <v>1</v>
      </c>
      <c r="Y1211">
        <v>0</v>
      </c>
      <c r="Z1211">
        <v>-60</v>
      </c>
      <c r="AA1211">
        <v>1</v>
      </c>
      <c r="AB1211" s="13" t="s">
        <v>581</v>
      </c>
      <c r="AC1211">
        <v>0</v>
      </c>
      <c r="AD1211">
        <v>0</v>
      </c>
      <c r="AE1211" s="13" t="s">
        <v>61</v>
      </c>
    </row>
    <row r="1212" spans="1:31" x14ac:dyDescent="0.35">
      <c r="A1212" s="13" t="s">
        <v>1922</v>
      </c>
      <c r="B1212" s="13" t="s">
        <v>1536</v>
      </c>
      <c r="C1212" s="13" t="s">
        <v>1537</v>
      </c>
      <c r="D1212" s="13" t="s">
        <v>76</v>
      </c>
      <c r="E1212" s="13" t="s">
        <v>99</v>
      </c>
      <c r="F1212" s="13" t="s">
        <v>127</v>
      </c>
      <c r="G1212" s="13" t="s">
        <v>55</v>
      </c>
      <c r="H1212">
        <v>50000</v>
      </c>
      <c r="I1212" s="13" t="s">
        <v>93</v>
      </c>
      <c r="J1212" s="13" t="s">
        <v>94</v>
      </c>
      <c r="K1212" s="13" t="s">
        <v>81</v>
      </c>
      <c r="L1212" s="13" t="s">
        <v>95</v>
      </c>
      <c r="M1212">
        <v>30</v>
      </c>
      <c r="N1212">
        <v>0</v>
      </c>
      <c r="O1212" s="14">
        <v>45992</v>
      </c>
      <c r="P1212" s="14">
        <v>46022</v>
      </c>
      <c r="Q1212">
        <v>4305.8100000000004</v>
      </c>
      <c r="R1212">
        <v>0</v>
      </c>
      <c r="S1212">
        <v>0</v>
      </c>
      <c r="T1212">
        <v>0</v>
      </c>
      <c r="U1212">
        <v>0</v>
      </c>
      <c r="V1212">
        <v>4305.8100000000004</v>
      </c>
      <c r="W1212">
        <v>0</v>
      </c>
      <c r="X1212">
        <v>1</v>
      </c>
      <c r="Y1212">
        <v>0</v>
      </c>
      <c r="Z1212">
        <v>0</v>
      </c>
      <c r="AA1212">
        <v>1</v>
      </c>
      <c r="AB1212" s="13" t="s">
        <v>581</v>
      </c>
      <c r="AC1212">
        <v>0</v>
      </c>
      <c r="AD1212">
        <v>0</v>
      </c>
      <c r="AE1212" s="13" t="s">
        <v>61</v>
      </c>
    </row>
    <row r="1213" spans="1:31" x14ac:dyDescent="0.35">
      <c r="A1213" s="13" t="s">
        <v>1923</v>
      </c>
      <c r="B1213" s="13" t="s">
        <v>933</v>
      </c>
      <c r="C1213" s="13" t="s">
        <v>934</v>
      </c>
      <c r="D1213" s="13" t="s">
        <v>76</v>
      </c>
      <c r="E1213" s="13" t="s">
        <v>71</v>
      </c>
      <c r="F1213" s="13" t="s">
        <v>214</v>
      </c>
      <c r="G1213" s="13" t="s">
        <v>67</v>
      </c>
      <c r="H1213">
        <v>115000</v>
      </c>
      <c r="I1213" s="13" t="s">
        <v>79</v>
      </c>
      <c r="J1213" s="13" t="s">
        <v>80</v>
      </c>
      <c r="K1213" s="13" t="s">
        <v>81</v>
      </c>
      <c r="L1213" s="13" t="s">
        <v>95</v>
      </c>
      <c r="M1213">
        <v>30</v>
      </c>
      <c r="N1213">
        <v>0</v>
      </c>
      <c r="O1213" s="14">
        <v>45992</v>
      </c>
      <c r="P1213" s="14">
        <v>46022</v>
      </c>
      <c r="Q1213">
        <v>591.82000000000005</v>
      </c>
      <c r="R1213">
        <v>0</v>
      </c>
      <c r="S1213">
        <v>0</v>
      </c>
      <c r="T1213">
        <v>0</v>
      </c>
      <c r="U1213">
        <v>0</v>
      </c>
      <c r="V1213">
        <v>591.82000000000005</v>
      </c>
      <c r="W1213">
        <v>0</v>
      </c>
      <c r="X1213">
        <v>1</v>
      </c>
      <c r="Y1213">
        <v>0</v>
      </c>
      <c r="Z1213">
        <v>0</v>
      </c>
      <c r="AA1213">
        <v>1</v>
      </c>
      <c r="AB1213" s="13" t="s">
        <v>581</v>
      </c>
      <c r="AC1213">
        <v>0</v>
      </c>
      <c r="AD1213">
        <v>0</v>
      </c>
      <c r="AE1213" s="13" t="s">
        <v>61</v>
      </c>
    </row>
    <row r="1214" spans="1:31" x14ac:dyDescent="0.35">
      <c r="A1214" s="13" t="s">
        <v>1924</v>
      </c>
      <c r="B1214" s="13" t="s">
        <v>1546</v>
      </c>
      <c r="C1214" s="13" t="s">
        <v>1547</v>
      </c>
      <c r="D1214" s="13" t="s">
        <v>76</v>
      </c>
      <c r="E1214" s="13" t="s">
        <v>77</v>
      </c>
      <c r="F1214" s="13" t="s">
        <v>174</v>
      </c>
      <c r="G1214" s="13" t="s">
        <v>92</v>
      </c>
      <c r="H1214">
        <v>70000</v>
      </c>
      <c r="I1214" s="13" t="s">
        <v>93</v>
      </c>
      <c r="J1214" s="13" t="s">
        <v>94</v>
      </c>
      <c r="K1214" s="13" t="s">
        <v>81</v>
      </c>
      <c r="L1214" s="13" t="s">
        <v>95</v>
      </c>
      <c r="M1214">
        <v>30</v>
      </c>
      <c r="N1214">
        <v>0</v>
      </c>
      <c r="O1214" s="14">
        <v>45992</v>
      </c>
      <c r="P1214" s="14">
        <v>46022</v>
      </c>
      <c r="Q1214">
        <v>4469.9799999999996</v>
      </c>
      <c r="R1214">
        <v>0</v>
      </c>
      <c r="S1214">
        <v>0</v>
      </c>
      <c r="T1214">
        <v>0</v>
      </c>
      <c r="U1214">
        <v>0</v>
      </c>
      <c r="V1214">
        <v>4469.9799999999996</v>
      </c>
      <c r="W1214">
        <v>0</v>
      </c>
      <c r="X1214">
        <v>1</v>
      </c>
      <c r="Y1214">
        <v>0</v>
      </c>
      <c r="Z1214">
        <v>0</v>
      </c>
      <c r="AA1214">
        <v>1</v>
      </c>
      <c r="AB1214" s="13" t="s">
        <v>581</v>
      </c>
      <c r="AC1214">
        <v>0</v>
      </c>
      <c r="AD1214">
        <v>0</v>
      </c>
      <c r="AE1214" s="13" t="s">
        <v>61</v>
      </c>
    </row>
    <row r="1215" spans="1:31" x14ac:dyDescent="0.35">
      <c r="A1215" s="13" t="s">
        <v>1925</v>
      </c>
      <c r="B1215" s="13" t="s">
        <v>590</v>
      </c>
      <c r="C1215" s="13" t="s">
        <v>591</v>
      </c>
      <c r="D1215" s="13" t="s">
        <v>52</v>
      </c>
      <c r="E1215" s="13" t="s">
        <v>53</v>
      </c>
      <c r="F1215" s="13" t="s">
        <v>135</v>
      </c>
      <c r="G1215" s="13" t="s">
        <v>67</v>
      </c>
      <c r="H1215">
        <v>240000</v>
      </c>
      <c r="I1215" s="13" t="s">
        <v>86</v>
      </c>
      <c r="J1215" s="13" t="s">
        <v>87</v>
      </c>
      <c r="K1215" s="13" t="s">
        <v>58</v>
      </c>
      <c r="L1215" s="13" t="s">
        <v>88</v>
      </c>
      <c r="M1215">
        <v>60</v>
      </c>
      <c r="N1215">
        <v>0</v>
      </c>
      <c r="O1215" s="14">
        <v>45992</v>
      </c>
      <c r="P1215" s="14">
        <v>46052</v>
      </c>
      <c r="Q1215">
        <v>1971.85</v>
      </c>
      <c r="R1215">
        <v>0</v>
      </c>
      <c r="S1215">
        <v>0</v>
      </c>
      <c r="T1215">
        <v>0</v>
      </c>
      <c r="U1215">
        <v>0</v>
      </c>
      <c r="V1215">
        <v>1971.85</v>
      </c>
      <c r="W1215">
        <v>0</v>
      </c>
      <c r="X1215">
        <v>1</v>
      </c>
      <c r="Y1215">
        <v>0</v>
      </c>
      <c r="Z1215">
        <v>-30</v>
      </c>
      <c r="AA1215">
        <v>1</v>
      </c>
      <c r="AB1215" s="13" t="s">
        <v>581</v>
      </c>
      <c r="AC1215">
        <v>0</v>
      </c>
      <c r="AD1215">
        <v>0</v>
      </c>
      <c r="AE1215" s="13" t="s">
        <v>61</v>
      </c>
    </row>
    <row r="1216" spans="1:31" x14ac:dyDescent="0.35">
      <c r="A1216" s="13" t="s">
        <v>1926</v>
      </c>
      <c r="B1216" s="13" t="s">
        <v>1064</v>
      </c>
      <c r="C1216" s="13" t="s">
        <v>1065</v>
      </c>
      <c r="D1216" s="13" t="s">
        <v>76</v>
      </c>
      <c r="E1216" s="13" t="s">
        <v>99</v>
      </c>
      <c r="F1216" s="13" t="s">
        <v>127</v>
      </c>
      <c r="G1216" s="13" t="s">
        <v>55</v>
      </c>
      <c r="H1216">
        <v>25000</v>
      </c>
      <c r="I1216" s="13" t="s">
        <v>93</v>
      </c>
      <c r="J1216" s="13" t="s">
        <v>94</v>
      </c>
      <c r="K1216" s="13" t="s">
        <v>81</v>
      </c>
      <c r="L1216" s="13" t="s">
        <v>95</v>
      </c>
      <c r="M1216">
        <v>30</v>
      </c>
      <c r="N1216">
        <v>0</v>
      </c>
      <c r="O1216" s="14">
        <v>45992</v>
      </c>
      <c r="P1216" s="14">
        <v>46022</v>
      </c>
      <c r="Q1216">
        <v>4899.84</v>
      </c>
      <c r="R1216">
        <v>0</v>
      </c>
      <c r="S1216">
        <v>0</v>
      </c>
      <c r="T1216">
        <v>0</v>
      </c>
      <c r="U1216">
        <v>0</v>
      </c>
      <c r="V1216">
        <v>4899.84</v>
      </c>
      <c r="W1216">
        <v>0</v>
      </c>
      <c r="X1216">
        <v>1</v>
      </c>
      <c r="Y1216">
        <v>0</v>
      </c>
      <c r="Z1216">
        <v>0</v>
      </c>
      <c r="AA1216">
        <v>1</v>
      </c>
      <c r="AB1216" s="13" t="s">
        <v>581</v>
      </c>
      <c r="AC1216">
        <v>0</v>
      </c>
      <c r="AD1216">
        <v>0</v>
      </c>
      <c r="AE1216" s="13" t="s">
        <v>61</v>
      </c>
    </row>
    <row r="1217" spans="1:31" x14ac:dyDescent="0.35">
      <c r="A1217" s="13" t="s">
        <v>1927</v>
      </c>
      <c r="B1217" s="13" t="s">
        <v>263</v>
      </c>
      <c r="C1217" s="13" t="s">
        <v>264</v>
      </c>
      <c r="D1217" s="13" t="s">
        <v>52</v>
      </c>
      <c r="E1217" s="13" t="s">
        <v>99</v>
      </c>
      <c r="F1217" s="13" t="s">
        <v>100</v>
      </c>
      <c r="G1217" s="13" t="s">
        <v>55</v>
      </c>
      <c r="H1217">
        <v>590000</v>
      </c>
      <c r="I1217" s="13" t="s">
        <v>86</v>
      </c>
      <c r="J1217" s="13" t="s">
        <v>87</v>
      </c>
      <c r="K1217" s="13" t="s">
        <v>58</v>
      </c>
      <c r="L1217" s="13" t="s">
        <v>88</v>
      </c>
      <c r="M1217">
        <v>60</v>
      </c>
      <c r="N1217">
        <v>0</v>
      </c>
      <c r="O1217" s="14">
        <v>45992</v>
      </c>
      <c r="P1217" s="14">
        <v>46052</v>
      </c>
      <c r="Q1217">
        <v>2561.64</v>
      </c>
      <c r="R1217">
        <v>0</v>
      </c>
      <c r="S1217">
        <v>0</v>
      </c>
      <c r="T1217">
        <v>0</v>
      </c>
      <c r="U1217">
        <v>0</v>
      </c>
      <c r="V1217">
        <v>2561.64</v>
      </c>
      <c r="W1217">
        <v>0</v>
      </c>
      <c r="X1217">
        <v>1</v>
      </c>
      <c r="Y1217">
        <v>0</v>
      </c>
      <c r="Z1217">
        <v>-30</v>
      </c>
      <c r="AA1217">
        <v>1</v>
      </c>
      <c r="AB1217" s="13" t="s">
        <v>581</v>
      </c>
      <c r="AC1217">
        <v>0</v>
      </c>
      <c r="AD1217">
        <v>1</v>
      </c>
      <c r="AE1217" s="13" t="s">
        <v>348</v>
      </c>
    </row>
    <row r="1218" spans="1:31" x14ac:dyDescent="0.35">
      <c r="A1218" s="13" t="s">
        <v>1928</v>
      </c>
      <c r="B1218" s="13" t="s">
        <v>1589</v>
      </c>
      <c r="C1218" s="13" t="s">
        <v>1590</v>
      </c>
      <c r="D1218" s="13" t="s">
        <v>76</v>
      </c>
      <c r="E1218" s="13" t="s">
        <v>99</v>
      </c>
      <c r="F1218" s="13" t="s">
        <v>100</v>
      </c>
      <c r="G1218" s="13" t="s">
        <v>67</v>
      </c>
      <c r="H1218">
        <v>40000</v>
      </c>
      <c r="I1218" s="13" t="s">
        <v>79</v>
      </c>
      <c r="J1218" s="13" t="s">
        <v>80</v>
      </c>
      <c r="K1218" s="13" t="s">
        <v>81</v>
      </c>
      <c r="L1218" s="13" t="s">
        <v>95</v>
      </c>
      <c r="M1218">
        <v>30</v>
      </c>
      <c r="N1218">
        <v>0</v>
      </c>
      <c r="O1218" s="14">
        <v>45992</v>
      </c>
      <c r="P1218" s="14">
        <v>46022</v>
      </c>
      <c r="Q1218">
        <v>565.04</v>
      </c>
      <c r="R1218">
        <v>0</v>
      </c>
      <c r="S1218">
        <v>0</v>
      </c>
      <c r="T1218">
        <v>0</v>
      </c>
      <c r="U1218">
        <v>0</v>
      </c>
      <c r="V1218">
        <v>565.04</v>
      </c>
      <c r="W1218">
        <v>0</v>
      </c>
      <c r="X1218">
        <v>1</v>
      </c>
      <c r="Y1218">
        <v>0</v>
      </c>
      <c r="Z1218">
        <v>0</v>
      </c>
      <c r="AA1218">
        <v>1</v>
      </c>
      <c r="AB1218" s="13" t="s">
        <v>581</v>
      </c>
      <c r="AC1218">
        <v>0</v>
      </c>
      <c r="AD1218">
        <v>0</v>
      </c>
      <c r="AE1218" s="13" t="s">
        <v>61</v>
      </c>
    </row>
    <row r="1219" spans="1:31" x14ac:dyDescent="0.35">
      <c r="A1219" s="13" t="s">
        <v>1929</v>
      </c>
      <c r="B1219" s="13" t="s">
        <v>244</v>
      </c>
      <c r="C1219" s="13" t="s">
        <v>245</v>
      </c>
      <c r="D1219" s="13" t="s">
        <v>52</v>
      </c>
      <c r="E1219" s="13" t="s">
        <v>65</v>
      </c>
      <c r="F1219" s="13" t="s">
        <v>111</v>
      </c>
      <c r="G1219" s="13" t="s">
        <v>55</v>
      </c>
      <c r="H1219">
        <v>590000</v>
      </c>
      <c r="I1219" s="13" t="s">
        <v>86</v>
      </c>
      <c r="J1219" s="13" t="s">
        <v>87</v>
      </c>
      <c r="K1219" s="13" t="s">
        <v>58</v>
      </c>
      <c r="L1219" s="13" t="s">
        <v>59</v>
      </c>
      <c r="M1219">
        <v>45</v>
      </c>
      <c r="N1219">
        <v>0</v>
      </c>
      <c r="O1219" s="14">
        <v>45993</v>
      </c>
      <c r="P1219" s="14">
        <v>46038</v>
      </c>
      <c r="Q1219">
        <v>2610.3000000000002</v>
      </c>
      <c r="R1219">
        <v>0</v>
      </c>
      <c r="S1219">
        <v>0</v>
      </c>
      <c r="T1219">
        <v>0</v>
      </c>
      <c r="U1219">
        <v>0</v>
      </c>
      <c r="V1219">
        <v>2610.3000000000002</v>
      </c>
      <c r="W1219">
        <v>0</v>
      </c>
      <c r="X1219">
        <v>1</v>
      </c>
      <c r="Y1219">
        <v>0</v>
      </c>
      <c r="Z1219">
        <v>-16</v>
      </c>
      <c r="AA1219">
        <v>1</v>
      </c>
      <c r="AB1219" s="13" t="s">
        <v>581</v>
      </c>
      <c r="AC1219">
        <v>0</v>
      </c>
      <c r="AD1219">
        <v>0</v>
      </c>
      <c r="AE1219" s="13" t="s">
        <v>61</v>
      </c>
    </row>
    <row r="1220" spans="1:31" x14ac:dyDescent="0.35">
      <c r="A1220" s="13" t="s">
        <v>1930</v>
      </c>
      <c r="B1220" s="13" t="s">
        <v>1285</v>
      </c>
      <c r="C1220" s="13" t="s">
        <v>1286</v>
      </c>
      <c r="D1220" s="13" t="s">
        <v>76</v>
      </c>
      <c r="E1220" s="13" t="s">
        <v>53</v>
      </c>
      <c r="F1220" s="13" t="s">
        <v>54</v>
      </c>
      <c r="G1220" s="13" t="s">
        <v>55</v>
      </c>
      <c r="H1220">
        <v>105000</v>
      </c>
      <c r="I1220" s="13" t="s">
        <v>79</v>
      </c>
      <c r="J1220" s="13" t="s">
        <v>80</v>
      </c>
      <c r="K1220" s="13" t="s">
        <v>81</v>
      </c>
      <c r="L1220" s="13" t="s">
        <v>95</v>
      </c>
      <c r="M1220">
        <v>30</v>
      </c>
      <c r="N1220">
        <v>0</v>
      </c>
      <c r="O1220" s="14">
        <v>45993</v>
      </c>
      <c r="P1220" s="14">
        <v>46023</v>
      </c>
      <c r="Q1220">
        <v>2477.5500000000002</v>
      </c>
      <c r="R1220">
        <v>0</v>
      </c>
      <c r="S1220">
        <v>0</v>
      </c>
      <c r="T1220">
        <v>0</v>
      </c>
      <c r="U1220">
        <v>0</v>
      </c>
      <c r="V1220">
        <v>2477.5500000000002</v>
      </c>
      <c r="W1220">
        <v>0</v>
      </c>
      <c r="X1220">
        <v>1</v>
      </c>
      <c r="Y1220">
        <v>0</v>
      </c>
      <c r="Z1220">
        <v>-1</v>
      </c>
      <c r="AA1220">
        <v>1</v>
      </c>
      <c r="AB1220" s="13" t="s">
        <v>581</v>
      </c>
      <c r="AC1220">
        <v>0</v>
      </c>
      <c r="AD1220">
        <v>0</v>
      </c>
      <c r="AE1220" s="13" t="s">
        <v>61</v>
      </c>
    </row>
    <row r="1221" spans="1:31" x14ac:dyDescent="0.35">
      <c r="A1221" s="13" t="s">
        <v>1931</v>
      </c>
      <c r="B1221" s="13" t="s">
        <v>203</v>
      </c>
      <c r="C1221" s="13" t="s">
        <v>204</v>
      </c>
      <c r="D1221" s="13" t="s">
        <v>52</v>
      </c>
      <c r="E1221" s="13" t="s">
        <v>53</v>
      </c>
      <c r="F1221" s="13" t="s">
        <v>135</v>
      </c>
      <c r="G1221" s="13" t="s">
        <v>67</v>
      </c>
      <c r="H1221">
        <v>500000</v>
      </c>
      <c r="I1221" s="13" t="s">
        <v>56</v>
      </c>
      <c r="J1221" s="13" t="s">
        <v>57</v>
      </c>
      <c r="K1221" s="13" t="s">
        <v>58</v>
      </c>
      <c r="L1221" s="13" t="s">
        <v>59</v>
      </c>
      <c r="M1221">
        <v>45</v>
      </c>
      <c r="N1221">
        <v>0</v>
      </c>
      <c r="O1221" s="14">
        <v>45993</v>
      </c>
      <c r="P1221" s="14">
        <v>46038</v>
      </c>
      <c r="Q1221">
        <v>3819.8</v>
      </c>
      <c r="R1221">
        <v>0</v>
      </c>
      <c r="S1221">
        <v>0</v>
      </c>
      <c r="T1221">
        <v>0</v>
      </c>
      <c r="U1221">
        <v>0</v>
      </c>
      <c r="V1221">
        <v>3819.8</v>
      </c>
      <c r="W1221">
        <v>0</v>
      </c>
      <c r="X1221">
        <v>1</v>
      </c>
      <c r="Y1221">
        <v>0</v>
      </c>
      <c r="Z1221">
        <v>-16</v>
      </c>
      <c r="AA1221">
        <v>1</v>
      </c>
      <c r="AB1221" s="13" t="s">
        <v>581</v>
      </c>
      <c r="AC1221">
        <v>0</v>
      </c>
      <c r="AD1221">
        <v>0</v>
      </c>
      <c r="AE1221" s="13" t="s">
        <v>61</v>
      </c>
    </row>
    <row r="1222" spans="1:31" x14ac:dyDescent="0.35">
      <c r="A1222" s="13" t="s">
        <v>1932</v>
      </c>
      <c r="B1222" s="13" t="s">
        <v>702</v>
      </c>
      <c r="C1222" s="13" t="s">
        <v>703</v>
      </c>
      <c r="D1222" s="13" t="s">
        <v>52</v>
      </c>
      <c r="E1222" s="13" t="s">
        <v>65</v>
      </c>
      <c r="F1222" s="13" t="s">
        <v>111</v>
      </c>
      <c r="G1222" s="13" t="s">
        <v>67</v>
      </c>
      <c r="H1222">
        <v>435000</v>
      </c>
      <c r="I1222" s="13" t="s">
        <v>86</v>
      </c>
      <c r="J1222" s="13" t="s">
        <v>87</v>
      </c>
      <c r="K1222" s="13" t="s">
        <v>58</v>
      </c>
      <c r="L1222" s="13" t="s">
        <v>59</v>
      </c>
      <c r="M1222">
        <v>45</v>
      </c>
      <c r="N1222">
        <v>0</v>
      </c>
      <c r="O1222" s="14">
        <v>45993</v>
      </c>
      <c r="P1222" s="14">
        <v>46038</v>
      </c>
      <c r="Q1222">
        <v>2555.65</v>
      </c>
      <c r="R1222">
        <v>0</v>
      </c>
      <c r="S1222">
        <v>0</v>
      </c>
      <c r="T1222">
        <v>0</v>
      </c>
      <c r="U1222">
        <v>0</v>
      </c>
      <c r="V1222">
        <v>2555.65</v>
      </c>
      <c r="W1222">
        <v>0</v>
      </c>
      <c r="X1222">
        <v>1</v>
      </c>
      <c r="Y1222">
        <v>0</v>
      </c>
      <c r="Z1222">
        <v>-16</v>
      </c>
      <c r="AA1222">
        <v>1</v>
      </c>
      <c r="AB1222" s="13" t="s">
        <v>581</v>
      </c>
      <c r="AC1222">
        <v>0</v>
      </c>
      <c r="AD1222">
        <v>0</v>
      </c>
      <c r="AE1222" s="13" t="s">
        <v>61</v>
      </c>
    </row>
    <row r="1223" spans="1:31" x14ac:dyDescent="0.35">
      <c r="A1223" s="13" t="s">
        <v>1933</v>
      </c>
      <c r="B1223" s="13" t="s">
        <v>1366</v>
      </c>
      <c r="C1223" s="13" t="s">
        <v>1367</v>
      </c>
      <c r="D1223" s="13" t="s">
        <v>126</v>
      </c>
      <c r="E1223" s="13" t="s">
        <v>65</v>
      </c>
      <c r="F1223" s="13" t="s">
        <v>111</v>
      </c>
      <c r="G1223" s="13" t="s">
        <v>67</v>
      </c>
      <c r="H1223">
        <v>205000</v>
      </c>
      <c r="I1223" s="13" t="s">
        <v>56</v>
      </c>
      <c r="J1223" s="13" t="s">
        <v>57</v>
      </c>
      <c r="K1223" s="13" t="s">
        <v>58</v>
      </c>
      <c r="L1223" s="13" t="s">
        <v>88</v>
      </c>
      <c r="M1223">
        <v>60</v>
      </c>
      <c r="N1223">
        <v>0</v>
      </c>
      <c r="O1223" s="14">
        <v>45993</v>
      </c>
      <c r="P1223" s="14">
        <v>46053</v>
      </c>
      <c r="Q1223">
        <v>1099.28</v>
      </c>
      <c r="R1223">
        <v>0</v>
      </c>
      <c r="S1223">
        <v>0</v>
      </c>
      <c r="T1223">
        <v>0</v>
      </c>
      <c r="U1223">
        <v>0</v>
      </c>
      <c r="V1223">
        <v>1099.28</v>
      </c>
      <c r="W1223">
        <v>0</v>
      </c>
      <c r="X1223">
        <v>1</v>
      </c>
      <c r="Y1223">
        <v>0</v>
      </c>
      <c r="Z1223">
        <v>-31</v>
      </c>
      <c r="AA1223">
        <v>1</v>
      </c>
      <c r="AB1223" s="13" t="s">
        <v>581</v>
      </c>
      <c r="AC1223">
        <v>0</v>
      </c>
      <c r="AD1223">
        <v>0</v>
      </c>
      <c r="AE1223" s="13" t="s">
        <v>61</v>
      </c>
    </row>
    <row r="1224" spans="1:31" x14ac:dyDescent="0.35">
      <c r="A1224" s="13" t="s">
        <v>1934</v>
      </c>
      <c r="B1224" s="13" t="s">
        <v>452</v>
      </c>
      <c r="C1224" s="13" t="s">
        <v>453</v>
      </c>
      <c r="D1224" s="13" t="s">
        <v>126</v>
      </c>
      <c r="E1224" s="13" t="s">
        <v>71</v>
      </c>
      <c r="F1224" s="13" t="s">
        <v>214</v>
      </c>
      <c r="G1224" s="13" t="s">
        <v>67</v>
      </c>
      <c r="H1224">
        <v>110000</v>
      </c>
      <c r="I1224" s="13" t="s">
        <v>121</v>
      </c>
      <c r="J1224" s="13" t="s">
        <v>122</v>
      </c>
      <c r="K1224" s="13" t="s">
        <v>107</v>
      </c>
      <c r="L1224" s="13" t="s">
        <v>368</v>
      </c>
      <c r="M1224">
        <v>90</v>
      </c>
      <c r="N1224">
        <v>0</v>
      </c>
      <c r="O1224" s="14">
        <v>45993</v>
      </c>
      <c r="P1224" s="14">
        <v>46083</v>
      </c>
      <c r="Q1224">
        <v>7552.51</v>
      </c>
      <c r="R1224">
        <v>0</v>
      </c>
      <c r="S1224">
        <v>0</v>
      </c>
      <c r="T1224">
        <v>0</v>
      </c>
      <c r="U1224">
        <v>0</v>
      </c>
      <c r="V1224">
        <v>7552.51</v>
      </c>
      <c r="W1224">
        <v>0</v>
      </c>
      <c r="X1224">
        <v>1</v>
      </c>
      <c r="Y1224">
        <v>0</v>
      </c>
      <c r="Z1224">
        <v>-61</v>
      </c>
      <c r="AA1224">
        <v>1</v>
      </c>
      <c r="AB1224" s="13" t="s">
        <v>581</v>
      </c>
      <c r="AC1224">
        <v>0</v>
      </c>
      <c r="AD1224">
        <v>0</v>
      </c>
      <c r="AE1224" s="13" t="s">
        <v>61</v>
      </c>
    </row>
    <row r="1225" spans="1:31" x14ac:dyDescent="0.35">
      <c r="A1225" s="13" t="s">
        <v>1935</v>
      </c>
      <c r="B1225" s="13" t="s">
        <v>393</v>
      </c>
      <c r="C1225" s="13" t="s">
        <v>394</v>
      </c>
      <c r="D1225" s="13" t="s">
        <v>76</v>
      </c>
      <c r="E1225" s="13" t="s">
        <v>65</v>
      </c>
      <c r="F1225" s="13" t="s">
        <v>66</v>
      </c>
      <c r="G1225" s="13" t="s">
        <v>55</v>
      </c>
      <c r="H1225">
        <v>50000</v>
      </c>
      <c r="I1225" s="13" t="s">
        <v>93</v>
      </c>
      <c r="J1225" s="13" t="s">
        <v>94</v>
      </c>
      <c r="K1225" s="13" t="s">
        <v>81</v>
      </c>
      <c r="L1225" s="13" t="s">
        <v>95</v>
      </c>
      <c r="M1225">
        <v>30</v>
      </c>
      <c r="N1225">
        <v>0</v>
      </c>
      <c r="O1225" s="14">
        <v>45993</v>
      </c>
      <c r="P1225" s="14">
        <v>46023</v>
      </c>
      <c r="Q1225">
        <v>4613.8599999999997</v>
      </c>
      <c r="R1225">
        <v>0</v>
      </c>
      <c r="S1225">
        <v>0</v>
      </c>
      <c r="T1225">
        <v>0</v>
      </c>
      <c r="U1225">
        <v>0</v>
      </c>
      <c r="V1225">
        <v>4613.8599999999997</v>
      </c>
      <c r="W1225">
        <v>0</v>
      </c>
      <c r="X1225">
        <v>1</v>
      </c>
      <c r="Y1225">
        <v>0</v>
      </c>
      <c r="Z1225">
        <v>-1</v>
      </c>
      <c r="AA1225">
        <v>1</v>
      </c>
      <c r="AB1225" s="13" t="s">
        <v>581</v>
      </c>
      <c r="AC1225">
        <v>0</v>
      </c>
      <c r="AD1225">
        <v>0</v>
      </c>
      <c r="AE1225" s="13" t="s">
        <v>61</v>
      </c>
    </row>
    <row r="1226" spans="1:31" x14ac:dyDescent="0.35">
      <c r="A1226" s="13" t="s">
        <v>1936</v>
      </c>
      <c r="B1226" s="13" t="s">
        <v>418</v>
      </c>
      <c r="C1226" s="13" t="s">
        <v>419</v>
      </c>
      <c r="D1226" s="13" t="s">
        <v>52</v>
      </c>
      <c r="E1226" s="13" t="s">
        <v>99</v>
      </c>
      <c r="F1226" s="13" t="s">
        <v>100</v>
      </c>
      <c r="G1226" s="13" t="s">
        <v>67</v>
      </c>
      <c r="H1226">
        <v>535000</v>
      </c>
      <c r="I1226" s="13" t="s">
        <v>86</v>
      </c>
      <c r="J1226" s="13" t="s">
        <v>87</v>
      </c>
      <c r="K1226" s="13" t="s">
        <v>58</v>
      </c>
      <c r="L1226" s="13" t="s">
        <v>59</v>
      </c>
      <c r="M1226">
        <v>45</v>
      </c>
      <c r="N1226">
        <v>0</v>
      </c>
      <c r="O1226" s="14">
        <v>45993</v>
      </c>
      <c r="P1226" s="14">
        <v>46038</v>
      </c>
      <c r="Q1226">
        <v>4988.12</v>
      </c>
      <c r="R1226">
        <v>0</v>
      </c>
      <c r="S1226">
        <v>0</v>
      </c>
      <c r="T1226">
        <v>0</v>
      </c>
      <c r="U1226">
        <v>0</v>
      </c>
      <c r="V1226">
        <v>4988.12</v>
      </c>
      <c r="W1226">
        <v>0</v>
      </c>
      <c r="X1226">
        <v>1</v>
      </c>
      <c r="Y1226">
        <v>0</v>
      </c>
      <c r="Z1226">
        <v>-16</v>
      </c>
      <c r="AA1226">
        <v>1</v>
      </c>
      <c r="AB1226" s="13" t="s">
        <v>581</v>
      </c>
      <c r="AC1226">
        <v>0</v>
      </c>
      <c r="AD1226">
        <v>0</v>
      </c>
      <c r="AE1226" s="13" t="s">
        <v>61</v>
      </c>
    </row>
    <row r="1227" spans="1:31" x14ac:dyDescent="0.35">
      <c r="A1227" s="13" t="s">
        <v>1937</v>
      </c>
      <c r="B1227" s="13" t="s">
        <v>84</v>
      </c>
      <c r="C1227" s="13" t="s">
        <v>85</v>
      </c>
      <c r="D1227" s="13" t="s">
        <v>52</v>
      </c>
      <c r="E1227" s="13" t="s">
        <v>71</v>
      </c>
      <c r="F1227" s="13" t="s">
        <v>72</v>
      </c>
      <c r="G1227" s="13" t="s">
        <v>67</v>
      </c>
      <c r="H1227">
        <v>600000</v>
      </c>
      <c r="I1227" s="13" t="s">
        <v>86</v>
      </c>
      <c r="J1227" s="13" t="s">
        <v>87</v>
      </c>
      <c r="K1227" s="13" t="s">
        <v>58</v>
      </c>
      <c r="L1227" s="13" t="s">
        <v>88</v>
      </c>
      <c r="M1227">
        <v>60</v>
      </c>
      <c r="N1227">
        <v>0</v>
      </c>
      <c r="O1227" s="14">
        <v>45993</v>
      </c>
      <c r="P1227" s="14">
        <v>46053</v>
      </c>
      <c r="Q1227">
        <v>1889.87</v>
      </c>
      <c r="R1227">
        <v>0</v>
      </c>
      <c r="S1227">
        <v>0</v>
      </c>
      <c r="T1227">
        <v>0</v>
      </c>
      <c r="U1227">
        <v>0</v>
      </c>
      <c r="V1227">
        <v>1889.87</v>
      </c>
      <c r="W1227">
        <v>0</v>
      </c>
      <c r="X1227">
        <v>1</v>
      </c>
      <c r="Y1227">
        <v>0</v>
      </c>
      <c r="Z1227">
        <v>-31</v>
      </c>
      <c r="AA1227">
        <v>1</v>
      </c>
      <c r="AB1227" s="13" t="s">
        <v>581</v>
      </c>
      <c r="AC1227">
        <v>0</v>
      </c>
      <c r="AD1227">
        <v>0</v>
      </c>
      <c r="AE1227" s="13" t="s">
        <v>61</v>
      </c>
    </row>
    <row r="1228" spans="1:31" x14ac:dyDescent="0.35">
      <c r="A1228" s="13" t="s">
        <v>1938</v>
      </c>
      <c r="B1228" s="13" t="s">
        <v>917</v>
      </c>
      <c r="C1228" s="13" t="s">
        <v>918</v>
      </c>
      <c r="D1228" s="13" t="s">
        <v>126</v>
      </c>
      <c r="E1228" s="13" t="s">
        <v>53</v>
      </c>
      <c r="F1228" s="13" t="s">
        <v>54</v>
      </c>
      <c r="G1228" s="13" t="s">
        <v>67</v>
      </c>
      <c r="H1228">
        <v>65000</v>
      </c>
      <c r="I1228" s="13" t="s">
        <v>105</v>
      </c>
      <c r="J1228" s="13" t="s">
        <v>106</v>
      </c>
      <c r="K1228" s="13" t="s">
        <v>107</v>
      </c>
      <c r="L1228" s="13" t="s">
        <v>368</v>
      </c>
      <c r="M1228">
        <v>90</v>
      </c>
      <c r="N1228">
        <v>0</v>
      </c>
      <c r="O1228" s="14">
        <v>45993</v>
      </c>
      <c r="P1228" s="14">
        <v>46083</v>
      </c>
      <c r="Q1228">
        <v>8149.81</v>
      </c>
      <c r="R1228">
        <v>0</v>
      </c>
      <c r="S1228">
        <v>0</v>
      </c>
      <c r="T1228">
        <v>0</v>
      </c>
      <c r="U1228">
        <v>0</v>
      </c>
      <c r="V1228">
        <v>8149.81</v>
      </c>
      <c r="W1228">
        <v>0</v>
      </c>
      <c r="X1228">
        <v>1</v>
      </c>
      <c r="Y1228">
        <v>0</v>
      </c>
      <c r="Z1228">
        <v>-61</v>
      </c>
      <c r="AA1228">
        <v>1</v>
      </c>
      <c r="AB1228" s="13" t="s">
        <v>581</v>
      </c>
      <c r="AC1228">
        <v>0</v>
      </c>
      <c r="AD1228">
        <v>0</v>
      </c>
      <c r="AE1228" s="13" t="s">
        <v>61</v>
      </c>
    </row>
    <row r="1229" spans="1:31" x14ac:dyDescent="0.35">
      <c r="A1229" s="13" t="s">
        <v>1939</v>
      </c>
      <c r="B1229" s="13" t="s">
        <v>539</v>
      </c>
      <c r="C1229" s="13" t="s">
        <v>540</v>
      </c>
      <c r="D1229" s="13" t="s">
        <v>52</v>
      </c>
      <c r="E1229" s="13" t="s">
        <v>65</v>
      </c>
      <c r="F1229" s="13" t="s">
        <v>66</v>
      </c>
      <c r="G1229" s="13" t="s">
        <v>67</v>
      </c>
      <c r="H1229">
        <v>435000</v>
      </c>
      <c r="I1229" s="13" t="s">
        <v>56</v>
      </c>
      <c r="J1229" s="13" t="s">
        <v>57</v>
      </c>
      <c r="K1229" s="13" t="s">
        <v>58</v>
      </c>
      <c r="L1229" s="13" t="s">
        <v>59</v>
      </c>
      <c r="M1229">
        <v>45</v>
      </c>
      <c r="N1229">
        <v>0</v>
      </c>
      <c r="O1229" s="14">
        <v>45993</v>
      </c>
      <c r="P1229" s="14">
        <v>46038</v>
      </c>
      <c r="Q1229">
        <v>2844.62</v>
      </c>
      <c r="R1229">
        <v>0</v>
      </c>
      <c r="S1229">
        <v>0</v>
      </c>
      <c r="T1229">
        <v>0</v>
      </c>
      <c r="U1229">
        <v>0</v>
      </c>
      <c r="V1229">
        <v>2844.62</v>
      </c>
      <c r="W1229">
        <v>0</v>
      </c>
      <c r="X1229">
        <v>1</v>
      </c>
      <c r="Y1229">
        <v>0</v>
      </c>
      <c r="Z1229">
        <v>-16</v>
      </c>
      <c r="AA1229">
        <v>1</v>
      </c>
      <c r="AB1229" s="13" t="s">
        <v>581</v>
      </c>
      <c r="AC1229">
        <v>0</v>
      </c>
      <c r="AD1229">
        <v>0</v>
      </c>
      <c r="AE1229" s="13" t="s">
        <v>61</v>
      </c>
    </row>
    <row r="1230" spans="1:31" x14ac:dyDescent="0.35">
      <c r="A1230" s="13" t="s">
        <v>1940</v>
      </c>
      <c r="B1230" s="13" t="s">
        <v>1720</v>
      </c>
      <c r="C1230" s="13" t="s">
        <v>1721</v>
      </c>
      <c r="D1230" s="13" t="s">
        <v>104</v>
      </c>
      <c r="E1230" s="13" t="s">
        <v>65</v>
      </c>
      <c r="F1230" s="13" t="s">
        <v>111</v>
      </c>
      <c r="G1230" s="13" t="s">
        <v>67</v>
      </c>
      <c r="H1230">
        <v>80000</v>
      </c>
      <c r="I1230" s="13" t="s">
        <v>105</v>
      </c>
      <c r="J1230" s="13" t="s">
        <v>106</v>
      </c>
      <c r="K1230" s="13" t="s">
        <v>107</v>
      </c>
      <c r="L1230" s="13" t="s">
        <v>95</v>
      </c>
      <c r="M1230">
        <v>30</v>
      </c>
      <c r="N1230">
        <v>0</v>
      </c>
      <c r="O1230" s="14">
        <v>45993</v>
      </c>
      <c r="P1230" s="14">
        <v>46023</v>
      </c>
      <c r="Q1230">
        <v>2767.34</v>
      </c>
      <c r="R1230">
        <v>0</v>
      </c>
      <c r="S1230">
        <v>0</v>
      </c>
      <c r="T1230">
        <v>0</v>
      </c>
      <c r="U1230">
        <v>0</v>
      </c>
      <c r="V1230">
        <v>2767.34</v>
      </c>
      <c r="W1230">
        <v>0</v>
      </c>
      <c r="X1230">
        <v>1</v>
      </c>
      <c r="Y1230">
        <v>0</v>
      </c>
      <c r="Z1230">
        <v>-1</v>
      </c>
      <c r="AA1230">
        <v>1</v>
      </c>
      <c r="AB1230" s="13" t="s">
        <v>581</v>
      </c>
      <c r="AC1230">
        <v>0</v>
      </c>
      <c r="AD1230">
        <v>0</v>
      </c>
      <c r="AE1230" s="13" t="s">
        <v>61</v>
      </c>
    </row>
    <row r="1231" spans="1:31" x14ac:dyDescent="0.35">
      <c r="A1231" s="13" t="s">
        <v>1941</v>
      </c>
      <c r="B1231" s="13" t="s">
        <v>309</v>
      </c>
      <c r="C1231" s="13" t="s">
        <v>310</v>
      </c>
      <c r="D1231" s="13" t="s">
        <v>104</v>
      </c>
      <c r="E1231" s="13" t="s">
        <v>53</v>
      </c>
      <c r="F1231" s="13" t="s">
        <v>135</v>
      </c>
      <c r="G1231" s="13" t="s">
        <v>67</v>
      </c>
      <c r="H1231">
        <v>125000</v>
      </c>
      <c r="I1231" s="13" t="s">
        <v>121</v>
      </c>
      <c r="J1231" s="13" t="s">
        <v>122</v>
      </c>
      <c r="K1231" s="13" t="s">
        <v>107</v>
      </c>
      <c r="L1231" s="13" t="s">
        <v>88</v>
      </c>
      <c r="M1231">
        <v>60</v>
      </c>
      <c r="N1231">
        <v>0</v>
      </c>
      <c r="O1231" s="14">
        <v>45993</v>
      </c>
      <c r="P1231" s="14">
        <v>46053</v>
      </c>
      <c r="Q1231">
        <v>963.84</v>
      </c>
      <c r="R1231">
        <v>0</v>
      </c>
      <c r="S1231">
        <v>0</v>
      </c>
      <c r="T1231">
        <v>0</v>
      </c>
      <c r="U1231">
        <v>0</v>
      </c>
      <c r="V1231">
        <v>963.84</v>
      </c>
      <c r="W1231">
        <v>0</v>
      </c>
      <c r="X1231">
        <v>1</v>
      </c>
      <c r="Y1231">
        <v>0</v>
      </c>
      <c r="Z1231">
        <v>-31</v>
      </c>
      <c r="AA1231">
        <v>1</v>
      </c>
      <c r="AB1231" s="13" t="s">
        <v>581</v>
      </c>
      <c r="AC1231">
        <v>0</v>
      </c>
      <c r="AD1231">
        <v>0</v>
      </c>
      <c r="AE1231" s="13" t="s">
        <v>61</v>
      </c>
    </row>
    <row r="1232" spans="1:31" x14ac:dyDescent="0.35">
      <c r="A1232" s="13" t="s">
        <v>1942</v>
      </c>
      <c r="B1232" s="13" t="s">
        <v>225</v>
      </c>
      <c r="C1232" s="13" t="s">
        <v>226</v>
      </c>
      <c r="D1232" s="13" t="s">
        <v>52</v>
      </c>
      <c r="E1232" s="13" t="s">
        <v>77</v>
      </c>
      <c r="F1232" s="13" t="s">
        <v>174</v>
      </c>
      <c r="G1232" s="13" t="s">
        <v>55</v>
      </c>
      <c r="H1232">
        <v>570000</v>
      </c>
      <c r="I1232" s="13" t="s">
        <v>56</v>
      </c>
      <c r="J1232" s="13" t="s">
        <v>57</v>
      </c>
      <c r="K1232" s="13" t="s">
        <v>58</v>
      </c>
      <c r="L1232" s="13" t="s">
        <v>59</v>
      </c>
      <c r="M1232">
        <v>45</v>
      </c>
      <c r="N1232">
        <v>0</v>
      </c>
      <c r="O1232" s="14">
        <v>45993</v>
      </c>
      <c r="P1232" s="14">
        <v>46038</v>
      </c>
      <c r="Q1232">
        <v>13924.76</v>
      </c>
      <c r="R1232">
        <v>0</v>
      </c>
      <c r="S1232">
        <v>0</v>
      </c>
      <c r="T1232">
        <v>0</v>
      </c>
      <c r="U1232">
        <v>0</v>
      </c>
      <c r="V1232">
        <v>13924.76</v>
      </c>
      <c r="W1232">
        <v>0</v>
      </c>
      <c r="X1232">
        <v>1</v>
      </c>
      <c r="Y1232">
        <v>0</v>
      </c>
      <c r="Z1232">
        <v>-16</v>
      </c>
      <c r="AA1232">
        <v>1</v>
      </c>
      <c r="AB1232" s="13" t="s">
        <v>581</v>
      </c>
      <c r="AC1232">
        <v>0</v>
      </c>
      <c r="AD1232">
        <v>0</v>
      </c>
      <c r="AE1232" s="13" t="s">
        <v>61</v>
      </c>
    </row>
    <row r="1233" spans="1:31" x14ac:dyDescent="0.35">
      <c r="A1233" s="13" t="s">
        <v>1943</v>
      </c>
      <c r="B1233" s="13" t="s">
        <v>1307</v>
      </c>
      <c r="C1233" s="13" t="s">
        <v>1308</v>
      </c>
      <c r="D1233" s="13" t="s">
        <v>52</v>
      </c>
      <c r="E1233" s="13" t="s">
        <v>71</v>
      </c>
      <c r="F1233" s="13" t="s">
        <v>72</v>
      </c>
      <c r="G1233" s="13" t="s">
        <v>67</v>
      </c>
      <c r="H1233">
        <v>165000</v>
      </c>
      <c r="I1233" s="13" t="s">
        <v>86</v>
      </c>
      <c r="J1233" s="13" t="s">
        <v>87</v>
      </c>
      <c r="K1233" s="13" t="s">
        <v>58</v>
      </c>
      <c r="L1233" s="13" t="s">
        <v>59</v>
      </c>
      <c r="M1233">
        <v>45</v>
      </c>
      <c r="N1233">
        <v>0</v>
      </c>
      <c r="O1233" s="14">
        <v>45993</v>
      </c>
      <c r="P1233" s="14">
        <v>46038</v>
      </c>
      <c r="Q1233">
        <v>1625.42</v>
      </c>
      <c r="R1233">
        <v>0</v>
      </c>
      <c r="S1233">
        <v>0</v>
      </c>
      <c r="T1233">
        <v>0</v>
      </c>
      <c r="U1233">
        <v>0</v>
      </c>
      <c r="V1233">
        <v>1625.42</v>
      </c>
      <c r="W1233">
        <v>0</v>
      </c>
      <c r="X1233">
        <v>1</v>
      </c>
      <c r="Y1233">
        <v>0</v>
      </c>
      <c r="Z1233">
        <v>-16</v>
      </c>
      <c r="AA1233">
        <v>1</v>
      </c>
      <c r="AB1233" s="13" t="s">
        <v>581</v>
      </c>
      <c r="AC1233">
        <v>0</v>
      </c>
      <c r="AD1233">
        <v>0</v>
      </c>
      <c r="AE1233" s="13" t="s">
        <v>61</v>
      </c>
    </row>
    <row r="1234" spans="1:31" x14ac:dyDescent="0.35">
      <c r="A1234" s="13" t="s">
        <v>1944</v>
      </c>
      <c r="B1234" s="13" t="s">
        <v>141</v>
      </c>
      <c r="C1234" s="13" t="s">
        <v>142</v>
      </c>
      <c r="D1234" s="13" t="s">
        <v>76</v>
      </c>
      <c r="E1234" s="13" t="s">
        <v>65</v>
      </c>
      <c r="F1234" s="13" t="s">
        <v>66</v>
      </c>
      <c r="G1234" s="13" t="s">
        <v>67</v>
      </c>
      <c r="H1234">
        <v>120000</v>
      </c>
      <c r="I1234" s="13" t="s">
        <v>93</v>
      </c>
      <c r="J1234" s="13" t="s">
        <v>94</v>
      </c>
      <c r="K1234" s="13" t="s">
        <v>81</v>
      </c>
      <c r="L1234" s="13" t="s">
        <v>95</v>
      </c>
      <c r="M1234">
        <v>30</v>
      </c>
      <c r="N1234">
        <v>0</v>
      </c>
      <c r="O1234" s="14">
        <v>45993</v>
      </c>
      <c r="P1234" s="14">
        <v>46023</v>
      </c>
      <c r="Q1234">
        <v>685.52</v>
      </c>
      <c r="R1234">
        <v>0</v>
      </c>
      <c r="S1234">
        <v>0</v>
      </c>
      <c r="T1234">
        <v>0</v>
      </c>
      <c r="U1234">
        <v>0</v>
      </c>
      <c r="V1234">
        <v>685.52</v>
      </c>
      <c r="W1234">
        <v>0</v>
      </c>
      <c r="X1234">
        <v>1</v>
      </c>
      <c r="Y1234">
        <v>0</v>
      </c>
      <c r="Z1234">
        <v>-1</v>
      </c>
      <c r="AA1234">
        <v>1</v>
      </c>
      <c r="AB1234" s="13" t="s">
        <v>581</v>
      </c>
      <c r="AC1234">
        <v>0</v>
      </c>
      <c r="AD1234">
        <v>0</v>
      </c>
      <c r="AE1234" s="13" t="s">
        <v>61</v>
      </c>
    </row>
    <row r="1235" spans="1:31" x14ac:dyDescent="0.35">
      <c r="A1235" s="13" t="s">
        <v>1945</v>
      </c>
      <c r="B1235" s="13" t="s">
        <v>1004</v>
      </c>
      <c r="C1235" s="13" t="s">
        <v>1005</v>
      </c>
      <c r="D1235" s="13" t="s">
        <v>104</v>
      </c>
      <c r="E1235" s="13" t="s">
        <v>53</v>
      </c>
      <c r="F1235" s="13" t="s">
        <v>135</v>
      </c>
      <c r="G1235" s="13" t="s">
        <v>55</v>
      </c>
      <c r="H1235">
        <v>55000</v>
      </c>
      <c r="I1235" s="13" t="s">
        <v>121</v>
      </c>
      <c r="J1235" s="13" t="s">
        <v>122</v>
      </c>
      <c r="K1235" s="13" t="s">
        <v>107</v>
      </c>
      <c r="L1235" s="13" t="s">
        <v>88</v>
      </c>
      <c r="M1235">
        <v>60</v>
      </c>
      <c r="N1235">
        <v>0</v>
      </c>
      <c r="O1235" s="14">
        <v>45993</v>
      </c>
      <c r="P1235" s="14">
        <v>46053</v>
      </c>
      <c r="Q1235">
        <v>801.72</v>
      </c>
      <c r="R1235">
        <v>0</v>
      </c>
      <c r="S1235">
        <v>0</v>
      </c>
      <c r="T1235">
        <v>0</v>
      </c>
      <c r="U1235">
        <v>0</v>
      </c>
      <c r="V1235">
        <v>801.72</v>
      </c>
      <c r="W1235">
        <v>0</v>
      </c>
      <c r="X1235">
        <v>1</v>
      </c>
      <c r="Y1235">
        <v>0</v>
      </c>
      <c r="Z1235">
        <v>-31</v>
      </c>
      <c r="AA1235">
        <v>1</v>
      </c>
      <c r="AB1235" s="13" t="s">
        <v>581</v>
      </c>
      <c r="AC1235">
        <v>0</v>
      </c>
      <c r="AD1235">
        <v>0</v>
      </c>
      <c r="AE1235" s="13" t="s">
        <v>61</v>
      </c>
    </row>
    <row r="1236" spans="1:31" x14ac:dyDescent="0.35">
      <c r="A1236" s="13" t="s">
        <v>1946</v>
      </c>
      <c r="B1236" s="13" t="s">
        <v>780</v>
      </c>
      <c r="C1236" s="13" t="s">
        <v>781</v>
      </c>
      <c r="D1236" s="13" t="s">
        <v>52</v>
      </c>
      <c r="E1236" s="13" t="s">
        <v>77</v>
      </c>
      <c r="F1236" s="13" t="s">
        <v>174</v>
      </c>
      <c r="G1236" s="13" t="s">
        <v>55</v>
      </c>
      <c r="H1236">
        <v>290000</v>
      </c>
      <c r="I1236" s="13" t="s">
        <v>86</v>
      </c>
      <c r="J1236" s="13" t="s">
        <v>87</v>
      </c>
      <c r="K1236" s="13" t="s">
        <v>58</v>
      </c>
      <c r="L1236" s="13" t="s">
        <v>88</v>
      </c>
      <c r="M1236">
        <v>60</v>
      </c>
      <c r="N1236">
        <v>0</v>
      </c>
      <c r="O1236" s="14">
        <v>45993</v>
      </c>
      <c r="P1236" s="14">
        <v>46053</v>
      </c>
      <c r="Q1236">
        <v>15338.99</v>
      </c>
      <c r="R1236">
        <v>0</v>
      </c>
      <c r="S1236">
        <v>0</v>
      </c>
      <c r="T1236">
        <v>0</v>
      </c>
      <c r="U1236">
        <v>0</v>
      </c>
      <c r="V1236">
        <v>15338.99</v>
      </c>
      <c r="W1236">
        <v>0</v>
      </c>
      <c r="X1236">
        <v>1</v>
      </c>
      <c r="Y1236">
        <v>0</v>
      </c>
      <c r="Z1236">
        <v>-31</v>
      </c>
      <c r="AA1236">
        <v>1</v>
      </c>
      <c r="AB1236" s="13" t="s">
        <v>581</v>
      </c>
      <c r="AC1236">
        <v>0</v>
      </c>
      <c r="AD1236">
        <v>0</v>
      </c>
      <c r="AE1236" s="13" t="s">
        <v>61</v>
      </c>
    </row>
    <row r="1237" spans="1:31" x14ac:dyDescent="0.35">
      <c r="A1237" s="13" t="s">
        <v>1947</v>
      </c>
      <c r="B1237" s="13" t="s">
        <v>1948</v>
      </c>
      <c r="C1237" s="13" t="s">
        <v>1949</v>
      </c>
      <c r="D1237" s="13" t="s">
        <v>76</v>
      </c>
      <c r="E1237" s="13" t="s">
        <v>99</v>
      </c>
      <c r="F1237" s="13" t="s">
        <v>127</v>
      </c>
      <c r="G1237" s="13" t="s">
        <v>55</v>
      </c>
      <c r="H1237">
        <v>60000</v>
      </c>
      <c r="I1237" s="13" t="s">
        <v>79</v>
      </c>
      <c r="J1237" s="13" t="s">
        <v>80</v>
      </c>
      <c r="K1237" s="13" t="s">
        <v>81</v>
      </c>
      <c r="L1237" s="13" t="s">
        <v>82</v>
      </c>
      <c r="M1237">
        <v>30</v>
      </c>
      <c r="N1237">
        <v>2</v>
      </c>
      <c r="O1237" s="14">
        <v>45993</v>
      </c>
      <c r="P1237" s="14">
        <v>46023</v>
      </c>
      <c r="Q1237">
        <v>2455.65</v>
      </c>
      <c r="R1237">
        <v>0</v>
      </c>
      <c r="S1237">
        <v>0</v>
      </c>
      <c r="T1237">
        <v>0</v>
      </c>
      <c r="U1237">
        <v>0</v>
      </c>
      <c r="V1237">
        <v>2455.65</v>
      </c>
      <c r="W1237">
        <v>0</v>
      </c>
      <c r="X1237">
        <v>1</v>
      </c>
      <c r="Y1237">
        <v>0</v>
      </c>
      <c r="Z1237">
        <v>-1</v>
      </c>
      <c r="AA1237">
        <v>1</v>
      </c>
      <c r="AB1237" s="13" t="s">
        <v>581</v>
      </c>
      <c r="AC1237">
        <v>0</v>
      </c>
      <c r="AD1237">
        <v>0</v>
      </c>
      <c r="AE1237" s="13" t="s">
        <v>61</v>
      </c>
    </row>
    <row r="1238" spans="1:31" x14ac:dyDescent="0.35">
      <c r="A1238" s="13" t="s">
        <v>1950</v>
      </c>
      <c r="B1238" s="13" t="s">
        <v>1523</v>
      </c>
      <c r="C1238" s="13" t="s">
        <v>1524</v>
      </c>
      <c r="D1238" s="13" t="s">
        <v>76</v>
      </c>
      <c r="E1238" s="13" t="s">
        <v>65</v>
      </c>
      <c r="F1238" s="13" t="s">
        <v>111</v>
      </c>
      <c r="G1238" s="13" t="s">
        <v>55</v>
      </c>
      <c r="H1238">
        <v>115000</v>
      </c>
      <c r="I1238" s="13" t="s">
        <v>93</v>
      </c>
      <c r="J1238" s="13" t="s">
        <v>94</v>
      </c>
      <c r="K1238" s="13" t="s">
        <v>81</v>
      </c>
      <c r="L1238" s="13" t="s">
        <v>95</v>
      </c>
      <c r="M1238">
        <v>30</v>
      </c>
      <c r="N1238">
        <v>0</v>
      </c>
      <c r="O1238" s="14">
        <v>45993</v>
      </c>
      <c r="P1238" s="14">
        <v>46023</v>
      </c>
      <c r="Q1238">
        <v>3656.76</v>
      </c>
      <c r="R1238">
        <v>0</v>
      </c>
      <c r="S1238">
        <v>0</v>
      </c>
      <c r="T1238">
        <v>0</v>
      </c>
      <c r="U1238">
        <v>0</v>
      </c>
      <c r="V1238">
        <v>3656.76</v>
      </c>
      <c r="W1238">
        <v>0</v>
      </c>
      <c r="X1238">
        <v>1</v>
      </c>
      <c r="Y1238">
        <v>0</v>
      </c>
      <c r="Z1238">
        <v>-1</v>
      </c>
      <c r="AA1238">
        <v>1</v>
      </c>
      <c r="AB1238" s="13" t="s">
        <v>581</v>
      </c>
      <c r="AC1238">
        <v>0</v>
      </c>
      <c r="AD1238">
        <v>0</v>
      </c>
      <c r="AE1238" s="13" t="s">
        <v>61</v>
      </c>
    </row>
    <row r="1239" spans="1:31" x14ac:dyDescent="0.35">
      <c r="A1239" s="13" t="s">
        <v>1951</v>
      </c>
      <c r="B1239" s="13" t="s">
        <v>144</v>
      </c>
      <c r="C1239" s="13" t="s">
        <v>145</v>
      </c>
      <c r="D1239" s="13" t="s">
        <v>52</v>
      </c>
      <c r="E1239" s="13" t="s">
        <v>99</v>
      </c>
      <c r="F1239" s="13" t="s">
        <v>100</v>
      </c>
      <c r="G1239" s="13" t="s">
        <v>55</v>
      </c>
      <c r="H1239">
        <v>590000</v>
      </c>
      <c r="I1239" s="13" t="s">
        <v>56</v>
      </c>
      <c r="J1239" s="13" t="s">
        <v>57</v>
      </c>
      <c r="K1239" s="13" t="s">
        <v>58</v>
      </c>
      <c r="L1239" s="13" t="s">
        <v>88</v>
      </c>
      <c r="M1239">
        <v>60</v>
      </c>
      <c r="N1239">
        <v>0</v>
      </c>
      <c r="O1239" s="14">
        <v>45993</v>
      </c>
      <c r="P1239" s="14">
        <v>46053</v>
      </c>
      <c r="Q1239">
        <v>6280.51</v>
      </c>
      <c r="R1239">
        <v>0</v>
      </c>
      <c r="S1239">
        <v>0</v>
      </c>
      <c r="T1239">
        <v>0</v>
      </c>
      <c r="U1239">
        <v>0</v>
      </c>
      <c r="V1239">
        <v>6280.51</v>
      </c>
      <c r="W1239">
        <v>0</v>
      </c>
      <c r="X1239">
        <v>1</v>
      </c>
      <c r="Y1239">
        <v>0</v>
      </c>
      <c r="Z1239">
        <v>-31</v>
      </c>
      <c r="AA1239">
        <v>1</v>
      </c>
      <c r="AB1239" s="13" t="s">
        <v>581</v>
      </c>
      <c r="AC1239">
        <v>0</v>
      </c>
      <c r="AD1239">
        <v>0</v>
      </c>
      <c r="AE1239" s="13" t="s">
        <v>61</v>
      </c>
    </row>
    <row r="1240" spans="1:31" x14ac:dyDescent="0.35">
      <c r="A1240" s="13" t="s">
        <v>1952</v>
      </c>
      <c r="B1240" s="13" t="s">
        <v>584</v>
      </c>
      <c r="C1240" s="13" t="s">
        <v>585</v>
      </c>
      <c r="D1240" s="13" t="s">
        <v>104</v>
      </c>
      <c r="E1240" s="13" t="s">
        <v>53</v>
      </c>
      <c r="F1240" s="13" t="s">
        <v>54</v>
      </c>
      <c r="G1240" s="13" t="s">
        <v>67</v>
      </c>
      <c r="H1240">
        <v>115000</v>
      </c>
      <c r="I1240" s="13" t="s">
        <v>121</v>
      </c>
      <c r="J1240" s="13" t="s">
        <v>122</v>
      </c>
      <c r="K1240" s="13" t="s">
        <v>107</v>
      </c>
      <c r="L1240" s="13" t="s">
        <v>88</v>
      </c>
      <c r="M1240">
        <v>60</v>
      </c>
      <c r="N1240">
        <v>0</v>
      </c>
      <c r="O1240" s="14">
        <v>45993</v>
      </c>
      <c r="P1240" s="14">
        <v>46053</v>
      </c>
      <c r="Q1240">
        <v>1084.42</v>
      </c>
      <c r="R1240">
        <v>0</v>
      </c>
      <c r="S1240">
        <v>0</v>
      </c>
      <c r="T1240">
        <v>0</v>
      </c>
      <c r="U1240">
        <v>0</v>
      </c>
      <c r="V1240">
        <v>1084.42</v>
      </c>
      <c r="W1240">
        <v>0</v>
      </c>
      <c r="X1240">
        <v>1</v>
      </c>
      <c r="Y1240">
        <v>0</v>
      </c>
      <c r="Z1240">
        <v>-31</v>
      </c>
      <c r="AA1240">
        <v>1</v>
      </c>
      <c r="AB1240" s="13" t="s">
        <v>581</v>
      </c>
      <c r="AC1240">
        <v>0</v>
      </c>
      <c r="AD1240">
        <v>0</v>
      </c>
      <c r="AE1240" s="13" t="s">
        <v>61</v>
      </c>
    </row>
    <row r="1241" spans="1:31" x14ac:dyDescent="0.35">
      <c r="A1241" s="13" t="s">
        <v>1953</v>
      </c>
      <c r="B1241" s="13" t="s">
        <v>209</v>
      </c>
      <c r="C1241" s="13" t="s">
        <v>210</v>
      </c>
      <c r="D1241" s="13" t="s">
        <v>52</v>
      </c>
      <c r="E1241" s="13" t="s">
        <v>77</v>
      </c>
      <c r="F1241" s="13" t="s">
        <v>78</v>
      </c>
      <c r="G1241" s="13" t="s">
        <v>55</v>
      </c>
      <c r="H1241">
        <v>410000</v>
      </c>
      <c r="I1241" s="13" t="s">
        <v>56</v>
      </c>
      <c r="J1241" s="13" t="s">
        <v>57</v>
      </c>
      <c r="K1241" s="13" t="s">
        <v>58</v>
      </c>
      <c r="L1241" s="13" t="s">
        <v>88</v>
      </c>
      <c r="M1241">
        <v>60</v>
      </c>
      <c r="N1241">
        <v>0</v>
      </c>
      <c r="O1241" s="14">
        <v>45993</v>
      </c>
      <c r="P1241" s="14">
        <v>46053</v>
      </c>
      <c r="Q1241">
        <v>6030.62</v>
      </c>
      <c r="R1241">
        <v>0</v>
      </c>
      <c r="S1241">
        <v>0</v>
      </c>
      <c r="T1241">
        <v>0</v>
      </c>
      <c r="U1241">
        <v>0</v>
      </c>
      <c r="V1241">
        <v>6030.62</v>
      </c>
      <c r="W1241">
        <v>0</v>
      </c>
      <c r="X1241">
        <v>1</v>
      </c>
      <c r="Y1241">
        <v>0</v>
      </c>
      <c r="Z1241">
        <v>-31</v>
      </c>
      <c r="AA1241">
        <v>1</v>
      </c>
      <c r="AB1241" s="13" t="s">
        <v>581</v>
      </c>
      <c r="AC1241">
        <v>0</v>
      </c>
      <c r="AD1241">
        <v>0</v>
      </c>
      <c r="AE1241" s="13" t="s">
        <v>61</v>
      </c>
    </row>
    <row r="1242" spans="1:31" x14ac:dyDescent="0.35">
      <c r="A1242" s="13" t="s">
        <v>1954</v>
      </c>
      <c r="B1242" s="13" t="s">
        <v>516</v>
      </c>
      <c r="C1242" s="13" t="s">
        <v>517</v>
      </c>
      <c r="D1242" s="13" t="s">
        <v>52</v>
      </c>
      <c r="E1242" s="13" t="s">
        <v>65</v>
      </c>
      <c r="F1242" s="13" t="s">
        <v>66</v>
      </c>
      <c r="G1242" s="13" t="s">
        <v>55</v>
      </c>
      <c r="H1242">
        <v>305000</v>
      </c>
      <c r="I1242" s="13" t="s">
        <v>56</v>
      </c>
      <c r="J1242" s="13" t="s">
        <v>57</v>
      </c>
      <c r="K1242" s="13" t="s">
        <v>58</v>
      </c>
      <c r="L1242" s="13" t="s">
        <v>88</v>
      </c>
      <c r="M1242">
        <v>60</v>
      </c>
      <c r="N1242">
        <v>0</v>
      </c>
      <c r="O1242" s="14">
        <v>45993</v>
      </c>
      <c r="P1242" s="14">
        <v>46053</v>
      </c>
      <c r="Q1242">
        <v>1781.56</v>
      </c>
      <c r="R1242">
        <v>0</v>
      </c>
      <c r="S1242">
        <v>0</v>
      </c>
      <c r="T1242">
        <v>0</v>
      </c>
      <c r="U1242">
        <v>0</v>
      </c>
      <c r="V1242">
        <v>1781.56</v>
      </c>
      <c r="W1242">
        <v>0</v>
      </c>
      <c r="X1242">
        <v>1</v>
      </c>
      <c r="Y1242">
        <v>0</v>
      </c>
      <c r="Z1242">
        <v>-31</v>
      </c>
      <c r="AA1242">
        <v>1</v>
      </c>
      <c r="AB1242" s="13" t="s">
        <v>581</v>
      </c>
      <c r="AC1242">
        <v>0</v>
      </c>
      <c r="AD1242">
        <v>0</v>
      </c>
      <c r="AE1242" s="13" t="s">
        <v>61</v>
      </c>
    </row>
    <row r="1243" spans="1:31" x14ac:dyDescent="0.35">
      <c r="A1243" s="13" t="s">
        <v>1955</v>
      </c>
      <c r="B1243" s="13" t="s">
        <v>1907</v>
      </c>
      <c r="C1243" s="13" t="s">
        <v>1908</v>
      </c>
      <c r="D1243" s="13" t="s">
        <v>104</v>
      </c>
      <c r="E1243" s="13" t="s">
        <v>77</v>
      </c>
      <c r="F1243" s="13" t="s">
        <v>78</v>
      </c>
      <c r="G1243" s="13" t="s">
        <v>92</v>
      </c>
      <c r="H1243">
        <v>65000</v>
      </c>
      <c r="I1243" s="13" t="s">
        <v>121</v>
      </c>
      <c r="J1243" s="13" t="s">
        <v>122</v>
      </c>
      <c r="K1243" s="13" t="s">
        <v>107</v>
      </c>
      <c r="L1243" s="13" t="s">
        <v>95</v>
      </c>
      <c r="M1243">
        <v>30</v>
      </c>
      <c r="N1243">
        <v>0</v>
      </c>
      <c r="O1243" s="14">
        <v>45993</v>
      </c>
      <c r="P1243" s="14">
        <v>46023</v>
      </c>
      <c r="Q1243">
        <v>1462.81</v>
      </c>
      <c r="R1243">
        <v>0</v>
      </c>
      <c r="S1243">
        <v>0</v>
      </c>
      <c r="T1243">
        <v>0</v>
      </c>
      <c r="U1243">
        <v>0</v>
      </c>
      <c r="V1243">
        <v>1462.81</v>
      </c>
      <c r="W1243">
        <v>0</v>
      </c>
      <c r="X1243">
        <v>1</v>
      </c>
      <c r="Y1243">
        <v>0</v>
      </c>
      <c r="Z1243">
        <v>-1</v>
      </c>
      <c r="AA1243">
        <v>1</v>
      </c>
      <c r="AB1243" s="13" t="s">
        <v>581</v>
      </c>
      <c r="AC1243">
        <v>0</v>
      </c>
      <c r="AD1243">
        <v>0</v>
      </c>
      <c r="AE1243" s="13" t="s">
        <v>61</v>
      </c>
    </row>
    <row r="1244" spans="1:31" x14ac:dyDescent="0.35">
      <c r="A1244" s="13" t="s">
        <v>1956</v>
      </c>
      <c r="B1244" s="13" t="s">
        <v>1957</v>
      </c>
      <c r="C1244" s="13" t="s">
        <v>1958</v>
      </c>
      <c r="D1244" s="13" t="s">
        <v>76</v>
      </c>
      <c r="E1244" s="13" t="s">
        <v>77</v>
      </c>
      <c r="F1244" s="13" t="s">
        <v>174</v>
      </c>
      <c r="G1244" s="13" t="s">
        <v>55</v>
      </c>
      <c r="H1244">
        <v>70000</v>
      </c>
      <c r="I1244" s="13" t="s">
        <v>93</v>
      </c>
      <c r="J1244" s="13" t="s">
        <v>94</v>
      </c>
      <c r="K1244" s="13" t="s">
        <v>81</v>
      </c>
      <c r="L1244" s="13" t="s">
        <v>95</v>
      </c>
      <c r="M1244">
        <v>30</v>
      </c>
      <c r="N1244">
        <v>0</v>
      </c>
      <c r="O1244" s="14">
        <v>45993</v>
      </c>
      <c r="P1244" s="14">
        <v>46023</v>
      </c>
      <c r="Q1244">
        <v>4251.6400000000003</v>
      </c>
      <c r="R1244">
        <v>0</v>
      </c>
      <c r="S1244">
        <v>0</v>
      </c>
      <c r="T1244">
        <v>0</v>
      </c>
      <c r="U1244">
        <v>0</v>
      </c>
      <c r="V1244">
        <v>4251.6400000000003</v>
      </c>
      <c r="W1244">
        <v>0</v>
      </c>
      <c r="X1244">
        <v>1</v>
      </c>
      <c r="Y1244">
        <v>0</v>
      </c>
      <c r="Z1244">
        <v>-1</v>
      </c>
      <c r="AA1244">
        <v>1</v>
      </c>
      <c r="AB1244" s="13" t="s">
        <v>581</v>
      </c>
      <c r="AC1244">
        <v>0</v>
      </c>
      <c r="AD1244">
        <v>0</v>
      </c>
      <c r="AE1244" s="13" t="s">
        <v>61</v>
      </c>
    </row>
    <row r="1245" spans="1:31" x14ac:dyDescent="0.35">
      <c r="A1245" s="13" t="s">
        <v>1959</v>
      </c>
      <c r="B1245" s="13" t="s">
        <v>866</v>
      </c>
      <c r="C1245" s="13" t="s">
        <v>867</v>
      </c>
      <c r="D1245" s="13" t="s">
        <v>104</v>
      </c>
      <c r="E1245" s="13" t="s">
        <v>71</v>
      </c>
      <c r="F1245" s="13" t="s">
        <v>214</v>
      </c>
      <c r="G1245" s="13" t="s">
        <v>55</v>
      </c>
      <c r="H1245">
        <v>50000</v>
      </c>
      <c r="I1245" s="13" t="s">
        <v>105</v>
      </c>
      <c r="J1245" s="13" t="s">
        <v>106</v>
      </c>
      <c r="K1245" s="13" t="s">
        <v>107</v>
      </c>
      <c r="L1245" s="13" t="s">
        <v>88</v>
      </c>
      <c r="M1245">
        <v>60</v>
      </c>
      <c r="N1245">
        <v>0</v>
      </c>
      <c r="O1245" s="14">
        <v>45993</v>
      </c>
      <c r="P1245" s="14">
        <v>46053</v>
      </c>
      <c r="Q1245">
        <v>6831.46</v>
      </c>
      <c r="R1245">
        <v>0</v>
      </c>
      <c r="S1245">
        <v>0</v>
      </c>
      <c r="T1245">
        <v>0</v>
      </c>
      <c r="U1245">
        <v>0</v>
      </c>
      <c r="V1245">
        <v>6831.46</v>
      </c>
      <c r="W1245">
        <v>0</v>
      </c>
      <c r="X1245">
        <v>1</v>
      </c>
      <c r="Y1245">
        <v>0</v>
      </c>
      <c r="Z1245">
        <v>-31</v>
      </c>
      <c r="AA1245">
        <v>1</v>
      </c>
      <c r="AB1245" s="13" t="s">
        <v>581</v>
      </c>
      <c r="AC1245">
        <v>0</v>
      </c>
      <c r="AD1245">
        <v>0</v>
      </c>
      <c r="AE1245" s="13" t="s">
        <v>61</v>
      </c>
    </row>
    <row r="1246" spans="1:31" x14ac:dyDescent="0.35">
      <c r="A1246" s="13" t="s">
        <v>1960</v>
      </c>
      <c r="B1246" s="13" t="s">
        <v>1682</v>
      </c>
      <c r="C1246" s="13" t="s">
        <v>1683</v>
      </c>
      <c r="D1246" s="13" t="s">
        <v>76</v>
      </c>
      <c r="E1246" s="13" t="s">
        <v>99</v>
      </c>
      <c r="F1246" s="13" t="s">
        <v>127</v>
      </c>
      <c r="G1246" s="13" t="s">
        <v>67</v>
      </c>
      <c r="H1246">
        <v>120000</v>
      </c>
      <c r="I1246" s="13" t="s">
        <v>79</v>
      </c>
      <c r="J1246" s="13" t="s">
        <v>80</v>
      </c>
      <c r="K1246" s="13" t="s">
        <v>81</v>
      </c>
      <c r="L1246" s="13" t="s">
        <v>95</v>
      </c>
      <c r="M1246">
        <v>30</v>
      </c>
      <c r="N1246">
        <v>0</v>
      </c>
      <c r="O1246" s="14">
        <v>45993</v>
      </c>
      <c r="P1246" s="14">
        <v>46023</v>
      </c>
      <c r="Q1246">
        <v>532.76</v>
      </c>
      <c r="R1246">
        <v>0</v>
      </c>
      <c r="S1246">
        <v>0</v>
      </c>
      <c r="T1246">
        <v>0</v>
      </c>
      <c r="U1246">
        <v>0</v>
      </c>
      <c r="V1246">
        <v>532.76</v>
      </c>
      <c r="W1246">
        <v>0</v>
      </c>
      <c r="X1246">
        <v>1</v>
      </c>
      <c r="Y1246">
        <v>0</v>
      </c>
      <c r="Z1246">
        <v>-1</v>
      </c>
      <c r="AA1246">
        <v>1</v>
      </c>
      <c r="AB1246" s="13" t="s">
        <v>581</v>
      </c>
      <c r="AC1246">
        <v>0</v>
      </c>
      <c r="AD1246">
        <v>0</v>
      </c>
      <c r="AE1246" s="13" t="s">
        <v>61</v>
      </c>
    </row>
    <row r="1247" spans="1:31" x14ac:dyDescent="0.35">
      <c r="A1247" s="13" t="s">
        <v>1961</v>
      </c>
      <c r="B1247" s="13" t="s">
        <v>235</v>
      </c>
      <c r="C1247" s="13" t="s">
        <v>236</v>
      </c>
      <c r="D1247" s="13" t="s">
        <v>76</v>
      </c>
      <c r="E1247" s="13" t="s">
        <v>71</v>
      </c>
      <c r="F1247" s="13" t="s">
        <v>72</v>
      </c>
      <c r="G1247" s="13" t="s">
        <v>55</v>
      </c>
      <c r="H1247">
        <v>40000</v>
      </c>
      <c r="I1247" s="13" t="s">
        <v>79</v>
      </c>
      <c r="J1247" s="13" t="s">
        <v>80</v>
      </c>
      <c r="K1247" s="13" t="s">
        <v>81</v>
      </c>
      <c r="L1247" s="13" t="s">
        <v>95</v>
      </c>
      <c r="M1247">
        <v>30</v>
      </c>
      <c r="N1247">
        <v>0</v>
      </c>
      <c r="O1247" s="14">
        <v>45993</v>
      </c>
      <c r="P1247" s="14">
        <v>46023</v>
      </c>
      <c r="Q1247">
        <v>798.18</v>
      </c>
      <c r="R1247">
        <v>0</v>
      </c>
      <c r="S1247">
        <v>0</v>
      </c>
      <c r="T1247">
        <v>0</v>
      </c>
      <c r="U1247">
        <v>0</v>
      </c>
      <c r="V1247">
        <v>798.18</v>
      </c>
      <c r="W1247">
        <v>0</v>
      </c>
      <c r="X1247">
        <v>1</v>
      </c>
      <c r="Y1247">
        <v>0</v>
      </c>
      <c r="Z1247">
        <v>-1</v>
      </c>
      <c r="AA1247">
        <v>1</v>
      </c>
      <c r="AB1247" s="13" t="s">
        <v>581</v>
      </c>
      <c r="AC1247">
        <v>0</v>
      </c>
      <c r="AD1247">
        <v>0</v>
      </c>
      <c r="AE1247" s="13" t="s">
        <v>61</v>
      </c>
    </row>
    <row r="1248" spans="1:31" x14ac:dyDescent="0.35">
      <c r="A1248" s="13" t="s">
        <v>1962</v>
      </c>
      <c r="B1248" s="13" t="s">
        <v>1963</v>
      </c>
      <c r="C1248" s="13" t="s">
        <v>1964</v>
      </c>
      <c r="D1248" s="13" t="s">
        <v>104</v>
      </c>
      <c r="E1248" s="13" t="s">
        <v>65</v>
      </c>
      <c r="F1248" s="13" t="s">
        <v>66</v>
      </c>
      <c r="G1248" s="13" t="s">
        <v>55</v>
      </c>
      <c r="H1248">
        <v>100000</v>
      </c>
      <c r="I1248" s="13" t="s">
        <v>121</v>
      </c>
      <c r="J1248" s="13" t="s">
        <v>122</v>
      </c>
      <c r="K1248" s="13" t="s">
        <v>107</v>
      </c>
      <c r="L1248" s="13" t="s">
        <v>82</v>
      </c>
      <c r="M1248">
        <v>30</v>
      </c>
      <c r="N1248">
        <v>2</v>
      </c>
      <c r="O1248" s="14">
        <v>45993</v>
      </c>
      <c r="P1248" s="14">
        <v>46023</v>
      </c>
      <c r="Q1248">
        <v>809.82</v>
      </c>
      <c r="R1248">
        <v>0</v>
      </c>
      <c r="S1248">
        <v>0</v>
      </c>
      <c r="T1248">
        <v>0</v>
      </c>
      <c r="U1248">
        <v>0</v>
      </c>
      <c r="V1248">
        <v>809.82</v>
      </c>
      <c r="W1248">
        <v>0</v>
      </c>
      <c r="X1248">
        <v>1</v>
      </c>
      <c r="Y1248">
        <v>0</v>
      </c>
      <c r="Z1248">
        <v>-1</v>
      </c>
      <c r="AA1248">
        <v>1</v>
      </c>
      <c r="AB1248" s="13" t="s">
        <v>581</v>
      </c>
      <c r="AC1248">
        <v>0</v>
      </c>
      <c r="AD1248">
        <v>0</v>
      </c>
      <c r="AE1248" s="13" t="s">
        <v>61</v>
      </c>
    </row>
    <row r="1249" spans="1:31" x14ac:dyDescent="0.35">
      <c r="A1249" s="13" t="s">
        <v>1965</v>
      </c>
      <c r="B1249" s="13" t="s">
        <v>1966</v>
      </c>
      <c r="C1249" s="13" t="s">
        <v>1967</v>
      </c>
      <c r="D1249" s="13" t="s">
        <v>76</v>
      </c>
      <c r="E1249" s="13" t="s">
        <v>71</v>
      </c>
      <c r="F1249" s="13" t="s">
        <v>214</v>
      </c>
      <c r="G1249" s="13" t="s">
        <v>55</v>
      </c>
      <c r="H1249">
        <v>35000</v>
      </c>
      <c r="I1249" s="13" t="s">
        <v>93</v>
      </c>
      <c r="J1249" s="13" t="s">
        <v>94</v>
      </c>
      <c r="K1249" s="13" t="s">
        <v>81</v>
      </c>
      <c r="L1249" s="13" t="s">
        <v>95</v>
      </c>
      <c r="M1249">
        <v>30</v>
      </c>
      <c r="N1249">
        <v>0</v>
      </c>
      <c r="O1249" s="14">
        <v>45993</v>
      </c>
      <c r="P1249" s="14">
        <v>46023</v>
      </c>
      <c r="Q1249">
        <v>1812.49</v>
      </c>
      <c r="R1249">
        <v>0</v>
      </c>
      <c r="S1249">
        <v>0</v>
      </c>
      <c r="T1249">
        <v>0</v>
      </c>
      <c r="U1249">
        <v>0</v>
      </c>
      <c r="V1249">
        <v>1812.49</v>
      </c>
      <c r="W1249">
        <v>0</v>
      </c>
      <c r="X1249">
        <v>1</v>
      </c>
      <c r="Y1249">
        <v>0</v>
      </c>
      <c r="Z1249">
        <v>-1</v>
      </c>
      <c r="AA1249">
        <v>1</v>
      </c>
      <c r="AB1249" s="13" t="s">
        <v>581</v>
      </c>
      <c r="AC1249">
        <v>0</v>
      </c>
      <c r="AD1249">
        <v>0</v>
      </c>
      <c r="AE1249" s="13" t="s">
        <v>61</v>
      </c>
    </row>
    <row r="1250" spans="1:31" x14ac:dyDescent="0.35">
      <c r="A1250" s="13" t="s">
        <v>1968</v>
      </c>
      <c r="B1250" s="13" t="s">
        <v>290</v>
      </c>
      <c r="C1250" s="13" t="s">
        <v>291</v>
      </c>
      <c r="D1250" s="13" t="s">
        <v>104</v>
      </c>
      <c r="E1250" s="13" t="s">
        <v>77</v>
      </c>
      <c r="F1250" s="13" t="s">
        <v>78</v>
      </c>
      <c r="G1250" s="13" t="s">
        <v>92</v>
      </c>
      <c r="H1250">
        <v>140000</v>
      </c>
      <c r="I1250" s="13" t="s">
        <v>121</v>
      </c>
      <c r="J1250" s="13" t="s">
        <v>122</v>
      </c>
      <c r="K1250" s="13" t="s">
        <v>107</v>
      </c>
      <c r="L1250" s="13" t="s">
        <v>82</v>
      </c>
      <c r="M1250">
        <v>30</v>
      </c>
      <c r="N1250">
        <v>2</v>
      </c>
      <c r="O1250" s="14">
        <v>45993</v>
      </c>
      <c r="P1250" s="14">
        <v>46023</v>
      </c>
      <c r="Q1250">
        <v>1806.04</v>
      </c>
      <c r="R1250">
        <v>0</v>
      </c>
      <c r="S1250">
        <v>0</v>
      </c>
      <c r="T1250">
        <v>0</v>
      </c>
      <c r="U1250">
        <v>0</v>
      </c>
      <c r="V1250">
        <v>1806.04</v>
      </c>
      <c r="W1250">
        <v>0</v>
      </c>
      <c r="X1250">
        <v>1</v>
      </c>
      <c r="Y1250">
        <v>0</v>
      </c>
      <c r="Z1250">
        <v>-1</v>
      </c>
      <c r="AA1250">
        <v>1</v>
      </c>
      <c r="AB1250" s="13" t="s">
        <v>581</v>
      </c>
      <c r="AC1250">
        <v>0</v>
      </c>
      <c r="AD1250">
        <v>0</v>
      </c>
      <c r="AE1250" s="13" t="s">
        <v>61</v>
      </c>
    </row>
    <row r="1251" spans="1:31" x14ac:dyDescent="0.35">
      <c r="A1251" s="13" t="s">
        <v>1969</v>
      </c>
      <c r="B1251" s="13" t="s">
        <v>1970</v>
      </c>
      <c r="C1251" s="13" t="s">
        <v>1971</v>
      </c>
      <c r="D1251" s="13" t="s">
        <v>76</v>
      </c>
      <c r="E1251" s="13" t="s">
        <v>71</v>
      </c>
      <c r="F1251" s="13" t="s">
        <v>72</v>
      </c>
      <c r="G1251" s="13" t="s">
        <v>67</v>
      </c>
      <c r="H1251">
        <v>55000</v>
      </c>
      <c r="I1251" s="13" t="s">
        <v>93</v>
      </c>
      <c r="J1251" s="13" t="s">
        <v>94</v>
      </c>
      <c r="K1251" s="13" t="s">
        <v>81</v>
      </c>
      <c r="L1251" s="13" t="s">
        <v>95</v>
      </c>
      <c r="M1251">
        <v>30</v>
      </c>
      <c r="N1251">
        <v>0</v>
      </c>
      <c r="O1251" s="14">
        <v>45993</v>
      </c>
      <c r="P1251" s="14">
        <v>46023</v>
      </c>
      <c r="Q1251">
        <v>1006.82</v>
      </c>
      <c r="R1251">
        <v>0</v>
      </c>
      <c r="S1251">
        <v>0</v>
      </c>
      <c r="T1251">
        <v>0</v>
      </c>
      <c r="U1251">
        <v>0</v>
      </c>
      <c r="V1251">
        <v>1006.82</v>
      </c>
      <c r="W1251">
        <v>0</v>
      </c>
      <c r="X1251">
        <v>1</v>
      </c>
      <c r="Y1251">
        <v>0</v>
      </c>
      <c r="Z1251">
        <v>-1</v>
      </c>
      <c r="AA1251">
        <v>1</v>
      </c>
      <c r="AB1251" s="13" t="s">
        <v>581</v>
      </c>
      <c r="AC1251">
        <v>0</v>
      </c>
      <c r="AD1251">
        <v>0</v>
      </c>
      <c r="AE1251" s="13" t="s">
        <v>61</v>
      </c>
    </row>
    <row r="1252" spans="1:31" x14ac:dyDescent="0.35">
      <c r="A1252" s="13" t="s">
        <v>1972</v>
      </c>
      <c r="B1252" s="13" t="s">
        <v>1916</v>
      </c>
      <c r="C1252" s="13" t="s">
        <v>1917</v>
      </c>
      <c r="D1252" s="13" t="s">
        <v>104</v>
      </c>
      <c r="E1252" s="13" t="s">
        <v>99</v>
      </c>
      <c r="F1252" s="13" t="s">
        <v>127</v>
      </c>
      <c r="G1252" s="13" t="s">
        <v>67</v>
      </c>
      <c r="H1252">
        <v>140000</v>
      </c>
      <c r="I1252" s="13" t="s">
        <v>121</v>
      </c>
      <c r="J1252" s="13" t="s">
        <v>122</v>
      </c>
      <c r="K1252" s="13" t="s">
        <v>107</v>
      </c>
      <c r="L1252" s="13" t="s">
        <v>95</v>
      </c>
      <c r="M1252">
        <v>30</v>
      </c>
      <c r="N1252">
        <v>0</v>
      </c>
      <c r="O1252" s="14">
        <v>45993</v>
      </c>
      <c r="P1252" s="14">
        <v>46023</v>
      </c>
      <c r="Q1252">
        <v>7173.02</v>
      </c>
      <c r="R1252">
        <v>0</v>
      </c>
      <c r="S1252">
        <v>0</v>
      </c>
      <c r="T1252">
        <v>0</v>
      </c>
      <c r="U1252">
        <v>0</v>
      </c>
      <c r="V1252">
        <v>7173.02</v>
      </c>
      <c r="W1252">
        <v>0</v>
      </c>
      <c r="X1252">
        <v>1</v>
      </c>
      <c r="Y1252">
        <v>0</v>
      </c>
      <c r="Z1252">
        <v>-1</v>
      </c>
      <c r="AA1252">
        <v>1</v>
      </c>
      <c r="AB1252" s="13" t="s">
        <v>581</v>
      </c>
      <c r="AC1252">
        <v>0</v>
      </c>
      <c r="AD1252">
        <v>0</v>
      </c>
      <c r="AE1252" s="13" t="s">
        <v>61</v>
      </c>
    </row>
    <row r="1253" spans="1:31" x14ac:dyDescent="0.35">
      <c r="A1253" s="13" t="s">
        <v>1973</v>
      </c>
      <c r="B1253" s="13" t="s">
        <v>981</v>
      </c>
      <c r="C1253" s="13" t="s">
        <v>982</v>
      </c>
      <c r="D1253" s="13" t="s">
        <v>52</v>
      </c>
      <c r="E1253" s="13" t="s">
        <v>53</v>
      </c>
      <c r="F1253" s="13" t="s">
        <v>54</v>
      </c>
      <c r="G1253" s="13" t="s">
        <v>67</v>
      </c>
      <c r="H1253">
        <v>275000</v>
      </c>
      <c r="I1253" s="13" t="s">
        <v>86</v>
      </c>
      <c r="J1253" s="13" t="s">
        <v>87</v>
      </c>
      <c r="K1253" s="13" t="s">
        <v>58</v>
      </c>
      <c r="L1253" s="13" t="s">
        <v>88</v>
      </c>
      <c r="M1253">
        <v>60</v>
      </c>
      <c r="N1253">
        <v>0</v>
      </c>
      <c r="O1253" s="14">
        <v>45993</v>
      </c>
      <c r="P1253" s="14">
        <v>46053</v>
      </c>
      <c r="Q1253">
        <v>2880.52</v>
      </c>
      <c r="R1253">
        <v>0</v>
      </c>
      <c r="S1253">
        <v>0</v>
      </c>
      <c r="T1253">
        <v>0</v>
      </c>
      <c r="U1253">
        <v>0</v>
      </c>
      <c r="V1253">
        <v>2880.52</v>
      </c>
      <c r="W1253">
        <v>0</v>
      </c>
      <c r="X1253">
        <v>1</v>
      </c>
      <c r="Y1253">
        <v>0</v>
      </c>
      <c r="Z1253">
        <v>-31</v>
      </c>
      <c r="AA1253">
        <v>1</v>
      </c>
      <c r="AB1253" s="13" t="s">
        <v>581</v>
      </c>
      <c r="AC1253">
        <v>0</v>
      </c>
      <c r="AD1253">
        <v>0</v>
      </c>
      <c r="AE1253" s="13" t="s">
        <v>61</v>
      </c>
    </row>
    <row r="1254" spans="1:31" x14ac:dyDescent="0.35">
      <c r="A1254" s="13" t="s">
        <v>1974</v>
      </c>
      <c r="B1254" s="13" t="s">
        <v>1015</v>
      </c>
      <c r="C1254" s="13" t="s">
        <v>1016</v>
      </c>
      <c r="D1254" s="13" t="s">
        <v>52</v>
      </c>
      <c r="E1254" s="13" t="s">
        <v>77</v>
      </c>
      <c r="F1254" s="13" t="s">
        <v>174</v>
      </c>
      <c r="G1254" s="13" t="s">
        <v>55</v>
      </c>
      <c r="H1254">
        <v>590000</v>
      </c>
      <c r="I1254" s="13" t="s">
        <v>56</v>
      </c>
      <c r="J1254" s="13" t="s">
        <v>57</v>
      </c>
      <c r="K1254" s="13" t="s">
        <v>58</v>
      </c>
      <c r="L1254" s="13" t="s">
        <v>59</v>
      </c>
      <c r="M1254">
        <v>45</v>
      </c>
      <c r="N1254">
        <v>0</v>
      </c>
      <c r="O1254" s="14">
        <v>45993</v>
      </c>
      <c r="P1254" s="14">
        <v>46038</v>
      </c>
      <c r="Q1254">
        <v>4081.28</v>
      </c>
      <c r="R1254">
        <v>0</v>
      </c>
      <c r="S1254">
        <v>0</v>
      </c>
      <c r="T1254">
        <v>0</v>
      </c>
      <c r="U1254">
        <v>0</v>
      </c>
      <c r="V1254">
        <v>4081.28</v>
      </c>
      <c r="W1254">
        <v>0</v>
      </c>
      <c r="X1254">
        <v>1</v>
      </c>
      <c r="Y1254">
        <v>0</v>
      </c>
      <c r="Z1254">
        <v>-16</v>
      </c>
      <c r="AA1254">
        <v>1</v>
      </c>
      <c r="AB1254" s="13" t="s">
        <v>581</v>
      </c>
      <c r="AC1254">
        <v>0</v>
      </c>
      <c r="AD1254">
        <v>0</v>
      </c>
      <c r="AE1254" s="13" t="s">
        <v>61</v>
      </c>
    </row>
    <row r="1255" spans="1:31" x14ac:dyDescent="0.35">
      <c r="A1255" s="13" t="s">
        <v>1975</v>
      </c>
      <c r="B1255" s="13" t="s">
        <v>788</v>
      </c>
      <c r="C1255" s="13" t="s">
        <v>789</v>
      </c>
      <c r="D1255" s="13" t="s">
        <v>52</v>
      </c>
      <c r="E1255" s="13" t="s">
        <v>53</v>
      </c>
      <c r="F1255" s="13" t="s">
        <v>54</v>
      </c>
      <c r="G1255" s="13" t="s">
        <v>67</v>
      </c>
      <c r="H1255">
        <v>405000</v>
      </c>
      <c r="I1255" s="13" t="s">
        <v>86</v>
      </c>
      <c r="J1255" s="13" t="s">
        <v>87</v>
      </c>
      <c r="K1255" s="13" t="s">
        <v>58</v>
      </c>
      <c r="L1255" s="13" t="s">
        <v>88</v>
      </c>
      <c r="M1255">
        <v>60</v>
      </c>
      <c r="N1255">
        <v>0</v>
      </c>
      <c r="O1255" s="14">
        <v>45993</v>
      </c>
      <c r="P1255" s="14">
        <v>46053</v>
      </c>
      <c r="Q1255">
        <v>5706.54</v>
      </c>
      <c r="R1255">
        <v>0</v>
      </c>
      <c r="S1255">
        <v>0</v>
      </c>
      <c r="T1255">
        <v>0</v>
      </c>
      <c r="U1255">
        <v>0</v>
      </c>
      <c r="V1255">
        <v>5706.54</v>
      </c>
      <c r="W1255">
        <v>0</v>
      </c>
      <c r="X1255">
        <v>1</v>
      </c>
      <c r="Y1255">
        <v>0</v>
      </c>
      <c r="Z1255">
        <v>-31</v>
      </c>
      <c r="AA1255">
        <v>1</v>
      </c>
      <c r="AB1255" s="13" t="s">
        <v>581</v>
      </c>
      <c r="AC1255">
        <v>0</v>
      </c>
      <c r="AD1255">
        <v>0</v>
      </c>
      <c r="AE1255" s="13" t="s">
        <v>61</v>
      </c>
    </row>
    <row r="1256" spans="1:31" x14ac:dyDescent="0.35">
      <c r="A1256" s="13" t="s">
        <v>1976</v>
      </c>
      <c r="B1256" s="13" t="s">
        <v>296</v>
      </c>
      <c r="C1256" s="13" t="s">
        <v>297</v>
      </c>
      <c r="D1256" s="13" t="s">
        <v>104</v>
      </c>
      <c r="E1256" s="13" t="s">
        <v>65</v>
      </c>
      <c r="F1256" s="13" t="s">
        <v>111</v>
      </c>
      <c r="G1256" s="13" t="s">
        <v>92</v>
      </c>
      <c r="H1256">
        <v>125000</v>
      </c>
      <c r="I1256" s="13" t="s">
        <v>105</v>
      </c>
      <c r="J1256" s="13" t="s">
        <v>106</v>
      </c>
      <c r="K1256" s="13" t="s">
        <v>107</v>
      </c>
      <c r="L1256" s="13" t="s">
        <v>82</v>
      </c>
      <c r="M1256">
        <v>30</v>
      </c>
      <c r="N1256">
        <v>2</v>
      </c>
      <c r="O1256" s="14">
        <v>45993</v>
      </c>
      <c r="P1256" s="14">
        <v>46023</v>
      </c>
      <c r="Q1256">
        <v>887.65</v>
      </c>
      <c r="R1256">
        <v>0</v>
      </c>
      <c r="S1256">
        <v>0</v>
      </c>
      <c r="T1256">
        <v>0</v>
      </c>
      <c r="U1256">
        <v>0</v>
      </c>
      <c r="V1256">
        <v>887.65</v>
      </c>
      <c r="W1256">
        <v>0</v>
      </c>
      <c r="X1256">
        <v>1</v>
      </c>
      <c r="Y1256">
        <v>0</v>
      </c>
      <c r="Z1256">
        <v>-1</v>
      </c>
      <c r="AA1256">
        <v>1</v>
      </c>
      <c r="AB1256" s="13" t="s">
        <v>581</v>
      </c>
      <c r="AC1256">
        <v>0</v>
      </c>
      <c r="AD1256">
        <v>0</v>
      </c>
      <c r="AE1256" s="13" t="s">
        <v>61</v>
      </c>
    </row>
    <row r="1257" spans="1:31" x14ac:dyDescent="0.35">
      <c r="A1257" s="13" t="s">
        <v>1977</v>
      </c>
      <c r="B1257" s="13" t="s">
        <v>1223</v>
      </c>
      <c r="C1257" s="13" t="s">
        <v>1224</v>
      </c>
      <c r="D1257" s="13" t="s">
        <v>52</v>
      </c>
      <c r="E1257" s="13" t="s">
        <v>99</v>
      </c>
      <c r="F1257" s="13" t="s">
        <v>100</v>
      </c>
      <c r="G1257" s="13" t="s">
        <v>67</v>
      </c>
      <c r="H1257">
        <v>275000</v>
      </c>
      <c r="I1257" s="13" t="s">
        <v>86</v>
      </c>
      <c r="J1257" s="13" t="s">
        <v>87</v>
      </c>
      <c r="K1257" s="13" t="s">
        <v>58</v>
      </c>
      <c r="L1257" s="13" t="s">
        <v>88</v>
      </c>
      <c r="M1257">
        <v>60</v>
      </c>
      <c r="N1257">
        <v>0</v>
      </c>
      <c r="O1257" s="14">
        <v>45993</v>
      </c>
      <c r="P1257" s="14">
        <v>46053</v>
      </c>
      <c r="Q1257">
        <v>13152.51</v>
      </c>
      <c r="R1257">
        <v>0</v>
      </c>
      <c r="S1257">
        <v>0</v>
      </c>
      <c r="T1257">
        <v>0</v>
      </c>
      <c r="U1257">
        <v>0</v>
      </c>
      <c r="V1257">
        <v>13152.51</v>
      </c>
      <c r="W1257">
        <v>0</v>
      </c>
      <c r="X1257">
        <v>1</v>
      </c>
      <c r="Y1257">
        <v>0</v>
      </c>
      <c r="Z1257">
        <v>-31</v>
      </c>
      <c r="AA1257">
        <v>1</v>
      </c>
      <c r="AB1257" s="13" t="s">
        <v>581</v>
      </c>
      <c r="AC1257">
        <v>0</v>
      </c>
      <c r="AD1257">
        <v>0</v>
      </c>
      <c r="AE1257" s="13" t="s">
        <v>61</v>
      </c>
    </row>
    <row r="1258" spans="1:31" x14ac:dyDescent="0.35">
      <c r="A1258" s="13" t="s">
        <v>1978</v>
      </c>
      <c r="B1258" s="13" t="s">
        <v>711</v>
      </c>
      <c r="C1258" s="13" t="s">
        <v>712</v>
      </c>
      <c r="D1258" s="13" t="s">
        <v>126</v>
      </c>
      <c r="E1258" s="13" t="s">
        <v>71</v>
      </c>
      <c r="F1258" s="13" t="s">
        <v>72</v>
      </c>
      <c r="G1258" s="13" t="s">
        <v>67</v>
      </c>
      <c r="H1258">
        <v>190000</v>
      </c>
      <c r="I1258" s="13" t="s">
        <v>56</v>
      </c>
      <c r="J1258" s="13" t="s">
        <v>57</v>
      </c>
      <c r="K1258" s="13" t="s">
        <v>58</v>
      </c>
      <c r="L1258" s="13" t="s">
        <v>368</v>
      </c>
      <c r="M1258">
        <v>90</v>
      </c>
      <c r="N1258">
        <v>0</v>
      </c>
      <c r="O1258" s="14">
        <v>45993</v>
      </c>
      <c r="P1258" s="14">
        <v>46083</v>
      </c>
      <c r="Q1258">
        <v>2319.6</v>
      </c>
      <c r="R1258">
        <v>0</v>
      </c>
      <c r="S1258">
        <v>0</v>
      </c>
      <c r="T1258">
        <v>0</v>
      </c>
      <c r="U1258">
        <v>0</v>
      </c>
      <c r="V1258">
        <v>2319.6</v>
      </c>
      <c r="W1258">
        <v>0</v>
      </c>
      <c r="X1258">
        <v>1</v>
      </c>
      <c r="Y1258">
        <v>0</v>
      </c>
      <c r="Z1258">
        <v>-61</v>
      </c>
      <c r="AA1258">
        <v>1</v>
      </c>
      <c r="AB1258" s="13" t="s">
        <v>581</v>
      </c>
      <c r="AC1258">
        <v>0</v>
      </c>
      <c r="AD1258">
        <v>0</v>
      </c>
      <c r="AE1258" s="13" t="s">
        <v>61</v>
      </c>
    </row>
    <row r="1259" spans="1:31" x14ac:dyDescent="0.35">
      <c r="A1259" s="13" t="s">
        <v>1979</v>
      </c>
      <c r="B1259" s="13" t="s">
        <v>565</v>
      </c>
      <c r="C1259" s="13" t="s">
        <v>566</v>
      </c>
      <c r="D1259" s="13" t="s">
        <v>126</v>
      </c>
      <c r="E1259" s="13" t="s">
        <v>77</v>
      </c>
      <c r="F1259" s="13" t="s">
        <v>174</v>
      </c>
      <c r="G1259" s="13" t="s">
        <v>67</v>
      </c>
      <c r="H1259">
        <v>145000</v>
      </c>
      <c r="I1259" s="13" t="s">
        <v>121</v>
      </c>
      <c r="J1259" s="13" t="s">
        <v>122</v>
      </c>
      <c r="K1259" s="13" t="s">
        <v>107</v>
      </c>
      <c r="L1259" s="13" t="s">
        <v>368</v>
      </c>
      <c r="M1259">
        <v>90</v>
      </c>
      <c r="N1259">
        <v>0</v>
      </c>
      <c r="O1259" s="14">
        <v>45993</v>
      </c>
      <c r="P1259" s="14">
        <v>46083</v>
      </c>
      <c r="Q1259">
        <v>9176.89</v>
      </c>
      <c r="R1259">
        <v>0</v>
      </c>
      <c r="S1259">
        <v>0</v>
      </c>
      <c r="T1259">
        <v>0</v>
      </c>
      <c r="U1259">
        <v>0</v>
      </c>
      <c r="V1259">
        <v>9176.89</v>
      </c>
      <c r="W1259">
        <v>0</v>
      </c>
      <c r="X1259">
        <v>1</v>
      </c>
      <c r="Y1259">
        <v>0</v>
      </c>
      <c r="Z1259">
        <v>-61</v>
      </c>
      <c r="AA1259">
        <v>1</v>
      </c>
      <c r="AB1259" s="13" t="s">
        <v>581</v>
      </c>
      <c r="AC1259">
        <v>0</v>
      </c>
      <c r="AD1259">
        <v>0</v>
      </c>
      <c r="AE1259" s="13" t="s">
        <v>61</v>
      </c>
    </row>
    <row r="1260" spans="1:31" x14ac:dyDescent="0.35">
      <c r="A1260" s="13" t="s">
        <v>1980</v>
      </c>
      <c r="B1260" s="13" t="s">
        <v>1546</v>
      </c>
      <c r="C1260" s="13" t="s">
        <v>1547</v>
      </c>
      <c r="D1260" s="13" t="s">
        <v>76</v>
      </c>
      <c r="E1260" s="13" t="s">
        <v>77</v>
      </c>
      <c r="F1260" s="13" t="s">
        <v>174</v>
      </c>
      <c r="G1260" s="13" t="s">
        <v>92</v>
      </c>
      <c r="H1260">
        <v>70000</v>
      </c>
      <c r="I1260" s="13" t="s">
        <v>93</v>
      </c>
      <c r="J1260" s="13" t="s">
        <v>94</v>
      </c>
      <c r="K1260" s="13" t="s">
        <v>81</v>
      </c>
      <c r="L1260" s="13" t="s">
        <v>95</v>
      </c>
      <c r="M1260">
        <v>30</v>
      </c>
      <c r="N1260">
        <v>0</v>
      </c>
      <c r="O1260" s="14">
        <v>45993</v>
      </c>
      <c r="P1260" s="14">
        <v>46023</v>
      </c>
      <c r="Q1260">
        <v>469</v>
      </c>
      <c r="R1260">
        <v>0</v>
      </c>
      <c r="S1260">
        <v>0</v>
      </c>
      <c r="T1260">
        <v>0</v>
      </c>
      <c r="U1260">
        <v>0</v>
      </c>
      <c r="V1260">
        <v>469</v>
      </c>
      <c r="W1260">
        <v>0</v>
      </c>
      <c r="X1260">
        <v>1</v>
      </c>
      <c r="Y1260">
        <v>0</v>
      </c>
      <c r="Z1260">
        <v>-1</v>
      </c>
      <c r="AA1260">
        <v>1</v>
      </c>
      <c r="AB1260" s="13" t="s">
        <v>581</v>
      </c>
      <c r="AC1260">
        <v>0</v>
      </c>
      <c r="AD1260">
        <v>0</v>
      </c>
      <c r="AE1260" s="13" t="s">
        <v>61</v>
      </c>
    </row>
    <row r="1261" spans="1:31" x14ac:dyDescent="0.35">
      <c r="A1261" s="13" t="s">
        <v>1981</v>
      </c>
      <c r="B1261" s="13" t="s">
        <v>113</v>
      </c>
      <c r="C1261" s="13" t="s">
        <v>114</v>
      </c>
      <c r="D1261" s="13" t="s">
        <v>52</v>
      </c>
      <c r="E1261" s="13" t="s">
        <v>77</v>
      </c>
      <c r="F1261" s="13" t="s">
        <v>78</v>
      </c>
      <c r="G1261" s="13" t="s">
        <v>92</v>
      </c>
      <c r="H1261">
        <v>545000</v>
      </c>
      <c r="I1261" s="13" t="s">
        <v>86</v>
      </c>
      <c r="J1261" s="13" t="s">
        <v>87</v>
      </c>
      <c r="K1261" s="13" t="s">
        <v>58</v>
      </c>
      <c r="L1261" s="13" t="s">
        <v>88</v>
      </c>
      <c r="M1261">
        <v>60</v>
      </c>
      <c r="N1261">
        <v>0</v>
      </c>
      <c r="O1261" s="14">
        <v>45993</v>
      </c>
      <c r="P1261" s="14">
        <v>46053</v>
      </c>
      <c r="Q1261">
        <v>4048.53</v>
      </c>
      <c r="R1261">
        <v>0</v>
      </c>
      <c r="S1261">
        <v>0</v>
      </c>
      <c r="T1261">
        <v>0</v>
      </c>
      <c r="U1261">
        <v>0</v>
      </c>
      <c r="V1261">
        <v>4048.53</v>
      </c>
      <c r="W1261">
        <v>0</v>
      </c>
      <c r="X1261">
        <v>1</v>
      </c>
      <c r="Y1261">
        <v>0</v>
      </c>
      <c r="Z1261">
        <v>-31</v>
      </c>
      <c r="AA1261">
        <v>1</v>
      </c>
      <c r="AB1261" s="13" t="s">
        <v>581</v>
      </c>
      <c r="AC1261">
        <v>0</v>
      </c>
      <c r="AD1261">
        <v>0</v>
      </c>
      <c r="AE1261" s="13" t="s">
        <v>61</v>
      </c>
    </row>
    <row r="1262" spans="1:31" x14ac:dyDescent="0.35">
      <c r="A1262" s="13" t="s">
        <v>1982</v>
      </c>
      <c r="B1262" s="13" t="s">
        <v>533</v>
      </c>
      <c r="C1262" s="13" t="s">
        <v>534</v>
      </c>
      <c r="D1262" s="13" t="s">
        <v>126</v>
      </c>
      <c r="E1262" s="13" t="s">
        <v>99</v>
      </c>
      <c r="F1262" s="13" t="s">
        <v>127</v>
      </c>
      <c r="G1262" s="13" t="s">
        <v>67</v>
      </c>
      <c r="H1262">
        <v>205000</v>
      </c>
      <c r="I1262" s="13" t="s">
        <v>86</v>
      </c>
      <c r="J1262" s="13" t="s">
        <v>87</v>
      </c>
      <c r="K1262" s="13" t="s">
        <v>58</v>
      </c>
      <c r="L1262" s="13" t="s">
        <v>368</v>
      </c>
      <c r="M1262">
        <v>90</v>
      </c>
      <c r="N1262">
        <v>0</v>
      </c>
      <c r="O1262" s="14">
        <v>45993</v>
      </c>
      <c r="P1262" s="14">
        <v>46083</v>
      </c>
      <c r="Q1262">
        <v>8265.9699999999993</v>
      </c>
      <c r="R1262">
        <v>0</v>
      </c>
      <c r="S1262">
        <v>0</v>
      </c>
      <c r="T1262">
        <v>0</v>
      </c>
      <c r="U1262">
        <v>0</v>
      </c>
      <c r="V1262">
        <v>8265.9699999999993</v>
      </c>
      <c r="W1262">
        <v>0</v>
      </c>
      <c r="X1262">
        <v>1</v>
      </c>
      <c r="Y1262">
        <v>0</v>
      </c>
      <c r="Z1262">
        <v>-61</v>
      </c>
      <c r="AA1262">
        <v>1</v>
      </c>
      <c r="AB1262" s="13" t="s">
        <v>581</v>
      </c>
      <c r="AC1262">
        <v>0</v>
      </c>
      <c r="AD1262">
        <v>0</v>
      </c>
      <c r="AE1262" s="13" t="s">
        <v>61</v>
      </c>
    </row>
    <row r="1263" spans="1:31" x14ac:dyDescent="0.35">
      <c r="A1263" s="13" t="s">
        <v>1983</v>
      </c>
      <c r="B1263" s="13" t="s">
        <v>820</v>
      </c>
      <c r="C1263" s="13" t="s">
        <v>821</v>
      </c>
      <c r="D1263" s="13" t="s">
        <v>104</v>
      </c>
      <c r="E1263" s="13" t="s">
        <v>71</v>
      </c>
      <c r="F1263" s="13" t="s">
        <v>214</v>
      </c>
      <c r="G1263" s="13" t="s">
        <v>92</v>
      </c>
      <c r="H1263">
        <v>35000</v>
      </c>
      <c r="I1263" s="13" t="s">
        <v>121</v>
      </c>
      <c r="J1263" s="13" t="s">
        <v>122</v>
      </c>
      <c r="K1263" s="13" t="s">
        <v>107</v>
      </c>
      <c r="L1263" s="13" t="s">
        <v>88</v>
      </c>
      <c r="M1263">
        <v>60</v>
      </c>
      <c r="N1263">
        <v>0</v>
      </c>
      <c r="O1263" s="14">
        <v>45993</v>
      </c>
      <c r="P1263" s="14">
        <v>46053</v>
      </c>
      <c r="Q1263">
        <v>1796.5</v>
      </c>
      <c r="R1263">
        <v>0</v>
      </c>
      <c r="S1263">
        <v>0</v>
      </c>
      <c r="T1263">
        <v>0</v>
      </c>
      <c r="U1263">
        <v>0</v>
      </c>
      <c r="V1263">
        <v>1796.5</v>
      </c>
      <c r="W1263">
        <v>0</v>
      </c>
      <c r="X1263">
        <v>1</v>
      </c>
      <c r="Y1263">
        <v>0</v>
      </c>
      <c r="Z1263">
        <v>-31</v>
      </c>
      <c r="AA1263">
        <v>1</v>
      </c>
      <c r="AB1263" s="13" t="s">
        <v>581</v>
      </c>
      <c r="AC1263">
        <v>0</v>
      </c>
      <c r="AD1263">
        <v>0</v>
      </c>
      <c r="AE1263" s="13" t="s">
        <v>61</v>
      </c>
    </row>
    <row r="1264" spans="1:31" x14ac:dyDescent="0.35">
      <c r="A1264" s="13" t="s">
        <v>1984</v>
      </c>
      <c r="B1264" s="13" t="s">
        <v>340</v>
      </c>
      <c r="C1264" s="13" t="s">
        <v>341</v>
      </c>
      <c r="D1264" s="13" t="s">
        <v>52</v>
      </c>
      <c r="E1264" s="13" t="s">
        <v>77</v>
      </c>
      <c r="F1264" s="13" t="s">
        <v>78</v>
      </c>
      <c r="G1264" s="13" t="s">
        <v>92</v>
      </c>
      <c r="H1264">
        <v>565000</v>
      </c>
      <c r="I1264" s="13" t="s">
        <v>56</v>
      </c>
      <c r="J1264" s="13" t="s">
        <v>57</v>
      </c>
      <c r="K1264" s="13" t="s">
        <v>58</v>
      </c>
      <c r="L1264" s="13" t="s">
        <v>59</v>
      </c>
      <c r="M1264">
        <v>45</v>
      </c>
      <c r="N1264">
        <v>0</v>
      </c>
      <c r="O1264" s="14">
        <v>45993</v>
      </c>
      <c r="P1264" s="14">
        <v>46038</v>
      </c>
      <c r="Q1264">
        <v>10252.1</v>
      </c>
      <c r="R1264">
        <v>0</v>
      </c>
      <c r="S1264">
        <v>0</v>
      </c>
      <c r="T1264">
        <v>0</v>
      </c>
      <c r="U1264">
        <v>0</v>
      </c>
      <c r="V1264">
        <v>10252.1</v>
      </c>
      <c r="W1264">
        <v>0</v>
      </c>
      <c r="X1264">
        <v>1</v>
      </c>
      <c r="Y1264">
        <v>0</v>
      </c>
      <c r="Z1264">
        <v>-16</v>
      </c>
      <c r="AA1264">
        <v>1</v>
      </c>
      <c r="AB1264" s="13" t="s">
        <v>581</v>
      </c>
      <c r="AC1264">
        <v>0</v>
      </c>
      <c r="AD1264">
        <v>0</v>
      </c>
      <c r="AE1264" s="13" t="s">
        <v>61</v>
      </c>
    </row>
    <row r="1265" spans="1:31" x14ac:dyDescent="0.35">
      <c r="A1265" s="13" t="s">
        <v>1985</v>
      </c>
      <c r="B1265" s="13" t="s">
        <v>50</v>
      </c>
      <c r="C1265" s="13" t="s">
        <v>51</v>
      </c>
      <c r="D1265" s="13" t="s">
        <v>52</v>
      </c>
      <c r="E1265" s="13" t="s">
        <v>53</v>
      </c>
      <c r="F1265" s="13" t="s">
        <v>54</v>
      </c>
      <c r="G1265" s="13" t="s">
        <v>55</v>
      </c>
      <c r="H1265">
        <v>585000</v>
      </c>
      <c r="I1265" s="13" t="s">
        <v>56</v>
      </c>
      <c r="J1265" s="13" t="s">
        <v>57</v>
      </c>
      <c r="K1265" s="13" t="s">
        <v>58</v>
      </c>
      <c r="L1265" s="13" t="s">
        <v>59</v>
      </c>
      <c r="M1265">
        <v>45</v>
      </c>
      <c r="N1265">
        <v>0</v>
      </c>
      <c r="O1265" s="14">
        <v>45993</v>
      </c>
      <c r="P1265" s="14">
        <v>46038</v>
      </c>
      <c r="Q1265">
        <v>6832.62</v>
      </c>
      <c r="R1265">
        <v>0</v>
      </c>
      <c r="S1265">
        <v>0</v>
      </c>
      <c r="T1265">
        <v>0</v>
      </c>
      <c r="U1265">
        <v>0</v>
      </c>
      <c r="V1265">
        <v>6832.62</v>
      </c>
      <c r="W1265">
        <v>0</v>
      </c>
      <c r="X1265">
        <v>1</v>
      </c>
      <c r="Y1265">
        <v>0</v>
      </c>
      <c r="Z1265">
        <v>-16</v>
      </c>
      <c r="AA1265">
        <v>1</v>
      </c>
      <c r="AB1265" s="13" t="s">
        <v>581</v>
      </c>
      <c r="AC1265">
        <v>0</v>
      </c>
      <c r="AD1265">
        <v>0</v>
      </c>
      <c r="AE1265" s="13" t="s">
        <v>61</v>
      </c>
    </row>
    <row r="1266" spans="1:31" x14ac:dyDescent="0.35">
      <c r="A1266" s="13" t="s">
        <v>1986</v>
      </c>
      <c r="B1266" s="13" t="s">
        <v>590</v>
      </c>
      <c r="C1266" s="13" t="s">
        <v>591</v>
      </c>
      <c r="D1266" s="13" t="s">
        <v>52</v>
      </c>
      <c r="E1266" s="13" t="s">
        <v>53</v>
      </c>
      <c r="F1266" s="13" t="s">
        <v>135</v>
      </c>
      <c r="G1266" s="13" t="s">
        <v>67</v>
      </c>
      <c r="H1266">
        <v>240000</v>
      </c>
      <c r="I1266" s="13" t="s">
        <v>86</v>
      </c>
      <c r="J1266" s="13" t="s">
        <v>87</v>
      </c>
      <c r="K1266" s="13" t="s">
        <v>58</v>
      </c>
      <c r="L1266" s="13" t="s">
        <v>88</v>
      </c>
      <c r="M1266">
        <v>60</v>
      </c>
      <c r="N1266">
        <v>0</v>
      </c>
      <c r="O1266" s="14">
        <v>45993</v>
      </c>
      <c r="P1266" s="14">
        <v>46053</v>
      </c>
      <c r="Q1266">
        <v>11250.78</v>
      </c>
      <c r="R1266">
        <v>0</v>
      </c>
      <c r="S1266">
        <v>0</v>
      </c>
      <c r="T1266">
        <v>0</v>
      </c>
      <c r="U1266">
        <v>0</v>
      </c>
      <c r="V1266">
        <v>11250.78</v>
      </c>
      <c r="W1266">
        <v>0</v>
      </c>
      <c r="X1266">
        <v>1</v>
      </c>
      <c r="Y1266">
        <v>0</v>
      </c>
      <c r="Z1266">
        <v>-31</v>
      </c>
      <c r="AA1266">
        <v>1</v>
      </c>
      <c r="AB1266" s="13" t="s">
        <v>581</v>
      </c>
      <c r="AC1266">
        <v>0</v>
      </c>
      <c r="AD1266">
        <v>0</v>
      </c>
      <c r="AE1266" s="13" t="s">
        <v>61</v>
      </c>
    </row>
    <row r="1267" spans="1:31" x14ac:dyDescent="0.35">
      <c r="A1267" s="13" t="s">
        <v>1987</v>
      </c>
      <c r="B1267" s="13" t="s">
        <v>1165</v>
      </c>
      <c r="C1267" s="13" t="s">
        <v>1166</v>
      </c>
      <c r="D1267" s="13" t="s">
        <v>52</v>
      </c>
      <c r="E1267" s="13" t="s">
        <v>99</v>
      </c>
      <c r="F1267" s="13" t="s">
        <v>127</v>
      </c>
      <c r="G1267" s="13" t="s">
        <v>67</v>
      </c>
      <c r="H1267">
        <v>370000</v>
      </c>
      <c r="I1267" s="13" t="s">
        <v>56</v>
      </c>
      <c r="J1267" s="13" t="s">
        <v>57</v>
      </c>
      <c r="K1267" s="13" t="s">
        <v>58</v>
      </c>
      <c r="L1267" s="13" t="s">
        <v>88</v>
      </c>
      <c r="M1267">
        <v>60</v>
      </c>
      <c r="N1267">
        <v>0</v>
      </c>
      <c r="O1267" s="14">
        <v>45993</v>
      </c>
      <c r="P1267" s="14">
        <v>46053</v>
      </c>
      <c r="Q1267">
        <v>1807.84</v>
      </c>
      <c r="R1267">
        <v>0</v>
      </c>
      <c r="S1267">
        <v>0</v>
      </c>
      <c r="T1267">
        <v>0</v>
      </c>
      <c r="U1267">
        <v>0</v>
      </c>
      <c r="V1267">
        <v>1807.84</v>
      </c>
      <c r="W1267">
        <v>0</v>
      </c>
      <c r="X1267">
        <v>1</v>
      </c>
      <c r="Y1267">
        <v>0</v>
      </c>
      <c r="Z1267">
        <v>-31</v>
      </c>
      <c r="AA1267">
        <v>1</v>
      </c>
      <c r="AB1267" s="13" t="s">
        <v>581</v>
      </c>
      <c r="AC1267">
        <v>0</v>
      </c>
      <c r="AD1267">
        <v>0</v>
      </c>
      <c r="AE1267" s="13" t="s">
        <v>61</v>
      </c>
    </row>
    <row r="1268" spans="1:31" x14ac:dyDescent="0.35">
      <c r="A1268" s="13" t="s">
        <v>1988</v>
      </c>
      <c r="B1268" s="13" t="s">
        <v>263</v>
      </c>
      <c r="C1268" s="13" t="s">
        <v>264</v>
      </c>
      <c r="D1268" s="13" t="s">
        <v>52</v>
      </c>
      <c r="E1268" s="13" t="s">
        <v>99</v>
      </c>
      <c r="F1268" s="13" t="s">
        <v>100</v>
      </c>
      <c r="G1268" s="13" t="s">
        <v>55</v>
      </c>
      <c r="H1268">
        <v>590000</v>
      </c>
      <c r="I1268" s="13" t="s">
        <v>86</v>
      </c>
      <c r="J1268" s="13" t="s">
        <v>87</v>
      </c>
      <c r="K1268" s="13" t="s">
        <v>58</v>
      </c>
      <c r="L1268" s="13" t="s">
        <v>88</v>
      </c>
      <c r="M1268">
        <v>60</v>
      </c>
      <c r="N1268">
        <v>0</v>
      </c>
      <c r="O1268" s="14">
        <v>45993</v>
      </c>
      <c r="P1268" s="14">
        <v>46053</v>
      </c>
      <c r="Q1268">
        <v>14501.51</v>
      </c>
      <c r="R1268">
        <v>0</v>
      </c>
      <c r="S1268">
        <v>0</v>
      </c>
      <c r="T1268">
        <v>0</v>
      </c>
      <c r="U1268">
        <v>0</v>
      </c>
      <c r="V1268">
        <v>14501.51</v>
      </c>
      <c r="W1268">
        <v>0</v>
      </c>
      <c r="X1268">
        <v>1</v>
      </c>
      <c r="Y1268">
        <v>0</v>
      </c>
      <c r="Z1268">
        <v>-31</v>
      </c>
      <c r="AA1268">
        <v>1</v>
      </c>
      <c r="AB1268" s="13" t="s">
        <v>581</v>
      </c>
      <c r="AC1268">
        <v>0</v>
      </c>
      <c r="AD1268">
        <v>1</v>
      </c>
      <c r="AE1268" s="13" t="s">
        <v>348</v>
      </c>
    </row>
    <row r="1269" spans="1:31" x14ac:dyDescent="0.35">
      <c r="A1269" s="13" t="s">
        <v>1989</v>
      </c>
      <c r="B1269" s="13" t="s">
        <v>550</v>
      </c>
      <c r="C1269" s="13" t="s">
        <v>551</v>
      </c>
      <c r="D1269" s="13" t="s">
        <v>104</v>
      </c>
      <c r="E1269" s="13" t="s">
        <v>71</v>
      </c>
      <c r="F1269" s="13" t="s">
        <v>214</v>
      </c>
      <c r="G1269" s="13" t="s">
        <v>55</v>
      </c>
      <c r="H1269">
        <v>110000</v>
      </c>
      <c r="I1269" s="13" t="s">
        <v>121</v>
      </c>
      <c r="J1269" s="13" t="s">
        <v>122</v>
      </c>
      <c r="K1269" s="13" t="s">
        <v>107</v>
      </c>
      <c r="L1269" s="13" t="s">
        <v>88</v>
      </c>
      <c r="M1269">
        <v>60</v>
      </c>
      <c r="N1269">
        <v>0</v>
      </c>
      <c r="O1269" s="14">
        <v>45993</v>
      </c>
      <c r="P1269" s="14">
        <v>46053</v>
      </c>
      <c r="Q1269">
        <v>5273.92</v>
      </c>
      <c r="R1269">
        <v>0</v>
      </c>
      <c r="S1269">
        <v>0</v>
      </c>
      <c r="T1269">
        <v>0</v>
      </c>
      <c r="U1269">
        <v>0</v>
      </c>
      <c r="V1269">
        <v>5273.92</v>
      </c>
      <c r="W1269">
        <v>0</v>
      </c>
      <c r="X1269">
        <v>1</v>
      </c>
      <c r="Y1269">
        <v>0</v>
      </c>
      <c r="Z1269">
        <v>-31</v>
      </c>
      <c r="AA1269">
        <v>1</v>
      </c>
      <c r="AB1269" s="13" t="s">
        <v>581</v>
      </c>
      <c r="AC1269">
        <v>0</v>
      </c>
      <c r="AD1269">
        <v>0</v>
      </c>
      <c r="AE1269" s="13" t="s">
        <v>61</v>
      </c>
    </row>
    <row r="1270" spans="1:31" x14ac:dyDescent="0.35">
      <c r="A1270" s="13" t="s">
        <v>1990</v>
      </c>
      <c r="B1270" s="13" t="s">
        <v>1455</v>
      </c>
      <c r="C1270" s="13" t="s">
        <v>1456</v>
      </c>
      <c r="D1270" s="13" t="s">
        <v>104</v>
      </c>
      <c r="E1270" s="13" t="s">
        <v>65</v>
      </c>
      <c r="F1270" s="13" t="s">
        <v>111</v>
      </c>
      <c r="G1270" s="13" t="s">
        <v>55</v>
      </c>
      <c r="H1270">
        <v>135000</v>
      </c>
      <c r="I1270" s="13" t="s">
        <v>121</v>
      </c>
      <c r="J1270" s="13" t="s">
        <v>122</v>
      </c>
      <c r="K1270" s="13" t="s">
        <v>107</v>
      </c>
      <c r="L1270" s="13" t="s">
        <v>82</v>
      </c>
      <c r="M1270">
        <v>30</v>
      </c>
      <c r="N1270">
        <v>2</v>
      </c>
      <c r="O1270" s="14">
        <v>45994</v>
      </c>
      <c r="P1270" s="14">
        <v>46024</v>
      </c>
      <c r="Q1270">
        <v>8737.99</v>
      </c>
      <c r="R1270">
        <v>0</v>
      </c>
      <c r="S1270">
        <v>0</v>
      </c>
      <c r="T1270">
        <v>0</v>
      </c>
      <c r="U1270">
        <v>0</v>
      </c>
      <c r="V1270">
        <v>8737.99</v>
      </c>
      <c r="W1270">
        <v>0</v>
      </c>
      <c r="X1270">
        <v>1</v>
      </c>
      <c r="Y1270">
        <v>0</v>
      </c>
      <c r="Z1270">
        <v>-2</v>
      </c>
      <c r="AA1270">
        <v>1</v>
      </c>
      <c r="AB1270" s="13" t="s">
        <v>581</v>
      </c>
      <c r="AC1270">
        <v>0</v>
      </c>
      <c r="AD1270">
        <v>0</v>
      </c>
      <c r="AE1270" s="13" t="s">
        <v>61</v>
      </c>
    </row>
    <row r="1271" spans="1:31" x14ac:dyDescent="0.35">
      <c r="A1271" s="13" t="s">
        <v>1991</v>
      </c>
      <c r="B1271" s="13" t="s">
        <v>1992</v>
      </c>
      <c r="C1271" s="13" t="s">
        <v>1993</v>
      </c>
      <c r="D1271" s="13" t="s">
        <v>76</v>
      </c>
      <c r="E1271" s="13" t="s">
        <v>71</v>
      </c>
      <c r="F1271" s="13" t="s">
        <v>214</v>
      </c>
      <c r="G1271" s="13" t="s">
        <v>67</v>
      </c>
      <c r="H1271">
        <v>90000</v>
      </c>
      <c r="I1271" s="13" t="s">
        <v>93</v>
      </c>
      <c r="J1271" s="13" t="s">
        <v>94</v>
      </c>
      <c r="K1271" s="13" t="s">
        <v>81</v>
      </c>
      <c r="L1271" s="13" t="s">
        <v>82</v>
      </c>
      <c r="M1271">
        <v>30</v>
      </c>
      <c r="N1271">
        <v>2</v>
      </c>
      <c r="O1271" s="14">
        <v>45994</v>
      </c>
      <c r="P1271" s="14">
        <v>46024</v>
      </c>
      <c r="Q1271">
        <v>1281.5999999999999</v>
      </c>
      <c r="R1271">
        <v>0</v>
      </c>
      <c r="S1271">
        <v>0</v>
      </c>
      <c r="T1271">
        <v>0</v>
      </c>
      <c r="U1271">
        <v>0</v>
      </c>
      <c r="V1271">
        <v>1281.5999999999999</v>
      </c>
      <c r="W1271">
        <v>0</v>
      </c>
      <c r="X1271">
        <v>1</v>
      </c>
      <c r="Y1271">
        <v>0</v>
      </c>
      <c r="Z1271">
        <v>-2</v>
      </c>
      <c r="AA1271">
        <v>1</v>
      </c>
      <c r="AB1271" s="13" t="s">
        <v>581</v>
      </c>
      <c r="AC1271">
        <v>0</v>
      </c>
      <c r="AD1271">
        <v>1</v>
      </c>
      <c r="AE1271" s="13" t="s">
        <v>377</v>
      </c>
    </row>
    <row r="1272" spans="1:31" x14ac:dyDescent="0.35">
      <c r="A1272" s="13" t="s">
        <v>1994</v>
      </c>
      <c r="B1272" s="13" t="s">
        <v>1995</v>
      </c>
      <c r="C1272" s="13" t="s">
        <v>1996</v>
      </c>
      <c r="D1272" s="13" t="s">
        <v>76</v>
      </c>
      <c r="E1272" s="13" t="s">
        <v>65</v>
      </c>
      <c r="F1272" s="13" t="s">
        <v>66</v>
      </c>
      <c r="G1272" s="13" t="s">
        <v>55</v>
      </c>
      <c r="H1272">
        <v>75000</v>
      </c>
      <c r="I1272" s="13" t="s">
        <v>79</v>
      </c>
      <c r="J1272" s="13" t="s">
        <v>80</v>
      </c>
      <c r="K1272" s="13" t="s">
        <v>81</v>
      </c>
      <c r="L1272" s="13" t="s">
        <v>82</v>
      </c>
      <c r="M1272">
        <v>30</v>
      </c>
      <c r="N1272">
        <v>2</v>
      </c>
      <c r="O1272" s="14">
        <v>45994</v>
      </c>
      <c r="P1272" s="14">
        <v>46024</v>
      </c>
      <c r="Q1272">
        <v>1125.45</v>
      </c>
      <c r="R1272">
        <v>0</v>
      </c>
      <c r="S1272">
        <v>0</v>
      </c>
      <c r="T1272">
        <v>0</v>
      </c>
      <c r="U1272">
        <v>0</v>
      </c>
      <c r="V1272">
        <v>1125.45</v>
      </c>
      <c r="W1272">
        <v>0</v>
      </c>
      <c r="X1272">
        <v>1</v>
      </c>
      <c r="Y1272">
        <v>0</v>
      </c>
      <c r="Z1272">
        <v>-2</v>
      </c>
      <c r="AA1272">
        <v>1</v>
      </c>
      <c r="AB1272" s="13" t="s">
        <v>581</v>
      </c>
      <c r="AC1272">
        <v>0</v>
      </c>
      <c r="AD1272">
        <v>0</v>
      </c>
      <c r="AE1272" s="13" t="s">
        <v>61</v>
      </c>
    </row>
    <row r="1273" spans="1:31" x14ac:dyDescent="0.35">
      <c r="A1273" s="13" t="s">
        <v>1997</v>
      </c>
      <c r="B1273" s="13" t="s">
        <v>825</v>
      </c>
      <c r="C1273" s="13" t="s">
        <v>826</v>
      </c>
      <c r="D1273" s="13" t="s">
        <v>104</v>
      </c>
      <c r="E1273" s="13" t="s">
        <v>53</v>
      </c>
      <c r="F1273" s="13" t="s">
        <v>135</v>
      </c>
      <c r="G1273" s="13" t="s">
        <v>55</v>
      </c>
      <c r="H1273">
        <v>75000</v>
      </c>
      <c r="I1273" s="13" t="s">
        <v>105</v>
      </c>
      <c r="J1273" s="13" t="s">
        <v>106</v>
      </c>
      <c r="K1273" s="13" t="s">
        <v>107</v>
      </c>
      <c r="L1273" s="13" t="s">
        <v>88</v>
      </c>
      <c r="M1273">
        <v>60</v>
      </c>
      <c r="N1273">
        <v>0</v>
      </c>
      <c r="O1273" s="14">
        <v>45994</v>
      </c>
      <c r="P1273" s="14">
        <v>46054</v>
      </c>
      <c r="Q1273">
        <v>6065.34</v>
      </c>
      <c r="R1273">
        <v>0</v>
      </c>
      <c r="S1273">
        <v>0</v>
      </c>
      <c r="T1273">
        <v>0</v>
      </c>
      <c r="U1273">
        <v>0</v>
      </c>
      <c r="V1273">
        <v>6065.34</v>
      </c>
      <c r="W1273">
        <v>0</v>
      </c>
      <c r="X1273">
        <v>1</v>
      </c>
      <c r="Y1273">
        <v>0</v>
      </c>
      <c r="Z1273">
        <v>-32</v>
      </c>
      <c r="AA1273">
        <v>1</v>
      </c>
      <c r="AB1273" s="13" t="s">
        <v>581</v>
      </c>
      <c r="AC1273">
        <v>0</v>
      </c>
      <c r="AD1273">
        <v>0</v>
      </c>
      <c r="AE1273" s="13" t="s">
        <v>61</v>
      </c>
    </row>
    <row r="1274" spans="1:31" x14ac:dyDescent="0.35">
      <c r="A1274" s="13" t="s">
        <v>1998</v>
      </c>
      <c r="B1274" s="13" t="s">
        <v>1999</v>
      </c>
      <c r="C1274" s="13" t="s">
        <v>2000</v>
      </c>
      <c r="D1274" s="13" t="s">
        <v>76</v>
      </c>
      <c r="E1274" s="13" t="s">
        <v>71</v>
      </c>
      <c r="F1274" s="13" t="s">
        <v>214</v>
      </c>
      <c r="G1274" s="13" t="s">
        <v>67</v>
      </c>
      <c r="H1274">
        <v>30000</v>
      </c>
      <c r="I1274" s="13" t="s">
        <v>79</v>
      </c>
      <c r="J1274" s="13" t="s">
        <v>80</v>
      </c>
      <c r="K1274" s="13" t="s">
        <v>81</v>
      </c>
      <c r="L1274" s="13" t="s">
        <v>95</v>
      </c>
      <c r="M1274">
        <v>30</v>
      </c>
      <c r="N1274">
        <v>0</v>
      </c>
      <c r="O1274" s="14">
        <v>45994</v>
      </c>
      <c r="P1274" s="14">
        <v>46024</v>
      </c>
      <c r="Q1274">
        <v>2175.4699999999998</v>
      </c>
      <c r="R1274">
        <v>0</v>
      </c>
      <c r="S1274">
        <v>0</v>
      </c>
      <c r="T1274">
        <v>0</v>
      </c>
      <c r="U1274">
        <v>0</v>
      </c>
      <c r="V1274">
        <v>2175.4699999999998</v>
      </c>
      <c r="W1274">
        <v>0</v>
      </c>
      <c r="X1274">
        <v>1</v>
      </c>
      <c r="Y1274">
        <v>0</v>
      </c>
      <c r="Z1274">
        <v>-2</v>
      </c>
      <c r="AA1274">
        <v>1</v>
      </c>
      <c r="AB1274" s="13" t="s">
        <v>581</v>
      </c>
      <c r="AC1274">
        <v>0</v>
      </c>
      <c r="AD1274">
        <v>0</v>
      </c>
      <c r="AE1274" s="13" t="s">
        <v>61</v>
      </c>
    </row>
    <row r="1275" spans="1:31" x14ac:dyDescent="0.35">
      <c r="A1275" s="13" t="s">
        <v>2001</v>
      </c>
      <c r="B1275" s="13" t="s">
        <v>203</v>
      </c>
      <c r="C1275" s="13" t="s">
        <v>204</v>
      </c>
      <c r="D1275" s="13" t="s">
        <v>52</v>
      </c>
      <c r="E1275" s="13" t="s">
        <v>53</v>
      </c>
      <c r="F1275" s="13" t="s">
        <v>135</v>
      </c>
      <c r="G1275" s="13" t="s">
        <v>67</v>
      </c>
      <c r="H1275">
        <v>500000</v>
      </c>
      <c r="I1275" s="13" t="s">
        <v>56</v>
      </c>
      <c r="J1275" s="13" t="s">
        <v>57</v>
      </c>
      <c r="K1275" s="13" t="s">
        <v>58</v>
      </c>
      <c r="L1275" s="13" t="s">
        <v>59</v>
      </c>
      <c r="M1275">
        <v>45</v>
      </c>
      <c r="N1275">
        <v>0</v>
      </c>
      <c r="O1275" s="14">
        <v>45994</v>
      </c>
      <c r="P1275" s="14">
        <v>46039</v>
      </c>
      <c r="Q1275">
        <v>4513</v>
      </c>
      <c r="R1275">
        <v>0</v>
      </c>
      <c r="S1275">
        <v>0</v>
      </c>
      <c r="T1275">
        <v>0</v>
      </c>
      <c r="U1275">
        <v>0</v>
      </c>
      <c r="V1275">
        <v>4513</v>
      </c>
      <c r="W1275">
        <v>0</v>
      </c>
      <c r="X1275">
        <v>1</v>
      </c>
      <c r="Y1275">
        <v>0</v>
      </c>
      <c r="Z1275">
        <v>-17</v>
      </c>
      <c r="AA1275">
        <v>1</v>
      </c>
      <c r="AB1275" s="13" t="s">
        <v>581</v>
      </c>
      <c r="AC1275">
        <v>0</v>
      </c>
      <c r="AD1275">
        <v>0</v>
      </c>
      <c r="AE1275" s="13" t="s">
        <v>61</v>
      </c>
    </row>
    <row r="1276" spans="1:31" x14ac:dyDescent="0.35">
      <c r="A1276" s="13" t="s">
        <v>2002</v>
      </c>
      <c r="B1276" s="13" t="s">
        <v>702</v>
      </c>
      <c r="C1276" s="13" t="s">
        <v>703</v>
      </c>
      <c r="D1276" s="13" t="s">
        <v>52</v>
      </c>
      <c r="E1276" s="13" t="s">
        <v>65</v>
      </c>
      <c r="F1276" s="13" t="s">
        <v>111</v>
      </c>
      <c r="G1276" s="13" t="s">
        <v>67</v>
      </c>
      <c r="H1276">
        <v>435000</v>
      </c>
      <c r="I1276" s="13" t="s">
        <v>86</v>
      </c>
      <c r="J1276" s="13" t="s">
        <v>87</v>
      </c>
      <c r="K1276" s="13" t="s">
        <v>58</v>
      </c>
      <c r="L1276" s="13" t="s">
        <v>59</v>
      </c>
      <c r="M1276">
        <v>45</v>
      </c>
      <c r="N1276">
        <v>0</v>
      </c>
      <c r="O1276" s="14">
        <v>45994</v>
      </c>
      <c r="P1276" s="14">
        <v>46039</v>
      </c>
      <c r="Q1276">
        <v>16562.12</v>
      </c>
      <c r="R1276">
        <v>0</v>
      </c>
      <c r="S1276">
        <v>0</v>
      </c>
      <c r="T1276">
        <v>0</v>
      </c>
      <c r="U1276">
        <v>0</v>
      </c>
      <c r="V1276">
        <v>16562.12</v>
      </c>
      <c r="W1276">
        <v>0</v>
      </c>
      <c r="X1276">
        <v>1</v>
      </c>
      <c r="Y1276">
        <v>0</v>
      </c>
      <c r="Z1276">
        <v>-17</v>
      </c>
      <c r="AA1276">
        <v>1</v>
      </c>
      <c r="AB1276" s="13" t="s">
        <v>581</v>
      </c>
      <c r="AC1276">
        <v>0</v>
      </c>
      <c r="AD1276">
        <v>0</v>
      </c>
      <c r="AE1276" s="13" t="s">
        <v>61</v>
      </c>
    </row>
    <row r="1277" spans="1:31" x14ac:dyDescent="0.35">
      <c r="A1277" s="13" t="s">
        <v>2003</v>
      </c>
      <c r="B1277" s="13" t="s">
        <v>761</v>
      </c>
      <c r="C1277" s="13" t="s">
        <v>762</v>
      </c>
      <c r="D1277" s="13" t="s">
        <v>52</v>
      </c>
      <c r="E1277" s="13" t="s">
        <v>71</v>
      </c>
      <c r="F1277" s="13" t="s">
        <v>72</v>
      </c>
      <c r="G1277" s="13" t="s">
        <v>67</v>
      </c>
      <c r="H1277">
        <v>340000</v>
      </c>
      <c r="I1277" s="13" t="s">
        <v>86</v>
      </c>
      <c r="J1277" s="13" t="s">
        <v>87</v>
      </c>
      <c r="K1277" s="13" t="s">
        <v>58</v>
      </c>
      <c r="L1277" s="13" t="s">
        <v>59</v>
      </c>
      <c r="M1277">
        <v>45</v>
      </c>
      <c r="N1277">
        <v>0</v>
      </c>
      <c r="O1277" s="14">
        <v>45994</v>
      </c>
      <c r="P1277" s="14">
        <v>46039</v>
      </c>
      <c r="Q1277">
        <v>15788.2</v>
      </c>
      <c r="R1277">
        <v>0</v>
      </c>
      <c r="S1277">
        <v>0</v>
      </c>
      <c r="T1277">
        <v>0</v>
      </c>
      <c r="U1277">
        <v>0</v>
      </c>
      <c r="V1277">
        <v>15788.2</v>
      </c>
      <c r="W1277">
        <v>0</v>
      </c>
      <c r="X1277">
        <v>1</v>
      </c>
      <c r="Y1277">
        <v>0</v>
      </c>
      <c r="Z1277">
        <v>-17</v>
      </c>
      <c r="AA1277">
        <v>1</v>
      </c>
      <c r="AB1277" s="13" t="s">
        <v>581</v>
      </c>
      <c r="AC1277">
        <v>0</v>
      </c>
      <c r="AD1277">
        <v>0</v>
      </c>
      <c r="AE1277" s="13" t="s">
        <v>61</v>
      </c>
    </row>
    <row r="1278" spans="1:31" x14ac:dyDescent="0.35">
      <c r="A1278" s="13" t="s">
        <v>2004</v>
      </c>
      <c r="B1278" s="13" t="s">
        <v>1875</v>
      </c>
      <c r="C1278" s="13" t="s">
        <v>1876</v>
      </c>
      <c r="D1278" s="13" t="s">
        <v>104</v>
      </c>
      <c r="E1278" s="13" t="s">
        <v>65</v>
      </c>
      <c r="F1278" s="13" t="s">
        <v>66</v>
      </c>
      <c r="G1278" s="13" t="s">
        <v>67</v>
      </c>
      <c r="H1278">
        <v>70000</v>
      </c>
      <c r="I1278" s="13" t="s">
        <v>105</v>
      </c>
      <c r="J1278" s="13" t="s">
        <v>106</v>
      </c>
      <c r="K1278" s="13" t="s">
        <v>107</v>
      </c>
      <c r="L1278" s="13" t="s">
        <v>95</v>
      </c>
      <c r="M1278">
        <v>30</v>
      </c>
      <c r="N1278">
        <v>0</v>
      </c>
      <c r="O1278" s="14">
        <v>45994</v>
      </c>
      <c r="P1278" s="14">
        <v>46024</v>
      </c>
      <c r="Q1278">
        <v>3300.84</v>
      </c>
      <c r="R1278">
        <v>0</v>
      </c>
      <c r="S1278">
        <v>0</v>
      </c>
      <c r="T1278">
        <v>0</v>
      </c>
      <c r="U1278">
        <v>0</v>
      </c>
      <c r="V1278">
        <v>3300.84</v>
      </c>
      <c r="W1278">
        <v>0</v>
      </c>
      <c r="X1278">
        <v>1</v>
      </c>
      <c r="Y1278">
        <v>0</v>
      </c>
      <c r="Z1278">
        <v>-2</v>
      </c>
      <c r="AA1278">
        <v>1</v>
      </c>
      <c r="AB1278" s="13" t="s">
        <v>581</v>
      </c>
      <c r="AC1278">
        <v>0</v>
      </c>
      <c r="AD1278">
        <v>0</v>
      </c>
      <c r="AE1278" s="13" t="s">
        <v>61</v>
      </c>
    </row>
    <row r="1279" spans="1:31" x14ac:dyDescent="0.35">
      <c r="A1279" s="13" t="s">
        <v>2005</v>
      </c>
      <c r="B1279" s="13" t="s">
        <v>259</v>
      </c>
      <c r="C1279" s="13" t="s">
        <v>260</v>
      </c>
      <c r="D1279" s="13" t="s">
        <v>104</v>
      </c>
      <c r="E1279" s="13" t="s">
        <v>71</v>
      </c>
      <c r="F1279" s="13" t="s">
        <v>72</v>
      </c>
      <c r="G1279" s="13" t="s">
        <v>67</v>
      </c>
      <c r="H1279">
        <v>145000</v>
      </c>
      <c r="I1279" s="13" t="s">
        <v>121</v>
      </c>
      <c r="J1279" s="13" t="s">
        <v>122</v>
      </c>
      <c r="K1279" s="13" t="s">
        <v>107</v>
      </c>
      <c r="L1279" s="13" t="s">
        <v>88</v>
      </c>
      <c r="M1279">
        <v>60</v>
      </c>
      <c r="N1279">
        <v>0</v>
      </c>
      <c r="O1279" s="14">
        <v>45994</v>
      </c>
      <c r="P1279" s="14">
        <v>46054</v>
      </c>
      <c r="Q1279">
        <v>3589.98</v>
      </c>
      <c r="R1279">
        <v>0</v>
      </c>
      <c r="S1279">
        <v>0</v>
      </c>
      <c r="T1279">
        <v>0</v>
      </c>
      <c r="U1279">
        <v>0</v>
      </c>
      <c r="V1279">
        <v>3589.98</v>
      </c>
      <c r="W1279">
        <v>0</v>
      </c>
      <c r="X1279">
        <v>1</v>
      </c>
      <c r="Y1279">
        <v>0</v>
      </c>
      <c r="Z1279">
        <v>-32</v>
      </c>
      <c r="AA1279">
        <v>1</v>
      </c>
      <c r="AB1279" s="13" t="s">
        <v>581</v>
      </c>
      <c r="AC1279">
        <v>0</v>
      </c>
      <c r="AD1279">
        <v>0</v>
      </c>
      <c r="AE1279" s="13" t="s">
        <v>61</v>
      </c>
    </row>
    <row r="1280" spans="1:31" x14ac:dyDescent="0.35">
      <c r="A1280" s="13" t="s">
        <v>2006</v>
      </c>
      <c r="B1280" s="13" t="s">
        <v>1601</v>
      </c>
      <c r="C1280" s="13" t="s">
        <v>1602</v>
      </c>
      <c r="D1280" s="13" t="s">
        <v>76</v>
      </c>
      <c r="E1280" s="13" t="s">
        <v>99</v>
      </c>
      <c r="F1280" s="13" t="s">
        <v>127</v>
      </c>
      <c r="G1280" s="13" t="s">
        <v>55</v>
      </c>
      <c r="H1280">
        <v>90000</v>
      </c>
      <c r="I1280" s="13" t="s">
        <v>93</v>
      </c>
      <c r="J1280" s="13" t="s">
        <v>94</v>
      </c>
      <c r="K1280" s="13" t="s">
        <v>81</v>
      </c>
      <c r="L1280" s="13" t="s">
        <v>95</v>
      </c>
      <c r="M1280">
        <v>30</v>
      </c>
      <c r="N1280">
        <v>0</v>
      </c>
      <c r="O1280" s="14">
        <v>45994</v>
      </c>
      <c r="P1280" s="14">
        <v>46024</v>
      </c>
      <c r="Q1280">
        <v>4563.62</v>
      </c>
      <c r="R1280">
        <v>0</v>
      </c>
      <c r="S1280">
        <v>0</v>
      </c>
      <c r="T1280">
        <v>0</v>
      </c>
      <c r="U1280">
        <v>0</v>
      </c>
      <c r="V1280">
        <v>4563.62</v>
      </c>
      <c r="W1280">
        <v>0</v>
      </c>
      <c r="X1280">
        <v>1</v>
      </c>
      <c r="Y1280">
        <v>0</v>
      </c>
      <c r="Z1280">
        <v>-2</v>
      </c>
      <c r="AA1280">
        <v>1</v>
      </c>
      <c r="AB1280" s="13" t="s">
        <v>581</v>
      </c>
      <c r="AC1280">
        <v>0</v>
      </c>
      <c r="AD1280">
        <v>0</v>
      </c>
      <c r="AE1280" s="13" t="s">
        <v>61</v>
      </c>
    </row>
    <row r="1281" spans="1:31" x14ac:dyDescent="0.35">
      <c r="A1281" s="13" t="s">
        <v>2007</v>
      </c>
      <c r="B1281" s="13" t="s">
        <v>434</v>
      </c>
      <c r="C1281" s="13" t="s">
        <v>435</v>
      </c>
      <c r="D1281" s="13" t="s">
        <v>52</v>
      </c>
      <c r="E1281" s="13" t="s">
        <v>77</v>
      </c>
      <c r="F1281" s="13" t="s">
        <v>78</v>
      </c>
      <c r="G1281" s="13" t="s">
        <v>55</v>
      </c>
      <c r="H1281">
        <v>510000</v>
      </c>
      <c r="I1281" s="13" t="s">
        <v>56</v>
      </c>
      <c r="J1281" s="13" t="s">
        <v>57</v>
      </c>
      <c r="K1281" s="13" t="s">
        <v>58</v>
      </c>
      <c r="L1281" s="13" t="s">
        <v>88</v>
      </c>
      <c r="M1281">
        <v>60</v>
      </c>
      <c r="N1281">
        <v>0</v>
      </c>
      <c r="O1281" s="14">
        <v>45994</v>
      </c>
      <c r="P1281" s="14">
        <v>46054</v>
      </c>
      <c r="Q1281">
        <v>4384.6499999999996</v>
      </c>
      <c r="R1281">
        <v>0</v>
      </c>
      <c r="S1281">
        <v>0</v>
      </c>
      <c r="T1281">
        <v>0</v>
      </c>
      <c r="U1281">
        <v>0</v>
      </c>
      <c r="V1281">
        <v>4384.6499999999996</v>
      </c>
      <c r="W1281">
        <v>0</v>
      </c>
      <c r="X1281">
        <v>1</v>
      </c>
      <c r="Y1281">
        <v>0</v>
      </c>
      <c r="Z1281">
        <v>-32</v>
      </c>
      <c r="AA1281">
        <v>1</v>
      </c>
      <c r="AB1281" s="13" t="s">
        <v>581</v>
      </c>
      <c r="AC1281">
        <v>0</v>
      </c>
      <c r="AD1281">
        <v>0</v>
      </c>
      <c r="AE1281" s="13" t="s">
        <v>61</v>
      </c>
    </row>
    <row r="1282" spans="1:31" x14ac:dyDescent="0.35">
      <c r="A1282" s="13" t="s">
        <v>2008</v>
      </c>
      <c r="B1282" s="13" t="s">
        <v>165</v>
      </c>
      <c r="C1282" s="13" t="s">
        <v>166</v>
      </c>
      <c r="D1282" s="13" t="s">
        <v>104</v>
      </c>
      <c r="E1282" s="13" t="s">
        <v>53</v>
      </c>
      <c r="F1282" s="13" t="s">
        <v>135</v>
      </c>
      <c r="G1282" s="13" t="s">
        <v>67</v>
      </c>
      <c r="H1282">
        <v>55000</v>
      </c>
      <c r="I1282" s="13" t="s">
        <v>121</v>
      </c>
      <c r="J1282" s="13" t="s">
        <v>122</v>
      </c>
      <c r="K1282" s="13" t="s">
        <v>107</v>
      </c>
      <c r="L1282" s="13" t="s">
        <v>88</v>
      </c>
      <c r="M1282">
        <v>60</v>
      </c>
      <c r="N1282">
        <v>0</v>
      </c>
      <c r="O1282" s="14">
        <v>45994</v>
      </c>
      <c r="P1282" s="14">
        <v>46054</v>
      </c>
      <c r="Q1282">
        <v>2749.73</v>
      </c>
      <c r="R1282">
        <v>0</v>
      </c>
      <c r="S1282">
        <v>0</v>
      </c>
      <c r="T1282">
        <v>0</v>
      </c>
      <c r="U1282">
        <v>0</v>
      </c>
      <c r="V1282">
        <v>2749.73</v>
      </c>
      <c r="W1282">
        <v>0</v>
      </c>
      <c r="X1282">
        <v>1</v>
      </c>
      <c r="Y1282">
        <v>0</v>
      </c>
      <c r="Z1282">
        <v>-32</v>
      </c>
      <c r="AA1282">
        <v>1</v>
      </c>
      <c r="AB1282" s="13" t="s">
        <v>581</v>
      </c>
      <c r="AC1282">
        <v>0</v>
      </c>
      <c r="AD1282">
        <v>0</v>
      </c>
      <c r="AE1282" s="13" t="s">
        <v>61</v>
      </c>
    </row>
    <row r="1283" spans="1:31" x14ac:dyDescent="0.35">
      <c r="A1283" s="13" t="s">
        <v>2009</v>
      </c>
      <c r="B1283" s="13" t="s">
        <v>478</v>
      </c>
      <c r="C1283" s="13" t="s">
        <v>479</v>
      </c>
      <c r="D1283" s="13" t="s">
        <v>52</v>
      </c>
      <c r="E1283" s="13" t="s">
        <v>77</v>
      </c>
      <c r="F1283" s="13" t="s">
        <v>174</v>
      </c>
      <c r="G1283" s="13" t="s">
        <v>55</v>
      </c>
      <c r="H1283">
        <v>385000</v>
      </c>
      <c r="I1283" s="13" t="s">
        <v>86</v>
      </c>
      <c r="J1283" s="13" t="s">
        <v>87</v>
      </c>
      <c r="K1283" s="13" t="s">
        <v>58</v>
      </c>
      <c r="L1283" s="13" t="s">
        <v>88</v>
      </c>
      <c r="M1283">
        <v>60</v>
      </c>
      <c r="N1283">
        <v>0</v>
      </c>
      <c r="O1283" s="14">
        <v>45994</v>
      </c>
      <c r="P1283" s="14">
        <v>46054</v>
      </c>
      <c r="Q1283">
        <v>4924.6000000000004</v>
      </c>
      <c r="R1283">
        <v>0</v>
      </c>
      <c r="S1283">
        <v>0</v>
      </c>
      <c r="T1283">
        <v>0</v>
      </c>
      <c r="U1283">
        <v>0</v>
      </c>
      <c r="V1283">
        <v>4924.6000000000004</v>
      </c>
      <c r="W1283">
        <v>0</v>
      </c>
      <c r="X1283">
        <v>1</v>
      </c>
      <c r="Y1283">
        <v>0</v>
      </c>
      <c r="Z1283">
        <v>-32</v>
      </c>
      <c r="AA1283">
        <v>1</v>
      </c>
      <c r="AB1283" s="13" t="s">
        <v>581</v>
      </c>
      <c r="AC1283">
        <v>0</v>
      </c>
      <c r="AD1283">
        <v>0</v>
      </c>
      <c r="AE1283" s="13" t="s">
        <v>61</v>
      </c>
    </row>
    <row r="1284" spans="1:31" x14ac:dyDescent="0.35">
      <c r="A1284" s="13" t="s">
        <v>2010</v>
      </c>
      <c r="B1284" s="13" t="s">
        <v>1553</v>
      </c>
      <c r="C1284" s="13" t="s">
        <v>1554</v>
      </c>
      <c r="D1284" s="13" t="s">
        <v>76</v>
      </c>
      <c r="E1284" s="13" t="s">
        <v>53</v>
      </c>
      <c r="F1284" s="13" t="s">
        <v>135</v>
      </c>
      <c r="G1284" s="13" t="s">
        <v>55</v>
      </c>
      <c r="H1284">
        <v>95000</v>
      </c>
      <c r="I1284" s="13" t="s">
        <v>79</v>
      </c>
      <c r="J1284" s="13" t="s">
        <v>80</v>
      </c>
      <c r="K1284" s="13" t="s">
        <v>81</v>
      </c>
      <c r="L1284" s="13" t="s">
        <v>95</v>
      </c>
      <c r="M1284">
        <v>30</v>
      </c>
      <c r="N1284">
        <v>0</v>
      </c>
      <c r="O1284" s="14">
        <v>45994</v>
      </c>
      <c r="P1284" s="14">
        <v>46024</v>
      </c>
      <c r="Q1284">
        <v>4743.26</v>
      </c>
      <c r="R1284">
        <v>0</v>
      </c>
      <c r="S1284">
        <v>0</v>
      </c>
      <c r="T1284">
        <v>0</v>
      </c>
      <c r="U1284">
        <v>0</v>
      </c>
      <c r="V1284">
        <v>4743.26</v>
      </c>
      <c r="W1284">
        <v>0</v>
      </c>
      <c r="X1284">
        <v>1</v>
      </c>
      <c r="Y1284">
        <v>0</v>
      </c>
      <c r="Z1284">
        <v>-2</v>
      </c>
      <c r="AA1284">
        <v>1</v>
      </c>
      <c r="AB1284" s="13" t="s">
        <v>581</v>
      </c>
      <c r="AC1284">
        <v>0</v>
      </c>
      <c r="AD1284">
        <v>0</v>
      </c>
      <c r="AE1284" s="13" t="s">
        <v>61</v>
      </c>
    </row>
    <row r="1285" spans="1:31" x14ac:dyDescent="0.35">
      <c r="A1285" s="13" t="s">
        <v>2011</v>
      </c>
      <c r="B1285" s="13" t="s">
        <v>2012</v>
      </c>
      <c r="C1285" s="13" t="s">
        <v>2013</v>
      </c>
      <c r="D1285" s="13" t="s">
        <v>104</v>
      </c>
      <c r="E1285" s="13" t="s">
        <v>53</v>
      </c>
      <c r="F1285" s="13" t="s">
        <v>54</v>
      </c>
      <c r="G1285" s="13" t="s">
        <v>92</v>
      </c>
      <c r="H1285">
        <v>80000</v>
      </c>
      <c r="I1285" s="13" t="s">
        <v>121</v>
      </c>
      <c r="J1285" s="13" t="s">
        <v>122</v>
      </c>
      <c r="K1285" s="13" t="s">
        <v>107</v>
      </c>
      <c r="L1285" s="13" t="s">
        <v>82</v>
      </c>
      <c r="M1285">
        <v>30</v>
      </c>
      <c r="N1285">
        <v>2</v>
      </c>
      <c r="O1285" s="14">
        <v>45994</v>
      </c>
      <c r="P1285" s="14">
        <v>46024</v>
      </c>
      <c r="Q1285">
        <v>808.99</v>
      </c>
      <c r="R1285">
        <v>0</v>
      </c>
      <c r="S1285">
        <v>0</v>
      </c>
      <c r="T1285">
        <v>0</v>
      </c>
      <c r="U1285">
        <v>0</v>
      </c>
      <c r="V1285">
        <v>808.99</v>
      </c>
      <c r="W1285">
        <v>0</v>
      </c>
      <c r="X1285">
        <v>1</v>
      </c>
      <c r="Y1285">
        <v>0</v>
      </c>
      <c r="Z1285">
        <v>-2</v>
      </c>
      <c r="AA1285">
        <v>1</v>
      </c>
      <c r="AB1285" s="13" t="s">
        <v>581</v>
      </c>
      <c r="AC1285">
        <v>0</v>
      </c>
      <c r="AD1285">
        <v>0</v>
      </c>
      <c r="AE1285" s="13" t="s">
        <v>61</v>
      </c>
    </row>
    <row r="1286" spans="1:31" x14ac:dyDescent="0.35">
      <c r="A1286" s="13" t="s">
        <v>2014</v>
      </c>
      <c r="B1286" s="13" t="s">
        <v>914</v>
      </c>
      <c r="C1286" s="13" t="s">
        <v>915</v>
      </c>
      <c r="D1286" s="13" t="s">
        <v>76</v>
      </c>
      <c r="E1286" s="13" t="s">
        <v>99</v>
      </c>
      <c r="F1286" s="13" t="s">
        <v>100</v>
      </c>
      <c r="G1286" s="13" t="s">
        <v>55</v>
      </c>
      <c r="H1286">
        <v>95000</v>
      </c>
      <c r="I1286" s="13" t="s">
        <v>93</v>
      </c>
      <c r="J1286" s="13" t="s">
        <v>94</v>
      </c>
      <c r="K1286" s="13" t="s">
        <v>81</v>
      </c>
      <c r="L1286" s="13" t="s">
        <v>95</v>
      </c>
      <c r="M1286">
        <v>30</v>
      </c>
      <c r="N1286">
        <v>0</v>
      </c>
      <c r="O1286" s="14">
        <v>45994</v>
      </c>
      <c r="P1286" s="14">
        <v>46024</v>
      </c>
      <c r="Q1286">
        <v>464.4</v>
      </c>
      <c r="R1286">
        <v>0</v>
      </c>
      <c r="S1286">
        <v>0</v>
      </c>
      <c r="T1286">
        <v>0</v>
      </c>
      <c r="U1286">
        <v>0</v>
      </c>
      <c r="V1286">
        <v>464.4</v>
      </c>
      <c r="W1286">
        <v>0</v>
      </c>
      <c r="X1286">
        <v>1</v>
      </c>
      <c r="Y1286">
        <v>0</v>
      </c>
      <c r="Z1286">
        <v>-2</v>
      </c>
      <c r="AA1286">
        <v>1</v>
      </c>
      <c r="AB1286" s="13" t="s">
        <v>581</v>
      </c>
      <c r="AC1286">
        <v>0</v>
      </c>
      <c r="AD1286">
        <v>0</v>
      </c>
      <c r="AE1286" s="13" t="s">
        <v>61</v>
      </c>
    </row>
    <row r="1287" spans="1:31" x14ac:dyDescent="0.35">
      <c r="A1287" s="13" t="s">
        <v>2015</v>
      </c>
      <c r="B1287" s="13" t="s">
        <v>442</v>
      </c>
      <c r="C1287" s="13" t="s">
        <v>443</v>
      </c>
      <c r="D1287" s="13" t="s">
        <v>104</v>
      </c>
      <c r="E1287" s="13" t="s">
        <v>71</v>
      </c>
      <c r="F1287" s="13" t="s">
        <v>214</v>
      </c>
      <c r="G1287" s="13" t="s">
        <v>92</v>
      </c>
      <c r="H1287">
        <v>145000</v>
      </c>
      <c r="I1287" s="13" t="s">
        <v>121</v>
      </c>
      <c r="J1287" s="13" t="s">
        <v>122</v>
      </c>
      <c r="K1287" s="13" t="s">
        <v>107</v>
      </c>
      <c r="L1287" s="13" t="s">
        <v>88</v>
      </c>
      <c r="M1287">
        <v>60</v>
      </c>
      <c r="N1287">
        <v>0</v>
      </c>
      <c r="O1287" s="14">
        <v>45994</v>
      </c>
      <c r="P1287" s="14">
        <v>46054</v>
      </c>
      <c r="Q1287">
        <v>836.77</v>
      </c>
      <c r="R1287">
        <v>0</v>
      </c>
      <c r="S1287">
        <v>0</v>
      </c>
      <c r="T1287">
        <v>0</v>
      </c>
      <c r="U1287">
        <v>0</v>
      </c>
      <c r="V1287">
        <v>836.77</v>
      </c>
      <c r="W1287">
        <v>0</v>
      </c>
      <c r="X1287">
        <v>1</v>
      </c>
      <c r="Y1287">
        <v>0</v>
      </c>
      <c r="Z1287">
        <v>-32</v>
      </c>
      <c r="AA1287">
        <v>1</v>
      </c>
      <c r="AB1287" s="13" t="s">
        <v>581</v>
      </c>
      <c r="AC1287">
        <v>0</v>
      </c>
      <c r="AD1287">
        <v>0</v>
      </c>
      <c r="AE1287" s="13" t="s">
        <v>61</v>
      </c>
    </row>
    <row r="1288" spans="1:31" x14ac:dyDescent="0.35">
      <c r="A1288" s="13" t="s">
        <v>2016</v>
      </c>
      <c r="B1288" s="13" t="s">
        <v>1300</v>
      </c>
      <c r="C1288" s="13" t="s">
        <v>1301</v>
      </c>
      <c r="D1288" s="13" t="s">
        <v>126</v>
      </c>
      <c r="E1288" s="13" t="s">
        <v>65</v>
      </c>
      <c r="F1288" s="13" t="s">
        <v>66</v>
      </c>
      <c r="G1288" s="13" t="s">
        <v>67</v>
      </c>
      <c r="H1288">
        <v>95000</v>
      </c>
      <c r="I1288" s="13" t="s">
        <v>121</v>
      </c>
      <c r="J1288" s="13" t="s">
        <v>122</v>
      </c>
      <c r="K1288" s="13" t="s">
        <v>107</v>
      </c>
      <c r="L1288" s="13" t="s">
        <v>88</v>
      </c>
      <c r="M1288">
        <v>60</v>
      </c>
      <c r="N1288">
        <v>0</v>
      </c>
      <c r="O1288" s="14">
        <v>45994</v>
      </c>
      <c r="P1288" s="14">
        <v>46054</v>
      </c>
      <c r="Q1288">
        <v>3706.69</v>
      </c>
      <c r="R1288">
        <v>0</v>
      </c>
      <c r="S1288">
        <v>0</v>
      </c>
      <c r="T1288">
        <v>0</v>
      </c>
      <c r="U1288">
        <v>0</v>
      </c>
      <c r="V1288">
        <v>3706.69</v>
      </c>
      <c r="W1288">
        <v>0</v>
      </c>
      <c r="X1288">
        <v>1</v>
      </c>
      <c r="Y1288">
        <v>0</v>
      </c>
      <c r="Z1288">
        <v>-32</v>
      </c>
      <c r="AA1288">
        <v>1</v>
      </c>
      <c r="AB1288" s="13" t="s">
        <v>581</v>
      </c>
      <c r="AC1288">
        <v>0</v>
      </c>
      <c r="AD1288">
        <v>0</v>
      </c>
      <c r="AE1288" s="13" t="s">
        <v>61</v>
      </c>
    </row>
    <row r="1289" spans="1:31" x14ac:dyDescent="0.35">
      <c r="A1289" s="13" t="s">
        <v>2017</v>
      </c>
      <c r="B1289" s="13" t="s">
        <v>596</v>
      </c>
      <c r="C1289" s="13" t="s">
        <v>597</v>
      </c>
      <c r="D1289" s="13" t="s">
        <v>126</v>
      </c>
      <c r="E1289" s="13" t="s">
        <v>65</v>
      </c>
      <c r="F1289" s="13" t="s">
        <v>111</v>
      </c>
      <c r="G1289" s="13" t="s">
        <v>67</v>
      </c>
      <c r="H1289">
        <v>165000</v>
      </c>
      <c r="I1289" s="13" t="s">
        <v>56</v>
      </c>
      <c r="J1289" s="13" t="s">
        <v>57</v>
      </c>
      <c r="K1289" s="13" t="s">
        <v>58</v>
      </c>
      <c r="L1289" s="13" t="s">
        <v>88</v>
      </c>
      <c r="M1289">
        <v>60</v>
      </c>
      <c r="N1289">
        <v>0</v>
      </c>
      <c r="O1289" s="14">
        <v>45994</v>
      </c>
      <c r="P1289" s="14">
        <v>46054</v>
      </c>
      <c r="Q1289">
        <v>1901.81</v>
      </c>
      <c r="R1289">
        <v>0</v>
      </c>
      <c r="S1289">
        <v>0</v>
      </c>
      <c r="T1289">
        <v>0</v>
      </c>
      <c r="U1289">
        <v>0</v>
      </c>
      <c r="V1289">
        <v>1901.81</v>
      </c>
      <c r="W1289">
        <v>0</v>
      </c>
      <c r="X1289">
        <v>1</v>
      </c>
      <c r="Y1289">
        <v>0</v>
      </c>
      <c r="Z1289">
        <v>-32</v>
      </c>
      <c r="AA1289">
        <v>1</v>
      </c>
      <c r="AB1289" s="13" t="s">
        <v>581</v>
      </c>
      <c r="AC1289">
        <v>0</v>
      </c>
      <c r="AD1289">
        <v>0</v>
      </c>
      <c r="AE1289" s="13" t="s">
        <v>61</v>
      </c>
    </row>
    <row r="1290" spans="1:31" x14ac:dyDescent="0.35">
      <c r="A1290" s="13" t="s">
        <v>2018</v>
      </c>
      <c r="B1290" s="13" t="s">
        <v>997</v>
      </c>
      <c r="C1290" s="13" t="s">
        <v>998</v>
      </c>
      <c r="D1290" s="13" t="s">
        <v>52</v>
      </c>
      <c r="E1290" s="13" t="s">
        <v>71</v>
      </c>
      <c r="F1290" s="13" t="s">
        <v>72</v>
      </c>
      <c r="G1290" s="13" t="s">
        <v>55</v>
      </c>
      <c r="H1290">
        <v>405000</v>
      </c>
      <c r="I1290" s="13" t="s">
        <v>86</v>
      </c>
      <c r="J1290" s="13" t="s">
        <v>87</v>
      </c>
      <c r="K1290" s="13" t="s">
        <v>58</v>
      </c>
      <c r="L1290" s="13" t="s">
        <v>59</v>
      </c>
      <c r="M1290">
        <v>45</v>
      </c>
      <c r="N1290">
        <v>0</v>
      </c>
      <c r="O1290" s="14">
        <v>45994</v>
      </c>
      <c r="P1290" s="14">
        <v>46039</v>
      </c>
      <c r="Q1290">
        <v>15354.23</v>
      </c>
      <c r="R1290">
        <v>0</v>
      </c>
      <c r="S1290">
        <v>0</v>
      </c>
      <c r="T1290">
        <v>0</v>
      </c>
      <c r="U1290">
        <v>0</v>
      </c>
      <c r="V1290">
        <v>15354.23</v>
      </c>
      <c r="W1290">
        <v>0</v>
      </c>
      <c r="X1290">
        <v>1</v>
      </c>
      <c r="Y1290">
        <v>0</v>
      </c>
      <c r="Z1290">
        <v>-17</v>
      </c>
      <c r="AA1290">
        <v>1</v>
      </c>
      <c r="AB1290" s="13" t="s">
        <v>581</v>
      </c>
      <c r="AC1290">
        <v>0</v>
      </c>
      <c r="AD1290">
        <v>0</v>
      </c>
      <c r="AE1290" s="13" t="s">
        <v>61</v>
      </c>
    </row>
    <row r="1291" spans="1:31" x14ac:dyDescent="0.35">
      <c r="A1291" s="13" t="s">
        <v>2019</v>
      </c>
      <c r="B1291" s="13" t="s">
        <v>521</v>
      </c>
      <c r="C1291" s="13" t="s">
        <v>522</v>
      </c>
      <c r="D1291" s="13" t="s">
        <v>126</v>
      </c>
      <c r="E1291" s="13" t="s">
        <v>77</v>
      </c>
      <c r="F1291" s="13" t="s">
        <v>78</v>
      </c>
      <c r="G1291" s="13" t="s">
        <v>67</v>
      </c>
      <c r="H1291">
        <v>155000</v>
      </c>
      <c r="I1291" s="13" t="s">
        <v>86</v>
      </c>
      <c r="J1291" s="13" t="s">
        <v>87</v>
      </c>
      <c r="K1291" s="13" t="s">
        <v>58</v>
      </c>
      <c r="L1291" s="13" t="s">
        <v>368</v>
      </c>
      <c r="M1291">
        <v>90</v>
      </c>
      <c r="N1291">
        <v>0</v>
      </c>
      <c r="O1291" s="14">
        <v>45994</v>
      </c>
      <c r="P1291" s="14">
        <v>46084</v>
      </c>
      <c r="Q1291">
        <v>2306.52</v>
      </c>
      <c r="R1291">
        <v>0</v>
      </c>
      <c r="S1291">
        <v>0</v>
      </c>
      <c r="T1291">
        <v>0</v>
      </c>
      <c r="U1291">
        <v>0</v>
      </c>
      <c r="V1291">
        <v>2306.52</v>
      </c>
      <c r="W1291">
        <v>0</v>
      </c>
      <c r="X1291">
        <v>1</v>
      </c>
      <c r="Y1291">
        <v>0</v>
      </c>
      <c r="Z1291">
        <v>-62</v>
      </c>
      <c r="AA1291">
        <v>1</v>
      </c>
      <c r="AB1291" s="13" t="s">
        <v>581</v>
      </c>
      <c r="AC1291">
        <v>0</v>
      </c>
      <c r="AD1291">
        <v>0</v>
      </c>
      <c r="AE1291" s="13" t="s">
        <v>61</v>
      </c>
    </row>
    <row r="1292" spans="1:31" x14ac:dyDescent="0.35">
      <c r="A1292" s="13" t="s">
        <v>2020</v>
      </c>
      <c r="B1292" s="13" t="s">
        <v>109</v>
      </c>
      <c r="C1292" s="13" t="s">
        <v>110</v>
      </c>
      <c r="D1292" s="13" t="s">
        <v>52</v>
      </c>
      <c r="E1292" s="13" t="s">
        <v>65</v>
      </c>
      <c r="F1292" s="13" t="s">
        <v>111</v>
      </c>
      <c r="G1292" s="13" t="s">
        <v>67</v>
      </c>
      <c r="H1292">
        <v>455000</v>
      </c>
      <c r="I1292" s="13" t="s">
        <v>86</v>
      </c>
      <c r="J1292" s="13" t="s">
        <v>87</v>
      </c>
      <c r="K1292" s="13" t="s">
        <v>58</v>
      </c>
      <c r="L1292" s="13" t="s">
        <v>59</v>
      </c>
      <c r="M1292">
        <v>45</v>
      </c>
      <c r="N1292">
        <v>0</v>
      </c>
      <c r="O1292" s="14">
        <v>45994</v>
      </c>
      <c r="P1292" s="14">
        <v>46039</v>
      </c>
      <c r="Q1292">
        <v>15871.95</v>
      </c>
      <c r="R1292">
        <v>0</v>
      </c>
      <c r="S1292">
        <v>0</v>
      </c>
      <c r="T1292">
        <v>0</v>
      </c>
      <c r="U1292">
        <v>0</v>
      </c>
      <c r="V1292">
        <v>15871.95</v>
      </c>
      <c r="W1292">
        <v>0</v>
      </c>
      <c r="X1292">
        <v>1</v>
      </c>
      <c r="Y1292">
        <v>0</v>
      </c>
      <c r="Z1292">
        <v>-17</v>
      </c>
      <c r="AA1292">
        <v>1</v>
      </c>
      <c r="AB1292" s="13" t="s">
        <v>581</v>
      </c>
      <c r="AC1292">
        <v>0</v>
      </c>
      <c r="AD1292">
        <v>0</v>
      </c>
      <c r="AE1292" s="13" t="s">
        <v>61</v>
      </c>
    </row>
    <row r="1293" spans="1:31" x14ac:dyDescent="0.35">
      <c r="A1293" s="13" t="s">
        <v>2021</v>
      </c>
      <c r="B1293" s="13" t="s">
        <v>558</v>
      </c>
      <c r="C1293" s="13" t="s">
        <v>559</v>
      </c>
      <c r="D1293" s="13" t="s">
        <v>52</v>
      </c>
      <c r="E1293" s="13" t="s">
        <v>53</v>
      </c>
      <c r="F1293" s="13" t="s">
        <v>54</v>
      </c>
      <c r="G1293" s="13" t="s">
        <v>55</v>
      </c>
      <c r="H1293">
        <v>240000</v>
      </c>
      <c r="I1293" s="13" t="s">
        <v>56</v>
      </c>
      <c r="J1293" s="13" t="s">
        <v>57</v>
      </c>
      <c r="K1293" s="13" t="s">
        <v>58</v>
      </c>
      <c r="L1293" s="13" t="s">
        <v>59</v>
      </c>
      <c r="M1293">
        <v>45</v>
      </c>
      <c r="N1293">
        <v>0</v>
      </c>
      <c r="O1293" s="14">
        <v>45994</v>
      </c>
      <c r="P1293" s="14">
        <v>46039</v>
      </c>
      <c r="Q1293">
        <v>2293.75</v>
      </c>
      <c r="R1293">
        <v>0</v>
      </c>
      <c r="S1293">
        <v>0</v>
      </c>
      <c r="T1293">
        <v>0</v>
      </c>
      <c r="U1293">
        <v>0</v>
      </c>
      <c r="V1293">
        <v>2293.75</v>
      </c>
      <c r="W1293">
        <v>0</v>
      </c>
      <c r="X1293">
        <v>1</v>
      </c>
      <c r="Y1293">
        <v>0</v>
      </c>
      <c r="Z1293">
        <v>-17</v>
      </c>
      <c r="AA1293">
        <v>1</v>
      </c>
      <c r="AB1293" s="13" t="s">
        <v>581</v>
      </c>
      <c r="AC1293">
        <v>0</v>
      </c>
      <c r="AD1293">
        <v>0</v>
      </c>
      <c r="AE1293" s="13" t="s">
        <v>61</v>
      </c>
    </row>
    <row r="1294" spans="1:31" x14ac:dyDescent="0.35">
      <c r="A1294" s="13" t="s">
        <v>2022</v>
      </c>
      <c r="B1294" s="13" t="s">
        <v>168</v>
      </c>
      <c r="C1294" s="13" t="s">
        <v>169</v>
      </c>
      <c r="D1294" s="13" t="s">
        <v>52</v>
      </c>
      <c r="E1294" s="13" t="s">
        <v>65</v>
      </c>
      <c r="F1294" s="13" t="s">
        <v>66</v>
      </c>
      <c r="G1294" s="13" t="s">
        <v>67</v>
      </c>
      <c r="H1294">
        <v>580000</v>
      </c>
      <c r="I1294" s="13" t="s">
        <v>56</v>
      </c>
      <c r="J1294" s="13" t="s">
        <v>57</v>
      </c>
      <c r="K1294" s="13" t="s">
        <v>58</v>
      </c>
      <c r="L1294" s="13" t="s">
        <v>59</v>
      </c>
      <c r="M1294">
        <v>45</v>
      </c>
      <c r="N1294">
        <v>0</v>
      </c>
      <c r="O1294" s="14">
        <v>45994</v>
      </c>
      <c r="P1294" s="14">
        <v>46039</v>
      </c>
      <c r="Q1294">
        <v>4365.53</v>
      </c>
      <c r="R1294">
        <v>0</v>
      </c>
      <c r="S1294">
        <v>0</v>
      </c>
      <c r="T1294">
        <v>0</v>
      </c>
      <c r="U1294">
        <v>0</v>
      </c>
      <c r="V1294">
        <v>4365.53</v>
      </c>
      <c r="W1294">
        <v>0</v>
      </c>
      <c r="X1294">
        <v>1</v>
      </c>
      <c r="Y1294">
        <v>0</v>
      </c>
      <c r="Z1294">
        <v>-17</v>
      </c>
      <c r="AA1294">
        <v>1</v>
      </c>
      <c r="AB1294" s="13" t="s">
        <v>581</v>
      </c>
      <c r="AC1294">
        <v>0</v>
      </c>
      <c r="AD1294">
        <v>0</v>
      </c>
      <c r="AE1294" s="13" t="s">
        <v>61</v>
      </c>
    </row>
    <row r="1295" spans="1:31" x14ac:dyDescent="0.35">
      <c r="A1295" s="13" t="s">
        <v>2023</v>
      </c>
      <c r="B1295" s="13" t="s">
        <v>2024</v>
      </c>
      <c r="C1295" s="13" t="s">
        <v>2025</v>
      </c>
      <c r="D1295" s="13" t="s">
        <v>104</v>
      </c>
      <c r="E1295" s="13" t="s">
        <v>65</v>
      </c>
      <c r="F1295" s="13" t="s">
        <v>111</v>
      </c>
      <c r="G1295" s="13" t="s">
        <v>55</v>
      </c>
      <c r="H1295">
        <v>130000</v>
      </c>
      <c r="I1295" s="13" t="s">
        <v>121</v>
      </c>
      <c r="J1295" s="13" t="s">
        <v>122</v>
      </c>
      <c r="K1295" s="13" t="s">
        <v>107</v>
      </c>
      <c r="L1295" s="13" t="s">
        <v>95</v>
      </c>
      <c r="M1295">
        <v>30</v>
      </c>
      <c r="N1295">
        <v>0</v>
      </c>
      <c r="O1295" s="14">
        <v>45994</v>
      </c>
      <c r="P1295" s="14">
        <v>46024</v>
      </c>
      <c r="Q1295">
        <v>8150.17</v>
      </c>
      <c r="R1295">
        <v>0</v>
      </c>
      <c r="S1295">
        <v>0</v>
      </c>
      <c r="T1295">
        <v>0</v>
      </c>
      <c r="U1295">
        <v>0</v>
      </c>
      <c r="V1295">
        <v>8150.17</v>
      </c>
      <c r="W1295">
        <v>0</v>
      </c>
      <c r="X1295">
        <v>1</v>
      </c>
      <c r="Y1295">
        <v>0</v>
      </c>
      <c r="Z1295">
        <v>-2</v>
      </c>
      <c r="AA1295">
        <v>1</v>
      </c>
      <c r="AB1295" s="13" t="s">
        <v>581</v>
      </c>
      <c r="AC1295">
        <v>0</v>
      </c>
      <c r="AD1295">
        <v>0</v>
      </c>
      <c r="AE1295" s="13" t="s">
        <v>61</v>
      </c>
    </row>
    <row r="1296" spans="1:31" x14ac:dyDescent="0.35">
      <c r="A1296" s="13" t="s">
        <v>2026</v>
      </c>
      <c r="B1296" s="13" t="s">
        <v>144</v>
      </c>
      <c r="C1296" s="13" t="s">
        <v>145</v>
      </c>
      <c r="D1296" s="13" t="s">
        <v>52</v>
      </c>
      <c r="E1296" s="13" t="s">
        <v>99</v>
      </c>
      <c r="F1296" s="13" t="s">
        <v>100</v>
      </c>
      <c r="G1296" s="13" t="s">
        <v>55</v>
      </c>
      <c r="H1296">
        <v>590000</v>
      </c>
      <c r="I1296" s="13" t="s">
        <v>56</v>
      </c>
      <c r="J1296" s="13" t="s">
        <v>57</v>
      </c>
      <c r="K1296" s="13" t="s">
        <v>58</v>
      </c>
      <c r="L1296" s="13" t="s">
        <v>88</v>
      </c>
      <c r="M1296">
        <v>60</v>
      </c>
      <c r="N1296">
        <v>0</v>
      </c>
      <c r="O1296" s="14">
        <v>45994</v>
      </c>
      <c r="P1296" s="14">
        <v>46054</v>
      </c>
      <c r="Q1296">
        <v>3998.35</v>
      </c>
      <c r="R1296">
        <v>0</v>
      </c>
      <c r="S1296">
        <v>0</v>
      </c>
      <c r="T1296">
        <v>0</v>
      </c>
      <c r="U1296">
        <v>0</v>
      </c>
      <c r="V1296">
        <v>3998.35</v>
      </c>
      <c r="W1296">
        <v>0</v>
      </c>
      <c r="X1296">
        <v>1</v>
      </c>
      <c r="Y1296">
        <v>0</v>
      </c>
      <c r="Z1296">
        <v>-32</v>
      </c>
      <c r="AA1296">
        <v>1</v>
      </c>
      <c r="AB1296" s="13" t="s">
        <v>581</v>
      </c>
      <c r="AC1296">
        <v>0</v>
      </c>
      <c r="AD1296">
        <v>0</v>
      </c>
      <c r="AE1296" s="13" t="s">
        <v>61</v>
      </c>
    </row>
    <row r="1297" spans="1:31" x14ac:dyDescent="0.35">
      <c r="A1297" s="13" t="s">
        <v>2027</v>
      </c>
      <c r="B1297" s="13" t="s">
        <v>528</v>
      </c>
      <c r="C1297" s="13" t="s">
        <v>529</v>
      </c>
      <c r="D1297" s="13" t="s">
        <v>104</v>
      </c>
      <c r="E1297" s="13" t="s">
        <v>71</v>
      </c>
      <c r="F1297" s="13" t="s">
        <v>214</v>
      </c>
      <c r="G1297" s="13" t="s">
        <v>55</v>
      </c>
      <c r="H1297">
        <v>40000</v>
      </c>
      <c r="I1297" s="13" t="s">
        <v>105</v>
      </c>
      <c r="J1297" s="13" t="s">
        <v>106</v>
      </c>
      <c r="K1297" s="13" t="s">
        <v>107</v>
      </c>
      <c r="L1297" s="13" t="s">
        <v>88</v>
      </c>
      <c r="M1297">
        <v>60</v>
      </c>
      <c r="N1297">
        <v>0</v>
      </c>
      <c r="O1297" s="14">
        <v>45994</v>
      </c>
      <c r="P1297" s="14">
        <v>46054</v>
      </c>
      <c r="Q1297">
        <v>4859.66</v>
      </c>
      <c r="R1297">
        <v>0</v>
      </c>
      <c r="S1297">
        <v>0</v>
      </c>
      <c r="T1297">
        <v>0</v>
      </c>
      <c r="U1297">
        <v>0</v>
      </c>
      <c r="V1297">
        <v>4859.66</v>
      </c>
      <c r="W1297">
        <v>0</v>
      </c>
      <c r="X1297">
        <v>1</v>
      </c>
      <c r="Y1297">
        <v>0</v>
      </c>
      <c r="Z1297">
        <v>-32</v>
      </c>
      <c r="AA1297">
        <v>1</v>
      </c>
      <c r="AB1297" s="13" t="s">
        <v>581</v>
      </c>
      <c r="AC1297">
        <v>0</v>
      </c>
      <c r="AD1297">
        <v>0</v>
      </c>
      <c r="AE1297" s="13" t="s">
        <v>61</v>
      </c>
    </row>
    <row r="1298" spans="1:31" x14ac:dyDescent="0.35">
      <c r="A1298" s="13" t="s">
        <v>2028</v>
      </c>
      <c r="B1298" s="13" t="s">
        <v>2029</v>
      </c>
      <c r="C1298" s="13" t="s">
        <v>2030</v>
      </c>
      <c r="D1298" s="13" t="s">
        <v>76</v>
      </c>
      <c r="E1298" s="13" t="s">
        <v>99</v>
      </c>
      <c r="F1298" s="13" t="s">
        <v>100</v>
      </c>
      <c r="G1298" s="13" t="s">
        <v>67</v>
      </c>
      <c r="H1298">
        <v>55000</v>
      </c>
      <c r="I1298" s="13" t="s">
        <v>79</v>
      </c>
      <c r="J1298" s="13" t="s">
        <v>80</v>
      </c>
      <c r="K1298" s="13" t="s">
        <v>81</v>
      </c>
      <c r="L1298" s="13" t="s">
        <v>95</v>
      </c>
      <c r="M1298">
        <v>30</v>
      </c>
      <c r="N1298">
        <v>0</v>
      </c>
      <c r="O1298" s="14">
        <v>45994</v>
      </c>
      <c r="P1298" s="14">
        <v>46024</v>
      </c>
      <c r="Q1298">
        <v>513.14</v>
      </c>
      <c r="R1298">
        <v>0</v>
      </c>
      <c r="S1298">
        <v>0</v>
      </c>
      <c r="T1298">
        <v>0</v>
      </c>
      <c r="U1298">
        <v>0</v>
      </c>
      <c r="V1298">
        <v>513.14</v>
      </c>
      <c r="W1298">
        <v>0</v>
      </c>
      <c r="X1298">
        <v>1</v>
      </c>
      <c r="Y1298">
        <v>0</v>
      </c>
      <c r="Z1298">
        <v>-2</v>
      </c>
      <c r="AA1298">
        <v>1</v>
      </c>
      <c r="AB1298" s="13" t="s">
        <v>581</v>
      </c>
      <c r="AC1298">
        <v>0</v>
      </c>
      <c r="AD1298">
        <v>0</v>
      </c>
      <c r="AE1298" s="13" t="s">
        <v>61</v>
      </c>
    </row>
    <row r="1299" spans="1:31" x14ac:dyDescent="0.35">
      <c r="A1299" s="13" t="s">
        <v>2031</v>
      </c>
      <c r="B1299" s="13" t="s">
        <v>2032</v>
      </c>
      <c r="C1299" s="13" t="s">
        <v>2033</v>
      </c>
      <c r="D1299" s="13" t="s">
        <v>76</v>
      </c>
      <c r="E1299" s="13" t="s">
        <v>65</v>
      </c>
      <c r="F1299" s="13" t="s">
        <v>66</v>
      </c>
      <c r="G1299" s="13" t="s">
        <v>67</v>
      </c>
      <c r="H1299">
        <v>110000</v>
      </c>
      <c r="I1299" s="13" t="s">
        <v>79</v>
      </c>
      <c r="J1299" s="13" t="s">
        <v>80</v>
      </c>
      <c r="K1299" s="13" t="s">
        <v>81</v>
      </c>
      <c r="L1299" s="13" t="s">
        <v>82</v>
      </c>
      <c r="M1299">
        <v>30</v>
      </c>
      <c r="N1299">
        <v>2</v>
      </c>
      <c r="O1299" s="14">
        <v>45994</v>
      </c>
      <c r="P1299" s="14">
        <v>46024</v>
      </c>
      <c r="Q1299">
        <v>4683.95</v>
      </c>
      <c r="R1299">
        <v>0</v>
      </c>
      <c r="S1299">
        <v>0</v>
      </c>
      <c r="T1299">
        <v>0</v>
      </c>
      <c r="U1299">
        <v>0</v>
      </c>
      <c r="V1299">
        <v>4683.95</v>
      </c>
      <c r="W1299">
        <v>0</v>
      </c>
      <c r="X1299">
        <v>1</v>
      </c>
      <c r="Y1299">
        <v>0</v>
      </c>
      <c r="Z1299">
        <v>-2</v>
      </c>
      <c r="AA1299">
        <v>1</v>
      </c>
      <c r="AB1299" s="13" t="s">
        <v>581</v>
      </c>
      <c r="AC1299">
        <v>0</v>
      </c>
      <c r="AD1299">
        <v>0</v>
      </c>
      <c r="AE1299" s="13" t="s">
        <v>61</v>
      </c>
    </row>
    <row r="1300" spans="1:31" x14ac:dyDescent="0.35">
      <c r="A1300" s="13" t="s">
        <v>2034</v>
      </c>
      <c r="B1300" s="13" t="s">
        <v>927</v>
      </c>
      <c r="C1300" s="13" t="s">
        <v>928</v>
      </c>
      <c r="D1300" s="13" t="s">
        <v>52</v>
      </c>
      <c r="E1300" s="13" t="s">
        <v>99</v>
      </c>
      <c r="F1300" s="13" t="s">
        <v>100</v>
      </c>
      <c r="G1300" s="13" t="s">
        <v>67</v>
      </c>
      <c r="H1300">
        <v>185000</v>
      </c>
      <c r="I1300" s="13" t="s">
        <v>56</v>
      </c>
      <c r="J1300" s="13" t="s">
        <v>57</v>
      </c>
      <c r="K1300" s="13" t="s">
        <v>58</v>
      </c>
      <c r="L1300" s="13" t="s">
        <v>88</v>
      </c>
      <c r="M1300">
        <v>60</v>
      </c>
      <c r="N1300">
        <v>0</v>
      </c>
      <c r="O1300" s="14">
        <v>45994</v>
      </c>
      <c r="P1300" s="14">
        <v>46054</v>
      </c>
      <c r="Q1300">
        <v>2463.06</v>
      </c>
      <c r="R1300">
        <v>0</v>
      </c>
      <c r="S1300">
        <v>0</v>
      </c>
      <c r="T1300">
        <v>0</v>
      </c>
      <c r="U1300">
        <v>0</v>
      </c>
      <c r="V1300">
        <v>2463.06</v>
      </c>
      <c r="W1300">
        <v>0</v>
      </c>
      <c r="X1300">
        <v>1</v>
      </c>
      <c r="Y1300">
        <v>0</v>
      </c>
      <c r="Z1300">
        <v>-32</v>
      </c>
      <c r="AA1300">
        <v>1</v>
      </c>
      <c r="AB1300" s="13" t="s">
        <v>581</v>
      </c>
      <c r="AC1300">
        <v>0</v>
      </c>
      <c r="AD1300">
        <v>0</v>
      </c>
      <c r="AE1300" s="13" t="s">
        <v>61</v>
      </c>
    </row>
    <row r="1301" spans="1:31" x14ac:dyDescent="0.35">
      <c r="A1301" s="13" t="s">
        <v>2035</v>
      </c>
      <c r="B1301" s="13" t="s">
        <v>375</v>
      </c>
      <c r="C1301" s="13" t="s">
        <v>376</v>
      </c>
      <c r="D1301" s="13" t="s">
        <v>52</v>
      </c>
      <c r="E1301" s="13" t="s">
        <v>99</v>
      </c>
      <c r="F1301" s="13" t="s">
        <v>100</v>
      </c>
      <c r="G1301" s="13" t="s">
        <v>55</v>
      </c>
      <c r="H1301">
        <v>395000</v>
      </c>
      <c r="I1301" s="13" t="s">
        <v>56</v>
      </c>
      <c r="J1301" s="13" t="s">
        <v>57</v>
      </c>
      <c r="K1301" s="13" t="s">
        <v>58</v>
      </c>
      <c r="L1301" s="13" t="s">
        <v>59</v>
      </c>
      <c r="M1301">
        <v>45</v>
      </c>
      <c r="N1301">
        <v>0</v>
      </c>
      <c r="O1301" s="14">
        <v>45994</v>
      </c>
      <c r="P1301" s="14">
        <v>46039</v>
      </c>
      <c r="Q1301">
        <v>1627.34</v>
      </c>
      <c r="R1301">
        <v>0</v>
      </c>
      <c r="S1301">
        <v>0</v>
      </c>
      <c r="T1301">
        <v>0</v>
      </c>
      <c r="U1301">
        <v>0</v>
      </c>
      <c r="V1301">
        <v>1627.34</v>
      </c>
      <c r="W1301">
        <v>0</v>
      </c>
      <c r="X1301">
        <v>1</v>
      </c>
      <c r="Y1301">
        <v>0</v>
      </c>
      <c r="Z1301">
        <v>-17</v>
      </c>
      <c r="AA1301">
        <v>1</v>
      </c>
      <c r="AB1301" s="13" t="s">
        <v>581</v>
      </c>
      <c r="AC1301">
        <v>0</v>
      </c>
      <c r="AD1301">
        <v>0</v>
      </c>
      <c r="AE1301" s="13" t="s">
        <v>61</v>
      </c>
    </row>
    <row r="1302" spans="1:31" x14ac:dyDescent="0.35">
      <c r="A1302" s="13" t="s">
        <v>2036</v>
      </c>
      <c r="B1302" s="13" t="s">
        <v>695</v>
      </c>
      <c r="C1302" s="13" t="s">
        <v>696</v>
      </c>
      <c r="D1302" s="13" t="s">
        <v>52</v>
      </c>
      <c r="E1302" s="13" t="s">
        <v>53</v>
      </c>
      <c r="F1302" s="13" t="s">
        <v>54</v>
      </c>
      <c r="G1302" s="13" t="s">
        <v>92</v>
      </c>
      <c r="H1302">
        <v>535000</v>
      </c>
      <c r="I1302" s="13" t="s">
        <v>56</v>
      </c>
      <c r="J1302" s="13" t="s">
        <v>57</v>
      </c>
      <c r="K1302" s="13" t="s">
        <v>58</v>
      </c>
      <c r="L1302" s="13" t="s">
        <v>88</v>
      </c>
      <c r="M1302">
        <v>60</v>
      </c>
      <c r="N1302">
        <v>0</v>
      </c>
      <c r="O1302" s="14">
        <v>45994</v>
      </c>
      <c r="P1302" s="14">
        <v>46054</v>
      </c>
      <c r="Q1302">
        <v>11643.85</v>
      </c>
      <c r="R1302">
        <v>0</v>
      </c>
      <c r="S1302">
        <v>0</v>
      </c>
      <c r="T1302">
        <v>0</v>
      </c>
      <c r="U1302">
        <v>0</v>
      </c>
      <c r="V1302">
        <v>11643.85</v>
      </c>
      <c r="W1302">
        <v>0</v>
      </c>
      <c r="X1302">
        <v>1</v>
      </c>
      <c r="Y1302">
        <v>0</v>
      </c>
      <c r="Z1302">
        <v>-32</v>
      </c>
      <c r="AA1302">
        <v>1</v>
      </c>
      <c r="AB1302" s="13" t="s">
        <v>581</v>
      </c>
      <c r="AC1302">
        <v>0</v>
      </c>
      <c r="AD1302">
        <v>0</v>
      </c>
      <c r="AE1302" s="13" t="s">
        <v>61</v>
      </c>
    </row>
    <row r="1303" spans="1:31" x14ac:dyDescent="0.35">
      <c r="A1303" s="13" t="s">
        <v>2037</v>
      </c>
      <c r="B1303" s="13" t="s">
        <v>317</v>
      </c>
      <c r="C1303" s="13" t="s">
        <v>318</v>
      </c>
      <c r="D1303" s="13" t="s">
        <v>52</v>
      </c>
      <c r="E1303" s="13" t="s">
        <v>77</v>
      </c>
      <c r="F1303" s="13" t="s">
        <v>78</v>
      </c>
      <c r="G1303" s="13" t="s">
        <v>67</v>
      </c>
      <c r="H1303">
        <v>390000</v>
      </c>
      <c r="I1303" s="13" t="s">
        <v>56</v>
      </c>
      <c r="J1303" s="13" t="s">
        <v>57</v>
      </c>
      <c r="K1303" s="13" t="s">
        <v>58</v>
      </c>
      <c r="L1303" s="13" t="s">
        <v>88</v>
      </c>
      <c r="M1303">
        <v>60</v>
      </c>
      <c r="N1303">
        <v>0</v>
      </c>
      <c r="O1303" s="14">
        <v>45994</v>
      </c>
      <c r="P1303" s="14">
        <v>46054</v>
      </c>
      <c r="Q1303">
        <v>2199.5700000000002</v>
      </c>
      <c r="R1303">
        <v>0</v>
      </c>
      <c r="S1303">
        <v>0</v>
      </c>
      <c r="T1303">
        <v>0</v>
      </c>
      <c r="U1303">
        <v>0</v>
      </c>
      <c r="V1303">
        <v>2199.5700000000002</v>
      </c>
      <c r="W1303">
        <v>0</v>
      </c>
      <c r="X1303">
        <v>1</v>
      </c>
      <c r="Y1303">
        <v>0</v>
      </c>
      <c r="Z1303">
        <v>-32</v>
      </c>
      <c r="AA1303">
        <v>1</v>
      </c>
      <c r="AB1303" s="13" t="s">
        <v>581</v>
      </c>
      <c r="AC1303">
        <v>0</v>
      </c>
      <c r="AD1303">
        <v>0</v>
      </c>
      <c r="AE1303" s="13" t="s">
        <v>61</v>
      </c>
    </row>
    <row r="1304" spans="1:31" x14ac:dyDescent="0.35">
      <c r="A1304" s="13" t="s">
        <v>2038</v>
      </c>
      <c r="B1304" s="13" t="s">
        <v>1015</v>
      </c>
      <c r="C1304" s="13" t="s">
        <v>1016</v>
      </c>
      <c r="D1304" s="13" t="s">
        <v>52</v>
      </c>
      <c r="E1304" s="13" t="s">
        <v>77</v>
      </c>
      <c r="F1304" s="13" t="s">
        <v>174</v>
      </c>
      <c r="G1304" s="13" t="s">
        <v>55</v>
      </c>
      <c r="H1304">
        <v>590000</v>
      </c>
      <c r="I1304" s="13" t="s">
        <v>56</v>
      </c>
      <c r="J1304" s="13" t="s">
        <v>57</v>
      </c>
      <c r="K1304" s="13" t="s">
        <v>58</v>
      </c>
      <c r="L1304" s="13" t="s">
        <v>59</v>
      </c>
      <c r="M1304">
        <v>45</v>
      </c>
      <c r="N1304">
        <v>0</v>
      </c>
      <c r="O1304" s="14">
        <v>45994</v>
      </c>
      <c r="P1304" s="14">
        <v>46039</v>
      </c>
      <c r="Q1304">
        <v>1678.33</v>
      </c>
      <c r="R1304">
        <v>0</v>
      </c>
      <c r="S1304">
        <v>0</v>
      </c>
      <c r="T1304">
        <v>0</v>
      </c>
      <c r="U1304">
        <v>0</v>
      </c>
      <c r="V1304">
        <v>1678.33</v>
      </c>
      <c r="W1304">
        <v>0</v>
      </c>
      <c r="X1304">
        <v>1</v>
      </c>
      <c r="Y1304">
        <v>0</v>
      </c>
      <c r="Z1304">
        <v>-17</v>
      </c>
      <c r="AA1304">
        <v>1</v>
      </c>
      <c r="AB1304" s="13" t="s">
        <v>581</v>
      </c>
      <c r="AC1304">
        <v>0</v>
      </c>
      <c r="AD1304">
        <v>1</v>
      </c>
      <c r="AE1304" s="13" t="s">
        <v>348</v>
      </c>
    </row>
    <row r="1305" spans="1:31" x14ac:dyDescent="0.35">
      <c r="A1305" s="13" t="s">
        <v>2039</v>
      </c>
      <c r="B1305" s="13" t="s">
        <v>1018</v>
      </c>
      <c r="C1305" s="13" t="s">
        <v>1019</v>
      </c>
      <c r="D1305" s="13" t="s">
        <v>52</v>
      </c>
      <c r="E1305" s="13" t="s">
        <v>65</v>
      </c>
      <c r="F1305" s="13" t="s">
        <v>66</v>
      </c>
      <c r="G1305" s="13" t="s">
        <v>67</v>
      </c>
      <c r="H1305">
        <v>250000</v>
      </c>
      <c r="I1305" s="13" t="s">
        <v>86</v>
      </c>
      <c r="J1305" s="13" t="s">
        <v>87</v>
      </c>
      <c r="K1305" s="13" t="s">
        <v>58</v>
      </c>
      <c r="L1305" s="13" t="s">
        <v>59</v>
      </c>
      <c r="M1305">
        <v>45</v>
      </c>
      <c r="N1305">
        <v>0</v>
      </c>
      <c r="O1305" s="14">
        <v>45994</v>
      </c>
      <c r="P1305" s="14">
        <v>46039</v>
      </c>
      <c r="Q1305">
        <v>15948.12</v>
      </c>
      <c r="R1305">
        <v>0</v>
      </c>
      <c r="S1305">
        <v>0</v>
      </c>
      <c r="T1305">
        <v>0</v>
      </c>
      <c r="U1305">
        <v>0</v>
      </c>
      <c r="V1305">
        <v>15948.12</v>
      </c>
      <c r="W1305">
        <v>0</v>
      </c>
      <c r="X1305">
        <v>1</v>
      </c>
      <c r="Y1305">
        <v>0</v>
      </c>
      <c r="Z1305">
        <v>-17</v>
      </c>
      <c r="AA1305">
        <v>1</v>
      </c>
      <c r="AB1305" s="13" t="s">
        <v>581</v>
      </c>
      <c r="AC1305">
        <v>0</v>
      </c>
      <c r="AD1305">
        <v>0</v>
      </c>
      <c r="AE1305" s="13" t="s">
        <v>61</v>
      </c>
    </row>
    <row r="1306" spans="1:31" x14ac:dyDescent="0.35">
      <c r="A1306" s="13" t="s">
        <v>2040</v>
      </c>
      <c r="B1306" s="13" t="s">
        <v>1849</v>
      </c>
      <c r="C1306" s="13" t="s">
        <v>1850</v>
      </c>
      <c r="D1306" s="13" t="s">
        <v>76</v>
      </c>
      <c r="E1306" s="13" t="s">
        <v>99</v>
      </c>
      <c r="F1306" s="13" t="s">
        <v>100</v>
      </c>
      <c r="G1306" s="13" t="s">
        <v>67</v>
      </c>
      <c r="H1306">
        <v>65000</v>
      </c>
      <c r="I1306" s="13" t="s">
        <v>93</v>
      </c>
      <c r="J1306" s="13" t="s">
        <v>94</v>
      </c>
      <c r="K1306" s="13" t="s">
        <v>81</v>
      </c>
      <c r="L1306" s="13" t="s">
        <v>95</v>
      </c>
      <c r="M1306">
        <v>30</v>
      </c>
      <c r="N1306">
        <v>0</v>
      </c>
      <c r="O1306" s="14">
        <v>45994</v>
      </c>
      <c r="P1306" s="14">
        <v>46024</v>
      </c>
      <c r="Q1306">
        <v>4693.5600000000004</v>
      </c>
      <c r="R1306">
        <v>0</v>
      </c>
      <c r="S1306">
        <v>0</v>
      </c>
      <c r="T1306">
        <v>0</v>
      </c>
      <c r="U1306">
        <v>0</v>
      </c>
      <c r="V1306">
        <v>4693.5600000000004</v>
      </c>
      <c r="W1306">
        <v>0</v>
      </c>
      <c r="X1306">
        <v>1</v>
      </c>
      <c r="Y1306">
        <v>0</v>
      </c>
      <c r="Z1306">
        <v>-2</v>
      </c>
      <c r="AA1306">
        <v>1</v>
      </c>
      <c r="AB1306" s="13" t="s">
        <v>581</v>
      </c>
      <c r="AC1306">
        <v>0</v>
      </c>
      <c r="AD1306">
        <v>1</v>
      </c>
      <c r="AE1306" s="13" t="s">
        <v>348</v>
      </c>
    </row>
    <row r="1307" spans="1:31" x14ac:dyDescent="0.35">
      <c r="A1307" s="13" t="s">
        <v>2041</v>
      </c>
      <c r="B1307" s="13" t="s">
        <v>1223</v>
      </c>
      <c r="C1307" s="13" t="s">
        <v>1224</v>
      </c>
      <c r="D1307" s="13" t="s">
        <v>52</v>
      </c>
      <c r="E1307" s="13" t="s">
        <v>99</v>
      </c>
      <c r="F1307" s="13" t="s">
        <v>100</v>
      </c>
      <c r="G1307" s="13" t="s">
        <v>67</v>
      </c>
      <c r="H1307">
        <v>275000</v>
      </c>
      <c r="I1307" s="13" t="s">
        <v>86</v>
      </c>
      <c r="J1307" s="13" t="s">
        <v>87</v>
      </c>
      <c r="K1307" s="13" t="s">
        <v>58</v>
      </c>
      <c r="L1307" s="13" t="s">
        <v>88</v>
      </c>
      <c r="M1307">
        <v>60</v>
      </c>
      <c r="N1307">
        <v>0</v>
      </c>
      <c r="O1307" s="14">
        <v>45994</v>
      </c>
      <c r="P1307" s="14">
        <v>46054</v>
      </c>
      <c r="Q1307">
        <v>3031.52</v>
      </c>
      <c r="R1307">
        <v>0</v>
      </c>
      <c r="S1307">
        <v>0</v>
      </c>
      <c r="T1307">
        <v>0</v>
      </c>
      <c r="U1307">
        <v>0</v>
      </c>
      <c r="V1307">
        <v>3031.52</v>
      </c>
      <c r="W1307">
        <v>0</v>
      </c>
      <c r="X1307">
        <v>1</v>
      </c>
      <c r="Y1307">
        <v>0</v>
      </c>
      <c r="Z1307">
        <v>-32</v>
      </c>
      <c r="AA1307">
        <v>1</v>
      </c>
      <c r="AB1307" s="13" t="s">
        <v>581</v>
      </c>
      <c r="AC1307">
        <v>0</v>
      </c>
      <c r="AD1307">
        <v>1</v>
      </c>
      <c r="AE1307" s="13" t="s">
        <v>377</v>
      </c>
    </row>
    <row r="1308" spans="1:31" x14ac:dyDescent="0.35">
      <c r="A1308" s="13" t="s">
        <v>2042</v>
      </c>
      <c r="B1308" s="13" t="s">
        <v>2043</v>
      </c>
      <c r="C1308" s="13" t="s">
        <v>2044</v>
      </c>
      <c r="D1308" s="13" t="s">
        <v>76</v>
      </c>
      <c r="E1308" s="13" t="s">
        <v>65</v>
      </c>
      <c r="F1308" s="13" t="s">
        <v>111</v>
      </c>
      <c r="G1308" s="13" t="s">
        <v>55</v>
      </c>
      <c r="H1308">
        <v>40000</v>
      </c>
      <c r="I1308" s="13" t="s">
        <v>93</v>
      </c>
      <c r="J1308" s="13" t="s">
        <v>94</v>
      </c>
      <c r="K1308" s="13" t="s">
        <v>81</v>
      </c>
      <c r="L1308" s="13" t="s">
        <v>82</v>
      </c>
      <c r="M1308">
        <v>30</v>
      </c>
      <c r="N1308">
        <v>2</v>
      </c>
      <c r="O1308" s="14">
        <v>45994</v>
      </c>
      <c r="P1308" s="14">
        <v>46024</v>
      </c>
      <c r="Q1308">
        <v>1597.37</v>
      </c>
      <c r="R1308">
        <v>0</v>
      </c>
      <c r="S1308">
        <v>0</v>
      </c>
      <c r="T1308">
        <v>0</v>
      </c>
      <c r="U1308">
        <v>0</v>
      </c>
      <c r="V1308">
        <v>1597.37</v>
      </c>
      <c r="W1308">
        <v>0</v>
      </c>
      <c r="X1308">
        <v>1</v>
      </c>
      <c r="Y1308">
        <v>0</v>
      </c>
      <c r="Z1308">
        <v>-2</v>
      </c>
      <c r="AA1308">
        <v>1</v>
      </c>
      <c r="AB1308" s="13" t="s">
        <v>581</v>
      </c>
      <c r="AC1308">
        <v>0</v>
      </c>
      <c r="AD1308">
        <v>0</v>
      </c>
      <c r="AE1308" s="13" t="s">
        <v>61</v>
      </c>
    </row>
    <row r="1309" spans="1:31" x14ac:dyDescent="0.35">
      <c r="A1309" s="13" t="s">
        <v>2045</v>
      </c>
      <c r="B1309" s="13" t="s">
        <v>63</v>
      </c>
      <c r="C1309" s="13" t="s">
        <v>64</v>
      </c>
      <c r="D1309" s="13" t="s">
        <v>52</v>
      </c>
      <c r="E1309" s="13" t="s">
        <v>65</v>
      </c>
      <c r="F1309" s="13" t="s">
        <v>66</v>
      </c>
      <c r="G1309" s="13" t="s">
        <v>67</v>
      </c>
      <c r="H1309">
        <v>315000</v>
      </c>
      <c r="I1309" s="13" t="s">
        <v>56</v>
      </c>
      <c r="J1309" s="13" t="s">
        <v>57</v>
      </c>
      <c r="K1309" s="13" t="s">
        <v>58</v>
      </c>
      <c r="L1309" s="13" t="s">
        <v>59</v>
      </c>
      <c r="M1309">
        <v>45</v>
      </c>
      <c r="N1309">
        <v>0</v>
      </c>
      <c r="O1309" s="14">
        <v>45994</v>
      </c>
      <c r="P1309" s="14">
        <v>46039</v>
      </c>
      <c r="Q1309">
        <v>6638.87</v>
      </c>
      <c r="R1309">
        <v>0</v>
      </c>
      <c r="S1309">
        <v>0</v>
      </c>
      <c r="T1309">
        <v>0</v>
      </c>
      <c r="U1309">
        <v>0</v>
      </c>
      <c r="V1309">
        <v>6638.87</v>
      </c>
      <c r="W1309">
        <v>0</v>
      </c>
      <c r="X1309">
        <v>1</v>
      </c>
      <c r="Y1309">
        <v>0</v>
      </c>
      <c r="Z1309">
        <v>-17</v>
      </c>
      <c r="AA1309">
        <v>1</v>
      </c>
      <c r="AB1309" s="13" t="s">
        <v>581</v>
      </c>
      <c r="AC1309">
        <v>0</v>
      </c>
      <c r="AD1309">
        <v>0</v>
      </c>
      <c r="AE1309" s="13" t="s">
        <v>61</v>
      </c>
    </row>
    <row r="1310" spans="1:31" x14ac:dyDescent="0.35">
      <c r="A1310" s="13" t="s">
        <v>2046</v>
      </c>
      <c r="B1310" s="13" t="s">
        <v>1536</v>
      </c>
      <c r="C1310" s="13" t="s">
        <v>1537</v>
      </c>
      <c r="D1310" s="13" t="s">
        <v>76</v>
      </c>
      <c r="E1310" s="13" t="s">
        <v>99</v>
      </c>
      <c r="F1310" s="13" t="s">
        <v>127</v>
      </c>
      <c r="G1310" s="13" t="s">
        <v>55</v>
      </c>
      <c r="H1310">
        <v>50000</v>
      </c>
      <c r="I1310" s="13" t="s">
        <v>93</v>
      </c>
      <c r="J1310" s="13" t="s">
        <v>94</v>
      </c>
      <c r="K1310" s="13" t="s">
        <v>81</v>
      </c>
      <c r="L1310" s="13" t="s">
        <v>95</v>
      </c>
      <c r="M1310">
        <v>30</v>
      </c>
      <c r="N1310">
        <v>0</v>
      </c>
      <c r="O1310" s="14">
        <v>45994</v>
      </c>
      <c r="P1310" s="14">
        <v>46024</v>
      </c>
      <c r="Q1310">
        <v>1317.88</v>
      </c>
      <c r="R1310">
        <v>0</v>
      </c>
      <c r="S1310">
        <v>0</v>
      </c>
      <c r="T1310">
        <v>0</v>
      </c>
      <c r="U1310">
        <v>0</v>
      </c>
      <c r="V1310">
        <v>1317.88</v>
      </c>
      <c r="W1310">
        <v>0</v>
      </c>
      <c r="X1310">
        <v>1</v>
      </c>
      <c r="Y1310">
        <v>0</v>
      </c>
      <c r="Z1310">
        <v>-2</v>
      </c>
      <c r="AA1310">
        <v>1</v>
      </c>
      <c r="AB1310" s="13" t="s">
        <v>581</v>
      </c>
      <c r="AC1310">
        <v>0</v>
      </c>
      <c r="AD1310">
        <v>0</v>
      </c>
      <c r="AE1310" s="13" t="s">
        <v>61</v>
      </c>
    </row>
    <row r="1311" spans="1:31" x14ac:dyDescent="0.35">
      <c r="A1311" s="13" t="s">
        <v>2047</v>
      </c>
      <c r="B1311" s="13" t="s">
        <v>1227</v>
      </c>
      <c r="C1311" s="13" t="s">
        <v>1228</v>
      </c>
      <c r="D1311" s="13" t="s">
        <v>76</v>
      </c>
      <c r="E1311" s="13" t="s">
        <v>99</v>
      </c>
      <c r="F1311" s="13" t="s">
        <v>100</v>
      </c>
      <c r="G1311" s="13" t="s">
        <v>55</v>
      </c>
      <c r="H1311">
        <v>110000</v>
      </c>
      <c r="I1311" s="13" t="s">
        <v>93</v>
      </c>
      <c r="J1311" s="13" t="s">
        <v>94</v>
      </c>
      <c r="K1311" s="13" t="s">
        <v>81</v>
      </c>
      <c r="L1311" s="13" t="s">
        <v>95</v>
      </c>
      <c r="M1311">
        <v>30</v>
      </c>
      <c r="N1311">
        <v>0</v>
      </c>
      <c r="O1311" s="14">
        <v>45994</v>
      </c>
      <c r="P1311" s="14">
        <v>46024</v>
      </c>
      <c r="Q1311">
        <v>3159.13</v>
      </c>
      <c r="R1311">
        <v>0</v>
      </c>
      <c r="S1311">
        <v>0</v>
      </c>
      <c r="T1311">
        <v>0</v>
      </c>
      <c r="U1311">
        <v>0</v>
      </c>
      <c r="V1311">
        <v>3159.13</v>
      </c>
      <c r="W1311">
        <v>0</v>
      </c>
      <c r="X1311">
        <v>1</v>
      </c>
      <c r="Y1311">
        <v>0</v>
      </c>
      <c r="Z1311">
        <v>-2</v>
      </c>
      <c r="AA1311">
        <v>1</v>
      </c>
      <c r="AB1311" s="13" t="s">
        <v>581</v>
      </c>
      <c r="AC1311">
        <v>0</v>
      </c>
      <c r="AD1311">
        <v>0</v>
      </c>
      <c r="AE1311" s="13" t="s">
        <v>61</v>
      </c>
    </row>
    <row r="1312" spans="1:31" x14ac:dyDescent="0.35">
      <c r="A1312" s="13" t="s">
        <v>2048</v>
      </c>
      <c r="B1312" s="13" t="s">
        <v>1059</v>
      </c>
      <c r="C1312" s="13" t="s">
        <v>1060</v>
      </c>
      <c r="D1312" s="13" t="s">
        <v>52</v>
      </c>
      <c r="E1312" s="13" t="s">
        <v>77</v>
      </c>
      <c r="F1312" s="13" t="s">
        <v>174</v>
      </c>
      <c r="G1312" s="13" t="s">
        <v>67</v>
      </c>
      <c r="H1312">
        <v>225000</v>
      </c>
      <c r="I1312" s="13" t="s">
        <v>86</v>
      </c>
      <c r="J1312" s="13" t="s">
        <v>87</v>
      </c>
      <c r="K1312" s="13" t="s">
        <v>58</v>
      </c>
      <c r="L1312" s="13" t="s">
        <v>88</v>
      </c>
      <c r="M1312">
        <v>60</v>
      </c>
      <c r="N1312">
        <v>0</v>
      </c>
      <c r="O1312" s="14">
        <v>45994</v>
      </c>
      <c r="P1312" s="14">
        <v>46054</v>
      </c>
      <c r="Q1312">
        <v>7219.55</v>
      </c>
      <c r="R1312">
        <v>0</v>
      </c>
      <c r="S1312">
        <v>0</v>
      </c>
      <c r="T1312">
        <v>0</v>
      </c>
      <c r="U1312">
        <v>0</v>
      </c>
      <c r="V1312">
        <v>7219.55</v>
      </c>
      <c r="W1312">
        <v>0</v>
      </c>
      <c r="X1312">
        <v>1</v>
      </c>
      <c r="Y1312">
        <v>0</v>
      </c>
      <c r="Z1312">
        <v>-32</v>
      </c>
      <c r="AA1312">
        <v>1</v>
      </c>
      <c r="AB1312" s="13" t="s">
        <v>581</v>
      </c>
      <c r="AC1312">
        <v>0</v>
      </c>
      <c r="AD1312">
        <v>0</v>
      </c>
      <c r="AE1312" s="13" t="s">
        <v>61</v>
      </c>
    </row>
    <row r="1313" spans="1:31" x14ac:dyDescent="0.35">
      <c r="A1313" s="13" t="s">
        <v>2049</v>
      </c>
      <c r="B1313" s="13" t="s">
        <v>379</v>
      </c>
      <c r="C1313" s="13" t="s">
        <v>380</v>
      </c>
      <c r="D1313" s="13" t="s">
        <v>52</v>
      </c>
      <c r="E1313" s="13" t="s">
        <v>77</v>
      </c>
      <c r="F1313" s="13" t="s">
        <v>78</v>
      </c>
      <c r="G1313" s="13" t="s">
        <v>92</v>
      </c>
      <c r="H1313">
        <v>450000</v>
      </c>
      <c r="I1313" s="13" t="s">
        <v>56</v>
      </c>
      <c r="J1313" s="13" t="s">
        <v>57</v>
      </c>
      <c r="K1313" s="13" t="s">
        <v>58</v>
      </c>
      <c r="L1313" s="13" t="s">
        <v>59</v>
      </c>
      <c r="M1313">
        <v>45</v>
      </c>
      <c r="N1313">
        <v>0</v>
      </c>
      <c r="O1313" s="14">
        <v>45994</v>
      </c>
      <c r="P1313" s="14">
        <v>46039</v>
      </c>
      <c r="Q1313">
        <v>1647.11</v>
      </c>
      <c r="R1313">
        <v>0</v>
      </c>
      <c r="S1313">
        <v>0</v>
      </c>
      <c r="T1313">
        <v>0</v>
      </c>
      <c r="U1313">
        <v>0</v>
      </c>
      <c r="V1313">
        <v>1647.11</v>
      </c>
      <c r="W1313">
        <v>0</v>
      </c>
      <c r="X1313">
        <v>1</v>
      </c>
      <c r="Y1313">
        <v>0</v>
      </c>
      <c r="Z1313">
        <v>-17</v>
      </c>
      <c r="AA1313">
        <v>1</v>
      </c>
      <c r="AB1313" s="13" t="s">
        <v>581</v>
      </c>
      <c r="AC1313">
        <v>0</v>
      </c>
      <c r="AD1313">
        <v>0</v>
      </c>
      <c r="AE1313" s="13" t="s">
        <v>61</v>
      </c>
    </row>
    <row r="1314" spans="1:31" x14ac:dyDescent="0.35">
      <c r="A1314" s="13" t="s">
        <v>2050</v>
      </c>
      <c r="B1314" s="13" t="s">
        <v>879</v>
      </c>
      <c r="C1314" s="13" t="s">
        <v>880</v>
      </c>
      <c r="D1314" s="13" t="s">
        <v>104</v>
      </c>
      <c r="E1314" s="13" t="s">
        <v>71</v>
      </c>
      <c r="F1314" s="13" t="s">
        <v>214</v>
      </c>
      <c r="G1314" s="13" t="s">
        <v>67</v>
      </c>
      <c r="H1314">
        <v>135000</v>
      </c>
      <c r="I1314" s="13" t="s">
        <v>121</v>
      </c>
      <c r="J1314" s="13" t="s">
        <v>122</v>
      </c>
      <c r="K1314" s="13" t="s">
        <v>107</v>
      </c>
      <c r="L1314" s="13" t="s">
        <v>88</v>
      </c>
      <c r="M1314">
        <v>60</v>
      </c>
      <c r="N1314">
        <v>0</v>
      </c>
      <c r="O1314" s="14">
        <v>45994</v>
      </c>
      <c r="P1314" s="14">
        <v>46054</v>
      </c>
      <c r="Q1314">
        <v>2299.65</v>
      </c>
      <c r="R1314">
        <v>0</v>
      </c>
      <c r="S1314">
        <v>0</v>
      </c>
      <c r="T1314">
        <v>0</v>
      </c>
      <c r="U1314">
        <v>0</v>
      </c>
      <c r="V1314">
        <v>2299.65</v>
      </c>
      <c r="W1314">
        <v>0</v>
      </c>
      <c r="X1314">
        <v>1</v>
      </c>
      <c r="Y1314">
        <v>0</v>
      </c>
      <c r="Z1314">
        <v>-32</v>
      </c>
      <c r="AA1314">
        <v>1</v>
      </c>
      <c r="AB1314" s="13" t="s">
        <v>581</v>
      </c>
      <c r="AC1314">
        <v>0</v>
      </c>
      <c r="AD1314">
        <v>0</v>
      </c>
      <c r="AE1314" s="13" t="s">
        <v>61</v>
      </c>
    </row>
    <row r="1315" spans="1:31" x14ac:dyDescent="0.35">
      <c r="A1315" s="13" t="s">
        <v>2051</v>
      </c>
      <c r="B1315" s="13" t="s">
        <v>212</v>
      </c>
      <c r="C1315" s="13" t="s">
        <v>213</v>
      </c>
      <c r="D1315" s="13" t="s">
        <v>52</v>
      </c>
      <c r="E1315" s="13" t="s">
        <v>71</v>
      </c>
      <c r="F1315" s="13" t="s">
        <v>214</v>
      </c>
      <c r="G1315" s="13" t="s">
        <v>92</v>
      </c>
      <c r="H1315">
        <v>380000</v>
      </c>
      <c r="I1315" s="13" t="s">
        <v>86</v>
      </c>
      <c r="J1315" s="13" t="s">
        <v>87</v>
      </c>
      <c r="K1315" s="13" t="s">
        <v>58</v>
      </c>
      <c r="L1315" s="13" t="s">
        <v>88</v>
      </c>
      <c r="M1315">
        <v>60</v>
      </c>
      <c r="N1315">
        <v>0</v>
      </c>
      <c r="O1315" s="14">
        <v>45994</v>
      </c>
      <c r="P1315" s="14">
        <v>46054</v>
      </c>
      <c r="Q1315">
        <v>6107.74</v>
      </c>
      <c r="R1315">
        <v>0</v>
      </c>
      <c r="S1315">
        <v>0</v>
      </c>
      <c r="T1315">
        <v>0</v>
      </c>
      <c r="U1315">
        <v>0</v>
      </c>
      <c r="V1315">
        <v>6107.74</v>
      </c>
      <c r="W1315">
        <v>0</v>
      </c>
      <c r="X1315">
        <v>1</v>
      </c>
      <c r="Y1315">
        <v>0</v>
      </c>
      <c r="Z1315">
        <v>-32</v>
      </c>
      <c r="AA1315">
        <v>1</v>
      </c>
      <c r="AB1315" s="13" t="s">
        <v>581</v>
      </c>
      <c r="AC1315">
        <v>0</v>
      </c>
      <c r="AD1315">
        <v>0</v>
      </c>
      <c r="AE1315" s="13" t="s">
        <v>61</v>
      </c>
    </row>
    <row r="1316" spans="1:31" x14ac:dyDescent="0.35">
      <c r="A1316" s="13" t="s">
        <v>2052</v>
      </c>
      <c r="B1316" s="13" t="s">
        <v>605</v>
      </c>
      <c r="C1316" s="13" t="s">
        <v>606</v>
      </c>
      <c r="D1316" s="13" t="s">
        <v>52</v>
      </c>
      <c r="E1316" s="13" t="s">
        <v>65</v>
      </c>
      <c r="F1316" s="13" t="s">
        <v>66</v>
      </c>
      <c r="G1316" s="13" t="s">
        <v>67</v>
      </c>
      <c r="H1316">
        <v>335000</v>
      </c>
      <c r="I1316" s="13" t="s">
        <v>86</v>
      </c>
      <c r="J1316" s="13" t="s">
        <v>87</v>
      </c>
      <c r="K1316" s="13" t="s">
        <v>58</v>
      </c>
      <c r="L1316" s="13" t="s">
        <v>59</v>
      </c>
      <c r="M1316">
        <v>45</v>
      </c>
      <c r="N1316">
        <v>0</v>
      </c>
      <c r="O1316" s="14">
        <v>45994</v>
      </c>
      <c r="P1316" s="14">
        <v>46039</v>
      </c>
      <c r="Q1316">
        <v>10746.73</v>
      </c>
      <c r="R1316">
        <v>0</v>
      </c>
      <c r="S1316">
        <v>0</v>
      </c>
      <c r="T1316">
        <v>0</v>
      </c>
      <c r="U1316">
        <v>0</v>
      </c>
      <c r="V1316">
        <v>10746.73</v>
      </c>
      <c r="W1316">
        <v>0</v>
      </c>
      <c r="X1316">
        <v>1</v>
      </c>
      <c r="Y1316">
        <v>0</v>
      </c>
      <c r="Z1316">
        <v>-17</v>
      </c>
      <c r="AA1316">
        <v>1</v>
      </c>
      <c r="AB1316" s="13" t="s">
        <v>581</v>
      </c>
      <c r="AC1316">
        <v>0</v>
      </c>
      <c r="AD1316">
        <v>0</v>
      </c>
      <c r="AE1316" s="13" t="s">
        <v>61</v>
      </c>
    </row>
    <row r="1317" spans="1:31" x14ac:dyDescent="0.35">
      <c r="A1317" s="13" t="s">
        <v>2053</v>
      </c>
      <c r="B1317" s="13" t="s">
        <v>772</v>
      </c>
      <c r="C1317" s="13" t="s">
        <v>773</v>
      </c>
      <c r="D1317" s="13" t="s">
        <v>76</v>
      </c>
      <c r="E1317" s="13" t="s">
        <v>99</v>
      </c>
      <c r="F1317" s="13" t="s">
        <v>100</v>
      </c>
      <c r="G1317" s="13" t="s">
        <v>55</v>
      </c>
      <c r="H1317">
        <v>105000</v>
      </c>
      <c r="I1317" s="13" t="s">
        <v>79</v>
      </c>
      <c r="J1317" s="13" t="s">
        <v>80</v>
      </c>
      <c r="K1317" s="13" t="s">
        <v>81</v>
      </c>
      <c r="L1317" s="13" t="s">
        <v>82</v>
      </c>
      <c r="M1317">
        <v>30</v>
      </c>
      <c r="N1317">
        <v>2</v>
      </c>
      <c r="O1317" s="14">
        <v>45994</v>
      </c>
      <c r="P1317" s="14">
        <v>46024</v>
      </c>
      <c r="Q1317">
        <v>2750.89</v>
      </c>
      <c r="R1317">
        <v>0</v>
      </c>
      <c r="S1317">
        <v>0</v>
      </c>
      <c r="T1317">
        <v>632.70000000000005</v>
      </c>
      <c r="U1317">
        <v>0</v>
      </c>
      <c r="V1317">
        <v>2118.19</v>
      </c>
      <c r="W1317">
        <v>0</v>
      </c>
      <c r="X1317">
        <v>1</v>
      </c>
      <c r="Y1317">
        <v>0</v>
      </c>
      <c r="Z1317">
        <v>-2</v>
      </c>
      <c r="AA1317">
        <v>1</v>
      </c>
      <c r="AB1317" s="13" t="s">
        <v>581</v>
      </c>
      <c r="AC1317">
        <v>0</v>
      </c>
      <c r="AD1317">
        <v>0</v>
      </c>
      <c r="AE1317" s="13" t="s">
        <v>377</v>
      </c>
    </row>
    <row r="1318" spans="1:31" x14ac:dyDescent="0.35">
      <c r="A1318" s="13" t="s">
        <v>2054</v>
      </c>
      <c r="B1318" s="13" t="s">
        <v>113</v>
      </c>
      <c r="C1318" s="13" t="s">
        <v>114</v>
      </c>
      <c r="D1318" s="13" t="s">
        <v>52</v>
      </c>
      <c r="E1318" s="13" t="s">
        <v>77</v>
      </c>
      <c r="F1318" s="13" t="s">
        <v>78</v>
      </c>
      <c r="G1318" s="13" t="s">
        <v>92</v>
      </c>
      <c r="H1318">
        <v>545000</v>
      </c>
      <c r="I1318" s="13" t="s">
        <v>86</v>
      </c>
      <c r="J1318" s="13" t="s">
        <v>87</v>
      </c>
      <c r="K1318" s="13" t="s">
        <v>58</v>
      </c>
      <c r="L1318" s="13" t="s">
        <v>88</v>
      </c>
      <c r="M1318">
        <v>60</v>
      </c>
      <c r="N1318">
        <v>0</v>
      </c>
      <c r="O1318" s="14">
        <v>45994</v>
      </c>
      <c r="P1318" s="14">
        <v>46054</v>
      </c>
      <c r="Q1318">
        <v>4904.13</v>
      </c>
      <c r="R1318">
        <v>0</v>
      </c>
      <c r="S1318">
        <v>0</v>
      </c>
      <c r="T1318">
        <v>0</v>
      </c>
      <c r="U1318">
        <v>0</v>
      </c>
      <c r="V1318">
        <v>4904.13</v>
      </c>
      <c r="W1318">
        <v>0</v>
      </c>
      <c r="X1318">
        <v>1</v>
      </c>
      <c r="Y1318">
        <v>0</v>
      </c>
      <c r="Z1318">
        <v>-32</v>
      </c>
      <c r="AA1318">
        <v>1</v>
      </c>
      <c r="AB1318" s="13" t="s">
        <v>581</v>
      </c>
      <c r="AC1318">
        <v>0</v>
      </c>
      <c r="AD1318">
        <v>0</v>
      </c>
      <c r="AE1318" s="13" t="s">
        <v>61</v>
      </c>
    </row>
    <row r="1319" spans="1:31" x14ac:dyDescent="0.35">
      <c r="A1319" s="13" t="s">
        <v>2055</v>
      </c>
      <c r="B1319" s="13" t="s">
        <v>1411</v>
      </c>
      <c r="C1319" s="13" t="s">
        <v>1412</v>
      </c>
      <c r="D1319" s="13" t="s">
        <v>104</v>
      </c>
      <c r="E1319" s="13" t="s">
        <v>77</v>
      </c>
      <c r="F1319" s="13" t="s">
        <v>78</v>
      </c>
      <c r="G1319" s="13" t="s">
        <v>55</v>
      </c>
      <c r="H1319">
        <v>110000</v>
      </c>
      <c r="I1319" s="13" t="s">
        <v>121</v>
      </c>
      <c r="J1319" s="13" t="s">
        <v>122</v>
      </c>
      <c r="K1319" s="13" t="s">
        <v>107</v>
      </c>
      <c r="L1319" s="13" t="s">
        <v>95</v>
      </c>
      <c r="M1319">
        <v>30</v>
      </c>
      <c r="N1319">
        <v>0</v>
      </c>
      <c r="O1319" s="14">
        <v>45994</v>
      </c>
      <c r="P1319" s="14">
        <v>46024</v>
      </c>
      <c r="Q1319">
        <v>6880.26</v>
      </c>
      <c r="R1319">
        <v>0</v>
      </c>
      <c r="S1319">
        <v>0</v>
      </c>
      <c r="T1319">
        <v>0</v>
      </c>
      <c r="U1319">
        <v>0</v>
      </c>
      <c r="V1319">
        <v>6880.26</v>
      </c>
      <c r="W1319">
        <v>0</v>
      </c>
      <c r="X1319">
        <v>1</v>
      </c>
      <c r="Y1319">
        <v>0</v>
      </c>
      <c r="Z1319">
        <v>-2</v>
      </c>
      <c r="AA1319">
        <v>1</v>
      </c>
      <c r="AB1319" s="13" t="s">
        <v>581</v>
      </c>
      <c r="AC1319">
        <v>0</v>
      </c>
      <c r="AD1319">
        <v>0</v>
      </c>
      <c r="AE1319" s="13" t="s">
        <v>61</v>
      </c>
    </row>
    <row r="1320" spans="1:31" x14ac:dyDescent="0.35">
      <c r="A1320" s="13" t="s">
        <v>2056</v>
      </c>
      <c r="B1320" s="13" t="s">
        <v>263</v>
      </c>
      <c r="C1320" s="13" t="s">
        <v>264</v>
      </c>
      <c r="D1320" s="13" t="s">
        <v>52</v>
      </c>
      <c r="E1320" s="13" t="s">
        <v>99</v>
      </c>
      <c r="F1320" s="13" t="s">
        <v>100</v>
      </c>
      <c r="G1320" s="13" t="s">
        <v>55</v>
      </c>
      <c r="H1320">
        <v>590000</v>
      </c>
      <c r="I1320" s="13" t="s">
        <v>86</v>
      </c>
      <c r="J1320" s="13" t="s">
        <v>87</v>
      </c>
      <c r="K1320" s="13" t="s">
        <v>58</v>
      </c>
      <c r="L1320" s="13" t="s">
        <v>88</v>
      </c>
      <c r="M1320">
        <v>60</v>
      </c>
      <c r="N1320">
        <v>0</v>
      </c>
      <c r="O1320" s="14">
        <v>45994</v>
      </c>
      <c r="P1320" s="14">
        <v>46054</v>
      </c>
      <c r="Q1320">
        <v>16928.86</v>
      </c>
      <c r="R1320">
        <v>0</v>
      </c>
      <c r="S1320">
        <v>0</v>
      </c>
      <c r="T1320">
        <v>0</v>
      </c>
      <c r="U1320">
        <v>0</v>
      </c>
      <c r="V1320">
        <v>16928.86</v>
      </c>
      <c r="W1320">
        <v>0</v>
      </c>
      <c r="X1320">
        <v>1</v>
      </c>
      <c r="Y1320">
        <v>0</v>
      </c>
      <c r="Z1320">
        <v>-32</v>
      </c>
      <c r="AA1320">
        <v>1</v>
      </c>
      <c r="AB1320" s="13" t="s">
        <v>581</v>
      </c>
      <c r="AC1320">
        <v>0</v>
      </c>
      <c r="AD1320">
        <v>0</v>
      </c>
      <c r="AE1320" s="13" t="s">
        <v>61</v>
      </c>
    </row>
    <row r="1321" spans="1:31" x14ac:dyDescent="0.35">
      <c r="A1321" s="13" t="s">
        <v>2057</v>
      </c>
      <c r="B1321" s="13" t="s">
        <v>958</v>
      </c>
      <c r="C1321" s="13" t="s">
        <v>959</v>
      </c>
      <c r="D1321" s="13" t="s">
        <v>52</v>
      </c>
      <c r="E1321" s="13" t="s">
        <v>99</v>
      </c>
      <c r="F1321" s="13" t="s">
        <v>100</v>
      </c>
      <c r="G1321" s="13" t="s">
        <v>55</v>
      </c>
      <c r="H1321">
        <v>270000</v>
      </c>
      <c r="I1321" s="13" t="s">
        <v>56</v>
      </c>
      <c r="J1321" s="13" t="s">
        <v>57</v>
      </c>
      <c r="K1321" s="13" t="s">
        <v>58</v>
      </c>
      <c r="L1321" s="13" t="s">
        <v>59</v>
      </c>
      <c r="M1321">
        <v>45</v>
      </c>
      <c r="N1321">
        <v>0</v>
      </c>
      <c r="O1321" s="14">
        <v>45994</v>
      </c>
      <c r="P1321" s="14">
        <v>46039</v>
      </c>
      <c r="Q1321">
        <v>10626.16</v>
      </c>
      <c r="R1321">
        <v>0</v>
      </c>
      <c r="S1321">
        <v>0</v>
      </c>
      <c r="T1321">
        <v>0</v>
      </c>
      <c r="U1321">
        <v>0</v>
      </c>
      <c r="V1321">
        <v>10626.16</v>
      </c>
      <c r="W1321">
        <v>0</v>
      </c>
      <c r="X1321">
        <v>1</v>
      </c>
      <c r="Y1321">
        <v>0</v>
      </c>
      <c r="Z1321">
        <v>-17</v>
      </c>
      <c r="AA1321">
        <v>1</v>
      </c>
      <c r="AB1321" s="13" t="s">
        <v>581</v>
      </c>
      <c r="AC1321">
        <v>0</v>
      </c>
      <c r="AD1321">
        <v>0</v>
      </c>
      <c r="AE1321" s="13" t="s">
        <v>61</v>
      </c>
    </row>
    <row r="1322" spans="1:31" x14ac:dyDescent="0.35">
      <c r="A1322" s="13" t="s">
        <v>2058</v>
      </c>
      <c r="B1322" s="13" t="s">
        <v>1027</v>
      </c>
      <c r="C1322" s="13" t="s">
        <v>1028</v>
      </c>
      <c r="D1322" s="13" t="s">
        <v>104</v>
      </c>
      <c r="E1322" s="13" t="s">
        <v>53</v>
      </c>
      <c r="F1322" s="13" t="s">
        <v>54</v>
      </c>
      <c r="G1322" s="13" t="s">
        <v>67</v>
      </c>
      <c r="H1322">
        <v>40000</v>
      </c>
      <c r="I1322" s="13" t="s">
        <v>121</v>
      </c>
      <c r="J1322" s="13" t="s">
        <v>122</v>
      </c>
      <c r="K1322" s="13" t="s">
        <v>107</v>
      </c>
      <c r="L1322" s="13" t="s">
        <v>88</v>
      </c>
      <c r="M1322">
        <v>60</v>
      </c>
      <c r="N1322">
        <v>0</v>
      </c>
      <c r="O1322" s="14">
        <v>45994</v>
      </c>
      <c r="P1322" s="14">
        <v>46054</v>
      </c>
      <c r="Q1322">
        <v>6802.83</v>
      </c>
      <c r="R1322">
        <v>0</v>
      </c>
      <c r="S1322">
        <v>0</v>
      </c>
      <c r="T1322">
        <v>0</v>
      </c>
      <c r="U1322">
        <v>0</v>
      </c>
      <c r="V1322">
        <v>6802.83</v>
      </c>
      <c r="W1322">
        <v>0</v>
      </c>
      <c r="X1322">
        <v>1</v>
      </c>
      <c r="Y1322">
        <v>0</v>
      </c>
      <c r="Z1322">
        <v>-32</v>
      </c>
      <c r="AA1322">
        <v>1</v>
      </c>
      <c r="AB1322" s="13" t="s">
        <v>581</v>
      </c>
      <c r="AC1322">
        <v>0</v>
      </c>
      <c r="AD1322">
        <v>0</v>
      </c>
      <c r="AE1322" s="13" t="s">
        <v>61</v>
      </c>
    </row>
    <row r="1323" spans="1:31" x14ac:dyDescent="0.35">
      <c r="A1323" s="13" t="s">
        <v>2059</v>
      </c>
      <c r="B1323" s="13" t="s">
        <v>244</v>
      </c>
      <c r="C1323" s="13" t="s">
        <v>245</v>
      </c>
      <c r="D1323" s="13" t="s">
        <v>52</v>
      </c>
      <c r="E1323" s="13" t="s">
        <v>65</v>
      </c>
      <c r="F1323" s="13" t="s">
        <v>111</v>
      </c>
      <c r="G1323" s="13" t="s">
        <v>55</v>
      </c>
      <c r="H1323">
        <v>590000</v>
      </c>
      <c r="I1323" s="13" t="s">
        <v>86</v>
      </c>
      <c r="J1323" s="13" t="s">
        <v>87</v>
      </c>
      <c r="K1323" s="13" t="s">
        <v>58</v>
      </c>
      <c r="L1323" s="13" t="s">
        <v>59</v>
      </c>
      <c r="M1323">
        <v>45</v>
      </c>
      <c r="N1323">
        <v>0</v>
      </c>
      <c r="O1323" s="14">
        <v>45995</v>
      </c>
      <c r="P1323" s="14">
        <v>46040</v>
      </c>
      <c r="Q1323">
        <v>16294.31</v>
      </c>
      <c r="R1323">
        <v>0</v>
      </c>
      <c r="S1323">
        <v>0</v>
      </c>
      <c r="T1323">
        <v>0</v>
      </c>
      <c r="U1323">
        <v>0</v>
      </c>
      <c r="V1323">
        <v>16294.31</v>
      </c>
      <c r="W1323">
        <v>0</v>
      </c>
      <c r="X1323">
        <v>1</v>
      </c>
      <c r="Y1323">
        <v>0</v>
      </c>
      <c r="Z1323">
        <v>-18</v>
      </c>
      <c r="AA1323">
        <v>1</v>
      </c>
      <c r="AB1323" s="13" t="s">
        <v>581</v>
      </c>
      <c r="AC1323">
        <v>0</v>
      </c>
      <c r="AD1323">
        <v>0</v>
      </c>
      <c r="AE1323" s="13" t="s">
        <v>61</v>
      </c>
    </row>
    <row r="1324" spans="1:31" x14ac:dyDescent="0.35">
      <c r="A1324" s="13" t="s">
        <v>2060</v>
      </c>
      <c r="B1324" s="13" t="s">
        <v>256</v>
      </c>
      <c r="C1324" s="13" t="s">
        <v>257</v>
      </c>
      <c r="D1324" s="13" t="s">
        <v>76</v>
      </c>
      <c r="E1324" s="13" t="s">
        <v>99</v>
      </c>
      <c r="F1324" s="13" t="s">
        <v>100</v>
      </c>
      <c r="G1324" s="13" t="s">
        <v>55</v>
      </c>
      <c r="H1324">
        <v>25000</v>
      </c>
      <c r="I1324" s="13" t="s">
        <v>79</v>
      </c>
      <c r="J1324" s="13" t="s">
        <v>80</v>
      </c>
      <c r="K1324" s="13" t="s">
        <v>81</v>
      </c>
      <c r="L1324" s="13" t="s">
        <v>95</v>
      </c>
      <c r="M1324">
        <v>30</v>
      </c>
      <c r="N1324">
        <v>0</v>
      </c>
      <c r="O1324" s="14">
        <v>45995</v>
      </c>
      <c r="P1324" s="14">
        <v>46025</v>
      </c>
      <c r="Q1324">
        <v>746.58</v>
      </c>
      <c r="R1324">
        <v>0</v>
      </c>
      <c r="S1324">
        <v>0</v>
      </c>
      <c r="T1324">
        <v>0</v>
      </c>
      <c r="U1324">
        <v>0</v>
      </c>
      <c r="V1324">
        <v>746.58</v>
      </c>
      <c r="W1324">
        <v>0</v>
      </c>
      <c r="X1324">
        <v>1</v>
      </c>
      <c r="Y1324">
        <v>0</v>
      </c>
      <c r="Z1324">
        <v>-3</v>
      </c>
      <c r="AA1324">
        <v>1</v>
      </c>
      <c r="AB1324" s="13" t="s">
        <v>581</v>
      </c>
      <c r="AC1324">
        <v>0</v>
      </c>
      <c r="AD1324">
        <v>0</v>
      </c>
      <c r="AE1324" s="13" t="s">
        <v>61</v>
      </c>
    </row>
    <row r="1325" spans="1:31" x14ac:dyDescent="0.35">
      <c r="A1325" s="13" t="s">
        <v>2061</v>
      </c>
      <c r="B1325" s="13" t="s">
        <v>1871</v>
      </c>
      <c r="C1325" s="13" t="s">
        <v>1872</v>
      </c>
      <c r="D1325" s="13" t="s">
        <v>76</v>
      </c>
      <c r="E1325" s="13" t="s">
        <v>99</v>
      </c>
      <c r="F1325" s="13" t="s">
        <v>127</v>
      </c>
      <c r="G1325" s="13" t="s">
        <v>55</v>
      </c>
      <c r="H1325">
        <v>35000</v>
      </c>
      <c r="I1325" s="13" t="s">
        <v>93</v>
      </c>
      <c r="J1325" s="13" t="s">
        <v>94</v>
      </c>
      <c r="K1325" s="13" t="s">
        <v>81</v>
      </c>
      <c r="L1325" s="13" t="s">
        <v>95</v>
      </c>
      <c r="M1325">
        <v>30</v>
      </c>
      <c r="N1325">
        <v>0</v>
      </c>
      <c r="O1325" s="14">
        <v>45995</v>
      </c>
      <c r="P1325" s="14">
        <v>46025</v>
      </c>
      <c r="Q1325">
        <v>1861.02</v>
      </c>
      <c r="R1325">
        <v>0</v>
      </c>
      <c r="S1325">
        <v>0</v>
      </c>
      <c r="T1325">
        <v>0</v>
      </c>
      <c r="U1325">
        <v>0</v>
      </c>
      <c r="V1325">
        <v>1861.02</v>
      </c>
      <c r="W1325">
        <v>0</v>
      </c>
      <c r="X1325">
        <v>1</v>
      </c>
      <c r="Y1325">
        <v>0</v>
      </c>
      <c r="Z1325">
        <v>-3</v>
      </c>
      <c r="AA1325">
        <v>1</v>
      </c>
      <c r="AB1325" s="13" t="s">
        <v>581</v>
      </c>
      <c r="AC1325">
        <v>0</v>
      </c>
      <c r="AD1325">
        <v>0</v>
      </c>
      <c r="AE1325" s="13" t="s">
        <v>61</v>
      </c>
    </row>
    <row r="1326" spans="1:31" x14ac:dyDescent="0.35">
      <c r="A1326" s="13" t="s">
        <v>2062</v>
      </c>
      <c r="B1326" s="13" t="s">
        <v>434</v>
      </c>
      <c r="C1326" s="13" t="s">
        <v>435</v>
      </c>
      <c r="D1326" s="13" t="s">
        <v>52</v>
      </c>
      <c r="E1326" s="13" t="s">
        <v>77</v>
      </c>
      <c r="F1326" s="13" t="s">
        <v>78</v>
      </c>
      <c r="G1326" s="13" t="s">
        <v>55</v>
      </c>
      <c r="H1326">
        <v>510000</v>
      </c>
      <c r="I1326" s="13" t="s">
        <v>56</v>
      </c>
      <c r="J1326" s="13" t="s">
        <v>57</v>
      </c>
      <c r="K1326" s="13" t="s">
        <v>58</v>
      </c>
      <c r="L1326" s="13" t="s">
        <v>88</v>
      </c>
      <c r="M1326">
        <v>60</v>
      </c>
      <c r="N1326">
        <v>0</v>
      </c>
      <c r="O1326" s="14">
        <v>45995</v>
      </c>
      <c r="P1326" s="14">
        <v>46055</v>
      </c>
      <c r="Q1326">
        <v>14680.48</v>
      </c>
      <c r="R1326">
        <v>0</v>
      </c>
      <c r="S1326">
        <v>0</v>
      </c>
      <c r="T1326">
        <v>0</v>
      </c>
      <c r="U1326">
        <v>0</v>
      </c>
      <c r="V1326">
        <v>14680.48</v>
      </c>
      <c r="W1326">
        <v>0</v>
      </c>
      <c r="X1326">
        <v>1</v>
      </c>
      <c r="Y1326">
        <v>0</v>
      </c>
      <c r="Z1326">
        <v>-33</v>
      </c>
      <c r="AA1326">
        <v>1</v>
      </c>
      <c r="AB1326" s="13" t="s">
        <v>581</v>
      </c>
      <c r="AC1326">
        <v>0</v>
      </c>
      <c r="AD1326">
        <v>0</v>
      </c>
      <c r="AE1326" s="13" t="s">
        <v>61</v>
      </c>
    </row>
    <row r="1327" spans="1:31" x14ac:dyDescent="0.35">
      <c r="A1327" s="13" t="s">
        <v>2063</v>
      </c>
      <c r="B1327" s="13" t="s">
        <v>1881</v>
      </c>
      <c r="C1327" s="13" t="s">
        <v>1882</v>
      </c>
      <c r="D1327" s="13" t="s">
        <v>76</v>
      </c>
      <c r="E1327" s="13" t="s">
        <v>65</v>
      </c>
      <c r="F1327" s="13" t="s">
        <v>66</v>
      </c>
      <c r="G1327" s="13" t="s">
        <v>67</v>
      </c>
      <c r="H1327">
        <v>80000</v>
      </c>
      <c r="I1327" s="13" t="s">
        <v>93</v>
      </c>
      <c r="J1327" s="13" t="s">
        <v>94</v>
      </c>
      <c r="K1327" s="13" t="s">
        <v>81</v>
      </c>
      <c r="L1327" s="13" t="s">
        <v>95</v>
      </c>
      <c r="M1327">
        <v>30</v>
      </c>
      <c r="N1327">
        <v>0</v>
      </c>
      <c r="O1327" s="14">
        <v>45995</v>
      </c>
      <c r="P1327" s="14">
        <v>46025</v>
      </c>
      <c r="Q1327">
        <v>450.14</v>
      </c>
      <c r="R1327">
        <v>0</v>
      </c>
      <c r="S1327">
        <v>0</v>
      </c>
      <c r="T1327">
        <v>0</v>
      </c>
      <c r="U1327">
        <v>0</v>
      </c>
      <c r="V1327">
        <v>450.14</v>
      </c>
      <c r="W1327">
        <v>0</v>
      </c>
      <c r="X1327">
        <v>1</v>
      </c>
      <c r="Y1327">
        <v>0</v>
      </c>
      <c r="Z1327">
        <v>-3</v>
      </c>
      <c r="AA1327">
        <v>1</v>
      </c>
      <c r="AB1327" s="13" t="s">
        <v>581</v>
      </c>
      <c r="AC1327">
        <v>0</v>
      </c>
      <c r="AD1327">
        <v>0</v>
      </c>
      <c r="AE1327" s="13" t="s">
        <v>61</v>
      </c>
    </row>
    <row r="1328" spans="1:31" x14ac:dyDescent="0.35">
      <c r="A1328" s="13" t="s">
        <v>2064</v>
      </c>
      <c r="B1328" s="13" t="s">
        <v>1034</v>
      </c>
      <c r="C1328" s="13" t="s">
        <v>1035</v>
      </c>
      <c r="D1328" s="13" t="s">
        <v>104</v>
      </c>
      <c r="E1328" s="13" t="s">
        <v>53</v>
      </c>
      <c r="F1328" s="13" t="s">
        <v>135</v>
      </c>
      <c r="G1328" s="13" t="s">
        <v>67</v>
      </c>
      <c r="H1328">
        <v>40000</v>
      </c>
      <c r="I1328" s="13" t="s">
        <v>105</v>
      </c>
      <c r="J1328" s="13" t="s">
        <v>106</v>
      </c>
      <c r="K1328" s="13" t="s">
        <v>107</v>
      </c>
      <c r="L1328" s="13" t="s">
        <v>88</v>
      </c>
      <c r="M1328">
        <v>60</v>
      </c>
      <c r="N1328">
        <v>0</v>
      </c>
      <c r="O1328" s="14">
        <v>45995</v>
      </c>
      <c r="P1328" s="14">
        <v>46055</v>
      </c>
      <c r="Q1328">
        <v>3138.36</v>
      </c>
      <c r="R1328">
        <v>0</v>
      </c>
      <c r="S1328">
        <v>0</v>
      </c>
      <c r="T1328">
        <v>0</v>
      </c>
      <c r="U1328">
        <v>0</v>
      </c>
      <c r="V1328">
        <v>3138.36</v>
      </c>
      <c r="W1328">
        <v>0</v>
      </c>
      <c r="X1328">
        <v>1</v>
      </c>
      <c r="Y1328">
        <v>0</v>
      </c>
      <c r="Z1328">
        <v>-33</v>
      </c>
      <c r="AA1328">
        <v>1</v>
      </c>
      <c r="AB1328" s="13" t="s">
        <v>581</v>
      </c>
      <c r="AC1328">
        <v>0</v>
      </c>
      <c r="AD1328">
        <v>1</v>
      </c>
      <c r="AE1328" s="13" t="s">
        <v>377</v>
      </c>
    </row>
    <row r="1329" spans="1:31" x14ac:dyDescent="0.35">
      <c r="A1329" s="13" t="s">
        <v>2065</v>
      </c>
      <c r="B1329" s="13" t="s">
        <v>84</v>
      </c>
      <c r="C1329" s="13" t="s">
        <v>85</v>
      </c>
      <c r="D1329" s="13" t="s">
        <v>52</v>
      </c>
      <c r="E1329" s="13" t="s">
        <v>71</v>
      </c>
      <c r="F1329" s="13" t="s">
        <v>72</v>
      </c>
      <c r="G1329" s="13" t="s">
        <v>67</v>
      </c>
      <c r="H1329">
        <v>600000</v>
      </c>
      <c r="I1329" s="13" t="s">
        <v>86</v>
      </c>
      <c r="J1329" s="13" t="s">
        <v>87</v>
      </c>
      <c r="K1329" s="13" t="s">
        <v>58</v>
      </c>
      <c r="L1329" s="13" t="s">
        <v>88</v>
      </c>
      <c r="M1329">
        <v>60</v>
      </c>
      <c r="N1329">
        <v>0</v>
      </c>
      <c r="O1329" s="14">
        <v>45995</v>
      </c>
      <c r="P1329" s="14">
        <v>46055</v>
      </c>
      <c r="Q1329">
        <v>14661.36</v>
      </c>
      <c r="R1329">
        <v>0</v>
      </c>
      <c r="S1329">
        <v>0</v>
      </c>
      <c r="T1329">
        <v>0</v>
      </c>
      <c r="U1329">
        <v>0</v>
      </c>
      <c r="V1329">
        <v>14661.36</v>
      </c>
      <c r="W1329">
        <v>0</v>
      </c>
      <c r="X1329">
        <v>1</v>
      </c>
      <c r="Y1329">
        <v>0</v>
      </c>
      <c r="Z1329">
        <v>-33</v>
      </c>
      <c r="AA1329">
        <v>1</v>
      </c>
      <c r="AB1329" s="13" t="s">
        <v>581</v>
      </c>
      <c r="AC1329">
        <v>0</v>
      </c>
      <c r="AD1329">
        <v>0</v>
      </c>
      <c r="AE1329" s="13" t="s">
        <v>61</v>
      </c>
    </row>
    <row r="1330" spans="1:31" x14ac:dyDescent="0.35">
      <c r="A1330" s="13" t="s">
        <v>2066</v>
      </c>
      <c r="B1330" s="13" t="s">
        <v>506</v>
      </c>
      <c r="C1330" s="13" t="s">
        <v>507</v>
      </c>
      <c r="D1330" s="13" t="s">
        <v>126</v>
      </c>
      <c r="E1330" s="13" t="s">
        <v>99</v>
      </c>
      <c r="F1330" s="13" t="s">
        <v>100</v>
      </c>
      <c r="G1330" s="13" t="s">
        <v>67</v>
      </c>
      <c r="H1330">
        <v>215000</v>
      </c>
      <c r="I1330" s="13" t="s">
        <v>86</v>
      </c>
      <c r="J1330" s="13" t="s">
        <v>87</v>
      </c>
      <c r="K1330" s="13" t="s">
        <v>58</v>
      </c>
      <c r="L1330" s="13" t="s">
        <v>368</v>
      </c>
      <c r="M1330">
        <v>90</v>
      </c>
      <c r="N1330">
        <v>0</v>
      </c>
      <c r="O1330" s="14">
        <v>45995</v>
      </c>
      <c r="P1330" s="14">
        <v>46085</v>
      </c>
      <c r="Q1330">
        <v>1248.96</v>
      </c>
      <c r="R1330">
        <v>0</v>
      </c>
      <c r="S1330">
        <v>0</v>
      </c>
      <c r="T1330">
        <v>0</v>
      </c>
      <c r="U1330">
        <v>0</v>
      </c>
      <c r="V1330">
        <v>1248.96</v>
      </c>
      <c r="W1330">
        <v>0</v>
      </c>
      <c r="X1330">
        <v>1</v>
      </c>
      <c r="Y1330">
        <v>0</v>
      </c>
      <c r="Z1330">
        <v>-63</v>
      </c>
      <c r="AA1330">
        <v>1</v>
      </c>
      <c r="AB1330" s="13" t="s">
        <v>581</v>
      </c>
      <c r="AC1330">
        <v>0</v>
      </c>
      <c r="AD1330">
        <v>0</v>
      </c>
      <c r="AE1330" s="13" t="s">
        <v>61</v>
      </c>
    </row>
    <row r="1331" spans="1:31" x14ac:dyDescent="0.35">
      <c r="A1331" s="13" t="s">
        <v>2067</v>
      </c>
      <c r="B1331" s="13" t="s">
        <v>1467</v>
      </c>
      <c r="C1331" s="13" t="s">
        <v>1468</v>
      </c>
      <c r="D1331" s="13" t="s">
        <v>104</v>
      </c>
      <c r="E1331" s="13" t="s">
        <v>99</v>
      </c>
      <c r="F1331" s="13" t="s">
        <v>127</v>
      </c>
      <c r="G1331" s="13" t="s">
        <v>55</v>
      </c>
      <c r="H1331">
        <v>135000</v>
      </c>
      <c r="I1331" s="13" t="s">
        <v>121</v>
      </c>
      <c r="J1331" s="13" t="s">
        <v>122</v>
      </c>
      <c r="K1331" s="13" t="s">
        <v>107</v>
      </c>
      <c r="L1331" s="13" t="s">
        <v>95</v>
      </c>
      <c r="M1331">
        <v>30</v>
      </c>
      <c r="N1331">
        <v>0</v>
      </c>
      <c r="O1331" s="14">
        <v>45995</v>
      </c>
      <c r="P1331" s="14">
        <v>46025</v>
      </c>
      <c r="Q1331">
        <v>1891.84</v>
      </c>
      <c r="R1331">
        <v>0</v>
      </c>
      <c r="S1331">
        <v>0</v>
      </c>
      <c r="T1331">
        <v>0</v>
      </c>
      <c r="U1331">
        <v>0</v>
      </c>
      <c r="V1331">
        <v>1891.84</v>
      </c>
      <c r="W1331">
        <v>0</v>
      </c>
      <c r="X1331">
        <v>1</v>
      </c>
      <c r="Y1331">
        <v>0</v>
      </c>
      <c r="Z1331">
        <v>-3</v>
      </c>
      <c r="AA1331">
        <v>1</v>
      </c>
      <c r="AB1331" s="13" t="s">
        <v>581</v>
      </c>
      <c r="AC1331">
        <v>0</v>
      </c>
      <c r="AD1331">
        <v>0</v>
      </c>
      <c r="AE1331" s="13" t="s">
        <v>61</v>
      </c>
    </row>
    <row r="1332" spans="1:31" x14ac:dyDescent="0.35">
      <c r="A1332" s="13" t="s">
        <v>2068</v>
      </c>
      <c r="B1332" s="13" t="s">
        <v>997</v>
      </c>
      <c r="C1332" s="13" t="s">
        <v>998</v>
      </c>
      <c r="D1332" s="13" t="s">
        <v>52</v>
      </c>
      <c r="E1332" s="13" t="s">
        <v>71</v>
      </c>
      <c r="F1332" s="13" t="s">
        <v>72</v>
      </c>
      <c r="G1332" s="13" t="s">
        <v>55</v>
      </c>
      <c r="H1332">
        <v>405000</v>
      </c>
      <c r="I1332" s="13" t="s">
        <v>86</v>
      </c>
      <c r="J1332" s="13" t="s">
        <v>87</v>
      </c>
      <c r="K1332" s="13" t="s">
        <v>58</v>
      </c>
      <c r="L1332" s="13" t="s">
        <v>59</v>
      </c>
      <c r="M1332">
        <v>45</v>
      </c>
      <c r="N1332">
        <v>0</v>
      </c>
      <c r="O1332" s="14">
        <v>45995</v>
      </c>
      <c r="P1332" s="14">
        <v>46040</v>
      </c>
      <c r="Q1332">
        <v>12247.66</v>
      </c>
      <c r="R1332">
        <v>0</v>
      </c>
      <c r="S1332">
        <v>0</v>
      </c>
      <c r="T1332">
        <v>0</v>
      </c>
      <c r="U1332">
        <v>0</v>
      </c>
      <c r="V1332">
        <v>12247.66</v>
      </c>
      <c r="W1332">
        <v>0</v>
      </c>
      <c r="X1332">
        <v>1</v>
      </c>
      <c r="Y1332">
        <v>0</v>
      </c>
      <c r="Z1332">
        <v>-18</v>
      </c>
      <c r="AA1332">
        <v>1</v>
      </c>
      <c r="AB1332" s="13" t="s">
        <v>581</v>
      </c>
      <c r="AC1332">
        <v>0</v>
      </c>
      <c r="AD1332">
        <v>0</v>
      </c>
      <c r="AE1332" s="13" t="s">
        <v>61</v>
      </c>
    </row>
    <row r="1333" spans="1:31" x14ac:dyDescent="0.35">
      <c r="A1333" s="13" t="s">
        <v>2069</v>
      </c>
      <c r="B1333" s="13" t="s">
        <v>247</v>
      </c>
      <c r="C1333" s="13" t="s">
        <v>248</v>
      </c>
      <c r="D1333" s="13" t="s">
        <v>104</v>
      </c>
      <c r="E1333" s="13" t="s">
        <v>65</v>
      </c>
      <c r="F1333" s="13" t="s">
        <v>111</v>
      </c>
      <c r="G1333" s="13" t="s">
        <v>55</v>
      </c>
      <c r="H1333">
        <v>105000</v>
      </c>
      <c r="I1333" s="13" t="s">
        <v>105</v>
      </c>
      <c r="J1333" s="13" t="s">
        <v>106</v>
      </c>
      <c r="K1333" s="13" t="s">
        <v>107</v>
      </c>
      <c r="L1333" s="13" t="s">
        <v>82</v>
      </c>
      <c r="M1333">
        <v>30</v>
      </c>
      <c r="N1333">
        <v>2</v>
      </c>
      <c r="O1333" s="14">
        <v>45995</v>
      </c>
      <c r="P1333" s="14">
        <v>46025</v>
      </c>
      <c r="Q1333">
        <v>822.98</v>
      </c>
      <c r="R1333">
        <v>0</v>
      </c>
      <c r="S1333">
        <v>0</v>
      </c>
      <c r="T1333">
        <v>0</v>
      </c>
      <c r="U1333">
        <v>0</v>
      </c>
      <c r="V1333">
        <v>822.98</v>
      </c>
      <c r="W1333">
        <v>0</v>
      </c>
      <c r="X1333">
        <v>1</v>
      </c>
      <c r="Y1333">
        <v>0</v>
      </c>
      <c r="Z1333">
        <v>-3</v>
      </c>
      <c r="AA1333">
        <v>1</v>
      </c>
      <c r="AB1333" s="13" t="s">
        <v>581</v>
      </c>
      <c r="AC1333">
        <v>0</v>
      </c>
      <c r="AD1333">
        <v>0</v>
      </c>
      <c r="AE1333" s="13" t="s">
        <v>61</v>
      </c>
    </row>
    <row r="1334" spans="1:31" x14ac:dyDescent="0.35">
      <c r="A1334" s="13" t="s">
        <v>2070</v>
      </c>
      <c r="B1334" s="13" t="s">
        <v>539</v>
      </c>
      <c r="C1334" s="13" t="s">
        <v>540</v>
      </c>
      <c r="D1334" s="13" t="s">
        <v>52</v>
      </c>
      <c r="E1334" s="13" t="s">
        <v>65</v>
      </c>
      <c r="F1334" s="13" t="s">
        <v>66</v>
      </c>
      <c r="G1334" s="13" t="s">
        <v>67</v>
      </c>
      <c r="H1334">
        <v>435000</v>
      </c>
      <c r="I1334" s="13" t="s">
        <v>56</v>
      </c>
      <c r="J1334" s="13" t="s">
        <v>57</v>
      </c>
      <c r="K1334" s="13" t="s">
        <v>58</v>
      </c>
      <c r="L1334" s="13" t="s">
        <v>59</v>
      </c>
      <c r="M1334">
        <v>45</v>
      </c>
      <c r="N1334">
        <v>0</v>
      </c>
      <c r="O1334" s="14">
        <v>45995</v>
      </c>
      <c r="P1334" s="14">
        <v>46040</v>
      </c>
      <c r="Q1334">
        <v>4945.51</v>
      </c>
      <c r="R1334">
        <v>0</v>
      </c>
      <c r="S1334">
        <v>0</v>
      </c>
      <c r="T1334">
        <v>0</v>
      </c>
      <c r="U1334">
        <v>0</v>
      </c>
      <c r="V1334">
        <v>4945.51</v>
      </c>
      <c r="W1334">
        <v>0</v>
      </c>
      <c r="X1334">
        <v>1</v>
      </c>
      <c r="Y1334">
        <v>0</v>
      </c>
      <c r="Z1334">
        <v>-18</v>
      </c>
      <c r="AA1334">
        <v>1</v>
      </c>
      <c r="AB1334" s="13" t="s">
        <v>581</v>
      </c>
      <c r="AC1334">
        <v>0</v>
      </c>
      <c r="AD1334">
        <v>1</v>
      </c>
      <c r="AE1334" s="13" t="s">
        <v>377</v>
      </c>
    </row>
    <row r="1335" spans="1:31" x14ac:dyDescent="0.35">
      <c r="A1335" s="13" t="s">
        <v>2071</v>
      </c>
      <c r="B1335" s="13" t="s">
        <v>309</v>
      </c>
      <c r="C1335" s="13" t="s">
        <v>310</v>
      </c>
      <c r="D1335" s="13" t="s">
        <v>104</v>
      </c>
      <c r="E1335" s="13" t="s">
        <v>53</v>
      </c>
      <c r="F1335" s="13" t="s">
        <v>135</v>
      </c>
      <c r="G1335" s="13" t="s">
        <v>67</v>
      </c>
      <c r="H1335">
        <v>125000</v>
      </c>
      <c r="I1335" s="13" t="s">
        <v>121</v>
      </c>
      <c r="J1335" s="13" t="s">
        <v>122</v>
      </c>
      <c r="K1335" s="13" t="s">
        <v>107</v>
      </c>
      <c r="L1335" s="13" t="s">
        <v>88</v>
      </c>
      <c r="M1335">
        <v>60</v>
      </c>
      <c r="N1335">
        <v>0</v>
      </c>
      <c r="O1335" s="14">
        <v>45995</v>
      </c>
      <c r="P1335" s="14">
        <v>46055</v>
      </c>
      <c r="Q1335">
        <v>7014.9</v>
      </c>
      <c r="R1335">
        <v>0</v>
      </c>
      <c r="S1335">
        <v>0</v>
      </c>
      <c r="T1335">
        <v>0</v>
      </c>
      <c r="U1335">
        <v>0</v>
      </c>
      <c r="V1335">
        <v>7014.9</v>
      </c>
      <c r="W1335">
        <v>0</v>
      </c>
      <c r="X1335">
        <v>1</v>
      </c>
      <c r="Y1335">
        <v>0</v>
      </c>
      <c r="Z1335">
        <v>-33</v>
      </c>
      <c r="AA1335">
        <v>1</v>
      </c>
      <c r="AB1335" s="13" t="s">
        <v>581</v>
      </c>
      <c r="AC1335">
        <v>0</v>
      </c>
      <c r="AD1335">
        <v>0</v>
      </c>
      <c r="AE1335" s="13" t="s">
        <v>61</v>
      </c>
    </row>
    <row r="1336" spans="1:31" x14ac:dyDescent="0.35">
      <c r="A1336" s="13" t="s">
        <v>2072</v>
      </c>
      <c r="B1336" s="13" t="s">
        <v>277</v>
      </c>
      <c r="C1336" s="13" t="s">
        <v>278</v>
      </c>
      <c r="D1336" s="13" t="s">
        <v>104</v>
      </c>
      <c r="E1336" s="13" t="s">
        <v>71</v>
      </c>
      <c r="F1336" s="13" t="s">
        <v>214</v>
      </c>
      <c r="G1336" s="13" t="s">
        <v>92</v>
      </c>
      <c r="H1336">
        <v>105000</v>
      </c>
      <c r="I1336" s="13" t="s">
        <v>105</v>
      </c>
      <c r="J1336" s="13" t="s">
        <v>106</v>
      </c>
      <c r="K1336" s="13" t="s">
        <v>107</v>
      </c>
      <c r="L1336" s="13" t="s">
        <v>88</v>
      </c>
      <c r="M1336">
        <v>60</v>
      </c>
      <c r="N1336">
        <v>0</v>
      </c>
      <c r="O1336" s="14">
        <v>45995</v>
      </c>
      <c r="P1336" s="14">
        <v>46055</v>
      </c>
      <c r="Q1336">
        <v>3707.55</v>
      </c>
      <c r="R1336">
        <v>0</v>
      </c>
      <c r="S1336">
        <v>0</v>
      </c>
      <c r="T1336">
        <v>0</v>
      </c>
      <c r="U1336">
        <v>0</v>
      </c>
      <c r="V1336">
        <v>3707.55</v>
      </c>
      <c r="W1336">
        <v>0</v>
      </c>
      <c r="X1336">
        <v>1</v>
      </c>
      <c r="Y1336">
        <v>0</v>
      </c>
      <c r="Z1336">
        <v>-33</v>
      </c>
      <c r="AA1336">
        <v>1</v>
      </c>
      <c r="AB1336" s="13" t="s">
        <v>581</v>
      </c>
      <c r="AC1336">
        <v>0</v>
      </c>
      <c r="AD1336">
        <v>0</v>
      </c>
      <c r="AE1336" s="13" t="s">
        <v>61</v>
      </c>
    </row>
    <row r="1337" spans="1:31" x14ac:dyDescent="0.35">
      <c r="A1337" s="13" t="s">
        <v>2073</v>
      </c>
      <c r="B1337" s="13" t="s">
        <v>1723</v>
      </c>
      <c r="C1337" s="13" t="s">
        <v>1724</v>
      </c>
      <c r="D1337" s="13" t="s">
        <v>76</v>
      </c>
      <c r="E1337" s="13" t="s">
        <v>71</v>
      </c>
      <c r="F1337" s="13" t="s">
        <v>214</v>
      </c>
      <c r="G1337" s="13" t="s">
        <v>92</v>
      </c>
      <c r="H1337">
        <v>65000</v>
      </c>
      <c r="I1337" s="13" t="s">
        <v>93</v>
      </c>
      <c r="J1337" s="13" t="s">
        <v>94</v>
      </c>
      <c r="K1337" s="13" t="s">
        <v>81</v>
      </c>
      <c r="L1337" s="13" t="s">
        <v>95</v>
      </c>
      <c r="M1337">
        <v>30</v>
      </c>
      <c r="N1337">
        <v>0</v>
      </c>
      <c r="O1337" s="14">
        <v>45995</v>
      </c>
      <c r="P1337" s="14">
        <v>46025</v>
      </c>
      <c r="Q1337">
        <v>1323.4</v>
      </c>
      <c r="R1337">
        <v>0</v>
      </c>
      <c r="S1337">
        <v>0</v>
      </c>
      <c r="T1337">
        <v>0</v>
      </c>
      <c r="U1337">
        <v>0</v>
      </c>
      <c r="V1337">
        <v>1323.4</v>
      </c>
      <c r="W1337">
        <v>0</v>
      </c>
      <c r="X1337">
        <v>1</v>
      </c>
      <c r="Y1337">
        <v>0</v>
      </c>
      <c r="Z1337">
        <v>-3</v>
      </c>
      <c r="AA1337">
        <v>1</v>
      </c>
      <c r="AB1337" s="13" t="s">
        <v>581</v>
      </c>
      <c r="AC1337">
        <v>0</v>
      </c>
      <c r="AD1337">
        <v>0</v>
      </c>
      <c r="AE1337" s="13" t="s">
        <v>61</v>
      </c>
    </row>
    <row r="1338" spans="1:31" x14ac:dyDescent="0.35">
      <c r="A1338" s="13" t="s">
        <v>2074</v>
      </c>
      <c r="B1338" s="13" t="s">
        <v>1038</v>
      </c>
      <c r="C1338" s="13" t="s">
        <v>1039</v>
      </c>
      <c r="D1338" s="13" t="s">
        <v>52</v>
      </c>
      <c r="E1338" s="13" t="s">
        <v>77</v>
      </c>
      <c r="F1338" s="13" t="s">
        <v>78</v>
      </c>
      <c r="G1338" s="13" t="s">
        <v>67</v>
      </c>
      <c r="H1338">
        <v>425000</v>
      </c>
      <c r="I1338" s="13" t="s">
        <v>56</v>
      </c>
      <c r="J1338" s="13" t="s">
        <v>57</v>
      </c>
      <c r="K1338" s="13" t="s">
        <v>58</v>
      </c>
      <c r="L1338" s="13" t="s">
        <v>59</v>
      </c>
      <c r="M1338">
        <v>45</v>
      </c>
      <c r="N1338">
        <v>0</v>
      </c>
      <c r="O1338" s="14">
        <v>45995</v>
      </c>
      <c r="P1338" s="14">
        <v>46040</v>
      </c>
      <c r="Q1338">
        <v>2050.15</v>
      </c>
      <c r="R1338">
        <v>0</v>
      </c>
      <c r="S1338">
        <v>0</v>
      </c>
      <c r="T1338">
        <v>0</v>
      </c>
      <c r="U1338">
        <v>0</v>
      </c>
      <c r="V1338">
        <v>2050.15</v>
      </c>
      <c r="W1338">
        <v>0</v>
      </c>
      <c r="X1338">
        <v>1</v>
      </c>
      <c r="Y1338">
        <v>0</v>
      </c>
      <c r="Z1338">
        <v>-18</v>
      </c>
      <c r="AA1338">
        <v>1</v>
      </c>
      <c r="AB1338" s="13" t="s">
        <v>581</v>
      </c>
      <c r="AC1338">
        <v>0</v>
      </c>
      <c r="AD1338">
        <v>1</v>
      </c>
      <c r="AE1338" s="13" t="s">
        <v>348</v>
      </c>
    </row>
    <row r="1339" spans="1:31" x14ac:dyDescent="0.35">
      <c r="A1339" s="13" t="s">
        <v>2075</v>
      </c>
      <c r="B1339" s="13" t="s">
        <v>141</v>
      </c>
      <c r="C1339" s="13" t="s">
        <v>142</v>
      </c>
      <c r="D1339" s="13" t="s">
        <v>76</v>
      </c>
      <c r="E1339" s="13" t="s">
        <v>65</v>
      </c>
      <c r="F1339" s="13" t="s">
        <v>66</v>
      </c>
      <c r="G1339" s="13" t="s">
        <v>67</v>
      </c>
      <c r="H1339">
        <v>120000</v>
      </c>
      <c r="I1339" s="13" t="s">
        <v>93</v>
      </c>
      <c r="J1339" s="13" t="s">
        <v>94</v>
      </c>
      <c r="K1339" s="13" t="s">
        <v>81</v>
      </c>
      <c r="L1339" s="13" t="s">
        <v>95</v>
      </c>
      <c r="M1339">
        <v>30</v>
      </c>
      <c r="N1339">
        <v>0</v>
      </c>
      <c r="O1339" s="14">
        <v>45995</v>
      </c>
      <c r="P1339" s="14">
        <v>46025</v>
      </c>
      <c r="Q1339">
        <v>831.71</v>
      </c>
      <c r="R1339">
        <v>0</v>
      </c>
      <c r="S1339">
        <v>0</v>
      </c>
      <c r="T1339">
        <v>0</v>
      </c>
      <c r="U1339">
        <v>0</v>
      </c>
      <c r="V1339">
        <v>831.71</v>
      </c>
      <c r="W1339">
        <v>0</v>
      </c>
      <c r="X1339">
        <v>1</v>
      </c>
      <c r="Y1339">
        <v>0</v>
      </c>
      <c r="Z1339">
        <v>-3</v>
      </c>
      <c r="AA1339">
        <v>1</v>
      </c>
      <c r="AB1339" s="13" t="s">
        <v>581</v>
      </c>
      <c r="AC1339">
        <v>0</v>
      </c>
      <c r="AD1339">
        <v>1</v>
      </c>
      <c r="AE1339" s="13" t="s">
        <v>665</v>
      </c>
    </row>
    <row r="1340" spans="1:31" x14ac:dyDescent="0.35">
      <c r="A1340" s="13" t="s">
        <v>2076</v>
      </c>
      <c r="B1340" s="13" t="s">
        <v>400</v>
      </c>
      <c r="C1340" s="13" t="s">
        <v>401</v>
      </c>
      <c r="D1340" s="13" t="s">
        <v>126</v>
      </c>
      <c r="E1340" s="13" t="s">
        <v>99</v>
      </c>
      <c r="F1340" s="13" t="s">
        <v>127</v>
      </c>
      <c r="G1340" s="13" t="s">
        <v>67</v>
      </c>
      <c r="H1340">
        <v>200000</v>
      </c>
      <c r="I1340" s="13" t="s">
        <v>86</v>
      </c>
      <c r="J1340" s="13" t="s">
        <v>87</v>
      </c>
      <c r="K1340" s="13" t="s">
        <v>58</v>
      </c>
      <c r="L1340" s="13" t="s">
        <v>368</v>
      </c>
      <c r="M1340">
        <v>90</v>
      </c>
      <c r="N1340">
        <v>0</v>
      </c>
      <c r="O1340" s="14">
        <v>45995</v>
      </c>
      <c r="P1340" s="14">
        <v>46085</v>
      </c>
      <c r="Q1340">
        <v>2695.57</v>
      </c>
      <c r="R1340">
        <v>0</v>
      </c>
      <c r="S1340">
        <v>0</v>
      </c>
      <c r="T1340">
        <v>0</v>
      </c>
      <c r="U1340">
        <v>0</v>
      </c>
      <c r="V1340">
        <v>2695.57</v>
      </c>
      <c r="W1340">
        <v>0</v>
      </c>
      <c r="X1340">
        <v>1</v>
      </c>
      <c r="Y1340">
        <v>0</v>
      </c>
      <c r="Z1340">
        <v>-63</v>
      </c>
      <c r="AA1340">
        <v>1</v>
      </c>
      <c r="AB1340" s="13" t="s">
        <v>581</v>
      </c>
      <c r="AC1340">
        <v>0</v>
      </c>
      <c r="AD1340">
        <v>0</v>
      </c>
      <c r="AE1340" s="13" t="s">
        <v>61</v>
      </c>
    </row>
    <row r="1341" spans="1:31" x14ac:dyDescent="0.35">
      <c r="A1341" s="13" t="s">
        <v>2077</v>
      </c>
      <c r="B1341" s="13" t="s">
        <v>920</v>
      </c>
      <c r="C1341" s="13" t="s">
        <v>921</v>
      </c>
      <c r="D1341" s="13" t="s">
        <v>104</v>
      </c>
      <c r="E1341" s="13" t="s">
        <v>99</v>
      </c>
      <c r="F1341" s="13" t="s">
        <v>100</v>
      </c>
      <c r="G1341" s="13" t="s">
        <v>92</v>
      </c>
      <c r="H1341">
        <v>100000</v>
      </c>
      <c r="I1341" s="13" t="s">
        <v>121</v>
      </c>
      <c r="J1341" s="13" t="s">
        <v>122</v>
      </c>
      <c r="K1341" s="13" t="s">
        <v>107</v>
      </c>
      <c r="L1341" s="13" t="s">
        <v>95</v>
      </c>
      <c r="M1341">
        <v>30</v>
      </c>
      <c r="N1341">
        <v>0</v>
      </c>
      <c r="O1341" s="14">
        <v>45995</v>
      </c>
      <c r="P1341" s="14">
        <v>46025</v>
      </c>
      <c r="Q1341">
        <v>4750.1499999999996</v>
      </c>
      <c r="R1341">
        <v>0</v>
      </c>
      <c r="S1341">
        <v>0</v>
      </c>
      <c r="T1341">
        <v>0</v>
      </c>
      <c r="U1341">
        <v>0</v>
      </c>
      <c r="V1341">
        <v>4750.1499999999996</v>
      </c>
      <c r="W1341">
        <v>0</v>
      </c>
      <c r="X1341">
        <v>1</v>
      </c>
      <c r="Y1341">
        <v>0</v>
      </c>
      <c r="Z1341">
        <v>-3</v>
      </c>
      <c r="AA1341">
        <v>1</v>
      </c>
      <c r="AB1341" s="13" t="s">
        <v>581</v>
      </c>
      <c r="AC1341">
        <v>0</v>
      </c>
      <c r="AD1341">
        <v>1</v>
      </c>
      <c r="AE1341" s="13" t="s">
        <v>348</v>
      </c>
    </row>
    <row r="1342" spans="1:31" x14ac:dyDescent="0.35">
      <c r="A1342" s="13" t="s">
        <v>2078</v>
      </c>
      <c r="B1342" s="13" t="s">
        <v>312</v>
      </c>
      <c r="C1342" s="13" t="s">
        <v>313</v>
      </c>
      <c r="D1342" s="13" t="s">
        <v>52</v>
      </c>
      <c r="E1342" s="13" t="s">
        <v>77</v>
      </c>
      <c r="F1342" s="13" t="s">
        <v>174</v>
      </c>
      <c r="G1342" s="13" t="s">
        <v>55</v>
      </c>
      <c r="H1342">
        <v>600000</v>
      </c>
      <c r="I1342" s="13" t="s">
        <v>56</v>
      </c>
      <c r="J1342" s="13" t="s">
        <v>57</v>
      </c>
      <c r="K1342" s="13" t="s">
        <v>58</v>
      </c>
      <c r="L1342" s="13" t="s">
        <v>88</v>
      </c>
      <c r="M1342">
        <v>60</v>
      </c>
      <c r="N1342">
        <v>0</v>
      </c>
      <c r="O1342" s="14">
        <v>45995</v>
      </c>
      <c r="P1342" s="14">
        <v>46055</v>
      </c>
      <c r="Q1342">
        <v>2614.0700000000002</v>
      </c>
      <c r="R1342">
        <v>0</v>
      </c>
      <c r="S1342">
        <v>0</v>
      </c>
      <c r="T1342">
        <v>0</v>
      </c>
      <c r="U1342">
        <v>0</v>
      </c>
      <c r="V1342">
        <v>2614.0700000000002</v>
      </c>
      <c r="W1342">
        <v>0</v>
      </c>
      <c r="X1342">
        <v>1</v>
      </c>
      <c r="Y1342">
        <v>0</v>
      </c>
      <c r="Z1342">
        <v>-33</v>
      </c>
      <c r="AA1342">
        <v>1</v>
      </c>
      <c r="AB1342" s="13" t="s">
        <v>581</v>
      </c>
      <c r="AC1342">
        <v>0</v>
      </c>
      <c r="AD1342">
        <v>0</v>
      </c>
      <c r="AE1342" s="13" t="s">
        <v>61</v>
      </c>
    </row>
    <row r="1343" spans="1:31" x14ac:dyDescent="0.35">
      <c r="A1343" s="13" t="s">
        <v>2079</v>
      </c>
      <c r="B1343" s="13" t="s">
        <v>2080</v>
      </c>
      <c r="C1343" s="13" t="s">
        <v>2081</v>
      </c>
      <c r="D1343" s="13" t="s">
        <v>104</v>
      </c>
      <c r="E1343" s="13" t="s">
        <v>99</v>
      </c>
      <c r="F1343" s="13" t="s">
        <v>100</v>
      </c>
      <c r="G1343" s="13" t="s">
        <v>55</v>
      </c>
      <c r="H1343">
        <v>150000</v>
      </c>
      <c r="I1343" s="13" t="s">
        <v>56</v>
      </c>
      <c r="J1343" s="13" t="s">
        <v>57</v>
      </c>
      <c r="K1343" s="13" t="s">
        <v>58</v>
      </c>
      <c r="L1343" s="13" t="s">
        <v>95</v>
      </c>
      <c r="M1343">
        <v>30</v>
      </c>
      <c r="N1343">
        <v>0</v>
      </c>
      <c r="O1343" s="14">
        <v>45995</v>
      </c>
      <c r="P1343" s="14">
        <v>46025</v>
      </c>
      <c r="Q1343">
        <v>1261.8699999999999</v>
      </c>
      <c r="R1343">
        <v>0</v>
      </c>
      <c r="S1343">
        <v>0</v>
      </c>
      <c r="T1343">
        <v>0</v>
      </c>
      <c r="U1343">
        <v>0</v>
      </c>
      <c r="V1343">
        <v>1261.8699999999999</v>
      </c>
      <c r="W1343">
        <v>0</v>
      </c>
      <c r="X1343">
        <v>1</v>
      </c>
      <c r="Y1343">
        <v>0</v>
      </c>
      <c r="Z1343">
        <v>-3</v>
      </c>
      <c r="AA1343">
        <v>1</v>
      </c>
      <c r="AB1343" s="13" t="s">
        <v>581</v>
      </c>
      <c r="AC1343">
        <v>0</v>
      </c>
      <c r="AD1343">
        <v>0</v>
      </c>
      <c r="AE1343" s="13" t="s">
        <v>61</v>
      </c>
    </row>
    <row r="1344" spans="1:31" x14ac:dyDescent="0.35">
      <c r="A1344" s="13" t="s">
        <v>2082</v>
      </c>
      <c r="B1344" s="13" t="s">
        <v>692</v>
      </c>
      <c r="C1344" s="13" t="s">
        <v>693</v>
      </c>
      <c r="D1344" s="13" t="s">
        <v>52</v>
      </c>
      <c r="E1344" s="13" t="s">
        <v>53</v>
      </c>
      <c r="F1344" s="13" t="s">
        <v>135</v>
      </c>
      <c r="G1344" s="13" t="s">
        <v>55</v>
      </c>
      <c r="H1344">
        <v>360000</v>
      </c>
      <c r="I1344" s="13" t="s">
        <v>56</v>
      </c>
      <c r="J1344" s="13" t="s">
        <v>57</v>
      </c>
      <c r="K1344" s="13" t="s">
        <v>58</v>
      </c>
      <c r="L1344" s="13" t="s">
        <v>88</v>
      </c>
      <c r="M1344">
        <v>60</v>
      </c>
      <c r="N1344">
        <v>0</v>
      </c>
      <c r="O1344" s="14">
        <v>45995</v>
      </c>
      <c r="P1344" s="14">
        <v>46055</v>
      </c>
      <c r="Q1344">
        <v>1630.92</v>
      </c>
      <c r="R1344">
        <v>0</v>
      </c>
      <c r="S1344">
        <v>0</v>
      </c>
      <c r="T1344">
        <v>0</v>
      </c>
      <c r="U1344">
        <v>0</v>
      </c>
      <c r="V1344">
        <v>1630.92</v>
      </c>
      <c r="W1344">
        <v>0</v>
      </c>
      <c r="X1344">
        <v>1</v>
      </c>
      <c r="Y1344">
        <v>0</v>
      </c>
      <c r="Z1344">
        <v>-33</v>
      </c>
      <c r="AA1344">
        <v>1</v>
      </c>
      <c r="AB1344" s="13" t="s">
        <v>581</v>
      </c>
      <c r="AC1344">
        <v>0</v>
      </c>
      <c r="AD1344">
        <v>1</v>
      </c>
      <c r="AE1344" s="13" t="s">
        <v>377</v>
      </c>
    </row>
    <row r="1345" spans="1:31" x14ac:dyDescent="0.35">
      <c r="A1345" s="13" t="s">
        <v>2083</v>
      </c>
      <c r="B1345" s="13" t="s">
        <v>2084</v>
      </c>
      <c r="C1345" s="13" t="s">
        <v>2085</v>
      </c>
      <c r="D1345" s="13" t="s">
        <v>76</v>
      </c>
      <c r="E1345" s="13" t="s">
        <v>65</v>
      </c>
      <c r="F1345" s="13" t="s">
        <v>66</v>
      </c>
      <c r="G1345" s="13" t="s">
        <v>67</v>
      </c>
      <c r="H1345">
        <v>60000</v>
      </c>
      <c r="I1345" s="13" t="s">
        <v>93</v>
      </c>
      <c r="J1345" s="13" t="s">
        <v>94</v>
      </c>
      <c r="K1345" s="13" t="s">
        <v>81</v>
      </c>
      <c r="L1345" s="13" t="s">
        <v>95</v>
      </c>
      <c r="M1345">
        <v>30</v>
      </c>
      <c r="N1345">
        <v>0</v>
      </c>
      <c r="O1345" s="14">
        <v>45995</v>
      </c>
      <c r="P1345" s="14">
        <v>46025</v>
      </c>
      <c r="Q1345">
        <v>3470.23</v>
      </c>
      <c r="R1345">
        <v>0</v>
      </c>
      <c r="S1345">
        <v>0</v>
      </c>
      <c r="T1345">
        <v>0</v>
      </c>
      <c r="U1345">
        <v>0</v>
      </c>
      <c r="V1345">
        <v>3470.23</v>
      </c>
      <c r="W1345">
        <v>0</v>
      </c>
      <c r="X1345">
        <v>1</v>
      </c>
      <c r="Y1345">
        <v>0</v>
      </c>
      <c r="Z1345">
        <v>-3</v>
      </c>
      <c r="AA1345">
        <v>1</v>
      </c>
      <c r="AB1345" s="13" t="s">
        <v>581</v>
      </c>
      <c r="AC1345">
        <v>0</v>
      </c>
      <c r="AD1345">
        <v>0</v>
      </c>
      <c r="AE1345" s="13" t="s">
        <v>61</v>
      </c>
    </row>
    <row r="1346" spans="1:31" x14ac:dyDescent="0.35">
      <c r="A1346" s="13" t="s">
        <v>2086</v>
      </c>
      <c r="B1346" s="13" t="s">
        <v>2087</v>
      </c>
      <c r="C1346" s="13" t="s">
        <v>2088</v>
      </c>
      <c r="D1346" s="13" t="s">
        <v>104</v>
      </c>
      <c r="E1346" s="13" t="s">
        <v>53</v>
      </c>
      <c r="F1346" s="13" t="s">
        <v>135</v>
      </c>
      <c r="G1346" s="13" t="s">
        <v>55</v>
      </c>
      <c r="H1346">
        <v>75000</v>
      </c>
      <c r="I1346" s="13" t="s">
        <v>105</v>
      </c>
      <c r="J1346" s="13" t="s">
        <v>106</v>
      </c>
      <c r="K1346" s="13" t="s">
        <v>107</v>
      </c>
      <c r="L1346" s="13" t="s">
        <v>82</v>
      </c>
      <c r="M1346">
        <v>30</v>
      </c>
      <c r="N1346">
        <v>2</v>
      </c>
      <c r="O1346" s="14">
        <v>45995</v>
      </c>
      <c r="P1346" s="14">
        <v>46025</v>
      </c>
      <c r="Q1346">
        <v>2260.3200000000002</v>
      </c>
      <c r="R1346">
        <v>0</v>
      </c>
      <c r="S1346">
        <v>0</v>
      </c>
      <c r="T1346">
        <v>0</v>
      </c>
      <c r="U1346">
        <v>0</v>
      </c>
      <c r="V1346">
        <v>2260.3200000000002</v>
      </c>
      <c r="W1346">
        <v>0</v>
      </c>
      <c r="X1346">
        <v>1</v>
      </c>
      <c r="Y1346">
        <v>0</v>
      </c>
      <c r="Z1346">
        <v>-3</v>
      </c>
      <c r="AA1346">
        <v>1</v>
      </c>
      <c r="AB1346" s="13" t="s">
        <v>581</v>
      </c>
      <c r="AC1346">
        <v>0</v>
      </c>
      <c r="AD1346">
        <v>0</v>
      </c>
      <c r="AE1346" s="13" t="s">
        <v>61</v>
      </c>
    </row>
    <row r="1347" spans="1:31" x14ac:dyDescent="0.35">
      <c r="A1347" s="13" t="s">
        <v>2089</v>
      </c>
      <c r="B1347" s="13" t="s">
        <v>673</v>
      </c>
      <c r="C1347" s="13" t="s">
        <v>674</v>
      </c>
      <c r="D1347" s="13" t="s">
        <v>52</v>
      </c>
      <c r="E1347" s="13" t="s">
        <v>77</v>
      </c>
      <c r="F1347" s="13" t="s">
        <v>78</v>
      </c>
      <c r="G1347" s="13" t="s">
        <v>67</v>
      </c>
      <c r="H1347">
        <v>275000</v>
      </c>
      <c r="I1347" s="13" t="s">
        <v>86</v>
      </c>
      <c r="J1347" s="13" t="s">
        <v>87</v>
      </c>
      <c r="K1347" s="13" t="s">
        <v>58</v>
      </c>
      <c r="L1347" s="13" t="s">
        <v>88</v>
      </c>
      <c r="M1347">
        <v>60</v>
      </c>
      <c r="N1347">
        <v>0</v>
      </c>
      <c r="O1347" s="14">
        <v>45995</v>
      </c>
      <c r="P1347" s="14">
        <v>46055</v>
      </c>
      <c r="Q1347">
        <v>9164</v>
      </c>
      <c r="R1347">
        <v>0</v>
      </c>
      <c r="S1347">
        <v>0</v>
      </c>
      <c r="T1347">
        <v>0</v>
      </c>
      <c r="U1347">
        <v>0</v>
      </c>
      <c r="V1347">
        <v>9164</v>
      </c>
      <c r="W1347">
        <v>0</v>
      </c>
      <c r="X1347">
        <v>1</v>
      </c>
      <c r="Y1347">
        <v>0</v>
      </c>
      <c r="Z1347">
        <v>-33</v>
      </c>
      <c r="AA1347">
        <v>1</v>
      </c>
      <c r="AB1347" s="13" t="s">
        <v>581</v>
      </c>
      <c r="AC1347">
        <v>0</v>
      </c>
      <c r="AD1347">
        <v>0</v>
      </c>
      <c r="AE1347" s="13" t="s">
        <v>61</v>
      </c>
    </row>
    <row r="1348" spans="1:31" x14ac:dyDescent="0.35">
      <c r="A1348" s="13" t="s">
        <v>2090</v>
      </c>
      <c r="B1348" s="13" t="s">
        <v>528</v>
      </c>
      <c r="C1348" s="13" t="s">
        <v>529</v>
      </c>
      <c r="D1348" s="13" t="s">
        <v>104</v>
      </c>
      <c r="E1348" s="13" t="s">
        <v>71</v>
      </c>
      <c r="F1348" s="13" t="s">
        <v>214</v>
      </c>
      <c r="G1348" s="13" t="s">
        <v>55</v>
      </c>
      <c r="H1348">
        <v>40000</v>
      </c>
      <c r="I1348" s="13" t="s">
        <v>105</v>
      </c>
      <c r="J1348" s="13" t="s">
        <v>106</v>
      </c>
      <c r="K1348" s="13" t="s">
        <v>107</v>
      </c>
      <c r="L1348" s="13" t="s">
        <v>88</v>
      </c>
      <c r="M1348">
        <v>60</v>
      </c>
      <c r="N1348">
        <v>0</v>
      </c>
      <c r="O1348" s="14">
        <v>45995</v>
      </c>
      <c r="P1348" s="14">
        <v>46055</v>
      </c>
      <c r="Q1348">
        <v>815.05</v>
      </c>
      <c r="R1348">
        <v>0</v>
      </c>
      <c r="S1348">
        <v>0</v>
      </c>
      <c r="T1348">
        <v>0</v>
      </c>
      <c r="U1348">
        <v>0</v>
      </c>
      <c r="V1348">
        <v>815.05</v>
      </c>
      <c r="W1348">
        <v>0</v>
      </c>
      <c r="X1348">
        <v>1</v>
      </c>
      <c r="Y1348">
        <v>0</v>
      </c>
      <c r="Z1348">
        <v>-33</v>
      </c>
      <c r="AA1348">
        <v>1</v>
      </c>
      <c r="AB1348" s="13" t="s">
        <v>581</v>
      </c>
      <c r="AC1348">
        <v>0</v>
      </c>
      <c r="AD1348">
        <v>0</v>
      </c>
      <c r="AE1348" s="13" t="s">
        <v>61</v>
      </c>
    </row>
    <row r="1349" spans="1:31" x14ac:dyDescent="0.35">
      <c r="A1349" s="13" t="s">
        <v>2091</v>
      </c>
      <c r="B1349" s="13" t="s">
        <v>584</v>
      </c>
      <c r="C1349" s="13" t="s">
        <v>585</v>
      </c>
      <c r="D1349" s="13" t="s">
        <v>104</v>
      </c>
      <c r="E1349" s="13" t="s">
        <v>53</v>
      </c>
      <c r="F1349" s="13" t="s">
        <v>54</v>
      </c>
      <c r="G1349" s="13" t="s">
        <v>67</v>
      </c>
      <c r="H1349">
        <v>115000</v>
      </c>
      <c r="I1349" s="13" t="s">
        <v>121</v>
      </c>
      <c r="J1349" s="13" t="s">
        <v>122</v>
      </c>
      <c r="K1349" s="13" t="s">
        <v>107</v>
      </c>
      <c r="L1349" s="13" t="s">
        <v>88</v>
      </c>
      <c r="M1349">
        <v>60</v>
      </c>
      <c r="N1349">
        <v>0</v>
      </c>
      <c r="O1349" s="14">
        <v>45995</v>
      </c>
      <c r="P1349" s="14">
        <v>46055</v>
      </c>
      <c r="Q1349">
        <v>1668.5</v>
      </c>
      <c r="R1349">
        <v>0</v>
      </c>
      <c r="S1349">
        <v>0</v>
      </c>
      <c r="T1349">
        <v>0</v>
      </c>
      <c r="U1349">
        <v>0</v>
      </c>
      <c r="V1349">
        <v>1668.5</v>
      </c>
      <c r="W1349">
        <v>0</v>
      </c>
      <c r="X1349">
        <v>1</v>
      </c>
      <c r="Y1349">
        <v>0</v>
      </c>
      <c r="Z1349">
        <v>-33</v>
      </c>
      <c r="AA1349">
        <v>1</v>
      </c>
      <c r="AB1349" s="13" t="s">
        <v>581</v>
      </c>
      <c r="AC1349">
        <v>0</v>
      </c>
      <c r="AD1349">
        <v>0</v>
      </c>
      <c r="AE1349" s="13" t="s">
        <v>61</v>
      </c>
    </row>
    <row r="1350" spans="1:31" x14ac:dyDescent="0.35">
      <c r="A1350" s="13" t="s">
        <v>2092</v>
      </c>
      <c r="B1350" s="13" t="s">
        <v>676</v>
      </c>
      <c r="C1350" s="13" t="s">
        <v>677</v>
      </c>
      <c r="D1350" s="13" t="s">
        <v>126</v>
      </c>
      <c r="E1350" s="13" t="s">
        <v>71</v>
      </c>
      <c r="F1350" s="13" t="s">
        <v>72</v>
      </c>
      <c r="G1350" s="13" t="s">
        <v>67</v>
      </c>
      <c r="H1350">
        <v>80000</v>
      </c>
      <c r="I1350" s="13" t="s">
        <v>121</v>
      </c>
      <c r="J1350" s="13" t="s">
        <v>122</v>
      </c>
      <c r="K1350" s="13" t="s">
        <v>107</v>
      </c>
      <c r="L1350" s="13" t="s">
        <v>88</v>
      </c>
      <c r="M1350">
        <v>60</v>
      </c>
      <c r="N1350">
        <v>0</v>
      </c>
      <c r="O1350" s="14">
        <v>45995</v>
      </c>
      <c r="P1350" s="14">
        <v>46055</v>
      </c>
      <c r="Q1350">
        <v>4502.1499999999996</v>
      </c>
      <c r="R1350">
        <v>0</v>
      </c>
      <c r="S1350">
        <v>0</v>
      </c>
      <c r="T1350">
        <v>0</v>
      </c>
      <c r="U1350">
        <v>0</v>
      </c>
      <c r="V1350">
        <v>4502.1499999999996</v>
      </c>
      <c r="W1350">
        <v>0</v>
      </c>
      <c r="X1350">
        <v>1</v>
      </c>
      <c r="Y1350">
        <v>0</v>
      </c>
      <c r="Z1350">
        <v>-33</v>
      </c>
      <c r="AA1350">
        <v>1</v>
      </c>
      <c r="AB1350" s="13" t="s">
        <v>581</v>
      </c>
      <c r="AC1350">
        <v>0</v>
      </c>
      <c r="AD1350">
        <v>0</v>
      </c>
      <c r="AE1350" s="13" t="s">
        <v>61</v>
      </c>
    </row>
    <row r="1351" spans="1:31" x14ac:dyDescent="0.35">
      <c r="A1351" s="13" t="s">
        <v>2093</v>
      </c>
      <c r="B1351" s="13" t="s">
        <v>2094</v>
      </c>
      <c r="C1351" s="13" t="s">
        <v>2095</v>
      </c>
      <c r="D1351" s="13" t="s">
        <v>104</v>
      </c>
      <c r="E1351" s="13" t="s">
        <v>77</v>
      </c>
      <c r="F1351" s="13" t="s">
        <v>174</v>
      </c>
      <c r="G1351" s="13" t="s">
        <v>55</v>
      </c>
      <c r="H1351">
        <v>120000</v>
      </c>
      <c r="I1351" s="13" t="s">
        <v>105</v>
      </c>
      <c r="J1351" s="13" t="s">
        <v>106</v>
      </c>
      <c r="K1351" s="13" t="s">
        <v>107</v>
      </c>
      <c r="L1351" s="13" t="s">
        <v>95</v>
      </c>
      <c r="M1351">
        <v>30</v>
      </c>
      <c r="N1351">
        <v>0</v>
      </c>
      <c r="O1351" s="14">
        <v>45995</v>
      </c>
      <c r="P1351" s="14">
        <v>46025</v>
      </c>
      <c r="Q1351">
        <v>4157.87</v>
      </c>
      <c r="R1351">
        <v>0</v>
      </c>
      <c r="S1351">
        <v>0</v>
      </c>
      <c r="T1351">
        <v>0</v>
      </c>
      <c r="U1351">
        <v>0</v>
      </c>
      <c r="V1351">
        <v>4157.87</v>
      </c>
      <c r="W1351">
        <v>0</v>
      </c>
      <c r="X1351">
        <v>1</v>
      </c>
      <c r="Y1351">
        <v>0</v>
      </c>
      <c r="Z1351">
        <v>-3</v>
      </c>
      <c r="AA1351">
        <v>1</v>
      </c>
      <c r="AB1351" s="13" t="s">
        <v>581</v>
      </c>
      <c r="AC1351">
        <v>0</v>
      </c>
      <c r="AD1351">
        <v>0</v>
      </c>
      <c r="AE1351" s="13" t="s">
        <v>61</v>
      </c>
    </row>
    <row r="1352" spans="1:31" x14ac:dyDescent="0.35">
      <c r="A1352" s="13" t="s">
        <v>2096</v>
      </c>
      <c r="B1352" s="13" t="s">
        <v>446</v>
      </c>
      <c r="C1352" s="13" t="s">
        <v>447</v>
      </c>
      <c r="D1352" s="13" t="s">
        <v>52</v>
      </c>
      <c r="E1352" s="13" t="s">
        <v>53</v>
      </c>
      <c r="F1352" s="13" t="s">
        <v>54</v>
      </c>
      <c r="G1352" s="13" t="s">
        <v>67</v>
      </c>
      <c r="H1352">
        <v>245000</v>
      </c>
      <c r="I1352" s="13" t="s">
        <v>86</v>
      </c>
      <c r="J1352" s="13" t="s">
        <v>87</v>
      </c>
      <c r="K1352" s="13" t="s">
        <v>58</v>
      </c>
      <c r="L1352" s="13" t="s">
        <v>88</v>
      </c>
      <c r="M1352">
        <v>60</v>
      </c>
      <c r="N1352">
        <v>0</v>
      </c>
      <c r="O1352" s="14">
        <v>45995</v>
      </c>
      <c r="P1352" s="14">
        <v>46055</v>
      </c>
      <c r="Q1352">
        <v>4056.71</v>
      </c>
      <c r="R1352">
        <v>0</v>
      </c>
      <c r="S1352">
        <v>0</v>
      </c>
      <c r="T1352">
        <v>0</v>
      </c>
      <c r="U1352">
        <v>0</v>
      </c>
      <c r="V1352">
        <v>4056.71</v>
      </c>
      <c r="W1352">
        <v>0</v>
      </c>
      <c r="X1352">
        <v>1</v>
      </c>
      <c r="Y1352">
        <v>0</v>
      </c>
      <c r="Z1352">
        <v>-33</v>
      </c>
      <c r="AA1352">
        <v>1</v>
      </c>
      <c r="AB1352" s="13" t="s">
        <v>581</v>
      </c>
      <c r="AC1352">
        <v>0</v>
      </c>
      <c r="AD1352">
        <v>0</v>
      </c>
      <c r="AE1352" s="13" t="s">
        <v>61</v>
      </c>
    </row>
    <row r="1353" spans="1:31" x14ac:dyDescent="0.35">
      <c r="A1353" s="13" t="s">
        <v>2097</v>
      </c>
      <c r="B1353" s="13" t="s">
        <v>1088</v>
      </c>
      <c r="C1353" s="13" t="s">
        <v>1089</v>
      </c>
      <c r="D1353" s="13" t="s">
        <v>104</v>
      </c>
      <c r="E1353" s="13" t="s">
        <v>77</v>
      </c>
      <c r="F1353" s="13" t="s">
        <v>174</v>
      </c>
      <c r="G1353" s="13" t="s">
        <v>67</v>
      </c>
      <c r="H1353">
        <v>30000</v>
      </c>
      <c r="I1353" s="13" t="s">
        <v>105</v>
      </c>
      <c r="J1353" s="13" t="s">
        <v>106</v>
      </c>
      <c r="K1353" s="13" t="s">
        <v>107</v>
      </c>
      <c r="L1353" s="13" t="s">
        <v>95</v>
      </c>
      <c r="M1353">
        <v>30</v>
      </c>
      <c r="N1353">
        <v>0</v>
      </c>
      <c r="O1353" s="14">
        <v>45995</v>
      </c>
      <c r="P1353" s="14">
        <v>46025</v>
      </c>
      <c r="Q1353">
        <v>2837.15</v>
      </c>
      <c r="R1353">
        <v>0</v>
      </c>
      <c r="S1353">
        <v>0</v>
      </c>
      <c r="T1353">
        <v>0</v>
      </c>
      <c r="U1353">
        <v>0</v>
      </c>
      <c r="V1353">
        <v>2837.15</v>
      </c>
      <c r="W1353">
        <v>0</v>
      </c>
      <c r="X1353">
        <v>1</v>
      </c>
      <c r="Y1353">
        <v>0</v>
      </c>
      <c r="Z1353">
        <v>-3</v>
      </c>
      <c r="AA1353">
        <v>1</v>
      </c>
      <c r="AB1353" s="13" t="s">
        <v>581</v>
      </c>
      <c r="AC1353">
        <v>0</v>
      </c>
      <c r="AD1353">
        <v>0</v>
      </c>
      <c r="AE1353" s="13" t="s">
        <v>61</v>
      </c>
    </row>
    <row r="1354" spans="1:31" x14ac:dyDescent="0.35">
      <c r="A1354" s="13" t="s">
        <v>2098</v>
      </c>
      <c r="B1354" s="13" t="s">
        <v>1842</v>
      </c>
      <c r="C1354" s="13" t="s">
        <v>1843</v>
      </c>
      <c r="D1354" s="13" t="s">
        <v>104</v>
      </c>
      <c r="E1354" s="13" t="s">
        <v>99</v>
      </c>
      <c r="F1354" s="13" t="s">
        <v>127</v>
      </c>
      <c r="G1354" s="13" t="s">
        <v>67</v>
      </c>
      <c r="H1354">
        <v>75000</v>
      </c>
      <c r="I1354" s="13" t="s">
        <v>105</v>
      </c>
      <c r="J1354" s="13" t="s">
        <v>106</v>
      </c>
      <c r="K1354" s="13" t="s">
        <v>107</v>
      </c>
      <c r="L1354" s="13" t="s">
        <v>95</v>
      </c>
      <c r="M1354">
        <v>30</v>
      </c>
      <c r="N1354">
        <v>0</v>
      </c>
      <c r="O1354" s="14">
        <v>45995</v>
      </c>
      <c r="P1354" s="14">
        <v>46025</v>
      </c>
      <c r="Q1354">
        <v>6573.51</v>
      </c>
      <c r="R1354">
        <v>0</v>
      </c>
      <c r="S1354">
        <v>0</v>
      </c>
      <c r="T1354">
        <v>0</v>
      </c>
      <c r="U1354">
        <v>0</v>
      </c>
      <c r="V1354">
        <v>6573.51</v>
      </c>
      <c r="W1354">
        <v>0</v>
      </c>
      <c r="X1354">
        <v>1</v>
      </c>
      <c r="Y1354">
        <v>0</v>
      </c>
      <c r="Z1354">
        <v>-3</v>
      </c>
      <c r="AA1354">
        <v>1</v>
      </c>
      <c r="AB1354" s="13" t="s">
        <v>581</v>
      </c>
      <c r="AC1354">
        <v>0</v>
      </c>
      <c r="AD1354">
        <v>0</v>
      </c>
      <c r="AE1354" s="13" t="s">
        <v>61</v>
      </c>
    </row>
    <row r="1355" spans="1:31" x14ac:dyDescent="0.35">
      <c r="A1355" s="13" t="s">
        <v>2099</v>
      </c>
      <c r="B1355" s="13" t="s">
        <v>153</v>
      </c>
      <c r="C1355" s="13" t="s">
        <v>154</v>
      </c>
      <c r="D1355" s="13" t="s">
        <v>104</v>
      </c>
      <c r="E1355" s="13" t="s">
        <v>65</v>
      </c>
      <c r="F1355" s="13" t="s">
        <v>111</v>
      </c>
      <c r="G1355" s="13" t="s">
        <v>67</v>
      </c>
      <c r="H1355">
        <v>150000</v>
      </c>
      <c r="I1355" s="13" t="s">
        <v>56</v>
      </c>
      <c r="J1355" s="13" t="s">
        <v>57</v>
      </c>
      <c r="K1355" s="13" t="s">
        <v>58</v>
      </c>
      <c r="L1355" s="13" t="s">
        <v>95</v>
      </c>
      <c r="M1355">
        <v>30</v>
      </c>
      <c r="N1355">
        <v>0</v>
      </c>
      <c r="O1355" s="14">
        <v>45995</v>
      </c>
      <c r="P1355" s="14">
        <v>46025</v>
      </c>
      <c r="Q1355">
        <v>3342.53</v>
      </c>
      <c r="R1355">
        <v>0</v>
      </c>
      <c r="S1355">
        <v>0</v>
      </c>
      <c r="T1355">
        <v>0</v>
      </c>
      <c r="U1355">
        <v>0</v>
      </c>
      <c r="V1355">
        <v>3342.53</v>
      </c>
      <c r="W1355">
        <v>0</v>
      </c>
      <c r="X1355">
        <v>1</v>
      </c>
      <c r="Y1355">
        <v>0</v>
      </c>
      <c r="Z1355">
        <v>-3</v>
      </c>
      <c r="AA1355">
        <v>1</v>
      </c>
      <c r="AB1355" s="13" t="s">
        <v>581</v>
      </c>
      <c r="AC1355">
        <v>0</v>
      </c>
      <c r="AD1355">
        <v>0</v>
      </c>
      <c r="AE1355" s="13" t="s">
        <v>61</v>
      </c>
    </row>
    <row r="1356" spans="1:31" x14ac:dyDescent="0.35">
      <c r="A1356" s="13" t="s">
        <v>2100</v>
      </c>
      <c r="B1356" s="13" t="s">
        <v>296</v>
      </c>
      <c r="C1356" s="13" t="s">
        <v>297</v>
      </c>
      <c r="D1356" s="13" t="s">
        <v>104</v>
      </c>
      <c r="E1356" s="13" t="s">
        <v>65</v>
      </c>
      <c r="F1356" s="13" t="s">
        <v>111</v>
      </c>
      <c r="G1356" s="13" t="s">
        <v>92</v>
      </c>
      <c r="H1356">
        <v>125000</v>
      </c>
      <c r="I1356" s="13" t="s">
        <v>105</v>
      </c>
      <c r="J1356" s="13" t="s">
        <v>106</v>
      </c>
      <c r="K1356" s="13" t="s">
        <v>107</v>
      </c>
      <c r="L1356" s="13" t="s">
        <v>82</v>
      </c>
      <c r="M1356">
        <v>30</v>
      </c>
      <c r="N1356">
        <v>2</v>
      </c>
      <c r="O1356" s="14">
        <v>45995</v>
      </c>
      <c r="P1356" s="14">
        <v>46025</v>
      </c>
      <c r="Q1356">
        <v>1243.19</v>
      </c>
      <c r="R1356">
        <v>0</v>
      </c>
      <c r="S1356">
        <v>0</v>
      </c>
      <c r="T1356">
        <v>0</v>
      </c>
      <c r="U1356">
        <v>0</v>
      </c>
      <c r="V1356">
        <v>1243.19</v>
      </c>
      <c r="W1356">
        <v>0</v>
      </c>
      <c r="X1356">
        <v>1</v>
      </c>
      <c r="Y1356">
        <v>0</v>
      </c>
      <c r="Z1356">
        <v>-3</v>
      </c>
      <c r="AA1356">
        <v>1</v>
      </c>
      <c r="AB1356" s="13" t="s">
        <v>581</v>
      </c>
      <c r="AC1356">
        <v>0</v>
      </c>
      <c r="AD1356">
        <v>0</v>
      </c>
      <c r="AE1356" s="13" t="s">
        <v>61</v>
      </c>
    </row>
    <row r="1357" spans="1:31" x14ac:dyDescent="0.35">
      <c r="A1357" s="13" t="s">
        <v>2101</v>
      </c>
      <c r="B1357" s="13" t="s">
        <v>1397</v>
      </c>
      <c r="C1357" s="13" t="s">
        <v>1398</v>
      </c>
      <c r="D1357" s="13" t="s">
        <v>76</v>
      </c>
      <c r="E1357" s="13" t="s">
        <v>77</v>
      </c>
      <c r="F1357" s="13" t="s">
        <v>78</v>
      </c>
      <c r="G1357" s="13" t="s">
        <v>55</v>
      </c>
      <c r="H1357">
        <v>75000</v>
      </c>
      <c r="I1357" s="13" t="s">
        <v>79</v>
      </c>
      <c r="J1357" s="13" t="s">
        <v>80</v>
      </c>
      <c r="K1357" s="13" t="s">
        <v>81</v>
      </c>
      <c r="L1357" s="13" t="s">
        <v>95</v>
      </c>
      <c r="M1357">
        <v>30</v>
      </c>
      <c r="N1357">
        <v>0</v>
      </c>
      <c r="O1357" s="14">
        <v>45995</v>
      </c>
      <c r="P1357" s="14">
        <v>46025</v>
      </c>
      <c r="Q1357">
        <v>543.16999999999996</v>
      </c>
      <c r="R1357">
        <v>0</v>
      </c>
      <c r="S1357">
        <v>0</v>
      </c>
      <c r="T1357">
        <v>0</v>
      </c>
      <c r="U1357">
        <v>0</v>
      </c>
      <c r="V1357">
        <v>543.16999999999996</v>
      </c>
      <c r="W1357">
        <v>0</v>
      </c>
      <c r="X1357">
        <v>1</v>
      </c>
      <c r="Y1357">
        <v>0</v>
      </c>
      <c r="Z1357">
        <v>-3</v>
      </c>
      <c r="AA1357">
        <v>1</v>
      </c>
      <c r="AB1357" s="13" t="s">
        <v>581</v>
      </c>
      <c r="AC1357">
        <v>0</v>
      </c>
      <c r="AD1357">
        <v>0</v>
      </c>
      <c r="AE1357" s="13" t="s">
        <v>61</v>
      </c>
    </row>
    <row r="1358" spans="1:31" x14ac:dyDescent="0.35">
      <c r="A1358" s="13" t="s">
        <v>2102</v>
      </c>
      <c r="B1358" s="13" t="s">
        <v>1577</v>
      </c>
      <c r="C1358" s="13" t="s">
        <v>1578</v>
      </c>
      <c r="D1358" s="13" t="s">
        <v>76</v>
      </c>
      <c r="E1358" s="13" t="s">
        <v>71</v>
      </c>
      <c r="F1358" s="13" t="s">
        <v>72</v>
      </c>
      <c r="G1358" s="13" t="s">
        <v>67</v>
      </c>
      <c r="H1358">
        <v>100000</v>
      </c>
      <c r="I1358" s="13" t="s">
        <v>79</v>
      </c>
      <c r="J1358" s="13" t="s">
        <v>80</v>
      </c>
      <c r="K1358" s="13" t="s">
        <v>81</v>
      </c>
      <c r="L1358" s="13" t="s">
        <v>95</v>
      </c>
      <c r="M1358">
        <v>30</v>
      </c>
      <c r="N1358">
        <v>0</v>
      </c>
      <c r="O1358" s="14">
        <v>45995</v>
      </c>
      <c r="P1358" s="14">
        <v>46025</v>
      </c>
      <c r="Q1358">
        <v>2088.4899999999998</v>
      </c>
      <c r="R1358">
        <v>0</v>
      </c>
      <c r="S1358">
        <v>0</v>
      </c>
      <c r="T1358">
        <v>0</v>
      </c>
      <c r="U1358">
        <v>0</v>
      </c>
      <c r="V1358">
        <v>2088.4899999999998</v>
      </c>
      <c r="W1358">
        <v>0</v>
      </c>
      <c r="X1358">
        <v>1</v>
      </c>
      <c r="Y1358">
        <v>0</v>
      </c>
      <c r="Z1358">
        <v>-3</v>
      </c>
      <c r="AA1358">
        <v>1</v>
      </c>
      <c r="AB1358" s="13" t="s">
        <v>581</v>
      </c>
      <c r="AC1358">
        <v>0</v>
      </c>
      <c r="AD1358">
        <v>0</v>
      </c>
      <c r="AE1358" s="13" t="s">
        <v>61</v>
      </c>
    </row>
    <row r="1359" spans="1:31" x14ac:dyDescent="0.35">
      <c r="A1359" s="13" t="s">
        <v>2103</v>
      </c>
      <c r="B1359" s="13" t="s">
        <v>425</v>
      </c>
      <c r="C1359" s="13" t="s">
        <v>426</v>
      </c>
      <c r="D1359" s="13" t="s">
        <v>126</v>
      </c>
      <c r="E1359" s="13" t="s">
        <v>77</v>
      </c>
      <c r="F1359" s="13" t="s">
        <v>78</v>
      </c>
      <c r="G1359" s="13" t="s">
        <v>67</v>
      </c>
      <c r="H1359">
        <v>230000</v>
      </c>
      <c r="I1359" s="13" t="s">
        <v>56</v>
      </c>
      <c r="J1359" s="13" t="s">
        <v>57</v>
      </c>
      <c r="K1359" s="13" t="s">
        <v>58</v>
      </c>
      <c r="L1359" s="13" t="s">
        <v>368</v>
      </c>
      <c r="M1359">
        <v>90</v>
      </c>
      <c r="N1359">
        <v>0</v>
      </c>
      <c r="O1359" s="14">
        <v>45995</v>
      </c>
      <c r="P1359" s="14">
        <v>46085</v>
      </c>
      <c r="Q1359">
        <v>9405.24</v>
      </c>
      <c r="R1359">
        <v>0</v>
      </c>
      <c r="S1359">
        <v>0</v>
      </c>
      <c r="T1359">
        <v>0</v>
      </c>
      <c r="U1359">
        <v>0</v>
      </c>
      <c r="V1359">
        <v>9405.24</v>
      </c>
      <c r="W1359">
        <v>0</v>
      </c>
      <c r="X1359">
        <v>1</v>
      </c>
      <c r="Y1359">
        <v>0</v>
      </c>
      <c r="Z1359">
        <v>-63</v>
      </c>
      <c r="AA1359">
        <v>1</v>
      </c>
      <c r="AB1359" s="13" t="s">
        <v>581</v>
      </c>
      <c r="AC1359">
        <v>0</v>
      </c>
      <c r="AD1359">
        <v>0</v>
      </c>
      <c r="AE1359" s="13" t="s">
        <v>61</v>
      </c>
    </row>
    <row r="1360" spans="1:31" x14ac:dyDescent="0.35">
      <c r="A1360" s="13" t="s">
        <v>2104</v>
      </c>
      <c r="B1360" s="13" t="s">
        <v>1581</v>
      </c>
      <c r="C1360" s="13" t="s">
        <v>1582</v>
      </c>
      <c r="D1360" s="13" t="s">
        <v>76</v>
      </c>
      <c r="E1360" s="13" t="s">
        <v>53</v>
      </c>
      <c r="F1360" s="13" t="s">
        <v>54</v>
      </c>
      <c r="G1360" s="13" t="s">
        <v>55</v>
      </c>
      <c r="H1360">
        <v>65000</v>
      </c>
      <c r="I1360" s="13" t="s">
        <v>79</v>
      </c>
      <c r="J1360" s="13" t="s">
        <v>80</v>
      </c>
      <c r="K1360" s="13" t="s">
        <v>81</v>
      </c>
      <c r="L1360" s="13" t="s">
        <v>95</v>
      </c>
      <c r="M1360">
        <v>30</v>
      </c>
      <c r="N1360">
        <v>0</v>
      </c>
      <c r="O1360" s="14">
        <v>45995</v>
      </c>
      <c r="P1360" s="14">
        <v>46025</v>
      </c>
      <c r="Q1360">
        <v>2518.83</v>
      </c>
      <c r="R1360">
        <v>0</v>
      </c>
      <c r="S1360">
        <v>0</v>
      </c>
      <c r="T1360">
        <v>0</v>
      </c>
      <c r="U1360">
        <v>0</v>
      </c>
      <c r="V1360">
        <v>2518.83</v>
      </c>
      <c r="W1360">
        <v>0</v>
      </c>
      <c r="X1360">
        <v>1</v>
      </c>
      <c r="Y1360">
        <v>0</v>
      </c>
      <c r="Z1360">
        <v>-3</v>
      </c>
      <c r="AA1360">
        <v>1</v>
      </c>
      <c r="AB1360" s="13" t="s">
        <v>581</v>
      </c>
      <c r="AC1360">
        <v>0</v>
      </c>
      <c r="AD1360">
        <v>0</v>
      </c>
      <c r="AE1360" s="13" t="s">
        <v>61</v>
      </c>
    </row>
    <row r="1361" spans="1:31" x14ac:dyDescent="0.35">
      <c r="A1361" s="13" t="s">
        <v>2105</v>
      </c>
      <c r="B1361" s="13" t="s">
        <v>933</v>
      </c>
      <c r="C1361" s="13" t="s">
        <v>934</v>
      </c>
      <c r="D1361" s="13" t="s">
        <v>76</v>
      </c>
      <c r="E1361" s="13" t="s">
        <v>71</v>
      </c>
      <c r="F1361" s="13" t="s">
        <v>214</v>
      </c>
      <c r="G1361" s="13" t="s">
        <v>67</v>
      </c>
      <c r="H1361">
        <v>115000</v>
      </c>
      <c r="I1361" s="13" t="s">
        <v>79</v>
      </c>
      <c r="J1361" s="13" t="s">
        <v>80</v>
      </c>
      <c r="K1361" s="13" t="s">
        <v>81</v>
      </c>
      <c r="L1361" s="13" t="s">
        <v>95</v>
      </c>
      <c r="M1361">
        <v>30</v>
      </c>
      <c r="N1361">
        <v>0</v>
      </c>
      <c r="O1361" s="14">
        <v>45995</v>
      </c>
      <c r="P1361" s="14">
        <v>46025</v>
      </c>
      <c r="Q1361">
        <v>1742.96</v>
      </c>
      <c r="R1361">
        <v>0</v>
      </c>
      <c r="S1361">
        <v>0</v>
      </c>
      <c r="T1361">
        <v>0</v>
      </c>
      <c r="U1361">
        <v>0</v>
      </c>
      <c r="V1361">
        <v>1742.96</v>
      </c>
      <c r="W1361">
        <v>0</v>
      </c>
      <c r="X1361">
        <v>1</v>
      </c>
      <c r="Y1361">
        <v>0</v>
      </c>
      <c r="Z1361">
        <v>-3</v>
      </c>
      <c r="AA1361">
        <v>1</v>
      </c>
      <c r="AB1361" s="13" t="s">
        <v>581</v>
      </c>
      <c r="AC1361">
        <v>0</v>
      </c>
      <c r="AD1361">
        <v>0</v>
      </c>
      <c r="AE1361" s="13" t="s">
        <v>61</v>
      </c>
    </row>
    <row r="1362" spans="1:31" x14ac:dyDescent="0.35">
      <c r="A1362" s="13" t="s">
        <v>2106</v>
      </c>
      <c r="B1362" s="13" t="s">
        <v>2107</v>
      </c>
      <c r="C1362" s="13" t="s">
        <v>2108</v>
      </c>
      <c r="D1362" s="13" t="s">
        <v>76</v>
      </c>
      <c r="E1362" s="13" t="s">
        <v>65</v>
      </c>
      <c r="F1362" s="13" t="s">
        <v>111</v>
      </c>
      <c r="G1362" s="13" t="s">
        <v>67</v>
      </c>
      <c r="H1362">
        <v>55000</v>
      </c>
      <c r="I1362" s="13" t="s">
        <v>93</v>
      </c>
      <c r="J1362" s="13" t="s">
        <v>94</v>
      </c>
      <c r="K1362" s="13" t="s">
        <v>81</v>
      </c>
      <c r="L1362" s="13" t="s">
        <v>82</v>
      </c>
      <c r="M1362">
        <v>30</v>
      </c>
      <c r="N1362">
        <v>2</v>
      </c>
      <c r="O1362" s="14">
        <v>45995</v>
      </c>
      <c r="P1362" s="14">
        <v>46025</v>
      </c>
      <c r="Q1362">
        <v>4574.45</v>
      </c>
      <c r="R1362">
        <v>0</v>
      </c>
      <c r="S1362">
        <v>0</v>
      </c>
      <c r="T1362">
        <v>0</v>
      </c>
      <c r="U1362">
        <v>0</v>
      </c>
      <c r="V1362">
        <v>4574.45</v>
      </c>
      <c r="W1362">
        <v>0</v>
      </c>
      <c r="X1362">
        <v>1</v>
      </c>
      <c r="Y1362">
        <v>0</v>
      </c>
      <c r="Z1362">
        <v>-3</v>
      </c>
      <c r="AA1362">
        <v>1</v>
      </c>
      <c r="AB1362" s="13" t="s">
        <v>581</v>
      </c>
      <c r="AC1362">
        <v>0</v>
      </c>
      <c r="AD1362">
        <v>0</v>
      </c>
      <c r="AE1362" s="13" t="s">
        <v>61</v>
      </c>
    </row>
    <row r="1363" spans="1:31" x14ac:dyDescent="0.35">
      <c r="A1363" s="13" t="s">
        <v>2109</v>
      </c>
      <c r="B1363" s="13" t="s">
        <v>212</v>
      </c>
      <c r="C1363" s="13" t="s">
        <v>213</v>
      </c>
      <c r="D1363" s="13" t="s">
        <v>52</v>
      </c>
      <c r="E1363" s="13" t="s">
        <v>71</v>
      </c>
      <c r="F1363" s="13" t="s">
        <v>214</v>
      </c>
      <c r="G1363" s="13" t="s">
        <v>92</v>
      </c>
      <c r="H1363">
        <v>380000</v>
      </c>
      <c r="I1363" s="13" t="s">
        <v>86</v>
      </c>
      <c r="J1363" s="13" t="s">
        <v>87</v>
      </c>
      <c r="K1363" s="13" t="s">
        <v>58</v>
      </c>
      <c r="L1363" s="13" t="s">
        <v>88</v>
      </c>
      <c r="M1363">
        <v>60</v>
      </c>
      <c r="N1363">
        <v>0</v>
      </c>
      <c r="O1363" s="14">
        <v>45995</v>
      </c>
      <c r="P1363" s="14">
        <v>46055</v>
      </c>
      <c r="Q1363">
        <v>5520.61</v>
      </c>
      <c r="R1363">
        <v>0</v>
      </c>
      <c r="S1363">
        <v>0</v>
      </c>
      <c r="T1363">
        <v>0</v>
      </c>
      <c r="U1363">
        <v>0</v>
      </c>
      <c r="V1363">
        <v>5520.61</v>
      </c>
      <c r="W1363">
        <v>0</v>
      </c>
      <c r="X1363">
        <v>1</v>
      </c>
      <c r="Y1363">
        <v>0</v>
      </c>
      <c r="Z1363">
        <v>-33</v>
      </c>
      <c r="AA1363">
        <v>1</v>
      </c>
      <c r="AB1363" s="13" t="s">
        <v>581</v>
      </c>
      <c r="AC1363">
        <v>0</v>
      </c>
      <c r="AD1363">
        <v>0</v>
      </c>
      <c r="AE1363" s="13" t="s">
        <v>61</v>
      </c>
    </row>
    <row r="1364" spans="1:31" x14ac:dyDescent="0.35">
      <c r="A1364" s="13" t="s">
        <v>2110</v>
      </c>
      <c r="B1364" s="13" t="s">
        <v>1753</v>
      </c>
      <c r="C1364" s="13" t="s">
        <v>1754</v>
      </c>
      <c r="D1364" s="13" t="s">
        <v>126</v>
      </c>
      <c r="E1364" s="13" t="s">
        <v>71</v>
      </c>
      <c r="F1364" s="13" t="s">
        <v>214</v>
      </c>
      <c r="G1364" s="13" t="s">
        <v>67</v>
      </c>
      <c r="H1364">
        <v>135000</v>
      </c>
      <c r="I1364" s="13" t="s">
        <v>121</v>
      </c>
      <c r="J1364" s="13" t="s">
        <v>122</v>
      </c>
      <c r="K1364" s="13" t="s">
        <v>107</v>
      </c>
      <c r="L1364" s="13" t="s">
        <v>88</v>
      </c>
      <c r="M1364">
        <v>60</v>
      </c>
      <c r="N1364">
        <v>0</v>
      </c>
      <c r="O1364" s="14">
        <v>45995</v>
      </c>
      <c r="P1364" s="14">
        <v>46055</v>
      </c>
      <c r="Q1364">
        <v>2747.63</v>
      </c>
      <c r="R1364">
        <v>0</v>
      </c>
      <c r="S1364">
        <v>0</v>
      </c>
      <c r="T1364">
        <v>0</v>
      </c>
      <c r="U1364">
        <v>0</v>
      </c>
      <c r="V1364">
        <v>2747.63</v>
      </c>
      <c r="W1364">
        <v>0</v>
      </c>
      <c r="X1364">
        <v>1</v>
      </c>
      <c r="Y1364">
        <v>0</v>
      </c>
      <c r="Z1364">
        <v>-33</v>
      </c>
      <c r="AA1364">
        <v>1</v>
      </c>
      <c r="AB1364" s="13" t="s">
        <v>581</v>
      </c>
      <c r="AC1364">
        <v>0</v>
      </c>
      <c r="AD1364">
        <v>0</v>
      </c>
      <c r="AE1364" s="13" t="s">
        <v>61</v>
      </c>
    </row>
    <row r="1365" spans="1:31" x14ac:dyDescent="0.35">
      <c r="A1365" s="13" t="s">
        <v>2111</v>
      </c>
      <c r="B1365" s="13" t="s">
        <v>590</v>
      </c>
      <c r="C1365" s="13" t="s">
        <v>591</v>
      </c>
      <c r="D1365" s="13" t="s">
        <v>52</v>
      </c>
      <c r="E1365" s="13" t="s">
        <v>53</v>
      </c>
      <c r="F1365" s="13" t="s">
        <v>135</v>
      </c>
      <c r="G1365" s="13" t="s">
        <v>67</v>
      </c>
      <c r="H1365">
        <v>240000</v>
      </c>
      <c r="I1365" s="13" t="s">
        <v>86</v>
      </c>
      <c r="J1365" s="13" t="s">
        <v>87</v>
      </c>
      <c r="K1365" s="13" t="s">
        <v>58</v>
      </c>
      <c r="L1365" s="13" t="s">
        <v>88</v>
      </c>
      <c r="M1365">
        <v>60</v>
      </c>
      <c r="N1365">
        <v>0</v>
      </c>
      <c r="O1365" s="14">
        <v>45995</v>
      </c>
      <c r="P1365" s="14">
        <v>46055</v>
      </c>
      <c r="Q1365">
        <v>4375.29</v>
      </c>
      <c r="R1365">
        <v>0</v>
      </c>
      <c r="S1365">
        <v>0</v>
      </c>
      <c r="T1365">
        <v>0</v>
      </c>
      <c r="U1365">
        <v>0</v>
      </c>
      <c r="V1365">
        <v>4375.29</v>
      </c>
      <c r="W1365">
        <v>0</v>
      </c>
      <c r="X1365">
        <v>1</v>
      </c>
      <c r="Y1365">
        <v>0</v>
      </c>
      <c r="Z1365">
        <v>-33</v>
      </c>
      <c r="AA1365">
        <v>1</v>
      </c>
      <c r="AB1365" s="13" t="s">
        <v>581</v>
      </c>
      <c r="AC1365">
        <v>0</v>
      </c>
      <c r="AD1365">
        <v>0</v>
      </c>
      <c r="AE1365" s="13" t="s">
        <v>61</v>
      </c>
    </row>
    <row r="1366" spans="1:31" x14ac:dyDescent="0.35">
      <c r="A1366" s="13" t="s">
        <v>2112</v>
      </c>
      <c r="B1366" s="13" t="s">
        <v>186</v>
      </c>
      <c r="C1366" s="13" t="s">
        <v>187</v>
      </c>
      <c r="D1366" s="13" t="s">
        <v>76</v>
      </c>
      <c r="E1366" s="13" t="s">
        <v>65</v>
      </c>
      <c r="F1366" s="13" t="s">
        <v>66</v>
      </c>
      <c r="G1366" s="13" t="s">
        <v>55</v>
      </c>
      <c r="H1366">
        <v>120000</v>
      </c>
      <c r="I1366" s="13" t="s">
        <v>93</v>
      </c>
      <c r="J1366" s="13" t="s">
        <v>94</v>
      </c>
      <c r="K1366" s="13" t="s">
        <v>81</v>
      </c>
      <c r="L1366" s="13" t="s">
        <v>95</v>
      </c>
      <c r="M1366">
        <v>30</v>
      </c>
      <c r="N1366">
        <v>0</v>
      </c>
      <c r="O1366" s="14">
        <v>45996</v>
      </c>
      <c r="P1366" s="14">
        <v>46026</v>
      </c>
      <c r="Q1366">
        <v>453.63</v>
      </c>
      <c r="R1366">
        <v>0</v>
      </c>
      <c r="S1366">
        <v>0</v>
      </c>
      <c r="T1366">
        <v>0</v>
      </c>
      <c r="U1366">
        <v>0</v>
      </c>
      <c r="V1366">
        <v>453.63</v>
      </c>
      <c r="W1366">
        <v>0</v>
      </c>
      <c r="X1366">
        <v>1</v>
      </c>
      <c r="Y1366">
        <v>0</v>
      </c>
      <c r="Z1366">
        <v>-4</v>
      </c>
      <c r="AA1366">
        <v>1</v>
      </c>
      <c r="AB1366" s="13" t="s">
        <v>581</v>
      </c>
      <c r="AC1366">
        <v>0</v>
      </c>
      <c r="AD1366">
        <v>0</v>
      </c>
      <c r="AE1366" s="13" t="s">
        <v>61</v>
      </c>
    </row>
    <row r="1367" spans="1:31" x14ac:dyDescent="0.35">
      <c r="A1367" s="13" t="s">
        <v>2113</v>
      </c>
      <c r="B1367" s="13" t="s">
        <v>1285</v>
      </c>
      <c r="C1367" s="13" t="s">
        <v>1286</v>
      </c>
      <c r="D1367" s="13" t="s">
        <v>76</v>
      </c>
      <c r="E1367" s="13" t="s">
        <v>53</v>
      </c>
      <c r="F1367" s="13" t="s">
        <v>54</v>
      </c>
      <c r="G1367" s="13" t="s">
        <v>55</v>
      </c>
      <c r="H1367">
        <v>105000</v>
      </c>
      <c r="I1367" s="13" t="s">
        <v>79</v>
      </c>
      <c r="J1367" s="13" t="s">
        <v>80</v>
      </c>
      <c r="K1367" s="13" t="s">
        <v>81</v>
      </c>
      <c r="L1367" s="13" t="s">
        <v>95</v>
      </c>
      <c r="M1367">
        <v>30</v>
      </c>
      <c r="N1367">
        <v>0</v>
      </c>
      <c r="O1367" s="14">
        <v>45996</v>
      </c>
      <c r="P1367" s="14">
        <v>46026</v>
      </c>
      <c r="Q1367">
        <v>3430.5</v>
      </c>
      <c r="R1367">
        <v>0</v>
      </c>
      <c r="S1367">
        <v>0</v>
      </c>
      <c r="T1367">
        <v>0</v>
      </c>
      <c r="U1367">
        <v>0</v>
      </c>
      <c r="V1367">
        <v>3430.5</v>
      </c>
      <c r="W1367">
        <v>0</v>
      </c>
      <c r="X1367">
        <v>1</v>
      </c>
      <c r="Y1367">
        <v>0</v>
      </c>
      <c r="Z1367">
        <v>-4</v>
      </c>
      <c r="AA1367">
        <v>1</v>
      </c>
      <c r="AB1367" s="13" t="s">
        <v>581</v>
      </c>
      <c r="AC1367">
        <v>0</v>
      </c>
      <c r="AD1367">
        <v>0</v>
      </c>
      <c r="AE1367" s="13" t="s">
        <v>61</v>
      </c>
    </row>
    <row r="1368" spans="1:31" x14ac:dyDescent="0.35">
      <c r="A1368" s="13" t="s">
        <v>2114</v>
      </c>
      <c r="B1368" s="13" t="s">
        <v>1288</v>
      </c>
      <c r="C1368" s="13" t="s">
        <v>1289</v>
      </c>
      <c r="D1368" s="13" t="s">
        <v>52</v>
      </c>
      <c r="E1368" s="13" t="s">
        <v>65</v>
      </c>
      <c r="F1368" s="13" t="s">
        <v>111</v>
      </c>
      <c r="G1368" s="13" t="s">
        <v>67</v>
      </c>
      <c r="H1368">
        <v>550000</v>
      </c>
      <c r="I1368" s="13" t="s">
        <v>56</v>
      </c>
      <c r="J1368" s="13" t="s">
        <v>57</v>
      </c>
      <c r="K1368" s="13" t="s">
        <v>58</v>
      </c>
      <c r="L1368" s="13" t="s">
        <v>59</v>
      </c>
      <c r="M1368">
        <v>45</v>
      </c>
      <c r="N1368">
        <v>0</v>
      </c>
      <c r="O1368" s="14">
        <v>45996</v>
      </c>
      <c r="P1368" s="14">
        <v>46041</v>
      </c>
      <c r="Q1368">
        <v>5579.04</v>
      </c>
      <c r="R1368">
        <v>0</v>
      </c>
      <c r="S1368">
        <v>0</v>
      </c>
      <c r="T1368">
        <v>0</v>
      </c>
      <c r="U1368">
        <v>0</v>
      </c>
      <c r="V1368">
        <v>5579.04</v>
      </c>
      <c r="W1368">
        <v>0</v>
      </c>
      <c r="X1368">
        <v>1</v>
      </c>
      <c r="Y1368">
        <v>0</v>
      </c>
      <c r="Z1368">
        <v>-19</v>
      </c>
      <c r="AA1368">
        <v>1</v>
      </c>
      <c r="AB1368" s="13" t="s">
        <v>581</v>
      </c>
      <c r="AC1368">
        <v>0</v>
      </c>
      <c r="AD1368">
        <v>0</v>
      </c>
      <c r="AE1368" s="13" t="s">
        <v>61</v>
      </c>
    </row>
    <row r="1369" spans="1:31" x14ac:dyDescent="0.35">
      <c r="A1369" s="13" t="s">
        <v>2115</v>
      </c>
      <c r="B1369" s="13" t="s">
        <v>222</v>
      </c>
      <c r="C1369" s="13" t="s">
        <v>223</v>
      </c>
      <c r="D1369" s="13" t="s">
        <v>52</v>
      </c>
      <c r="E1369" s="13" t="s">
        <v>65</v>
      </c>
      <c r="F1369" s="13" t="s">
        <v>66</v>
      </c>
      <c r="G1369" s="13" t="s">
        <v>92</v>
      </c>
      <c r="H1369">
        <v>430000</v>
      </c>
      <c r="I1369" s="13" t="s">
        <v>56</v>
      </c>
      <c r="J1369" s="13" t="s">
        <v>57</v>
      </c>
      <c r="K1369" s="13" t="s">
        <v>58</v>
      </c>
      <c r="L1369" s="13" t="s">
        <v>59</v>
      </c>
      <c r="M1369">
        <v>45</v>
      </c>
      <c r="N1369">
        <v>0</v>
      </c>
      <c r="O1369" s="14">
        <v>45996</v>
      </c>
      <c r="P1369" s="14">
        <v>46041</v>
      </c>
      <c r="Q1369">
        <v>1695.94</v>
      </c>
      <c r="R1369">
        <v>0</v>
      </c>
      <c r="S1369">
        <v>0</v>
      </c>
      <c r="T1369">
        <v>0</v>
      </c>
      <c r="U1369">
        <v>0</v>
      </c>
      <c r="V1369">
        <v>1695.94</v>
      </c>
      <c r="W1369">
        <v>0</v>
      </c>
      <c r="X1369">
        <v>1</v>
      </c>
      <c r="Y1369">
        <v>0</v>
      </c>
      <c r="Z1369">
        <v>-19</v>
      </c>
      <c r="AA1369">
        <v>1</v>
      </c>
      <c r="AB1369" s="13" t="s">
        <v>581</v>
      </c>
      <c r="AC1369">
        <v>0</v>
      </c>
      <c r="AD1369">
        <v>0</v>
      </c>
      <c r="AE1369" s="13" t="s">
        <v>61</v>
      </c>
    </row>
    <row r="1370" spans="1:31" x14ac:dyDescent="0.35">
      <c r="A1370" s="13" t="s">
        <v>2116</v>
      </c>
      <c r="B1370" s="13" t="s">
        <v>2117</v>
      </c>
      <c r="C1370" s="13" t="s">
        <v>2118</v>
      </c>
      <c r="D1370" s="13" t="s">
        <v>104</v>
      </c>
      <c r="E1370" s="13" t="s">
        <v>65</v>
      </c>
      <c r="F1370" s="13" t="s">
        <v>111</v>
      </c>
      <c r="G1370" s="13" t="s">
        <v>67</v>
      </c>
      <c r="H1370">
        <v>90000</v>
      </c>
      <c r="I1370" s="13" t="s">
        <v>121</v>
      </c>
      <c r="J1370" s="13" t="s">
        <v>122</v>
      </c>
      <c r="K1370" s="13" t="s">
        <v>107</v>
      </c>
      <c r="L1370" s="13" t="s">
        <v>95</v>
      </c>
      <c r="M1370">
        <v>30</v>
      </c>
      <c r="N1370">
        <v>0</v>
      </c>
      <c r="O1370" s="14">
        <v>45996</v>
      </c>
      <c r="P1370" s="14">
        <v>46026</v>
      </c>
      <c r="Q1370">
        <v>1396.46</v>
      </c>
      <c r="R1370">
        <v>0</v>
      </c>
      <c r="S1370">
        <v>0</v>
      </c>
      <c r="T1370">
        <v>0</v>
      </c>
      <c r="U1370">
        <v>0</v>
      </c>
      <c r="V1370">
        <v>1396.46</v>
      </c>
      <c r="W1370">
        <v>0</v>
      </c>
      <c r="X1370">
        <v>1</v>
      </c>
      <c r="Y1370">
        <v>0</v>
      </c>
      <c r="Z1370">
        <v>-4</v>
      </c>
      <c r="AA1370">
        <v>1</v>
      </c>
      <c r="AB1370" s="13" t="s">
        <v>581</v>
      </c>
      <c r="AC1370">
        <v>0</v>
      </c>
      <c r="AD1370">
        <v>0</v>
      </c>
      <c r="AE1370" s="13" t="s">
        <v>61</v>
      </c>
    </row>
    <row r="1371" spans="1:31" x14ac:dyDescent="0.35">
      <c r="A1371" s="13" t="s">
        <v>2119</v>
      </c>
      <c r="B1371" s="13" t="s">
        <v>716</v>
      </c>
      <c r="C1371" s="13" t="s">
        <v>717</v>
      </c>
      <c r="D1371" s="13" t="s">
        <v>126</v>
      </c>
      <c r="E1371" s="13" t="s">
        <v>99</v>
      </c>
      <c r="F1371" s="13" t="s">
        <v>127</v>
      </c>
      <c r="G1371" s="13" t="s">
        <v>67</v>
      </c>
      <c r="H1371">
        <v>195000</v>
      </c>
      <c r="I1371" s="13" t="s">
        <v>86</v>
      </c>
      <c r="J1371" s="13" t="s">
        <v>87</v>
      </c>
      <c r="K1371" s="13" t="s">
        <v>58</v>
      </c>
      <c r="L1371" s="13" t="s">
        <v>88</v>
      </c>
      <c r="M1371">
        <v>60</v>
      </c>
      <c r="N1371">
        <v>0</v>
      </c>
      <c r="O1371" s="14">
        <v>45996</v>
      </c>
      <c r="P1371" s="14">
        <v>46056</v>
      </c>
      <c r="Q1371">
        <v>1325.79</v>
      </c>
      <c r="R1371">
        <v>0</v>
      </c>
      <c r="S1371">
        <v>0</v>
      </c>
      <c r="T1371">
        <v>0</v>
      </c>
      <c r="U1371">
        <v>0</v>
      </c>
      <c r="V1371">
        <v>1325.79</v>
      </c>
      <c r="W1371">
        <v>0</v>
      </c>
      <c r="X1371">
        <v>1</v>
      </c>
      <c r="Y1371">
        <v>0</v>
      </c>
      <c r="Z1371">
        <v>-34</v>
      </c>
      <c r="AA1371">
        <v>1</v>
      </c>
      <c r="AB1371" s="13" t="s">
        <v>581</v>
      </c>
      <c r="AC1371">
        <v>0</v>
      </c>
      <c r="AD1371">
        <v>0</v>
      </c>
      <c r="AE1371" s="13" t="s">
        <v>61</v>
      </c>
    </row>
    <row r="1372" spans="1:31" x14ac:dyDescent="0.35">
      <c r="A1372" s="13" t="s">
        <v>2120</v>
      </c>
      <c r="B1372" s="13" t="s">
        <v>910</v>
      </c>
      <c r="C1372" s="13" t="s">
        <v>911</v>
      </c>
      <c r="D1372" s="13" t="s">
        <v>52</v>
      </c>
      <c r="E1372" s="13" t="s">
        <v>53</v>
      </c>
      <c r="F1372" s="13" t="s">
        <v>135</v>
      </c>
      <c r="G1372" s="13" t="s">
        <v>55</v>
      </c>
      <c r="H1372">
        <v>240000</v>
      </c>
      <c r="I1372" s="13" t="s">
        <v>56</v>
      </c>
      <c r="J1372" s="13" t="s">
        <v>57</v>
      </c>
      <c r="K1372" s="13" t="s">
        <v>58</v>
      </c>
      <c r="L1372" s="13" t="s">
        <v>88</v>
      </c>
      <c r="M1372">
        <v>60</v>
      </c>
      <c r="N1372">
        <v>0</v>
      </c>
      <c r="O1372" s="14">
        <v>45996</v>
      </c>
      <c r="P1372" s="14">
        <v>46056</v>
      </c>
      <c r="Q1372">
        <v>9711.92</v>
      </c>
      <c r="R1372">
        <v>0</v>
      </c>
      <c r="S1372">
        <v>0</v>
      </c>
      <c r="T1372">
        <v>0</v>
      </c>
      <c r="U1372">
        <v>0</v>
      </c>
      <c r="V1372">
        <v>9711.92</v>
      </c>
      <c r="W1372">
        <v>0</v>
      </c>
      <c r="X1372">
        <v>1</v>
      </c>
      <c r="Y1372">
        <v>0</v>
      </c>
      <c r="Z1372">
        <v>-34</v>
      </c>
      <c r="AA1372">
        <v>1</v>
      </c>
      <c r="AB1372" s="13" t="s">
        <v>581</v>
      </c>
      <c r="AC1372">
        <v>0</v>
      </c>
      <c r="AD1372">
        <v>0</v>
      </c>
      <c r="AE1372" s="13" t="s">
        <v>61</v>
      </c>
    </row>
    <row r="1373" spans="1:31" x14ac:dyDescent="0.35">
      <c r="A1373" s="13" t="s">
        <v>2121</v>
      </c>
      <c r="B1373" s="13" t="s">
        <v>478</v>
      </c>
      <c r="C1373" s="13" t="s">
        <v>479</v>
      </c>
      <c r="D1373" s="13" t="s">
        <v>52</v>
      </c>
      <c r="E1373" s="13" t="s">
        <v>77</v>
      </c>
      <c r="F1373" s="13" t="s">
        <v>174</v>
      </c>
      <c r="G1373" s="13" t="s">
        <v>55</v>
      </c>
      <c r="H1373">
        <v>385000</v>
      </c>
      <c r="I1373" s="13" t="s">
        <v>86</v>
      </c>
      <c r="J1373" s="13" t="s">
        <v>87</v>
      </c>
      <c r="K1373" s="13" t="s">
        <v>58</v>
      </c>
      <c r="L1373" s="13" t="s">
        <v>88</v>
      </c>
      <c r="M1373">
        <v>60</v>
      </c>
      <c r="N1373">
        <v>0</v>
      </c>
      <c r="O1373" s="14">
        <v>45996</v>
      </c>
      <c r="P1373" s="14">
        <v>46056</v>
      </c>
      <c r="Q1373">
        <v>8652.14</v>
      </c>
      <c r="R1373">
        <v>0</v>
      </c>
      <c r="S1373">
        <v>0</v>
      </c>
      <c r="T1373">
        <v>0</v>
      </c>
      <c r="U1373">
        <v>0</v>
      </c>
      <c r="V1373">
        <v>8652.14</v>
      </c>
      <c r="W1373">
        <v>0</v>
      </c>
      <c r="X1373">
        <v>1</v>
      </c>
      <c r="Y1373">
        <v>0</v>
      </c>
      <c r="Z1373">
        <v>-34</v>
      </c>
      <c r="AA1373">
        <v>1</v>
      </c>
      <c r="AB1373" s="13" t="s">
        <v>581</v>
      </c>
      <c r="AC1373">
        <v>0</v>
      </c>
      <c r="AD1373">
        <v>0</v>
      </c>
      <c r="AE1373" s="13" t="s">
        <v>61</v>
      </c>
    </row>
    <row r="1374" spans="1:31" x14ac:dyDescent="0.35">
      <c r="A1374" s="13" t="s">
        <v>2122</v>
      </c>
      <c r="B1374" s="13" t="s">
        <v>2123</v>
      </c>
      <c r="C1374" s="13" t="s">
        <v>2124</v>
      </c>
      <c r="D1374" s="13" t="s">
        <v>76</v>
      </c>
      <c r="E1374" s="13" t="s">
        <v>71</v>
      </c>
      <c r="F1374" s="13" t="s">
        <v>72</v>
      </c>
      <c r="G1374" s="13" t="s">
        <v>67</v>
      </c>
      <c r="H1374">
        <v>45000</v>
      </c>
      <c r="I1374" s="13" t="s">
        <v>93</v>
      </c>
      <c r="J1374" s="13" t="s">
        <v>94</v>
      </c>
      <c r="K1374" s="13" t="s">
        <v>81</v>
      </c>
      <c r="L1374" s="13" t="s">
        <v>95</v>
      </c>
      <c r="M1374">
        <v>30</v>
      </c>
      <c r="N1374">
        <v>0</v>
      </c>
      <c r="O1374" s="14">
        <v>45996</v>
      </c>
      <c r="P1374" s="14">
        <v>46026</v>
      </c>
      <c r="Q1374">
        <v>1185.68</v>
      </c>
      <c r="R1374">
        <v>0</v>
      </c>
      <c r="S1374">
        <v>0</v>
      </c>
      <c r="T1374">
        <v>0</v>
      </c>
      <c r="U1374">
        <v>0</v>
      </c>
      <c r="V1374">
        <v>1185.68</v>
      </c>
      <c r="W1374">
        <v>0</v>
      </c>
      <c r="X1374">
        <v>1</v>
      </c>
      <c r="Y1374">
        <v>0</v>
      </c>
      <c r="Z1374">
        <v>-4</v>
      </c>
      <c r="AA1374">
        <v>1</v>
      </c>
      <c r="AB1374" s="13" t="s">
        <v>581</v>
      </c>
      <c r="AC1374">
        <v>0</v>
      </c>
      <c r="AD1374">
        <v>0</v>
      </c>
      <c r="AE1374" s="13" t="s">
        <v>61</v>
      </c>
    </row>
    <row r="1375" spans="1:31" x14ac:dyDescent="0.35">
      <c r="A1375" s="13" t="s">
        <v>2125</v>
      </c>
      <c r="B1375" s="13" t="s">
        <v>229</v>
      </c>
      <c r="C1375" s="13" t="s">
        <v>230</v>
      </c>
      <c r="D1375" s="13" t="s">
        <v>104</v>
      </c>
      <c r="E1375" s="13" t="s">
        <v>71</v>
      </c>
      <c r="F1375" s="13" t="s">
        <v>214</v>
      </c>
      <c r="G1375" s="13" t="s">
        <v>67</v>
      </c>
      <c r="H1375">
        <v>110000</v>
      </c>
      <c r="I1375" s="13" t="s">
        <v>105</v>
      </c>
      <c r="J1375" s="13" t="s">
        <v>106</v>
      </c>
      <c r="K1375" s="13" t="s">
        <v>107</v>
      </c>
      <c r="L1375" s="13" t="s">
        <v>88</v>
      </c>
      <c r="M1375">
        <v>60</v>
      </c>
      <c r="N1375">
        <v>0</v>
      </c>
      <c r="O1375" s="14">
        <v>45996</v>
      </c>
      <c r="P1375" s="14">
        <v>46056</v>
      </c>
      <c r="Q1375">
        <v>4231.99</v>
      </c>
      <c r="R1375">
        <v>0</v>
      </c>
      <c r="S1375">
        <v>0</v>
      </c>
      <c r="T1375">
        <v>0</v>
      </c>
      <c r="U1375">
        <v>0</v>
      </c>
      <c r="V1375">
        <v>4231.99</v>
      </c>
      <c r="W1375">
        <v>0</v>
      </c>
      <c r="X1375">
        <v>1</v>
      </c>
      <c r="Y1375">
        <v>0</v>
      </c>
      <c r="Z1375">
        <v>-34</v>
      </c>
      <c r="AA1375">
        <v>1</v>
      </c>
      <c r="AB1375" s="13" t="s">
        <v>581</v>
      </c>
      <c r="AC1375">
        <v>0</v>
      </c>
      <c r="AD1375">
        <v>0</v>
      </c>
      <c r="AE1375" s="13" t="s">
        <v>61</v>
      </c>
    </row>
    <row r="1376" spans="1:31" x14ac:dyDescent="0.35">
      <c r="A1376" s="13" t="s">
        <v>2126</v>
      </c>
      <c r="B1376" s="13" t="s">
        <v>270</v>
      </c>
      <c r="C1376" s="13" t="s">
        <v>271</v>
      </c>
      <c r="D1376" s="13" t="s">
        <v>52</v>
      </c>
      <c r="E1376" s="13" t="s">
        <v>71</v>
      </c>
      <c r="F1376" s="13" t="s">
        <v>72</v>
      </c>
      <c r="G1376" s="13" t="s">
        <v>67</v>
      </c>
      <c r="H1376">
        <v>555000</v>
      </c>
      <c r="I1376" s="13" t="s">
        <v>56</v>
      </c>
      <c r="J1376" s="13" t="s">
        <v>57</v>
      </c>
      <c r="K1376" s="13" t="s">
        <v>58</v>
      </c>
      <c r="L1376" s="13" t="s">
        <v>88</v>
      </c>
      <c r="M1376">
        <v>60</v>
      </c>
      <c r="N1376">
        <v>0</v>
      </c>
      <c r="O1376" s="14">
        <v>45996</v>
      </c>
      <c r="P1376" s="14">
        <v>46056</v>
      </c>
      <c r="Q1376">
        <v>1675.42</v>
      </c>
      <c r="R1376">
        <v>0</v>
      </c>
      <c r="S1376">
        <v>0</v>
      </c>
      <c r="T1376">
        <v>0</v>
      </c>
      <c r="U1376">
        <v>0</v>
      </c>
      <c r="V1376">
        <v>1675.42</v>
      </c>
      <c r="W1376">
        <v>0</v>
      </c>
      <c r="X1376">
        <v>1</v>
      </c>
      <c r="Y1376">
        <v>0</v>
      </c>
      <c r="Z1376">
        <v>-34</v>
      </c>
      <c r="AA1376">
        <v>1</v>
      </c>
      <c r="AB1376" s="13" t="s">
        <v>581</v>
      </c>
      <c r="AC1376">
        <v>0</v>
      </c>
      <c r="AD1376">
        <v>0</v>
      </c>
      <c r="AE1376" s="13" t="s">
        <v>61</v>
      </c>
    </row>
    <row r="1377" spans="1:31" x14ac:dyDescent="0.35">
      <c r="A1377" s="13" t="s">
        <v>2127</v>
      </c>
      <c r="B1377" s="13" t="s">
        <v>914</v>
      </c>
      <c r="C1377" s="13" t="s">
        <v>915</v>
      </c>
      <c r="D1377" s="13" t="s">
        <v>76</v>
      </c>
      <c r="E1377" s="13" t="s">
        <v>99</v>
      </c>
      <c r="F1377" s="13" t="s">
        <v>100</v>
      </c>
      <c r="G1377" s="13" t="s">
        <v>55</v>
      </c>
      <c r="H1377">
        <v>95000</v>
      </c>
      <c r="I1377" s="13" t="s">
        <v>93</v>
      </c>
      <c r="J1377" s="13" t="s">
        <v>94</v>
      </c>
      <c r="K1377" s="13" t="s">
        <v>81</v>
      </c>
      <c r="L1377" s="13" t="s">
        <v>95</v>
      </c>
      <c r="M1377">
        <v>30</v>
      </c>
      <c r="N1377">
        <v>0</v>
      </c>
      <c r="O1377" s="14">
        <v>45996</v>
      </c>
      <c r="P1377" s="14">
        <v>46026</v>
      </c>
      <c r="Q1377">
        <v>494.47</v>
      </c>
      <c r="R1377">
        <v>0</v>
      </c>
      <c r="S1377">
        <v>0</v>
      </c>
      <c r="T1377">
        <v>0</v>
      </c>
      <c r="U1377">
        <v>0</v>
      </c>
      <c r="V1377">
        <v>494.47</v>
      </c>
      <c r="W1377">
        <v>0</v>
      </c>
      <c r="X1377">
        <v>1</v>
      </c>
      <c r="Y1377">
        <v>0</v>
      </c>
      <c r="Z1377">
        <v>-4</v>
      </c>
      <c r="AA1377">
        <v>1</v>
      </c>
      <c r="AB1377" s="13" t="s">
        <v>581</v>
      </c>
      <c r="AC1377">
        <v>0</v>
      </c>
      <c r="AD1377">
        <v>0</v>
      </c>
      <c r="AE1377" s="13" t="s">
        <v>61</v>
      </c>
    </row>
    <row r="1378" spans="1:31" x14ac:dyDescent="0.35">
      <c r="A1378" s="13" t="s">
        <v>2128</v>
      </c>
      <c r="B1378" s="13" t="s">
        <v>442</v>
      </c>
      <c r="C1378" s="13" t="s">
        <v>443</v>
      </c>
      <c r="D1378" s="13" t="s">
        <v>104</v>
      </c>
      <c r="E1378" s="13" t="s">
        <v>71</v>
      </c>
      <c r="F1378" s="13" t="s">
        <v>214</v>
      </c>
      <c r="G1378" s="13" t="s">
        <v>92</v>
      </c>
      <c r="H1378">
        <v>145000</v>
      </c>
      <c r="I1378" s="13" t="s">
        <v>121</v>
      </c>
      <c r="J1378" s="13" t="s">
        <v>122</v>
      </c>
      <c r="K1378" s="13" t="s">
        <v>107</v>
      </c>
      <c r="L1378" s="13" t="s">
        <v>88</v>
      </c>
      <c r="M1378">
        <v>60</v>
      </c>
      <c r="N1378">
        <v>0</v>
      </c>
      <c r="O1378" s="14">
        <v>45996</v>
      </c>
      <c r="P1378" s="14">
        <v>46056</v>
      </c>
      <c r="Q1378">
        <v>7514.29</v>
      </c>
      <c r="R1378">
        <v>0</v>
      </c>
      <c r="S1378">
        <v>0</v>
      </c>
      <c r="T1378">
        <v>0</v>
      </c>
      <c r="U1378">
        <v>0</v>
      </c>
      <c r="V1378">
        <v>7514.29</v>
      </c>
      <c r="W1378">
        <v>0</v>
      </c>
      <c r="X1378">
        <v>1</v>
      </c>
      <c r="Y1378">
        <v>0</v>
      </c>
      <c r="Z1378">
        <v>-34</v>
      </c>
      <c r="AA1378">
        <v>1</v>
      </c>
      <c r="AB1378" s="13" t="s">
        <v>581</v>
      </c>
      <c r="AC1378">
        <v>0</v>
      </c>
      <c r="AD1378">
        <v>0</v>
      </c>
      <c r="AE1378" s="13" t="s">
        <v>61</v>
      </c>
    </row>
    <row r="1379" spans="1:31" x14ac:dyDescent="0.35">
      <c r="A1379" s="13" t="s">
        <v>2129</v>
      </c>
      <c r="B1379" s="13" t="s">
        <v>418</v>
      </c>
      <c r="C1379" s="13" t="s">
        <v>419</v>
      </c>
      <c r="D1379" s="13" t="s">
        <v>52</v>
      </c>
      <c r="E1379" s="13" t="s">
        <v>99</v>
      </c>
      <c r="F1379" s="13" t="s">
        <v>100</v>
      </c>
      <c r="G1379" s="13" t="s">
        <v>67</v>
      </c>
      <c r="H1379">
        <v>535000</v>
      </c>
      <c r="I1379" s="13" t="s">
        <v>86</v>
      </c>
      <c r="J1379" s="13" t="s">
        <v>87</v>
      </c>
      <c r="K1379" s="13" t="s">
        <v>58</v>
      </c>
      <c r="L1379" s="13" t="s">
        <v>59</v>
      </c>
      <c r="M1379">
        <v>45</v>
      </c>
      <c r="N1379">
        <v>0</v>
      </c>
      <c r="O1379" s="14">
        <v>45996</v>
      </c>
      <c r="P1379" s="14">
        <v>46041</v>
      </c>
      <c r="Q1379">
        <v>6846.02</v>
      </c>
      <c r="R1379">
        <v>0</v>
      </c>
      <c r="S1379">
        <v>0</v>
      </c>
      <c r="T1379">
        <v>0</v>
      </c>
      <c r="U1379">
        <v>0</v>
      </c>
      <c r="V1379">
        <v>6846.02</v>
      </c>
      <c r="W1379">
        <v>0</v>
      </c>
      <c r="X1379">
        <v>1</v>
      </c>
      <c r="Y1379">
        <v>0</v>
      </c>
      <c r="Z1379">
        <v>-19</v>
      </c>
      <c r="AA1379">
        <v>1</v>
      </c>
      <c r="AB1379" s="13" t="s">
        <v>581</v>
      </c>
      <c r="AC1379">
        <v>0</v>
      </c>
      <c r="AD1379">
        <v>0</v>
      </c>
      <c r="AE1379" s="13" t="s">
        <v>61</v>
      </c>
    </row>
    <row r="1380" spans="1:31" x14ac:dyDescent="0.35">
      <c r="A1380" s="13" t="s">
        <v>2130</v>
      </c>
      <c r="B1380" s="13" t="s">
        <v>84</v>
      </c>
      <c r="C1380" s="13" t="s">
        <v>85</v>
      </c>
      <c r="D1380" s="13" t="s">
        <v>52</v>
      </c>
      <c r="E1380" s="13" t="s">
        <v>71</v>
      </c>
      <c r="F1380" s="13" t="s">
        <v>72</v>
      </c>
      <c r="G1380" s="13" t="s">
        <v>67</v>
      </c>
      <c r="H1380">
        <v>600000</v>
      </c>
      <c r="I1380" s="13" t="s">
        <v>86</v>
      </c>
      <c r="J1380" s="13" t="s">
        <v>87</v>
      </c>
      <c r="K1380" s="13" t="s">
        <v>58</v>
      </c>
      <c r="L1380" s="13" t="s">
        <v>88</v>
      </c>
      <c r="M1380">
        <v>60</v>
      </c>
      <c r="N1380">
        <v>0</v>
      </c>
      <c r="O1380" s="14">
        <v>45996</v>
      </c>
      <c r="P1380" s="14">
        <v>46056</v>
      </c>
      <c r="Q1380">
        <v>14194.11</v>
      </c>
      <c r="R1380">
        <v>0</v>
      </c>
      <c r="S1380">
        <v>0</v>
      </c>
      <c r="T1380">
        <v>0</v>
      </c>
      <c r="U1380">
        <v>0</v>
      </c>
      <c r="V1380">
        <v>14194.11</v>
      </c>
      <c r="W1380">
        <v>0</v>
      </c>
      <c r="X1380">
        <v>1</v>
      </c>
      <c r="Y1380">
        <v>0</v>
      </c>
      <c r="Z1380">
        <v>-34</v>
      </c>
      <c r="AA1380">
        <v>1</v>
      </c>
      <c r="AB1380" s="13" t="s">
        <v>581</v>
      </c>
      <c r="AC1380">
        <v>0</v>
      </c>
      <c r="AD1380">
        <v>0</v>
      </c>
      <c r="AE1380" s="13" t="s">
        <v>61</v>
      </c>
    </row>
    <row r="1381" spans="1:31" x14ac:dyDescent="0.35">
      <c r="A1381" s="13" t="s">
        <v>2131</v>
      </c>
      <c r="B1381" s="13" t="s">
        <v>1120</v>
      </c>
      <c r="C1381" s="13" t="s">
        <v>1121</v>
      </c>
      <c r="D1381" s="13" t="s">
        <v>76</v>
      </c>
      <c r="E1381" s="13" t="s">
        <v>77</v>
      </c>
      <c r="F1381" s="13" t="s">
        <v>174</v>
      </c>
      <c r="G1381" s="13" t="s">
        <v>67</v>
      </c>
      <c r="H1381">
        <v>105000</v>
      </c>
      <c r="I1381" s="13" t="s">
        <v>79</v>
      </c>
      <c r="J1381" s="13" t="s">
        <v>80</v>
      </c>
      <c r="K1381" s="13" t="s">
        <v>81</v>
      </c>
      <c r="L1381" s="13" t="s">
        <v>95</v>
      </c>
      <c r="M1381">
        <v>30</v>
      </c>
      <c r="N1381">
        <v>0</v>
      </c>
      <c r="O1381" s="14">
        <v>45996</v>
      </c>
      <c r="P1381" s="14">
        <v>46026</v>
      </c>
      <c r="Q1381">
        <v>2019.82</v>
      </c>
      <c r="R1381">
        <v>0</v>
      </c>
      <c r="S1381">
        <v>0</v>
      </c>
      <c r="T1381">
        <v>0</v>
      </c>
      <c r="U1381">
        <v>0</v>
      </c>
      <c r="V1381">
        <v>2019.82</v>
      </c>
      <c r="W1381">
        <v>0</v>
      </c>
      <c r="X1381">
        <v>1</v>
      </c>
      <c r="Y1381">
        <v>0</v>
      </c>
      <c r="Z1381">
        <v>-4</v>
      </c>
      <c r="AA1381">
        <v>1</v>
      </c>
      <c r="AB1381" s="13" t="s">
        <v>581</v>
      </c>
      <c r="AC1381">
        <v>0</v>
      </c>
      <c r="AD1381">
        <v>0</v>
      </c>
      <c r="AE1381" s="13" t="s">
        <v>61</v>
      </c>
    </row>
    <row r="1382" spans="1:31" x14ac:dyDescent="0.35">
      <c r="A1382" s="13" t="s">
        <v>2132</v>
      </c>
      <c r="B1382" s="13" t="s">
        <v>1374</v>
      </c>
      <c r="C1382" s="13" t="s">
        <v>1375</v>
      </c>
      <c r="D1382" s="13" t="s">
        <v>76</v>
      </c>
      <c r="E1382" s="13" t="s">
        <v>77</v>
      </c>
      <c r="F1382" s="13" t="s">
        <v>174</v>
      </c>
      <c r="G1382" s="13" t="s">
        <v>67</v>
      </c>
      <c r="H1382">
        <v>35000</v>
      </c>
      <c r="I1382" s="13" t="s">
        <v>93</v>
      </c>
      <c r="J1382" s="13" t="s">
        <v>94</v>
      </c>
      <c r="K1382" s="13" t="s">
        <v>81</v>
      </c>
      <c r="L1382" s="13" t="s">
        <v>95</v>
      </c>
      <c r="M1382">
        <v>30</v>
      </c>
      <c r="N1382">
        <v>0</v>
      </c>
      <c r="O1382" s="14">
        <v>45996</v>
      </c>
      <c r="P1382" s="14">
        <v>46026</v>
      </c>
      <c r="Q1382">
        <v>4073.48</v>
      </c>
      <c r="R1382">
        <v>0</v>
      </c>
      <c r="S1382">
        <v>0</v>
      </c>
      <c r="T1382">
        <v>0</v>
      </c>
      <c r="U1382">
        <v>0</v>
      </c>
      <c r="V1382">
        <v>4073.48</v>
      </c>
      <c r="W1382">
        <v>0</v>
      </c>
      <c r="X1382">
        <v>1</v>
      </c>
      <c r="Y1382">
        <v>0</v>
      </c>
      <c r="Z1382">
        <v>-4</v>
      </c>
      <c r="AA1382">
        <v>1</v>
      </c>
      <c r="AB1382" s="13" t="s">
        <v>581</v>
      </c>
      <c r="AC1382">
        <v>0</v>
      </c>
      <c r="AD1382">
        <v>0</v>
      </c>
      <c r="AE1382" s="13" t="s">
        <v>61</v>
      </c>
    </row>
    <row r="1383" spans="1:31" x14ac:dyDescent="0.35">
      <c r="A1383" s="13" t="s">
        <v>2133</v>
      </c>
      <c r="B1383" s="13" t="s">
        <v>1304</v>
      </c>
      <c r="C1383" s="13" t="s">
        <v>1305</v>
      </c>
      <c r="D1383" s="13" t="s">
        <v>76</v>
      </c>
      <c r="E1383" s="13" t="s">
        <v>65</v>
      </c>
      <c r="F1383" s="13" t="s">
        <v>66</v>
      </c>
      <c r="G1383" s="13" t="s">
        <v>67</v>
      </c>
      <c r="H1383">
        <v>105000</v>
      </c>
      <c r="I1383" s="13" t="s">
        <v>93</v>
      </c>
      <c r="J1383" s="13" t="s">
        <v>94</v>
      </c>
      <c r="K1383" s="13" t="s">
        <v>81</v>
      </c>
      <c r="L1383" s="13" t="s">
        <v>82</v>
      </c>
      <c r="M1383">
        <v>30</v>
      </c>
      <c r="N1383">
        <v>2</v>
      </c>
      <c r="O1383" s="14">
        <v>45996</v>
      </c>
      <c r="P1383" s="14">
        <v>46026</v>
      </c>
      <c r="Q1383">
        <v>458.59</v>
      </c>
      <c r="R1383">
        <v>0</v>
      </c>
      <c r="S1383">
        <v>0</v>
      </c>
      <c r="T1383">
        <v>0</v>
      </c>
      <c r="U1383">
        <v>0</v>
      </c>
      <c r="V1383">
        <v>458.59</v>
      </c>
      <c r="W1383">
        <v>0</v>
      </c>
      <c r="X1383">
        <v>1</v>
      </c>
      <c r="Y1383">
        <v>0</v>
      </c>
      <c r="Z1383">
        <v>-4</v>
      </c>
      <c r="AA1383">
        <v>1</v>
      </c>
      <c r="AB1383" s="13" t="s">
        <v>581</v>
      </c>
      <c r="AC1383">
        <v>0</v>
      </c>
      <c r="AD1383">
        <v>0</v>
      </c>
      <c r="AE1383" s="13" t="s">
        <v>61</v>
      </c>
    </row>
    <row r="1384" spans="1:31" x14ac:dyDescent="0.35">
      <c r="A1384" s="13" t="s">
        <v>2134</v>
      </c>
      <c r="B1384" s="13" t="s">
        <v>1251</v>
      </c>
      <c r="C1384" s="13" t="s">
        <v>1252</v>
      </c>
      <c r="D1384" s="13" t="s">
        <v>76</v>
      </c>
      <c r="E1384" s="13" t="s">
        <v>71</v>
      </c>
      <c r="F1384" s="13" t="s">
        <v>72</v>
      </c>
      <c r="G1384" s="13" t="s">
        <v>92</v>
      </c>
      <c r="H1384">
        <v>110000</v>
      </c>
      <c r="I1384" s="13" t="s">
        <v>93</v>
      </c>
      <c r="J1384" s="13" t="s">
        <v>94</v>
      </c>
      <c r="K1384" s="13" t="s">
        <v>81</v>
      </c>
      <c r="L1384" s="13" t="s">
        <v>95</v>
      </c>
      <c r="M1384">
        <v>30</v>
      </c>
      <c r="N1384">
        <v>0</v>
      </c>
      <c r="O1384" s="14">
        <v>45996</v>
      </c>
      <c r="P1384" s="14">
        <v>46026</v>
      </c>
      <c r="Q1384">
        <v>681.52</v>
      </c>
      <c r="R1384">
        <v>0</v>
      </c>
      <c r="S1384">
        <v>0</v>
      </c>
      <c r="T1384">
        <v>0</v>
      </c>
      <c r="U1384">
        <v>0</v>
      </c>
      <c r="V1384">
        <v>681.52</v>
      </c>
      <c r="W1384">
        <v>0</v>
      </c>
      <c r="X1384">
        <v>1</v>
      </c>
      <c r="Y1384">
        <v>0</v>
      </c>
      <c r="Z1384">
        <v>-4</v>
      </c>
      <c r="AA1384">
        <v>1</v>
      </c>
      <c r="AB1384" s="13" t="s">
        <v>581</v>
      </c>
      <c r="AC1384">
        <v>0</v>
      </c>
      <c r="AD1384">
        <v>0</v>
      </c>
      <c r="AE1384" s="13" t="s">
        <v>61</v>
      </c>
    </row>
    <row r="1385" spans="1:31" x14ac:dyDescent="0.35">
      <c r="A1385" s="13" t="s">
        <v>2135</v>
      </c>
      <c r="B1385" s="13" t="s">
        <v>1655</v>
      </c>
      <c r="C1385" s="13" t="s">
        <v>1656</v>
      </c>
      <c r="D1385" s="13" t="s">
        <v>104</v>
      </c>
      <c r="E1385" s="13" t="s">
        <v>77</v>
      </c>
      <c r="F1385" s="13" t="s">
        <v>78</v>
      </c>
      <c r="G1385" s="13" t="s">
        <v>55</v>
      </c>
      <c r="H1385">
        <v>115000</v>
      </c>
      <c r="I1385" s="13" t="s">
        <v>121</v>
      </c>
      <c r="J1385" s="13" t="s">
        <v>122</v>
      </c>
      <c r="K1385" s="13" t="s">
        <v>107</v>
      </c>
      <c r="L1385" s="13" t="s">
        <v>95</v>
      </c>
      <c r="M1385">
        <v>30</v>
      </c>
      <c r="N1385">
        <v>0</v>
      </c>
      <c r="O1385" s="14">
        <v>45996</v>
      </c>
      <c r="P1385" s="14">
        <v>46026</v>
      </c>
      <c r="Q1385">
        <v>2500.4</v>
      </c>
      <c r="R1385">
        <v>0</v>
      </c>
      <c r="S1385">
        <v>0</v>
      </c>
      <c r="T1385">
        <v>0</v>
      </c>
      <c r="U1385">
        <v>0</v>
      </c>
      <c r="V1385">
        <v>2500.4</v>
      </c>
      <c r="W1385">
        <v>0</v>
      </c>
      <c r="X1385">
        <v>1</v>
      </c>
      <c r="Y1385">
        <v>0</v>
      </c>
      <c r="Z1385">
        <v>-4</v>
      </c>
      <c r="AA1385">
        <v>1</v>
      </c>
      <c r="AB1385" s="13" t="s">
        <v>581</v>
      </c>
      <c r="AC1385">
        <v>0</v>
      </c>
      <c r="AD1385">
        <v>0</v>
      </c>
      <c r="AE1385" s="13" t="s">
        <v>61</v>
      </c>
    </row>
    <row r="1386" spans="1:31" x14ac:dyDescent="0.35">
      <c r="A1386" s="13" t="s">
        <v>2136</v>
      </c>
      <c r="B1386" s="13" t="s">
        <v>225</v>
      </c>
      <c r="C1386" s="13" t="s">
        <v>226</v>
      </c>
      <c r="D1386" s="13" t="s">
        <v>52</v>
      </c>
      <c r="E1386" s="13" t="s">
        <v>77</v>
      </c>
      <c r="F1386" s="13" t="s">
        <v>174</v>
      </c>
      <c r="G1386" s="13" t="s">
        <v>55</v>
      </c>
      <c r="H1386">
        <v>570000</v>
      </c>
      <c r="I1386" s="13" t="s">
        <v>56</v>
      </c>
      <c r="J1386" s="13" t="s">
        <v>57</v>
      </c>
      <c r="K1386" s="13" t="s">
        <v>58</v>
      </c>
      <c r="L1386" s="13" t="s">
        <v>59</v>
      </c>
      <c r="M1386">
        <v>45</v>
      </c>
      <c r="N1386">
        <v>0</v>
      </c>
      <c r="O1386" s="14">
        <v>45996</v>
      </c>
      <c r="P1386" s="14">
        <v>46041</v>
      </c>
      <c r="Q1386">
        <v>13799.03</v>
      </c>
      <c r="R1386">
        <v>0</v>
      </c>
      <c r="S1386">
        <v>0</v>
      </c>
      <c r="T1386">
        <v>0</v>
      </c>
      <c r="U1386">
        <v>0</v>
      </c>
      <c r="V1386">
        <v>13799.03</v>
      </c>
      <c r="W1386">
        <v>0</v>
      </c>
      <c r="X1386">
        <v>1</v>
      </c>
      <c r="Y1386">
        <v>0</v>
      </c>
      <c r="Z1386">
        <v>-19</v>
      </c>
      <c r="AA1386">
        <v>1</v>
      </c>
      <c r="AB1386" s="13" t="s">
        <v>581</v>
      </c>
      <c r="AC1386">
        <v>0</v>
      </c>
      <c r="AD1386">
        <v>0</v>
      </c>
      <c r="AE1386" s="13" t="s">
        <v>61</v>
      </c>
    </row>
    <row r="1387" spans="1:31" x14ac:dyDescent="0.35">
      <c r="A1387" s="13" t="s">
        <v>2137</v>
      </c>
      <c r="B1387" s="13" t="s">
        <v>2138</v>
      </c>
      <c r="C1387" s="13" t="s">
        <v>2139</v>
      </c>
      <c r="D1387" s="13" t="s">
        <v>76</v>
      </c>
      <c r="E1387" s="13" t="s">
        <v>53</v>
      </c>
      <c r="F1387" s="13" t="s">
        <v>135</v>
      </c>
      <c r="G1387" s="13" t="s">
        <v>55</v>
      </c>
      <c r="H1387">
        <v>105000</v>
      </c>
      <c r="I1387" s="13" t="s">
        <v>79</v>
      </c>
      <c r="J1387" s="13" t="s">
        <v>80</v>
      </c>
      <c r="K1387" s="13" t="s">
        <v>81</v>
      </c>
      <c r="L1387" s="13" t="s">
        <v>95</v>
      </c>
      <c r="M1387">
        <v>30</v>
      </c>
      <c r="N1387">
        <v>0</v>
      </c>
      <c r="O1387" s="14">
        <v>45996</v>
      </c>
      <c r="P1387" s="14">
        <v>46026</v>
      </c>
      <c r="Q1387">
        <v>467.42</v>
      </c>
      <c r="R1387">
        <v>0</v>
      </c>
      <c r="S1387">
        <v>0</v>
      </c>
      <c r="T1387">
        <v>0</v>
      </c>
      <c r="U1387">
        <v>0</v>
      </c>
      <c r="V1387">
        <v>467.42</v>
      </c>
      <c r="W1387">
        <v>0</v>
      </c>
      <c r="X1387">
        <v>1</v>
      </c>
      <c r="Y1387">
        <v>0</v>
      </c>
      <c r="Z1387">
        <v>-4</v>
      </c>
      <c r="AA1387">
        <v>1</v>
      </c>
      <c r="AB1387" s="13" t="s">
        <v>581</v>
      </c>
      <c r="AC1387">
        <v>0</v>
      </c>
      <c r="AD1387">
        <v>0</v>
      </c>
      <c r="AE1387" s="13" t="s">
        <v>61</v>
      </c>
    </row>
    <row r="1388" spans="1:31" x14ac:dyDescent="0.35">
      <c r="A1388" s="13" t="s">
        <v>2140</v>
      </c>
      <c r="B1388" s="13" t="s">
        <v>1081</v>
      </c>
      <c r="C1388" s="13" t="s">
        <v>1082</v>
      </c>
      <c r="D1388" s="13" t="s">
        <v>104</v>
      </c>
      <c r="E1388" s="13" t="s">
        <v>65</v>
      </c>
      <c r="F1388" s="13" t="s">
        <v>111</v>
      </c>
      <c r="G1388" s="13" t="s">
        <v>55</v>
      </c>
      <c r="H1388">
        <v>110000</v>
      </c>
      <c r="I1388" s="13" t="s">
        <v>105</v>
      </c>
      <c r="J1388" s="13" t="s">
        <v>106</v>
      </c>
      <c r="K1388" s="13" t="s">
        <v>107</v>
      </c>
      <c r="L1388" s="13" t="s">
        <v>95</v>
      </c>
      <c r="M1388">
        <v>30</v>
      </c>
      <c r="N1388">
        <v>0</v>
      </c>
      <c r="O1388" s="14">
        <v>45996</v>
      </c>
      <c r="P1388" s="14">
        <v>46026</v>
      </c>
      <c r="Q1388">
        <v>3557.92</v>
      </c>
      <c r="R1388">
        <v>0</v>
      </c>
      <c r="S1388">
        <v>0</v>
      </c>
      <c r="T1388">
        <v>0</v>
      </c>
      <c r="U1388">
        <v>0</v>
      </c>
      <c r="V1388">
        <v>3557.92</v>
      </c>
      <c r="W1388">
        <v>0</v>
      </c>
      <c r="X1388">
        <v>1</v>
      </c>
      <c r="Y1388">
        <v>0</v>
      </c>
      <c r="Z1388">
        <v>-4</v>
      </c>
      <c r="AA1388">
        <v>1</v>
      </c>
      <c r="AB1388" s="13" t="s">
        <v>581</v>
      </c>
      <c r="AC1388">
        <v>0</v>
      </c>
      <c r="AD1388">
        <v>0</v>
      </c>
      <c r="AE1388" s="13" t="s">
        <v>61</v>
      </c>
    </row>
    <row r="1389" spans="1:31" x14ac:dyDescent="0.35">
      <c r="A1389" s="13" t="s">
        <v>2141</v>
      </c>
      <c r="B1389" s="13" t="s">
        <v>109</v>
      </c>
      <c r="C1389" s="13" t="s">
        <v>110</v>
      </c>
      <c r="D1389" s="13" t="s">
        <v>52</v>
      </c>
      <c r="E1389" s="13" t="s">
        <v>65</v>
      </c>
      <c r="F1389" s="13" t="s">
        <v>111</v>
      </c>
      <c r="G1389" s="13" t="s">
        <v>67</v>
      </c>
      <c r="H1389">
        <v>455000</v>
      </c>
      <c r="I1389" s="13" t="s">
        <v>86</v>
      </c>
      <c r="J1389" s="13" t="s">
        <v>87</v>
      </c>
      <c r="K1389" s="13" t="s">
        <v>58</v>
      </c>
      <c r="L1389" s="13" t="s">
        <v>59</v>
      </c>
      <c r="M1389">
        <v>45</v>
      </c>
      <c r="N1389">
        <v>0</v>
      </c>
      <c r="O1389" s="14">
        <v>45996</v>
      </c>
      <c r="P1389" s="14">
        <v>46041</v>
      </c>
      <c r="Q1389">
        <v>1843.62</v>
      </c>
      <c r="R1389">
        <v>0</v>
      </c>
      <c r="S1389">
        <v>0</v>
      </c>
      <c r="T1389">
        <v>0</v>
      </c>
      <c r="U1389">
        <v>0</v>
      </c>
      <c r="V1389">
        <v>1843.62</v>
      </c>
      <c r="W1389">
        <v>0</v>
      </c>
      <c r="X1389">
        <v>1</v>
      </c>
      <c r="Y1389">
        <v>0</v>
      </c>
      <c r="Z1389">
        <v>-19</v>
      </c>
      <c r="AA1389">
        <v>1</v>
      </c>
      <c r="AB1389" s="13" t="s">
        <v>581</v>
      </c>
      <c r="AC1389">
        <v>0</v>
      </c>
      <c r="AD1389">
        <v>0</v>
      </c>
      <c r="AE1389" s="13" t="s">
        <v>61</v>
      </c>
    </row>
    <row r="1390" spans="1:31" x14ac:dyDescent="0.35">
      <c r="A1390" s="13" t="s">
        <v>2142</v>
      </c>
      <c r="B1390" s="13" t="s">
        <v>2143</v>
      </c>
      <c r="C1390" s="13" t="s">
        <v>2144</v>
      </c>
      <c r="D1390" s="13" t="s">
        <v>126</v>
      </c>
      <c r="E1390" s="13" t="s">
        <v>53</v>
      </c>
      <c r="F1390" s="13" t="s">
        <v>135</v>
      </c>
      <c r="G1390" s="13" t="s">
        <v>67</v>
      </c>
      <c r="H1390">
        <v>85000</v>
      </c>
      <c r="I1390" s="13" t="s">
        <v>105</v>
      </c>
      <c r="J1390" s="13" t="s">
        <v>106</v>
      </c>
      <c r="K1390" s="13" t="s">
        <v>107</v>
      </c>
      <c r="L1390" s="13" t="s">
        <v>88</v>
      </c>
      <c r="M1390">
        <v>60</v>
      </c>
      <c r="N1390">
        <v>0</v>
      </c>
      <c r="O1390" s="14">
        <v>45996</v>
      </c>
      <c r="P1390" s="14">
        <v>46056</v>
      </c>
      <c r="Q1390">
        <v>1945.84</v>
      </c>
      <c r="R1390">
        <v>0</v>
      </c>
      <c r="S1390">
        <v>0</v>
      </c>
      <c r="T1390">
        <v>0</v>
      </c>
      <c r="U1390">
        <v>0</v>
      </c>
      <c r="V1390">
        <v>1945.84</v>
      </c>
      <c r="W1390">
        <v>0</v>
      </c>
      <c r="X1390">
        <v>1</v>
      </c>
      <c r="Y1390">
        <v>0</v>
      </c>
      <c r="Z1390">
        <v>-34</v>
      </c>
      <c r="AA1390">
        <v>1</v>
      </c>
      <c r="AB1390" s="13" t="s">
        <v>581</v>
      </c>
      <c r="AC1390">
        <v>0</v>
      </c>
      <c r="AD1390">
        <v>0</v>
      </c>
      <c r="AE1390" s="13" t="s">
        <v>61</v>
      </c>
    </row>
    <row r="1391" spans="1:31" x14ac:dyDescent="0.35">
      <c r="A1391" s="13" t="s">
        <v>2145</v>
      </c>
      <c r="B1391" s="13" t="s">
        <v>920</v>
      </c>
      <c r="C1391" s="13" t="s">
        <v>921</v>
      </c>
      <c r="D1391" s="13" t="s">
        <v>104</v>
      </c>
      <c r="E1391" s="13" t="s">
        <v>99</v>
      </c>
      <c r="F1391" s="13" t="s">
        <v>100</v>
      </c>
      <c r="G1391" s="13" t="s">
        <v>92</v>
      </c>
      <c r="H1391">
        <v>100000</v>
      </c>
      <c r="I1391" s="13" t="s">
        <v>121</v>
      </c>
      <c r="J1391" s="13" t="s">
        <v>122</v>
      </c>
      <c r="K1391" s="13" t="s">
        <v>107</v>
      </c>
      <c r="L1391" s="13" t="s">
        <v>95</v>
      </c>
      <c r="M1391">
        <v>30</v>
      </c>
      <c r="N1391">
        <v>0</v>
      </c>
      <c r="O1391" s="14">
        <v>45996</v>
      </c>
      <c r="P1391" s="14">
        <v>46026</v>
      </c>
      <c r="Q1391">
        <v>1411.6</v>
      </c>
      <c r="R1391">
        <v>0</v>
      </c>
      <c r="S1391">
        <v>0</v>
      </c>
      <c r="T1391">
        <v>0</v>
      </c>
      <c r="U1391">
        <v>0</v>
      </c>
      <c r="V1391">
        <v>1411.6</v>
      </c>
      <c r="W1391">
        <v>0</v>
      </c>
      <c r="X1391">
        <v>1</v>
      </c>
      <c r="Y1391">
        <v>0</v>
      </c>
      <c r="Z1391">
        <v>-4</v>
      </c>
      <c r="AA1391">
        <v>1</v>
      </c>
      <c r="AB1391" s="13" t="s">
        <v>581</v>
      </c>
      <c r="AC1391">
        <v>0</v>
      </c>
      <c r="AD1391">
        <v>1</v>
      </c>
      <c r="AE1391" s="13" t="s">
        <v>348</v>
      </c>
    </row>
    <row r="1392" spans="1:31" x14ac:dyDescent="0.35">
      <c r="A1392" s="13" t="s">
        <v>2146</v>
      </c>
      <c r="B1392" s="13" t="s">
        <v>1004</v>
      </c>
      <c r="C1392" s="13" t="s">
        <v>1005</v>
      </c>
      <c r="D1392" s="13" t="s">
        <v>104</v>
      </c>
      <c r="E1392" s="13" t="s">
        <v>53</v>
      </c>
      <c r="F1392" s="13" t="s">
        <v>135</v>
      </c>
      <c r="G1392" s="13" t="s">
        <v>55</v>
      </c>
      <c r="H1392">
        <v>55000</v>
      </c>
      <c r="I1392" s="13" t="s">
        <v>121</v>
      </c>
      <c r="J1392" s="13" t="s">
        <v>122</v>
      </c>
      <c r="K1392" s="13" t="s">
        <v>107</v>
      </c>
      <c r="L1392" s="13" t="s">
        <v>88</v>
      </c>
      <c r="M1392">
        <v>60</v>
      </c>
      <c r="N1392">
        <v>0</v>
      </c>
      <c r="O1392" s="14">
        <v>45996</v>
      </c>
      <c r="P1392" s="14">
        <v>46056</v>
      </c>
      <c r="Q1392">
        <v>800.28</v>
      </c>
      <c r="R1392">
        <v>0</v>
      </c>
      <c r="S1392">
        <v>0</v>
      </c>
      <c r="T1392">
        <v>0</v>
      </c>
      <c r="U1392">
        <v>0</v>
      </c>
      <c r="V1392">
        <v>800.28</v>
      </c>
      <c r="W1392">
        <v>0</v>
      </c>
      <c r="X1392">
        <v>1</v>
      </c>
      <c r="Y1392">
        <v>0</v>
      </c>
      <c r="Z1392">
        <v>-34</v>
      </c>
      <c r="AA1392">
        <v>1</v>
      </c>
      <c r="AB1392" s="13" t="s">
        <v>581</v>
      </c>
      <c r="AC1392">
        <v>0</v>
      </c>
      <c r="AD1392">
        <v>0</v>
      </c>
      <c r="AE1392" s="13" t="s">
        <v>61</v>
      </c>
    </row>
    <row r="1393" spans="1:31" x14ac:dyDescent="0.35">
      <c r="A1393" s="13" t="s">
        <v>2147</v>
      </c>
      <c r="B1393" s="13" t="s">
        <v>312</v>
      </c>
      <c r="C1393" s="13" t="s">
        <v>313</v>
      </c>
      <c r="D1393" s="13" t="s">
        <v>52</v>
      </c>
      <c r="E1393" s="13" t="s">
        <v>77</v>
      </c>
      <c r="F1393" s="13" t="s">
        <v>174</v>
      </c>
      <c r="G1393" s="13" t="s">
        <v>55</v>
      </c>
      <c r="H1393">
        <v>600000</v>
      </c>
      <c r="I1393" s="13" t="s">
        <v>56</v>
      </c>
      <c r="J1393" s="13" t="s">
        <v>57</v>
      </c>
      <c r="K1393" s="13" t="s">
        <v>58</v>
      </c>
      <c r="L1393" s="13" t="s">
        <v>88</v>
      </c>
      <c r="M1393">
        <v>60</v>
      </c>
      <c r="N1393">
        <v>0</v>
      </c>
      <c r="O1393" s="14">
        <v>45996</v>
      </c>
      <c r="P1393" s="14">
        <v>46056</v>
      </c>
      <c r="Q1393">
        <v>1903.21</v>
      </c>
      <c r="R1393">
        <v>0</v>
      </c>
      <c r="S1393">
        <v>0</v>
      </c>
      <c r="T1393">
        <v>0</v>
      </c>
      <c r="U1393">
        <v>0</v>
      </c>
      <c r="V1393">
        <v>1903.21</v>
      </c>
      <c r="W1393">
        <v>0</v>
      </c>
      <c r="X1393">
        <v>1</v>
      </c>
      <c r="Y1393">
        <v>0</v>
      </c>
      <c r="Z1393">
        <v>-34</v>
      </c>
      <c r="AA1393">
        <v>1</v>
      </c>
      <c r="AB1393" s="13" t="s">
        <v>581</v>
      </c>
      <c r="AC1393">
        <v>0</v>
      </c>
      <c r="AD1393">
        <v>0</v>
      </c>
      <c r="AE1393" s="13" t="s">
        <v>61</v>
      </c>
    </row>
    <row r="1394" spans="1:31" x14ac:dyDescent="0.35">
      <c r="A1394" s="13" t="s">
        <v>2148</v>
      </c>
      <c r="B1394" s="13" t="s">
        <v>168</v>
      </c>
      <c r="C1394" s="13" t="s">
        <v>169</v>
      </c>
      <c r="D1394" s="13" t="s">
        <v>52</v>
      </c>
      <c r="E1394" s="13" t="s">
        <v>65</v>
      </c>
      <c r="F1394" s="13" t="s">
        <v>66</v>
      </c>
      <c r="G1394" s="13" t="s">
        <v>67</v>
      </c>
      <c r="H1394">
        <v>580000</v>
      </c>
      <c r="I1394" s="13" t="s">
        <v>56</v>
      </c>
      <c r="J1394" s="13" t="s">
        <v>57</v>
      </c>
      <c r="K1394" s="13" t="s">
        <v>58</v>
      </c>
      <c r="L1394" s="13" t="s">
        <v>59</v>
      </c>
      <c r="M1394">
        <v>45</v>
      </c>
      <c r="N1394">
        <v>0</v>
      </c>
      <c r="O1394" s="14">
        <v>45996</v>
      </c>
      <c r="P1394" s="14">
        <v>46041</v>
      </c>
      <c r="Q1394">
        <v>13776.34</v>
      </c>
      <c r="R1394">
        <v>0</v>
      </c>
      <c r="S1394">
        <v>0</v>
      </c>
      <c r="T1394">
        <v>0</v>
      </c>
      <c r="U1394">
        <v>0</v>
      </c>
      <c r="V1394">
        <v>13776.34</v>
      </c>
      <c r="W1394">
        <v>0</v>
      </c>
      <c r="X1394">
        <v>1</v>
      </c>
      <c r="Y1394">
        <v>0</v>
      </c>
      <c r="Z1394">
        <v>-19</v>
      </c>
      <c r="AA1394">
        <v>1</v>
      </c>
      <c r="AB1394" s="13" t="s">
        <v>581</v>
      </c>
      <c r="AC1394">
        <v>0</v>
      </c>
      <c r="AD1394">
        <v>0</v>
      </c>
      <c r="AE1394" s="13" t="s">
        <v>61</v>
      </c>
    </row>
    <row r="1395" spans="1:31" x14ac:dyDescent="0.35">
      <c r="A1395" s="13" t="s">
        <v>2149</v>
      </c>
      <c r="B1395" s="13" t="s">
        <v>130</v>
      </c>
      <c r="C1395" s="13" t="s">
        <v>131</v>
      </c>
      <c r="D1395" s="13" t="s">
        <v>76</v>
      </c>
      <c r="E1395" s="13" t="s">
        <v>77</v>
      </c>
      <c r="F1395" s="13" t="s">
        <v>78</v>
      </c>
      <c r="G1395" s="13" t="s">
        <v>55</v>
      </c>
      <c r="H1395">
        <v>50000</v>
      </c>
      <c r="I1395" s="13" t="s">
        <v>79</v>
      </c>
      <c r="J1395" s="13" t="s">
        <v>80</v>
      </c>
      <c r="K1395" s="13" t="s">
        <v>81</v>
      </c>
      <c r="L1395" s="13" t="s">
        <v>95</v>
      </c>
      <c r="M1395">
        <v>30</v>
      </c>
      <c r="N1395">
        <v>0</v>
      </c>
      <c r="O1395" s="14">
        <v>45996</v>
      </c>
      <c r="P1395" s="14">
        <v>46026</v>
      </c>
      <c r="Q1395">
        <v>4456.9799999999996</v>
      </c>
      <c r="R1395">
        <v>0</v>
      </c>
      <c r="S1395">
        <v>0</v>
      </c>
      <c r="T1395">
        <v>0</v>
      </c>
      <c r="U1395">
        <v>0</v>
      </c>
      <c r="V1395">
        <v>4456.9799999999996</v>
      </c>
      <c r="W1395">
        <v>0</v>
      </c>
      <c r="X1395">
        <v>1</v>
      </c>
      <c r="Y1395">
        <v>0</v>
      </c>
      <c r="Z1395">
        <v>-4</v>
      </c>
      <c r="AA1395">
        <v>1</v>
      </c>
      <c r="AB1395" s="13" t="s">
        <v>581</v>
      </c>
      <c r="AC1395">
        <v>0</v>
      </c>
      <c r="AD1395">
        <v>0</v>
      </c>
      <c r="AE1395" s="13" t="s">
        <v>61</v>
      </c>
    </row>
    <row r="1396" spans="1:31" x14ac:dyDescent="0.35">
      <c r="A1396" s="13" t="s">
        <v>2150</v>
      </c>
      <c r="B1396" s="13" t="s">
        <v>238</v>
      </c>
      <c r="C1396" s="13" t="s">
        <v>239</v>
      </c>
      <c r="D1396" s="13" t="s">
        <v>76</v>
      </c>
      <c r="E1396" s="13" t="s">
        <v>71</v>
      </c>
      <c r="F1396" s="13" t="s">
        <v>214</v>
      </c>
      <c r="G1396" s="13" t="s">
        <v>92</v>
      </c>
      <c r="H1396">
        <v>100000</v>
      </c>
      <c r="I1396" s="13" t="s">
        <v>93</v>
      </c>
      <c r="J1396" s="13" t="s">
        <v>94</v>
      </c>
      <c r="K1396" s="13" t="s">
        <v>81</v>
      </c>
      <c r="L1396" s="13" t="s">
        <v>95</v>
      </c>
      <c r="M1396">
        <v>30</v>
      </c>
      <c r="N1396">
        <v>0</v>
      </c>
      <c r="O1396" s="14">
        <v>45996</v>
      </c>
      <c r="P1396" s="14">
        <v>46026</v>
      </c>
      <c r="Q1396">
        <v>578.45000000000005</v>
      </c>
      <c r="R1396">
        <v>0</v>
      </c>
      <c r="S1396">
        <v>0</v>
      </c>
      <c r="T1396">
        <v>0</v>
      </c>
      <c r="U1396">
        <v>0</v>
      </c>
      <c r="V1396">
        <v>578.45000000000005</v>
      </c>
      <c r="W1396">
        <v>0</v>
      </c>
      <c r="X1396">
        <v>1</v>
      </c>
      <c r="Y1396">
        <v>0</v>
      </c>
      <c r="Z1396">
        <v>-4</v>
      </c>
      <c r="AA1396">
        <v>1</v>
      </c>
      <c r="AB1396" s="13" t="s">
        <v>581</v>
      </c>
      <c r="AC1396">
        <v>0</v>
      </c>
      <c r="AD1396">
        <v>0</v>
      </c>
      <c r="AE1396" s="13" t="s">
        <v>61</v>
      </c>
    </row>
    <row r="1397" spans="1:31" x14ac:dyDescent="0.35">
      <c r="A1397" s="13" t="s">
        <v>2151</v>
      </c>
      <c r="B1397" s="13" t="s">
        <v>69</v>
      </c>
      <c r="C1397" s="13" t="s">
        <v>70</v>
      </c>
      <c r="D1397" s="13" t="s">
        <v>52</v>
      </c>
      <c r="E1397" s="13" t="s">
        <v>71</v>
      </c>
      <c r="F1397" s="13" t="s">
        <v>72</v>
      </c>
      <c r="G1397" s="13" t="s">
        <v>55</v>
      </c>
      <c r="H1397">
        <v>580000</v>
      </c>
      <c r="I1397" s="13" t="s">
        <v>56</v>
      </c>
      <c r="J1397" s="13" t="s">
        <v>57</v>
      </c>
      <c r="K1397" s="13" t="s">
        <v>58</v>
      </c>
      <c r="L1397" s="13" t="s">
        <v>59</v>
      </c>
      <c r="M1397">
        <v>45</v>
      </c>
      <c r="N1397">
        <v>0</v>
      </c>
      <c r="O1397" s="14">
        <v>45996</v>
      </c>
      <c r="P1397" s="14">
        <v>46041</v>
      </c>
      <c r="Q1397">
        <v>6057.04</v>
      </c>
      <c r="R1397">
        <v>0</v>
      </c>
      <c r="S1397">
        <v>0</v>
      </c>
      <c r="T1397">
        <v>0</v>
      </c>
      <c r="U1397">
        <v>0</v>
      </c>
      <c r="V1397">
        <v>6057.04</v>
      </c>
      <c r="W1397">
        <v>0</v>
      </c>
      <c r="X1397">
        <v>1</v>
      </c>
      <c r="Y1397">
        <v>0</v>
      </c>
      <c r="Z1397">
        <v>-19</v>
      </c>
      <c r="AA1397">
        <v>1</v>
      </c>
      <c r="AB1397" s="13" t="s">
        <v>581</v>
      </c>
      <c r="AC1397">
        <v>0</v>
      </c>
      <c r="AD1397">
        <v>0</v>
      </c>
      <c r="AE1397" s="13" t="s">
        <v>61</v>
      </c>
    </row>
    <row r="1398" spans="1:31" x14ac:dyDescent="0.35">
      <c r="A1398" s="13" t="s">
        <v>2152</v>
      </c>
      <c r="B1398" s="13" t="s">
        <v>1665</v>
      </c>
      <c r="C1398" s="13" t="s">
        <v>1666</v>
      </c>
      <c r="D1398" s="13" t="s">
        <v>76</v>
      </c>
      <c r="E1398" s="13" t="s">
        <v>77</v>
      </c>
      <c r="F1398" s="13" t="s">
        <v>78</v>
      </c>
      <c r="G1398" s="13" t="s">
        <v>55</v>
      </c>
      <c r="H1398">
        <v>65000</v>
      </c>
      <c r="I1398" s="13" t="s">
        <v>93</v>
      </c>
      <c r="J1398" s="13" t="s">
        <v>94</v>
      </c>
      <c r="K1398" s="13" t="s">
        <v>81</v>
      </c>
      <c r="L1398" s="13" t="s">
        <v>95</v>
      </c>
      <c r="M1398">
        <v>30</v>
      </c>
      <c r="N1398">
        <v>0</v>
      </c>
      <c r="O1398" s="14">
        <v>45996</v>
      </c>
      <c r="P1398" s="14">
        <v>46026</v>
      </c>
      <c r="Q1398">
        <v>631.13</v>
      </c>
      <c r="R1398">
        <v>0</v>
      </c>
      <c r="S1398">
        <v>0</v>
      </c>
      <c r="T1398">
        <v>0</v>
      </c>
      <c r="U1398">
        <v>0</v>
      </c>
      <c r="V1398">
        <v>631.13</v>
      </c>
      <c r="W1398">
        <v>0</v>
      </c>
      <c r="X1398">
        <v>1</v>
      </c>
      <c r="Y1398">
        <v>0</v>
      </c>
      <c r="Z1398">
        <v>-4</v>
      </c>
      <c r="AA1398">
        <v>1</v>
      </c>
      <c r="AB1398" s="13" t="s">
        <v>581</v>
      </c>
      <c r="AC1398">
        <v>0</v>
      </c>
      <c r="AD1398">
        <v>0</v>
      </c>
      <c r="AE1398" s="13" t="s">
        <v>61</v>
      </c>
    </row>
    <row r="1399" spans="1:31" x14ac:dyDescent="0.35">
      <c r="A1399" s="13" t="s">
        <v>2153</v>
      </c>
      <c r="B1399" s="13" t="s">
        <v>601</v>
      </c>
      <c r="C1399" s="13" t="s">
        <v>602</v>
      </c>
      <c r="D1399" s="13" t="s">
        <v>52</v>
      </c>
      <c r="E1399" s="13" t="s">
        <v>53</v>
      </c>
      <c r="F1399" s="13" t="s">
        <v>135</v>
      </c>
      <c r="G1399" s="13" t="s">
        <v>67</v>
      </c>
      <c r="H1399">
        <v>525000</v>
      </c>
      <c r="I1399" s="13" t="s">
        <v>86</v>
      </c>
      <c r="J1399" s="13" t="s">
        <v>87</v>
      </c>
      <c r="K1399" s="13" t="s">
        <v>58</v>
      </c>
      <c r="L1399" s="13" t="s">
        <v>59</v>
      </c>
      <c r="M1399">
        <v>45</v>
      </c>
      <c r="N1399">
        <v>0</v>
      </c>
      <c r="O1399" s="14">
        <v>45996</v>
      </c>
      <c r="P1399" s="14">
        <v>46041</v>
      </c>
      <c r="Q1399">
        <v>8496.43</v>
      </c>
      <c r="R1399">
        <v>0</v>
      </c>
      <c r="S1399">
        <v>0</v>
      </c>
      <c r="T1399">
        <v>0</v>
      </c>
      <c r="U1399">
        <v>0</v>
      </c>
      <c r="V1399">
        <v>8496.43</v>
      </c>
      <c r="W1399">
        <v>0</v>
      </c>
      <c r="X1399">
        <v>1</v>
      </c>
      <c r="Y1399">
        <v>0</v>
      </c>
      <c r="Z1399">
        <v>-19</v>
      </c>
      <c r="AA1399">
        <v>1</v>
      </c>
      <c r="AB1399" s="13" t="s">
        <v>581</v>
      </c>
      <c r="AC1399">
        <v>0</v>
      </c>
      <c r="AD1399">
        <v>0</v>
      </c>
      <c r="AE1399" s="13" t="s">
        <v>61</v>
      </c>
    </row>
    <row r="1400" spans="1:31" x14ac:dyDescent="0.35">
      <c r="A1400" s="13" t="s">
        <v>2154</v>
      </c>
      <c r="B1400" s="13" t="s">
        <v>2155</v>
      </c>
      <c r="C1400" s="13" t="s">
        <v>2156</v>
      </c>
      <c r="D1400" s="13" t="s">
        <v>76</v>
      </c>
      <c r="E1400" s="13" t="s">
        <v>53</v>
      </c>
      <c r="F1400" s="13" t="s">
        <v>135</v>
      </c>
      <c r="G1400" s="13" t="s">
        <v>67</v>
      </c>
      <c r="H1400">
        <v>120000</v>
      </c>
      <c r="I1400" s="13" t="s">
        <v>79</v>
      </c>
      <c r="J1400" s="13" t="s">
        <v>80</v>
      </c>
      <c r="K1400" s="13" t="s">
        <v>81</v>
      </c>
      <c r="L1400" s="13" t="s">
        <v>95</v>
      </c>
      <c r="M1400">
        <v>30</v>
      </c>
      <c r="N1400">
        <v>0</v>
      </c>
      <c r="O1400" s="14">
        <v>45996</v>
      </c>
      <c r="P1400" s="14">
        <v>46026</v>
      </c>
      <c r="Q1400">
        <v>1069.02</v>
      </c>
      <c r="R1400">
        <v>0</v>
      </c>
      <c r="S1400">
        <v>0</v>
      </c>
      <c r="T1400">
        <v>0</v>
      </c>
      <c r="U1400">
        <v>0</v>
      </c>
      <c r="V1400">
        <v>1069.02</v>
      </c>
      <c r="W1400">
        <v>0</v>
      </c>
      <c r="X1400">
        <v>1</v>
      </c>
      <c r="Y1400">
        <v>0</v>
      </c>
      <c r="Z1400">
        <v>-4</v>
      </c>
      <c r="AA1400">
        <v>1</v>
      </c>
      <c r="AB1400" s="13" t="s">
        <v>581</v>
      </c>
      <c r="AC1400">
        <v>0</v>
      </c>
      <c r="AD1400">
        <v>0</v>
      </c>
      <c r="AE1400" s="13" t="s">
        <v>61</v>
      </c>
    </row>
    <row r="1401" spans="1:31" x14ac:dyDescent="0.35">
      <c r="A1401" s="13" t="s">
        <v>2157</v>
      </c>
      <c r="B1401" s="13" t="s">
        <v>1179</v>
      </c>
      <c r="C1401" s="13" t="s">
        <v>1180</v>
      </c>
      <c r="D1401" s="13" t="s">
        <v>104</v>
      </c>
      <c r="E1401" s="13" t="s">
        <v>71</v>
      </c>
      <c r="F1401" s="13" t="s">
        <v>72</v>
      </c>
      <c r="G1401" s="13" t="s">
        <v>67</v>
      </c>
      <c r="H1401">
        <v>50000</v>
      </c>
      <c r="I1401" s="13" t="s">
        <v>105</v>
      </c>
      <c r="J1401" s="13" t="s">
        <v>106</v>
      </c>
      <c r="K1401" s="13" t="s">
        <v>107</v>
      </c>
      <c r="L1401" s="13" t="s">
        <v>88</v>
      </c>
      <c r="M1401">
        <v>60</v>
      </c>
      <c r="N1401">
        <v>0</v>
      </c>
      <c r="O1401" s="14">
        <v>45996</v>
      </c>
      <c r="P1401" s="14">
        <v>46056</v>
      </c>
      <c r="Q1401">
        <v>5909.2</v>
      </c>
      <c r="R1401">
        <v>0</v>
      </c>
      <c r="S1401">
        <v>0</v>
      </c>
      <c r="T1401">
        <v>0</v>
      </c>
      <c r="U1401">
        <v>0</v>
      </c>
      <c r="V1401">
        <v>5909.2</v>
      </c>
      <c r="W1401">
        <v>0</v>
      </c>
      <c r="X1401">
        <v>1</v>
      </c>
      <c r="Y1401">
        <v>0</v>
      </c>
      <c r="Z1401">
        <v>-34</v>
      </c>
      <c r="AA1401">
        <v>1</v>
      </c>
      <c r="AB1401" s="13" t="s">
        <v>581</v>
      </c>
      <c r="AC1401">
        <v>0</v>
      </c>
      <c r="AD1401">
        <v>0</v>
      </c>
      <c r="AE1401" s="13" t="s">
        <v>61</v>
      </c>
    </row>
    <row r="1402" spans="1:31" x14ac:dyDescent="0.35">
      <c r="A1402" s="13" t="s">
        <v>2158</v>
      </c>
      <c r="B1402" s="13" t="s">
        <v>2024</v>
      </c>
      <c r="C1402" s="13" t="s">
        <v>2025</v>
      </c>
      <c r="D1402" s="13" t="s">
        <v>104</v>
      </c>
      <c r="E1402" s="13" t="s">
        <v>65</v>
      </c>
      <c r="F1402" s="13" t="s">
        <v>111</v>
      </c>
      <c r="G1402" s="13" t="s">
        <v>55</v>
      </c>
      <c r="H1402">
        <v>130000</v>
      </c>
      <c r="I1402" s="13" t="s">
        <v>121</v>
      </c>
      <c r="J1402" s="13" t="s">
        <v>122</v>
      </c>
      <c r="K1402" s="13" t="s">
        <v>107</v>
      </c>
      <c r="L1402" s="13" t="s">
        <v>95</v>
      </c>
      <c r="M1402">
        <v>30</v>
      </c>
      <c r="N1402">
        <v>0</v>
      </c>
      <c r="O1402" s="14">
        <v>45996</v>
      </c>
      <c r="P1402" s="14">
        <v>46026</v>
      </c>
      <c r="Q1402">
        <v>6446.17</v>
      </c>
      <c r="R1402">
        <v>0</v>
      </c>
      <c r="S1402">
        <v>0</v>
      </c>
      <c r="T1402">
        <v>0</v>
      </c>
      <c r="U1402">
        <v>0</v>
      </c>
      <c r="V1402">
        <v>6446.17</v>
      </c>
      <c r="W1402">
        <v>0</v>
      </c>
      <c r="X1402">
        <v>1</v>
      </c>
      <c r="Y1402">
        <v>0</v>
      </c>
      <c r="Z1402">
        <v>-4</v>
      </c>
      <c r="AA1402">
        <v>1</v>
      </c>
      <c r="AB1402" s="13" t="s">
        <v>581</v>
      </c>
      <c r="AC1402">
        <v>0</v>
      </c>
      <c r="AD1402">
        <v>0</v>
      </c>
      <c r="AE1402" s="13" t="s">
        <v>61</v>
      </c>
    </row>
    <row r="1403" spans="1:31" x14ac:dyDescent="0.35">
      <c r="A1403" s="13" t="s">
        <v>2159</v>
      </c>
      <c r="B1403" s="13" t="s">
        <v>584</v>
      </c>
      <c r="C1403" s="13" t="s">
        <v>585</v>
      </c>
      <c r="D1403" s="13" t="s">
        <v>104</v>
      </c>
      <c r="E1403" s="13" t="s">
        <v>53</v>
      </c>
      <c r="F1403" s="13" t="s">
        <v>54</v>
      </c>
      <c r="G1403" s="13" t="s">
        <v>67</v>
      </c>
      <c r="H1403">
        <v>115000</v>
      </c>
      <c r="I1403" s="13" t="s">
        <v>121</v>
      </c>
      <c r="J1403" s="13" t="s">
        <v>122</v>
      </c>
      <c r="K1403" s="13" t="s">
        <v>107</v>
      </c>
      <c r="L1403" s="13" t="s">
        <v>88</v>
      </c>
      <c r="M1403">
        <v>60</v>
      </c>
      <c r="N1403">
        <v>0</v>
      </c>
      <c r="O1403" s="14">
        <v>45996</v>
      </c>
      <c r="P1403" s="14">
        <v>46056</v>
      </c>
      <c r="Q1403">
        <v>6156.01</v>
      </c>
      <c r="R1403">
        <v>0</v>
      </c>
      <c r="S1403">
        <v>0</v>
      </c>
      <c r="T1403">
        <v>0</v>
      </c>
      <c r="U1403">
        <v>0</v>
      </c>
      <c r="V1403">
        <v>6156.01</v>
      </c>
      <c r="W1403">
        <v>0</v>
      </c>
      <c r="X1403">
        <v>1</v>
      </c>
      <c r="Y1403">
        <v>0</v>
      </c>
      <c r="Z1403">
        <v>-34</v>
      </c>
      <c r="AA1403">
        <v>1</v>
      </c>
      <c r="AB1403" s="13" t="s">
        <v>581</v>
      </c>
      <c r="AC1403">
        <v>0</v>
      </c>
      <c r="AD1403">
        <v>0</v>
      </c>
      <c r="AE1403" s="13" t="s">
        <v>61</v>
      </c>
    </row>
    <row r="1404" spans="1:31" x14ac:dyDescent="0.35">
      <c r="A1404" s="13" t="s">
        <v>2160</v>
      </c>
      <c r="B1404" s="13" t="s">
        <v>1150</v>
      </c>
      <c r="C1404" s="13" t="s">
        <v>1151</v>
      </c>
      <c r="D1404" s="13" t="s">
        <v>76</v>
      </c>
      <c r="E1404" s="13" t="s">
        <v>77</v>
      </c>
      <c r="F1404" s="13" t="s">
        <v>174</v>
      </c>
      <c r="G1404" s="13" t="s">
        <v>92</v>
      </c>
      <c r="H1404">
        <v>50000</v>
      </c>
      <c r="I1404" s="13" t="s">
        <v>79</v>
      </c>
      <c r="J1404" s="13" t="s">
        <v>80</v>
      </c>
      <c r="K1404" s="13" t="s">
        <v>81</v>
      </c>
      <c r="L1404" s="13" t="s">
        <v>82</v>
      </c>
      <c r="M1404">
        <v>30</v>
      </c>
      <c r="N1404">
        <v>2</v>
      </c>
      <c r="O1404" s="14">
        <v>45996</v>
      </c>
      <c r="P1404" s="14">
        <v>46026</v>
      </c>
      <c r="Q1404">
        <v>467.07</v>
      </c>
      <c r="R1404">
        <v>0</v>
      </c>
      <c r="S1404">
        <v>0</v>
      </c>
      <c r="T1404">
        <v>0</v>
      </c>
      <c r="U1404">
        <v>0</v>
      </c>
      <c r="V1404">
        <v>467.07</v>
      </c>
      <c r="W1404">
        <v>0</v>
      </c>
      <c r="X1404">
        <v>1</v>
      </c>
      <c r="Y1404">
        <v>0</v>
      </c>
      <c r="Z1404">
        <v>-4</v>
      </c>
      <c r="AA1404">
        <v>1</v>
      </c>
      <c r="AB1404" s="13" t="s">
        <v>581</v>
      </c>
      <c r="AC1404">
        <v>0</v>
      </c>
      <c r="AD1404">
        <v>0</v>
      </c>
      <c r="AE1404" s="13" t="s">
        <v>61</v>
      </c>
    </row>
    <row r="1405" spans="1:31" x14ac:dyDescent="0.35">
      <c r="A1405" s="13" t="s">
        <v>2161</v>
      </c>
      <c r="B1405" s="13" t="s">
        <v>1209</v>
      </c>
      <c r="C1405" s="13" t="s">
        <v>1210</v>
      </c>
      <c r="D1405" s="13" t="s">
        <v>104</v>
      </c>
      <c r="E1405" s="13" t="s">
        <v>99</v>
      </c>
      <c r="F1405" s="13" t="s">
        <v>127</v>
      </c>
      <c r="G1405" s="13" t="s">
        <v>55</v>
      </c>
      <c r="H1405">
        <v>145000</v>
      </c>
      <c r="I1405" s="13" t="s">
        <v>105</v>
      </c>
      <c r="J1405" s="13" t="s">
        <v>106</v>
      </c>
      <c r="K1405" s="13" t="s">
        <v>107</v>
      </c>
      <c r="L1405" s="13" t="s">
        <v>95</v>
      </c>
      <c r="M1405">
        <v>30</v>
      </c>
      <c r="N1405">
        <v>0</v>
      </c>
      <c r="O1405" s="14">
        <v>45996</v>
      </c>
      <c r="P1405" s="14">
        <v>46026</v>
      </c>
      <c r="Q1405">
        <v>1689.89</v>
      </c>
      <c r="R1405">
        <v>0</v>
      </c>
      <c r="S1405">
        <v>0</v>
      </c>
      <c r="T1405">
        <v>0</v>
      </c>
      <c r="U1405">
        <v>0</v>
      </c>
      <c r="V1405">
        <v>1689.89</v>
      </c>
      <c r="W1405">
        <v>0</v>
      </c>
      <c r="X1405">
        <v>1</v>
      </c>
      <c r="Y1405">
        <v>0</v>
      </c>
      <c r="Z1405">
        <v>-4</v>
      </c>
      <c r="AA1405">
        <v>1</v>
      </c>
      <c r="AB1405" s="13" t="s">
        <v>581</v>
      </c>
      <c r="AC1405">
        <v>0</v>
      </c>
      <c r="AD1405">
        <v>0</v>
      </c>
      <c r="AE1405" s="13" t="s">
        <v>61</v>
      </c>
    </row>
    <row r="1406" spans="1:31" x14ac:dyDescent="0.35">
      <c r="A1406" s="13" t="s">
        <v>2162</v>
      </c>
      <c r="B1406" s="13" t="s">
        <v>2163</v>
      </c>
      <c r="C1406" s="13" t="s">
        <v>2164</v>
      </c>
      <c r="D1406" s="13" t="s">
        <v>76</v>
      </c>
      <c r="E1406" s="13" t="s">
        <v>65</v>
      </c>
      <c r="F1406" s="13" t="s">
        <v>66</v>
      </c>
      <c r="G1406" s="13" t="s">
        <v>67</v>
      </c>
      <c r="H1406">
        <v>75000</v>
      </c>
      <c r="I1406" s="13" t="s">
        <v>93</v>
      </c>
      <c r="J1406" s="13" t="s">
        <v>94</v>
      </c>
      <c r="K1406" s="13" t="s">
        <v>81</v>
      </c>
      <c r="L1406" s="13" t="s">
        <v>82</v>
      </c>
      <c r="M1406">
        <v>30</v>
      </c>
      <c r="N1406">
        <v>2</v>
      </c>
      <c r="O1406" s="14">
        <v>45996</v>
      </c>
      <c r="P1406" s="14">
        <v>46026</v>
      </c>
      <c r="Q1406">
        <v>3139.35</v>
      </c>
      <c r="R1406">
        <v>0</v>
      </c>
      <c r="S1406">
        <v>0</v>
      </c>
      <c r="T1406">
        <v>0</v>
      </c>
      <c r="U1406">
        <v>0</v>
      </c>
      <c r="V1406">
        <v>3139.35</v>
      </c>
      <c r="W1406">
        <v>0</v>
      </c>
      <c r="X1406">
        <v>1</v>
      </c>
      <c r="Y1406">
        <v>0</v>
      </c>
      <c r="Z1406">
        <v>-4</v>
      </c>
      <c r="AA1406">
        <v>1</v>
      </c>
      <c r="AB1406" s="13" t="s">
        <v>581</v>
      </c>
      <c r="AC1406">
        <v>0</v>
      </c>
      <c r="AD1406">
        <v>0</v>
      </c>
      <c r="AE1406" s="13" t="s">
        <v>61</v>
      </c>
    </row>
    <row r="1407" spans="1:31" x14ac:dyDescent="0.35">
      <c r="A1407" s="13" t="s">
        <v>2165</v>
      </c>
      <c r="B1407" s="13" t="s">
        <v>927</v>
      </c>
      <c r="C1407" s="13" t="s">
        <v>928</v>
      </c>
      <c r="D1407" s="13" t="s">
        <v>52</v>
      </c>
      <c r="E1407" s="13" t="s">
        <v>99</v>
      </c>
      <c r="F1407" s="13" t="s">
        <v>100</v>
      </c>
      <c r="G1407" s="13" t="s">
        <v>67</v>
      </c>
      <c r="H1407">
        <v>185000</v>
      </c>
      <c r="I1407" s="13" t="s">
        <v>56</v>
      </c>
      <c r="J1407" s="13" t="s">
        <v>57</v>
      </c>
      <c r="K1407" s="13" t="s">
        <v>58</v>
      </c>
      <c r="L1407" s="13" t="s">
        <v>88</v>
      </c>
      <c r="M1407">
        <v>60</v>
      </c>
      <c r="N1407">
        <v>0</v>
      </c>
      <c r="O1407" s="14">
        <v>45996</v>
      </c>
      <c r="P1407" s="14">
        <v>46056</v>
      </c>
      <c r="Q1407">
        <v>17138.97</v>
      </c>
      <c r="R1407">
        <v>0</v>
      </c>
      <c r="S1407">
        <v>0</v>
      </c>
      <c r="T1407">
        <v>0</v>
      </c>
      <c r="U1407">
        <v>0</v>
      </c>
      <c r="V1407">
        <v>17138.97</v>
      </c>
      <c r="W1407">
        <v>0</v>
      </c>
      <c r="X1407">
        <v>1</v>
      </c>
      <c r="Y1407">
        <v>0</v>
      </c>
      <c r="Z1407">
        <v>-34</v>
      </c>
      <c r="AA1407">
        <v>1</v>
      </c>
      <c r="AB1407" s="13" t="s">
        <v>581</v>
      </c>
      <c r="AC1407">
        <v>0</v>
      </c>
      <c r="AD1407">
        <v>0</v>
      </c>
      <c r="AE1407" s="13" t="s">
        <v>61</v>
      </c>
    </row>
    <row r="1408" spans="1:31" x14ac:dyDescent="0.35">
      <c r="A1408" s="13" t="s">
        <v>2166</v>
      </c>
      <c r="B1408" s="13" t="s">
        <v>899</v>
      </c>
      <c r="C1408" s="13" t="s">
        <v>900</v>
      </c>
      <c r="D1408" s="13" t="s">
        <v>76</v>
      </c>
      <c r="E1408" s="13" t="s">
        <v>71</v>
      </c>
      <c r="F1408" s="13" t="s">
        <v>72</v>
      </c>
      <c r="G1408" s="13" t="s">
        <v>92</v>
      </c>
      <c r="H1408">
        <v>85000</v>
      </c>
      <c r="I1408" s="13" t="s">
        <v>93</v>
      </c>
      <c r="J1408" s="13" t="s">
        <v>94</v>
      </c>
      <c r="K1408" s="13" t="s">
        <v>81</v>
      </c>
      <c r="L1408" s="13" t="s">
        <v>82</v>
      </c>
      <c r="M1408">
        <v>30</v>
      </c>
      <c r="N1408">
        <v>2</v>
      </c>
      <c r="O1408" s="14">
        <v>45996</v>
      </c>
      <c r="P1408" s="14">
        <v>46026</v>
      </c>
      <c r="Q1408">
        <v>450.2</v>
      </c>
      <c r="R1408">
        <v>0</v>
      </c>
      <c r="S1408">
        <v>0</v>
      </c>
      <c r="T1408">
        <v>0</v>
      </c>
      <c r="U1408">
        <v>0</v>
      </c>
      <c r="V1408">
        <v>450.2</v>
      </c>
      <c r="W1408">
        <v>0</v>
      </c>
      <c r="X1408">
        <v>1</v>
      </c>
      <c r="Y1408">
        <v>0</v>
      </c>
      <c r="Z1408">
        <v>-4</v>
      </c>
      <c r="AA1408">
        <v>1</v>
      </c>
      <c r="AB1408" s="13" t="s">
        <v>581</v>
      </c>
      <c r="AC1408">
        <v>0</v>
      </c>
      <c r="AD1408">
        <v>0</v>
      </c>
      <c r="AE1408" s="13" t="s">
        <v>61</v>
      </c>
    </row>
    <row r="1409" spans="1:31" x14ac:dyDescent="0.35">
      <c r="A1409" s="13" t="s">
        <v>2167</v>
      </c>
      <c r="B1409" s="13" t="s">
        <v>1785</v>
      </c>
      <c r="C1409" s="13" t="s">
        <v>1786</v>
      </c>
      <c r="D1409" s="13" t="s">
        <v>104</v>
      </c>
      <c r="E1409" s="13" t="s">
        <v>77</v>
      </c>
      <c r="F1409" s="13" t="s">
        <v>78</v>
      </c>
      <c r="G1409" s="13" t="s">
        <v>67</v>
      </c>
      <c r="H1409">
        <v>65000</v>
      </c>
      <c r="I1409" s="13" t="s">
        <v>121</v>
      </c>
      <c r="J1409" s="13" t="s">
        <v>122</v>
      </c>
      <c r="K1409" s="13" t="s">
        <v>107</v>
      </c>
      <c r="L1409" s="13" t="s">
        <v>95</v>
      </c>
      <c r="M1409">
        <v>30</v>
      </c>
      <c r="N1409">
        <v>0</v>
      </c>
      <c r="O1409" s="14">
        <v>45996</v>
      </c>
      <c r="P1409" s="14">
        <v>46026</v>
      </c>
      <c r="Q1409">
        <v>5532.92</v>
      </c>
      <c r="R1409">
        <v>0</v>
      </c>
      <c r="S1409">
        <v>0</v>
      </c>
      <c r="T1409">
        <v>0</v>
      </c>
      <c r="U1409">
        <v>0</v>
      </c>
      <c r="V1409">
        <v>5532.92</v>
      </c>
      <c r="W1409">
        <v>0</v>
      </c>
      <c r="X1409">
        <v>1</v>
      </c>
      <c r="Y1409">
        <v>0</v>
      </c>
      <c r="Z1409">
        <v>-4</v>
      </c>
      <c r="AA1409">
        <v>1</v>
      </c>
      <c r="AB1409" s="13" t="s">
        <v>581</v>
      </c>
      <c r="AC1409">
        <v>0</v>
      </c>
      <c r="AD1409">
        <v>0</v>
      </c>
      <c r="AE1409" s="13" t="s">
        <v>61</v>
      </c>
    </row>
    <row r="1410" spans="1:31" x14ac:dyDescent="0.35">
      <c r="A1410" s="13" t="s">
        <v>2168</v>
      </c>
      <c r="B1410" s="13" t="s">
        <v>870</v>
      </c>
      <c r="C1410" s="13" t="s">
        <v>871</v>
      </c>
      <c r="D1410" s="13" t="s">
        <v>104</v>
      </c>
      <c r="E1410" s="13" t="s">
        <v>71</v>
      </c>
      <c r="F1410" s="13" t="s">
        <v>72</v>
      </c>
      <c r="G1410" s="13" t="s">
        <v>55</v>
      </c>
      <c r="H1410">
        <v>60000</v>
      </c>
      <c r="I1410" s="13" t="s">
        <v>121</v>
      </c>
      <c r="J1410" s="13" t="s">
        <v>122</v>
      </c>
      <c r="K1410" s="13" t="s">
        <v>107</v>
      </c>
      <c r="L1410" s="13" t="s">
        <v>88</v>
      </c>
      <c r="M1410">
        <v>60</v>
      </c>
      <c r="N1410">
        <v>0</v>
      </c>
      <c r="O1410" s="14">
        <v>45996</v>
      </c>
      <c r="P1410" s="14">
        <v>46056</v>
      </c>
      <c r="Q1410">
        <v>1378.8</v>
      </c>
      <c r="R1410">
        <v>0</v>
      </c>
      <c r="S1410">
        <v>0</v>
      </c>
      <c r="T1410">
        <v>0</v>
      </c>
      <c r="U1410">
        <v>0</v>
      </c>
      <c r="V1410">
        <v>1378.8</v>
      </c>
      <c r="W1410">
        <v>0</v>
      </c>
      <c r="X1410">
        <v>1</v>
      </c>
      <c r="Y1410">
        <v>0</v>
      </c>
      <c r="Z1410">
        <v>-34</v>
      </c>
      <c r="AA1410">
        <v>1</v>
      </c>
      <c r="AB1410" s="13" t="s">
        <v>581</v>
      </c>
      <c r="AC1410">
        <v>0</v>
      </c>
      <c r="AD1410">
        <v>0</v>
      </c>
      <c r="AE1410" s="13" t="s">
        <v>61</v>
      </c>
    </row>
    <row r="1411" spans="1:31" x14ac:dyDescent="0.35">
      <c r="A1411" s="13" t="s">
        <v>2169</v>
      </c>
      <c r="B1411" s="13" t="s">
        <v>930</v>
      </c>
      <c r="C1411" s="13" t="s">
        <v>931</v>
      </c>
      <c r="D1411" s="13" t="s">
        <v>104</v>
      </c>
      <c r="E1411" s="13" t="s">
        <v>71</v>
      </c>
      <c r="F1411" s="13" t="s">
        <v>214</v>
      </c>
      <c r="G1411" s="13" t="s">
        <v>55</v>
      </c>
      <c r="H1411">
        <v>120000</v>
      </c>
      <c r="I1411" s="13" t="s">
        <v>121</v>
      </c>
      <c r="J1411" s="13" t="s">
        <v>122</v>
      </c>
      <c r="K1411" s="13" t="s">
        <v>107</v>
      </c>
      <c r="L1411" s="13" t="s">
        <v>88</v>
      </c>
      <c r="M1411">
        <v>60</v>
      </c>
      <c r="N1411">
        <v>0</v>
      </c>
      <c r="O1411" s="14">
        <v>45996</v>
      </c>
      <c r="P1411" s="14">
        <v>46056</v>
      </c>
      <c r="Q1411">
        <v>1046.83</v>
      </c>
      <c r="R1411">
        <v>0</v>
      </c>
      <c r="S1411">
        <v>0</v>
      </c>
      <c r="T1411">
        <v>0</v>
      </c>
      <c r="U1411">
        <v>0</v>
      </c>
      <c r="V1411">
        <v>1046.83</v>
      </c>
      <c r="W1411">
        <v>0</v>
      </c>
      <c r="X1411">
        <v>1</v>
      </c>
      <c r="Y1411">
        <v>0</v>
      </c>
      <c r="Z1411">
        <v>-34</v>
      </c>
      <c r="AA1411">
        <v>1</v>
      </c>
      <c r="AB1411" s="13" t="s">
        <v>581</v>
      </c>
      <c r="AC1411">
        <v>0</v>
      </c>
      <c r="AD1411">
        <v>0</v>
      </c>
      <c r="AE1411" s="13" t="s">
        <v>61</v>
      </c>
    </row>
    <row r="1412" spans="1:31" x14ac:dyDescent="0.35">
      <c r="A1412" s="13" t="s">
        <v>2170</v>
      </c>
      <c r="B1412" s="13" t="s">
        <v>2171</v>
      </c>
      <c r="C1412" s="13" t="s">
        <v>2172</v>
      </c>
      <c r="D1412" s="13" t="s">
        <v>76</v>
      </c>
      <c r="E1412" s="13" t="s">
        <v>99</v>
      </c>
      <c r="F1412" s="13" t="s">
        <v>127</v>
      </c>
      <c r="G1412" s="13" t="s">
        <v>55</v>
      </c>
      <c r="H1412">
        <v>85000</v>
      </c>
      <c r="I1412" s="13" t="s">
        <v>93</v>
      </c>
      <c r="J1412" s="13" t="s">
        <v>94</v>
      </c>
      <c r="K1412" s="13" t="s">
        <v>81</v>
      </c>
      <c r="L1412" s="13" t="s">
        <v>95</v>
      </c>
      <c r="M1412">
        <v>30</v>
      </c>
      <c r="N1412">
        <v>0</v>
      </c>
      <c r="O1412" s="14">
        <v>45996</v>
      </c>
      <c r="P1412" s="14">
        <v>46026</v>
      </c>
      <c r="Q1412">
        <v>533.55999999999995</v>
      </c>
      <c r="R1412">
        <v>0</v>
      </c>
      <c r="S1412">
        <v>0</v>
      </c>
      <c r="T1412">
        <v>0</v>
      </c>
      <c r="U1412">
        <v>0</v>
      </c>
      <c r="V1412">
        <v>533.55999999999995</v>
      </c>
      <c r="W1412">
        <v>0</v>
      </c>
      <c r="X1412">
        <v>1</v>
      </c>
      <c r="Y1412">
        <v>0</v>
      </c>
      <c r="Z1412">
        <v>-4</v>
      </c>
      <c r="AA1412">
        <v>1</v>
      </c>
      <c r="AB1412" s="13" t="s">
        <v>581</v>
      </c>
      <c r="AC1412">
        <v>0</v>
      </c>
      <c r="AD1412">
        <v>0</v>
      </c>
      <c r="AE1412" s="13" t="s">
        <v>61</v>
      </c>
    </row>
    <row r="1413" spans="1:31" x14ac:dyDescent="0.35">
      <c r="A1413" s="13" t="s">
        <v>2173</v>
      </c>
      <c r="B1413" s="13" t="s">
        <v>386</v>
      </c>
      <c r="C1413" s="13" t="s">
        <v>387</v>
      </c>
      <c r="D1413" s="13" t="s">
        <v>52</v>
      </c>
      <c r="E1413" s="13" t="s">
        <v>65</v>
      </c>
      <c r="F1413" s="13" t="s">
        <v>66</v>
      </c>
      <c r="G1413" s="13" t="s">
        <v>67</v>
      </c>
      <c r="H1413">
        <v>215000</v>
      </c>
      <c r="I1413" s="13" t="s">
        <v>56</v>
      </c>
      <c r="J1413" s="13" t="s">
        <v>57</v>
      </c>
      <c r="K1413" s="13" t="s">
        <v>58</v>
      </c>
      <c r="L1413" s="13" t="s">
        <v>88</v>
      </c>
      <c r="M1413">
        <v>60</v>
      </c>
      <c r="N1413">
        <v>0</v>
      </c>
      <c r="O1413" s="14">
        <v>45996</v>
      </c>
      <c r="P1413" s="14">
        <v>46056</v>
      </c>
      <c r="Q1413">
        <v>7010.91</v>
      </c>
      <c r="R1413">
        <v>0</v>
      </c>
      <c r="S1413">
        <v>0</v>
      </c>
      <c r="T1413">
        <v>0</v>
      </c>
      <c r="U1413">
        <v>0</v>
      </c>
      <c r="V1413">
        <v>7010.91</v>
      </c>
      <c r="W1413">
        <v>0</v>
      </c>
      <c r="X1413">
        <v>1</v>
      </c>
      <c r="Y1413">
        <v>0</v>
      </c>
      <c r="Z1413">
        <v>-34</v>
      </c>
      <c r="AA1413">
        <v>1</v>
      </c>
      <c r="AB1413" s="13" t="s">
        <v>581</v>
      </c>
      <c r="AC1413">
        <v>0</v>
      </c>
      <c r="AD1413">
        <v>0</v>
      </c>
      <c r="AE1413" s="13" t="s">
        <v>61</v>
      </c>
    </row>
    <row r="1414" spans="1:31" x14ac:dyDescent="0.35">
      <c r="A1414" s="13" t="s">
        <v>2174</v>
      </c>
      <c r="B1414" s="13" t="s">
        <v>1018</v>
      </c>
      <c r="C1414" s="13" t="s">
        <v>1019</v>
      </c>
      <c r="D1414" s="13" t="s">
        <v>52</v>
      </c>
      <c r="E1414" s="13" t="s">
        <v>65</v>
      </c>
      <c r="F1414" s="13" t="s">
        <v>66</v>
      </c>
      <c r="G1414" s="13" t="s">
        <v>67</v>
      </c>
      <c r="H1414">
        <v>250000</v>
      </c>
      <c r="I1414" s="13" t="s">
        <v>86</v>
      </c>
      <c r="J1414" s="13" t="s">
        <v>87</v>
      </c>
      <c r="K1414" s="13" t="s">
        <v>58</v>
      </c>
      <c r="L1414" s="13" t="s">
        <v>59</v>
      </c>
      <c r="M1414">
        <v>45</v>
      </c>
      <c r="N1414">
        <v>0</v>
      </c>
      <c r="O1414" s="14">
        <v>45996</v>
      </c>
      <c r="P1414" s="14">
        <v>46041</v>
      </c>
      <c r="Q1414">
        <v>8226.7800000000007</v>
      </c>
      <c r="R1414">
        <v>0</v>
      </c>
      <c r="S1414">
        <v>0</v>
      </c>
      <c r="T1414">
        <v>0</v>
      </c>
      <c r="U1414">
        <v>0</v>
      </c>
      <c r="V1414">
        <v>8226.7800000000007</v>
      </c>
      <c r="W1414">
        <v>0</v>
      </c>
      <c r="X1414">
        <v>1</v>
      </c>
      <c r="Y1414">
        <v>0</v>
      </c>
      <c r="Z1414">
        <v>-19</v>
      </c>
      <c r="AA1414">
        <v>1</v>
      </c>
      <c r="AB1414" s="13" t="s">
        <v>581</v>
      </c>
      <c r="AC1414">
        <v>0</v>
      </c>
      <c r="AD1414">
        <v>0</v>
      </c>
      <c r="AE1414" s="13" t="s">
        <v>61</v>
      </c>
    </row>
    <row r="1415" spans="1:31" x14ac:dyDescent="0.35">
      <c r="A1415" s="13" t="s">
        <v>2175</v>
      </c>
      <c r="B1415" s="13" t="s">
        <v>2043</v>
      </c>
      <c r="C1415" s="13" t="s">
        <v>2044</v>
      </c>
      <c r="D1415" s="13" t="s">
        <v>76</v>
      </c>
      <c r="E1415" s="13" t="s">
        <v>65</v>
      </c>
      <c r="F1415" s="13" t="s">
        <v>111</v>
      </c>
      <c r="G1415" s="13" t="s">
        <v>55</v>
      </c>
      <c r="H1415">
        <v>40000</v>
      </c>
      <c r="I1415" s="13" t="s">
        <v>93</v>
      </c>
      <c r="J1415" s="13" t="s">
        <v>94</v>
      </c>
      <c r="K1415" s="13" t="s">
        <v>81</v>
      </c>
      <c r="L1415" s="13" t="s">
        <v>82</v>
      </c>
      <c r="M1415">
        <v>30</v>
      </c>
      <c r="N1415">
        <v>2</v>
      </c>
      <c r="O1415" s="14">
        <v>45996</v>
      </c>
      <c r="P1415" s="14">
        <v>46026</v>
      </c>
      <c r="Q1415">
        <v>4694.28</v>
      </c>
      <c r="R1415">
        <v>0</v>
      </c>
      <c r="S1415">
        <v>0</v>
      </c>
      <c r="T1415">
        <v>0</v>
      </c>
      <c r="U1415">
        <v>0</v>
      </c>
      <c r="V1415">
        <v>4694.28</v>
      </c>
      <c r="W1415">
        <v>0</v>
      </c>
      <c r="X1415">
        <v>1</v>
      </c>
      <c r="Y1415">
        <v>0</v>
      </c>
      <c r="Z1415">
        <v>-4</v>
      </c>
      <c r="AA1415">
        <v>1</v>
      </c>
      <c r="AB1415" s="13" t="s">
        <v>581</v>
      </c>
      <c r="AC1415">
        <v>0</v>
      </c>
      <c r="AD1415">
        <v>0</v>
      </c>
      <c r="AE1415" s="13" t="s">
        <v>61</v>
      </c>
    </row>
    <row r="1416" spans="1:31" x14ac:dyDescent="0.35">
      <c r="A1416" s="13" t="s">
        <v>2176</v>
      </c>
      <c r="B1416" s="13" t="s">
        <v>1397</v>
      </c>
      <c r="C1416" s="13" t="s">
        <v>1398</v>
      </c>
      <c r="D1416" s="13" t="s">
        <v>76</v>
      </c>
      <c r="E1416" s="13" t="s">
        <v>77</v>
      </c>
      <c r="F1416" s="13" t="s">
        <v>78</v>
      </c>
      <c r="G1416" s="13" t="s">
        <v>55</v>
      </c>
      <c r="H1416">
        <v>75000</v>
      </c>
      <c r="I1416" s="13" t="s">
        <v>79</v>
      </c>
      <c r="J1416" s="13" t="s">
        <v>80</v>
      </c>
      <c r="K1416" s="13" t="s">
        <v>81</v>
      </c>
      <c r="L1416" s="13" t="s">
        <v>95</v>
      </c>
      <c r="M1416">
        <v>30</v>
      </c>
      <c r="N1416">
        <v>0</v>
      </c>
      <c r="O1416" s="14">
        <v>45996</v>
      </c>
      <c r="P1416" s="14">
        <v>46026</v>
      </c>
      <c r="Q1416">
        <v>2043.91</v>
      </c>
      <c r="R1416">
        <v>0</v>
      </c>
      <c r="S1416">
        <v>0</v>
      </c>
      <c r="T1416">
        <v>0</v>
      </c>
      <c r="U1416">
        <v>0</v>
      </c>
      <c r="V1416">
        <v>2043.91</v>
      </c>
      <c r="W1416">
        <v>0</v>
      </c>
      <c r="X1416">
        <v>1</v>
      </c>
      <c r="Y1416">
        <v>0</v>
      </c>
      <c r="Z1416">
        <v>-4</v>
      </c>
      <c r="AA1416">
        <v>1</v>
      </c>
      <c r="AB1416" s="13" t="s">
        <v>581</v>
      </c>
      <c r="AC1416">
        <v>0</v>
      </c>
      <c r="AD1416">
        <v>0</v>
      </c>
      <c r="AE1416" s="13" t="s">
        <v>61</v>
      </c>
    </row>
    <row r="1417" spans="1:31" x14ac:dyDescent="0.35">
      <c r="A1417" s="13" t="s">
        <v>2177</v>
      </c>
      <c r="B1417" s="13" t="s">
        <v>63</v>
      </c>
      <c r="C1417" s="13" t="s">
        <v>64</v>
      </c>
      <c r="D1417" s="13" t="s">
        <v>52</v>
      </c>
      <c r="E1417" s="13" t="s">
        <v>65</v>
      </c>
      <c r="F1417" s="13" t="s">
        <v>66</v>
      </c>
      <c r="G1417" s="13" t="s">
        <v>67</v>
      </c>
      <c r="H1417">
        <v>315000</v>
      </c>
      <c r="I1417" s="13" t="s">
        <v>56</v>
      </c>
      <c r="J1417" s="13" t="s">
        <v>57</v>
      </c>
      <c r="K1417" s="13" t="s">
        <v>58</v>
      </c>
      <c r="L1417" s="13" t="s">
        <v>59</v>
      </c>
      <c r="M1417">
        <v>45</v>
      </c>
      <c r="N1417">
        <v>0</v>
      </c>
      <c r="O1417" s="14">
        <v>45996</v>
      </c>
      <c r="P1417" s="14">
        <v>46041</v>
      </c>
      <c r="Q1417">
        <v>1640.81</v>
      </c>
      <c r="R1417">
        <v>0</v>
      </c>
      <c r="S1417">
        <v>0</v>
      </c>
      <c r="T1417">
        <v>0</v>
      </c>
      <c r="U1417">
        <v>0</v>
      </c>
      <c r="V1417">
        <v>1640.81</v>
      </c>
      <c r="W1417">
        <v>0</v>
      </c>
      <c r="X1417">
        <v>1</v>
      </c>
      <c r="Y1417">
        <v>0</v>
      </c>
      <c r="Z1417">
        <v>-19</v>
      </c>
      <c r="AA1417">
        <v>1</v>
      </c>
      <c r="AB1417" s="13" t="s">
        <v>581</v>
      </c>
      <c r="AC1417">
        <v>0</v>
      </c>
      <c r="AD1417">
        <v>0</v>
      </c>
      <c r="AE1417" s="13" t="s">
        <v>61</v>
      </c>
    </row>
    <row r="1418" spans="1:31" x14ac:dyDescent="0.35">
      <c r="A1418" s="13" t="s">
        <v>2178</v>
      </c>
      <c r="B1418" s="13" t="s">
        <v>949</v>
      </c>
      <c r="C1418" s="13" t="s">
        <v>950</v>
      </c>
      <c r="D1418" s="13" t="s">
        <v>52</v>
      </c>
      <c r="E1418" s="13" t="s">
        <v>99</v>
      </c>
      <c r="F1418" s="13" t="s">
        <v>100</v>
      </c>
      <c r="G1418" s="13" t="s">
        <v>67</v>
      </c>
      <c r="H1418">
        <v>330000</v>
      </c>
      <c r="I1418" s="13" t="s">
        <v>56</v>
      </c>
      <c r="J1418" s="13" t="s">
        <v>57</v>
      </c>
      <c r="K1418" s="13" t="s">
        <v>58</v>
      </c>
      <c r="L1418" s="13" t="s">
        <v>88</v>
      </c>
      <c r="M1418">
        <v>60</v>
      </c>
      <c r="N1418">
        <v>0</v>
      </c>
      <c r="O1418" s="14">
        <v>45996</v>
      </c>
      <c r="P1418" s="14">
        <v>46056</v>
      </c>
      <c r="Q1418">
        <v>9922.24</v>
      </c>
      <c r="R1418">
        <v>0</v>
      </c>
      <c r="S1418">
        <v>0</v>
      </c>
      <c r="T1418">
        <v>0</v>
      </c>
      <c r="U1418">
        <v>0</v>
      </c>
      <c r="V1418">
        <v>9922.24</v>
      </c>
      <c r="W1418">
        <v>0</v>
      </c>
      <c r="X1418">
        <v>1</v>
      </c>
      <c r="Y1418">
        <v>0</v>
      </c>
      <c r="Z1418">
        <v>-34</v>
      </c>
      <c r="AA1418">
        <v>1</v>
      </c>
      <c r="AB1418" s="13" t="s">
        <v>581</v>
      </c>
      <c r="AC1418">
        <v>0</v>
      </c>
      <c r="AD1418">
        <v>1</v>
      </c>
      <c r="AE1418" s="13" t="s">
        <v>348</v>
      </c>
    </row>
    <row r="1419" spans="1:31" x14ac:dyDescent="0.35">
      <c r="A1419" s="13" t="s">
        <v>2179</v>
      </c>
      <c r="B1419" s="13" t="s">
        <v>791</v>
      </c>
      <c r="C1419" s="13" t="s">
        <v>792</v>
      </c>
      <c r="D1419" s="13" t="s">
        <v>104</v>
      </c>
      <c r="E1419" s="13" t="s">
        <v>53</v>
      </c>
      <c r="F1419" s="13" t="s">
        <v>54</v>
      </c>
      <c r="G1419" s="13" t="s">
        <v>67</v>
      </c>
      <c r="H1419">
        <v>95000</v>
      </c>
      <c r="I1419" s="13" t="s">
        <v>121</v>
      </c>
      <c r="J1419" s="13" t="s">
        <v>122</v>
      </c>
      <c r="K1419" s="13" t="s">
        <v>107</v>
      </c>
      <c r="L1419" s="13" t="s">
        <v>88</v>
      </c>
      <c r="M1419">
        <v>60</v>
      </c>
      <c r="N1419">
        <v>0</v>
      </c>
      <c r="O1419" s="14">
        <v>45996</v>
      </c>
      <c r="P1419" s="14">
        <v>46056</v>
      </c>
      <c r="Q1419">
        <v>6735.84</v>
      </c>
      <c r="R1419">
        <v>0</v>
      </c>
      <c r="S1419">
        <v>0</v>
      </c>
      <c r="T1419">
        <v>0</v>
      </c>
      <c r="U1419">
        <v>0</v>
      </c>
      <c r="V1419">
        <v>6735.84</v>
      </c>
      <c r="W1419">
        <v>0</v>
      </c>
      <c r="X1419">
        <v>1</v>
      </c>
      <c r="Y1419">
        <v>0</v>
      </c>
      <c r="Z1419">
        <v>-34</v>
      </c>
      <c r="AA1419">
        <v>1</v>
      </c>
      <c r="AB1419" s="13" t="s">
        <v>581</v>
      </c>
      <c r="AC1419">
        <v>0</v>
      </c>
      <c r="AD1419">
        <v>0</v>
      </c>
      <c r="AE1419" s="13" t="s">
        <v>61</v>
      </c>
    </row>
    <row r="1420" spans="1:31" x14ac:dyDescent="0.35">
      <c r="A1420" s="13" t="s">
        <v>2180</v>
      </c>
      <c r="B1420" s="13" t="s">
        <v>902</v>
      </c>
      <c r="C1420" s="13" t="s">
        <v>903</v>
      </c>
      <c r="D1420" s="13" t="s">
        <v>52</v>
      </c>
      <c r="E1420" s="13" t="s">
        <v>65</v>
      </c>
      <c r="F1420" s="13" t="s">
        <v>111</v>
      </c>
      <c r="G1420" s="13" t="s">
        <v>67</v>
      </c>
      <c r="H1420">
        <v>540000</v>
      </c>
      <c r="I1420" s="13" t="s">
        <v>56</v>
      </c>
      <c r="J1420" s="13" t="s">
        <v>57</v>
      </c>
      <c r="K1420" s="13" t="s">
        <v>58</v>
      </c>
      <c r="L1420" s="13" t="s">
        <v>59</v>
      </c>
      <c r="M1420">
        <v>45</v>
      </c>
      <c r="N1420">
        <v>0</v>
      </c>
      <c r="O1420" s="14">
        <v>45996</v>
      </c>
      <c r="P1420" s="14">
        <v>46041</v>
      </c>
      <c r="Q1420">
        <v>2601.65</v>
      </c>
      <c r="R1420">
        <v>0</v>
      </c>
      <c r="S1420">
        <v>0</v>
      </c>
      <c r="T1420">
        <v>0</v>
      </c>
      <c r="U1420">
        <v>0</v>
      </c>
      <c r="V1420">
        <v>2601.65</v>
      </c>
      <c r="W1420">
        <v>0</v>
      </c>
      <c r="X1420">
        <v>1</v>
      </c>
      <c r="Y1420">
        <v>0</v>
      </c>
      <c r="Z1420">
        <v>-19</v>
      </c>
      <c r="AA1420">
        <v>1</v>
      </c>
      <c r="AB1420" s="13" t="s">
        <v>581</v>
      </c>
      <c r="AC1420">
        <v>0</v>
      </c>
      <c r="AD1420">
        <v>0</v>
      </c>
      <c r="AE1420" s="13" t="s">
        <v>61</v>
      </c>
    </row>
    <row r="1421" spans="1:31" x14ac:dyDescent="0.35">
      <c r="A1421" s="13" t="s">
        <v>2181</v>
      </c>
      <c r="B1421" s="13" t="s">
        <v>933</v>
      </c>
      <c r="C1421" s="13" t="s">
        <v>934</v>
      </c>
      <c r="D1421" s="13" t="s">
        <v>76</v>
      </c>
      <c r="E1421" s="13" t="s">
        <v>71</v>
      </c>
      <c r="F1421" s="13" t="s">
        <v>214</v>
      </c>
      <c r="G1421" s="13" t="s">
        <v>67</v>
      </c>
      <c r="H1421">
        <v>115000</v>
      </c>
      <c r="I1421" s="13" t="s">
        <v>79</v>
      </c>
      <c r="J1421" s="13" t="s">
        <v>80</v>
      </c>
      <c r="K1421" s="13" t="s">
        <v>81</v>
      </c>
      <c r="L1421" s="13" t="s">
        <v>95</v>
      </c>
      <c r="M1421">
        <v>30</v>
      </c>
      <c r="N1421">
        <v>0</v>
      </c>
      <c r="O1421" s="14">
        <v>45996</v>
      </c>
      <c r="P1421" s="14">
        <v>46026</v>
      </c>
      <c r="Q1421">
        <v>2690.81</v>
      </c>
      <c r="R1421">
        <v>0</v>
      </c>
      <c r="S1421">
        <v>0</v>
      </c>
      <c r="T1421">
        <v>0</v>
      </c>
      <c r="U1421">
        <v>0</v>
      </c>
      <c r="V1421">
        <v>2690.81</v>
      </c>
      <c r="W1421">
        <v>0</v>
      </c>
      <c r="X1421">
        <v>1</v>
      </c>
      <c r="Y1421">
        <v>0</v>
      </c>
      <c r="Z1421">
        <v>-4</v>
      </c>
      <c r="AA1421">
        <v>1</v>
      </c>
      <c r="AB1421" s="13" t="s">
        <v>581</v>
      </c>
      <c r="AC1421">
        <v>0</v>
      </c>
      <c r="AD1421">
        <v>0</v>
      </c>
      <c r="AE1421" s="13" t="s">
        <v>61</v>
      </c>
    </row>
    <row r="1422" spans="1:31" x14ac:dyDescent="0.35">
      <c r="A1422" s="13" t="s">
        <v>2182</v>
      </c>
      <c r="B1422" s="13" t="s">
        <v>1102</v>
      </c>
      <c r="C1422" s="13" t="s">
        <v>1103</v>
      </c>
      <c r="D1422" s="13" t="s">
        <v>52</v>
      </c>
      <c r="E1422" s="13" t="s">
        <v>71</v>
      </c>
      <c r="F1422" s="13" t="s">
        <v>72</v>
      </c>
      <c r="G1422" s="13" t="s">
        <v>67</v>
      </c>
      <c r="H1422">
        <v>335000</v>
      </c>
      <c r="I1422" s="13" t="s">
        <v>86</v>
      </c>
      <c r="J1422" s="13" t="s">
        <v>87</v>
      </c>
      <c r="K1422" s="13" t="s">
        <v>58</v>
      </c>
      <c r="L1422" s="13" t="s">
        <v>59</v>
      </c>
      <c r="M1422">
        <v>45</v>
      </c>
      <c r="N1422">
        <v>0</v>
      </c>
      <c r="O1422" s="14">
        <v>45996</v>
      </c>
      <c r="P1422" s="14">
        <v>46041</v>
      </c>
      <c r="Q1422">
        <v>3869.2</v>
      </c>
      <c r="R1422">
        <v>0</v>
      </c>
      <c r="S1422">
        <v>0</v>
      </c>
      <c r="T1422">
        <v>0</v>
      </c>
      <c r="U1422">
        <v>0</v>
      </c>
      <c r="V1422">
        <v>3869.2</v>
      </c>
      <c r="W1422">
        <v>0</v>
      </c>
      <c r="X1422">
        <v>1</v>
      </c>
      <c r="Y1422">
        <v>0</v>
      </c>
      <c r="Z1422">
        <v>-19</v>
      </c>
      <c r="AA1422">
        <v>1</v>
      </c>
      <c r="AB1422" s="13" t="s">
        <v>581</v>
      </c>
      <c r="AC1422">
        <v>0</v>
      </c>
      <c r="AD1422">
        <v>0</v>
      </c>
      <c r="AE1422" s="13" t="s">
        <v>61</v>
      </c>
    </row>
    <row r="1423" spans="1:31" x14ac:dyDescent="0.35">
      <c r="A1423" s="13" t="s">
        <v>2183</v>
      </c>
      <c r="B1423" s="13" t="s">
        <v>605</v>
      </c>
      <c r="C1423" s="13" t="s">
        <v>606</v>
      </c>
      <c r="D1423" s="13" t="s">
        <v>52</v>
      </c>
      <c r="E1423" s="13" t="s">
        <v>65</v>
      </c>
      <c r="F1423" s="13" t="s">
        <v>66</v>
      </c>
      <c r="G1423" s="13" t="s">
        <v>67</v>
      </c>
      <c r="H1423">
        <v>335000</v>
      </c>
      <c r="I1423" s="13" t="s">
        <v>86</v>
      </c>
      <c r="J1423" s="13" t="s">
        <v>87</v>
      </c>
      <c r="K1423" s="13" t="s">
        <v>58</v>
      </c>
      <c r="L1423" s="13" t="s">
        <v>59</v>
      </c>
      <c r="M1423">
        <v>45</v>
      </c>
      <c r="N1423">
        <v>0</v>
      </c>
      <c r="O1423" s="14">
        <v>45996</v>
      </c>
      <c r="P1423" s="14">
        <v>46041</v>
      </c>
      <c r="Q1423">
        <v>7753.46</v>
      </c>
      <c r="R1423">
        <v>0</v>
      </c>
      <c r="S1423">
        <v>0</v>
      </c>
      <c r="T1423">
        <v>0</v>
      </c>
      <c r="U1423">
        <v>0</v>
      </c>
      <c r="V1423">
        <v>7753.46</v>
      </c>
      <c r="W1423">
        <v>0</v>
      </c>
      <c r="X1423">
        <v>1</v>
      </c>
      <c r="Y1423">
        <v>0</v>
      </c>
      <c r="Z1423">
        <v>-19</v>
      </c>
      <c r="AA1423">
        <v>1</v>
      </c>
      <c r="AB1423" s="13" t="s">
        <v>581</v>
      </c>
      <c r="AC1423">
        <v>0</v>
      </c>
      <c r="AD1423">
        <v>0</v>
      </c>
      <c r="AE1423" s="13" t="s">
        <v>61</v>
      </c>
    </row>
    <row r="1424" spans="1:31" x14ac:dyDescent="0.35">
      <c r="A1424" s="13" t="s">
        <v>2184</v>
      </c>
      <c r="B1424" s="13" t="s">
        <v>1276</v>
      </c>
      <c r="C1424" s="13" t="s">
        <v>1277</v>
      </c>
      <c r="D1424" s="13" t="s">
        <v>104</v>
      </c>
      <c r="E1424" s="13" t="s">
        <v>99</v>
      </c>
      <c r="F1424" s="13" t="s">
        <v>100</v>
      </c>
      <c r="G1424" s="13" t="s">
        <v>67</v>
      </c>
      <c r="H1424">
        <v>70000</v>
      </c>
      <c r="I1424" s="13" t="s">
        <v>105</v>
      </c>
      <c r="J1424" s="13" t="s">
        <v>106</v>
      </c>
      <c r="K1424" s="13" t="s">
        <v>107</v>
      </c>
      <c r="L1424" s="13" t="s">
        <v>95</v>
      </c>
      <c r="M1424">
        <v>30</v>
      </c>
      <c r="N1424">
        <v>0</v>
      </c>
      <c r="O1424" s="14">
        <v>45996</v>
      </c>
      <c r="P1424" s="14">
        <v>46026</v>
      </c>
      <c r="Q1424">
        <v>7406.05</v>
      </c>
      <c r="R1424">
        <v>0</v>
      </c>
      <c r="S1424">
        <v>0</v>
      </c>
      <c r="T1424">
        <v>0</v>
      </c>
      <c r="U1424">
        <v>0</v>
      </c>
      <c r="V1424">
        <v>7406.05</v>
      </c>
      <c r="W1424">
        <v>0</v>
      </c>
      <c r="X1424">
        <v>1</v>
      </c>
      <c r="Y1424">
        <v>0</v>
      </c>
      <c r="Z1424">
        <v>-4</v>
      </c>
      <c r="AA1424">
        <v>1</v>
      </c>
      <c r="AB1424" s="13" t="s">
        <v>581</v>
      </c>
      <c r="AC1424">
        <v>0</v>
      </c>
      <c r="AD1424">
        <v>1</v>
      </c>
      <c r="AE1424" s="13" t="s">
        <v>348</v>
      </c>
    </row>
    <row r="1425" spans="1:31" x14ac:dyDescent="0.35">
      <c r="A1425" s="13" t="s">
        <v>2185</v>
      </c>
      <c r="B1425" s="13" t="s">
        <v>820</v>
      </c>
      <c r="C1425" s="13" t="s">
        <v>821</v>
      </c>
      <c r="D1425" s="13" t="s">
        <v>104</v>
      </c>
      <c r="E1425" s="13" t="s">
        <v>71</v>
      </c>
      <c r="F1425" s="13" t="s">
        <v>214</v>
      </c>
      <c r="G1425" s="13" t="s">
        <v>92</v>
      </c>
      <c r="H1425">
        <v>35000</v>
      </c>
      <c r="I1425" s="13" t="s">
        <v>121</v>
      </c>
      <c r="J1425" s="13" t="s">
        <v>122</v>
      </c>
      <c r="K1425" s="13" t="s">
        <v>107</v>
      </c>
      <c r="L1425" s="13" t="s">
        <v>88</v>
      </c>
      <c r="M1425">
        <v>60</v>
      </c>
      <c r="N1425">
        <v>0</v>
      </c>
      <c r="O1425" s="14">
        <v>45996</v>
      </c>
      <c r="P1425" s="14">
        <v>46056</v>
      </c>
      <c r="Q1425">
        <v>2474.02</v>
      </c>
      <c r="R1425">
        <v>0</v>
      </c>
      <c r="S1425">
        <v>0</v>
      </c>
      <c r="T1425">
        <v>0</v>
      </c>
      <c r="U1425">
        <v>0</v>
      </c>
      <c r="V1425">
        <v>2474.02</v>
      </c>
      <c r="W1425">
        <v>0</v>
      </c>
      <c r="X1425">
        <v>1</v>
      </c>
      <c r="Y1425">
        <v>0</v>
      </c>
      <c r="Z1425">
        <v>-34</v>
      </c>
      <c r="AA1425">
        <v>1</v>
      </c>
      <c r="AB1425" s="13" t="s">
        <v>581</v>
      </c>
      <c r="AC1425">
        <v>0</v>
      </c>
      <c r="AD1425">
        <v>0</v>
      </c>
      <c r="AE1425" s="13" t="s">
        <v>61</v>
      </c>
    </row>
    <row r="1426" spans="1:31" x14ac:dyDescent="0.35">
      <c r="A1426" s="13" t="s">
        <v>2186</v>
      </c>
      <c r="B1426" s="13" t="s">
        <v>1753</v>
      </c>
      <c r="C1426" s="13" t="s">
        <v>1754</v>
      </c>
      <c r="D1426" s="13" t="s">
        <v>126</v>
      </c>
      <c r="E1426" s="13" t="s">
        <v>71</v>
      </c>
      <c r="F1426" s="13" t="s">
        <v>214</v>
      </c>
      <c r="G1426" s="13" t="s">
        <v>67</v>
      </c>
      <c r="H1426">
        <v>135000</v>
      </c>
      <c r="I1426" s="13" t="s">
        <v>121</v>
      </c>
      <c r="J1426" s="13" t="s">
        <v>122</v>
      </c>
      <c r="K1426" s="13" t="s">
        <v>107</v>
      </c>
      <c r="L1426" s="13" t="s">
        <v>88</v>
      </c>
      <c r="M1426">
        <v>60</v>
      </c>
      <c r="N1426">
        <v>0</v>
      </c>
      <c r="O1426" s="14">
        <v>45996</v>
      </c>
      <c r="P1426" s="14">
        <v>46056</v>
      </c>
      <c r="Q1426">
        <v>7081.31</v>
      </c>
      <c r="R1426">
        <v>0</v>
      </c>
      <c r="S1426">
        <v>0</v>
      </c>
      <c r="T1426">
        <v>0</v>
      </c>
      <c r="U1426">
        <v>0</v>
      </c>
      <c r="V1426">
        <v>7081.31</v>
      </c>
      <c r="W1426">
        <v>0</v>
      </c>
      <c r="X1426">
        <v>1</v>
      </c>
      <c r="Y1426">
        <v>0</v>
      </c>
      <c r="Z1426">
        <v>-34</v>
      </c>
      <c r="AA1426">
        <v>1</v>
      </c>
      <c r="AB1426" s="13" t="s">
        <v>581</v>
      </c>
      <c r="AC1426">
        <v>0</v>
      </c>
      <c r="AD1426">
        <v>0</v>
      </c>
      <c r="AE1426" s="13" t="s">
        <v>61</v>
      </c>
    </row>
    <row r="1427" spans="1:31" x14ac:dyDescent="0.35">
      <c r="A1427" s="13" t="s">
        <v>2187</v>
      </c>
      <c r="B1427" s="13" t="s">
        <v>50</v>
      </c>
      <c r="C1427" s="13" t="s">
        <v>51</v>
      </c>
      <c r="D1427" s="13" t="s">
        <v>52</v>
      </c>
      <c r="E1427" s="13" t="s">
        <v>53</v>
      </c>
      <c r="F1427" s="13" t="s">
        <v>54</v>
      </c>
      <c r="G1427" s="13" t="s">
        <v>55</v>
      </c>
      <c r="H1427">
        <v>585000</v>
      </c>
      <c r="I1427" s="13" t="s">
        <v>56</v>
      </c>
      <c r="J1427" s="13" t="s">
        <v>57</v>
      </c>
      <c r="K1427" s="13" t="s">
        <v>58</v>
      </c>
      <c r="L1427" s="13" t="s">
        <v>59</v>
      </c>
      <c r="M1427">
        <v>45</v>
      </c>
      <c r="N1427">
        <v>0</v>
      </c>
      <c r="O1427" s="14">
        <v>45996</v>
      </c>
      <c r="P1427" s="14">
        <v>46041</v>
      </c>
      <c r="Q1427">
        <v>4535.55</v>
      </c>
      <c r="R1427">
        <v>0</v>
      </c>
      <c r="S1427">
        <v>0</v>
      </c>
      <c r="T1427">
        <v>0</v>
      </c>
      <c r="U1427">
        <v>0</v>
      </c>
      <c r="V1427">
        <v>4535.55</v>
      </c>
      <c r="W1427">
        <v>0</v>
      </c>
      <c r="X1427">
        <v>1</v>
      </c>
      <c r="Y1427">
        <v>0</v>
      </c>
      <c r="Z1427">
        <v>-19</v>
      </c>
      <c r="AA1427">
        <v>1</v>
      </c>
      <c r="AB1427" s="13" t="s">
        <v>581</v>
      </c>
      <c r="AC1427">
        <v>0</v>
      </c>
      <c r="AD1427">
        <v>0</v>
      </c>
      <c r="AE1427" s="13" t="s">
        <v>61</v>
      </c>
    </row>
    <row r="1428" spans="1:31" x14ac:dyDescent="0.35">
      <c r="A1428" s="13" t="s">
        <v>2188</v>
      </c>
      <c r="B1428" s="13" t="s">
        <v>263</v>
      </c>
      <c r="C1428" s="13" t="s">
        <v>264</v>
      </c>
      <c r="D1428" s="13" t="s">
        <v>52</v>
      </c>
      <c r="E1428" s="13" t="s">
        <v>99</v>
      </c>
      <c r="F1428" s="13" t="s">
        <v>100</v>
      </c>
      <c r="G1428" s="13" t="s">
        <v>55</v>
      </c>
      <c r="H1428">
        <v>590000</v>
      </c>
      <c r="I1428" s="13" t="s">
        <v>86</v>
      </c>
      <c r="J1428" s="13" t="s">
        <v>87</v>
      </c>
      <c r="K1428" s="13" t="s">
        <v>58</v>
      </c>
      <c r="L1428" s="13" t="s">
        <v>88</v>
      </c>
      <c r="M1428">
        <v>60</v>
      </c>
      <c r="N1428">
        <v>0</v>
      </c>
      <c r="O1428" s="14">
        <v>45996</v>
      </c>
      <c r="P1428" s="14">
        <v>46056</v>
      </c>
      <c r="Q1428">
        <v>4514.24</v>
      </c>
      <c r="R1428">
        <v>0</v>
      </c>
      <c r="S1428">
        <v>0</v>
      </c>
      <c r="T1428">
        <v>0</v>
      </c>
      <c r="U1428">
        <v>0</v>
      </c>
      <c r="V1428">
        <v>4514.24</v>
      </c>
      <c r="W1428">
        <v>0</v>
      </c>
      <c r="X1428">
        <v>1</v>
      </c>
      <c r="Y1428">
        <v>0</v>
      </c>
      <c r="Z1428">
        <v>-34</v>
      </c>
      <c r="AA1428">
        <v>1</v>
      </c>
      <c r="AB1428" s="13" t="s">
        <v>581</v>
      </c>
      <c r="AC1428">
        <v>0</v>
      </c>
      <c r="AD1428">
        <v>0</v>
      </c>
      <c r="AE1428" s="13" t="s">
        <v>61</v>
      </c>
    </row>
    <row r="1429" spans="1:31" x14ac:dyDescent="0.35">
      <c r="A1429" s="13" t="s">
        <v>2189</v>
      </c>
      <c r="B1429" s="13" t="s">
        <v>197</v>
      </c>
      <c r="C1429" s="13" t="s">
        <v>198</v>
      </c>
      <c r="D1429" s="13" t="s">
        <v>76</v>
      </c>
      <c r="E1429" s="13" t="s">
        <v>53</v>
      </c>
      <c r="F1429" s="13" t="s">
        <v>135</v>
      </c>
      <c r="G1429" s="13" t="s">
        <v>67</v>
      </c>
      <c r="H1429">
        <v>105000</v>
      </c>
      <c r="I1429" s="13" t="s">
        <v>79</v>
      </c>
      <c r="J1429" s="13" t="s">
        <v>80</v>
      </c>
      <c r="K1429" s="13" t="s">
        <v>81</v>
      </c>
      <c r="L1429" s="13" t="s">
        <v>95</v>
      </c>
      <c r="M1429">
        <v>30</v>
      </c>
      <c r="N1429">
        <v>0</v>
      </c>
      <c r="O1429" s="14">
        <v>45999</v>
      </c>
      <c r="P1429" s="14">
        <v>46029</v>
      </c>
      <c r="Q1429">
        <v>473.38</v>
      </c>
      <c r="R1429">
        <v>0</v>
      </c>
      <c r="S1429">
        <v>0</v>
      </c>
      <c r="T1429">
        <v>0</v>
      </c>
      <c r="U1429">
        <v>0</v>
      </c>
      <c r="V1429">
        <v>473.38</v>
      </c>
      <c r="W1429">
        <v>0</v>
      </c>
      <c r="X1429">
        <v>1</v>
      </c>
      <c r="Y1429">
        <v>0</v>
      </c>
      <c r="Z1429">
        <v>-7</v>
      </c>
      <c r="AA1429">
        <v>1</v>
      </c>
      <c r="AB1429" s="13" t="s">
        <v>581</v>
      </c>
      <c r="AC1429">
        <v>0</v>
      </c>
      <c r="AD1429">
        <v>0</v>
      </c>
      <c r="AE1429" s="13" t="s">
        <v>61</v>
      </c>
    </row>
    <row r="1430" spans="1:31" x14ac:dyDescent="0.35">
      <c r="A1430" s="13" t="s">
        <v>2190</v>
      </c>
      <c r="B1430" s="13" t="s">
        <v>1999</v>
      </c>
      <c r="C1430" s="13" t="s">
        <v>2000</v>
      </c>
      <c r="D1430" s="13" t="s">
        <v>76</v>
      </c>
      <c r="E1430" s="13" t="s">
        <v>71</v>
      </c>
      <c r="F1430" s="13" t="s">
        <v>214</v>
      </c>
      <c r="G1430" s="13" t="s">
        <v>67</v>
      </c>
      <c r="H1430">
        <v>30000</v>
      </c>
      <c r="I1430" s="13" t="s">
        <v>79</v>
      </c>
      <c r="J1430" s="13" t="s">
        <v>80</v>
      </c>
      <c r="K1430" s="13" t="s">
        <v>81</v>
      </c>
      <c r="L1430" s="13" t="s">
        <v>95</v>
      </c>
      <c r="M1430">
        <v>30</v>
      </c>
      <c r="N1430">
        <v>0</v>
      </c>
      <c r="O1430" s="14">
        <v>45999</v>
      </c>
      <c r="P1430" s="14">
        <v>46029</v>
      </c>
      <c r="Q1430">
        <v>2490.75</v>
      </c>
      <c r="R1430">
        <v>0</v>
      </c>
      <c r="S1430">
        <v>0</v>
      </c>
      <c r="T1430">
        <v>0</v>
      </c>
      <c r="U1430">
        <v>0</v>
      </c>
      <c r="V1430">
        <v>2490.75</v>
      </c>
      <c r="W1430">
        <v>0</v>
      </c>
      <c r="X1430">
        <v>1</v>
      </c>
      <c r="Y1430">
        <v>0</v>
      </c>
      <c r="Z1430">
        <v>-7</v>
      </c>
      <c r="AA1430">
        <v>1</v>
      </c>
      <c r="AB1430" s="13" t="s">
        <v>581</v>
      </c>
      <c r="AC1430">
        <v>0</v>
      </c>
      <c r="AD1430">
        <v>0</v>
      </c>
      <c r="AE1430" s="13" t="s">
        <v>61</v>
      </c>
    </row>
    <row r="1431" spans="1:31" x14ac:dyDescent="0.35">
      <c r="A1431" s="13" t="s">
        <v>2191</v>
      </c>
      <c r="B1431" s="13" t="s">
        <v>203</v>
      </c>
      <c r="C1431" s="13" t="s">
        <v>204</v>
      </c>
      <c r="D1431" s="13" t="s">
        <v>52</v>
      </c>
      <c r="E1431" s="13" t="s">
        <v>53</v>
      </c>
      <c r="F1431" s="13" t="s">
        <v>135</v>
      </c>
      <c r="G1431" s="13" t="s">
        <v>67</v>
      </c>
      <c r="H1431">
        <v>500000</v>
      </c>
      <c r="I1431" s="13" t="s">
        <v>56</v>
      </c>
      <c r="J1431" s="13" t="s">
        <v>57</v>
      </c>
      <c r="K1431" s="13" t="s">
        <v>58</v>
      </c>
      <c r="L1431" s="13" t="s">
        <v>59</v>
      </c>
      <c r="M1431">
        <v>45</v>
      </c>
      <c r="N1431">
        <v>0</v>
      </c>
      <c r="O1431" s="14">
        <v>45999</v>
      </c>
      <c r="P1431" s="14">
        <v>46044</v>
      </c>
      <c r="Q1431">
        <v>5012.7700000000004</v>
      </c>
      <c r="R1431">
        <v>0</v>
      </c>
      <c r="S1431">
        <v>0</v>
      </c>
      <c r="T1431">
        <v>0</v>
      </c>
      <c r="U1431">
        <v>0</v>
      </c>
      <c r="V1431">
        <v>5012.7700000000004</v>
      </c>
      <c r="W1431">
        <v>0</v>
      </c>
      <c r="X1431">
        <v>1</v>
      </c>
      <c r="Y1431">
        <v>0</v>
      </c>
      <c r="Z1431">
        <v>-22</v>
      </c>
      <c r="AA1431">
        <v>1</v>
      </c>
      <c r="AB1431" s="13" t="s">
        <v>581</v>
      </c>
      <c r="AC1431">
        <v>0</v>
      </c>
      <c r="AD1431">
        <v>1</v>
      </c>
      <c r="AE1431" s="13" t="s">
        <v>348</v>
      </c>
    </row>
    <row r="1432" spans="1:31" x14ac:dyDescent="0.35">
      <c r="A1432" s="13" t="s">
        <v>2192</v>
      </c>
      <c r="B1432" s="13" t="s">
        <v>2193</v>
      </c>
      <c r="C1432" s="13" t="s">
        <v>2194</v>
      </c>
      <c r="D1432" s="13" t="s">
        <v>104</v>
      </c>
      <c r="E1432" s="13" t="s">
        <v>99</v>
      </c>
      <c r="F1432" s="13" t="s">
        <v>100</v>
      </c>
      <c r="G1432" s="13" t="s">
        <v>55</v>
      </c>
      <c r="H1432">
        <v>45000</v>
      </c>
      <c r="I1432" s="13" t="s">
        <v>121</v>
      </c>
      <c r="J1432" s="13" t="s">
        <v>122</v>
      </c>
      <c r="K1432" s="13" t="s">
        <v>107</v>
      </c>
      <c r="L1432" s="13" t="s">
        <v>95</v>
      </c>
      <c r="M1432">
        <v>30</v>
      </c>
      <c r="N1432">
        <v>0</v>
      </c>
      <c r="O1432" s="14">
        <v>45999</v>
      </c>
      <c r="P1432" s="14">
        <v>46009</v>
      </c>
      <c r="Q1432">
        <v>1994.89</v>
      </c>
      <c r="R1432">
        <v>0</v>
      </c>
      <c r="S1432">
        <v>0</v>
      </c>
      <c r="T1432">
        <v>0</v>
      </c>
      <c r="U1432">
        <v>0</v>
      </c>
      <c r="V1432">
        <v>1994.89</v>
      </c>
      <c r="W1432">
        <v>0</v>
      </c>
      <c r="X1432">
        <v>1</v>
      </c>
      <c r="Y1432">
        <v>1</v>
      </c>
      <c r="Z1432">
        <v>13</v>
      </c>
      <c r="AA1432">
        <v>2</v>
      </c>
      <c r="AB1432" s="13" t="s">
        <v>405</v>
      </c>
      <c r="AC1432">
        <v>0.25</v>
      </c>
      <c r="AD1432">
        <v>1</v>
      </c>
      <c r="AE1432" s="13" t="s">
        <v>377</v>
      </c>
    </row>
    <row r="1433" spans="1:31" x14ac:dyDescent="0.35">
      <c r="A1433" s="13" t="s">
        <v>2195</v>
      </c>
      <c r="B1433" s="13" t="s">
        <v>1601</v>
      </c>
      <c r="C1433" s="13" t="s">
        <v>1602</v>
      </c>
      <c r="D1433" s="13" t="s">
        <v>76</v>
      </c>
      <c r="E1433" s="13" t="s">
        <v>99</v>
      </c>
      <c r="F1433" s="13" t="s">
        <v>127</v>
      </c>
      <c r="G1433" s="13" t="s">
        <v>55</v>
      </c>
      <c r="H1433">
        <v>90000</v>
      </c>
      <c r="I1433" s="13" t="s">
        <v>93</v>
      </c>
      <c r="J1433" s="13" t="s">
        <v>94</v>
      </c>
      <c r="K1433" s="13" t="s">
        <v>81</v>
      </c>
      <c r="L1433" s="13" t="s">
        <v>95</v>
      </c>
      <c r="M1433">
        <v>30</v>
      </c>
      <c r="N1433">
        <v>0</v>
      </c>
      <c r="O1433" s="14">
        <v>45999</v>
      </c>
      <c r="P1433" s="14">
        <v>46029</v>
      </c>
      <c r="Q1433">
        <v>1528.29</v>
      </c>
      <c r="R1433">
        <v>0</v>
      </c>
      <c r="S1433">
        <v>0</v>
      </c>
      <c r="T1433">
        <v>0</v>
      </c>
      <c r="U1433">
        <v>0</v>
      </c>
      <c r="V1433">
        <v>1528.29</v>
      </c>
      <c r="W1433">
        <v>0</v>
      </c>
      <c r="X1433">
        <v>1</v>
      </c>
      <c r="Y1433">
        <v>0</v>
      </c>
      <c r="Z1433">
        <v>-7</v>
      </c>
      <c r="AA1433">
        <v>1</v>
      </c>
      <c r="AB1433" s="13" t="s">
        <v>581</v>
      </c>
      <c r="AC1433">
        <v>0</v>
      </c>
      <c r="AD1433">
        <v>0</v>
      </c>
      <c r="AE1433" s="13" t="s">
        <v>61</v>
      </c>
    </row>
    <row r="1434" spans="1:31" x14ac:dyDescent="0.35">
      <c r="A1434" s="13" t="s">
        <v>2196</v>
      </c>
      <c r="B1434" s="13" t="s">
        <v>910</v>
      </c>
      <c r="C1434" s="13" t="s">
        <v>911</v>
      </c>
      <c r="D1434" s="13" t="s">
        <v>52</v>
      </c>
      <c r="E1434" s="13" t="s">
        <v>53</v>
      </c>
      <c r="F1434" s="13" t="s">
        <v>135</v>
      </c>
      <c r="G1434" s="13" t="s">
        <v>55</v>
      </c>
      <c r="H1434">
        <v>240000</v>
      </c>
      <c r="I1434" s="13" t="s">
        <v>56</v>
      </c>
      <c r="J1434" s="13" t="s">
        <v>57</v>
      </c>
      <c r="K1434" s="13" t="s">
        <v>58</v>
      </c>
      <c r="L1434" s="13" t="s">
        <v>88</v>
      </c>
      <c r="M1434">
        <v>60</v>
      </c>
      <c r="N1434">
        <v>0</v>
      </c>
      <c r="O1434" s="14">
        <v>45999</v>
      </c>
      <c r="P1434" s="14">
        <v>46059</v>
      </c>
      <c r="Q1434">
        <v>1829.44</v>
      </c>
      <c r="R1434">
        <v>0</v>
      </c>
      <c r="S1434">
        <v>0</v>
      </c>
      <c r="T1434">
        <v>0</v>
      </c>
      <c r="U1434">
        <v>0</v>
      </c>
      <c r="V1434">
        <v>1829.44</v>
      </c>
      <c r="W1434">
        <v>0</v>
      </c>
      <c r="X1434">
        <v>1</v>
      </c>
      <c r="Y1434">
        <v>0</v>
      </c>
      <c r="Z1434">
        <v>-37</v>
      </c>
      <c r="AA1434">
        <v>1</v>
      </c>
      <c r="AB1434" s="13" t="s">
        <v>581</v>
      </c>
      <c r="AC1434">
        <v>0</v>
      </c>
      <c r="AD1434">
        <v>0</v>
      </c>
      <c r="AE1434" s="13" t="s">
        <v>61</v>
      </c>
    </row>
    <row r="1435" spans="1:31" x14ac:dyDescent="0.35">
      <c r="A1435" s="13" t="s">
        <v>2197</v>
      </c>
      <c r="B1435" s="13" t="s">
        <v>1604</v>
      </c>
      <c r="C1435" s="13" t="s">
        <v>1605</v>
      </c>
      <c r="D1435" s="13" t="s">
        <v>104</v>
      </c>
      <c r="E1435" s="13" t="s">
        <v>65</v>
      </c>
      <c r="F1435" s="13" t="s">
        <v>66</v>
      </c>
      <c r="G1435" s="13" t="s">
        <v>55</v>
      </c>
      <c r="H1435">
        <v>95000</v>
      </c>
      <c r="I1435" s="13" t="s">
        <v>121</v>
      </c>
      <c r="J1435" s="13" t="s">
        <v>122</v>
      </c>
      <c r="K1435" s="13" t="s">
        <v>107</v>
      </c>
      <c r="L1435" s="13" t="s">
        <v>95</v>
      </c>
      <c r="M1435">
        <v>30</v>
      </c>
      <c r="N1435">
        <v>0</v>
      </c>
      <c r="O1435" s="14">
        <v>45999</v>
      </c>
      <c r="P1435" s="14">
        <v>46029</v>
      </c>
      <c r="Q1435">
        <v>1059.28</v>
      </c>
      <c r="R1435">
        <v>0</v>
      </c>
      <c r="S1435">
        <v>0</v>
      </c>
      <c r="T1435">
        <v>0</v>
      </c>
      <c r="U1435">
        <v>0</v>
      </c>
      <c r="V1435">
        <v>1059.28</v>
      </c>
      <c r="W1435">
        <v>0</v>
      </c>
      <c r="X1435">
        <v>1</v>
      </c>
      <c r="Y1435">
        <v>0</v>
      </c>
      <c r="Z1435">
        <v>-7</v>
      </c>
      <c r="AA1435">
        <v>1</v>
      </c>
      <c r="AB1435" s="13" t="s">
        <v>581</v>
      </c>
      <c r="AC1435">
        <v>0</v>
      </c>
      <c r="AD1435">
        <v>0</v>
      </c>
      <c r="AE1435" s="13" t="s">
        <v>61</v>
      </c>
    </row>
    <row r="1436" spans="1:31" x14ac:dyDescent="0.35">
      <c r="A1436" s="13" t="s">
        <v>2198</v>
      </c>
      <c r="B1436" s="13" t="s">
        <v>156</v>
      </c>
      <c r="C1436" s="13" t="s">
        <v>157</v>
      </c>
      <c r="D1436" s="13" t="s">
        <v>52</v>
      </c>
      <c r="E1436" s="13" t="s">
        <v>53</v>
      </c>
      <c r="F1436" s="13" t="s">
        <v>54</v>
      </c>
      <c r="G1436" s="13" t="s">
        <v>92</v>
      </c>
      <c r="H1436">
        <v>600000</v>
      </c>
      <c r="I1436" s="13" t="s">
        <v>56</v>
      </c>
      <c r="J1436" s="13" t="s">
        <v>57</v>
      </c>
      <c r="K1436" s="13" t="s">
        <v>58</v>
      </c>
      <c r="L1436" s="13" t="s">
        <v>88</v>
      </c>
      <c r="M1436">
        <v>60</v>
      </c>
      <c r="N1436">
        <v>0</v>
      </c>
      <c r="O1436" s="14">
        <v>45999</v>
      </c>
      <c r="P1436" s="14">
        <v>46059</v>
      </c>
      <c r="Q1436">
        <v>1738.84</v>
      </c>
      <c r="R1436">
        <v>0</v>
      </c>
      <c r="S1436">
        <v>0</v>
      </c>
      <c r="T1436">
        <v>0</v>
      </c>
      <c r="U1436">
        <v>0</v>
      </c>
      <c r="V1436">
        <v>1738.84</v>
      </c>
      <c r="W1436">
        <v>0</v>
      </c>
      <c r="X1436">
        <v>1</v>
      </c>
      <c r="Y1436">
        <v>0</v>
      </c>
      <c r="Z1436">
        <v>-37</v>
      </c>
      <c r="AA1436">
        <v>1</v>
      </c>
      <c r="AB1436" s="13" t="s">
        <v>581</v>
      </c>
      <c r="AC1436">
        <v>0</v>
      </c>
      <c r="AD1436">
        <v>0</v>
      </c>
      <c r="AE1436" s="13" t="s">
        <v>61</v>
      </c>
    </row>
    <row r="1437" spans="1:31" x14ac:dyDescent="0.35">
      <c r="A1437" s="13" t="s">
        <v>2199</v>
      </c>
      <c r="B1437" s="13" t="s">
        <v>1247</v>
      </c>
      <c r="C1437" s="13" t="s">
        <v>1248</v>
      </c>
      <c r="D1437" s="13" t="s">
        <v>52</v>
      </c>
      <c r="E1437" s="13" t="s">
        <v>99</v>
      </c>
      <c r="F1437" s="13" t="s">
        <v>100</v>
      </c>
      <c r="G1437" s="13" t="s">
        <v>55</v>
      </c>
      <c r="H1437">
        <v>600000</v>
      </c>
      <c r="I1437" s="13" t="s">
        <v>56</v>
      </c>
      <c r="J1437" s="13" t="s">
        <v>57</v>
      </c>
      <c r="K1437" s="13" t="s">
        <v>58</v>
      </c>
      <c r="L1437" s="13" t="s">
        <v>59</v>
      </c>
      <c r="M1437">
        <v>45</v>
      </c>
      <c r="N1437">
        <v>0</v>
      </c>
      <c r="O1437" s="14">
        <v>45999</v>
      </c>
      <c r="P1437" s="14">
        <v>46044</v>
      </c>
      <c r="Q1437">
        <v>10443.56</v>
      </c>
      <c r="R1437">
        <v>0</v>
      </c>
      <c r="S1437">
        <v>0</v>
      </c>
      <c r="T1437">
        <v>0</v>
      </c>
      <c r="U1437">
        <v>0</v>
      </c>
      <c r="V1437">
        <v>10443.56</v>
      </c>
      <c r="W1437">
        <v>0</v>
      </c>
      <c r="X1437">
        <v>1</v>
      </c>
      <c r="Y1437">
        <v>0</v>
      </c>
      <c r="Z1437">
        <v>-22</v>
      </c>
      <c r="AA1437">
        <v>1</v>
      </c>
      <c r="AB1437" s="13" t="s">
        <v>581</v>
      </c>
      <c r="AC1437">
        <v>0</v>
      </c>
      <c r="AD1437">
        <v>0</v>
      </c>
      <c r="AE1437" s="13" t="s">
        <v>61</v>
      </c>
    </row>
    <row r="1438" spans="1:31" x14ac:dyDescent="0.35">
      <c r="A1438" s="13" t="s">
        <v>2200</v>
      </c>
      <c r="B1438" s="13" t="s">
        <v>418</v>
      </c>
      <c r="C1438" s="13" t="s">
        <v>419</v>
      </c>
      <c r="D1438" s="13" t="s">
        <v>52</v>
      </c>
      <c r="E1438" s="13" t="s">
        <v>99</v>
      </c>
      <c r="F1438" s="13" t="s">
        <v>100</v>
      </c>
      <c r="G1438" s="13" t="s">
        <v>67</v>
      </c>
      <c r="H1438">
        <v>535000</v>
      </c>
      <c r="I1438" s="13" t="s">
        <v>86</v>
      </c>
      <c r="J1438" s="13" t="s">
        <v>87</v>
      </c>
      <c r="K1438" s="13" t="s">
        <v>58</v>
      </c>
      <c r="L1438" s="13" t="s">
        <v>59</v>
      </c>
      <c r="M1438">
        <v>45</v>
      </c>
      <c r="N1438">
        <v>0</v>
      </c>
      <c r="O1438" s="14">
        <v>45999</v>
      </c>
      <c r="P1438" s="14">
        <v>46044</v>
      </c>
      <c r="Q1438">
        <v>2730.58</v>
      </c>
      <c r="R1438">
        <v>0</v>
      </c>
      <c r="S1438">
        <v>0</v>
      </c>
      <c r="T1438">
        <v>0</v>
      </c>
      <c r="U1438">
        <v>0</v>
      </c>
      <c r="V1438">
        <v>2730.58</v>
      </c>
      <c r="W1438">
        <v>0</v>
      </c>
      <c r="X1438">
        <v>1</v>
      </c>
      <c r="Y1438">
        <v>0</v>
      </c>
      <c r="Z1438">
        <v>-22</v>
      </c>
      <c r="AA1438">
        <v>1</v>
      </c>
      <c r="AB1438" s="13" t="s">
        <v>581</v>
      </c>
      <c r="AC1438">
        <v>0</v>
      </c>
      <c r="AD1438">
        <v>1</v>
      </c>
      <c r="AE1438" s="13" t="s">
        <v>377</v>
      </c>
    </row>
    <row r="1439" spans="1:31" x14ac:dyDescent="0.35">
      <c r="A1439" s="13" t="s">
        <v>2201</v>
      </c>
      <c r="B1439" s="13" t="s">
        <v>854</v>
      </c>
      <c r="C1439" s="13" t="s">
        <v>855</v>
      </c>
      <c r="D1439" s="13" t="s">
        <v>52</v>
      </c>
      <c r="E1439" s="13" t="s">
        <v>77</v>
      </c>
      <c r="F1439" s="13" t="s">
        <v>78</v>
      </c>
      <c r="G1439" s="13" t="s">
        <v>67</v>
      </c>
      <c r="H1439">
        <v>385000</v>
      </c>
      <c r="I1439" s="13" t="s">
        <v>86</v>
      </c>
      <c r="J1439" s="13" t="s">
        <v>87</v>
      </c>
      <c r="K1439" s="13" t="s">
        <v>58</v>
      </c>
      <c r="L1439" s="13" t="s">
        <v>88</v>
      </c>
      <c r="M1439">
        <v>60</v>
      </c>
      <c r="N1439">
        <v>0</v>
      </c>
      <c r="O1439" s="14">
        <v>45999</v>
      </c>
      <c r="P1439" s="14">
        <v>46059</v>
      </c>
      <c r="Q1439">
        <v>3778.63</v>
      </c>
      <c r="R1439">
        <v>0</v>
      </c>
      <c r="S1439">
        <v>0</v>
      </c>
      <c r="T1439">
        <v>0</v>
      </c>
      <c r="U1439">
        <v>0</v>
      </c>
      <c r="V1439">
        <v>3778.63</v>
      </c>
      <c r="W1439">
        <v>0</v>
      </c>
      <c r="X1439">
        <v>1</v>
      </c>
      <c r="Y1439">
        <v>0</v>
      </c>
      <c r="Z1439">
        <v>-37</v>
      </c>
      <c r="AA1439">
        <v>1</v>
      </c>
      <c r="AB1439" s="13" t="s">
        <v>581</v>
      </c>
      <c r="AC1439">
        <v>0</v>
      </c>
      <c r="AD1439">
        <v>0</v>
      </c>
      <c r="AE1439" s="13" t="s">
        <v>61</v>
      </c>
    </row>
    <row r="1440" spans="1:31" x14ac:dyDescent="0.35">
      <c r="A1440" s="13" t="s">
        <v>2202</v>
      </c>
      <c r="B1440" s="13" t="s">
        <v>277</v>
      </c>
      <c r="C1440" s="13" t="s">
        <v>278</v>
      </c>
      <c r="D1440" s="13" t="s">
        <v>104</v>
      </c>
      <c r="E1440" s="13" t="s">
        <v>71</v>
      </c>
      <c r="F1440" s="13" t="s">
        <v>214</v>
      </c>
      <c r="G1440" s="13" t="s">
        <v>92</v>
      </c>
      <c r="H1440">
        <v>105000</v>
      </c>
      <c r="I1440" s="13" t="s">
        <v>105</v>
      </c>
      <c r="J1440" s="13" t="s">
        <v>106</v>
      </c>
      <c r="K1440" s="13" t="s">
        <v>107</v>
      </c>
      <c r="L1440" s="13" t="s">
        <v>88</v>
      </c>
      <c r="M1440">
        <v>60</v>
      </c>
      <c r="N1440">
        <v>0</v>
      </c>
      <c r="O1440" s="14">
        <v>45999</v>
      </c>
      <c r="P1440" s="14">
        <v>46059</v>
      </c>
      <c r="Q1440">
        <v>8496.8799999999992</v>
      </c>
      <c r="R1440">
        <v>0</v>
      </c>
      <c r="S1440">
        <v>0</v>
      </c>
      <c r="T1440">
        <v>0</v>
      </c>
      <c r="U1440">
        <v>0</v>
      </c>
      <c r="V1440">
        <v>8496.8799999999992</v>
      </c>
      <c r="W1440">
        <v>0</v>
      </c>
      <c r="X1440">
        <v>1</v>
      </c>
      <c r="Y1440">
        <v>0</v>
      </c>
      <c r="Z1440">
        <v>-37</v>
      </c>
      <c r="AA1440">
        <v>1</v>
      </c>
      <c r="AB1440" s="13" t="s">
        <v>581</v>
      </c>
      <c r="AC1440">
        <v>0</v>
      </c>
      <c r="AD1440">
        <v>0</v>
      </c>
      <c r="AE1440" s="13" t="s">
        <v>61</v>
      </c>
    </row>
    <row r="1441" spans="1:31" x14ac:dyDescent="0.35">
      <c r="A1441" s="13" t="s">
        <v>2203</v>
      </c>
      <c r="B1441" s="13" t="s">
        <v>1001</v>
      </c>
      <c r="C1441" s="13" t="s">
        <v>1002</v>
      </c>
      <c r="D1441" s="13" t="s">
        <v>76</v>
      </c>
      <c r="E1441" s="13" t="s">
        <v>99</v>
      </c>
      <c r="F1441" s="13" t="s">
        <v>127</v>
      </c>
      <c r="G1441" s="13" t="s">
        <v>55</v>
      </c>
      <c r="H1441">
        <v>90000</v>
      </c>
      <c r="I1441" s="13" t="s">
        <v>93</v>
      </c>
      <c r="J1441" s="13" t="s">
        <v>94</v>
      </c>
      <c r="K1441" s="13" t="s">
        <v>81</v>
      </c>
      <c r="L1441" s="13" t="s">
        <v>95</v>
      </c>
      <c r="M1441">
        <v>30</v>
      </c>
      <c r="N1441">
        <v>0</v>
      </c>
      <c r="O1441" s="14">
        <v>45999</v>
      </c>
      <c r="P1441" s="14">
        <v>46029</v>
      </c>
      <c r="Q1441">
        <v>2601.65</v>
      </c>
      <c r="R1441">
        <v>0</v>
      </c>
      <c r="S1441">
        <v>0</v>
      </c>
      <c r="T1441">
        <v>0</v>
      </c>
      <c r="U1441">
        <v>0</v>
      </c>
      <c r="V1441">
        <v>2601.65</v>
      </c>
      <c r="W1441">
        <v>0</v>
      </c>
      <c r="X1441">
        <v>1</v>
      </c>
      <c r="Y1441">
        <v>0</v>
      </c>
      <c r="Z1441">
        <v>-7</v>
      </c>
      <c r="AA1441">
        <v>1</v>
      </c>
      <c r="AB1441" s="13" t="s">
        <v>581</v>
      </c>
      <c r="AC1441">
        <v>0</v>
      </c>
      <c r="AD1441">
        <v>0</v>
      </c>
      <c r="AE1441" s="13" t="s">
        <v>61</v>
      </c>
    </row>
    <row r="1442" spans="1:31" x14ac:dyDescent="0.35">
      <c r="A1442" s="13" t="s">
        <v>2204</v>
      </c>
      <c r="B1442" s="13" t="s">
        <v>141</v>
      </c>
      <c r="C1442" s="13" t="s">
        <v>142</v>
      </c>
      <c r="D1442" s="13" t="s">
        <v>76</v>
      </c>
      <c r="E1442" s="13" t="s">
        <v>65</v>
      </c>
      <c r="F1442" s="13" t="s">
        <v>66</v>
      </c>
      <c r="G1442" s="13" t="s">
        <v>67</v>
      </c>
      <c r="H1442">
        <v>120000</v>
      </c>
      <c r="I1442" s="13" t="s">
        <v>93</v>
      </c>
      <c r="J1442" s="13" t="s">
        <v>94</v>
      </c>
      <c r="K1442" s="13" t="s">
        <v>81</v>
      </c>
      <c r="L1442" s="13" t="s">
        <v>95</v>
      </c>
      <c r="M1442">
        <v>30</v>
      </c>
      <c r="N1442">
        <v>0</v>
      </c>
      <c r="O1442" s="14">
        <v>45999</v>
      </c>
      <c r="P1442" s="14">
        <v>46029</v>
      </c>
      <c r="Q1442">
        <v>3426.37</v>
      </c>
      <c r="R1442">
        <v>0</v>
      </c>
      <c r="S1442">
        <v>0</v>
      </c>
      <c r="T1442">
        <v>0</v>
      </c>
      <c r="U1442">
        <v>0</v>
      </c>
      <c r="V1442">
        <v>3426.37</v>
      </c>
      <c r="W1442">
        <v>0</v>
      </c>
      <c r="X1442">
        <v>1</v>
      </c>
      <c r="Y1442">
        <v>0</v>
      </c>
      <c r="Z1442">
        <v>-7</v>
      </c>
      <c r="AA1442">
        <v>1</v>
      </c>
      <c r="AB1442" s="13" t="s">
        <v>581</v>
      </c>
      <c r="AC1442">
        <v>0</v>
      </c>
      <c r="AD1442">
        <v>0</v>
      </c>
      <c r="AE1442" s="13" t="s">
        <v>61</v>
      </c>
    </row>
    <row r="1443" spans="1:31" x14ac:dyDescent="0.35">
      <c r="A1443" s="13" t="s">
        <v>2205</v>
      </c>
      <c r="B1443" s="13" t="s">
        <v>920</v>
      </c>
      <c r="C1443" s="13" t="s">
        <v>921</v>
      </c>
      <c r="D1443" s="13" t="s">
        <v>104</v>
      </c>
      <c r="E1443" s="13" t="s">
        <v>99</v>
      </c>
      <c r="F1443" s="13" t="s">
        <v>100</v>
      </c>
      <c r="G1443" s="13" t="s">
        <v>92</v>
      </c>
      <c r="H1443">
        <v>100000</v>
      </c>
      <c r="I1443" s="13" t="s">
        <v>121</v>
      </c>
      <c r="J1443" s="13" t="s">
        <v>122</v>
      </c>
      <c r="K1443" s="13" t="s">
        <v>107</v>
      </c>
      <c r="L1443" s="13" t="s">
        <v>95</v>
      </c>
      <c r="M1443">
        <v>30</v>
      </c>
      <c r="N1443">
        <v>0</v>
      </c>
      <c r="O1443" s="14">
        <v>45999</v>
      </c>
      <c r="P1443" s="14">
        <v>46029</v>
      </c>
      <c r="Q1443">
        <v>8104.17</v>
      </c>
      <c r="R1443">
        <v>0</v>
      </c>
      <c r="S1443">
        <v>0</v>
      </c>
      <c r="T1443">
        <v>0</v>
      </c>
      <c r="U1443">
        <v>0</v>
      </c>
      <c r="V1443">
        <v>8104.17</v>
      </c>
      <c r="W1443">
        <v>0</v>
      </c>
      <c r="X1443">
        <v>1</v>
      </c>
      <c r="Y1443">
        <v>0</v>
      </c>
      <c r="Z1443">
        <v>-7</v>
      </c>
      <c r="AA1443">
        <v>1</v>
      </c>
      <c r="AB1443" s="13" t="s">
        <v>581</v>
      </c>
      <c r="AC1443">
        <v>0</v>
      </c>
      <c r="AD1443">
        <v>0</v>
      </c>
      <c r="AE1443" s="13" t="s">
        <v>61</v>
      </c>
    </row>
    <row r="1444" spans="1:31" x14ac:dyDescent="0.35">
      <c r="A1444" s="13" t="s">
        <v>2206</v>
      </c>
      <c r="B1444" s="13" t="s">
        <v>2207</v>
      </c>
      <c r="C1444" s="13" t="s">
        <v>2208</v>
      </c>
      <c r="D1444" s="13" t="s">
        <v>104</v>
      </c>
      <c r="E1444" s="13" t="s">
        <v>77</v>
      </c>
      <c r="F1444" s="13" t="s">
        <v>174</v>
      </c>
      <c r="G1444" s="13" t="s">
        <v>67</v>
      </c>
      <c r="H1444">
        <v>120000</v>
      </c>
      <c r="I1444" s="13" t="s">
        <v>121</v>
      </c>
      <c r="J1444" s="13" t="s">
        <v>122</v>
      </c>
      <c r="K1444" s="13" t="s">
        <v>107</v>
      </c>
      <c r="L1444" s="13" t="s">
        <v>82</v>
      </c>
      <c r="M1444">
        <v>30</v>
      </c>
      <c r="N1444">
        <v>2</v>
      </c>
      <c r="O1444" s="14">
        <v>45999</v>
      </c>
      <c r="P1444" s="14">
        <v>46029</v>
      </c>
      <c r="Q1444">
        <v>3381.06</v>
      </c>
      <c r="R1444">
        <v>0</v>
      </c>
      <c r="S1444">
        <v>0</v>
      </c>
      <c r="T1444">
        <v>0</v>
      </c>
      <c r="U1444">
        <v>0</v>
      </c>
      <c r="V1444">
        <v>3381.06</v>
      </c>
      <c r="W1444">
        <v>0</v>
      </c>
      <c r="X1444">
        <v>1</v>
      </c>
      <c r="Y1444">
        <v>0</v>
      </c>
      <c r="Z1444">
        <v>-7</v>
      </c>
      <c r="AA1444">
        <v>1</v>
      </c>
      <c r="AB1444" s="13" t="s">
        <v>581</v>
      </c>
      <c r="AC1444">
        <v>0</v>
      </c>
      <c r="AD1444">
        <v>0</v>
      </c>
      <c r="AE1444" s="13" t="s">
        <v>61</v>
      </c>
    </row>
    <row r="1445" spans="1:31" x14ac:dyDescent="0.35">
      <c r="A1445" s="13" t="s">
        <v>2209</v>
      </c>
      <c r="B1445" s="13" t="s">
        <v>168</v>
      </c>
      <c r="C1445" s="13" t="s">
        <v>169</v>
      </c>
      <c r="D1445" s="13" t="s">
        <v>52</v>
      </c>
      <c r="E1445" s="13" t="s">
        <v>65</v>
      </c>
      <c r="F1445" s="13" t="s">
        <v>66</v>
      </c>
      <c r="G1445" s="13" t="s">
        <v>67</v>
      </c>
      <c r="H1445">
        <v>580000</v>
      </c>
      <c r="I1445" s="13" t="s">
        <v>56</v>
      </c>
      <c r="J1445" s="13" t="s">
        <v>57</v>
      </c>
      <c r="K1445" s="13" t="s">
        <v>58</v>
      </c>
      <c r="L1445" s="13" t="s">
        <v>59</v>
      </c>
      <c r="M1445">
        <v>45</v>
      </c>
      <c r="N1445">
        <v>0</v>
      </c>
      <c r="O1445" s="14">
        <v>45999</v>
      </c>
      <c r="P1445" s="14">
        <v>46044</v>
      </c>
      <c r="Q1445">
        <v>13715.92</v>
      </c>
      <c r="R1445">
        <v>0</v>
      </c>
      <c r="S1445">
        <v>0</v>
      </c>
      <c r="T1445">
        <v>0</v>
      </c>
      <c r="U1445">
        <v>0</v>
      </c>
      <c r="V1445">
        <v>13715.92</v>
      </c>
      <c r="W1445">
        <v>0</v>
      </c>
      <c r="X1445">
        <v>1</v>
      </c>
      <c r="Y1445">
        <v>0</v>
      </c>
      <c r="Z1445">
        <v>-22</v>
      </c>
      <c r="AA1445">
        <v>1</v>
      </c>
      <c r="AB1445" s="13" t="s">
        <v>581</v>
      </c>
      <c r="AC1445">
        <v>0</v>
      </c>
      <c r="AD1445">
        <v>0</v>
      </c>
      <c r="AE1445" s="13" t="s">
        <v>61</v>
      </c>
    </row>
    <row r="1446" spans="1:31" x14ac:dyDescent="0.35">
      <c r="A1446" s="13" t="s">
        <v>2210</v>
      </c>
      <c r="B1446" s="13" t="s">
        <v>1042</v>
      </c>
      <c r="C1446" s="13" t="s">
        <v>1043</v>
      </c>
      <c r="D1446" s="13" t="s">
        <v>104</v>
      </c>
      <c r="E1446" s="13" t="s">
        <v>53</v>
      </c>
      <c r="F1446" s="13" t="s">
        <v>135</v>
      </c>
      <c r="G1446" s="13" t="s">
        <v>67</v>
      </c>
      <c r="H1446">
        <v>85000</v>
      </c>
      <c r="I1446" s="13" t="s">
        <v>121</v>
      </c>
      <c r="J1446" s="13" t="s">
        <v>122</v>
      </c>
      <c r="K1446" s="13" t="s">
        <v>107</v>
      </c>
      <c r="L1446" s="13" t="s">
        <v>88</v>
      </c>
      <c r="M1446">
        <v>60</v>
      </c>
      <c r="N1446">
        <v>0</v>
      </c>
      <c r="O1446" s="14">
        <v>45999</v>
      </c>
      <c r="P1446" s="14">
        <v>46059</v>
      </c>
      <c r="Q1446">
        <v>4818.03</v>
      </c>
      <c r="R1446">
        <v>0</v>
      </c>
      <c r="S1446">
        <v>0</v>
      </c>
      <c r="T1446">
        <v>0</v>
      </c>
      <c r="U1446">
        <v>0</v>
      </c>
      <c r="V1446">
        <v>4818.03</v>
      </c>
      <c r="W1446">
        <v>0</v>
      </c>
      <c r="X1446">
        <v>1</v>
      </c>
      <c r="Y1446">
        <v>0</v>
      </c>
      <c r="Z1446">
        <v>-37</v>
      </c>
      <c r="AA1446">
        <v>1</v>
      </c>
      <c r="AB1446" s="13" t="s">
        <v>581</v>
      </c>
      <c r="AC1446">
        <v>0</v>
      </c>
      <c r="AD1446">
        <v>0</v>
      </c>
      <c r="AE1446" s="13" t="s">
        <v>61</v>
      </c>
    </row>
    <row r="1447" spans="1:31" x14ac:dyDescent="0.35">
      <c r="A1447" s="13" t="s">
        <v>2211</v>
      </c>
      <c r="B1447" s="13" t="s">
        <v>641</v>
      </c>
      <c r="C1447" s="13" t="s">
        <v>642</v>
      </c>
      <c r="D1447" s="13" t="s">
        <v>52</v>
      </c>
      <c r="E1447" s="13" t="s">
        <v>99</v>
      </c>
      <c r="F1447" s="13" t="s">
        <v>127</v>
      </c>
      <c r="G1447" s="13" t="s">
        <v>67</v>
      </c>
      <c r="H1447">
        <v>315000</v>
      </c>
      <c r="I1447" s="13" t="s">
        <v>56</v>
      </c>
      <c r="J1447" s="13" t="s">
        <v>57</v>
      </c>
      <c r="K1447" s="13" t="s">
        <v>58</v>
      </c>
      <c r="L1447" s="13" t="s">
        <v>88</v>
      </c>
      <c r="M1447">
        <v>60</v>
      </c>
      <c r="N1447">
        <v>0</v>
      </c>
      <c r="O1447" s="14">
        <v>45999</v>
      </c>
      <c r="P1447" s="14">
        <v>46059</v>
      </c>
      <c r="Q1447">
        <v>7769.96</v>
      </c>
      <c r="R1447">
        <v>0</v>
      </c>
      <c r="S1447">
        <v>0</v>
      </c>
      <c r="T1447">
        <v>0</v>
      </c>
      <c r="U1447">
        <v>0</v>
      </c>
      <c r="V1447">
        <v>7769.96</v>
      </c>
      <c r="W1447">
        <v>0</v>
      </c>
      <c r="X1447">
        <v>1</v>
      </c>
      <c r="Y1447">
        <v>0</v>
      </c>
      <c r="Z1447">
        <v>-37</v>
      </c>
      <c r="AA1447">
        <v>1</v>
      </c>
      <c r="AB1447" s="13" t="s">
        <v>581</v>
      </c>
      <c r="AC1447">
        <v>0</v>
      </c>
      <c r="AD1447">
        <v>0</v>
      </c>
      <c r="AE1447" s="13" t="s">
        <v>61</v>
      </c>
    </row>
    <row r="1448" spans="1:31" x14ac:dyDescent="0.35">
      <c r="A1448" s="13" t="s">
        <v>2212</v>
      </c>
      <c r="B1448" s="13" t="s">
        <v>644</v>
      </c>
      <c r="C1448" s="13" t="s">
        <v>645</v>
      </c>
      <c r="D1448" s="13" t="s">
        <v>76</v>
      </c>
      <c r="E1448" s="13" t="s">
        <v>53</v>
      </c>
      <c r="F1448" s="13" t="s">
        <v>54</v>
      </c>
      <c r="G1448" s="13" t="s">
        <v>92</v>
      </c>
      <c r="H1448">
        <v>35000</v>
      </c>
      <c r="I1448" s="13" t="s">
        <v>79</v>
      </c>
      <c r="J1448" s="13" t="s">
        <v>80</v>
      </c>
      <c r="K1448" s="13" t="s">
        <v>81</v>
      </c>
      <c r="L1448" s="13" t="s">
        <v>95</v>
      </c>
      <c r="M1448">
        <v>30</v>
      </c>
      <c r="N1448">
        <v>0</v>
      </c>
      <c r="O1448" s="14">
        <v>45999</v>
      </c>
      <c r="P1448" s="14">
        <v>46029</v>
      </c>
      <c r="Q1448">
        <v>1539.61</v>
      </c>
      <c r="R1448">
        <v>0</v>
      </c>
      <c r="S1448">
        <v>0</v>
      </c>
      <c r="T1448">
        <v>0</v>
      </c>
      <c r="U1448">
        <v>0</v>
      </c>
      <c r="V1448">
        <v>1539.61</v>
      </c>
      <c r="W1448">
        <v>0</v>
      </c>
      <c r="X1448">
        <v>1</v>
      </c>
      <c r="Y1448">
        <v>0</v>
      </c>
      <c r="Z1448">
        <v>-7</v>
      </c>
      <c r="AA1448">
        <v>1</v>
      </c>
      <c r="AB1448" s="13" t="s">
        <v>581</v>
      </c>
      <c r="AC1448">
        <v>0</v>
      </c>
      <c r="AD1448">
        <v>0</v>
      </c>
      <c r="AE1448" s="13" t="s">
        <v>61</v>
      </c>
    </row>
    <row r="1449" spans="1:31" x14ac:dyDescent="0.35">
      <c r="A1449" s="13" t="s">
        <v>2213</v>
      </c>
      <c r="B1449" s="13" t="s">
        <v>2080</v>
      </c>
      <c r="C1449" s="13" t="s">
        <v>2081</v>
      </c>
      <c r="D1449" s="13" t="s">
        <v>104</v>
      </c>
      <c r="E1449" s="13" t="s">
        <v>99</v>
      </c>
      <c r="F1449" s="13" t="s">
        <v>100</v>
      </c>
      <c r="G1449" s="13" t="s">
        <v>55</v>
      </c>
      <c r="H1449">
        <v>150000</v>
      </c>
      <c r="I1449" s="13" t="s">
        <v>56</v>
      </c>
      <c r="J1449" s="13" t="s">
        <v>57</v>
      </c>
      <c r="K1449" s="13" t="s">
        <v>58</v>
      </c>
      <c r="L1449" s="13" t="s">
        <v>95</v>
      </c>
      <c r="M1449">
        <v>30</v>
      </c>
      <c r="N1449">
        <v>0</v>
      </c>
      <c r="O1449" s="14">
        <v>45999</v>
      </c>
      <c r="P1449" s="14">
        <v>46029</v>
      </c>
      <c r="Q1449">
        <v>4159.59</v>
      </c>
      <c r="R1449">
        <v>0</v>
      </c>
      <c r="S1449">
        <v>0</v>
      </c>
      <c r="T1449">
        <v>0</v>
      </c>
      <c r="U1449">
        <v>0</v>
      </c>
      <c r="V1449">
        <v>4159.59</v>
      </c>
      <c r="W1449">
        <v>0</v>
      </c>
      <c r="X1449">
        <v>1</v>
      </c>
      <c r="Y1449">
        <v>0</v>
      </c>
      <c r="Z1449">
        <v>-7</v>
      </c>
      <c r="AA1449">
        <v>1</v>
      </c>
      <c r="AB1449" s="13" t="s">
        <v>581</v>
      </c>
      <c r="AC1449">
        <v>0</v>
      </c>
      <c r="AD1449">
        <v>0</v>
      </c>
      <c r="AE1449" s="13" t="s">
        <v>61</v>
      </c>
    </row>
    <row r="1450" spans="1:31" x14ac:dyDescent="0.35">
      <c r="A1450" s="13" t="s">
        <v>2214</v>
      </c>
      <c r="B1450" s="13" t="s">
        <v>1127</v>
      </c>
      <c r="C1450" s="13" t="s">
        <v>1128</v>
      </c>
      <c r="D1450" s="13" t="s">
        <v>52</v>
      </c>
      <c r="E1450" s="13" t="s">
        <v>53</v>
      </c>
      <c r="F1450" s="13" t="s">
        <v>135</v>
      </c>
      <c r="G1450" s="13" t="s">
        <v>67</v>
      </c>
      <c r="H1450">
        <v>470000</v>
      </c>
      <c r="I1450" s="13" t="s">
        <v>56</v>
      </c>
      <c r="J1450" s="13" t="s">
        <v>57</v>
      </c>
      <c r="K1450" s="13" t="s">
        <v>58</v>
      </c>
      <c r="L1450" s="13" t="s">
        <v>88</v>
      </c>
      <c r="M1450">
        <v>60</v>
      </c>
      <c r="N1450">
        <v>0</v>
      </c>
      <c r="O1450" s="14">
        <v>45999</v>
      </c>
      <c r="P1450" s="14">
        <v>46059</v>
      </c>
      <c r="Q1450">
        <v>6007.63</v>
      </c>
      <c r="R1450">
        <v>0</v>
      </c>
      <c r="S1450">
        <v>0</v>
      </c>
      <c r="T1450">
        <v>0</v>
      </c>
      <c r="U1450">
        <v>0</v>
      </c>
      <c r="V1450">
        <v>6007.63</v>
      </c>
      <c r="W1450">
        <v>0</v>
      </c>
      <c r="X1450">
        <v>1</v>
      </c>
      <c r="Y1450">
        <v>0</v>
      </c>
      <c r="Z1450">
        <v>-37</v>
      </c>
      <c r="AA1450">
        <v>1</v>
      </c>
      <c r="AB1450" s="13" t="s">
        <v>581</v>
      </c>
      <c r="AC1450">
        <v>0</v>
      </c>
      <c r="AD1450">
        <v>0</v>
      </c>
      <c r="AE1450" s="13" t="s">
        <v>61</v>
      </c>
    </row>
    <row r="1451" spans="1:31" x14ac:dyDescent="0.35">
      <c r="A1451" s="13" t="s">
        <v>2215</v>
      </c>
      <c r="B1451" s="13" t="s">
        <v>1262</v>
      </c>
      <c r="C1451" s="13" t="s">
        <v>1263</v>
      </c>
      <c r="D1451" s="13" t="s">
        <v>104</v>
      </c>
      <c r="E1451" s="13" t="s">
        <v>53</v>
      </c>
      <c r="F1451" s="13" t="s">
        <v>54</v>
      </c>
      <c r="G1451" s="13" t="s">
        <v>67</v>
      </c>
      <c r="H1451">
        <v>60000</v>
      </c>
      <c r="I1451" s="13" t="s">
        <v>105</v>
      </c>
      <c r="J1451" s="13" t="s">
        <v>106</v>
      </c>
      <c r="K1451" s="13" t="s">
        <v>107</v>
      </c>
      <c r="L1451" s="13" t="s">
        <v>88</v>
      </c>
      <c r="M1451">
        <v>60</v>
      </c>
      <c r="N1451">
        <v>0</v>
      </c>
      <c r="O1451" s="14">
        <v>45999</v>
      </c>
      <c r="P1451" s="14">
        <v>46059</v>
      </c>
      <c r="Q1451">
        <v>2123.15</v>
      </c>
      <c r="R1451">
        <v>0</v>
      </c>
      <c r="S1451">
        <v>0</v>
      </c>
      <c r="T1451">
        <v>0</v>
      </c>
      <c r="U1451">
        <v>0</v>
      </c>
      <c r="V1451">
        <v>2123.15</v>
      </c>
      <c r="W1451">
        <v>0</v>
      </c>
      <c r="X1451">
        <v>1</v>
      </c>
      <c r="Y1451">
        <v>0</v>
      </c>
      <c r="Z1451">
        <v>-37</v>
      </c>
      <c r="AA1451">
        <v>1</v>
      </c>
      <c r="AB1451" s="13" t="s">
        <v>581</v>
      </c>
      <c r="AC1451">
        <v>0</v>
      </c>
      <c r="AD1451">
        <v>0</v>
      </c>
      <c r="AE1451" s="13" t="s">
        <v>61</v>
      </c>
    </row>
    <row r="1452" spans="1:31" x14ac:dyDescent="0.35">
      <c r="A1452" s="13" t="s">
        <v>2216</v>
      </c>
      <c r="B1452" s="13" t="s">
        <v>676</v>
      </c>
      <c r="C1452" s="13" t="s">
        <v>677</v>
      </c>
      <c r="D1452" s="13" t="s">
        <v>126</v>
      </c>
      <c r="E1452" s="13" t="s">
        <v>71</v>
      </c>
      <c r="F1452" s="13" t="s">
        <v>72</v>
      </c>
      <c r="G1452" s="13" t="s">
        <v>67</v>
      </c>
      <c r="H1452">
        <v>80000</v>
      </c>
      <c r="I1452" s="13" t="s">
        <v>121</v>
      </c>
      <c r="J1452" s="13" t="s">
        <v>122</v>
      </c>
      <c r="K1452" s="13" t="s">
        <v>107</v>
      </c>
      <c r="L1452" s="13" t="s">
        <v>88</v>
      </c>
      <c r="M1452">
        <v>60</v>
      </c>
      <c r="N1452">
        <v>0</v>
      </c>
      <c r="O1452" s="14">
        <v>45999</v>
      </c>
      <c r="P1452" s="14">
        <v>46059</v>
      </c>
      <c r="Q1452">
        <v>1810.61</v>
      </c>
      <c r="R1452">
        <v>0</v>
      </c>
      <c r="S1452">
        <v>0</v>
      </c>
      <c r="T1452">
        <v>0</v>
      </c>
      <c r="U1452">
        <v>0</v>
      </c>
      <c r="V1452">
        <v>1810.61</v>
      </c>
      <c r="W1452">
        <v>0</v>
      </c>
      <c r="X1452">
        <v>1</v>
      </c>
      <c r="Y1452">
        <v>0</v>
      </c>
      <c r="Z1452">
        <v>-37</v>
      </c>
      <c r="AA1452">
        <v>1</v>
      </c>
      <c r="AB1452" s="13" t="s">
        <v>581</v>
      </c>
      <c r="AC1452">
        <v>0</v>
      </c>
      <c r="AD1452">
        <v>0</v>
      </c>
      <c r="AE1452" s="13" t="s">
        <v>61</v>
      </c>
    </row>
    <row r="1453" spans="1:31" x14ac:dyDescent="0.35">
      <c r="A1453" s="13" t="s">
        <v>2217</v>
      </c>
      <c r="B1453" s="13" t="s">
        <v>516</v>
      </c>
      <c r="C1453" s="13" t="s">
        <v>517</v>
      </c>
      <c r="D1453" s="13" t="s">
        <v>52</v>
      </c>
      <c r="E1453" s="13" t="s">
        <v>65</v>
      </c>
      <c r="F1453" s="13" t="s">
        <v>66</v>
      </c>
      <c r="G1453" s="13" t="s">
        <v>55</v>
      </c>
      <c r="H1453">
        <v>305000</v>
      </c>
      <c r="I1453" s="13" t="s">
        <v>56</v>
      </c>
      <c r="J1453" s="13" t="s">
        <v>57</v>
      </c>
      <c r="K1453" s="13" t="s">
        <v>58</v>
      </c>
      <c r="L1453" s="13" t="s">
        <v>88</v>
      </c>
      <c r="M1453">
        <v>60</v>
      </c>
      <c r="N1453">
        <v>0</v>
      </c>
      <c r="O1453" s="14">
        <v>45999</v>
      </c>
      <c r="P1453" s="14">
        <v>46059</v>
      </c>
      <c r="Q1453">
        <v>11746.1</v>
      </c>
      <c r="R1453">
        <v>0</v>
      </c>
      <c r="S1453">
        <v>0</v>
      </c>
      <c r="T1453">
        <v>0</v>
      </c>
      <c r="U1453">
        <v>0</v>
      </c>
      <c r="V1453">
        <v>11746.1</v>
      </c>
      <c r="W1453">
        <v>0</v>
      </c>
      <c r="X1453">
        <v>1</v>
      </c>
      <c r="Y1453">
        <v>0</v>
      </c>
      <c r="Z1453">
        <v>-37</v>
      </c>
      <c r="AA1453">
        <v>1</v>
      </c>
      <c r="AB1453" s="13" t="s">
        <v>581</v>
      </c>
      <c r="AC1453">
        <v>0</v>
      </c>
      <c r="AD1453">
        <v>0</v>
      </c>
      <c r="AE1453" s="13" t="s">
        <v>61</v>
      </c>
    </row>
    <row r="1454" spans="1:31" x14ac:dyDescent="0.35">
      <c r="A1454" s="13" t="s">
        <v>2218</v>
      </c>
      <c r="B1454" s="13" t="s">
        <v>343</v>
      </c>
      <c r="C1454" s="13" t="s">
        <v>344</v>
      </c>
      <c r="D1454" s="13" t="s">
        <v>104</v>
      </c>
      <c r="E1454" s="13" t="s">
        <v>77</v>
      </c>
      <c r="F1454" s="13" t="s">
        <v>174</v>
      </c>
      <c r="G1454" s="13" t="s">
        <v>67</v>
      </c>
      <c r="H1454">
        <v>145000</v>
      </c>
      <c r="I1454" s="13" t="s">
        <v>105</v>
      </c>
      <c r="J1454" s="13" t="s">
        <v>106</v>
      </c>
      <c r="K1454" s="13" t="s">
        <v>107</v>
      </c>
      <c r="L1454" s="13" t="s">
        <v>95</v>
      </c>
      <c r="M1454">
        <v>30</v>
      </c>
      <c r="N1454">
        <v>0</v>
      </c>
      <c r="O1454" s="14">
        <v>45999</v>
      </c>
      <c r="P1454" s="14">
        <v>46029</v>
      </c>
      <c r="Q1454">
        <v>4616.6000000000004</v>
      </c>
      <c r="R1454">
        <v>0</v>
      </c>
      <c r="S1454">
        <v>0</v>
      </c>
      <c r="T1454">
        <v>0</v>
      </c>
      <c r="U1454">
        <v>0</v>
      </c>
      <c r="V1454">
        <v>4616.6000000000004</v>
      </c>
      <c r="W1454">
        <v>0</v>
      </c>
      <c r="X1454">
        <v>1</v>
      </c>
      <c r="Y1454">
        <v>0</v>
      </c>
      <c r="Z1454">
        <v>-7</v>
      </c>
      <c r="AA1454">
        <v>1</v>
      </c>
      <c r="AB1454" s="13" t="s">
        <v>581</v>
      </c>
      <c r="AC1454">
        <v>0</v>
      </c>
      <c r="AD1454">
        <v>0</v>
      </c>
      <c r="AE1454" s="13" t="s">
        <v>61</v>
      </c>
    </row>
    <row r="1455" spans="1:31" x14ac:dyDescent="0.35">
      <c r="A1455" s="13" t="s">
        <v>2219</v>
      </c>
      <c r="B1455" s="13" t="s">
        <v>866</v>
      </c>
      <c r="C1455" s="13" t="s">
        <v>867</v>
      </c>
      <c r="D1455" s="13" t="s">
        <v>104</v>
      </c>
      <c r="E1455" s="13" t="s">
        <v>71</v>
      </c>
      <c r="F1455" s="13" t="s">
        <v>214</v>
      </c>
      <c r="G1455" s="13" t="s">
        <v>55</v>
      </c>
      <c r="H1455">
        <v>50000</v>
      </c>
      <c r="I1455" s="13" t="s">
        <v>105</v>
      </c>
      <c r="J1455" s="13" t="s">
        <v>106</v>
      </c>
      <c r="K1455" s="13" t="s">
        <v>107</v>
      </c>
      <c r="L1455" s="13" t="s">
        <v>88</v>
      </c>
      <c r="M1455">
        <v>60</v>
      </c>
      <c r="N1455">
        <v>0</v>
      </c>
      <c r="O1455" s="14">
        <v>45999</v>
      </c>
      <c r="P1455" s="14">
        <v>46059</v>
      </c>
      <c r="Q1455">
        <v>5499.49</v>
      </c>
      <c r="R1455">
        <v>0</v>
      </c>
      <c r="S1455">
        <v>0</v>
      </c>
      <c r="T1455">
        <v>0</v>
      </c>
      <c r="U1455">
        <v>0</v>
      </c>
      <c r="V1455">
        <v>5499.49</v>
      </c>
      <c r="W1455">
        <v>0</v>
      </c>
      <c r="X1455">
        <v>1</v>
      </c>
      <c r="Y1455">
        <v>0</v>
      </c>
      <c r="Z1455">
        <v>-37</v>
      </c>
      <c r="AA1455">
        <v>1</v>
      </c>
      <c r="AB1455" s="13" t="s">
        <v>581</v>
      </c>
      <c r="AC1455">
        <v>0</v>
      </c>
      <c r="AD1455">
        <v>0</v>
      </c>
      <c r="AE1455" s="13" t="s">
        <v>61</v>
      </c>
    </row>
    <row r="1456" spans="1:31" x14ac:dyDescent="0.35">
      <c r="A1456" s="13" t="s">
        <v>2220</v>
      </c>
      <c r="B1456" s="13" t="s">
        <v>446</v>
      </c>
      <c r="C1456" s="13" t="s">
        <v>447</v>
      </c>
      <c r="D1456" s="13" t="s">
        <v>52</v>
      </c>
      <c r="E1456" s="13" t="s">
        <v>53</v>
      </c>
      <c r="F1456" s="13" t="s">
        <v>54</v>
      </c>
      <c r="G1456" s="13" t="s">
        <v>67</v>
      </c>
      <c r="H1456">
        <v>245000</v>
      </c>
      <c r="I1456" s="13" t="s">
        <v>86</v>
      </c>
      <c r="J1456" s="13" t="s">
        <v>87</v>
      </c>
      <c r="K1456" s="13" t="s">
        <v>58</v>
      </c>
      <c r="L1456" s="13" t="s">
        <v>88</v>
      </c>
      <c r="M1456">
        <v>60</v>
      </c>
      <c r="N1456">
        <v>0</v>
      </c>
      <c r="O1456" s="14">
        <v>45999</v>
      </c>
      <c r="P1456" s="14">
        <v>46059</v>
      </c>
      <c r="Q1456">
        <v>2998.89</v>
      </c>
      <c r="R1456">
        <v>0</v>
      </c>
      <c r="S1456">
        <v>0</v>
      </c>
      <c r="T1456">
        <v>0</v>
      </c>
      <c r="U1456">
        <v>0</v>
      </c>
      <c r="V1456">
        <v>2998.89</v>
      </c>
      <c r="W1456">
        <v>0</v>
      </c>
      <c r="X1456">
        <v>1</v>
      </c>
      <c r="Y1456">
        <v>0</v>
      </c>
      <c r="Z1456">
        <v>-37</v>
      </c>
      <c r="AA1456">
        <v>1</v>
      </c>
      <c r="AB1456" s="13" t="s">
        <v>581</v>
      </c>
      <c r="AC1456">
        <v>0</v>
      </c>
      <c r="AD1456">
        <v>0</v>
      </c>
      <c r="AE1456" s="13" t="s">
        <v>61</v>
      </c>
    </row>
    <row r="1457" spans="1:31" x14ac:dyDescent="0.35">
      <c r="A1457" s="13" t="s">
        <v>2221</v>
      </c>
      <c r="B1457" s="13" t="s">
        <v>438</v>
      </c>
      <c r="C1457" s="13" t="s">
        <v>439</v>
      </c>
      <c r="D1457" s="13" t="s">
        <v>126</v>
      </c>
      <c r="E1457" s="13" t="s">
        <v>65</v>
      </c>
      <c r="F1457" s="13" t="s">
        <v>111</v>
      </c>
      <c r="G1457" s="13" t="s">
        <v>67</v>
      </c>
      <c r="H1457">
        <v>155000</v>
      </c>
      <c r="I1457" s="13" t="s">
        <v>86</v>
      </c>
      <c r="J1457" s="13" t="s">
        <v>87</v>
      </c>
      <c r="K1457" s="13" t="s">
        <v>58</v>
      </c>
      <c r="L1457" s="13" t="s">
        <v>368</v>
      </c>
      <c r="M1457">
        <v>90</v>
      </c>
      <c r="N1457">
        <v>0</v>
      </c>
      <c r="O1457" s="14">
        <v>45999</v>
      </c>
      <c r="P1457" s="14">
        <v>46089</v>
      </c>
      <c r="Q1457">
        <v>4270.9399999999996</v>
      </c>
      <c r="R1457">
        <v>0</v>
      </c>
      <c r="S1457">
        <v>0</v>
      </c>
      <c r="T1457">
        <v>0</v>
      </c>
      <c r="U1457">
        <v>0</v>
      </c>
      <c r="V1457">
        <v>4270.9399999999996</v>
      </c>
      <c r="W1457">
        <v>0</v>
      </c>
      <c r="X1457">
        <v>1</v>
      </c>
      <c r="Y1457">
        <v>0</v>
      </c>
      <c r="Z1457">
        <v>-67</v>
      </c>
      <c r="AA1457">
        <v>1</v>
      </c>
      <c r="AB1457" s="13" t="s">
        <v>581</v>
      </c>
      <c r="AC1457">
        <v>0</v>
      </c>
      <c r="AD1457">
        <v>0</v>
      </c>
      <c r="AE1457" s="13" t="s">
        <v>61</v>
      </c>
    </row>
    <row r="1458" spans="1:31" x14ac:dyDescent="0.35">
      <c r="A1458" s="13" t="s">
        <v>2222</v>
      </c>
      <c r="B1458" s="13" t="s">
        <v>499</v>
      </c>
      <c r="C1458" s="13" t="s">
        <v>500</v>
      </c>
      <c r="D1458" s="13" t="s">
        <v>104</v>
      </c>
      <c r="E1458" s="13" t="s">
        <v>53</v>
      </c>
      <c r="F1458" s="13" t="s">
        <v>54</v>
      </c>
      <c r="G1458" s="13" t="s">
        <v>67</v>
      </c>
      <c r="H1458">
        <v>90000</v>
      </c>
      <c r="I1458" s="13" t="s">
        <v>105</v>
      </c>
      <c r="J1458" s="13" t="s">
        <v>106</v>
      </c>
      <c r="K1458" s="13" t="s">
        <v>107</v>
      </c>
      <c r="L1458" s="13" t="s">
        <v>88</v>
      </c>
      <c r="M1458">
        <v>60</v>
      </c>
      <c r="N1458">
        <v>0</v>
      </c>
      <c r="O1458" s="14">
        <v>45999</v>
      </c>
      <c r="P1458" s="14">
        <v>46059</v>
      </c>
      <c r="Q1458">
        <v>8448.7999999999993</v>
      </c>
      <c r="R1458">
        <v>0</v>
      </c>
      <c r="S1458">
        <v>0</v>
      </c>
      <c r="T1458">
        <v>0</v>
      </c>
      <c r="U1458">
        <v>0</v>
      </c>
      <c r="V1458">
        <v>8448.7999999999993</v>
      </c>
      <c r="W1458">
        <v>0</v>
      </c>
      <c r="X1458">
        <v>1</v>
      </c>
      <c r="Y1458">
        <v>0</v>
      </c>
      <c r="Z1458">
        <v>-37</v>
      </c>
      <c r="AA1458">
        <v>1</v>
      </c>
      <c r="AB1458" s="13" t="s">
        <v>581</v>
      </c>
      <c r="AC1458">
        <v>0</v>
      </c>
      <c r="AD1458">
        <v>0</v>
      </c>
      <c r="AE1458" s="13" t="s">
        <v>61</v>
      </c>
    </row>
    <row r="1459" spans="1:31" x14ac:dyDescent="0.35">
      <c r="A1459" s="13" t="s">
        <v>2223</v>
      </c>
      <c r="B1459" s="13" t="s">
        <v>305</v>
      </c>
      <c r="C1459" s="13" t="s">
        <v>306</v>
      </c>
      <c r="D1459" s="13" t="s">
        <v>76</v>
      </c>
      <c r="E1459" s="13" t="s">
        <v>53</v>
      </c>
      <c r="F1459" s="13" t="s">
        <v>135</v>
      </c>
      <c r="G1459" s="13" t="s">
        <v>67</v>
      </c>
      <c r="H1459">
        <v>30000</v>
      </c>
      <c r="I1459" s="13" t="s">
        <v>93</v>
      </c>
      <c r="J1459" s="13" t="s">
        <v>94</v>
      </c>
      <c r="K1459" s="13" t="s">
        <v>81</v>
      </c>
      <c r="L1459" s="13" t="s">
        <v>95</v>
      </c>
      <c r="M1459">
        <v>30</v>
      </c>
      <c r="N1459">
        <v>0</v>
      </c>
      <c r="O1459" s="14">
        <v>45999</v>
      </c>
      <c r="P1459" s="14">
        <v>46029</v>
      </c>
      <c r="Q1459">
        <v>1246.5999999999999</v>
      </c>
      <c r="R1459">
        <v>0</v>
      </c>
      <c r="S1459">
        <v>0</v>
      </c>
      <c r="T1459">
        <v>0</v>
      </c>
      <c r="U1459">
        <v>0</v>
      </c>
      <c r="V1459">
        <v>1246.5999999999999</v>
      </c>
      <c r="W1459">
        <v>0</v>
      </c>
      <c r="X1459">
        <v>1</v>
      </c>
      <c r="Y1459">
        <v>0</v>
      </c>
      <c r="Z1459">
        <v>-7</v>
      </c>
      <c r="AA1459">
        <v>1</v>
      </c>
      <c r="AB1459" s="13" t="s">
        <v>581</v>
      </c>
      <c r="AC1459">
        <v>0</v>
      </c>
      <c r="AD1459">
        <v>0</v>
      </c>
      <c r="AE1459" s="13" t="s">
        <v>61</v>
      </c>
    </row>
    <row r="1460" spans="1:31" x14ac:dyDescent="0.35">
      <c r="A1460" s="13" t="s">
        <v>2224</v>
      </c>
      <c r="B1460" s="13" t="s">
        <v>172</v>
      </c>
      <c r="C1460" s="13" t="s">
        <v>173</v>
      </c>
      <c r="D1460" s="13" t="s">
        <v>52</v>
      </c>
      <c r="E1460" s="13" t="s">
        <v>77</v>
      </c>
      <c r="F1460" s="13" t="s">
        <v>174</v>
      </c>
      <c r="G1460" s="13" t="s">
        <v>67</v>
      </c>
      <c r="H1460">
        <v>590000</v>
      </c>
      <c r="I1460" s="13" t="s">
        <v>56</v>
      </c>
      <c r="J1460" s="13" t="s">
        <v>57</v>
      </c>
      <c r="K1460" s="13" t="s">
        <v>58</v>
      </c>
      <c r="L1460" s="13" t="s">
        <v>59</v>
      </c>
      <c r="M1460">
        <v>45</v>
      </c>
      <c r="N1460">
        <v>0</v>
      </c>
      <c r="O1460" s="14">
        <v>45999</v>
      </c>
      <c r="P1460" s="14">
        <v>46044</v>
      </c>
      <c r="Q1460">
        <v>1999.96</v>
      </c>
      <c r="R1460">
        <v>0</v>
      </c>
      <c r="S1460">
        <v>0</v>
      </c>
      <c r="T1460">
        <v>0</v>
      </c>
      <c r="U1460">
        <v>0</v>
      </c>
      <c r="V1460">
        <v>1999.96</v>
      </c>
      <c r="W1460">
        <v>0</v>
      </c>
      <c r="X1460">
        <v>1</v>
      </c>
      <c r="Y1460">
        <v>0</v>
      </c>
      <c r="Z1460">
        <v>-22</v>
      </c>
      <c r="AA1460">
        <v>1</v>
      </c>
      <c r="AB1460" s="13" t="s">
        <v>581</v>
      </c>
      <c r="AC1460">
        <v>0</v>
      </c>
      <c r="AD1460">
        <v>0</v>
      </c>
      <c r="AE1460" s="13" t="s">
        <v>61</v>
      </c>
    </row>
    <row r="1461" spans="1:31" x14ac:dyDescent="0.35">
      <c r="A1461" s="13" t="s">
        <v>2225</v>
      </c>
      <c r="B1461" s="13" t="s">
        <v>1055</v>
      </c>
      <c r="C1461" s="13" t="s">
        <v>1056</v>
      </c>
      <c r="D1461" s="13" t="s">
        <v>104</v>
      </c>
      <c r="E1461" s="13" t="s">
        <v>71</v>
      </c>
      <c r="F1461" s="13" t="s">
        <v>72</v>
      </c>
      <c r="G1461" s="13" t="s">
        <v>55</v>
      </c>
      <c r="H1461">
        <v>75000</v>
      </c>
      <c r="I1461" s="13" t="s">
        <v>105</v>
      </c>
      <c r="J1461" s="13" t="s">
        <v>106</v>
      </c>
      <c r="K1461" s="13" t="s">
        <v>107</v>
      </c>
      <c r="L1461" s="13" t="s">
        <v>82</v>
      </c>
      <c r="M1461">
        <v>30</v>
      </c>
      <c r="N1461">
        <v>2</v>
      </c>
      <c r="O1461" s="14">
        <v>45999</v>
      </c>
      <c r="P1461" s="14">
        <v>46029</v>
      </c>
      <c r="Q1461">
        <v>6483.61</v>
      </c>
      <c r="R1461">
        <v>0</v>
      </c>
      <c r="S1461">
        <v>0</v>
      </c>
      <c r="T1461">
        <v>0</v>
      </c>
      <c r="U1461">
        <v>0</v>
      </c>
      <c r="V1461">
        <v>6483.61</v>
      </c>
      <c r="W1461">
        <v>0</v>
      </c>
      <c r="X1461">
        <v>1</v>
      </c>
      <c r="Y1461">
        <v>0</v>
      </c>
      <c r="Z1461">
        <v>-7</v>
      </c>
      <c r="AA1461">
        <v>1</v>
      </c>
      <c r="AB1461" s="13" t="s">
        <v>581</v>
      </c>
      <c r="AC1461">
        <v>0</v>
      </c>
      <c r="AD1461">
        <v>0</v>
      </c>
      <c r="AE1461" s="13" t="s">
        <v>61</v>
      </c>
    </row>
    <row r="1462" spans="1:31" x14ac:dyDescent="0.35">
      <c r="A1462" s="13" t="s">
        <v>2226</v>
      </c>
      <c r="B1462" s="13" t="s">
        <v>711</v>
      </c>
      <c r="C1462" s="13" t="s">
        <v>712</v>
      </c>
      <c r="D1462" s="13" t="s">
        <v>126</v>
      </c>
      <c r="E1462" s="13" t="s">
        <v>71</v>
      </c>
      <c r="F1462" s="13" t="s">
        <v>72</v>
      </c>
      <c r="G1462" s="13" t="s">
        <v>67</v>
      </c>
      <c r="H1462">
        <v>190000</v>
      </c>
      <c r="I1462" s="13" t="s">
        <v>56</v>
      </c>
      <c r="J1462" s="13" t="s">
        <v>57</v>
      </c>
      <c r="K1462" s="13" t="s">
        <v>58</v>
      </c>
      <c r="L1462" s="13" t="s">
        <v>368</v>
      </c>
      <c r="M1462">
        <v>90</v>
      </c>
      <c r="N1462">
        <v>0</v>
      </c>
      <c r="O1462" s="14">
        <v>45999</v>
      </c>
      <c r="P1462" s="14">
        <v>46089</v>
      </c>
      <c r="Q1462">
        <v>2993.78</v>
      </c>
      <c r="R1462">
        <v>0</v>
      </c>
      <c r="S1462">
        <v>0</v>
      </c>
      <c r="T1462">
        <v>0</v>
      </c>
      <c r="U1462">
        <v>0</v>
      </c>
      <c r="V1462">
        <v>2993.78</v>
      </c>
      <c r="W1462">
        <v>0</v>
      </c>
      <c r="X1462">
        <v>1</v>
      </c>
      <c r="Y1462">
        <v>0</v>
      </c>
      <c r="Z1462">
        <v>-67</v>
      </c>
      <c r="AA1462">
        <v>1</v>
      </c>
      <c r="AB1462" s="13" t="s">
        <v>581</v>
      </c>
      <c r="AC1462">
        <v>0</v>
      </c>
      <c r="AD1462">
        <v>0</v>
      </c>
      <c r="AE1462" s="13" t="s">
        <v>61</v>
      </c>
    </row>
    <row r="1463" spans="1:31" x14ac:dyDescent="0.35">
      <c r="A1463" s="13" t="s">
        <v>2227</v>
      </c>
      <c r="B1463" s="13" t="s">
        <v>1581</v>
      </c>
      <c r="C1463" s="13" t="s">
        <v>1582</v>
      </c>
      <c r="D1463" s="13" t="s">
        <v>76</v>
      </c>
      <c r="E1463" s="13" t="s">
        <v>53</v>
      </c>
      <c r="F1463" s="13" t="s">
        <v>54</v>
      </c>
      <c r="G1463" s="13" t="s">
        <v>55</v>
      </c>
      <c r="H1463">
        <v>65000</v>
      </c>
      <c r="I1463" s="13" t="s">
        <v>79</v>
      </c>
      <c r="J1463" s="13" t="s">
        <v>80</v>
      </c>
      <c r="K1463" s="13" t="s">
        <v>81</v>
      </c>
      <c r="L1463" s="13" t="s">
        <v>95</v>
      </c>
      <c r="M1463">
        <v>30</v>
      </c>
      <c r="N1463">
        <v>0</v>
      </c>
      <c r="O1463" s="14">
        <v>45999</v>
      </c>
      <c r="P1463" s="14">
        <v>46029</v>
      </c>
      <c r="Q1463">
        <v>2013.97</v>
      </c>
      <c r="R1463">
        <v>0</v>
      </c>
      <c r="S1463">
        <v>0</v>
      </c>
      <c r="T1463">
        <v>0</v>
      </c>
      <c r="U1463">
        <v>0</v>
      </c>
      <c r="V1463">
        <v>2013.97</v>
      </c>
      <c r="W1463">
        <v>0</v>
      </c>
      <c r="X1463">
        <v>1</v>
      </c>
      <c r="Y1463">
        <v>0</v>
      </c>
      <c r="Z1463">
        <v>-7</v>
      </c>
      <c r="AA1463">
        <v>1</v>
      </c>
      <c r="AB1463" s="13" t="s">
        <v>581</v>
      </c>
      <c r="AC1463">
        <v>0</v>
      </c>
      <c r="AD1463">
        <v>0</v>
      </c>
      <c r="AE1463" s="13" t="s">
        <v>61</v>
      </c>
    </row>
    <row r="1464" spans="1:31" x14ac:dyDescent="0.35">
      <c r="A1464" s="13" t="s">
        <v>2228</v>
      </c>
      <c r="B1464" s="13" t="s">
        <v>463</v>
      </c>
      <c r="C1464" s="13" t="s">
        <v>464</v>
      </c>
      <c r="D1464" s="13" t="s">
        <v>76</v>
      </c>
      <c r="E1464" s="13" t="s">
        <v>53</v>
      </c>
      <c r="F1464" s="13" t="s">
        <v>135</v>
      </c>
      <c r="G1464" s="13" t="s">
        <v>55</v>
      </c>
      <c r="H1464">
        <v>75000</v>
      </c>
      <c r="I1464" s="13" t="s">
        <v>93</v>
      </c>
      <c r="J1464" s="13" t="s">
        <v>94</v>
      </c>
      <c r="K1464" s="13" t="s">
        <v>81</v>
      </c>
      <c r="L1464" s="13" t="s">
        <v>95</v>
      </c>
      <c r="M1464">
        <v>30</v>
      </c>
      <c r="N1464">
        <v>0</v>
      </c>
      <c r="O1464" s="14">
        <v>45999</v>
      </c>
      <c r="P1464" s="14">
        <v>46029</v>
      </c>
      <c r="Q1464">
        <v>3439.72</v>
      </c>
      <c r="R1464">
        <v>0</v>
      </c>
      <c r="S1464">
        <v>0</v>
      </c>
      <c r="T1464">
        <v>0</v>
      </c>
      <c r="U1464">
        <v>0</v>
      </c>
      <c r="V1464">
        <v>3439.72</v>
      </c>
      <c r="W1464">
        <v>0</v>
      </c>
      <c r="X1464">
        <v>1</v>
      </c>
      <c r="Y1464">
        <v>0</v>
      </c>
      <c r="Z1464">
        <v>-7</v>
      </c>
      <c r="AA1464">
        <v>1</v>
      </c>
      <c r="AB1464" s="13" t="s">
        <v>581</v>
      </c>
      <c r="AC1464">
        <v>0</v>
      </c>
      <c r="AD1464">
        <v>0</v>
      </c>
      <c r="AE1464" s="13" t="s">
        <v>61</v>
      </c>
    </row>
    <row r="1465" spans="1:31" x14ac:dyDescent="0.35">
      <c r="A1465" s="13" t="s">
        <v>2229</v>
      </c>
      <c r="B1465" s="13" t="s">
        <v>949</v>
      </c>
      <c r="C1465" s="13" t="s">
        <v>950</v>
      </c>
      <c r="D1465" s="13" t="s">
        <v>52</v>
      </c>
      <c r="E1465" s="13" t="s">
        <v>99</v>
      </c>
      <c r="F1465" s="13" t="s">
        <v>100</v>
      </c>
      <c r="G1465" s="13" t="s">
        <v>67</v>
      </c>
      <c r="H1465">
        <v>330000</v>
      </c>
      <c r="I1465" s="13" t="s">
        <v>56</v>
      </c>
      <c r="J1465" s="13" t="s">
        <v>57</v>
      </c>
      <c r="K1465" s="13" t="s">
        <v>58</v>
      </c>
      <c r="L1465" s="13" t="s">
        <v>88</v>
      </c>
      <c r="M1465">
        <v>60</v>
      </c>
      <c r="N1465">
        <v>0</v>
      </c>
      <c r="O1465" s="14">
        <v>45999</v>
      </c>
      <c r="P1465" s="14">
        <v>46059</v>
      </c>
      <c r="Q1465">
        <v>2351.42</v>
      </c>
      <c r="R1465">
        <v>0</v>
      </c>
      <c r="S1465">
        <v>0</v>
      </c>
      <c r="T1465">
        <v>0</v>
      </c>
      <c r="U1465">
        <v>0</v>
      </c>
      <c r="V1465">
        <v>2351.42</v>
      </c>
      <c r="W1465">
        <v>0</v>
      </c>
      <c r="X1465">
        <v>1</v>
      </c>
      <c r="Y1465">
        <v>0</v>
      </c>
      <c r="Z1465">
        <v>-37</v>
      </c>
      <c r="AA1465">
        <v>1</v>
      </c>
      <c r="AB1465" s="13" t="s">
        <v>581</v>
      </c>
      <c r="AC1465">
        <v>0</v>
      </c>
      <c r="AD1465">
        <v>1</v>
      </c>
      <c r="AE1465" s="13" t="s">
        <v>465</v>
      </c>
    </row>
    <row r="1466" spans="1:31" x14ac:dyDescent="0.35">
      <c r="A1466" s="13" t="s">
        <v>2230</v>
      </c>
      <c r="B1466" s="13" t="s">
        <v>379</v>
      </c>
      <c r="C1466" s="13" t="s">
        <v>380</v>
      </c>
      <c r="D1466" s="13" t="s">
        <v>52</v>
      </c>
      <c r="E1466" s="13" t="s">
        <v>77</v>
      </c>
      <c r="F1466" s="13" t="s">
        <v>78</v>
      </c>
      <c r="G1466" s="13" t="s">
        <v>92</v>
      </c>
      <c r="H1466">
        <v>450000</v>
      </c>
      <c r="I1466" s="13" t="s">
        <v>56</v>
      </c>
      <c r="J1466" s="13" t="s">
        <v>57</v>
      </c>
      <c r="K1466" s="13" t="s">
        <v>58</v>
      </c>
      <c r="L1466" s="13" t="s">
        <v>59</v>
      </c>
      <c r="M1466">
        <v>45</v>
      </c>
      <c r="N1466">
        <v>0</v>
      </c>
      <c r="O1466" s="14">
        <v>45999</v>
      </c>
      <c r="P1466" s="14">
        <v>46044</v>
      </c>
      <c r="Q1466">
        <v>4191.16</v>
      </c>
      <c r="R1466">
        <v>0</v>
      </c>
      <c r="S1466">
        <v>0</v>
      </c>
      <c r="T1466">
        <v>0</v>
      </c>
      <c r="U1466">
        <v>0</v>
      </c>
      <c r="V1466">
        <v>4191.16</v>
      </c>
      <c r="W1466">
        <v>0</v>
      </c>
      <c r="X1466">
        <v>1</v>
      </c>
      <c r="Y1466">
        <v>0</v>
      </c>
      <c r="Z1466">
        <v>-22</v>
      </c>
      <c r="AA1466">
        <v>1</v>
      </c>
      <c r="AB1466" s="13" t="s">
        <v>581</v>
      </c>
      <c r="AC1466">
        <v>0</v>
      </c>
      <c r="AD1466">
        <v>0</v>
      </c>
      <c r="AE1466" s="13" t="s">
        <v>61</v>
      </c>
    </row>
    <row r="1467" spans="1:31" x14ac:dyDescent="0.35">
      <c r="A1467" s="13" t="s">
        <v>2231</v>
      </c>
      <c r="B1467" s="13" t="s">
        <v>2232</v>
      </c>
      <c r="C1467" s="13" t="s">
        <v>2233</v>
      </c>
      <c r="D1467" s="13" t="s">
        <v>104</v>
      </c>
      <c r="E1467" s="13" t="s">
        <v>77</v>
      </c>
      <c r="F1467" s="13" t="s">
        <v>174</v>
      </c>
      <c r="G1467" s="13" t="s">
        <v>67</v>
      </c>
      <c r="H1467">
        <v>110000</v>
      </c>
      <c r="I1467" s="13" t="s">
        <v>105</v>
      </c>
      <c r="J1467" s="13" t="s">
        <v>106</v>
      </c>
      <c r="K1467" s="13" t="s">
        <v>107</v>
      </c>
      <c r="L1467" s="13" t="s">
        <v>95</v>
      </c>
      <c r="M1467">
        <v>30</v>
      </c>
      <c r="N1467">
        <v>0</v>
      </c>
      <c r="O1467" s="14">
        <v>45999</v>
      </c>
      <c r="P1467" s="14">
        <v>46029</v>
      </c>
      <c r="Q1467">
        <v>6784.78</v>
      </c>
      <c r="R1467">
        <v>0</v>
      </c>
      <c r="S1467">
        <v>0</v>
      </c>
      <c r="T1467">
        <v>0</v>
      </c>
      <c r="U1467">
        <v>0</v>
      </c>
      <c r="V1467">
        <v>6784.78</v>
      </c>
      <c r="W1467">
        <v>0</v>
      </c>
      <c r="X1467">
        <v>1</v>
      </c>
      <c r="Y1467">
        <v>0</v>
      </c>
      <c r="Z1467">
        <v>-7</v>
      </c>
      <c r="AA1467">
        <v>1</v>
      </c>
      <c r="AB1467" s="13" t="s">
        <v>581</v>
      </c>
      <c r="AC1467">
        <v>0</v>
      </c>
      <c r="AD1467">
        <v>0</v>
      </c>
      <c r="AE1467" s="13" t="s">
        <v>61</v>
      </c>
    </row>
    <row r="1468" spans="1:31" x14ac:dyDescent="0.35">
      <c r="A1468" s="13" t="s">
        <v>2234</v>
      </c>
      <c r="B1468" s="13" t="s">
        <v>1541</v>
      </c>
      <c r="C1468" s="13" t="s">
        <v>1542</v>
      </c>
      <c r="D1468" s="13" t="s">
        <v>104</v>
      </c>
      <c r="E1468" s="13" t="s">
        <v>53</v>
      </c>
      <c r="F1468" s="13" t="s">
        <v>54</v>
      </c>
      <c r="G1468" s="13" t="s">
        <v>92</v>
      </c>
      <c r="H1468">
        <v>150000</v>
      </c>
      <c r="I1468" s="13" t="s">
        <v>56</v>
      </c>
      <c r="J1468" s="13" t="s">
        <v>57</v>
      </c>
      <c r="K1468" s="13" t="s">
        <v>58</v>
      </c>
      <c r="L1468" s="13" t="s">
        <v>82</v>
      </c>
      <c r="M1468">
        <v>30</v>
      </c>
      <c r="N1468">
        <v>2</v>
      </c>
      <c r="O1468" s="14">
        <v>45999</v>
      </c>
      <c r="P1468" s="14">
        <v>46029</v>
      </c>
      <c r="Q1468">
        <v>4203.22</v>
      </c>
      <c r="R1468">
        <v>0</v>
      </c>
      <c r="S1468">
        <v>0</v>
      </c>
      <c r="T1468">
        <v>0</v>
      </c>
      <c r="U1468">
        <v>0</v>
      </c>
      <c r="V1468">
        <v>4203.22</v>
      </c>
      <c r="W1468">
        <v>0</v>
      </c>
      <c r="X1468">
        <v>1</v>
      </c>
      <c r="Y1468">
        <v>0</v>
      </c>
      <c r="Z1468">
        <v>-7</v>
      </c>
      <c r="AA1468">
        <v>1</v>
      </c>
      <c r="AB1468" s="13" t="s">
        <v>581</v>
      </c>
      <c r="AC1468">
        <v>0</v>
      </c>
      <c r="AD1468">
        <v>0</v>
      </c>
      <c r="AE1468" s="13" t="s">
        <v>61</v>
      </c>
    </row>
    <row r="1469" spans="1:31" x14ac:dyDescent="0.35">
      <c r="A1469" s="13" t="s">
        <v>2235</v>
      </c>
      <c r="B1469" s="13" t="s">
        <v>879</v>
      </c>
      <c r="C1469" s="13" t="s">
        <v>880</v>
      </c>
      <c r="D1469" s="13" t="s">
        <v>104</v>
      </c>
      <c r="E1469" s="13" t="s">
        <v>71</v>
      </c>
      <c r="F1469" s="13" t="s">
        <v>214</v>
      </c>
      <c r="G1469" s="13" t="s">
        <v>67</v>
      </c>
      <c r="H1469">
        <v>135000</v>
      </c>
      <c r="I1469" s="13" t="s">
        <v>121</v>
      </c>
      <c r="J1469" s="13" t="s">
        <v>122</v>
      </c>
      <c r="K1469" s="13" t="s">
        <v>107</v>
      </c>
      <c r="L1469" s="13" t="s">
        <v>88</v>
      </c>
      <c r="M1469">
        <v>60</v>
      </c>
      <c r="N1469">
        <v>0</v>
      </c>
      <c r="O1469" s="14">
        <v>45999</v>
      </c>
      <c r="P1469" s="14">
        <v>46059</v>
      </c>
      <c r="Q1469">
        <v>4778.71</v>
      </c>
      <c r="R1469">
        <v>0</v>
      </c>
      <c r="S1469">
        <v>0</v>
      </c>
      <c r="T1469">
        <v>0</v>
      </c>
      <c r="U1469">
        <v>0</v>
      </c>
      <c r="V1469">
        <v>4778.71</v>
      </c>
      <c r="W1469">
        <v>0</v>
      </c>
      <c r="X1469">
        <v>1</v>
      </c>
      <c r="Y1469">
        <v>0</v>
      </c>
      <c r="Z1469">
        <v>-37</v>
      </c>
      <c r="AA1469">
        <v>1</v>
      </c>
      <c r="AB1469" s="13" t="s">
        <v>581</v>
      </c>
      <c r="AC1469">
        <v>0</v>
      </c>
      <c r="AD1469">
        <v>0</v>
      </c>
      <c r="AE1469" s="13" t="s">
        <v>61</v>
      </c>
    </row>
    <row r="1470" spans="1:31" x14ac:dyDescent="0.35">
      <c r="A1470" s="13" t="s">
        <v>2236</v>
      </c>
      <c r="B1470" s="13" t="s">
        <v>772</v>
      </c>
      <c r="C1470" s="13" t="s">
        <v>773</v>
      </c>
      <c r="D1470" s="13" t="s">
        <v>76</v>
      </c>
      <c r="E1470" s="13" t="s">
        <v>99</v>
      </c>
      <c r="F1470" s="13" t="s">
        <v>100</v>
      </c>
      <c r="G1470" s="13" t="s">
        <v>55</v>
      </c>
      <c r="H1470">
        <v>105000</v>
      </c>
      <c r="I1470" s="13" t="s">
        <v>79</v>
      </c>
      <c r="J1470" s="13" t="s">
        <v>80</v>
      </c>
      <c r="K1470" s="13" t="s">
        <v>81</v>
      </c>
      <c r="L1470" s="13" t="s">
        <v>82</v>
      </c>
      <c r="M1470">
        <v>30</v>
      </c>
      <c r="N1470">
        <v>2</v>
      </c>
      <c r="O1470" s="14">
        <v>45999</v>
      </c>
      <c r="P1470" s="14">
        <v>46029</v>
      </c>
      <c r="Q1470">
        <v>3249.86</v>
      </c>
      <c r="R1470">
        <v>0</v>
      </c>
      <c r="S1470">
        <v>0</v>
      </c>
      <c r="T1470">
        <v>0</v>
      </c>
      <c r="U1470">
        <v>0</v>
      </c>
      <c r="V1470">
        <v>3249.86</v>
      </c>
      <c r="W1470">
        <v>0</v>
      </c>
      <c r="X1470">
        <v>1</v>
      </c>
      <c r="Y1470">
        <v>0</v>
      </c>
      <c r="Z1470">
        <v>-7</v>
      </c>
      <c r="AA1470">
        <v>1</v>
      </c>
      <c r="AB1470" s="13" t="s">
        <v>581</v>
      </c>
      <c r="AC1470">
        <v>0</v>
      </c>
      <c r="AD1470">
        <v>1</v>
      </c>
      <c r="AE1470" s="13" t="s">
        <v>377</v>
      </c>
    </row>
    <row r="1471" spans="1:31" x14ac:dyDescent="0.35">
      <c r="A1471" s="13" t="s">
        <v>2237</v>
      </c>
      <c r="B1471" s="13" t="s">
        <v>1276</v>
      </c>
      <c r="C1471" s="13" t="s">
        <v>1277</v>
      </c>
      <c r="D1471" s="13" t="s">
        <v>104</v>
      </c>
      <c r="E1471" s="13" t="s">
        <v>99</v>
      </c>
      <c r="F1471" s="13" t="s">
        <v>100</v>
      </c>
      <c r="G1471" s="13" t="s">
        <v>67</v>
      </c>
      <c r="H1471">
        <v>70000</v>
      </c>
      <c r="I1471" s="13" t="s">
        <v>105</v>
      </c>
      <c r="J1471" s="13" t="s">
        <v>106</v>
      </c>
      <c r="K1471" s="13" t="s">
        <v>107</v>
      </c>
      <c r="L1471" s="13" t="s">
        <v>95</v>
      </c>
      <c r="M1471">
        <v>30</v>
      </c>
      <c r="N1471">
        <v>0</v>
      </c>
      <c r="O1471" s="14">
        <v>45999</v>
      </c>
      <c r="P1471" s="14">
        <v>46029</v>
      </c>
      <c r="Q1471">
        <v>2365.7600000000002</v>
      </c>
      <c r="R1471">
        <v>0</v>
      </c>
      <c r="S1471">
        <v>0</v>
      </c>
      <c r="T1471">
        <v>0</v>
      </c>
      <c r="U1471">
        <v>0</v>
      </c>
      <c r="V1471">
        <v>2365.7600000000002</v>
      </c>
      <c r="W1471">
        <v>0</v>
      </c>
      <c r="X1471">
        <v>1</v>
      </c>
      <c r="Y1471">
        <v>0</v>
      </c>
      <c r="Z1471">
        <v>-7</v>
      </c>
      <c r="AA1471">
        <v>1</v>
      </c>
      <c r="AB1471" s="13" t="s">
        <v>581</v>
      </c>
      <c r="AC1471">
        <v>0</v>
      </c>
      <c r="AD1471">
        <v>1</v>
      </c>
      <c r="AE1471" s="13" t="s">
        <v>377</v>
      </c>
    </row>
    <row r="1472" spans="1:31" x14ac:dyDescent="0.35">
      <c r="A1472" s="13" t="s">
        <v>2238</v>
      </c>
      <c r="B1472" s="13" t="s">
        <v>1165</v>
      </c>
      <c r="C1472" s="13" t="s">
        <v>1166</v>
      </c>
      <c r="D1472" s="13" t="s">
        <v>52</v>
      </c>
      <c r="E1472" s="13" t="s">
        <v>99</v>
      </c>
      <c r="F1472" s="13" t="s">
        <v>127</v>
      </c>
      <c r="G1472" s="13" t="s">
        <v>67</v>
      </c>
      <c r="H1472">
        <v>370000</v>
      </c>
      <c r="I1472" s="13" t="s">
        <v>56</v>
      </c>
      <c r="J1472" s="13" t="s">
        <v>57</v>
      </c>
      <c r="K1472" s="13" t="s">
        <v>58</v>
      </c>
      <c r="L1472" s="13" t="s">
        <v>88</v>
      </c>
      <c r="M1472">
        <v>60</v>
      </c>
      <c r="N1472">
        <v>0</v>
      </c>
      <c r="O1472" s="14">
        <v>45999</v>
      </c>
      <c r="P1472" s="14">
        <v>46059</v>
      </c>
      <c r="Q1472">
        <v>2211.29</v>
      </c>
      <c r="R1472">
        <v>0</v>
      </c>
      <c r="S1472">
        <v>0</v>
      </c>
      <c r="T1472">
        <v>0</v>
      </c>
      <c r="U1472">
        <v>0</v>
      </c>
      <c r="V1472">
        <v>2211.29</v>
      </c>
      <c r="W1472">
        <v>0</v>
      </c>
      <c r="X1472">
        <v>1</v>
      </c>
      <c r="Y1472">
        <v>0</v>
      </c>
      <c r="Z1472">
        <v>-37</v>
      </c>
      <c r="AA1472">
        <v>1</v>
      </c>
      <c r="AB1472" s="13" t="s">
        <v>581</v>
      </c>
      <c r="AC1472">
        <v>0</v>
      </c>
      <c r="AD1472">
        <v>0</v>
      </c>
      <c r="AE1472" s="13" t="s">
        <v>61</v>
      </c>
    </row>
    <row r="1473" spans="1:31" x14ac:dyDescent="0.35">
      <c r="A1473" s="13" t="s">
        <v>2239</v>
      </c>
      <c r="B1473" s="13" t="s">
        <v>1237</v>
      </c>
      <c r="C1473" s="13" t="s">
        <v>1238</v>
      </c>
      <c r="D1473" s="13" t="s">
        <v>104</v>
      </c>
      <c r="E1473" s="13" t="s">
        <v>99</v>
      </c>
      <c r="F1473" s="13" t="s">
        <v>127</v>
      </c>
      <c r="G1473" s="13" t="s">
        <v>67</v>
      </c>
      <c r="H1473">
        <v>125000</v>
      </c>
      <c r="I1473" s="13" t="s">
        <v>121</v>
      </c>
      <c r="J1473" s="13" t="s">
        <v>122</v>
      </c>
      <c r="K1473" s="13" t="s">
        <v>107</v>
      </c>
      <c r="L1473" s="13" t="s">
        <v>95</v>
      </c>
      <c r="M1473">
        <v>30</v>
      </c>
      <c r="N1473">
        <v>0</v>
      </c>
      <c r="O1473" s="14">
        <v>46000</v>
      </c>
      <c r="P1473" s="14">
        <v>46030</v>
      </c>
      <c r="Q1473">
        <v>7250.26</v>
      </c>
      <c r="R1473">
        <v>0</v>
      </c>
      <c r="S1473">
        <v>0</v>
      </c>
      <c r="T1473">
        <v>0</v>
      </c>
      <c r="U1473">
        <v>0</v>
      </c>
      <c r="V1473">
        <v>7250.26</v>
      </c>
      <c r="W1473">
        <v>0</v>
      </c>
      <c r="X1473">
        <v>1</v>
      </c>
      <c r="Y1473">
        <v>0</v>
      </c>
      <c r="Z1473">
        <v>-8</v>
      </c>
      <c r="AA1473">
        <v>1</v>
      </c>
      <c r="AB1473" s="13" t="s">
        <v>581</v>
      </c>
      <c r="AC1473">
        <v>0</v>
      </c>
      <c r="AD1473">
        <v>0</v>
      </c>
      <c r="AE1473" s="13" t="s">
        <v>61</v>
      </c>
    </row>
    <row r="1474" spans="1:31" x14ac:dyDescent="0.35">
      <c r="A1474" s="13" t="s">
        <v>2240</v>
      </c>
      <c r="B1474" s="13" t="s">
        <v>702</v>
      </c>
      <c r="C1474" s="13" t="s">
        <v>703</v>
      </c>
      <c r="D1474" s="13" t="s">
        <v>52</v>
      </c>
      <c r="E1474" s="13" t="s">
        <v>65</v>
      </c>
      <c r="F1474" s="13" t="s">
        <v>111</v>
      </c>
      <c r="G1474" s="13" t="s">
        <v>67</v>
      </c>
      <c r="H1474">
        <v>435000</v>
      </c>
      <c r="I1474" s="13" t="s">
        <v>86</v>
      </c>
      <c r="J1474" s="13" t="s">
        <v>87</v>
      </c>
      <c r="K1474" s="13" t="s">
        <v>58</v>
      </c>
      <c r="L1474" s="13" t="s">
        <v>59</v>
      </c>
      <c r="M1474">
        <v>45</v>
      </c>
      <c r="N1474">
        <v>0</v>
      </c>
      <c r="O1474" s="14">
        <v>46000</v>
      </c>
      <c r="P1474" s="14">
        <v>46045</v>
      </c>
      <c r="Q1474">
        <v>14183.03</v>
      </c>
      <c r="R1474">
        <v>0</v>
      </c>
      <c r="S1474">
        <v>0</v>
      </c>
      <c r="T1474">
        <v>0</v>
      </c>
      <c r="U1474">
        <v>0</v>
      </c>
      <c r="V1474">
        <v>14183.03</v>
      </c>
      <c r="W1474">
        <v>0</v>
      </c>
      <c r="X1474">
        <v>1</v>
      </c>
      <c r="Y1474">
        <v>0</v>
      </c>
      <c r="Z1474">
        <v>-23</v>
      </c>
      <c r="AA1474">
        <v>1</v>
      </c>
      <c r="AB1474" s="13" t="s">
        <v>581</v>
      </c>
      <c r="AC1474">
        <v>0</v>
      </c>
      <c r="AD1474">
        <v>0</v>
      </c>
      <c r="AE1474" s="13" t="s">
        <v>61</v>
      </c>
    </row>
    <row r="1475" spans="1:31" x14ac:dyDescent="0.35">
      <c r="A1475" s="13" t="s">
        <v>2241</v>
      </c>
      <c r="B1475" s="13" t="s">
        <v>1648</v>
      </c>
      <c r="C1475" s="13" t="s">
        <v>1649</v>
      </c>
      <c r="D1475" s="13" t="s">
        <v>52</v>
      </c>
      <c r="E1475" s="13" t="s">
        <v>65</v>
      </c>
      <c r="F1475" s="13" t="s">
        <v>111</v>
      </c>
      <c r="G1475" s="13" t="s">
        <v>67</v>
      </c>
      <c r="H1475">
        <v>230000</v>
      </c>
      <c r="I1475" s="13" t="s">
        <v>86</v>
      </c>
      <c r="J1475" s="13" t="s">
        <v>87</v>
      </c>
      <c r="K1475" s="13" t="s">
        <v>58</v>
      </c>
      <c r="L1475" s="13" t="s">
        <v>59</v>
      </c>
      <c r="M1475">
        <v>45</v>
      </c>
      <c r="N1475">
        <v>0</v>
      </c>
      <c r="O1475" s="14">
        <v>46000</v>
      </c>
      <c r="P1475" s="14">
        <v>46045</v>
      </c>
      <c r="Q1475">
        <v>9167.77</v>
      </c>
      <c r="R1475">
        <v>0</v>
      </c>
      <c r="S1475">
        <v>0</v>
      </c>
      <c r="T1475">
        <v>0</v>
      </c>
      <c r="U1475">
        <v>0</v>
      </c>
      <c r="V1475">
        <v>9167.77</v>
      </c>
      <c r="W1475">
        <v>0</v>
      </c>
      <c r="X1475">
        <v>1</v>
      </c>
      <c r="Y1475">
        <v>0</v>
      </c>
      <c r="Z1475">
        <v>-23</v>
      </c>
      <c r="AA1475">
        <v>1</v>
      </c>
      <c r="AB1475" s="13" t="s">
        <v>581</v>
      </c>
      <c r="AC1475">
        <v>0</v>
      </c>
      <c r="AD1475">
        <v>0</v>
      </c>
      <c r="AE1475" s="13" t="s">
        <v>61</v>
      </c>
    </row>
    <row r="1476" spans="1:31" x14ac:dyDescent="0.35">
      <c r="A1476" s="13" t="s">
        <v>2242</v>
      </c>
      <c r="B1476" s="13" t="s">
        <v>216</v>
      </c>
      <c r="C1476" s="13" t="s">
        <v>217</v>
      </c>
      <c r="D1476" s="13" t="s">
        <v>52</v>
      </c>
      <c r="E1476" s="13" t="s">
        <v>65</v>
      </c>
      <c r="F1476" s="13" t="s">
        <v>66</v>
      </c>
      <c r="G1476" s="13" t="s">
        <v>67</v>
      </c>
      <c r="H1476">
        <v>515000</v>
      </c>
      <c r="I1476" s="13" t="s">
        <v>86</v>
      </c>
      <c r="J1476" s="13" t="s">
        <v>87</v>
      </c>
      <c r="K1476" s="13" t="s">
        <v>58</v>
      </c>
      <c r="L1476" s="13" t="s">
        <v>88</v>
      </c>
      <c r="M1476">
        <v>60</v>
      </c>
      <c r="N1476">
        <v>0</v>
      </c>
      <c r="O1476" s="14">
        <v>46000</v>
      </c>
      <c r="P1476" s="14">
        <v>46060</v>
      </c>
      <c r="Q1476">
        <v>14703.19</v>
      </c>
      <c r="R1476">
        <v>0</v>
      </c>
      <c r="S1476">
        <v>0</v>
      </c>
      <c r="T1476">
        <v>0</v>
      </c>
      <c r="U1476">
        <v>0</v>
      </c>
      <c r="V1476">
        <v>14703.19</v>
      </c>
      <c r="W1476">
        <v>0</v>
      </c>
      <c r="X1476">
        <v>1</v>
      </c>
      <c r="Y1476">
        <v>0</v>
      </c>
      <c r="Z1476">
        <v>-38</v>
      </c>
      <c r="AA1476">
        <v>1</v>
      </c>
      <c r="AB1476" s="13" t="s">
        <v>581</v>
      </c>
      <c r="AC1476">
        <v>0</v>
      </c>
      <c r="AD1476">
        <v>0</v>
      </c>
      <c r="AE1476" s="13" t="s">
        <v>61</v>
      </c>
    </row>
    <row r="1477" spans="1:31" x14ac:dyDescent="0.35">
      <c r="A1477" s="13" t="s">
        <v>2243</v>
      </c>
      <c r="B1477" s="13" t="s">
        <v>183</v>
      </c>
      <c r="C1477" s="13" t="s">
        <v>184</v>
      </c>
      <c r="D1477" s="13" t="s">
        <v>104</v>
      </c>
      <c r="E1477" s="13" t="s">
        <v>53</v>
      </c>
      <c r="F1477" s="13" t="s">
        <v>54</v>
      </c>
      <c r="G1477" s="13" t="s">
        <v>67</v>
      </c>
      <c r="H1477">
        <v>75000</v>
      </c>
      <c r="I1477" s="13" t="s">
        <v>105</v>
      </c>
      <c r="J1477" s="13" t="s">
        <v>106</v>
      </c>
      <c r="K1477" s="13" t="s">
        <v>107</v>
      </c>
      <c r="L1477" s="13" t="s">
        <v>88</v>
      </c>
      <c r="M1477">
        <v>60</v>
      </c>
      <c r="N1477">
        <v>0</v>
      </c>
      <c r="O1477" s="14">
        <v>46000</v>
      </c>
      <c r="P1477" s="14">
        <v>46060</v>
      </c>
      <c r="Q1477">
        <v>1927.78</v>
      </c>
      <c r="R1477">
        <v>0</v>
      </c>
      <c r="S1477">
        <v>0</v>
      </c>
      <c r="T1477">
        <v>0</v>
      </c>
      <c r="U1477">
        <v>0</v>
      </c>
      <c r="V1477">
        <v>1927.78</v>
      </c>
      <c r="W1477">
        <v>0</v>
      </c>
      <c r="X1477">
        <v>1</v>
      </c>
      <c r="Y1477">
        <v>0</v>
      </c>
      <c r="Z1477">
        <v>-38</v>
      </c>
      <c r="AA1477">
        <v>1</v>
      </c>
      <c r="AB1477" s="13" t="s">
        <v>581</v>
      </c>
      <c r="AC1477">
        <v>0</v>
      </c>
      <c r="AD1477">
        <v>0</v>
      </c>
      <c r="AE1477" s="13" t="s">
        <v>61</v>
      </c>
    </row>
    <row r="1478" spans="1:31" x14ac:dyDescent="0.35">
      <c r="A1478" s="13" t="s">
        <v>2244</v>
      </c>
      <c r="B1478" s="13" t="s">
        <v>259</v>
      </c>
      <c r="C1478" s="13" t="s">
        <v>260</v>
      </c>
      <c r="D1478" s="13" t="s">
        <v>104</v>
      </c>
      <c r="E1478" s="13" t="s">
        <v>71</v>
      </c>
      <c r="F1478" s="13" t="s">
        <v>72</v>
      </c>
      <c r="G1478" s="13" t="s">
        <v>67</v>
      </c>
      <c r="H1478">
        <v>145000</v>
      </c>
      <c r="I1478" s="13" t="s">
        <v>121</v>
      </c>
      <c r="J1478" s="13" t="s">
        <v>122</v>
      </c>
      <c r="K1478" s="13" t="s">
        <v>107</v>
      </c>
      <c r="L1478" s="13" t="s">
        <v>88</v>
      </c>
      <c r="M1478">
        <v>60</v>
      </c>
      <c r="N1478">
        <v>0</v>
      </c>
      <c r="O1478" s="14">
        <v>46000</v>
      </c>
      <c r="P1478" s="14">
        <v>46060</v>
      </c>
      <c r="Q1478">
        <v>6234.77</v>
      </c>
      <c r="R1478">
        <v>0</v>
      </c>
      <c r="S1478">
        <v>0</v>
      </c>
      <c r="T1478">
        <v>0</v>
      </c>
      <c r="U1478">
        <v>0</v>
      </c>
      <c r="V1478">
        <v>6234.77</v>
      </c>
      <c r="W1478">
        <v>0</v>
      </c>
      <c r="X1478">
        <v>1</v>
      </c>
      <c r="Y1478">
        <v>0</v>
      </c>
      <c r="Z1478">
        <v>-38</v>
      </c>
      <c r="AA1478">
        <v>1</v>
      </c>
      <c r="AB1478" s="13" t="s">
        <v>581</v>
      </c>
      <c r="AC1478">
        <v>0</v>
      </c>
      <c r="AD1478">
        <v>0</v>
      </c>
      <c r="AE1478" s="13" t="s">
        <v>61</v>
      </c>
    </row>
    <row r="1479" spans="1:31" x14ac:dyDescent="0.35">
      <c r="A1479" s="13" t="s">
        <v>2245</v>
      </c>
      <c r="B1479" s="13" t="s">
        <v>137</v>
      </c>
      <c r="C1479" s="13" t="s">
        <v>138</v>
      </c>
      <c r="D1479" s="13" t="s">
        <v>52</v>
      </c>
      <c r="E1479" s="13" t="s">
        <v>53</v>
      </c>
      <c r="F1479" s="13" t="s">
        <v>135</v>
      </c>
      <c r="G1479" s="13" t="s">
        <v>92</v>
      </c>
      <c r="H1479">
        <v>355000</v>
      </c>
      <c r="I1479" s="13" t="s">
        <v>56</v>
      </c>
      <c r="J1479" s="13" t="s">
        <v>57</v>
      </c>
      <c r="K1479" s="13" t="s">
        <v>58</v>
      </c>
      <c r="L1479" s="13" t="s">
        <v>88</v>
      </c>
      <c r="M1479">
        <v>60</v>
      </c>
      <c r="N1479">
        <v>0</v>
      </c>
      <c r="O1479" s="14">
        <v>46000</v>
      </c>
      <c r="P1479" s="14">
        <v>46060</v>
      </c>
      <c r="Q1479">
        <v>5031.59</v>
      </c>
      <c r="R1479">
        <v>0</v>
      </c>
      <c r="S1479">
        <v>0</v>
      </c>
      <c r="T1479">
        <v>0</v>
      </c>
      <c r="U1479">
        <v>0</v>
      </c>
      <c r="V1479">
        <v>5031.59</v>
      </c>
      <c r="W1479">
        <v>0</v>
      </c>
      <c r="X1479">
        <v>1</v>
      </c>
      <c r="Y1479">
        <v>0</v>
      </c>
      <c r="Z1479">
        <v>-38</v>
      </c>
      <c r="AA1479">
        <v>1</v>
      </c>
      <c r="AB1479" s="13" t="s">
        <v>581</v>
      </c>
      <c r="AC1479">
        <v>0</v>
      </c>
      <c r="AD1479">
        <v>0</v>
      </c>
      <c r="AE1479" s="13" t="s">
        <v>61</v>
      </c>
    </row>
    <row r="1480" spans="1:31" x14ac:dyDescent="0.35">
      <c r="A1480" s="13" t="s">
        <v>2246</v>
      </c>
      <c r="B1480" s="13" t="s">
        <v>156</v>
      </c>
      <c r="C1480" s="13" t="s">
        <v>157</v>
      </c>
      <c r="D1480" s="13" t="s">
        <v>52</v>
      </c>
      <c r="E1480" s="13" t="s">
        <v>53</v>
      </c>
      <c r="F1480" s="13" t="s">
        <v>54</v>
      </c>
      <c r="G1480" s="13" t="s">
        <v>92</v>
      </c>
      <c r="H1480">
        <v>600000</v>
      </c>
      <c r="I1480" s="13" t="s">
        <v>56</v>
      </c>
      <c r="J1480" s="13" t="s">
        <v>57</v>
      </c>
      <c r="K1480" s="13" t="s">
        <v>58</v>
      </c>
      <c r="L1480" s="13" t="s">
        <v>88</v>
      </c>
      <c r="M1480">
        <v>60</v>
      </c>
      <c r="N1480">
        <v>0</v>
      </c>
      <c r="O1480" s="14">
        <v>46000</v>
      </c>
      <c r="P1480" s="14">
        <v>46060</v>
      </c>
      <c r="Q1480">
        <v>12324.62</v>
      </c>
      <c r="R1480">
        <v>0</v>
      </c>
      <c r="S1480">
        <v>0</v>
      </c>
      <c r="T1480">
        <v>0</v>
      </c>
      <c r="U1480">
        <v>0</v>
      </c>
      <c r="V1480">
        <v>12324.62</v>
      </c>
      <c r="W1480">
        <v>0</v>
      </c>
      <c r="X1480">
        <v>1</v>
      </c>
      <c r="Y1480">
        <v>0</v>
      </c>
      <c r="Z1480">
        <v>-38</v>
      </c>
      <c r="AA1480">
        <v>1</v>
      </c>
      <c r="AB1480" s="13" t="s">
        <v>581</v>
      </c>
      <c r="AC1480">
        <v>0</v>
      </c>
      <c r="AD1480">
        <v>0</v>
      </c>
      <c r="AE1480" s="13" t="s">
        <v>61</v>
      </c>
    </row>
    <row r="1481" spans="1:31" x14ac:dyDescent="0.35">
      <c r="A1481" s="13" t="s">
        <v>2247</v>
      </c>
      <c r="B1481" s="13" t="s">
        <v>270</v>
      </c>
      <c r="C1481" s="13" t="s">
        <v>271</v>
      </c>
      <c r="D1481" s="13" t="s">
        <v>52</v>
      </c>
      <c r="E1481" s="13" t="s">
        <v>71</v>
      </c>
      <c r="F1481" s="13" t="s">
        <v>72</v>
      </c>
      <c r="G1481" s="13" t="s">
        <v>67</v>
      </c>
      <c r="H1481">
        <v>555000</v>
      </c>
      <c r="I1481" s="13" t="s">
        <v>56</v>
      </c>
      <c r="J1481" s="13" t="s">
        <v>57</v>
      </c>
      <c r="K1481" s="13" t="s">
        <v>58</v>
      </c>
      <c r="L1481" s="13" t="s">
        <v>88</v>
      </c>
      <c r="M1481">
        <v>60</v>
      </c>
      <c r="N1481">
        <v>0</v>
      </c>
      <c r="O1481" s="14">
        <v>46000</v>
      </c>
      <c r="P1481" s="14">
        <v>46060</v>
      </c>
      <c r="Q1481">
        <v>13292.5</v>
      </c>
      <c r="R1481">
        <v>0</v>
      </c>
      <c r="S1481">
        <v>0</v>
      </c>
      <c r="T1481">
        <v>0</v>
      </c>
      <c r="U1481">
        <v>0</v>
      </c>
      <c r="V1481">
        <v>13292.5</v>
      </c>
      <c r="W1481">
        <v>0</v>
      </c>
      <c r="X1481">
        <v>1</v>
      </c>
      <c r="Y1481">
        <v>0</v>
      </c>
      <c r="Z1481">
        <v>-38</v>
      </c>
      <c r="AA1481">
        <v>1</v>
      </c>
      <c r="AB1481" s="13" t="s">
        <v>581</v>
      </c>
      <c r="AC1481">
        <v>0</v>
      </c>
      <c r="AD1481">
        <v>0</v>
      </c>
      <c r="AE1481" s="13" t="s">
        <v>61</v>
      </c>
    </row>
    <row r="1482" spans="1:31" x14ac:dyDescent="0.35">
      <c r="A1482" s="13" t="s">
        <v>2248</v>
      </c>
      <c r="B1482" s="13" t="s">
        <v>1034</v>
      </c>
      <c r="C1482" s="13" t="s">
        <v>1035</v>
      </c>
      <c r="D1482" s="13" t="s">
        <v>104</v>
      </c>
      <c r="E1482" s="13" t="s">
        <v>53</v>
      </c>
      <c r="F1482" s="13" t="s">
        <v>135</v>
      </c>
      <c r="G1482" s="13" t="s">
        <v>67</v>
      </c>
      <c r="H1482">
        <v>40000</v>
      </c>
      <c r="I1482" s="13" t="s">
        <v>105</v>
      </c>
      <c r="J1482" s="13" t="s">
        <v>106</v>
      </c>
      <c r="K1482" s="13" t="s">
        <v>107</v>
      </c>
      <c r="L1482" s="13" t="s">
        <v>88</v>
      </c>
      <c r="M1482">
        <v>60</v>
      </c>
      <c r="N1482">
        <v>0</v>
      </c>
      <c r="O1482" s="14">
        <v>46000</v>
      </c>
      <c r="P1482" s="14">
        <v>46060</v>
      </c>
      <c r="Q1482">
        <v>4276.46</v>
      </c>
      <c r="R1482">
        <v>0</v>
      </c>
      <c r="S1482">
        <v>0</v>
      </c>
      <c r="T1482">
        <v>0</v>
      </c>
      <c r="U1482">
        <v>0</v>
      </c>
      <c r="V1482">
        <v>4276.46</v>
      </c>
      <c r="W1482">
        <v>0</v>
      </c>
      <c r="X1482">
        <v>1</v>
      </c>
      <c r="Y1482">
        <v>0</v>
      </c>
      <c r="Z1482">
        <v>-38</v>
      </c>
      <c r="AA1482">
        <v>1</v>
      </c>
      <c r="AB1482" s="13" t="s">
        <v>581</v>
      </c>
      <c r="AC1482">
        <v>0</v>
      </c>
      <c r="AD1482">
        <v>0</v>
      </c>
      <c r="AE1482" s="13" t="s">
        <v>61</v>
      </c>
    </row>
    <row r="1483" spans="1:31" x14ac:dyDescent="0.35">
      <c r="A1483" s="13" t="s">
        <v>2249</v>
      </c>
      <c r="B1483" s="13" t="s">
        <v>2250</v>
      </c>
      <c r="C1483" s="13" t="s">
        <v>2251</v>
      </c>
      <c r="D1483" s="13" t="s">
        <v>104</v>
      </c>
      <c r="E1483" s="13" t="s">
        <v>71</v>
      </c>
      <c r="F1483" s="13" t="s">
        <v>214</v>
      </c>
      <c r="G1483" s="13" t="s">
        <v>55</v>
      </c>
      <c r="H1483">
        <v>75000</v>
      </c>
      <c r="I1483" s="13" t="s">
        <v>105</v>
      </c>
      <c r="J1483" s="13" t="s">
        <v>106</v>
      </c>
      <c r="K1483" s="13" t="s">
        <v>107</v>
      </c>
      <c r="L1483" s="13" t="s">
        <v>82</v>
      </c>
      <c r="M1483">
        <v>30</v>
      </c>
      <c r="N1483">
        <v>2</v>
      </c>
      <c r="O1483" s="14">
        <v>46000</v>
      </c>
      <c r="P1483" s="14">
        <v>46030</v>
      </c>
      <c r="Q1483">
        <v>4020.9</v>
      </c>
      <c r="R1483">
        <v>0</v>
      </c>
      <c r="S1483">
        <v>0</v>
      </c>
      <c r="T1483">
        <v>0</v>
      </c>
      <c r="U1483">
        <v>0</v>
      </c>
      <c r="V1483">
        <v>4020.9</v>
      </c>
      <c r="W1483">
        <v>0</v>
      </c>
      <c r="X1483">
        <v>1</v>
      </c>
      <c r="Y1483">
        <v>0</v>
      </c>
      <c r="Z1483">
        <v>-8</v>
      </c>
      <c r="AA1483">
        <v>1</v>
      </c>
      <c r="AB1483" s="13" t="s">
        <v>581</v>
      </c>
      <c r="AC1483">
        <v>0</v>
      </c>
      <c r="AD1483">
        <v>0</v>
      </c>
      <c r="AE1483" s="13" t="s">
        <v>61</v>
      </c>
    </row>
    <row r="1484" spans="1:31" x14ac:dyDescent="0.35">
      <c r="A1484" s="13" t="s">
        <v>2252</v>
      </c>
      <c r="B1484" s="13" t="s">
        <v>2253</v>
      </c>
      <c r="C1484" s="13" t="s">
        <v>2254</v>
      </c>
      <c r="D1484" s="13" t="s">
        <v>76</v>
      </c>
      <c r="E1484" s="13" t="s">
        <v>53</v>
      </c>
      <c r="F1484" s="13" t="s">
        <v>54</v>
      </c>
      <c r="G1484" s="13" t="s">
        <v>67</v>
      </c>
      <c r="H1484">
        <v>85000</v>
      </c>
      <c r="I1484" s="13" t="s">
        <v>93</v>
      </c>
      <c r="J1484" s="13" t="s">
        <v>94</v>
      </c>
      <c r="K1484" s="13" t="s">
        <v>81</v>
      </c>
      <c r="L1484" s="13" t="s">
        <v>82</v>
      </c>
      <c r="M1484">
        <v>30</v>
      </c>
      <c r="N1484">
        <v>2</v>
      </c>
      <c r="O1484" s="14">
        <v>46000</v>
      </c>
      <c r="P1484" s="14">
        <v>46030</v>
      </c>
      <c r="Q1484">
        <v>3287.34</v>
      </c>
      <c r="R1484">
        <v>0</v>
      </c>
      <c r="S1484">
        <v>0</v>
      </c>
      <c r="T1484">
        <v>0</v>
      </c>
      <c r="U1484">
        <v>0</v>
      </c>
      <c r="V1484">
        <v>3287.34</v>
      </c>
      <c r="W1484">
        <v>0</v>
      </c>
      <c r="X1484">
        <v>1</v>
      </c>
      <c r="Y1484">
        <v>0</v>
      </c>
      <c r="Z1484">
        <v>-8</v>
      </c>
      <c r="AA1484">
        <v>1</v>
      </c>
      <c r="AB1484" s="13" t="s">
        <v>581</v>
      </c>
      <c r="AC1484">
        <v>0</v>
      </c>
      <c r="AD1484">
        <v>1</v>
      </c>
      <c r="AE1484" s="13" t="s">
        <v>377</v>
      </c>
    </row>
    <row r="1485" spans="1:31" x14ac:dyDescent="0.35">
      <c r="A1485" s="13" t="s">
        <v>2255</v>
      </c>
      <c r="B1485" s="13" t="s">
        <v>1251</v>
      </c>
      <c r="C1485" s="13" t="s">
        <v>1252</v>
      </c>
      <c r="D1485" s="13" t="s">
        <v>76</v>
      </c>
      <c r="E1485" s="13" t="s">
        <v>71</v>
      </c>
      <c r="F1485" s="13" t="s">
        <v>72</v>
      </c>
      <c r="G1485" s="13" t="s">
        <v>92</v>
      </c>
      <c r="H1485">
        <v>110000</v>
      </c>
      <c r="I1485" s="13" t="s">
        <v>93</v>
      </c>
      <c r="J1485" s="13" t="s">
        <v>94</v>
      </c>
      <c r="K1485" s="13" t="s">
        <v>81</v>
      </c>
      <c r="L1485" s="13" t="s">
        <v>95</v>
      </c>
      <c r="M1485">
        <v>30</v>
      </c>
      <c r="N1485">
        <v>0</v>
      </c>
      <c r="O1485" s="14">
        <v>46000</v>
      </c>
      <c r="P1485" s="14">
        <v>46030</v>
      </c>
      <c r="Q1485">
        <v>936.85</v>
      </c>
      <c r="R1485">
        <v>0</v>
      </c>
      <c r="S1485">
        <v>0</v>
      </c>
      <c r="T1485">
        <v>0</v>
      </c>
      <c r="U1485">
        <v>0</v>
      </c>
      <c r="V1485">
        <v>936.85</v>
      </c>
      <c r="W1485">
        <v>0</v>
      </c>
      <c r="X1485">
        <v>1</v>
      </c>
      <c r="Y1485">
        <v>0</v>
      </c>
      <c r="Z1485">
        <v>-8</v>
      </c>
      <c r="AA1485">
        <v>1</v>
      </c>
      <c r="AB1485" s="13" t="s">
        <v>581</v>
      </c>
      <c r="AC1485">
        <v>0</v>
      </c>
      <c r="AD1485">
        <v>1</v>
      </c>
      <c r="AE1485" s="13" t="s">
        <v>465</v>
      </c>
    </row>
    <row r="1486" spans="1:31" x14ac:dyDescent="0.35">
      <c r="A1486" s="13" t="s">
        <v>2256</v>
      </c>
      <c r="B1486" s="13" t="s">
        <v>219</v>
      </c>
      <c r="C1486" s="13" t="s">
        <v>220</v>
      </c>
      <c r="D1486" s="13" t="s">
        <v>76</v>
      </c>
      <c r="E1486" s="13" t="s">
        <v>71</v>
      </c>
      <c r="F1486" s="13" t="s">
        <v>72</v>
      </c>
      <c r="G1486" s="13" t="s">
        <v>55</v>
      </c>
      <c r="H1486">
        <v>65000</v>
      </c>
      <c r="I1486" s="13" t="s">
        <v>79</v>
      </c>
      <c r="J1486" s="13" t="s">
        <v>80</v>
      </c>
      <c r="K1486" s="13" t="s">
        <v>81</v>
      </c>
      <c r="L1486" s="13" t="s">
        <v>95</v>
      </c>
      <c r="M1486">
        <v>30</v>
      </c>
      <c r="N1486">
        <v>0</v>
      </c>
      <c r="O1486" s="14">
        <v>46000</v>
      </c>
      <c r="P1486" s="14">
        <v>46030</v>
      </c>
      <c r="Q1486">
        <v>3907.05</v>
      </c>
      <c r="R1486">
        <v>0</v>
      </c>
      <c r="S1486">
        <v>0</v>
      </c>
      <c r="T1486">
        <v>0</v>
      </c>
      <c r="U1486">
        <v>0</v>
      </c>
      <c r="V1486">
        <v>3907.05</v>
      </c>
      <c r="W1486">
        <v>0</v>
      </c>
      <c r="X1486">
        <v>1</v>
      </c>
      <c r="Y1486">
        <v>0</v>
      </c>
      <c r="Z1486">
        <v>-8</v>
      </c>
      <c r="AA1486">
        <v>1</v>
      </c>
      <c r="AB1486" s="13" t="s">
        <v>581</v>
      </c>
      <c r="AC1486">
        <v>0</v>
      </c>
      <c r="AD1486">
        <v>0</v>
      </c>
      <c r="AE1486" s="13" t="s">
        <v>61</v>
      </c>
    </row>
    <row r="1487" spans="1:31" x14ac:dyDescent="0.35">
      <c r="A1487" s="13" t="s">
        <v>2257</v>
      </c>
      <c r="B1487" s="13" t="s">
        <v>1723</v>
      </c>
      <c r="C1487" s="13" t="s">
        <v>1724</v>
      </c>
      <c r="D1487" s="13" t="s">
        <v>76</v>
      </c>
      <c r="E1487" s="13" t="s">
        <v>71</v>
      </c>
      <c r="F1487" s="13" t="s">
        <v>214</v>
      </c>
      <c r="G1487" s="13" t="s">
        <v>92</v>
      </c>
      <c r="H1487">
        <v>65000</v>
      </c>
      <c r="I1487" s="13" t="s">
        <v>93</v>
      </c>
      <c r="J1487" s="13" t="s">
        <v>94</v>
      </c>
      <c r="K1487" s="13" t="s">
        <v>81</v>
      </c>
      <c r="L1487" s="13" t="s">
        <v>95</v>
      </c>
      <c r="M1487">
        <v>30</v>
      </c>
      <c r="N1487">
        <v>0</v>
      </c>
      <c r="O1487" s="14">
        <v>46000</v>
      </c>
      <c r="P1487" s="14">
        <v>46030</v>
      </c>
      <c r="Q1487">
        <v>456.49</v>
      </c>
      <c r="R1487">
        <v>0</v>
      </c>
      <c r="S1487">
        <v>0</v>
      </c>
      <c r="T1487">
        <v>0</v>
      </c>
      <c r="U1487">
        <v>0</v>
      </c>
      <c r="V1487">
        <v>456.49</v>
      </c>
      <c r="W1487">
        <v>0</v>
      </c>
      <c r="X1487">
        <v>1</v>
      </c>
      <c r="Y1487">
        <v>0</v>
      </c>
      <c r="Z1487">
        <v>-8</v>
      </c>
      <c r="AA1487">
        <v>1</v>
      </c>
      <c r="AB1487" s="13" t="s">
        <v>581</v>
      </c>
      <c r="AC1487">
        <v>0</v>
      </c>
      <c r="AD1487">
        <v>0</v>
      </c>
      <c r="AE1487" s="13" t="s">
        <v>61</v>
      </c>
    </row>
    <row r="1488" spans="1:31" x14ac:dyDescent="0.35">
      <c r="A1488" s="13" t="s">
        <v>2258</v>
      </c>
      <c r="B1488" s="13" t="s">
        <v>225</v>
      </c>
      <c r="C1488" s="13" t="s">
        <v>226</v>
      </c>
      <c r="D1488" s="13" t="s">
        <v>52</v>
      </c>
      <c r="E1488" s="13" t="s">
        <v>77</v>
      </c>
      <c r="F1488" s="13" t="s">
        <v>174</v>
      </c>
      <c r="G1488" s="13" t="s">
        <v>55</v>
      </c>
      <c r="H1488">
        <v>570000</v>
      </c>
      <c r="I1488" s="13" t="s">
        <v>56</v>
      </c>
      <c r="J1488" s="13" t="s">
        <v>57</v>
      </c>
      <c r="K1488" s="13" t="s">
        <v>58</v>
      </c>
      <c r="L1488" s="13" t="s">
        <v>59</v>
      </c>
      <c r="M1488">
        <v>45</v>
      </c>
      <c r="N1488">
        <v>0</v>
      </c>
      <c r="O1488" s="14">
        <v>46000</v>
      </c>
      <c r="P1488" s="14">
        <v>46045</v>
      </c>
      <c r="Q1488">
        <v>8163.69</v>
      </c>
      <c r="R1488">
        <v>0</v>
      </c>
      <c r="S1488">
        <v>0</v>
      </c>
      <c r="T1488">
        <v>0</v>
      </c>
      <c r="U1488">
        <v>0</v>
      </c>
      <c r="V1488">
        <v>8163.69</v>
      </c>
      <c r="W1488">
        <v>0</v>
      </c>
      <c r="X1488">
        <v>1</v>
      </c>
      <c r="Y1488">
        <v>0</v>
      </c>
      <c r="Z1488">
        <v>-23</v>
      </c>
      <c r="AA1488">
        <v>1</v>
      </c>
      <c r="AB1488" s="13" t="s">
        <v>581</v>
      </c>
      <c r="AC1488">
        <v>0</v>
      </c>
      <c r="AD1488">
        <v>0</v>
      </c>
      <c r="AE1488" s="13" t="s">
        <v>61</v>
      </c>
    </row>
    <row r="1489" spans="1:31" x14ac:dyDescent="0.35">
      <c r="A1489" s="13" t="s">
        <v>2259</v>
      </c>
      <c r="B1489" s="13" t="s">
        <v>1001</v>
      </c>
      <c r="C1489" s="13" t="s">
        <v>1002</v>
      </c>
      <c r="D1489" s="13" t="s">
        <v>76</v>
      </c>
      <c r="E1489" s="13" t="s">
        <v>99</v>
      </c>
      <c r="F1489" s="13" t="s">
        <v>127</v>
      </c>
      <c r="G1489" s="13" t="s">
        <v>55</v>
      </c>
      <c r="H1489">
        <v>90000</v>
      </c>
      <c r="I1489" s="13" t="s">
        <v>93</v>
      </c>
      <c r="J1489" s="13" t="s">
        <v>94</v>
      </c>
      <c r="K1489" s="13" t="s">
        <v>81</v>
      </c>
      <c r="L1489" s="13" t="s">
        <v>95</v>
      </c>
      <c r="M1489">
        <v>30</v>
      </c>
      <c r="N1489">
        <v>0</v>
      </c>
      <c r="O1489" s="14">
        <v>46000</v>
      </c>
      <c r="P1489" s="14">
        <v>46030</v>
      </c>
      <c r="Q1489">
        <v>3151.7</v>
      </c>
      <c r="R1489">
        <v>0</v>
      </c>
      <c r="S1489">
        <v>0</v>
      </c>
      <c r="T1489">
        <v>0</v>
      </c>
      <c r="U1489">
        <v>0</v>
      </c>
      <c r="V1489">
        <v>3151.7</v>
      </c>
      <c r="W1489">
        <v>0</v>
      </c>
      <c r="X1489">
        <v>1</v>
      </c>
      <c r="Y1489">
        <v>0</v>
      </c>
      <c r="Z1489">
        <v>-8</v>
      </c>
      <c r="AA1489">
        <v>1</v>
      </c>
      <c r="AB1489" s="13" t="s">
        <v>581</v>
      </c>
      <c r="AC1489">
        <v>0</v>
      </c>
      <c r="AD1489">
        <v>0</v>
      </c>
      <c r="AE1489" s="13" t="s">
        <v>61</v>
      </c>
    </row>
    <row r="1490" spans="1:31" x14ac:dyDescent="0.35">
      <c r="A1490" s="13" t="s">
        <v>2260</v>
      </c>
      <c r="B1490" s="13" t="s">
        <v>109</v>
      </c>
      <c r="C1490" s="13" t="s">
        <v>110</v>
      </c>
      <c r="D1490" s="13" t="s">
        <v>52</v>
      </c>
      <c r="E1490" s="13" t="s">
        <v>65</v>
      </c>
      <c r="F1490" s="13" t="s">
        <v>111</v>
      </c>
      <c r="G1490" s="13" t="s">
        <v>67</v>
      </c>
      <c r="H1490">
        <v>455000</v>
      </c>
      <c r="I1490" s="13" t="s">
        <v>86</v>
      </c>
      <c r="J1490" s="13" t="s">
        <v>87</v>
      </c>
      <c r="K1490" s="13" t="s">
        <v>58</v>
      </c>
      <c r="L1490" s="13" t="s">
        <v>59</v>
      </c>
      <c r="M1490">
        <v>45</v>
      </c>
      <c r="N1490">
        <v>0</v>
      </c>
      <c r="O1490" s="14">
        <v>46000</v>
      </c>
      <c r="P1490" s="14">
        <v>46045</v>
      </c>
      <c r="Q1490">
        <v>4363.76</v>
      </c>
      <c r="R1490">
        <v>0</v>
      </c>
      <c r="S1490">
        <v>0</v>
      </c>
      <c r="T1490">
        <v>0</v>
      </c>
      <c r="U1490">
        <v>0</v>
      </c>
      <c r="V1490">
        <v>4363.76</v>
      </c>
      <c r="W1490">
        <v>0</v>
      </c>
      <c r="X1490">
        <v>1</v>
      </c>
      <c r="Y1490">
        <v>0</v>
      </c>
      <c r="Z1490">
        <v>-23</v>
      </c>
      <c r="AA1490">
        <v>1</v>
      </c>
      <c r="AB1490" s="13" t="s">
        <v>581</v>
      </c>
      <c r="AC1490">
        <v>0</v>
      </c>
      <c r="AD1490">
        <v>0</v>
      </c>
      <c r="AE1490" s="13" t="s">
        <v>61</v>
      </c>
    </row>
    <row r="1491" spans="1:31" x14ac:dyDescent="0.35">
      <c r="A1491" s="13" t="s">
        <v>2261</v>
      </c>
      <c r="B1491" s="13" t="s">
        <v>2262</v>
      </c>
      <c r="C1491" s="13" t="s">
        <v>2263</v>
      </c>
      <c r="D1491" s="13" t="s">
        <v>76</v>
      </c>
      <c r="E1491" s="13" t="s">
        <v>53</v>
      </c>
      <c r="F1491" s="13" t="s">
        <v>54</v>
      </c>
      <c r="G1491" s="13" t="s">
        <v>67</v>
      </c>
      <c r="H1491">
        <v>30000</v>
      </c>
      <c r="I1491" s="13" t="s">
        <v>93</v>
      </c>
      <c r="J1491" s="13" t="s">
        <v>94</v>
      </c>
      <c r="K1491" s="13" t="s">
        <v>81</v>
      </c>
      <c r="L1491" s="13" t="s">
        <v>95</v>
      </c>
      <c r="M1491">
        <v>30</v>
      </c>
      <c r="N1491">
        <v>0</v>
      </c>
      <c r="O1491" s="14">
        <v>46000</v>
      </c>
      <c r="P1491" s="14">
        <v>46030</v>
      </c>
      <c r="Q1491">
        <v>4442.1000000000004</v>
      </c>
      <c r="R1491">
        <v>0</v>
      </c>
      <c r="S1491">
        <v>0</v>
      </c>
      <c r="T1491">
        <v>0</v>
      </c>
      <c r="U1491">
        <v>0</v>
      </c>
      <c r="V1491">
        <v>4442.1000000000004</v>
      </c>
      <c r="W1491">
        <v>0</v>
      </c>
      <c r="X1491">
        <v>1</v>
      </c>
      <c r="Y1491">
        <v>0</v>
      </c>
      <c r="Z1491">
        <v>-8</v>
      </c>
      <c r="AA1491">
        <v>1</v>
      </c>
      <c r="AB1491" s="13" t="s">
        <v>581</v>
      </c>
      <c r="AC1491">
        <v>0</v>
      </c>
      <c r="AD1491">
        <v>0</v>
      </c>
      <c r="AE1491" s="13" t="s">
        <v>61</v>
      </c>
    </row>
    <row r="1492" spans="1:31" x14ac:dyDescent="0.35">
      <c r="A1492" s="13" t="s">
        <v>2264</v>
      </c>
      <c r="B1492" s="13" t="s">
        <v>920</v>
      </c>
      <c r="C1492" s="13" t="s">
        <v>921</v>
      </c>
      <c r="D1492" s="13" t="s">
        <v>104</v>
      </c>
      <c r="E1492" s="13" t="s">
        <v>99</v>
      </c>
      <c r="F1492" s="13" t="s">
        <v>100</v>
      </c>
      <c r="G1492" s="13" t="s">
        <v>92</v>
      </c>
      <c r="H1492">
        <v>100000</v>
      </c>
      <c r="I1492" s="13" t="s">
        <v>121</v>
      </c>
      <c r="J1492" s="13" t="s">
        <v>122</v>
      </c>
      <c r="K1492" s="13" t="s">
        <v>107</v>
      </c>
      <c r="L1492" s="13" t="s">
        <v>95</v>
      </c>
      <c r="M1492">
        <v>30</v>
      </c>
      <c r="N1492">
        <v>0</v>
      </c>
      <c r="O1492" s="14">
        <v>46000</v>
      </c>
      <c r="P1492" s="14">
        <v>46030</v>
      </c>
      <c r="Q1492">
        <v>3324</v>
      </c>
      <c r="R1492">
        <v>0</v>
      </c>
      <c r="S1492">
        <v>0</v>
      </c>
      <c r="T1492">
        <v>0</v>
      </c>
      <c r="U1492">
        <v>0</v>
      </c>
      <c r="V1492">
        <v>3324</v>
      </c>
      <c r="W1492">
        <v>0</v>
      </c>
      <c r="X1492">
        <v>1</v>
      </c>
      <c r="Y1492">
        <v>0</v>
      </c>
      <c r="Z1492">
        <v>-8</v>
      </c>
      <c r="AA1492">
        <v>1</v>
      </c>
      <c r="AB1492" s="13" t="s">
        <v>581</v>
      </c>
      <c r="AC1492">
        <v>0</v>
      </c>
      <c r="AD1492">
        <v>0</v>
      </c>
      <c r="AE1492" s="13" t="s">
        <v>61</v>
      </c>
    </row>
    <row r="1493" spans="1:31" x14ac:dyDescent="0.35">
      <c r="A1493" s="13" t="s">
        <v>2265</v>
      </c>
      <c r="B1493" s="13" t="s">
        <v>312</v>
      </c>
      <c r="C1493" s="13" t="s">
        <v>313</v>
      </c>
      <c r="D1493" s="13" t="s">
        <v>52</v>
      </c>
      <c r="E1493" s="13" t="s">
        <v>77</v>
      </c>
      <c r="F1493" s="13" t="s">
        <v>174</v>
      </c>
      <c r="G1493" s="13" t="s">
        <v>55</v>
      </c>
      <c r="H1493">
        <v>600000</v>
      </c>
      <c r="I1493" s="13" t="s">
        <v>56</v>
      </c>
      <c r="J1493" s="13" t="s">
        <v>57</v>
      </c>
      <c r="K1493" s="13" t="s">
        <v>58</v>
      </c>
      <c r="L1493" s="13" t="s">
        <v>88</v>
      </c>
      <c r="M1493">
        <v>60</v>
      </c>
      <c r="N1493">
        <v>0</v>
      </c>
      <c r="O1493" s="14">
        <v>46000</v>
      </c>
      <c r="P1493" s="14">
        <v>46060</v>
      </c>
      <c r="Q1493">
        <v>1632.61</v>
      </c>
      <c r="R1493">
        <v>0</v>
      </c>
      <c r="S1493">
        <v>0</v>
      </c>
      <c r="T1493">
        <v>0</v>
      </c>
      <c r="U1493">
        <v>0</v>
      </c>
      <c r="V1493">
        <v>1632.61</v>
      </c>
      <c r="W1493">
        <v>0</v>
      </c>
      <c r="X1493">
        <v>1</v>
      </c>
      <c r="Y1493">
        <v>0</v>
      </c>
      <c r="Z1493">
        <v>-38</v>
      </c>
      <c r="AA1493">
        <v>1</v>
      </c>
      <c r="AB1493" s="13" t="s">
        <v>581</v>
      </c>
      <c r="AC1493">
        <v>0</v>
      </c>
      <c r="AD1493">
        <v>0</v>
      </c>
      <c r="AE1493" s="13" t="s">
        <v>61</v>
      </c>
    </row>
    <row r="1494" spans="1:31" x14ac:dyDescent="0.35">
      <c r="A1494" s="13" t="s">
        <v>2266</v>
      </c>
      <c r="B1494" s="13" t="s">
        <v>168</v>
      </c>
      <c r="C1494" s="13" t="s">
        <v>169</v>
      </c>
      <c r="D1494" s="13" t="s">
        <v>52</v>
      </c>
      <c r="E1494" s="13" t="s">
        <v>65</v>
      </c>
      <c r="F1494" s="13" t="s">
        <v>66</v>
      </c>
      <c r="G1494" s="13" t="s">
        <v>67</v>
      </c>
      <c r="H1494">
        <v>580000</v>
      </c>
      <c r="I1494" s="13" t="s">
        <v>56</v>
      </c>
      <c r="J1494" s="13" t="s">
        <v>57</v>
      </c>
      <c r="K1494" s="13" t="s">
        <v>58</v>
      </c>
      <c r="L1494" s="13" t="s">
        <v>59</v>
      </c>
      <c r="M1494">
        <v>45</v>
      </c>
      <c r="N1494">
        <v>0</v>
      </c>
      <c r="O1494" s="14">
        <v>46000</v>
      </c>
      <c r="P1494" s="14">
        <v>46045</v>
      </c>
      <c r="Q1494">
        <v>1683.2</v>
      </c>
      <c r="R1494">
        <v>0</v>
      </c>
      <c r="S1494">
        <v>0</v>
      </c>
      <c r="T1494">
        <v>0</v>
      </c>
      <c r="U1494">
        <v>0</v>
      </c>
      <c r="V1494">
        <v>1683.2</v>
      </c>
      <c r="W1494">
        <v>0</v>
      </c>
      <c r="X1494">
        <v>1</v>
      </c>
      <c r="Y1494">
        <v>0</v>
      </c>
      <c r="Z1494">
        <v>-23</v>
      </c>
      <c r="AA1494">
        <v>1</v>
      </c>
      <c r="AB1494" s="13" t="s">
        <v>581</v>
      </c>
      <c r="AC1494">
        <v>0</v>
      </c>
      <c r="AD1494">
        <v>0</v>
      </c>
      <c r="AE1494" s="13" t="s">
        <v>61</v>
      </c>
    </row>
    <row r="1495" spans="1:31" x14ac:dyDescent="0.35">
      <c r="A1495" s="13" t="s">
        <v>2267</v>
      </c>
      <c r="B1495" s="13" t="s">
        <v>766</v>
      </c>
      <c r="C1495" s="13" t="s">
        <v>767</v>
      </c>
      <c r="D1495" s="13" t="s">
        <v>104</v>
      </c>
      <c r="E1495" s="13" t="s">
        <v>53</v>
      </c>
      <c r="F1495" s="13" t="s">
        <v>135</v>
      </c>
      <c r="G1495" s="13" t="s">
        <v>92</v>
      </c>
      <c r="H1495">
        <v>90000</v>
      </c>
      <c r="I1495" s="13" t="s">
        <v>105</v>
      </c>
      <c r="J1495" s="13" t="s">
        <v>106</v>
      </c>
      <c r="K1495" s="13" t="s">
        <v>107</v>
      </c>
      <c r="L1495" s="13" t="s">
        <v>88</v>
      </c>
      <c r="M1495">
        <v>60</v>
      </c>
      <c r="N1495">
        <v>0</v>
      </c>
      <c r="O1495" s="14">
        <v>46000</v>
      </c>
      <c r="P1495" s="14">
        <v>46060</v>
      </c>
      <c r="Q1495">
        <v>6188.63</v>
      </c>
      <c r="R1495">
        <v>0</v>
      </c>
      <c r="S1495">
        <v>0</v>
      </c>
      <c r="T1495">
        <v>0</v>
      </c>
      <c r="U1495">
        <v>0</v>
      </c>
      <c r="V1495">
        <v>6188.63</v>
      </c>
      <c r="W1495">
        <v>0</v>
      </c>
      <c r="X1495">
        <v>1</v>
      </c>
      <c r="Y1495">
        <v>0</v>
      </c>
      <c r="Z1495">
        <v>-38</v>
      </c>
      <c r="AA1495">
        <v>1</v>
      </c>
      <c r="AB1495" s="13" t="s">
        <v>581</v>
      </c>
      <c r="AC1495">
        <v>0</v>
      </c>
      <c r="AD1495">
        <v>0</v>
      </c>
      <c r="AE1495" s="13" t="s">
        <v>61</v>
      </c>
    </row>
    <row r="1496" spans="1:31" x14ac:dyDescent="0.35">
      <c r="A1496" s="13" t="s">
        <v>2268</v>
      </c>
      <c r="B1496" s="13" t="s">
        <v>890</v>
      </c>
      <c r="C1496" s="13" t="s">
        <v>891</v>
      </c>
      <c r="D1496" s="13" t="s">
        <v>76</v>
      </c>
      <c r="E1496" s="13" t="s">
        <v>99</v>
      </c>
      <c r="F1496" s="13" t="s">
        <v>100</v>
      </c>
      <c r="G1496" s="13" t="s">
        <v>67</v>
      </c>
      <c r="H1496">
        <v>110000</v>
      </c>
      <c r="I1496" s="13" t="s">
        <v>79</v>
      </c>
      <c r="J1496" s="13" t="s">
        <v>80</v>
      </c>
      <c r="K1496" s="13" t="s">
        <v>81</v>
      </c>
      <c r="L1496" s="13" t="s">
        <v>95</v>
      </c>
      <c r="M1496">
        <v>30</v>
      </c>
      <c r="N1496">
        <v>0</v>
      </c>
      <c r="O1496" s="14">
        <v>46000</v>
      </c>
      <c r="P1496" s="14">
        <v>46030</v>
      </c>
      <c r="Q1496">
        <v>1296</v>
      </c>
      <c r="R1496">
        <v>0</v>
      </c>
      <c r="S1496">
        <v>0</v>
      </c>
      <c r="T1496">
        <v>0</v>
      </c>
      <c r="U1496">
        <v>0</v>
      </c>
      <c r="V1496">
        <v>1296</v>
      </c>
      <c r="W1496">
        <v>0</v>
      </c>
      <c r="X1496">
        <v>1</v>
      </c>
      <c r="Y1496">
        <v>0</v>
      </c>
      <c r="Z1496">
        <v>-8</v>
      </c>
      <c r="AA1496">
        <v>1</v>
      </c>
      <c r="AB1496" s="13" t="s">
        <v>581</v>
      </c>
      <c r="AC1496">
        <v>0</v>
      </c>
      <c r="AD1496">
        <v>0</v>
      </c>
      <c r="AE1496" s="13" t="s">
        <v>61</v>
      </c>
    </row>
    <row r="1497" spans="1:31" x14ac:dyDescent="0.35">
      <c r="A1497" s="13" t="s">
        <v>2269</v>
      </c>
      <c r="B1497" s="13" t="s">
        <v>2024</v>
      </c>
      <c r="C1497" s="13" t="s">
        <v>2025</v>
      </c>
      <c r="D1497" s="13" t="s">
        <v>104</v>
      </c>
      <c r="E1497" s="13" t="s">
        <v>65</v>
      </c>
      <c r="F1497" s="13" t="s">
        <v>111</v>
      </c>
      <c r="G1497" s="13" t="s">
        <v>55</v>
      </c>
      <c r="H1497">
        <v>130000</v>
      </c>
      <c r="I1497" s="13" t="s">
        <v>121</v>
      </c>
      <c r="J1497" s="13" t="s">
        <v>122</v>
      </c>
      <c r="K1497" s="13" t="s">
        <v>107</v>
      </c>
      <c r="L1497" s="13" t="s">
        <v>95</v>
      </c>
      <c r="M1497">
        <v>30</v>
      </c>
      <c r="N1497">
        <v>0</v>
      </c>
      <c r="O1497" s="14">
        <v>46000</v>
      </c>
      <c r="P1497" s="14">
        <v>46030</v>
      </c>
      <c r="Q1497">
        <v>5475.89</v>
      </c>
      <c r="R1497">
        <v>0</v>
      </c>
      <c r="S1497">
        <v>0</v>
      </c>
      <c r="T1497">
        <v>0</v>
      </c>
      <c r="U1497">
        <v>0</v>
      </c>
      <c r="V1497">
        <v>5475.89</v>
      </c>
      <c r="W1497">
        <v>0</v>
      </c>
      <c r="X1497">
        <v>1</v>
      </c>
      <c r="Y1497">
        <v>0</v>
      </c>
      <c r="Z1497">
        <v>-8</v>
      </c>
      <c r="AA1497">
        <v>1</v>
      </c>
      <c r="AB1497" s="13" t="s">
        <v>581</v>
      </c>
      <c r="AC1497">
        <v>0</v>
      </c>
      <c r="AD1497">
        <v>0</v>
      </c>
      <c r="AE1497" s="13" t="s">
        <v>61</v>
      </c>
    </row>
    <row r="1498" spans="1:31" x14ac:dyDescent="0.35">
      <c r="A1498" s="13" t="s">
        <v>2270</v>
      </c>
      <c r="B1498" s="13" t="s">
        <v>1008</v>
      </c>
      <c r="C1498" s="13" t="s">
        <v>1009</v>
      </c>
      <c r="D1498" s="13" t="s">
        <v>104</v>
      </c>
      <c r="E1498" s="13" t="s">
        <v>77</v>
      </c>
      <c r="F1498" s="13" t="s">
        <v>174</v>
      </c>
      <c r="G1498" s="13" t="s">
        <v>67</v>
      </c>
      <c r="H1498">
        <v>95000</v>
      </c>
      <c r="I1498" s="13" t="s">
        <v>121</v>
      </c>
      <c r="J1498" s="13" t="s">
        <v>122</v>
      </c>
      <c r="K1498" s="13" t="s">
        <v>107</v>
      </c>
      <c r="L1498" s="13" t="s">
        <v>95</v>
      </c>
      <c r="M1498">
        <v>30</v>
      </c>
      <c r="N1498">
        <v>0</v>
      </c>
      <c r="O1498" s="14">
        <v>46000</v>
      </c>
      <c r="P1498" s="14">
        <v>46030</v>
      </c>
      <c r="Q1498">
        <v>3597.66</v>
      </c>
      <c r="R1498">
        <v>0</v>
      </c>
      <c r="S1498">
        <v>0</v>
      </c>
      <c r="T1498">
        <v>0</v>
      </c>
      <c r="U1498">
        <v>0</v>
      </c>
      <c r="V1498">
        <v>3597.66</v>
      </c>
      <c r="W1498">
        <v>0</v>
      </c>
      <c r="X1498">
        <v>1</v>
      </c>
      <c r="Y1498">
        <v>0</v>
      </c>
      <c r="Z1498">
        <v>-8</v>
      </c>
      <c r="AA1498">
        <v>1</v>
      </c>
      <c r="AB1498" s="13" t="s">
        <v>581</v>
      </c>
      <c r="AC1498">
        <v>0</v>
      </c>
      <c r="AD1498">
        <v>0</v>
      </c>
      <c r="AE1498" s="13" t="s">
        <v>61</v>
      </c>
    </row>
    <row r="1499" spans="1:31" x14ac:dyDescent="0.35">
      <c r="A1499" s="13" t="s">
        <v>2271</v>
      </c>
      <c r="B1499" s="13" t="s">
        <v>894</v>
      </c>
      <c r="C1499" s="13" t="s">
        <v>895</v>
      </c>
      <c r="D1499" s="13" t="s">
        <v>104</v>
      </c>
      <c r="E1499" s="13" t="s">
        <v>71</v>
      </c>
      <c r="F1499" s="13" t="s">
        <v>72</v>
      </c>
      <c r="G1499" s="13" t="s">
        <v>67</v>
      </c>
      <c r="H1499">
        <v>85000</v>
      </c>
      <c r="I1499" s="13" t="s">
        <v>105</v>
      </c>
      <c r="J1499" s="13" t="s">
        <v>106</v>
      </c>
      <c r="K1499" s="13" t="s">
        <v>107</v>
      </c>
      <c r="L1499" s="13" t="s">
        <v>88</v>
      </c>
      <c r="M1499">
        <v>60</v>
      </c>
      <c r="N1499">
        <v>0</v>
      </c>
      <c r="O1499" s="14">
        <v>46000</v>
      </c>
      <c r="P1499" s="14">
        <v>46060</v>
      </c>
      <c r="Q1499">
        <v>3151.91</v>
      </c>
      <c r="R1499">
        <v>0</v>
      </c>
      <c r="S1499">
        <v>0</v>
      </c>
      <c r="T1499">
        <v>0</v>
      </c>
      <c r="U1499">
        <v>0</v>
      </c>
      <c r="V1499">
        <v>3151.91</v>
      </c>
      <c r="W1499">
        <v>0</v>
      </c>
      <c r="X1499">
        <v>1</v>
      </c>
      <c r="Y1499">
        <v>0</v>
      </c>
      <c r="Z1499">
        <v>-38</v>
      </c>
      <c r="AA1499">
        <v>1</v>
      </c>
      <c r="AB1499" s="13" t="s">
        <v>581</v>
      </c>
      <c r="AC1499">
        <v>0</v>
      </c>
      <c r="AD1499">
        <v>0</v>
      </c>
      <c r="AE1499" s="13" t="s">
        <v>61</v>
      </c>
    </row>
    <row r="1500" spans="1:31" x14ac:dyDescent="0.35">
      <c r="A1500" s="13" t="s">
        <v>2272</v>
      </c>
      <c r="B1500" s="13" t="s">
        <v>1672</v>
      </c>
      <c r="C1500" s="13" t="s">
        <v>1673</v>
      </c>
      <c r="D1500" s="13" t="s">
        <v>76</v>
      </c>
      <c r="E1500" s="13" t="s">
        <v>77</v>
      </c>
      <c r="F1500" s="13" t="s">
        <v>78</v>
      </c>
      <c r="G1500" s="13" t="s">
        <v>67</v>
      </c>
      <c r="H1500">
        <v>115000</v>
      </c>
      <c r="I1500" s="13" t="s">
        <v>79</v>
      </c>
      <c r="J1500" s="13" t="s">
        <v>80</v>
      </c>
      <c r="K1500" s="13" t="s">
        <v>81</v>
      </c>
      <c r="L1500" s="13" t="s">
        <v>95</v>
      </c>
      <c r="M1500">
        <v>30</v>
      </c>
      <c r="N1500">
        <v>0</v>
      </c>
      <c r="O1500" s="14">
        <v>46000</v>
      </c>
      <c r="P1500" s="14">
        <v>46030</v>
      </c>
      <c r="Q1500">
        <v>3944.99</v>
      </c>
      <c r="R1500">
        <v>0</v>
      </c>
      <c r="S1500">
        <v>0</v>
      </c>
      <c r="T1500">
        <v>0</v>
      </c>
      <c r="U1500">
        <v>0</v>
      </c>
      <c r="V1500">
        <v>3944.99</v>
      </c>
      <c r="W1500">
        <v>0</v>
      </c>
      <c r="X1500">
        <v>1</v>
      </c>
      <c r="Y1500">
        <v>0</v>
      </c>
      <c r="Z1500">
        <v>-8</v>
      </c>
      <c r="AA1500">
        <v>1</v>
      </c>
      <c r="AB1500" s="13" t="s">
        <v>581</v>
      </c>
      <c r="AC1500">
        <v>0</v>
      </c>
      <c r="AD1500">
        <v>0</v>
      </c>
      <c r="AE1500" s="13" t="s">
        <v>61</v>
      </c>
    </row>
    <row r="1501" spans="1:31" x14ac:dyDescent="0.35">
      <c r="A1501" s="13" t="s">
        <v>2273</v>
      </c>
      <c r="B1501" s="13" t="s">
        <v>2274</v>
      </c>
      <c r="C1501" s="13" t="s">
        <v>2275</v>
      </c>
      <c r="D1501" s="13" t="s">
        <v>104</v>
      </c>
      <c r="E1501" s="13" t="s">
        <v>77</v>
      </c>
      <c r="F1501" s="13" t="s">
        <v>78</v>
      </c>
      <c r="G1501" s="13" t="s">
        <v>55</v>
      </c>
      <c r="H1501">
        <v>35000</v>
      </c>
      <c r="I1501" s="13" t="s">
        <v>121</v>
      </c>
      <c r="J1501" s="13" t="s">
        <v>122</v>
      </c>
      <c r="K1501" s="13" t="s">
        <v>107</v>
      </c>
      <c r="L1501" s="13" t="s">
        <v>95</v>
      </c>
      <c r="M1501">
        <v>30</v>
      </c>
      <c r="N1501">
        <v>0</v>
      </c>
      <c r="O1501" s="14">
        <v>46000</v>
      </c>
      <c r="P1501" s="14">
        <v>46030</v>
      </c>
      <c r="Q1501">
        <v>6370.65</v>
      </c>
      <c r="R1501">
        <v>0</v>
      </c>
      <c r="S1501">
        <v>0</v>
      </c>
      <c r="T1501">
        <v>0</v>
      </c>
      <c r="U1501">
        <v>0</v>
      </c>
      <c r="V1501">
        <v>6370.65</v>
      </c>
      <c r="W1501">
        <v>0</v>
      </c>
      <c r="X1501">
        <v>1</v>
      </c>
      <c r="Y1501">
        <v>0</v>
      </c>
      <c r="Z1501">
        <v>-8</v>
      </c>
      <c r="AA1501">
        <v>1</v>
      </c>
      <c r="AB1501" s="13" t="s">
        <v>581</v>
      </c>
      <c r="AC1501">
        <v>0</v>
      </c>
      <c r="AD1501">
        <v>0</v>
      </c>
      <c r="AE1501" s="13" t="s">
        <v>61</v>
      </c>
    </row>
    <row r="1502" spans="1:31" x14ac:dyDescent="0.35">
      <c r="A1502" s="13" t="s">
        <v>2276</v>
      </c>
      <c r="B1502" s="13" t="s">
        <v>2029</v>
      </c>
      <c r="C1502" s="13" t="s">
        <v>2030</v>
      </c>
      <c r="D1502" s="13" t="s">
        <v>76</v>
      </c>
      <c r="E1502" s="13" t="s">
        <v>99</v>
      </c>
      <c r="F1502" s="13" t="s">
        <v>100</v>
      </c>
      <c r="G1502" s="13" t="s">
        <v>67</v>
      </c>
      <c r="H1502">
        <v>55000</v>
      </c>
      <c r="I1502" s="13" t="s">
        <v>79</v>
      </c>
      <c r="J1502" s="13" t="s">
        <v>80</v>
      </c>
      <c r="K1502" s="13" t="s">
        <v>81</v>
      </c>
      <c r="L1502" s="13" t="s">
        <v>95</v>
      </c>
      <c r="M1502">
        <v>30</v>
      </c>
      <c r="N1502">
        <v>0</v>
      </c>
      <c r="O1502" s="14">
        <v>46000</v>
      </c>
      <c r="P1502" s="14">
        <v>46030</v>
      </c>
      <c r="Q1502">
        <v>946.19</v>
      </c>
      <c r="R1502">
        <v>0</v>
      </c>
      <c r="S1502">
        <v>0</v>
      </c>
      <c r="T1502">
        <v>0</v>
      </c>
      <c r="U1502">
        <v>0</v>
      </c>
      <c r="V1502">
        <v>946.19</v>
      </c>
      <c r="W1502">
        <v>0</v>
      </c>
      <c r="X1502">
        <v>1</v>
      </c>
      <c r="Y1502">
        <v>0</v>
      </c>
      <c r="Z1502">
        <v>-8</v>
      </c>
      <c r="AA1502">
        <v>1</v>
      </c>
      <c r="AB1502" s="13" t="s">
        <v>581</v>
      </c>
      <c r="AC1502">
        <v>0</v>
      </c>
      <c r="AD1502">
        <v>0</v>
      </c>
      <c r="AE1502" s="13" t="s">
        <v>61</v>
      </c>
    </row>
    <row r="1503" spans="1:31" x14ac:dyDescent="0.35">
      <c r="A1503" s="13" t="s">
        <v>2277</v>
      </c>
      <c r="B1503" s="13" t="s">
        <v>343</v>
      </c>
      <c r="C1503" s="13" t="s">
        <v>344</v>
      </c>
      <c r="D1503" s="13" t="s">
        <v>104</v>
      </c>
      <c r="E1503" s="13" t="s">
        <v>77</v>
      </c>
      <c r="F1503" s="13" t="s">
        <v>174</v>
      </c>
      <c r="G1503" s="13" t="s">
        <v>67</v>
      </c>
      <c r="H1503">
        <v>145000</v>
      </c>
      <c r="I1503" s="13" t="s">
        <v>105</v>
      </c>
      <c r="J1503" s="13" t="s">
        <v>106</v>
      </c>
      <c r="K1503" s="13" t="s">
        <v>107</v>
      </c>
      <c r="L1503" s="13" t="s">
        <v>95</v>
      </c>
      <c r="M1503">
        <v>30</v>
      </c>
      <c r="N1503">
        <v>0</v>
      </c>
      <c r="O1503" s="14">
        <v>46000</v>
      </c>
      <c r="P1503" s="14">
        <v>46030</v>
      </c>
      <c r="Q1503">
        <v>7941.93</v>
      </c>
      <c r="R1503">
        <v>0</v>
      </c>
      <c r="S1503">
        <v>0</v>
      </c>
      <c r="T1503">
        <v>0</v>
      </c>
      <c r="U1503">
        <v>0</v>
      </c>
      <c r="V1503">
        <v>7941.93</v>
      </c>
      <c r="W1503">
        <v>0</v>
      </c>
      <c r="X1503">
        <v>1</v>
      </c>
      <c r="Y1503">
        <v>0</v>
      </c>
      <c r="Z1503">
        <v>-8</v>
      </c>
      <c r="AA1503">
        <v>1</v>
      </c>
      <c r="AB1503" s="13" t="s">
        <v>581</v>
      </c>
      <c r="AC1503">
        <v>0</v>
      </c>
      <c r="AD1503">
        <v>0</v>
      </c>
      <c r="AE1503" s="13" t="s">
        <v>61</v>
      </c>
    </row>
    <row r="1504" spans="1:31" x14ac:dyDescent="0.35">
      <c r="A1504" s="13" t="s">
        <v>2278</v>
      </c>
      <c r="B1504" s="13" t="s">
        <v>927</v>
      </c>
      <c r="C1504" s="13" t="s">
        <v>928</v>
      </c>
      <c r="D1504" s="13" t="s">
        <v>52</v>
      </c>
      <c r="E1504" s="13" t="s">
        <v>99</v>
      </c>
      <c r="F1504" s="13" t="s">
        <v>100</v>
      </c>
      <c r="G1504" s="13" t="s">
        <v>67</v>
      </c>
      <c r="H1504">
        <v>185000</v>
      </c>
      <c r="I1504" s="13" t="s">
        <v>56</v>
      </c>
      <c r="J1504" s="13" t="s">
        <v>57</v>
      </c>
      <c r="K1504" s="13" t="s">
        <v>58</v>
      </c>
      <c r="L1504" s="13" t="s">
        <v>88</v>
      </c>
      <c r="M1504">
        <v>60</v>
      </c>
      <c r="N1504">
        <v>0</v>
      </c>
      <c r="O1504" s="14">
        <v>46000</v>
      </c>
      <c r="P1504" s="14">
        <v>46060</v>
      </c>
      <c r="Q1504">
        <v>10593.2</v>
      </c>
      <c r="R1504">
        <v>0</v>
      </c>
      <c r="S1504">
        <v>0</v>
      </c>
      <c r="T1504">
        <v>0</v>
      </c>
      <c r="U1504">
        <v>0</v>
      </c>
      <c r="V1504">
        <v>10593.2</v>
      </c>
      <c r="W1504">
        <v>0</v>
      </c>
      <c r="X1504">
        <v>1</v>
      </c>
      <c r="Y1504">
        <v>0</v>
      </c>
      <c r="Z1504">
        <v>-38</v>
      </c>
      <c r="AA1504">
        <v>1</v>
      </c>
      <c r="AB1504" s="13" t="s">
        <v>581</v>
      </c>
      <c r="AC1504">
        <v>0</v>
      </c>
      <c r="AD1504">
        <v>0</v>
      </c>
      <c r="AE1504" s="13" t="s">
        <v>61</v>
      </c>
    </row>
    <row r="1505" spans="1:31" x14ac:dyDescent="0.35">
      <c r="A1505" s="13" t="s">
        <v>2279</v>
      </c>
      <c r="B1505" s="13" t="s">
        <v>1782</v>
      </c>
      <c r="C1505" s="13" t="s">
        <v>1783</v>
      </c>
      <c r="D1505" s="13" t="s">
        <v>76</v>
      </c>
      <c r="E1505" s="13" t="s">
        <v>99</v>
      </c>
      <c r="F1505" s="13" t="s">
        <v>127</v>
      </c>
      <c r="G1505" s="13" t="s">
        <v>67</v>
      </c>
      <c r="H1505">
        <v>55000</v>
      </c>
      <c r="I1505" s="13" t="s">
        <v>93</v>
      </c>
      <c r="J1505" s="13" t="s">
        <v>94</v>
      </c>
      <c r="K1505" s="13" t="s">
        <v>81</v>
      </c>
      <c r="L1505" s="13" t="s">
        <v>95</v>
      </c>
      <c r="M1505">
        <v>30</v>
      </c>
      <c r="N1505">
        <v>0</v>
      </c>
      <c r="O1505" s="14">
        <v>46000</v>
      </c>
      <c r="P1505" s="14">
        <v>46030</v>
      </c>
      <c r="Q1505">
        <v>1784</v>
      </c>
      <c r="R1505">
        <v>0</v>
      </c>
      <c r="S1505">
        <v>0</v>
      </c>
      <c r="T1505">
        <v>0</v>
      </c>
      <c r="U1505">
        <v>0</v>
      </c>
      <c r="V1505">
        <v>1784</v>
      </c>
      <c r="W1505">
        <v>0</v>
      </c>
      <c r="X1505">
        <v>1</v>
      </c>
      <c r="Y1505">
        <v>0</v>
      </c>
      <c r="Z1505">
        <v>-8</v>
      </c>
      <c r="AA1505">
        <v>1</v>
      </c>
      <c r="AB1505" s="13" t="s">
        <v>581</v>
      </c>
      <c r="AC1505">
        <v>0</v>
      </c>
      <c r="AD1505">
        <v>0</v>
      </c>
      <c r="AE1505" s="13" t="s">
        <v>61</v>
      </c>
    </row>
    <row r="1506" spans="1:31" x14ac:dyDescent="0.35">
      <c r="A1506" s="13" t="s">
        <v>2280</v>
      </c>
      <c r="B1506" s="13" t="s">
        <v>899</v>
      </c>
      <c r="C1506" s="13" t="s">
        <v>900</v>
      </c>
      <c r="D1506" s="13" t="s">
        <v>76</v>
      </c>
      <c r="E1506" s="13" t="s">
        <v>71</v>
      </c>
      <c r="F1506" s="13" t="s">
        <v>72</v>
      </c>
      <c r="G1506" s="13" t="s">
        <v>92</v>
      </c>
      <c r="H1506">
        <v>85000</v>
      </c>
      <c r="I1506" s="13" t="s">
        <v>93</v>
      </c>
      <c r="J1506" s="13" t="s">
        <v>94</v>
      </c>
      <c r="K1506" s="13" t="s">
        <v>81</v>
      </c>
      <c r="L1506" s="13" t="s">
        <v>82</v>
      </c>
      <c r="M1506">
        <v>30</v>
      </c>
      <c r="N1506">
        <v>2</v>
      </c>
      <c r="O1506" s="14">
        <v>46000</v>
      </c>
      <c r="P1506" s="14">
        <v>46030</v>
      </c>
      <c r="Q1506">
        <v>916.59</v>
      </c>
      <c r="R1506">
        <v>0</v>
      </c>
      <c r="S1506">
        <v>0</v>
      </c>
      <c r="T1506">
        <v>0</v>
      </c>
      <c r="U1506">
        <v>0</v>
      </c>
      <c r="V1506">
        <v>916.59</v>
      </c>
      <c r="W1506">
        <v>0</v>
      </c>
      <c r="X1506">
        <v>1</v>
      </c>
      <c r="Y1506">
        <v>0</v>
      </c>
      <c r="Z1506">
        <v>-8</v>
      </c>
      <c r="AA1506">
        <v>1</v>
      </c>
      <c r="AB1506" s="13" t="s">
        <v>581</v>
      </c>
      <c r="AC1506">
        <v>0</v>
      </c>
      <c r="AD1506">
        <v>0</v>
      </c>
      <c r="AE1506" s="13" t="s">
        <v>61</v>
      </c>
    </row>
    <row r="1507" spans="1:31" x14ac:dyDescent="0.35">
      <c r="A1507" s="13" t="s">
        <v>2281</v>
      </c>
      <c r="B1507" s="13" t="s">
        <v>162</v>
      </c>
      <c r="C1507" s="13" t="s">
        <v>163</v>
      </c>
      <c r="D1507" s="13" t="s">
        <v>76</v>
      </c>
      <c r="E1507" s="13" t="s">
        <v>99</v>
      </c>
      <c r="F1507" s="13" t="s">
        <v>127</v>
      </c>
      <c r="G1507" s="13" t="s">
        <v>67</v>
      </c>
      <c r="H1507">
        <v>90000</v>
      </c>
      <c r="I1507" s="13" t="s">
        <v>79</v>
      </c>
      <c r="J1507" s="13" t="s">
        <v>80</v>
      </c>
      <c r="K1507" s="13" t="s">
        <v>81</v>
      </c>
      <c r="L1507" s="13" t="s">
        <v>95</v>
      </c>
      <c r="M1507">
        <v>30</v>
      </c>
      <c r="N1507">
        <v>0</v>
      </c>
      <c r="O1507" s="14">
        <v>46000</v>
      </c>
      <c r="P1507" s="14">
        <v>46030</v>
      </c>
      <c r="Q1507">
        <v>689.59</v>
      </c>
      <c r="R1507">
        <v>0</v>
      </c>
      <c r="S1507">
        <v>0</v>
      </c>
      <c r="T1507">
        <v>0</v>
      </c>
      <c r="U1507">
        <v>0</v>
      </c>
      <c r="V1507">
        <v>689.59</v>
      </c>
      <c r="W1507">
        <v>0</v>
      </c>
      <c r="X1507">
        <v>1</v>
      </c>
      <c r="Y1507">
        <v>0</v>
      </c>
      <c r="Z1507">
        <v>-8</v>
      </c>
      <c r="AA1507">
        <v>1</v>
      </c>
      <c r="AB1507" s="13" t="s">
        <v>581</v>
      </c>
      <c r="AC1507">
        <v>0</v>
      </c>
      <c r="AD1507">
        <v>0</v>
      </c>
      <c r="AE1507" s="13" t="s">
        <v>61</v>
      </c>
    </row>
    <row r="1508" spans="1:31" x14ac:dyDescent="0.35">
      <c r="A1508" s="13" t="s">
        <v>2282</v>
      </c>
      <c r="B1508" s="13" t="s">
        <v>366</v>
      </c>
      <c r="C1508" s="13" t="s">
        <v>367</v>
      </c>
      <c r="D1508" s="13" t="s">
        <v>126</v>
      </c>
      <c r="E1508" s="13" t="s">
        <v>77</v>
      </c>
      <c r="F1508" s="13" t="s">
        <v>78</v>
      </c>
      <c r="G1508" s="13" t="s">
        <v>67</v>
      </c>
      <c r="H1508">
        <v>70000</v>
      </c>
      <c r="I1508" s="13" t="s">
        <v>105</v>
      </c>
      <c r="J1508" s="13" t="s">
        <v>106</v>
      </c>
      <c r="K1508" s="13" t="s">
        <v>107</v>
      </c>
      <c r="L1508" s="13" t="s">
        <v>368</v>
      </c>
      <c r="M1508">
        <v>90</v>
      </c>
      <c r="N1508">
        <v>0</v>
      </c>
      <c r="O1508" s="14">
        <v>46000</v>
      </c>
      <c r="P1508" s="14">
        <v>46090</v>
      </c>
      <c r="Q1508">
        <v>9987.4500000000007</v>
      </c>
      <c r="R1508">
        <v>0</v>
      </c>
      <c r="S1508">
        <v>0</v>
      </c>
      <c r="T1508">
        <v>0</v>
      </c>
      <c r="U1508">
        <v>0</v>
      </c>
      <c r="V1508">
        <v>9987.4500000000007</v>
      </c>
      <c r="W1508">
        <v>0</v>
      </c>
      <c r="X1508">
        <v>1</v>
      </c>
      <c r="Y1508">
        <v>0</v>
      </c>
      <c r="Z1508">
        <v>-68</v>
      </c>
      <c r="AA1508">
        <v>1</v>
      </c>
      <c r="AB1508" s="13" t="s">
        <v>581</v>
      </c>
      <c r="AC1508">
        <v>0</v>
      </c>
      <c r="AD1508">
        <v>0</v>
      </c>
      <c r="AE1508" s="13" t="s">
        <v>61</v>
      </c>
    </row>
    <row r="1509" spans="1:31" x14ac:dyDescent="0.35">
      <c r="A1509" s="13" t="s">
        <v>2283</v>
      </c>
      <c r="B1509" s="13" t="s">
        <v>542</v>
      </c>
      <c r="C1509" s="13" t="s">
        <v>543</v>
      </c>
      <c r="D1509" s="13" t="s">
        <v>126</v>
      </c>
      <c r="E1509" s="13" t="s">
        <v>71</v>
      </c>
      <c r="F1509" s="13" t="s">
        <v>72</v>
      </c>
      <c r="G1509" s="13" t="s">
        <v>67</v>
      </c>
      <c r="H1509">
        <v>95000</v>
      </c>
      <c r="I1509" s="13" t="s">
        <v>121</v>
      </c>
      <c r="J1509" s="13" t="s">
        <v>122</v>
      </c>
      <c r="K1509" s="13" t="s">
        <v>107</v>
      </c>
      <c r="L1509" s="13" t="s">
        <v>368</v>
      </c>
      <c r="M1509">
        <v>90</v>
      </c>
      <c r="N1509">
        <v>0</v>
      </c>
      <c r="O1509" s="14">
        <v>46000</v>
      </c>
      <c r="P1509" s="14">
        <v>46090</v>
      </c>
      <c r="Q1509">
        <v>1111.4000000000001</v>
      </c>
      <c r="R1509">
        <v>0</v>
      </c>
      <c r="S1509">
        <v>0</v>
      </c>
      <c r="T1509">
        <v>0</v>
      </c>
      <c r="U1509">
        <v>0</v>
      </c>
      <c r="V1509">
        <v>1111.4000000000001</v>
      </c>
      <c r="W1509">
        <v>0</v>
      </c>
      <c r="X1509">
        <v>1</v>
      </c>
      <c r="Y1509">
        <v>0</v>
      </c>
      <c r="Z1509">
        <v>-68</v>
      </c>
      <c r="AA1509">
        <v>1</v>
      </c>
      <c r="AB1509" s="13" t="s">
        <v>581</v>
      </c>
      <c r="AC1509">
        <v>0</v>
      </c>
      <c r="AD1509">
        <v>0</v>
      </c>
      <c r="AE1509" s="13" t="s">
        <v>61</v>
      </c>
    </row>
    <row r="1510" spans="1:31" x14ac:dyDescent="0.35">
      <c r="A1510" s="13" t="s">
        <v>2284</v>
      </c>
      <c r="B1510" s="13" t="s">
        <v>695</v>
      </c>
      <c r="C1510" s="13" t="s">
        <v>696</v>
      </c>
      <c r="D1510" s="13" t="s">
        <v>52</v>
      </c>
      <c r="E1510" s="13" t="s">
        <v>53</v>
      </c>
      <c r="F1510" s="13" t="s">
        <v>54</v>
      </c>
      <c r="G1510" s="13" t="s">
        <v>92</v>
      </c>
      <c r="H1510">
        <v>535000</v>
      </c>
      <c r="I1510" s="13" t="s">
        <v>56</v>
      </c>
      <c r="J1510" s="13" t="s">
        <v>57</v>
      </c>
      <c r="K1510" s="13" t="s">
        <v>58</v>
      </c>
      <c r="L1510" s="13" t="s">
        <v>88</v>
      </c>
      <c r="M1510">
        <v>60</v>
      </c>
      <c r="N1510">
        <v>0</v>
      </c>
      <c r="O1510" s="14">
        <v>46000</v>
      </c>
      <c r="P1510" s="14">
        <v>46060</v>
      </c>
      <c r="Q1510">
        <v>8646.25</v>
      </c>
      <c r="R1510">
        <v>0</v>
      </c>
      <c r="S1510">
        <v>0</v>
      </c>
      <c r="T1510">
        <v>0</v>
      </c>
      <c r="U1510">
        <v>0</v>
      </c>
      <c r="V1510">
        <v>8646.25</v>
      </c>
      <c r="W1510">
        <v>0</v>
      </c>
      <c r="X1510">
        <v>1</v>
      </c>
      <c r="Y1510">
        <v>0</v>
      </c>
      <c r="Z1510">
        <v>-38</v>
      </c>
      <c r="AA1510">
        <v>1</v>
      </c>
      <c r="AB1510" s="13" t="s">
        <v>581</v>
      </c>
      <c r="AC1510">
        <v>0</v>
      </c>
      <c r="AD1510">
        <v>0</v>
      </c>
      <c r="AE1510" s="13" t="s">
        <v>61</v>
      </c>
    </row>
    <row r="1511" spans="1:31" x14ac:dyDescent="0.35">
      <c r="A1511" s="13" t="s">
        <v>2285</v>
      </c>
      <c r="B1511" s="13" t="s">
        <v>438</v>
      </c>
      <c r="C1511" s="13" t="s">
        <v>439</v>
      </c>
      <c r="D1511" s="13" t="s">
        <v>126</v>
      </c>
      <c r="E1511" s="13" t="s">
        <v>65</v>
      </c>
      <c r="F1511" s="13" t="s">
        <v>111</v>
      </c>
      <c r="G1511" s="13" t="s">
        <v>67</v>
      </c>
      <c r="H1511">
        <v>155000</v>
      </c>
      <c r="I1511" s="13" t="s">
        <v>86</v>
      </c>
      <c r="J1511" s="13" t="s">
        <v>87</v>
      </c>
      <c r="K1511" s="13" t="s">
        <v>58</v>
      </c>
      <c r="L1511" s="13" t="s">
        <v>368</v>
      </c>
      <c r="M1511">
        <v>90</v>
      </c>
      <c r="N1511">
        <v>0</v>
      </c>
      <c r="O1511" s="14">
        <v>46000</v>
      </c>
      <c r="P1511" s="14">
        <v>46090</v>
      </c>
      <c r="Q1511">
        <v>3293.24</v>
      </c>
      <c r="R1511">
        <v>0</v>
      </c>
      <c r="S1511">
        <v>0</v>
      </c>
      <c r="T1511">
        <v>0</v>
      </c>
      <c r="U1511">
        <v>0</v>
      </c>
      <c r="V1511">
        <v>3293.24</v>
      </c>
      <c r="W1511">
        <v>0</v>
      </c>
      <c r="X1511">
        <v>1</v>
      </c>
      <c r="Y1511">
        <v>0</v>
      </c>
      <c r="Z1511">
        <v>-68</v>
      </c>
      <c r="AA1511">
        <v>1</v>
      </c>
      <c r="AB1511" s="13" t="s">
        <v>581</v>
      </c>
      <c r="AC1511">
        <v>0</v>
      </c>
      <c r="AD1511">
        <v>0</v>
      </c>
      <c r="AE1511" s="13" t="s">
        <v>61</v>
      </c>
    </row>
    <row r="1512" spans="1:31" x14ac:dyDescent="0.35">
      <c r="A1512" s="13" t="s">
        <v>2286</v>
      </c>
      <c r="B1512" s="13" t="s">
        <v>1916</v>
      </c>
      <c r="C1512" s="13" t="s">
        <v>1917</v>
      </c>
      <c r="D1512" s="13" t="s">
        <v>104</v>
      </c>
      <c r="E1512" s="13" t="s">
        <v>99</v>
      </c>
      <c r="F1512" s="13" t="s">
        <v>127</v>
      </c>
      <c r="G1512" s="13" t="s">
        <v>67</v>
      </c>
      <c r="H1512">
        <v>140000</v>
      </c>
      <c r="I1512" s="13" t="s">
        <v>121</v>
      </c>
      <c r="J1512" s="13" t="s">
        <v>122</v>
      </c>
      <c r="K1512" s="13" t="s">
        <v>107</v>
      </c>
      <c r="L1512" s="13" t="s">
        <v>95</v>
      </c>
      <c r="M1512">
        <v>30</v>
      </c>
      <c r="N1512">
        <v>0</v>
      </c>
      <c r="O1512" s="14">
        <v>46000</v>
      </c>
      <c r="P1512" s="14">
        <v>46030</v>
      </c>
      <c r="Q1512">
        <v>3505.49</v>
      </c>
      <c r="R1512">
        <v>0</v>
      </c>
      <c r="S1512">
        <v>0</v>
      </c>
      <c r="T1512">
        <v>0</v>
      </c>
      <c r="U1512">
        <v>0</v>
      </c>
      <c r="V1512">
        <v>3505.49</v>
      </c>
      <c r="W1512">
        <v>0</v>
      </c>
      <c r="X1512">
        <v>1</v>
      </c>
      <c r="Y1512">
        <v>0</v>
      </c>
      <c r="Z1512">
        <v>-8</v>
      </c>
      <c r="AA1512">
        <v>1</v>
      </c>
      <c r="AB1512" s="13" t="s">
        <v>581</v>
      </c>
      <c r="AC1512">
        <v>0</v>
      </c>
      <c r="AD1512">
        <v>0</v>
      </c>
      <c r="AE1512" s="13" t="s">
        <v>61</v>
      </c>
    </row>
    <row r="1513" spans="1:31" x14ac:dyDescent="0.35">
      <c r="A1513" s="13" t="s">
        <v>2287</v>
      </c>
      <c r="B1513" s="13" t="s">
        <v>1490</v>
      </c>
      <c r="C1513" s="13" t="s">
        <v>1491</v>
      </c>
      <c r="D1513" s="13" t="s">
        <v>104</v>
      </c>
      <c r="E1513" s="13" t="s">
        <v>77</v>
      </c>
      <c r="F1513" s="13" t="s">
        <v>78</v>
      </c>
      <c r="G1513" s="13" t="s">
        <v>55</v>
      </c>
      <c r="H1513">
        <v>35000</v>
      </c>
      <c r="I1513" s="13" t="s">
        <v>105</v>
      </c>
      <c r="J1513" s="13" t="s">
        <v>106</v>
      </c>
      <c r="K1513" s="13" t="s">
        <v>107</v>
      </c>
      <c r="L1513" s="13" t="s">
        <v>95</v>
      </c>
      <c r="M1513">
        <v>30</v>
      </c>
      <c r="N1513">
        <v>0</v>
      </c>
      <c r="O1513" s="14">
        <v>46000</v>
      </c>
      <c r="P1513" s="14">
        <v>46030</v>
      </c>
      <c r="Q1513">
        <v>8346.8799999999992</v>
      </c>
      <c r="R1513">
        <v>0</v>
      </c>
      <c r="S1513">
        <v>0</v>
      </c>
      <c r="T1513">
        <v>0</v>
      </c>
      <c r="U1513">
        <v>0</v>
      </c>
      <c r="V1513">
        <v>8346.8799999999992</v>
      </c>
      <c r="W1513">
        <v>0</v>
      </c>
      <c r="X1513">
        <v>1</v>
      </c>
      <c r="Y1513">
        <v>0</v>
      </c>
      <c r="Z1513">
        <v>-8</v>
      </c>
      <c r="AA1513">
        <v>1</v>
      </c>
      <c r="AB1513" s="13" t="s">
        <v>581</v>
      </c>
      <c r="AC1513">
        <v>0</v>
      </c>
      <c r="AD1513">
        <v>0</v>
      </c>
      <c r="AE1513" s="13" t="s">
        <v>61</v>
      </c>
    </row>
    <row r="1514" spans="1:31" x14ac:dyDescent="0.35">
      <c r="A1514" s="13" t="s">
        <v>2288</v>
      </c>
      <c r="B1514" s="13" t="s">
        <v>902</v>
      </c>
      <c r="C1514" s="13" t="s">
        <v>903</v>
      </c>
      <c r="D1514" s="13" t="s">
        <v>52</v>
      </c>
      <c r="E1514" s="13" t="s">
        <v>65</v>
      </c>
      <c r="F1514" s="13" t="s">
        <v>111</v>
      </c>
      <c r="G1514" s="13" t="s">
        <v>67</v>
      </c>
      <c r="H1514">
        <v>540000</v>
      </c>
      <c r="I1514" s="13" t="s">
        <v>56</v>
      </c>
      <c r="J1514" s="13" t="s">
        <v>57</v>
      </c>
      <c r="K1514" s="13" t="s">
        <v>58</v>
      </c>
      <c r="L1514" s="13" t="s">
        <v>59</v>
      </c>
      <c r="M1514">
        <v>45</v>
      </c>
      <c r="N1514">
        <v>0</v>
      </c>
      <c r="O1514" s="14">
        <v>46000</v>
      </c>
      <c r="P1514" s="14">
        <v>46045</v>
      </c>
      <c r="Q1514">
        <v>9407.01</v>
      </c>
      <c r="R1514">
        <v>0</v>
      </c>
      <c r="S1514">
        <v>0</v>
      </c>
      <c r="T1514">
        <v>0</v>
      </c>
      <c r="U1514">
        <v>0</v>
      </c>
      <c r="V1514">
        <v>9407.01</v>
      </c>
      <c r="W1514">
        <v>0</v>
      </c>
      <c r="X1514">
        <v>1</v>
      </c>
      <c r="Y1514">
        <v>0</v>
      </c>
      <c r="Z1514">
        <v>-23</v>
      </c>
      <c r="AA1514">
        <v>1</v>
      </c>
      <c r="AB1514" s="13" t="s">
        <v>581</v>
      </c>
      <c r="AC1514">
        <v>0</v>
      </c>
      <c r="AD1514">
        <v>0</v>
      </c>
      <c r="AE1514" s="13" t="s">
        <v>61</v>
      </c>
    </row>
    <row r="1515" spans="1:31" x14ac:dyDescent="0.35">
      <c r="A1515" s="13" t="s">
        <v>2289</v>
      </c>
      <c r="B1515" s="13" t="s">
        <v>1405</v>
      </c>
      <c r="C1515" s="13" t="s">
        <v>1406</v>
      </c>
      <c r="D1515" s="13" t="s">
        <v>52</v>
      </c>
      <c r="E1515" s="13" t="s">
        <v>53</v>
      </c>
      <c r="F1515" s="13" t="s">
        <v>54</v>
      </c>
      <c r="G1515" s="13" t="s">
        <v>67</v>
      </c>
      <c r="H1515">
        <v>445000</v>
      </c>
      <c r="I1515" s="13" t="s">
        <v>86</v>
      </c>
      <c r="J1515" s="13" t="s">
        <v>87</v>
      </c>
      <c r="K1515" s="13" t="s">
        <v>58</v>
      </c>
      <c r="L1515" s="13" t="s">
        <v>59</v>
      </c>
      <c r="M1515">
        <v>45</v>
      </c>
      <c r="N1515">
        <v>0</v>
      </c>
      <c r="O1515" s="14">
        <v>46000</v>
      </c>
      <c r="P1515" s="14">
        <v>46045</v>
      </c>
      <c r="Q1515">
        <v>3990.13</v>
      </c>
      <c r="R1515">
        <v>0</v>
      </c>
      <c r="S1515">
        <v>0</v>
      </c>
      <c r="T1515">
        <v>0</v>
      </c>
      <c r="U1515">
        <v>0</v>
      </c>
      <c r="V1515">
        <v>3990.13</v>
      </c>
      <c r="W1515">
        <v>0</v>
      </c>
      <c r="X1515">
        <v>1</v>
      </c>
      <c r="Y1515">
        <v>0</v>
      </c>
      <c r="Z1515">
        <v>-23</v>
      </c>
      <c r="AA1515">
        <v>1</v>
      </c>
      <c r="AB1515" s="13" t="s">
        <v>581</v>
      </c>
      <c r="AC1515">
        <v>0</v>
      </c>
      <c r="AD1515">
        <v>0</v>
      </c>
      <c r="AE1515" s="13" t="s">
        <v>61</v>
      </c>
    </row>
    <row r="1516" spans="1:31" x14ac:dyDescent="0.35">
      <c r="A1516" s="13" t="s">
        <v>2290</v>
      </c>
      <c r="B1516" s="13" t="s">
        <v>379</v>
      </c>
      <c r="C1516" s="13" t="s">
        <v>380</v>
      </c>
      <c r="D1516" s="13" t="s">
        <v>52</v>
      </c>
      <c r="E1516" s="13" t="s">
        <v>77</v>
      </c>
      <c r="F1516" s="13" t="s">
        <v>78</v>
      </c>
      <c r="G1516" s="13" t="s">
        <v>92</v>
      </c>
      <c r="H1516">
        <v>450000</v>
      </c>
      <c r="I1516" s="13" t="s">
        <v>56</v>
      </c>
      <c r="J1516" s="13" t="s">
        <v>57</v>
      </c>
      <c r="K1516" s="13" t="s">
        <v>58</v>
      </c>
      <c r="L1516" s="13" t="s">
        <v>59</v>
      </c>
      <c r="M1516">
        <v>45</v>
      </c>
      <c r="N1516">
        <v>0</v>
      </c>
      <c r="O1516" s="14">
        <v>46000</v>
      </c>
      <c r="P1516" s="14">
        <v>46045</v>
      </c>
      <c r="Q1516">
        <v>6054.37</v>
      </c>
      <c r="R1516">
        <v>0</v>
      </c>
      <c r="S1516">
        <v>0</v>
      </c>
      <c r="T1516">
        <v>0</v>
      </c>
      <c r="U1516">
        <v>0</v>
      </c>
      <c r="V1516">
        <v>6054.37</v>
      </c>
      <c r="W1516">
        <v>0</v>
      </c>
      <c r="X1516">
        <v>1</v>
      </c>
      <c r="Y1516">
        <v>0</v>
      </c>
      <c r="Z1516">
        <v>-23</v>
      </c>
      <c r="AA1516">
        <v>1</v>
      </c>
      <c r="AB1516" s="13" t="s">
        <v>581</v>
      </c>
      <c r="AC1516">
        <v>0</v>
      </c>
      <c r="AD1516">
        <v>1</v>
      </c>
      <c r="AE1516" s="13" t="s">
        <v>348</v>
      </c>
    </row>
    <row r="1517" spans="1:31" x14ac:dyDescent="0.35">
      <c r="A1517" s="13" t="s">
        <v>2291</v>
      </c>
      <c r="B1517" s="13" t="s">
        <v>390</v>
      </c>
      <c r="C1517" s="13" t="s">
        <v>391</v>
      </c>
      <c r="D1517" s="13" t="s">
        <v>52</v>
      </c>
      <c r="E1517" s="13" t="s">
        <v>71</v>
      </c>
      <c r="F1517" s="13" t="s">
        <v>72</v>
      </c>
      <c r="G1517" s="13" t="s">
        <v>55</v>
      </c>
      <c r="H1517">
        <v>320000</v>
      </c>
      <c r="I1517" s="13" t="s">
        <v>86</v>
      </c>
      <c r="J1517" s="13" t="s">
        <v>87</v>
      </c>
      <c r="K1517" s="13" t="s">
        <v>58</v>
      </c>
      <c r="L1517" s="13" t="s">
        <v>88</v>
      </c>
      <c r="M1517">
        <v>60</v>
      </c>
      <c r="N1517">
        <v>0</v>
      </c>
      <c r="O1517" s="14">
        <v>46000</v>
      </c>
      <c r="P1517" s="14">
        <v>46060</v>
      </c>
      <c r="Q1517">
        <v>4125.4799999999996</v>
      </c>
      <c r="R1517">
        <v>0</v>
      </c>
      <c r="S1517">
        <v>0</v>
      </c>
      <c r="T1517">
        <v>0</v>
      </c>
      <c r="U1517">
        <v>0</v>
      </c>
      <c r="V1517">
        <v>4125.4799999999996</v>
      </c>
      <c r="W1517">
        <v>0</v>
      </c>
      <c r="X1517">
        <v>1</v>
      </c>
      <c r="Y1517">
        <v>0</v>
      </c>
      <c r="Z1517">
        <v>-38</v>
      </c>
      <c r="AA1517">
        <v>1</v>
      </c>
      <c r="AB1517" s="13" t="s">
        <v>581</v>
      </c>
      <c r="AC1517">
        <v>0</v>
      </c>
      <c r="AD1517">
        <v>0</v>
      </c>
      <c r="AE1517" s="13" t="s">
        <v>61</v>
      </c>
    </row>
    <row r="1518" spans="1:31" x14ac:dyDescent="0.35">
      <c r="A1518" s="13" t="s">
        <v>2292</v>
      </c>
      <c r="B1518" s="13" t="s">
        <v>340</v>
      </c>
      <c r="C1518" s="13" t="s">
        <v>341</v>
      </c>
      <c r="D1518" s="13" t="s">
        <v>52</v>
      </c>
      <c r="E1518" s="13" t="s">
        <v>77</v>
      </c>
      <c r="F1518" s="13" t="s">
        <v>78</v>
      </c>
      <c r="G1518" s="13" t="s">
        <v>92</v>
      </c>
      <c r="H1518">
        <v>565000</v>
      </c>
      <c r="I1518" s="13" t="s">
        <v>56</v>
      </c>
      <c r="J1518" s="13" t="s">
        <v>57</v>
      </c>
      <c r="K1518" s="13" t="s">
        <v>58</v>
      </c>
      <c r="L1518" s="13" t="s">
        <v>59</v>
      </c>
      <c r="M1518">
        <v>45</v>
      </c>
      <c r="N1518">
        <v>0</v>
      </c>
      <c r="O1518" s="14">
        <v>46000</v>
      </c>
      <c r="P1518" s="14">
        <v>46045</v>
      </c>
      <c r="Q1518">
        <v>16552.61</v>
      </c>
      <c r="R1518">
        <v>0</v>
      </c>
      <c r="S1518">
        <v>0</v>
      </c>
      <c r="T1518">
        <v>0</v>
      </c>
      <c r="U1518">
        <v>0</v>
      </c>
      <c r="V1518">
        <v>16552.61</v>
      </c>
      <c r="W1518">
        <v>0</v>
      </c>
      <c r="X1518">
        <v>1</v>
      </c>
      <c r="Y1518">
        <v>0</v>
      </c>
      <c r="Z1518">
        <v>-23</v>
      </c>
      <c r="AA1518">
        <v>1</v>
      </c>
      <c r="AB1518" s="13" t="s">
        <v>581</v>
      </c>
      <c r="AC1518">
        <v>0</v>
      </c>
      <c r="AD1518">
        <v>0</v>
      </c>
      <c r="AE1518" s="13" t="s">
        <v>61</v>
      </c>
    </row>
    <row r="1519" spans="1:31" x14ac:dyDescent="0.35">
      <c r="A1519" s="13" t="s">
        <v>2293</v>
      </c>
      <c r="B1519" s="13" t="s">
        <v>547</v>
      </c>
      <c r="C1519" s="13" t="s">
        <v>548</v>
      </c>
      <c r="D1519" s="13" t="s">
        <v>52</v>
      </c>
      <c r="E1519" s="13" t="s">
        <v>71</v>
      </c>
      <c r="F1519" s="13" t="s">
        <v>72</v>
      </c>
      <c r="G1519" s="13" t="s">
        <v>92</v>
      </c>
      <c r="H1519">
        <v>160000</v>
      </c>
      <c r="I1519" s="13" t="s">
        <v>86</v>
      </c>
      <c r="J1519" s="13" t="s">
        <v>87</v>
      </c>
      <c r="K1519" s="13" t="s">
        <v>58</v>
      </c>
      <c r="L1519" s="13" t="s">
        <v>88</v>
      </c>
      <c r="M1519">
        <v>60</v>
      </c>
      <c r="N1519">
        <v>0</v>
      </c>
      <c r="O1519" s="14">
        <v>46000</v>
      </c>
      <c r="P1519" s="14">
        <v>46060</v>
      </c>
      <c r="Q1519">
        <v>5647.66</v>
      </c>
      <c r="R1519">
        <v>0</v>
      </c>
      <c r="S1519">
        <v>0</v>
      </c>
      <c r="T1519">
        <v>0</v>
      </c>
      <c r="U1519">
        <v>0</v>
      </c>
      <c r="V1519">
        <v>5647.66</v>
      </c>
      <c r="W1519">
        <v>0</v>
      </c>
      <c r="X1519">
        <v>1</v>
      </c>
      <c r="Y1519">
        <v>0</v>
      </c>
      <c r="Z1519">
        <v>-38</v>
      </c>
      <c r="AA1519">
        <v>1</v>
      </c>
      <c r="AB1519" s="13" t="s">
        <v>581</v>
      </c>
      <c r="AC1519">
        <v>0</v>
      </c>
      <c r="AD1519">
        <v>0</v>
      </c>
      <c r="AE1519" s="13" t="s">
        <v>61</v>
      </c>
    </row>
    <row r="1520" spans="1:31" x14ac:dyDescent="0.35">
      <c r="A1520" s="13" t="s">
        <v>2294</v>
      </c>
      <c r="B1520" s="13" t="s">
        <v>50</v>
      </c>
      <c r="C1520" s="13" t="s">
        <v>51</v>
      </c>
      <c r="D1520" s="13" t="s">
        <v>52</v>
      </c>
      <c r="E1520" s="13" t="s">
        <v>53</v>
      </c>
      <c r="F1520" s="13" t="s">
        <v>54</v>
      </c>
      <c r="G1520" s="13" t="s">
        <v>55</v>
      </c>
      <c r="H1520">
        <v>585000</v>
      </c>
      <c r="I1520" s="13" t="s">
        <v>56</v>
      </c>
      <c r="J1520" s="13" t="s">
        <v>57</v>
      </c>
      <c r="K1520" s="13" t="s">
        <v>58</v>
      </c>
      <c r="L1520" s="13" t="s">
        <v>59</v>
      </c>
      <c r="M1520">
        <v>45</v>
      </c>
      <c r="N1520">
        <v>0</v>
      </c>
      <c r="O1520" s="14">
        <v>46000</v>
      </c>
      <c r="P1520" s="14">
        <v>46045</v>
      </c>
      <c r="Q1520">
        <v>10604.72</v>
      </c>
      <c r="R1520">
        <v>0</v>
      </c>
      <c r="S1520">
        <v>0</v>
      </c>
      <c r="T1520">
        <v>0</v>
      </c>
      <c r="U1520">
        <v>0</v>
      </c>
      <c r="V1520">
        <v>10604.72</v>
      </c>
      <c r="W1520">
        <v>0</v>
      </c>
      <c r="X1520">
        <v>1</v>
      </c>
      <c r="Y1520">
        <v>0</v>
      </c>
      <c r="Z1520">
        <v>-23</v>
      </c>
      <c r="AA1520">
        <v>1</v>
      </c>
      <c r="AB1520" s="13" t="s">
        <v>581</v>
      </c>
      <c r="AC1520">
        <v>0</v>
      </c>
      <c r="AD1520">
        <v>0</v>
      </c>
      <c r="AE1520" s="13" t="s">
        <v>61</v>
      </c>
    </row>
    <row r="1521" spans="1:31" x14ac:dyDescent="0.35">
      <c r="A1521" s="13" t="s">
        <v>2295</v>
      </c>
      <c r="B1521" s="13" t="s">
        <v>590</v>
      </c>
      <c r="C1521" s="13" t="s">
        <v>591</v>
      </c>
      <c r="D1521" s="13" t="s">
        <v>52</v>
      </c>
      <c r="E1521" s="13" t="s">
        <v>53</v>
      </c>
      <c r="F1521" s="13" t="s">
        <v>135</v>
      </c>
      <c r="G1521" s="13" t="s">
        <v>67</v>
      </c>
      <c r="H1521">
        <v>240000</v>
      </c>
      <c r="I1521" s="13" t="s">
        <v>86</v>
      </c>
      <c r="J1521" s="13" t="s">
        <v>87</v>
      </c>
      <c r="K1521" s="13" t="s">
        <v>58</v>
      </c>
      <c r="L1521" s="13" t="s">
        <v>88</v>
      </c>
      <c r="M1521">
        <v>60</v>
      </c>
      <c r="N1521">
        <v>0</v>
      </c>
      <c r="O1521" s="14">
        <v>46000</v>
      </c>
      <c r="P1521" s="14">
        <v>46060</v>
      </c>
      <c r="Q1521">
        <v>15478.26</v>
      </c>
      <c r="R1521">
        <v>0</v>
      </c>
      <c r="S1521">
        <v>0</v>
      </c>
      <c r="T1521">
        <v>0</v>
      </c>
      <c r="U1521">
        <v>0</v>
      </c>
      <c r="V1521">
        <v>15478.26</v>
      </c>
      <c r="W1521">
        <v>0</v>
      </c>
      <c r="X1521">
        <v>1</v>
      </c>
      <c r="Y1521">
        <v>0</v>
      </c>
      <c r="Z1521">
        <v>-38</v>
      </c>
      <c r="AA1521">
        <v>1</v>
      </c>
      <c r="AB1521" s="13" t="s">
        <v>581</v>
      </c>
      <c r="AC1521">
        <v>0</v>
      </c>
      <c r="AD1521">
        <v>0</v>
      </c>
      <c r="AE1521" s="13" t="s">
        <v>61</v>
      </c>
    </row>
    <row r="1522" spans="1:31" x14ac:dyDescent="0.35">
      <c r="A1522" s="13" t="s">
        <v>2296</v>
      </c>
      <c r="B1522" s="13" t="s">
        <v>1280</v>
      </c>
      <c r="C1522" s="13" t="s">
        <v>1281</v>
      </c>
      <c r="D1522" s="13" t="s">
        <v>104</v>
      </c>
      <c r="E1522" s="13" t="s">
        <v>71</v>
      </c>
      <c r="F1522" s="13" t="s">
        <v>72</v>
      </c>
      <c r="G1522" s="13" t="s">
        <v>67</v>
      </c>
      <c r="H1522">
        <v>135000</v>
      </c>
      <c r="I1522" s="13" t="s">
        <v>121</v>
      </c>
      <c r="J1522" s="13" t="s">
        <v>122</v>
      </c>
      <c r="K1522" s="13" t="s">
        <v>107</v>
      </c>
      <c r="L1522" s="13" t="s">
        <v>88</v>
      </c>
      <c r="M1522">
        <v>60</v>
      </c>
      <c r="N1522">
        <v>0</v>
      </c>
      <c r="O1522" s="14">
        <v>46000</v>
      </c>
      <c r="P1522" s="14">
        <v>46060</v>
      </c>
      <c r="Q1522">
        <v>956.6</v>
      </c>
      <c r="R1522">
        <v>0</v>
      </c>
      <c r="S1522">
        <v>0</v>
      </c>
      <c r="T1522">
        <v>0</v>
      </c>
      <c r="U1522">
        <v>0</v>
      </c>
      <c r="V1522">
        <v>956.6</v>
      </c>
      <c r="W1522">
        <v>0</v>
      </c>
      <c r="X1522">
        <v>1</v>
      </c>
      <c r="Y1522">
        <v>0</v>
      </c>
      <c r="Z1522">
        <v>-38</v>
      </c>
      <c r="AA1522">
        <v>1</v>
      </c>
      <c r="AB1522" s="13" t="s">
        <v>581</v>
      </c>
      <c r="AC1522">
        <v>0</v>
      </c>
      <c r="AD1522">
        <v>0</v>
      </c>
      <c r="AE1522" s="13" t="s">
        <v>61</v>
      </c>
    </row>
    <row r="1523" spans="1:31" x14ac:dyDescent="0.35">
      <c r="A1523" s="13" t="s">
        <v>2297</v>
      </c>
      <c r="B1523" s="13" t="s">
        <v>186</v>
      </c>
      <c r="C1523" s="13" t="s">
        <v>187</v>
      </c>
      <c r="D1523" s="13" t="s">
        <v>76</v>
      </c>
      <c r="E1523" s="13" t="s">
        <v>65</v>
      </c>
      <c r="F1523" s="13" t="s">
        <v>66</v>
      </c>
      <c r="G1523" s="13" t="s">
        <v>55</v>
      </c>
      <c r="H1523">
        <v>120000</v>
      </c>
      <c r="I1523" s="13" t="s">
        <v>93</v>
      </c>
      <c r="J1523" s="13" t="s">
        <v>94</v>
      </c>
      <c r="K1523" s="13" t="s">
        <v>81</v>
      </c>
      <c r="L1523" s="13" t="s">
        <v>95</v>
      </c>
      <c r="M1523">
        <v>30</v>
      </c>
      <c r="N1523">
        <v>0</v>
      </c>
      <c r="O1523" s="14">
        <v>46001</v>
      </c>
      <c r="P1523" s="14">
        <v>46031</v>
      </c>
      <c r="Q1523">
        <v>1686.42</v>
      </c>
      <c r="R1523">
        <v>0</v>
      </c>
      <c r="S1523">
        <v>0</v>
      </c>
      <c r="T1523">
        <v>0</v>
      </c>
      <c r="U1523">
        <v>0</v>
      </c>
      <c r="V1523">
        <v>1686.42</v>
      </c>
      <c r="W1523">
        <v>0</v>
      </c>
      <c r="X1523">
        <v>1</v>
      </c>
      <c r="Y1523">
        <v>0</v>
      </c>
      <c r="Z1523">
        <v>-9</v>
      </c>
      <c r="AA1523">
        <v>1</v>
      </c>
      <c r="AB1523" s="13" t="s">
        <v>581</v>
      </c>
      <c r="AC1523">
        <v>0</v>
      </c>
      <c r="AD1523">
        <v>0</v>
      </c>
      <c r="AE1523" s="13" t="s">
        <v>61</v>
      </c>
    </row>
    <row r="1524" spans="1:31" x14ac:dyDescent="0.35">
      <c r="A1524" s="13" t="s">
        <v>2298</v>
      </c>
      <c r="B1524" s="13" t="s">
        <v>1358</v>
      </c>
      <c r="C1524" s="13" t="s">
        <v>1359</v>
      </c>
      <c r="D1524" s="13" t="s">
        <v>76</v>
      </c>
      <c r="E1524" s="13" t="s">
        <v>71</v>
      </c>
      <c r="F1524" s="13" t="s">
        <v>72</v>
      </c>
      <c r="G1524" s="13" t="s">
        <v>92</v>
      </c>
      <c r="H1524">
        <v>105000</v>
      </c>
      <c r="I1524" s="13" t="s">
        <v>79</v>
      </c>
      <c r="J1524" s="13" t="s">
        <v>80</v>
      </c>
      <c r="K1524" s="13" t="s">
        <v>81</v>
      </c>
      <c r="L1524" s="13" t="s">
        <v>95</v>
      </c>
      <c r="M1524">
        <v>30</v>
      </c>
      <c r="N1524">
        <v>0</v>
      </c>
      <c r="O1524" s="14">
        <v>46001</v>
      </c>
      <c r="P1524" s="14">
        <v>46031</v>
      </c>
      <c r="Q1524">
        <v>3580.79</v>
      </c>
      <c r="R1524">
        <v>0</v>
      </c>
      <c r="S1524">
        <v>0</v>
      </c>
      <c r="T1524">
        <v>0</v>
      </c>
      <c r="U1524">
        <v>0</v>
      </c>
      <c r="V1524">
        <v>3580.79</v>
      </c>
      <c r="W1524">
        <v>0</v>
      </c>
      <c r="X1524">
        <v>1</v>
      </c>
      <c r="Y1524">
        <v>0</v>
      </c>
      <c r="Z1524">
        <v>-9</v>
      </c>
      <c r="AA1524">
        <v>1</v>
      </c>
      <c r="AB1524" s="13" t="s">
        <v>581</v>
      </c>
      <c r="AC1524">
        <v>0</v>
      </c>
      <c r="AD1524">
        <v>1</v>
      </c>
      <c r="AE1524" s="13" t="s">
        <v>348</v>
      </c>
    </row>
    <row r="1525" spans="1:31" x14ac:dyDescent="0.35">
      <c r="A1525" s="13" t="s">
        <v>2299</v>
      </c>
      <c r="B1525" s="13" t="s">
        <v>197</v>
      </c>
      <c r="C1525" s="13" t="s">
        <v>198</v>
      </c>
      <c r="D1525" s="13" t="s">
        <v>76</v>
      </c>
      <c r="E1525" s="13" t="s">
        <v>53</v>
      </c>
      <c r="F1525" s="13" t="s">
        <v>135</v>
      </c>
      <c r="G1525" s="13" t="s">
        <v>67</v>
      </c>
      <c r="H1525">
        <v>105000</v>
      </c>
      <c r="I1525" s="13" t="s">
        <v>79</v>
      </c>
      <c r="J1525" s="13" t="s">
        <v>80</v>
      </c>
      <c r="K1525" s="13" t="s">
        <v>81</v>
      </c>
      <c r="L1525" s="13" t="s">
        <v>95</v>
      </c>
      <c r="M1525">
        <v>30</v>
      </c>
      <c r="N1525">
        <v>0</v>
      </c>
      <c r="O1525" s="14">
        <v>46001</v>
      </c>
      <c r="P1525" s="14">
        <v>46031</v>
      </c>
      <c r="Q1525">
        <v>3005.85</v>
      </c>
      <c r="R1525">
        <v>0</v>
      </c>
      <c r="S1525">
        <v>0</v>
      </c>
      <c r="T1525">
        <v>0</v>
      </c>
      <c r="U1525">
        <v>0</v>
      </c>
      <c r="V1525">
        <v>3005.85</v>
      </c>
      <c r="W1525">
        <v>0</v>
      </c>
      <c r="X1525">
        <v>1</v>
      </c>
      <c r="Y1525">
        <v>0</v>
      </c>
      <c r="Z1525">
        <v>-9</v>
      </c>
      <c r="AA1525">
        <v>1</v>
      </c>
      <c r="AB1525" s="13" t="s">
        <v>581</v>
      </c>
      <c r="AC1525">
        <v>0</v>
      </c>
      <c r="AD1525">
        <v>0</v>
      </c>
      <c r="AE1525" s="13" t="s">
        <v>61</v>
      </c>
    </row>
    <row r="1526" spans="1:31" x14ac:dyDescent="0.35">
      <c r="A1526" s="13" t="s">
        <v>2300</v>
      </c>
      <c r="B1526" s="13" t="s">
        <v>244</v>
      </c>
      <c r="C1526" s="13" t="s">
        <v>245</v>
      </c>
      <c r="D1526" s="13" t="s">
        <v>52</v>
      </c>
      <c r="E1526" s="13" t="s">
        <v>65</v>
      </c>
      <c r="F1526" s="13" t="s">
        <v>111</v>
      </c>
      <c r="G1526" s="13" t="s">
        <v>55</v>
      </c>
      <c r="H1526">
        <v>590000</v>
      </c>
      <c r="I1526" s="13" t="s">
        <v>86</v>
      </c>
      <c r="J1526" s="13" t="s">
        <v>87</v>
      </c>
      <c r="K1526" s="13" t="s">
        <v>58</v>
      </c>
      <c r="L1526" s="13" t="s">
        <v>59</v>
      </c>
      <c r="M1526">
        <v>45</v>
      </c>
      <c r="N1526">
        <v>0</v>
      </c>
      <c r="O1526" s="14">
        <v>46001</v>
      </c>
      <c r="P1526" s="14">
        <v>46046</v>
      </c>
      <c r="Q1526">
        <v>1749.14</v>
      </c>
      <c r="R1526">
        <v>0</v>
      </c>
      <c r="S1526">
        <v>0</v>
      </c>
      <c r="T1526">
        <v>0</v>
      </c>
      <c r="U1526">
        <v>0</v>
      </c>
      <c r="V1526">
        <v>1749.14</v>
      </c>
      <c r="W1526">
        <v>0</v>
      </c>
      <c r="X1526">
        <v>1</v>
      </c>
      <c r="Y1526">
        <v>0</v>
      </c>
      <c r="Z1526">
        <v>-24</v>
      </c>
      <c r="AA1526">
        <v>1</v>
      </c>
      <c r="AB1526" s="13" t="s">
        <v>581</v>
      </c>
      <c r="AC1526">
        <v>0</v>
      </c>
      <c r="AD1526">
        <v>0</v>
      </c>
      <c r="AE1526" s="13" t="s">
        <v>61</v>
      </c>
    </row>
    <row r="1527" spans="1:31" x14ac:dyDescent="0.35">
      <c r="A1527" s="13" t="s">
        <v>2301</v>
      </c>
      <c r="B1527" s="13" t="s">
        <v>1999</v>
      </c>
      <c r="C1527" s="13" t="s">
        <v>2000</v>
      </c>
      <c r="D1527" s="13" t="s">
        <v>76</v>
      </c>
      <c r="E1527" s="13" t="s">
        <v>71</v>
      </c>
      <c r="F1527" s="13" t="s">
        <v>214</v>
      </c>
      <c r="G1527" s="13" t="s">
        <v>67</v>
      </c>
      <c r="H1527">
        <v>30000</v>
      </c>
      <c r="I1527" s="13" t="s">
        <v>79</v>
      </c>
      <c r="J1527" s="13" t="s">
        <v>80</v>
      </c>
      <c r="K1527" s="13" t="s">
        <v>81</v>
      </c>
      <c r="L1527" s="13" t="s">
        <v>95</v>
      </c>
      <c r="M1527">
        <v>30</v>
      </c>
      <c r="N1527">
        <v>0</v>
      </c>
      <c r="O1527" s="14">
        <v>46001</v>
      </c>
      <c r="P1527" s="14">
        <v>46031</v>
      </c>
      <c r="Q1527">
        <v>4886.67</v>
      </c>
      <c r="R1527">
        <v>0</v>
      </c>
      <c r="S1527">
        <v>0</v>
      </c>
      <c r="T1527">
        <v>0</v>
      </c>
      <c r="U1527">
        <v>0</v>
      </c>
      <c r="V1527">
        <v>4886.67</v>
      </c>
      <c r="W1527">
        <v>0</v>
      </c>
      <c r="X1527">
        <v>1</v>
      </c>
      <c r="Y1527">
        <v>0</v>
      </c>
      <c r="Z1527">
        <v>-9</v>
      </c>
      <c r="AA1527">
        <v>1</v>
      </c>
      <c r="AB1527" s="13" t="s">
        <v>581</v>
      </c>
      <c r="AC1527">
        <v>0</v>
      </c>
      <c r="AD1527">
        <v>0</v>
      </c>
      <c r="AE1527" s="13" t="s">
        <v>61</v>
      </c>
    </row>
    <row r="1528" spans="1:31" x14ac:dyDescent="0.35">
      <c r="A1528" s="13" t="s">
        <v>2302</v>
      </c>
      <c r="B1528" s="13" t="s">
        <v>203</v>
      </c>
      <c r="C1528" s="13" t="s">
        <v>204</v>
      </c>
      <c r="D1528" s="13" t="s">
        <v>52</v>
      </c>
      <c r="E1528" s="13" t="s">
        <v>53</v>
      </c>
      <c r="F1528" s="13" t="s">
        <v>135</v>
      </c>
      <c r="G1528" s="13" t="s">
        <v>67</v>
      </c>
      <c r="H1528">
        <v>500000</v>
      </c>
      <c r="I1528" s="13" t="s">
        <v>56</v>
      </c>
      <c r="J1528" s="13" t="s">
        <v>57</v>
      </c>
      <c r="K1528" s="13" t="s">
        <v>58</v>
      </c>
      <c r="L1528" s="13" t="s">
        <v>59</v>
      </c>
      <c r="M1528">
        <v>45</v>
      </c>
      <c r="N1528">
        <v>0</v>
      </c>
      <c r="O1528" s="14">
        <v>46001</v>
      </c>
      <c r="P1528" s="14">
        <v>46046</v>
      </c>
      <c r="Q1528">
        <v>5062.6099999999997</v>
      </c>
      <c r="R1528">
        <v>0</v>
      </c>
      <c r="S1528">
        <v>0</v>
      </c>
      <c r="T1528">
        <v>0</v>
      </c>
      <c r="U1528">
        <v>0</v>
      </c>
      <c r="V1528">
        <v>5062.6099999999997</v>
      </c>
      <c r="W1528">
        <v>0</v>
      </c>
      <c r="X1528">
        <v>1</v>
      </c>
      <c r="Y1528">
        <v>0</v>
      </c>
      <c r="Z1528">
        <v>-24</v>
      </c>
      <c r="AA1528">
        <v>1</v>
      </c>
      <c r="AB1528" s="13" t="s">
        <v>581</v>
      </c>
      <c r="AC1528">
        <v>0</v>
      </c>
      <c r="AD1528">
        <v>0</v>
      </c>
      <c r="AE1528" s="13" t="s">
        <v>61</v>
      </c>
    </row>
    <row r="1529" spans="1:31" x14ac:dyDescent="0.35">
      <c r="A1529" s="13" t="s">
        <v>2303</v>
      </c>
      <c r="B1529" s="13" t="s">
        <v>702</v>
      </c>
      <c r="C1529" s="13" t="s">
        <v>703</v>
      </c>
      <c r="D1529" s="13" t="s">
        <v>52</v>
      </c>
      <c r="E1529" s="13" t="s">
        <v>65</v>
      </c>
      <c r="F1529" s="13" t="s">
        <v>111</v>
      </c>
      <c r="G1529" s="13" t="s">
        <v>67</v>
      </c>
      <c r="H1529">
        <v>435000</v>
      </c>
      <c r="I1529" s="13" t="s">
        <v>86</v>
      </c>
      <c r="J1529" s="13" t="s">
        <v>87</v>
      </c>
      <c r="K1529" s="13" t="s">
        <v>58</v>
      </c>
      <c r="L1529" s="13" t="s">
        <v>59</v>
      </c>
      <c r="M1529">
        <v>45</v>
      </c>
      <c r="N1529">
        <v>0</v>
      </c>
      <c r="O1529" s="14">
        <v>46001</v>
      </c>
      <c r="P1529" s="14">
        <v>46046</v>
      </c>
      <c r="Q1529">
        <v>11276.16</v>
      </c>
      <c r="R1529">
        <v>0</v>
      </c>
      <c r="S1529">
        <v>0</v>
      </c>
      <c r="T1529">
        <v>0</v>
      </c>
      <c r="U1529">
        <v>0</v>
      </c>
      <c r="V1529">
        <v>11276.16</v>
      </c>
      <c r="W1529">
        <v>0</v>
      </c>
      <c r="X1529">
        <v>1</v>
      </c>
      <c r="Y1529">
        <v>0</v>
      </c>
      <c r="Z1529">
        <v>-24</v>
      </c>
      <c r="AA1529">
        <v>1</v>
      </c>
      <c r="AB1529" s="13" t="s">
        <v>581</v>
      </c>
      <c r="AC1529">
        <v>0</v>
      </c>
      <c r="AD1529">
        <v>0</v>
      </c>
      <c r="AE1529" s="13" t="s">
        <v>61</v>
      </c>
    </row>
    <row r="1530" spans="1:31" x14ac:dyDescent="0.35">
      <c r="A1530" s="13" t="s">
        <v>2304</v>
      </c>
      <c r="B1530" s="13" t="s">
        <v>1288</v>
      </c>
      <c r="C1530" s="13" t="s">
        <v>1289</v>
      </c>
      <c r="D1530" s="13" t="s">
        <v>52</v>
      </c>
      <c r="E1530" s="13" t="s">
        <v>65</v>
      </c>
      <c r="F1530" s="13" t="s">
        <v>111</v>
      </c>
      <c r="G1530" s="13" t="s">
        <v>67</v>
      </c>
      <c r="H1530">
        <v>550000</v>
      </c>
      <c r="I1530" s="13" t="s">
        <v>56</v>
      </c>
      <c r="J1530" s="13" t="s">
        <v>57</v>
      </c>
      <c r="K1530" s="13" t="s">
        <v>58</v>
      </c>
      <c r="L1530" s="13" t="s">
        <v>59</v>
      </c>
      <c r="M1530">
        <v>45</v>
      </c>
      <c r="N1530">
        <v>0</v>
      </c>
      <c r="O1530" s="14">
        <v>46001</v>
      </c>
      <c r="P1530" s="14">
        <v>46046</v>
      </c>
      <c r="Q1530">
        <v>2746.8</v>
      </c>
      <c r="R1530">
        <v>0</v>
      </c>
      <c r="S1530">
        <v>0</v>
      </c>
      <c r="T1530">
        <v>0</v>
      </c>
      <c r="U1530">
        <v>0</v>
      </c>
      <c r="V1530">
        <v>2746.8</v>
      </c>
      <c r="W1530">
        <v>0</v>
      </c>
      <c r="X1530">
        <v>1</v>
      </c>
      <c r="Y1530">
        <v>0</v>
      </c>
      <c r="Z1530">
        <v>-24</v>
      </c>
      <c r="AA1530">
        <v>1</v>
      </c>
      <c r="AB1530" s="13" t="s">
        <v>581</v>
      </c>
      <c r="AC1530">
        <v>0</v>
      </c>
      <c r="AD1530">
        <v>0</v>
      </c>
      <c r="AE1530" s="13" t="s">
        <v>61</v>
      </c>
    </row>
    <row r="1531" spans="1:31" x14ac:dyDescent="0.35">
      <c r="A1531" s="13" t="s">
        <v>2305</v>
      </c>
      <c r="B1531" s="13" t="s">
        <v>1648</v>
      </c>
      <c r="C1531" s="13" t="s">
        <v>1649</v>
      </c>
      <c r="D1531" s="13" t="s">
        <v>52</v>
      </c>
      <c r="E1531" s="13" t="s">
        <v>65</v>
      </c>
      <c r="F1531" s="13" t="s">
        <v>111</v>
      </c>
      <c r="G1531" s="13" t="s">
        <v>67</v>
      </c>
      <c r="H1531">
        <v>230000</v>
      </c>
      <c r="I1531" s="13" t="s">
        <v>86</v>
      </c>
      <c r="J1531" s="13" t="s">
        <v>87</v>
      </c>
      <c r="K1531" s="13" t="s">
        <v>58</v>
      </c>
      <c r="L1531" s="13" t="s">
        <v>59</v>
      </c>
      <c r="M1531">
        <v>45</v>
      </c>
      <c r="N1531">
        <v>0</v>
      </c>
      <c r="O1531" s="14">
        <v>46001</v>
      </c>
      <c r="P1531" s="14">
        <v>46046</v>
      </c>
      <c r="Q1531">
        <v>15105.75</v>
      </c>
      <c r="R1531">
        <v>0</v>
      </c>
      <c r="S1531">
        <v>0</v>
      </c>
      <c r="T1531">
        <v>0</v>
      </c>
      <c r="U1531">
        <v>0</v>
      </c>
      <c r="V1531">
        <v>15105.75</v>
      </c>
      <c r="W1531">
        <v>0</v>
      </c>
      <c r="X1531">
        <v>1</v>
      </c>
      <c r="Y1531">
        <v>0</v>
      </c>
      <c r="Z1531">
        <v>-24</v>
      </c>
      <c r="AA1531">
        <v>1</v>
      </c>
      <c r="AB1531" s="13" t="s">
        <v>581</v>
      </c>
      <c r="AC1531">
        <v>0</v>
      </c>
      <c r="AD1531">
        <v>1</v>
      </c>
      <c r="AE1531" s="13" t="s">
        <v>377</v>
      </c>
    </row>
    <row r="1532" spans="1:31" x14ac:dyDescent="0.35">
      <c r="A1532" s="13" t="s">
        <v>2306</v>
      </c>
      <c r="B1532" s="13" t="s">
        <v>2193</v>
      </c>
      <c r="C1532" s="13" t="s">
        <v>2194</v>
      </c>
      <c r="D1532" s="13" t="s">
        <v>104</v>
      </c>
      <c r="E1532" s="13" t="s">
        <v>99</v>
      </c>
      <c r="F1532" s="13" t="s">
        <v>100</v>
      </c>
      <c r="G1532" s="13" t="s">
        <v>55</v>
      </c>
      <c r="H1532">
        <v>45000</v>
      </c>
      <c r="I1532" s="13" t="s">
        <v>121</v>
      </c>
      <c r="J1532" s="13" t="s">
        <v>122</v>
      </c>
      <c r="K1532" s="13" t="s">
        <v>107</v>
      </c>
      <c r="L1532" s="13" t="s">
        <v>95</v>
      </c>
      <c r="M1532">
        <v>30</v>
      </c>
      <c r="N1532">
        <v>0</v>
      </c>
      <c r="O1532" s="14">
        <v>46001</v>
      </c>
      <c r="P1532" s="14">
        <v>46031</v>
      </c>
      <c r="Q1532">
        <v>2378.9299999999998</v>
      </c>
      <c r="R1532">
        <v>0</v>
      </c>
      <c r="S1532">
        <v>0</v>
      </c>
      <c r="T1532">
        <v>0</v>
      </c>
      <c r="U1532">
        <v>0</v>
      </c>
      <c r="V1532">
        <v>2378.9299999999998</v>
      </c>
      <c r="W1532">
        <v>0</v>
      </c>
      <c r="X1532">
        <v>1</v>
      </c>
      <c r="Y1532">
        <v>0</v>
      </c>
      <c r="Z1532">
        <v>-9</v>
      </c>
      <c r="AA1532">
        <v>1</v>
      </c>
      <c r="AB1532" s="13" t="s">
        <v>581</v>
      </c>
      <c r="AC1532">
        <v>0</v>
      </c>
      <c r="AD1532">
        <v>0</v>
      </c>
      <c r="AE1532" s="13" t="s">
        <v>61</v>
      </c>
    </row>
    <row r="1533" spans="1:31" x14ac:dyDescent="0.35">
      <c r="A1533" s="13" t="s">
        <v>2307</v>
      </c>
      <c r="B1533" s="13" t="s">
        <v>1241</v>
      </c>
      <c r="C1533" s="13" t="s">
        <v>1242</v>
      </c>
      <c r="D1533" s="13" t="s">
        <v>76</v>
      </c>
      <c r="E1533" s="13" t="s">
        <v>65</v>
      </c>
      <c r="F1533" s="13" t="s">
        <v>111</v>
      </c>
      <c r="G1533" s="13" t="s">
        <v>55</v>
      </c>
      <c r="H1533">
        <v>45000</v>
      </c>
      <c r="I1533" s="13" t="s">
        <v>93</v>
      </c>
      <c r="J1533" s="13" t="s">
        <v>94</v>
      </c>
      <c r="K1533" s="13" t="s">
        <v>81</v>
      </c>
      <c r="L1533" s="13" t="s">
        <v>95</v>
      </c>
      <c r="M1533">
        <v>30</v>
      </c>
      <c r="N1533">
        <v>0</v>
      </c>
      <c r="O1533" s="14">
        <v>46001</v>
      </c>
      <c r="P1533" s="14">
        <v>46031</v>
      </c>
      <c r="Q1533">
        <v>1263.3900000000001</v>
      </c>
      <c r="R1533">
        <v>0</v>
      </c>
      <c r="S1533">
        <v>0</v>
      </c>
      <c r="T1533">
        <v>0</v>
      </c>
      <c r="U1533">
        <v>0</v>
      </c>
      <c r="V1533">
        <v>1263.3900000000001</v>
      </c>
      <c r="W1533">
        <v>0</v>
      </c>
      <c r="X1533">
        <v>1</v>
      </c>
      <c r="Y1533">
        <v>0</v>
      </c>
      <c r="Z1533">
        <v>-9</v>
      </c>
      <c r="AA1533">
        <v>1</v>
      </c>
      <c r="AB1533" s="13" t="s">
        <v>581</v>
      </c>
      <c r="AC1533">
        <v>0</v>
      </c>
      <c r="AD1533">
        <v>0</v>
      </c>
      <c r="AE1533" s="13" t="s">
        <v>61</v>
      </c>
    </row>
    <row r="1534" spans="1:31" x14ac:dyDescent="0.35">
      <c r="A1534" s="13" t="s">
        <v>2308</v>
      </c>
      <c r="B1534" s="13" t="s">
        <v>137</v>
      </c>
      <c r="C1534" s="13" t="s">
        <v>138</v>
      </c>
      <c r="D1534" s="13" t="s">
        <v>52</v>
      </c>
      <c r="E1534" s="13" t="s">
        <v>53</v>
      </c>
      <c r="F1534" s="13" t="s">
        <v>135</v>
      </c>
      <c r="G1534" s="13" t="s">
        <v>92</v>
      </c>
      <c r="H1534">
        <v>355000</v>
      </c>
      <c r="I1534" s="13" t="s">
        <v>56</v>
      </c>
      <c r="J1534" s="13" t="s">
        <v>57</v>
      </c>
      <c r="K1534" s="13" t="s">
        <v>58</v>
      </c>
      <c r="L1534" s="13" t="s">
        <v>88</v>
      </c>
      <c r="M1534">
        <v>60</v>
      </c>
      <c r="N1534">
        <v>0</v>
      </c>
      <c r="O1534" s="14">
        <v>46001</v>
      </c>
      <c r="P1534" s="14">
        <v>46061</v>
      </c>
      <c r="Q1534">
        <v>13342.71</v>
      </c>
      <c r="R1534">
        <v>0</v>
      </c>
      <c r="S1534">
        <v>0</v>
      </c>
      <c r="T1534">
        <v>0</v>
      </c>
      <c r="U1534">
        <v>0</v>
      </c>
      <c r="V1534">
        <v>13342.71</v>
      </c>
      <c r="W1534">
        <v>0</v>
      </c>
      <c r="X1534">
        <v>1</v>
      </c>
      <c r="Y1534">
        <v>0</v>
      </c>
      <c r="Z1534">
        <v>-39</v>
      </c>
      <c r="AA1534">
        <v>1</v>
      </c>
      <c r="AB1534" s="13" t="s">
        <v>581</v>
      </c>
      <c r="AC1534">
        <v>0</v>
      </c>
      <c r="AD1534">
        <v>0</v>
      </c>
      <c r="AE1534" s="13" t="s">
        <v>61</v>
      </c>
    </row>
    <row r="1535" spans="1:31" x14ac:dyDescent="0.35">
      <c r="A1535" s="13" t="s">
        <v>2309</v>
      </c>
      <c r="B1535" s="13" t="s">
        <v>1553</v>
      </c>
      <c r="C1535" s="13" t="s">
        <v>1554</v>
      </c>
      <c r="D1535" s="13" t="s">
        <v>76</v>
      </c>
      <c r="E1535" s="13" t="s">
        <v>53</v>
      </c>
      <c r="F1535" s="13" t="s">
        <v>135</v>
      </c>
      <c r="G1535" s="13" t="s">
        <v>55</v>
      </c>
      <c r="H1535">
        <v>95000</v>
      </c>
      <c r="I1535" s="13" t="s">
        <v>79</v>
      </c>
      <c r="J1535" s="13" t="s">
        <v>80</v>
      </c>
      <c r="K1535" s="13" t="s">
        <v>81</v>
      </c>
      <c r="L1535" s="13" t="s">
        <v>95</v>
      </c>
      <c r="M1535">
        <v>30</v>
      </c>
      <c r="N1535">
        <v>0</v>
      </c>
      <c r="O1535" s="14">
        <v>46001</v>
      </c>
      <c r="P1535" s="14">
        <v>46031</v>
      </c>
      <c r="Q1535">
        <v>3782.7</v>
      </c>
      <c r="R1535">
        <v>0</v>
      </c>
      <c r="S1535">
        <v>0</v>
      </c>
      <c r="T1535">
        <v>0</v>
      </c>
      <c r="U1535">
        <v>0</v>
      </c>
      <c r="V1535">
        <v>3782.7</v>
      </c>
      <c r="W1535">
        <v>0</v>
      </c>
      <c r="X1535">
        <v>1</v>
      </c>
      <c r="Y1535">
        <v>0</v>
      </c>
      <c r="Z1535">
        <v>-9</v>
      </c>
      <c r="AA1535">
        <v>1</v>
      </c>
      <c r="AB1535" s="13" t="s">
        <v>581</v>
      </c>
      <c r="AC1535">
        <v>0</v>
      </c>
      <c r="AD1535">
        <v>0</v>
      </c>
      <c r="AE1535" s="13" t="s">
        <v>61</v>
      </c>
    </row>
    <row r="1536" spans="1:31" x14ac:dyDescent="0.35">
      <c r="A1536" s="13" t="s">
        <v>2310</v>
      </c>
      <c r="B1536" s="13" t="s">
        <v>2123</v>
      </c>
      <c r="C1536" s="13" t="s">
        <v>2124</v>
      </c>
      <c r="D1536" s="13" t="s">
        <v>76</v>
      </c>
      <c r="E1536" s="13" t="s">
        <v>71</v>
      </c>
      <c r="F1536" s="13" t="s">
        <v>72</v>
      </c>
      <c r="G1536" s="13" t="s">
        <v>67</v>
      </c>
      <c r="H1536">
        <v>45000</v>
      </c>
      <c r="I1536" s="13" t="s">
        <v>93</v>
      </c>
      <c r="J1536" s="13" t="s">
        <v>94</v>
      </c>
      <c r="K1536" s="13" t="s">
        <v>81</v>
      </c>
      <c r="L1536" s="13" t="s">
        <v>95</v>
      </c>
      <c r="M1536">
        <v>30</v>
      </c>
      <c r="N1536">
        <v>0</v>
      </c>
      <c r="O1536" s="14">
        <v>46001</v>
      </c>
      <c r="P1536" s="14">
        <v>46031</v>
      </c>
      <c r="Q1536">
        <v>4725.33</v>
      </c>
      <c r="R1536">
        <v>0</v>
      </c>
      <c r="S1536">
        <v>0</v>
      </c>
      <c r="T1536">
        <v>0</v>
      </c>
      <c r="U1536">
        <v>0</v>
      </c>
      <c r="V1536">
        <v>4725.33</v>
      </c>
      <c r="W1536">
        <v>0</v>
      </c>
      <c r="X1536">
        <v>1</v>
      </c>
      <c r="Y1536">
        <v>0</v>
      </c>
      <c r="Z1536">
        <v>-9</v>
      </c>
      <c r="AA1536">
        <v>1</v>
      </c>
      <c r="AB1536" s="13" t="s">
        <v>581</v>
      </c>
      <c r="AC1536">
        <v>0</v>
      </c>
      <c r="AD1536">
        <v>0</v>
      </c>
      <c r="AE1536" s="13" t="s">
        <v>61</v>
      </c>
    </row>
    <row r="1537" spans="1:31" x14ac:dyDescent="0.35">
      <c r="A1537" s="13" t="s">
        <v>2311</v>
      </c>
      <c r="B1537" s="13" t="s">
        <v>2312</v>
      </c>
      <c r="C1537" s="13" t="s">
        <v>2313</v>
      </c>
      <c r="D1537" s="13" t="s">
        <v>76</v>
      </c>
      <c r="E1537" s="13" t="s">
        <v>71</v>
      </c>
      <c r="F1537" s="13" t="s">
        <v>72</v>
      </c>
      <c r="G1537" s="13" t="s">
        <v>67</v>
      </c>
      <c r="H1537">
        <v>90000</v>
      </c>
      <c r="I1537" s="13" t="s">
        <v>79</v>
      </c>
      <c r="J1537" s="13" t="s">
        <v>80</v>
      </c>
      <c r="K1537" s="13" t="s">
        <v>81</v>
      </c>
      <c r="L1537" s="13" t="s">
        <v>95</v>
      </c>
      <c r="M1537">
        <v>30</v>
      </c>
      <c r="N1537">
        <v>0</v>
      </c>
      <c r="O1537" s="14">
        <v>46001</v>
      </c>
      <c r="P1537" s="14">
        <v>46031</v>
      </c>
      <c r="Q1537">
        <v>1518.86</v>
      </c>
      <c r="R1537">
        <v>0</v>
      </c>
      <c r="S1537">
        <v>0</v>
      </c>
      <c r="T1537">
        <v>0</v>
      </c>
      <c r="U1537">
        <v>0</v>
      </c>
      <c r="V1537">
        <v>1518.86</v>
      </c>
      <c r="W1537">
        <v>0</v>
      </c>
      <c r="X1537">
        <v>1</v>
      </c>
      <c r="Y1537">
        <v>0</v>
      </c>
      <c r="Z1537">
        <v>-9</v>
      </c>
      <c r="AA1537">
        <v>1</v>
      </c>
      <c r="AB1537" s="13" t="s">
        <v>581</v>
      </c>
      <c r="AC1537">
        <v>0</v>
      </c>
      <c r="AD1537">
        <v>0</v>
      </c>
      <c r="AE1537" s="13" t="s">
        <v>61</v>
      </c>
    </row>
    <row r="1538" spans="1:31" x14ac:dyDescent="0.35">
      <c r="A1538" s="13" t="s">
        <v>2314</v>
      </c>
      <c r="B1538" s="13" t="s">
        <v>393</v>
      </c>
      <c r="C1538" s="13" t="s">
        <v>394</v>
      </c>
      <c r="D1538" s="13" t="s">
        <v>76</v>
      </c>
      <c r="E1538" s="13" t="s">
        <v>65</v>
      </c>
      <c r="F1538" s="13" t="s">
        <v>66</v>
      </c>
      <c r="G1538" s="13" t="s">
        <v>55</v>
      </c>
      <c r="H1538">
        <v>50000</v>
      </c>
      <c r="I1538" s="13" t="s">
        <v>93</v>
      </c>
      <c r="J1538" s="13" t="s">
        <v>94</v>
      </c>
      <c r="K1538" s="13" t="s">
        <v>81</v>
      </c>
      <c r="L1538" s="13" t="s">
        <v>95</v>
      </c>
      <c r="M1538">
        <v>30</v>
      </c>
      <c r="N1538">
        <v>0</v>
      </c>
      <c r="O1538" s="14">
        <v>46001</v>
      </c>
      <c r="P1538" s="14">
        <v>46031</v>
      </c>
      <c r="Q1538">
        <v>3098.04</v>
      </c>
      <c r="R1538">
        <v>0</v>
      </c>
      <c r="S1538">
        <v>0</v>
      </c>
      <c r="T1538">
        <v>0</v>
      </c>
      <c r="U1538">
        <v>0</v>
      </c>
      <c r="V1538">
        <v>3098.04</v>
      </c>
      <c r="W1538">
        <v>0</v>
      </c>
      <c r="X1538">
        <v>1</v>
      </c>
      <c r="Y1538">
        <v>0</v>
      </c>
      <c r="Z1538">
        <v>-9</v>
      </c>
      <c r="AA1538">
        <v>1</v>
      </c>
      <c r="AB1538" s="13" t="s">
        <v>581</v>
      </c>
      <c r="AC1538">
        <v>0</v>
      </c>
      <c r="AD1538">
        <v>0</v>
      </c>
      <c r="AE1538" s="13" t="s">
        <v>61</v>
      </c>
    </row>
    <row r="1539" spans="1:31" x14ac:dyDescent="0.35">
      <c r="A1539" s="13" t="s">
        <v>2315</v>
      </c>
      <c r="B1539" s="13" t="s">
        <v>2316</v>
      </c>
      <c r="C1539" s="13" t="s">
        <v>2317</v>
      </c>
      <c r="D1539" s="13" t="s">
        <v>76</v>
      </c>
      <c r="E1539" s="13" t="s">
        <v>71</v>
      </c>
      <c r="F1539" s="13" t="s">
        <v>214</v>
      </c>
      <c r="G1539" s="13" t="s">
        <v>67</v>
      </c>
      <c r="H1539">
        <v>85000</v>
      </c>
      <c r="I1539" s="13" t="s">
        <v>93</v>
      </c>
      <c r="J1539" s="13" t="s">
        <v>94</v>
      </c>
      <c r="K1539" s="13" t="s">
        <v>81</v>
      </c>
      <c r="L1539" s="13" t="s">
        <v>95</v>
      </c>
      <c r="M1539">
        <v>30</v>
      </c>
      <c r="N1539">
        <v>0</v>
      </c>
      <c r="O1539" s="14">
        <v>46001</v>
      </c>
      <c r="P1539" s="14">
        <v>46031</v>
      </c>
      <c r="Q1539">
        <v>3469.26</v>
      </c>
      <c r="R1539">
        <v>0</v>
      </c>
      <c r="S1539">
        <v>0</v>
      </c>
      <c r="T1539">
        <v>0</v>
      </c>
      <c r="U1539">
        <v>0</v>
      </c>
      <c r="V1539">
        <v>3469.26</v>
      </c>
      <c r="W1539">
        <v>0</v>
      </c>
      <c r="X1539">
        <v>1</v>
      </c>
      <c r="Y1539">
        <v>0</v>
      </c>
      <c r="Z1539">
        <v>-9</v>
      </c>
      <c r="AA1539">
        <v>1</v>
      </c>
      <c r="AB1539" s="13" t="s">
        <v>581</v>
      </c>
      <c r="AC1539">
        <v>0</v>
      </c>
      <c r="AD1539">
        <v>0</v>
      </c>
      <c r="AE1539" s="13" t="s">
        <v>61</v>
      </c>
    </row>
    <row r="1540" spans="1:31" x14ac:dyDescent="0.35">
      <c r="A1540" s="13" t="s">
        <v>2318</v>
      </c>
      <c r="B1540" s="13" t="s">
        <v>914</v>
      </c>
      <c r="C1540" s="13" t="s">
        <v>915</v>
      </c>
      <c r="D1540" s="13" t="s">
        <v>76</v>
      </c>
      <c r="E1540" s="13" t="s">
        <v>99</v>
      </c>
      <c r="F1540" s="13" t="s">
        <v>100</v>
      </c>
      <c r="G1540" s="13" t="s">
        <v>55</v>
      </c>
      <c r="H1540">
        <v>95000</v>
      </c>
      <c r="I1540" s="13" t="s">
        <v>93</v>
      </c>
      <c r="J1540" s="13" t="s">
        <v>94</v>
      </c>
      <c r="K1540" s="13" t="s">
        <v>81</v>
      </c>
      <c r="L1540" s="13" t="s">
        <v>95</v>
      </c>
      <c r="M1540">
        <v>30</v>
      </c>
      <c r="N1540">
        <v>0</v>
      </c>
      <c r="O1540" s="14">
        <v>46001</v>
      </c>
      <c r="P1540" s="14">
        <v>46031</v>
      </c>
      <c r="Q1540">
        <v>4072.05</v>
      </c>
      <c r="R1540">
        <v>0</v>
      </c>
      <c r="S1540">
        <v>0</v>
      </c>
      <c r="T1540">
        <v>0</v>
      </c>
      <c r="U1540">
        <v>0</v>
      </c>
      <c r="V1540">
        <v>4072.05</v>
      </c>
      <c r="W1540">
        <v>0</v>
      </c>
      <c r="X1540">
        <v>1</v>
      </c>
      <c r="Y1540">
        <v>0</v>
      </c>
      <c r="Z1540">
        <v>-9</v>
      </c>
      <c r="AA1540">
        <v>1</v>
      </c>
      <c r="AB1540" s="13" t="s">
        <v>581</v>
      </c>
      <c r="AC1540">
        <v>0</v>
      </c>
      <c r="AD1540">
        <v>0</v>
      </c>
      <c r="AE1540" s="13" t="s">
        <v>61</v>
      </c>
    </row>
    <row r="1541" spans="1:31" x14ac:dyDescent="0.35">
      <c r="A1541" s="13" t="s">
        <v>2319</v>
      </c>
      <c r="B1541" s="13" t="s">
        <v>1467</v>
      </c>
      <c r="C1541" s="13" t="s">
        <v>1468</v>
      </c>
      <c r="D1541" s="13" t="s">
        <v>104</v>
      </c>
      <c r="E1541" s="13" t="s">
        <v>99</v>
      </c>
      <c r="F1541" s="13" t="s">
        <v>127</v>
      </c>
      <c r="G1541" s="13" t="s">
        <v>55</v>
      </c>
      <c r="H1541">
        <v>135000</v>
      </c>
      <c r="I1541" s="13" t="s">
        <v>121</v>
      </c>
      <c r="J1541" s="13" t="s">
        <v>122</v>
      </c>
      <c r="K1541" s="13" t="s">
        <v>107</v>
      </c>
      <c r="L1541" s="13" t="s">
        <v>95</v>
      </c>
      <c r="M1541">
        <v>30</v>
      </c>
      <c r="N1541">
        <v>0</v>
      </c>
      <c r="O1541" s="14">
        <v>46001</v>
      </c>
      <c r="P1541" s="14">
        <v>46031</v>
      </c>
      <c r="Q1541">
        <v>1768.75</v>
      </c>
      <c r="R1541">
        <v>0</v>
      </c>
      <c r="S1541">
        <v>0</v>
      </c>
      <c r="T1541">
        <v>0</v>
      </c>
      <c r="U1541">
        <v>0</v>
      </c>
      <c r="V1541">
        <v>1768.75</v>
      </c>
      <c r="W1541">
        <v>0</v>
      </c>
      <c r="X1541">
        <v>1</v>
      </c>
      <c r="Y1541">
        <v>0</v>
      </c>
      <c r="Z1541">
        <v>-9</v>
      </c>
      <c r="AA1541">
        <v>1</v>
      </c>
      <c r="AB1541" s="13" t="s">
        <v>581</v>
      </c>
      <c r="AC1541">
        <v>0</v>
      </c>
      <c r="AD1541">
        <v>0</v>
      </c>
      <c r="AE1541" s="13" t="s">
        <v>61</v>
      </c>
    </row>
    <row r="1542" spans="1:31" x14ac:dyDescent="0.35">
      <c r="A1542" s="13" t="s">
        <v>2320</v>
      </c>
      <c r="B1542" s="13" t="s">
        <v>834</v>
      </c>
      <c r="C1542" s="13" t="s">
        <v>835</v>
      </c>
      <c r="D1542" s="13" t="s">
        <v>104</v>
      </c>
      <c r="E1542" s="13" t="s">
        <v>77</v>
      </c>
      <c r="F1542" s="13" t="s">
        <v>174</v>
      </c>
      <c r="G1542" s="13" t="s">
        <v>67</v>
      </c>
      <c r="H1542">
        <v>140000</v>
      </c>
      <c r="I1542" s="13" t="s">
        <v>105</v>
      </c>
      <c r="J1542" s="13" t="s">
        <v>106</v>
      </c>
      <c r="K1542" s="13" t="s">
        <v>107</v>
      </c>
      <c r="L1542" s="13" t="s">
        <v>95</v>
      </c>
      <c r="M1542">
        <v>30</v>
      </c>
      <c r="N1542">
        <v>0</v>
      </c>
      <c r="O1542" s="14">
        <v>46001</v>
      </c>
      <c r="P1542" s="14">
        <v>46031</v>
      </c>
      <c r="Q1542">
        <v>7802.91</v>
      </c>
      <c r="R1542">
        <v>0</v>
      </c>
      <c r="S1542">
        <v>0</v>
      </c>
      <c r="T1542">
        <v>0</v>
      </c>
      <c r="U1542">
        <v>0</v>
      </c>
      <c r="V1542">
        <v>7802.91</v>
      </c>
      <c r="W1542">
        <v>0</v>
      </c>
      <c r="X1542">
        <v>1</v>
      </c>
      <c r="Y1542">
        <v>0</v>
      </c>
      <c r="Z1542">
        <v>-9</v>
      </c>
      <c r="AA1542">
        <v>1</v>
      </c>
      <c r="AB1542" s="13" t="s">
        <v>581</v>
      </c>
      <c r="AC1542">
        <v>0</v>
      </c>
      <c r="AD1542">
        <v>0</v>
      </c>
      <c r="AE1542" s="13" t="s">
        <v>61</v>
      </c>
    </row>
    <row r="1543" spans="1:31" x14ac:dyDescent="0.35">
      <c r="A1543" s="13" t="s">
        <v>2321</v>
      </c>
      <c r="B1543" s="13" t="s">
        <v>1307</v>
      </c>
      <c r="C1543" s="13" t="s">
        <v>1308</v>
      </c>
      <c r="D1543" s="13" t="s">
        <v>52</v>
      </c>
      <c r="E1543" s="13" t="s">
        <v>71</v>
      </c>
      <c r="F1543" s="13" t="s">
        <v>72</v>
      </c>
      <c r="G1543" s="13" t="s">
        <v>67</v>
      </c>
      <c r="H1543">
        <v>165000</v>
      </c>
      <c r="I1543" s="13" t="s">
        <v>86</v>
      </c>
      <c r="J1543" s="13" t="s">
        <v>87</v>
      </c>
      <c r="K1543" s="13" t="s">
        <v>58</v>
      </c>
      <c r="L1543" s="13" t="s">
        <v>59</v>
      </c>
      <c r="M1543">
        <v>45</v>
      </c>
      <c r="N1543">
        <v>0</v>
      </c>
      <c r="O1543" s="14">
        <v>46001</v>
      </c>
      <c r="P1543" s="14">
        <v>46046</v>
      </c>
      <c r="Q1543">
        <v>17457.14</v>
      </c>
      <c r="R1543">
        <v>0</v>
      </c>
      <c r="S1543">
        <v>0</v>
      </c>
      <c r="T1543">
        <v>0</v>
      </c>
      <c r="U1543">
        <v>0</v>
      </c>
      <c r="V1543">
        <v>17457.14</v>
      </c>
      <c r="W1543">
        <v>0</v>
      </c>
      <c r="X1543">
        <v>1</v>
      </c>
      <c r="Y1543">
        <v>0</v>
      </c>
      <c r="Z1543">
        <v>-24</v>
      </c>
      <c r="AA1543">
        <v>1</v>
      </c>
      <c r="AB1543" s="13" t="s">
        <v>581</v>
      </c>
      <c r="AC1543">
        <v>0</v>
      </c>
      <c r="AD1543">
        <v>0</v>
      </c>
      <c r="AE1543" s="13" t="s">
        <v>61</v>
      </c>
    </row>
    <row r="1544" spans="1:31" x14ac:dyDescent="0.35">
      <c r="A1544" s="13" t="s">
        <v>2322</v>
      </c>
      <c r="B1544" s="13" t="s">
        <v>2262</v>
      </c>
      <c r="C1544" s="13" t="s">
        <v>2263</v>
      </c>
      <c r="D1544" s="13" t="s">
        <v>76</v>
      </c>
      <c r="E1544" s="13" t="s">
        <v>53</v>
      </c>
      <c r="F1544" s="13" t="s">
        <v>54</v>
      </c>
      <c r="G1544" s="13" t="s">
        <v>67</v>
      </c>
      <c r="H1544">
        <v>30000</v>
      </c>
      <c r="I1544" s="13" t="s">
        <v>93</v>
      </c>
      <c r="J1544" s="13" t="s">
        <v>94</v>
      </c>
      <c r="K1544" s="13" t="s">
        <v>81</v>
      </c>
      <c r="L1544" s="13" t="s">
        <v>95</v>
      </c>
      <c r="M1544">
        <v>30</v>
      </c>
      <c r="N1544">
        <v>0</v>
      </c>
      <c r="O1544" s="14">
        <v>46001</v>
      </c>
      <c r="P1544" s="14">
        <v>46031</v>
      </c>
      <c r="Q1544">
        <v>4179.2299999999996</v>
      </c>
      <c r="R1544">
        <v>0</v>
      </c>
      <c r="S1544">
        <v>0</v>
      </c>
      <c r="T1544">
        <v>0</v>
      </c>
      <c r="U1544">
        <v>0</v>
      </c>
      <c r="V1544">
        <v>4179.2299999999996</v>
      </c>
      <c r="W1544">
        <v>0</v>
      </c>
      <c r="X1544">
        <v>1</v>
      </c>
      <c r="Y1544">
        <v>0</v>
      </c>
      <c r="Z1544">
        <v>-9</v>
      </c>
      <c r="AA1544">
        <v>1</v>
      </c>
      <c r="AB1544" s="13" t="s">
        <v>581</v>
      </c>
      <c r="AC1544">
        <v>0</v>
      </c>
      <c r="AD1544">
        <v>0</v>
      </c>
      <c r="AE1544" s="13" t="s">
        <v>61</v>
      </c>
    </row>
    <row r="1545" spans="1:31" x14ac:dyDescent="0.35">
      <c r="A1545" s="13" t="s">
        <v>2323</v>
      </c>
      <c r="B1545" s="13" t="s">
        <v>458</v>
      </c>
      <c r="C1545" s="13" t="s">
        <v>459</v>
      </c>
      <c r="D1545" s="13" t="s">
        <v>126</v>
      </c>
      <c r="E1545" s="13" t="s">
        <v>71</v>
      </c>
      <c r="F1545" s="13" t="s">
        <v>72</v>
      </c>
      <c r="G1545" s="13" t="s">
        <v>67</v>
      </c>
      <c r="H1545">
        <v>135000</v>
      </c>
      <c r="I1545" s="13" t="s">
        <v>121</v>
      </c>
      <c r="J1545" s="13" t="s">
        <v>122</v>
      </c>
      <c r="K1545" s="13" t="s">
        <v>107</v>
      </c>
      <c r="L1545" s="13" t="s">
        <v>368</v>
      </c>
      <c r="M1545">
        <v>90</v>
      </c>
      <c r="N1545">
        <v>0</v>
      </c>
      <c r="O1545" s="14">
        <v>46001</v>
      </c>
      <c r="P1545" s="14">
        <v>46091</v>
      </c>
      <c r="Q1545">
        <v>1055.17</v>
      </c>
      <c r="R1545">
        <v>0</v>
      </c>
      <c r="S1545">
        <v>0</v>
      </c>
      <c r="T1545">
        <v>0</v>
      </c>
      <c r="U1545">
        <v>0</v>
      </c>
      <c r="V1545">
        <v>1055.17</v>
      </c>
      <c r="W1545">
        <v>0</v>
      </c>
      <c r="X1545">
        <v>1</v>
      </c>
      <c r="Y1545">
        <v>0</v>
      </c>
      <c r="Z1545">
        <v>-69</v>
      </c>
      <c r="AA1545">
        <v>1</v>
      </c>
      <c r="AB1545" s="13" t="s">
        <v>581</v>
      </c>
      <c r="AC1545">
        <v>0</v>
      </c>
      <c r="AD1545">
        <v>0</v>
      </c>
      <c r="AE1545" s="13" t="s">
        <v>61</v>
      </c>
    </row>
    <row r="1546" spans="1:31" x14ac:dyDescent="0.35">
      <c r="A1546" s="13" t="s">
        <v>2324</v>
      </c>
      <c r="B1546" s="13" t="s">
        <v>920</v>
      </c>
      <c r="C1546" s="13" t="s">
        <v>921</v>
      </c>
      <c r="D1546" s="13" t="s">
        <v>104</v>
      </c>
      <c r="E1546" s="13" t="s">
        <v>99</v>
      </c>
      <c r="F1546" s="13" t="s">
        <v>100</v>
      </c>
      <c r="G1546" s="13" t="s">
        <v>92</v>
      </c>
      <c r="H1546">
        <v>100000</v>
      </c>
      <c r="I1546" s="13" t="s">
        <v>121</v>
      </c>
      <c r="J1546" s="13" t="s">
        <v>122</v>
      </c>
      <c r="K1546" s="13" t="s">
        <v>107</v>
      </c>
      <c r="L1546" s="13" t="s">
        <v>95</v>
      </c>
      <c r="M1546">
        <v>30</v>
      </c>
      <c r="N1546">
        <v>0</v>
      </c>
      <c r="O1546" s="14">
        <v>46001</v>
      </c>
      <c r="P1546" s="14">
        <v>46031</v>
      </c>
      <c r="Q1546">
        <v>1465.46</v>
      </c>
      <c r="R1546">
        <v>0</v>
      </c>
      <c r="S1546">
        <v>0</v>
      </c>
      <c r="T1546">
        <v>0</v>
      </c>
      <c r="U1546">
        <v>0</v>
      </c>
      <c r="V1546">
        <v>1465.46</v>
      </c>
      <c r="W1546">
        <v>0</v>
      </c>
      <c r="X1546">
        <v>1</v>
      </c>
      <c r="Y1546">
        <v>0</v>
      </c>
      <c r="Z1546">
        <v>-9</v>
      </c>
      <c r="AA1546">
        <v>1</v>
      </c>
      <c r="AB1546" s="13" t="s">
        <v>581</v>
      </c>
      <c r="AC1546">
        <v>0</v>
      </c>
      <c r="AD1546">
        <v>0</v>
      </c>
      <c r="AE1546" s="13" t="s">
        <v>61</v>
      </c>
    </row>
    <row r="1547" spans="1:31" x14ac:dyDescent="0.35">
      <c r="A1547" s="13" t="s">
        <v>2325</v>
      </c>
      <c r="B1547" s="13" t="s">
        <v>558</v>
      </c>
      <c r="C1547" s="13" t="s">
        <v>559</v>
      </c>
      <c r="D1547" s="13" t="s">
        <v>52</v>
      </c>
      <c r="E1547" s="13" t="s">
        <v>53</v>
      </c>
      <c r="F1547" s="13" t="s">
        <v>54</v>
      </c>
      <c r="G1547" s="13" t="s">
        <v>55</v>
      </c>
      <c r="H1547">
        <v>240000</v>
      </c>
      <c r="I1547" s="13" t="s">
        <v>56</v>
      </c>
      <c r="J1547" s="13" t="s">
        <v>57</v>
      </c>
      <c r="K1547" s="13" t="s">
        <v>58</v>
      </c>
      <c r="L1547" s="13" t="s">
        <v>59</v>
      </c>
      <c r="M1547">
        <v>45</v>
      </c>
      <c r="N1547">
        <v>0</v>
      </c>
      <c r="O1547" s="14">
        <v>46001</v>
      </c>
      <c r="P1547" s="14">
        <v>46046</v>
      </c>
      <c r="Q1547">
        <v>15908.3</v>
      </c>
      <c r="R1547">
        <v>0</v>
      </c>
      <c r="S1547">
        <v>0</v>
      </c>
      <c r="T1547">
        <v>0</v>
      </c>
      <c r="U1547">
        <v>0</v>
      </c>
      <c r="V1547">
        <v>15908.3</v>
      </c>
      <c r="W1547">
        <v>0</v>
      </c>
      <c r="X1547">
        <v>1</v>
      </c>
      <c r="Y1547">
        <v>0</v>
      </c>
      <c r="Z1547">
        <v>-24</v>
      </c>
      <c r="AA1547">
        <v>1</v>
      </c>
      <c r="AB1547" s="13" t="s">
        <v>581</v>
      </c>
      <c r="AC1547">
        <v>0</v>
      </c>
      <c r="AD1547">
        <v>1</v>
      </c>
      <c r="AE1547" s="13" t="s">
        <v>465</v>
      </c>
    </row>
    <row r="1548" spans="1:31" x14ac:dyDescent="0.35">
      <c r="A1548" s="13" t="s">
        <v>2326</v>
      </c>
      <c r="B1548" s="13" t="s">
        <v>168</v>
      </c>
      <c r="C1548" s="13" t="s">
        <v>169</v>
      </c>
      <c r="D1548" s="13" t="s">
        <v>52</v>
      </c>
      <c r="E1548" s="13" t="s">
        <v>65</v>
      </c>
      <c r="F1548" s="13" t="s">
        <v>66</v>
      </c>
      <c r="G1548" s="13" t="s">
        <v>67</v>
      </c>
      <c r="H1548">
        <v>580000</v>
      </c>
      <c r="I1548" s="13" t="s">
        <v>56</v>
      </c>
      <c r="J1548" s="13" t="s">
        <v>57</v>
      </c>
      <c r="K1548" s="13" t="s">
        <v>58</v>
      </c>
      <c r="L1548" s="13" t="s">
        <v>59</v>
      </c>
      <c r="M1548">
        <v>45</v>
      </c>
      <c r="N1548">
        <v>0</v>
      </c>
      <c r="O1548" s="14">
        <v>46001</v>
      </c>
      <c r="P1548" s="14">
        <v>46046</v>
      </c>
      <c r="Q1548">
        <v>2714.94</v>
      </c>
      <c r="R1548">
        <v>0</v>
      </c>
      <c r="S1548">
        <v>0</v>
      </c>
      <c r="T1548">
        <v>0</v>
      </c>
      <c r="U1548">
        <v>0</v>
      </c>
      <c r="V1548">
        <v>2714.94</v>
      </c>
      <c r="W1548">
        <v>0</v>
      </c>
      <c r="X1548">
        <v>1</v>
      </c>
      <c r="Y1548">
        <v>0</v>
      </c>
      <c r="Z1548">
        <v>-24</v>
      </c>
      <c r="AA1548">
        <v>1</v>
      </c>
      <c r="AB1548" s="13" t="s">
        <v>581</v>
      </c>
      <c r="AC1548">
        <v>0</v>
      </c>
      <c r="AD1548">
        <v>0</v>
      </c>
      <c r="AE1548" s="13" t="s">
        <v>61</v>
      </c>
    </row>
    <row r="1549" spans="1:31" x14ac:dyDescent="0.35">
      <c r="A1549" s="13" t="s">
        <v>2327</v>
      </c>
      <c r="B1549" s="13" t="s">
        <v>102</v>
      </c>
      <c r="C1549" s="13" t="s">
        <v>103</v>
      </c>
      <c r="D1549" s="13" t="s">
        <v>104</v>
      </c>
      <c r="E1549" s="13" t="s">
        <v>71</v>
      </c>
      <c r="F1549" s="13" t="s">
        <v>72</v>
      </c>
      <c r="G1549" s="13" t="s">
        <v>55</v>
      </c>
      <c r="H1549">
        <v>120000</v>
      </c>
      <c r="I1549" s="13" t="s">
        <v>105</v>
      </c>
      <c r="J1549" s="13" t="s">
        <v>106</v>
      </c>
      <c r="K1549" s="13" t="s">
        <v>107</v>
      </c>
      <c r="L1549" s="13" t="s">
        <v>82</v>
      </c>
      <c r="M1549">
        <v>30</v>
      </c>
      <c r="N1549">
        <v>2</v>
      </c>
      <c r="O1549" s="14">
        <v>46001</v>
      </c>
      <c r="P1549" s="14">
        <v>46031</v>
      </c>
      <c r="Q1549">
        <v>1324.61</v>
      </c>
      <c r="R1549">
        <v>0</v>
      </c>
      <c r="S1549">
        <v>0</v>
      </c>
      <c r="T1549">
        <v>0</v>
      </c>
      <c r="U1549">
        <v>0</v>
      </c>
      <c r="V1549">
        <v>1324.61</v>
      </c>
      <c r="W1549">
        <v>0</v>
      </c>
      <c r="X1549">
        <v>1</v>
      </c>
      <c r="Y1549">
        <v>0</v>
      </c>
      <c r="Z1549">
        <v>-9</v>
      </c>
      <c r="AA1549">
        <v>1</v>
      </c>
      <c r="AB1549" s="13" t="s">
        <v>581</v>
      </c>
      <c r="AC1549">
        <v>0</v>
      </c>
      <c r="AD1549">
        <v>0</v>
      </c>
      <c r="AE1549" s="13" t="s">
        <v>61</v>
      </c>
    </row>
    <row r="1550" spans="1:31" x14ac:dyDescent="0.35">
      <c r="A1550" s="13" t="s">
        <v>2328</v>
      </c>
      <c r="B1550" s="13" t="s">
        <v>1042</v>
      </c>
      <c r="C1550" s="13" t="s">
        <v>1043</v>
      </c>
      <c r="D1550" s="13" t="s">
        <v>104</v>
      </c>
      <c r="E1550" s="13" t="s">
        <v>53</v>
      </c>
      <c r="F1550" s="13" t="s">
        <v>135</v>
      </c>
      <c r="G1550" s="13" t="s">
        <v>67</v>
      </c>
      <c r="H1550">
        <v>85000</v>
      </c>
      <c r="I1550" s="13" t="s">
        <v>121</v>
      </c>
      <c r="J1550" s="13" t="s">
        <v>122</v>
      </c>
      <c r="K1550" s="13" t="s">
        <v>107</v>
      </c>
      <c r="L1550" s="13" t="s">
        <v>88</v>
      </c>
      <c r="M1550">
        <v>60</v>
      </c>
      <c r="N1550">
        <v>0</v>
      </c>
      <c r="O1550" s="14">
        <v>46001</v>
      </c>
      <c r="P1550" s="14">
        <v>46061</v>
      </c>
      <c r="Q1550">
        <v>7010.63</v>
      </c>
      <c r="R1550">
        <v>0</v>
      </c>
      <c r="S1550">
        <v>0</v>
      </c>
      <c r="T1550">
        <v>0</v>
      </c>
      <c r="U1550">
        <v>0</v>
      </c>
      <c r="V1550">
        <v>7010.63</v>
      </c>
      <c r="W1550">
        <v>0</v>
      </c>
      <c r="X1550">
        <v>1</v>
      </c>
      <c r="Y1550">
        <v>0</v>
      </c>
      <c r="Z1550">
        <v>-39</v>
      </c>
      <c r="AA1550">
        <v>1</v>
      </c>
      <c r="AB1550" s="13" t="s">
        <v>581</v>
      </c>
      <c r="AC1550">
        <v>0</v>
      </c>
      <c r="AD1550">
        <v>0</v>
      </c>
      <c r="AE1550" s="13" t="s">
        <v>61</v>
      </c>
    </row>
    <row r="1551" spans="1:31" x14ac:dyDescent="0.35">
      <c r="A1551" s="13" t="s">
        <v>2329</v>
      </c>
      <c r="B1551" s="13" t="s">
        <v>1382</v>
      </c>
      <c r="C1551" s="13" t="s">
        <v>1383</v>
      </c>
      <c r="D1551" s="13" t="s">
        <v>104</v>
      </c>
      <c r="E1551" s="13" t="s">
        <v>77</v>
      </c>
      <c r="F1551" s="13" t="s">
        <v>78</v>
      </c>
      <c r="G1551" s="13" t="s">
        <v>92</v>
      </c>
      <c r="H1551">
        <v>45000</v>
      </c>
      <c r="I1551" s="13" t="s">
        <v>105</v>
      </c>
      <c r="J1551" s="13" t="s">
        <v>106</v>
      </c>
      <c r="K1551" s="13" t="s">
        <v>107</v>
      </c>
      <c r="L1551" s="13" t="s">
        <v>95</v>
      </c>
      <c r="M1551">
        <v>30</v>
      </c>
      <c r="N1551">
        <v>0</v>
      </c>
      <c r="O1551" s="14">
        <v>46001</v>
      </c>
      <c r="P1551" s="14">
        <v>46031</v>
      </c>
      <c r="Q1551">
        <v>5205.2</v>
      </c>
      <c r="R1551">
        <v>0</v>
      </c>
      <c r="S1551">
        <v>0</v>
      </c>
      <c r="T1551">
        <v>0</v>
      </c>
      <c r="U1551">
        <v>0</v>
      </c>
      <c r="V1551">
        <v>5205.2</v>
      </c>
      <c r="W1551">
        <v>0</v>
      </c>
      <c r="X1551">
        <v>1</v>
      </c>
      <c r="Y1551">
        <v>0</v>
      </c>
      <c r="Z1551">
        <v>-9</v>
      </c>
      <c r="AA1551">
        <v>1</v>
      </c>
      <c r="AB1551" s="13" t="s">
        <v>581</v>
      </c>
      <c r="AC1551">
        <v>0</v>
      </c>
      <c r="AD1551">
        <v>0</v>
      </c>
      <c r="AE1551" s="13" t="s">
        <v>61</v>
      </c>
    </row>
    <row r="1552" spans="1:31" x14ac:dyDescent="0.35">
      <c r="A1552" s="13" t="s">
        <v>2330</v>
      </c>
      <c r="B1552" s="13" t="s">
        <v>1665</v>
      </c>
      <c r="C1552" s="13" t="s">
        <v>1666</v>
      </c>
      <c r="D1552" s="13" t="s">
        <v>76</v>
      </c>
      <c r="E1552" s="13" t="s">
        <v>77</v>
      </c>
      <c r="F1552" s="13" t="s">
        <v>78</v>
      </c>
      <c r="G1552" s="13" t="s">
        <v>55</v>
      </c>
      <c r="H1552">
        <v>65000</v>
      </c>
      <c r="I1552" s="13" t="s">
        <v>93</v>
      </c>
      <c r="J1552" s="13" t="s">
        <v>94</v>
      </c>
      <c r="K1552" s="13" t="s">
        <v>81</v>
      </c>
      <c r="L1552" s="13" t="s">
        <v>95</v>
      </c>
      <c r="M1552">
        <v>30</v>
      </c>
      <c r="N1552">
        <v>0</v>
      </c>
      <c r="O1552" s="14">
        <v>46001</v>
      </c>
      <c r="P1552" s="14">
        <v>46031</v>
      </c>
      <c r="Q1552">
        <v>538.95000000000005</v>
      </c>
      <c r="R1552">
        <v>0</v>
      </c>
      <c r="S1552">
        <v>0</v>
      </c>
      <c r="T1552">
        <v>0</v>
      </c>
      <c r="U1552">
        <v>0</v>
      </c>
      <c r="V1552">
        <v>538.95000000000005</v>
      </c>
      <c r="W1552">
        <v>0</v>
      </c>
      <c r="X1552">
        <v>1</v>
      </c>
      <c r="Y1552">
        <v>0</v>
      </c>
      <c r="Z1552">
        <v>-9</v>
      </c>
      <c r="AA1552">
        <v>1</v>
      </c>
      <c r="AB1552" s="13" t="s">
        <v>581</v>
      </c>
      <c r="AC1552">
        <v>0</v>
      </c>
      <c r="AD1552">
        <v>0</v>
      </c>
      <c r="AE1552" s="13" t="s">
        <v>61</v>
      </c>
    </row>
    <row r="1553" spans="1:31" x14ac:dyDescent="0.35">
      <c r="A1553" s="13" t="s">
        <v>2331</v>
      </c>
      <c r="B1553" s="13" t="s">
        <v>1523</v>
      </c>
      <c r="C1553" s="13" t="s">
        <v>1524</v>
      </c>
      <c r="D1553" s="13" t="s">
        <v>76</v>
      </c>
      <c r="E1553" s="13" t="s">
        <v>65</v>
      </c>
      <c r="F1553" s="13" t="s">
        <v>111</v>
      </c>
      <c r="G1553" s="13" t="s">
        <v>55</v>
      </c>
      <c r="H1553">
        <v>115000</v>
      </c>
      <c r="I1553" s="13" t="s">
        <v>93</v>
      </c>
      <c r="J1553" s="13" t="s">
        <v>94</v>
      </c>
      <c r="K1553" s="13" t="s">
        <v>81</v>
      </c>
      <c r="L1553" s="13" t="s">
        <v>95</v>
      </c>
      <c r="M1553">
        <v>30</v>
      </c>
      <c r="N1553">
        <v>0</v>
      </c>
      <c r="O1553" s="14">
        <v>46001</v>
      </c>
      <c r="P1553" s="14">
        <v>46031</v>
      </c>
      <c r="Q1553">
        <v>1428.87</v>
      </c>
      <c r="R1553">
        <v>0</v>
      </c>
      <c r="S1553">
        <v>0</v>
      </c>
      <c r="T1553">
        <v>0</v>
      </c>
      <c r="U1553">
        <v>0</v>
      </c>
      <c r="V1553">
        <v>1428.87</v>
      </c>
      <c r="W1553">
        <v>0</v>
      </c>
      <c r="X1553">
        <v>1</v>
      </c>
      <c r="Y1553">
        <v>0</v>
      </c>
      <c r="Z1553">
        <v>-9</v>
      </c>
      <c r="AA1553">
        <v>1</v>
      </c>
      <c r="AB1553" s="13" t="s">
        <v>581</v>
      </c>
      <c r="AC1553">
        <v>0</v>
      </c>
      <c r="AD1553">
        <v>0</v>
      </c>
      <c r="AE1553" s="13" t="s">
        <v>61</v>
      </c>
    </row>
    <row r="1554" spans="1:31" x14ac:dyDescent="0.35">
      <c r="A1554" s="13" t="s">
        <v>2332</v>
      </c>
      <c r="B1554" s="13" t="s">
        <v>601</v>
      </c>
      <c r="C1554" s="13" t="s">
        <v>602</v>
      </c>
      <c r="D1554" s="13" t="s">
        <v>52</v>
      </c>
      <c r="E1554" s="13" t="s">
        <v>53</v>
      </c>
      <c r="F1554" s="13" t="s">
        <v>135</v>
      </c>
      <c r="G1554" s="13" t="s">
        <v>67</v>
      </c>
      <c r="H1554">
        <v>525000</v>
      </c>
      <c r="I1554" s="13" t="s">
        <v>86</v>
      </c>
      <c r="J1554" s="13" t="s">
        <v>87</v>
      </c>
      <c r="K1554" s="13" t="s">
        <v>58</v>
      </c>
      <c r="L1554" s="13" t="s">
        <v>59</v>
      </c>
      <c r="M1554">
        <v>45</v>
      </c>
      <c r="N1554">
        <v>0</v>
      </c>
      <c r="O1554" s="14">
        <v>46001</v>
      </c>
      <c r="P1554" s="14">
        <v>46046</v>
      </c>
      <c r="Q1554">
        <v>11119.07</v>
      </c>
      <c r="R1554">
        <v>0</v>
      </c>
      <c r="S1554">
        <v>0</v>
      </c>
      <c r="T1554">
        <v>0</v>
      </c>
      <c r="U1554">
        <v>0</v>
      </c>
      <c r="V1554">
        <v>11119.07</v>
      </c>
      <c r="W1554">
        <v>0</v>
      </c>
      <c r="X1554">
        <v>1</v>
      </c>
      <c r="Y1554">
        <v>0</v>
      </c>
      <c r="Z1554">
        <v>-24</v>
      </c>
      <c r="AA1554">
        <v>1</v>
      </c>
      <c r="AB1554" s="13" t="s">
        <v>581</v>
      </c>
      <c r="AC1554">
        <v>0</v>
      </c>
      <c r="AD1554">
        <v>0</v>
      </c>
      <c r="AE1554" s="13" t="s">
        <v>61</v>
      </c>
    </row>
    <row r="1555" spans="1:31" x14ac:dyDescent="0.35">
      <c r="A1555" s="13" t="s">
        <v>2333</v>
      </c>
      <c r="B1555" s="13" t="s">
        <v>890</v>
      </c>
      <c r="C1555" s="13" t="s">
        <v>891</v>
      </c>
      <c r="D1555" s="13" t="s">
        <v>76</v>
      </c>
      <c r="E1555" s="13" t="s">
        <v>99</v>
      </c>
      <c r="F1555" s="13" t="s">
        <v>100</v>
      </c>
      <c r="G1555" s="13" t="s">
        <v>67</v>
      </c>
      <c r="H1555">
        <v>110000</v>
      </c>
      <c r="I1555" s="13" t="s">
        <v>79</v>
      </c>
      <c r="J1555" s="13" t="s">
        <v>80</v>
      </c>
      <c r="K1555" s="13" t="s">
        <v>81</v>
      </c>
      <c r="L1555" s="13" t="s">
        <v>95</v>
      </c>
      <c r="M1555">
        <v>30</v>
      </c>
      <c r="N1555">
        <v>0</v>
      </c>
      <c r="O1555" s="14">
        <v>46001</v>
      </c>
      <c r="P1555" s="14">
        <v>46031</v>
      </c>
      <c r="Q1555">
        <v>3651.15</v>
      </c>
      <c r="R1555">
        <v>0</v>
      </c>
      <c r="S1555">
        <v>0</v>
      </c>
      <c r="T1555">
        <v>0</v>
      </c>
      <c r="U1555">
        <v>0</v>
      </c>
      <c r="V1555">
        <v>3651.15</v>
      </c>
      <c r="W1555">
        <v>0</v>
      </c>
      <c r="X1555">
        <v>1</v>
      </c>
      <c r="Y1555">
        <v>0</v>
      </c>
      <c r="Z1555">
        <v>-9</v>
      </c>
      <c r="AA1555">
        <v>1</v>
      </c>
      <c r="AB1555" s="13" t="s">
        <v>581</v>
      </c>
      <c r="AC1555">
        <v>0</v>
      </c>
      <c r="AD1555">
        <v>0</v>
      </c>
      <c r="AE1555" s="13" t="s">
        <v>61</v>
      </c>
    </row>
    <row r="1556" spans="1:31" x14ac:dyDescent="0.35">
      <c r="A1556" s="13" t="s">
        <v>2334</v>
      </c>
      <c r="B1556" s="13" t="s">
        <v>2155</v>
      </c>
      <c r="C1556" s="13" t="s">
        <v>2156</v>
      </c>
      <c r="D1556" s="13" t="s">
        <v>76</v>
      </c>
      <c r="E1556" s="13" t="s">
        <v>53</v>
      </c>
      <c r="F1556" s="13" t="s">
        <v>135</v>
      </c>
      <c r="G1556" s="13" t="s">
        <v>67</v>
      </c>
      <c r="H1556">
        <v>120000</v>
      </c>
      <c r="I1556" s="13" t="s">
        <v>79</v>
      </c>
      <c r="J1556" s="13" t="s">
        <v>80</v>
      </c>
      <c r="K1556" s="13" t="s">
        <v>81</v>
      </c>
      <c r="L1556" s="13" t="s">
        <v>95</v>
      </c>
      <c r="M1556">
        <v>30</v>
      </c>
      <c r="N1556">
        <v>0</v>
      </c>
      <c r="O1556" s="14">
        <v>46001</v>
      </c>
      <c r="P1556" s="14">
        <v>46031</v>
      </c>
      <c r="Q1556">
        <v>2043.13</v>
      </c>
      <c r="R1556">
        <v>0</v>
      </c>
      <c r="S1556">
        <v>0</v>
      </c>
      <c r="T1556">
        <v>0</v>
      </c>
      <c r="U1556">
        <v>0</v>
      </c>
      <c r="V1556">
        <v>2043.13</v>
      </c>
      <c r="W1556">
        <v>0</v>
      </c>
      <c r="X1556">
        <v>1</v>
      </c>
      <c r="Y1556">
        <v>0</v>
      </c>
      <c r="Z1556">
        <v>-9</v>
      </c>
      <c r="AA1556">
        <v>1</v>
      </c>
      <c r="AB1556" s="13" t="s">
        <v>581</v>
      </c>
      <c r="AC1556">
        <v>0</v>
      </c>
      <c r="AD1556">
        <v>0</v>
      </c>
      <c r="AE1556" s="13" t="s">
        <v>61</v>
      </c>
    </row>
    <row r="1557" spans="1:31" x14ac:dyDescent="0.35">
      <c r="A1557" s="13" t="s">
        <v>2335</v>
      </c>
      <c r="B1557" s="13" t="s">
        <v>2024</v>
      </c>
      <c r="C1557" s="13" t="s">
        <v>2025</v>
      </c>
      <c r="D1557" s="13" t="s">
        <v>104</v>
      </c>
      <c r="E1557" s="13" t="s">
        <v>65</v>
      </c>
      <c r="F1557" s="13" t="s">
        <v>111</v>
      </c>
      <c r="G1557" s="13" t="s">
        <v>55</v>
      </c>
      <c r="H1557">
        <v>130000</v>
      </c>
      <c r="I1557" s="13" t="s">
        <v>121</v>
      </c>
      <c r="J1557" s="13" t="s">
        <v>122</v>
      </c>
      <c r="K1557" s="13" t="s">
        <v>107</v>
      </c>
      <c r="L1557" s="13" t="s">
        <v>95</v>
      </c>
      <c r="M1557">
        <v>30</v>
      </c>
      <c r="N1557">
        <v>0</v>
      </c>
      <c r="O1557" s="14">
        <v>46001</v>
      </c>
      <c r="P1557" s="14">
        <v>46031</v>
      </c>
      <c r="Q1557">
        <v>1493.51</v>
      </c>
      <c r="R1557">
        <v>0</v>
      </c>
      <c r="S1557">
        <v>0</v>
      </c>
      <c r="T1557">
        <v>0</v>
      </c>
      <c r="U1557">
        <v>0</v>
      </c>
      <c r="V1557">
        <v>1493.51</v>
      </c>
      <c r="W1557">
        <v>0</v>
      </c>
      <c r="X1557">
        <v>1</v>
      </c>
      <c r="Y1557">
        <v>0</v>
      </c>
      <c r="Z1557">
        <v>-9</v>
      </c>
      <c r="AA1557">
        <v>1</v>
      </c>
      <c r="AB1557" s="13" t="s">
        <v>581</v>
      </c>
      <c r="AC1557">
        <v>0</v>
      </c>
      <c r="AD1557">
        <v>0</v>
      </c>
      <c r="AE1557" s="13" t="s">
        <v>61</v>
      </c>
    </row>
    <row r="1558" spans="1:31" x14ac:dyDescent="0.35">
      <c r="A1558" s="13" t="s">
        <v>2336</v>
      </c>
      <c r="B1558" s="13" t="s">
        <v>144</v>
      </c>
      <c r="C1558" s="13" t="s">
        <v>145</v>
      </c>
      <c r="D1558" s="13" t="s">
        <v>52</v>
      </c>
      <c r="E1558" s="13" t="s">
        <v>99</v>
      </c>
      <c r="F1558" s="13" t="s">
        <v>100</v>
      </c>
      <c r="G1558" s="13" t="s">
        <v>55</v>
      </c>
      <c r="H1558">
        <v>590000</v>
      </c>
      <c r="I1558" s="13" t="s">
        <v>56</v>
      </c>
      <c r="J1558" s="13" t="s">
        <v>57</v>
      </c>
      <c r="K1558" s="13" t="s">
        <v>58</v>
      </c>
      <c r="L1558" s="13" t="s">
        <v>88</v>
      </c>
      <c r="M1558">
        <v>60</v>
      </c>
      <c r="N1558">
        <v>0</v>
      </c>
      <c r="O1558" s="14">
        <v>46001</v>
      </c>
      <c r="P1558" s="14">
        <v>46061</v>
      </c>
      <c r="Q1558">
        <v>1629.23</v>
      </c>
      <c r="R1558">
        <v>0</v>
      </c>
      <c r="S1558">
        <v>0</v>
      </c>
      <c r="T1558">
        <v>0</v>
      </c>
      <c r="U1558">
        <v>0</v>
      </c>
      <c r="V1558">
        <v>1629.23</v>
      </c>
      <c r="W1558">
        <v>0</v>
      </c>
      <c r="X1558">
        <v>1</v>
      </c>
      <c r="Y1558">
        <v>0</v>
      </c>
      <c r="Z1558">
        <v>-39</v>
      </c>
      <c r="AA1558">
        <v>1</v>
      </c>
      <c r="AB1558" s="13" t="s">
        <v>581</v>
      </c>
      <c r="AC1558">
        <v>0</v>
      </c>
      <c r="AD1558">
        <v>0</v>
      </c>
      <c r="AE1558" s="13" t="s">
        <v>61</v>
      </c>
    </row>
    <row r="1559" spans="1:31" x14ac:dyDescent="0.35">
      <c r="A1559" s="13" t="s">
        <v>2337</v>
      </c>
      <c r="B1559" s="13" t="s">
        <v>528</v>
      </c>
      <c r="C1559" s="13" t="s">
        <v>529</v>
      </c>
      <c r="D1559" s="13" t="s">
        <v>104</v>
      </c>
      <c r="E1559" s="13" t="s">
        <v>71</v>
      </c>
      <c r="F1559" s="13" t="s">
        <v>214</v>
      </c>
      <c r="G1559" s="13" t="s">
        <v>55</v>
      </c>
      <c r="H1559">
        <v>40000</v>
      </c>
      <c r="I1559" s="13" t="s">
        <v>105</v>
      </c>
      <c r="J1559" s="13" t="s">
        <v>106</v>
      </c>
      <c r="K1559" s="13" t="s">
        <v>107</v>
      </c>
      <c r="L1559" s="13" t="s">
        <v>88</v>
      </c>
      <c r="M1559">
        <v>60</v>
      </c>
      <c r="N1559">
        <v>0</v>
      </c>
      <c r="O1559" s="14">
        <v>46001</v>
      </c>
      <c r="P1559" s="14">
        <v>46061</v>
      </c>
      <c r="Q1559">
        <v>2803.3</v>
      </c>
      <c r="R1559">
        <v>0</v>
      </c>
      <c r="S1559">
        <v>0</v>
      </c>
      <c r="T1559">
        <v>0</v>
      </c>
      <c r="U1559">
        <v>0</v>
      </c>
      <c r="V1559">
        <v>2803.3</v>
      </c>
      <c r="W1559">
        <v>0</v>
      </c>
      <c r="X1559">
        <v>1</v>
      </c>
      <c r="Y1559">
        <v>0</v>
      </c>
      <c r="Z1559">
        <v>-39</v>
      </c>
      <c r="AA1559">
        <v>1</v>
      </c>
      <c r="AB1559" s="13" t="s">
        <v>581</v>
      </c>
      <c r="AC1559">
        <v>0</v>
      </c>
      <c r="AD1559">
        <v>0</v>
      </c>
      <c r="AE1559" s="13" t="s">
        <v>61</v>
      </c>
    </row>
    <row r="1560" spans="1:31" x14ac:dyDescent="0.35">
      <c r="A1560" s="13" t="s">
        <v>2338</v>
      </c>
      <c r="B1560" s="13" t="s">
        <v>343</v>
      </c>
      <c r="C1560" s="13" t="s">
        <v>344</v>
      </c>
      <c r="D1560" s="13" t="s">
        <v>104</v>
      </c>
      <c r="E1560" s="13" t="s">
        <v>77</v>
      </c>
      <c r="F1560" s="13" t="s">
        <v>174</v>
      </c>
      <c r="G1560" s="13" t="s">
        <v>67</v>
      </c>
      <c r="H1560">
        <v>145000</v>
      </c>
      <c r="I1560" s="13" t="s">
        <v>105</v>
      </c>
      <c r="J1560" s="13" t="s">
        <v>106</v>
      </c>
      <c r="K1560" s="13" t="s">
        <v>107</v>
      </c>
      <c r="L1560" s="13" t="s">
        <v>95</v>
      </c>
      <c r="M1560">
        <v>30</v>
      </c>
      <c r="N1560">
        <v>0</v>
      </c>
      <c r="O1560" s="14">
        <v>46001</v>
      </c>
      <c r="P1560" s="14">
        <v>46031</v>
      </c>
      <c r="Q1560">
        <v>960.64</v>
      </c>
      <c r="R1560">
        <v>0</v>
      </c>
      <c r="S1560">
        <v>0</v>
      </c>
      <c r="T1560">
        <v>0</v>
      </c>
      <c r="U1560">
        <v>0</v>
      </c>
      <c r="V1560">
        <v>960.64</v>
      </c>
      <c r="W1560">
        <v>0</v>
      </c>
      <c r="X1560">
        <v>1</v>
      </c>
      <c r="Y1560">
        <v>0</v>
      </c>
      <c r="Z1560">
        <v>-9</v>
      </c>
      <c r="AA1560">
        <v>1</v>
      </c>
      <c r="AB1560" s="13" t="s">
        <v>581</v>
      </c>
      <c r="AC1560">
        <v>0</v>
      </c>
      <c r="AD1560">
        <v>0</v>
      </c>
      <c r="AE1560" s="13" t="s">
        <v>61</v>
      </c>
    </row>
    <row r="1561" spans="1:31" x14ac:dyDescent="0.35">
      <c r="A1561" s="13" t="s">
        <v>2339</v>
      </c>
      <c r="B1561" s="13" t="s">
        <v>2094</v>
      </c>
      <c r="C1561" s="13" t="s">
        <v>2095</v>
      </c>
      <c r="D1561" s="13" t="s">
        <v>104</v>
      </c>
      <c r="E1561" s="13" t="s">
        <v>77</v>
      </c>
      <c r="F1561" s="13" t="s">
        <v>174</v>
      </c>
      <c r="G1561" s="13" t="s">
        <v>55</v>
      </c>
      <c r="H1561">
        <v>120000</v>
      </c>
      <c r="I1561" s="13" t="s">
        <v>105</v>
      </c>
      <c r="J1561" s="13" t="s">
        <v>106</v>
      </c>
      <c r="K1561" s="13" t="s">
        <v>107</v>
      </c>
      <c r="L1561" s="13" t="s">
        <v>95</v>
      </c>
      <c r="M1561">
        <v>30</v>
      </c>
      <c r="N1561">
        <v>0</v>
      </c>
      <c r="O1561" s="14">
        <v>46001</v>
      </c>
      <c r="P1561" s="14">
        <v>46031</v>
      </c>
      <c r="Q1561">
        <v>2004.18</v>
      </c>
      <c r="R1561">
        <v>0</v>
      </c>
      <c r="S1561">
        <v>0</v>
      </c>
      <c r="T1561">
        <v>0</v>
      </c>
      <c r="U1561">
        <v>0</v>
      </c>
      <c r="V1561">
        <v>2004.18</v>
      </c>
      <c r="W1561">
        <v>0</v>
      </c>
      <c r="X1561">
        <v>1</v>
      </c>
      <c r="Y1561">
        <v>0</v>
      </c>
      <c r="Z1561">
        <v>-9</v>
      </c>
      <c r="AA1561">
        <v>1</v>
      </c>
      <c r="AB1561" s="13" t="s">
        <v>581</v>
      </c>
      <c r="AC1561">
        <v>0</v>
      </c>
      <c r="AD1561">
        <v>0</v>
      </c>
      <c r="AE1561" s="13" t="s">
        <v>61</v>
      </c>
    </row>
    <row r="1562" spans="1:31" x14ac:dyDescent="0.35">
      <c r="A1562" s="13" t="s">
        <v>2340</v>
      </c>
      <c r="B1562" s="13" t="s">
        <v>446</v>
      </c>
      <c r="C1562" s="13" t="s">
        <v>447</v>
      </c>
      <c r="D1562" s="13" t="s">
        <v>52</v>
      </c>
      <c r="E1562" s="13" t="s">
        <v>53</v>
      </c>
      <c r="F1562" s="13" t="s">
        <v>54</v>
      </c>
      <c r="G1562" s="13" t="s">
        <v>67</v>
      </c>
      <c r="H1562">
        <v>245000</v>
      </c>
      <c r="I1562" s="13" t="s">
        <v>86</v>
      </c>
      <c r="J1562" s="13" t="s">
        <v>87</v>
      </c>
      <c r="K1562" s="13" t="s">
        <v>58</v>
      </c>
      <c r="L1562" s="13" t="s">
        <v>88</v>
      </c>
      <c r="M1562">
        <v>60</v>
      </c>
      <c r="N1562">
        <v>0</v>
      </c>
      <c r="O1562" s="14">
        <v>46001</v>
      </c>
      <c r="P1562" s="14">
        <v>46061</v>
      </c>
      <c r="Q1562">
        <v>14704.93</v>
      </c>
      <c r="R1562">
        <v>0</v>
      </c>
      <c r="S1562">
        <v>0</v>
      </c>
      <c r="T1562">
        <v>0</v>
      </c>
      <c r="U1562">
        <v>0</v>
      </c>
      <c r="V1562">
        <v>14704.93</v>
      </c>
      <c r="W1562">
        <v>0</v>
      </c>
      <c r="X1562">
        <v>1</v>
      </c>
      <c r="Y1562">
        <v>0</v>
      </c>
      <c r="Z1562">
        <v>-39</v>
      </c>
      <c r="AA1562">
        <v>1</v>
      </c>
      <c r="AB1562" s="13" t="s">
        <v>581</v>
      </c>
      <c r="AC1562">
        <v>0</v>
      </c>
      <c r="AD1562">
        <v>0</v>
      </c>
      <c r="AE1562" s="13" t="s">
        <v>61</v>
      </c>
    </row>
    <row r="1563" spans="1:31" x14ac:dyDescent="0.35">
      <c r="A1563" s="13" t="s">
        <v>2341</v>
      </c>
      <c r="B1563" s="13" t="s">
        <v>1785</v>
      </c>
      <c r="C1563" s="13" t="s">
        <v>1786</v>
      </c>
      <c r="D1563" s="13" t="s">
        <v>104</v>
      </c>
      <c r="E1563" s="13" t="s">
        <v>77</v>
      </c>
      <c r="F1563" s="13" t="s">
        <v>78</v>
      </c>
      <c r="G1563" s="13" t="s">
        <v>67</v>
      </c>
      <c r="H1563">
        <v>65000</v>
      </c>
      <c r="I1563" s="13" t="s">
        <v>121</v>
      </c>
      <c r="J1563" s="13" t="s">
        <v>122</v>
      </c>
      <c r="K1563" s="13" t="s">
        <v>107</v>
      </c>
      <c r="L1563" s="13" t="s">
        <v>95</v>
      </c>
      <c r="M1563">
        <v>30</v>
      </c>
      <c r="N1563">
        <v>0</v>
      </c>
      <c r="O1563" s="14">
        <v>46001</v>
      </c>
      <c r="P1563" s="14">
        <v>46031</v>
      </c>
      <c r="Q1563">
        <v>4991.32</v>
      </c>
      <c r="R1563">
        <v>0</v>
      </c>
      <c r="S1563">
        <v>0</v>
      </c>
      <c r="T1563">
        <v>0</v>
      </c>
      <c r="U1563">
        <v>0</v>
      </c>
      <c r="V1563">
        <v>4991.32</v>
      </c>
      <c r="W1563">
        <v>0</v>
      </c>
      <c r="X1563">
        <v>1</v>
      </c>
      <c r="Y1563">
        <v>0</v>
      </c>
      <c r="Z1563">
        <v>-9</v>
      </c>
      <c r="AA1563">
        <v>1</v>
      </c>
      <c r="AB1563" s="13" t="s">
        <v>581</v>
      </c>
      <c r="AC1563">
        <v>0</v>
      </c>
      <c r="AD1563">
        <v>0</v>
      </c>
      <c r="AE1563" s="13" t="s">
        <v>61</v>
      </c>
    </row>
    <row r="1564" spans="1:31" x14ac:dyDescent="0.35">
      <c r="A1564" s="13" t="s">
        <v>2342</v>
      </c>
      <c r="B1564" s="13" t="s">
        <v>375</v>
      </c>
      <c r="C1564" s="13" t="s">
        <v>376</v>
      </c>
      <c r="D1564" s="13" t="s">
        <v>52</v>
      </c>
      <c r="E1564" s="13" t="s">
        <v>99</v>
      </c>
      <c r="F1564" s="13" t="s">
        <v>100</v>
      </c>
      <c r="G1564" s="13" t="s">
        <v>55</v>
      </c>
      <c r="H1564">
        <v>395000</v>
      </c>
      <c r="I1564" s="13" t="s">
        <v>56</v>
      </c>
      <c r="J1564" s="13" t="s">
        <v>57</v>
      </c>
      <c r="K1564" s="13" t="s">
        <v>58</v>
      </c>
      <c r="L1564" s="13" t="s">
        <v>59</v>
      </c>
      <c r="M1564">
        <v>45</v>
      </c>
      <c r="N1564">
        <v>0</v>
      </c>
      <c r="O1564" s="14">
        <v>46001</v>
      </c>
      <c r="P1564" s="14">
        <v>46046</v>
      </c>
      <c r="Q1564">
        <v>5172.43</v>
      </c>
      <c r="R1564">
        <v>0</v>
      </c>
      <c r="S1564">
        <v>0</v>
      </c>
      <c r="T1564">
        <v>0</v>
      </c>
      <c r="U1564">
        <v>0</v>
      </c>
      <c r="V1564">
        <v>5172.43</v>
      </c>
      <c r="W1564">
        <v>0</v>
      </c>
      <c r="X1564">
        <v>1</v>
      </c>
      <c r="Y1564">
        <v>0</v>
      </c>
      <c r="Z1564">
        <v>-24</v>
      </c>
      <c r="AA1564">
        <v>1</v>
      </c>
      <c r="AB1564" s="13" t="s">
        <v>581</v>
      </c>
      <c r="AC1564">
        <v>0</v>
      </c>
      <c r="AD1564">
        <v>0</v>
      </c>
      <c r="AE1564" s="13" t="s">
        <v>61</v>
      </c>
    </row>
    <row r="1565" spans="1:31" x14ac:dyDescent="0.35">
      <c r="A1565" s="13" t="s">
        <v>2343</v>
      </c>
      <c r="B1565" s="13" t="s">
        <v>1097</v>
      </c>
      <c r="C1565" s="13" t="s">
        <v>1098</v>
      </c>
      <c r="D1565" s="13" t="s">
        <v>52</v>
      </c>
      <c r="E1565" s="13" t="s">
        <v>77</v>
      </c>
      <c r="F1565" s="13" t="s">
        <v>78</v>
      </c>
      <c r="G1565" s="13" t="s">
        <v>67</v>
      </c>
      <c r="H1565">
        <v>510000</v>
      </c>
      <c r="I1565" s="13" t="s">
        <v>86</v>
      </c>
      <c r="J1565" s="13" t="s">
        <v>87</v>
      </c>
      <c r="K1565" s="13" t="s">
        <v>58</v>
      </c>
      <c r="L1565" s="13" t="s">
        <v>88</v>
      </c>
      <c r="M1565">
        <v>60</v>
      </c>
      <c r="N1565">
        <v>0</v>
      </c>
      <c r="O1565" s="14">
        <v>46001</v>
      </c>
      <c r="P1565" s="14">
        <v>46061</v>
      </c>
      <c r="Q1565">
        <v>2299.7800000000002</v>
      </c>
      <c r="R1565">
        <v>0</v>
      </c>
      <c r="S1565">
        <v>0</v>
      </c>
      <c r="T1565">
        <v>0</v>
      </c>
      <c r="U1565">
        <v>0</v>
      </c>
      <c r="V1565">
        <v>2299.7800000000002</v>
      </c>
      <c r="W1565">
        <v>0</v>
      </c>
      <c r="X1565">
        <v>1</v>
      </c>
      <c r="Y1565">
        <v>0</v>
      </c>
      <c r="Z1565">
        <v>-39</v>
      </c>
      <c r="AA1565">
        <v>1</v>
      </c>
      <c r="AB1565" s="13" t="s">
        <v>581</v>
      </c>
      <c r="AC1565">
        <v>0</v>
      </c>
      <c r="AD1565">
        <v>0</v>
      </c>
      <c r="AE1565" s="13" t="s">
        <v>61</v>
      </c>
    </row>
    <row r="1566" spans="1:31" x14ac:dyDescent="0.35">
      <c r="A1566" s="13" t="s">
        <v>2344</v>
      </c>
      <c r="B1566" s="13" t="s">
        <v>153</v>
      </c>
      <c r="C1566" s="13" t="s">
        <v>154</v>
      </c>
      <c r="D1566" s="13" t="s">
        <v>104</v>
      </c>
      <c r="E1566" s="13" t="s">
        <v>65</v>
      </c>
      <c r="F1566" s="13" t="s">
        <v>111</v>
      </c>
      <c r="G1566" s="13" t="s">
        <v>67</v>
      </c>
      <c r="H1566">
        <v>150000</v>
      </c>
      <c r="I1566" s="13" t="s">
        <v>56</v>
      </c>
      <c r="J1566" s="13" t="s">
        <v>57</v>
      </c>
      <c r="K1566" s="13" t="s">
        <v>58</v>
      </c>
      <c r="L1566" s="13" t="s">
        <v>95</v>
      </c>
      <c r="M1566">
        <v>30</v>
      </c>
      <c r="N1566">
        <v>0</v>
      </c>
      <c r="O1566" s="14">
        <v>46001</v>
      </c>
      <c r="P1566" s="14">
        <v>46031</v>
      </c>
      <c r="Q1566">
        <v>1506.88</v>
      </c>
      <c r="R1566">
        <v>0</v>
      </c>
      <c r="S1566">
        <v>0</v>
      </c>
      <c r="T1566">
        <v>0</v>
      </c>
      <c r="U1566">
        <v>0</v>
      </c>
      <c r="V1566">
        <v>1506.88</v>
      </c>
      <c r="W1566">
        <v>0</v>
      </c>
      <c r="X1566">
        <v>1</v>
      </c>
      <c r="Y1566">
        <v>0</v>
      </c>
      <c r="Z1566">
        <v>-9</v>
      </c>
      <c r="AA1566">
        <v>1</v>
      </c>
      <c r="AB1566" s="13" t="s">
        <v>581</v>
      </c>
      <c r="AC1566">
        <v>0</v>
      </c>
      <c r="AD1566">
        <v>0</v>
      </c>
      <c r="AE1566" s="13" t="s">
        <v>61</v>
      </c>
    </row>
    <row r="1567" spans="1:31" x14ac:dyDescent="0.35">
      <c r="A1567" s="13" t="s">
        <v>2345</v>
      </c>
      <c r="B1567" s="13" t="s">
        <v>788</v>
      </c>
      <c r="C1567" s="13" t="s">
        <v>789</v>
      </c>
      <c r="D1567" s="13" t="s">
        <v>52</v>
      </c>
      <c r="E1567" s="13" t="s">
        <v>53</v>
      </c>
      <c r="F1567" s="13" t="s">
        <v>54</v>
      </c>
      <c r="G1567" s="13" t="s">
        <v>67</v>
      </c>
      <c r="H1567">
        <v>405000</v>
      </c>
      <c r="I1567" s="13" t="s">
        <v>86</v>
      </c>
      <c r="J1567" s="13" t="s">
        <v>87</v>
      </c>
      <c r="K1567" s="13" t="s">
        <v>58</v>
      </c>
      <c r="L1567" s="13" t="s">
        <v>88</v>
      </c>
      <c r="M1567">
        <v>60</v>
      </c>
      <c r="N1567">
        <v>0</v>
      </c>
      <c r="O1567" s="14">
        <v>46001</v>
      </c>
      <c r="P1567" s="14">
        <v>46061</v>
      </c>
      <c r="Q1567">
        <v>11411.22</v>
      </c>
      <c r="R1567">
        <v>0</v>
      </c>
      <c r="S1567">
        <v>0</v>
      </c>
      <c r="T1567">
        <v>0</v>
      </c>
      <c r="U1567">
        <v>0</v>
      </c>
      <c r="V1567">
        <v>11411.22</v>
      </c>
      <c r="W1567">
        <v>0</v>
      </c>
      <c r="X1567">
        <v>1</v>
      </c>
      <c r="Y1567">
        <v>0</v>
      </c>
      <c r="Z1567">
        <v>-39</v>
      </c>
      <c r="AA1567">
        <v>1</v>
      </c>
      <c r="AB1567" s="13" t="s">
        <v>581</v>
      </c>
      <c r="AC1567">
        <v>0</v>
      </c>
      <c r="AD1567">
        <v>0</v>
      </c>
      <c r="AE1567" s="13" t="s">
        <v>61</v>
      </c>
    </row>
    <row r="1568" spans="1:31" x14ac:dyDescent="0.35">
      <c r="A1568" s="13" t="s">
        <v>2346</v>
      </c>
      <c r="B1568" s="13" t="s">
        <v>296</v>
      </c>
      <c r="C1568" s="13" t="s">
        <v>297</v>
      </c>
      <c r="D1568" s="13" t="s">
        <v>104</v>
      </c>
      <c r="E1568" s="13" t="s">
        <v>65</v>
      </c>
      <c r="F1568" s="13" t="s">
        <v>111</v>
      </c>
      <c r="G1568" s="13" t="s">
        <v>92</v>
      </c>
      <c r="H1568">
        <v>125000</v>
      </c>
      <c r="I1568" s="13" t="s">
        <v>105</v>
      </c>
      <c r="J1568" s="13" t="s">
        <v>106</v>
      </c>
      <c r="K1568" s="13" t="s">
        <v>107</v>
      </c>
      <c r="L1568" s="13" t="s">
        <v>82</v>
      </c>
      <c r="M1568">
        <v>30</v>
      </c>
      <c r="N1568">
        <v>2</v>
      </c>
      <c r="O1568" s="14">
        <v>46001</v>
      </c>
      <c r="P1568" s="14">
        <v>46031</v>
      </c>
      <c r="Q1568">
        <v>3587.46</v>
      </c>
      <c r="R1568">
        <v>0</v>
      </c>
      <c r="S1568">
        <v>0</v>
      </c>
      <c r="T1568">
        <v>0</v>
      </c>
      <c r="U1568">
        <v>0</v>
      </c>
      <c r="V1568">
        <v>3587.46</v>
      </c>
      <c r="W1568">
        <v>0</v>
      </c>
      <c r="X1568">
        <v>1</v>
      </c>
      <c r="Y1568">
        <v>0</v>
      </c>
      <c r="Z1568">
        <v>-9</v>
      </c>
      <c r="AA1568">
        <v>1</v>
      </c>
      <c r="AB1568" s="13" t="s">
        <v>581</v>
      </c>
      <c r="AC1568">
        <v>0</v>
      </c>
      <c r="AD1568">
        <v>0</v>
      </c>
      <c r="AE1568" s="13" t="s">
        <v>61</v>
      </c>
    </row>
    <row r="1569" spans="1:31" x14ac:dyDescent="0.35">
      <c r="A1569" s="13" t="s">
        <v>2347</v>
      </c>
      <c r="B1569" s="13" t="s">
        <v>330</v>
      </c>
      <c r="C1569" s="13" t="s">
        <v>331</v>
      </c>
      <c r="D1569" s="13" t="s">
        <v>104</v>
      </c>
      <c r="E1569" s="13" t="s">
        <v>65</v>
      </c>
      <c r="F1569" s="13" t="s">
        <v>111</v>
      </c>
      <c r="G1569" s="13" t="s">
        <v>55</v>
      </c>
      <c r="H1569">
        <v>85000</v>
      </c>
      <c r="I1569" s="13" t="s">
        <v>121</v>
      </c>
      <c r="J1569" s="13" t="s">
        <v>122</v>
      </c>
      <c r="K1569" s="13" t="s">
        <v>107</v>
      </c>
      <c r="L1569" s="13" t="s">
        <v>95</v>
      </c>
      <c r="M1569">
        <v>30</v>
      </c>
      <c r="N1569">
        <v>0</v>
      </c>
      <c r="O1569" s="14">
        <v>46001</v>
      </c>
      <c r="P1569" s="14">
        <v>46031</v>
      </c>
      <c r="Q1569">
        <v>1667.45</v>
      </c>
      <c r="R1569">
        <v>0</v>
      </c>
      <c r="S1569">
        <v>0</v>
      </c>
      <c r="T1569">
        <v>0</v>
      </c>
      <c r="U1569">
        <v>0</v>
      </c>
      <c r="V1569">
        <v>1667.45</v>
      </c>
      <c r="W1569">
        <v>0</v>
      </c>
      <c r="X1569">
        <v>1</v>
      </c>
      <c r="Y1569">
        <v>0</v>
      </c>
      <c r="Z1569">
        <v>-9</v>
      </c>
      <c r="AA1569">
        <v>1</v>
      </c>
      <c r="AB1569" s="13" t="s">
        <v>581</v>
      </c>
      <c r="AC1569">
        <v>0</v>
      </c>
      <c r="AD1569">
        <v>0</v>
      </c>
      <c r="AE1569" s="13" t="s">
        <v>61</v>
      </c>
    </row>
    <row r="1570" spans="1:31" x14ac:dyDescent="0.35">
      <c r="A1570" s="13" t="s">
        <v>2348</v>
      </c>
      <c r="B1570" s="13" t="s">
        <v>711</v>
      </c>
      <c r="C1570" s="13" t="s">
        <v>712</v>
      </c>
      <c r="D1570" s="13" t="s">
        <v>126</v>
      </c>
      <c r="E1570" s="13" t="s">
        <v>71</v>
      </c>
      <c r="F1570" s="13" t="s">
        <v>72</v>
      </c>
      <c r="G1570" s="13" t="s">
        <v>67</v>
      </c>
      <c r="H1570">
        <v>190000</v>
      </c>
      <c r="I1570" s="13" t="s">
        <v>56</v>
      </c>
      <c r="J1570" s="13" t="s">
        <v>57</v>
      </c>
      <c r="K1570" s="13" t="s">
        <v>58</v>
      </c>
      <c r="L1570" s="13" t="s">
        <v>368</v>
      </c>
      <c r="M1570">
        <v>90</v>
      </c>
      <c r="N1570">
        <v>0</v>
      </c>
      <c r="O1570" s="14">
        <v>46001</v>
      </c>
      <c r="P1570" s="14">
        <v>46091</v>
      </c>
      <c r="Q1570">
        <v>1135.3800000000001</v>
      </c>
      <c r="R1570">
        <v>0</v>
      </c>
      <c r="S1570">
        <v>0</v>
      </c>
      <c r="T1570">
        <v>0</v>
      </c>
      <c r="U1570">
        <v>0</v>
      </c>
      <c r="V1570">
        <v>1135.3800000000001</v>
      </c>
      <c r="W1570">
        <v>0</v>
      </c>
      <c r="X1570">
        <v>1</v>
      </c>
      <c r="Y1570">
        <v>0</v>
      </c>
      <c r="Z1570">
        <v>-69</v>
      </c>
      <c r="AA1570">
        <v>1</v>
      </c>
      <c r="AB1570" s="13" t="s">
        <v>581</v>
      </c>
      <c r="AC1570">
        <v>0</v>
      </c>
      <c r="AD1570">
        <v>0</v>
      </c>
      <c r="AE1570" s="13" t="s">
        <v>61</v>
      </c>
    </row>
    <row r="1571" spans="1:31" x14ac:dyDescent="0.35">
      <c r="A1571" s="13" t="s">
        <v>2349</v>
      </c>
      <c r="B1571" s="13" t="s">
        <v>949</v>
      </c>
      <c r="C1571" s="13" t="s">
        <v>950</v>
      </c>
      <c r="D1571" s="13" t="s">
        <v>52</v>
      </c>
      <c r="E1571" s="13" t="s">
        <v>99</v>
      </c>
      <c r="F1571" s="13" t="s">
        <v>100</v>
      </c>
      <c r="G1571" s="13" t="s">
        <v>67</v>
      </c>
      <c r="H1571">
        <v>330000</v>
      </c>
      <c r="I1571" s="13" t="s">
        <v>56</v>
      </c>
      <c r="J1571" s="13" t="s">
        <v>57</v>
      </c>
      <c r="K1571" s="13" t="s">
        <v>58</v>
      </c>
      <c r="L1571" s="13" t="s">
        <v>88</v>
      </c>
      <c r="M1571">
        <v>60</v>
      </c>
      <c r="N1571">
        <v>0</v>
      </c>
      <c r="O1571" s="14">
        <v>46001</v>
      </c>
      <c r="P1571" s="14">
        <v>46061</v>
      </c>
      <c r="Q1571">
        <v>14598.4</v>
      </c>
      <c r="R1571">
        <v>0</v>
      </c>
      <c r="S1571">
        <v>0</v>
      </c>
      <c r="T1571">
        <v>0</v>
      </c>
      <c r="U1571">
        <v>0</v>
      </c>
      <c r="V1571">
        <v>14598.4</v>
      </c>
      <c r="W1571">
        <v>0</v>
      </c>
      <c r="X1571">
        <v>1</v>
      </c>
      <c r="Y1571">
        <v>0</v>
      </c>
      <c r="Z1571">
        <v>-39</v>
      </c>
      <c r="AA1571">
        <v>1</v>
      </c>
      <c r="AB1571" s="13" t="s">
        <v>581</v>
      </c>
      <c r="AC1571">
        <v>0</v>
      </c>
      <c r="AD1571">
        <v>0</v>
      </c>
      <c r="AE1571" s="13" t="s">
        <v>61</v>
      </c>
    </row>
    <row r="1572" spans="1:31" x14ac:dyDescent="0.35">
      <c r="A1572" s="13" t="s">
        <v>2350</v>
      </c>
      <c r="B1572" s="13" t="s">
        <v>2351</v>
      </c>
      <c r="C1572" s="13" t="s">
        <v>2352</v>
      </c>
      <c r="D1572" s="13" t="s">
        <v>104</v>
      </c>
      <c r="E1572" s="13" t="s">
        <v>77</v>
      </c>
      <c r="F1572" s="13" t="s">
        <v>78</v>
      </c>
      <c r="G1572" s="13" t="s">
        <v>67</v>
      </c>
      <c r="H1572">
        <v>40000</v>
      </c>
      <c r="I1572" s="13" t="s">
        <v>121</v>
      </c>
      <c r="J1572" s="13" t="s">
        <v>122</v>
      </c>
      <c r="K1572" s="13" t="s">
        <v>107</v>
      </c>
      <c r="L1572" s="13" t="s">
        <v>95</v>
      </c>
      <c r="M1572">
        <v>30</v>
      </c>
      <c r="N1572">
        <v>0</v>
      </c>
      <c r="O1572" s="14">
        <v>46001</v>
      </c>
      <c r="P1572" s="14">
        <v>46031</v>
      </c>
      <c r="Q1572">
        <v>1221.1099999999999</v>
      </c>
      <c r="R1572">
        <v>0</v>
      </c>
      <c r="S1572">
        <v>0</v>
      </c>
      <c r="T1572">
        <v>0</v>
      </c>
      <c r="U1572">
        <v>0</v>
      </c>
      <c r="V1572">
        <v>1221.1099999999999</v>
      </c>
      <c r="W1572">
        <v>0</v>
      </c>
      <c r="X1572">
        <v>1</v>
      </c>
      <c r="Y1572">
        <v>0</v>
      </c>
      <c r="Z1572">
        <v>-9</v>
      </c>
      <c r="AA1572">
        <v>1</v>
      </c>
      <c r="AB1572" s="13" t="s">
        <v>581</v>
      </c>
      <c r="AC1572">
        <v>0</v>
      </c>
      <c r="AD1572">
        <v>0</v>
      </c>
      <c r="AE1572" s="13" t="s">
        <v>61</v>
      </c>
    </row>
    <row r="1573" spans="1:31" x14ac:dyDescent="0.35">
      <c r="A1573" s="13" t="s">
        <v>2353</v>
      </c>
      <c r="B1573" s="13" t="s">
        <v>206</v>
      </c>
      <c r="C1573" s="13" t="s">
        <v>207</v>
      </c>
      <c r="D1573" s="13" t="s">
        <v>52</v>
      </c>
      <c r="E1573" s="13" t="s">
        <v>65</v>
      </c>
      <c r="F1573" s="13" t="s">
        <v>111</v>
      </c>
      <c r="G1573" s="13" t="s">
        <v>92</v>
      </c>
      <c r="H1573">
        <v>490000</v>
      </c>
      <c r="I1573" s="13" t="s">
        <v>86</v>
      </c>
      <c r="J1573" s="13" t="s">
        <v>87</v>
      </c>
      <c r="K1573" s="13" t="s">
        <v>58</v>
      </c>
      <c r="L1573" s="13" t="s">
        <v>88</v>
      </c>
      <c r="M1573">
        <v>60</v>
      </c>
      <c r="N1573">
        <v>0</v>
      </c>
      <c r="O1573" s="14">
        <v>46001</v>
      </c>
      <c r="P1573" s="14">
        <v>46061</v>
      </c>
      <c r="Q1573">
        <v>3231.21</v>
      </c>
      <c r="R1573">
        <v>0</v>
      </c>
      <c r="S1573">
        <v>0</v>
      </c>
      <c r="T1573">
        <v>0</v>
      </c>
      <c r="U1573">
        <v>0</v>
      </c>
      <c r="V1573">
        <v>3231.21</v>
      </c>
      <c r="W1573">
        <v>0</v>
      </c>
      <c r="X1573">
        <v>1</v>
      </c>
      <c r="Y1573">
        <v>0</v>
      </c>
      <c r="Z1573">
        <v>-39</v>
      </c>
      <c r="AA1573">
        <v>1</v>
      </c>
      <c r="AB1573" s="13" t="s">
        <v>581</v>
      </c>
      <c r="AC1573">
        <v>0</v>
      </c>
      <c r="AD1573">
        <v>0</v>
      </c>
      <c r="AE1573" s="13" t="s">
        <v>61</v>
      </c>
    </row>
    <row r="1574" spans="1:31" x14ac:dyDescent="0.35">
      <c r="A1574" s="13" t="s">
        <v>2354</v>
      </c>
      <c r="B1574" s="13" t="s">
        <v>879</v>
      </c>
      <c r="C1574" s="13" t="s">
        <v>880</v>
      </c>
      <c r="D1574" s="13" t="s">
        <v>104</v>
      </c>
      <c r="E1574" s="13" t="s">
        <v>71</v>
      </c>
      <c r="F1574" s="13" t="s">
        <v>214</v>
      </c>
      <c r="G1574" s="13" t="s">
        <v>67</v>
      </c>
      <c r="H1574">
        <v>135000</v>
      </c>
      <c r="I1574" s="13" t="s">
        <v>121</v>
      </c>
      <c r="J1574" s="13" t="s">
        <v>122</v>
      </c>
      <c r="K1574" s="13" t="s">
        <v>107</v>
      </c>
      <c r="L1574" s="13" t="s">
        <v>88</v>
      </c>
      <c r="M1574">
        <v>60</v>
      </c>
      <c r="N1574">
        <v>0</v>
      </c>
      <c r="O1574" s="14">
        <v>46001</v>
      </c>
      <c r="P1574" s="14">
        <v>46061</v>
      </c>
      <c r="Q1574">
        <v>4118.0200000000004</v>
      </c>
      <c r="R1574">
        <v>0</v>
      </c>
      <c r="S1574">
        <v>0</v>
      </c>
      <c r="T1574">
        <v>0</v>
      </c>
      <c r="U1574">
        <v>0</v>
      </c>
      <c r="V1574">
        <v>4118.0200000000004</v>
      </c>
      <c r="W1574">
        <v>0</v>
      </c>
      <c r="X1574">
        <v>1</v>
      </c>
      <c r="Y1574">
        <v>0</v>
      </c>
      <c r="Z1574">
        <v>-39</v>
      </c>
      <c r="AA1574">
        <v>1</v>
      </c>
      <c r="AB1574" s="13" t="s">
        <v>581</v>
      </c>
      <c r="AC1574">
        <v>0</v>
      </c>
      <c r="AD1574">
        <v>0</v>
      </c>
      <c r="AE1574" s="13" t="s">
        <v>61</v>
      </c>
    </row>
    <row r="1575" spans="1:31" x14ac:dyDescent="0.35">
      <c r="A1575" s="13" t="s">
        <v>2355</v>
      </c>
      <c r="B1575" s="13" t="s">
        <v>1105</v>
      </c>
      <c r="C1575" s="13" t="s">
        <v>1106</v>
      </c>
      <c r="D1575" s="13" t="s">
        <v>52</v>
      </c>
      <c r="E1575" s="13" t="s">
        <v>71</v>
      </c>
      <c r="F1575" s="13" t="s">
        <v>72</v>
      </c>
      <c r="G1575" s="13" t="s">
        <v>67</v>
      </c>
      <c r="H1575">
        <v>205000</v>
      </c>
      <c r="I1575" s="13" t="s">
        <v>56</v>
      </c>
      <c r="J1575" s="13" t="s">
        <v>57</v>
      </c>
      <c r="K1575" s="13" t="s">
        <v>58</v>
      </c>
      <c r="L1575" s="13" t="s">
        <v>88</v>
      </c>
      <c r="M1575">
        <v>60</v>
      </c>
      <c r="N1575">
        <v>0</v>
      </c>
      <c r="O1575" s="14">
        <v>46001</v>
      </c>
      <c r="P1575" s="14">
        <v>46061</v>
      </c>
      <c r="Q1575">
        <v>1626.07</v>
      </c>
      <c r="R1575">
        <v>0</v>
      </c>
      <c r="S1575">
        <v>0</v>
      </c>
      <c r="T1575">
        <v>0</v>
      </c>
      <c r="U1575">
        <v>0</v>
      </c>
      <c r="V1575">
        <v>1626.07</v>
      </c>
      <c r="W1575">
        <v>0</v>
      </c>
      <c r="X1575">
        <v>1</v>
      </c>
      <c r="Y1575">
        <v>0</v>
      </c>
      <c r="Z1575">
        <v>-39</v>
      </c>
      <c r="AA1575">
        <v>1</v>
      </c>
      <c r="AB1575" s="13" t="s">
        <v>581</v>
      </c>
      <c r="AC1575">
        <v>0</v>
      </c>
      <c r="AD1575">
        <v>0</v>
      </c>
      <c r="AE1575" s="13" t="s">
        <v>61</v>
      </c>
    </row>
    <row r="1576" spans="1:31" x14ac:dyDescent="0.35">
      <c r="A1576" s="13" t="s">
        <v>2356</v>
      </c>
      <c r="B1576" s="13" t="s">
        <v>533</v>
      </c>
      <c r="C1576" s="13" t="s">
        <v>534</v>
      </c>
      <c r="D1576" s="13" t="s">
        <v>126</v>
      </c>
      <c r="E1576" s="13" t="s">
        <v>99</v>
      </c>
      <c r="F1576" s="13" t="s">
        <v>127</v>
      </c>
      <c r="G1576" s="13" t="s">
        <v>67</v>
      </c>
      <c r="H1576">
        <v>205000</v>
      </c>
      <c r="I1576" s="13" t="s">
        <v>86</v>
      </c>
      <c r="J1576" s="13" t="s">
        <v>87</v>
      </c>
      <c r="K1576" s="13" t="s">
        <v>58</v>
      </c>
      <c r="L1576" s="13" t="s">
        <v>368</v>
      </c>
      <c r="M1576">
        <v>90</v>
      </c>
      <c r="N1576">
        <v>0</v>
      </c>
      <c r="O1576" s="14">
        <v>46001</v>
      </c>
      <c r="P1576" s="14">
        <v>46091</v>
      </c>
      <c r="Q1576">
        <v>8638.08</v>
      </c>
      <c r="R1576">
        <v>0</v>
      </c>
      <c r="S1576">
        <v>0</v>
      </c>
      <c r="T1576">
        <v>0</v>
      </c>
      <c r="U1576">
        <v>0</v>
      </c>
      <c r="V1576">
        <v>8638.08</v>
      </c>
      <c r="W1576">
        <v>0</v>
      </c>
      <c r="X1576">
        <v>1</v>
      </c>
      <c r="Y1576">
        <v>0</v>
      </c>
      <c r="Z1576">
        <v>-69</v>
      </c>
      <c r="AA1576">
        <v>1</v>
      </c>
      <c r="AB1576" s="13" t="s">
        <v>581</v>
      </c>
      <c r="AC1576">
        <v>0</v>
      </c>
      <c r="AD1576">
        <v>0</v>
      </c>
      <c r="AE1576" s="13" t="s">
        <v>61</v>
      </c>
    </row>
    <row r="1577" spans="1:31" x14ac:dyDescent="0.35">
      <c r="A1577" s="13" t="s">
        <v>2357</v>
      </c>
      <c r="B1577" s="13" t="s">
        <v>340</v>
      </c>
      <c r="C1577" s="13" t="s">
        <v>341</v>
      </c>
      <c r="D1577" s="13" t="s">
        <v>52</v>
      </c>
      <c r="E1577" s="13" t="s">
        <v>77</v>
      </c>
      <c r="F1577" s="13" t="s">
        <v>78</v>
      </c>
      <c r="G1577" s="13" t="s">
        <v>92</v>
      </c>
      <c r="H1577">
        <v>565000</v>
      </c>
      <c r="I1577" s="13" t="s">
        <v>56</v>
      </c>
      <c r="J1577" s="13" t="s">
        <v>57</v>
      </c>
      <c r="K1577" s="13" t="s">
        <v>58</v>
      </c>
      <c r="L1577" s="13" t="s">
        <v>59</v>
      </c>
      <c r="M1577">
        <v>45</v>
      </c>
      <c r="N1577">
        <v>0</v>
      </c>
      <c r="O1577" s="14">
        <v>46001</v>
      </c>
      <c r="P1577" s="14">
        <v>46046</v>
      </c>
      <c r="Q1577">
        <v>2078.46</v>
      </c>
      <c r="R1577">
        <v>0</v>
      </c>
      <c r="S1577">
        <v>0</v>
      </c>
      <c r="T1577">
        <v>0</v>
      </c>
      <c r="U1577">
        <v>0</v>
      </c>
      <c r="V1577">
        <v>2078.46</v>
      </c>
      <c r="W1577">
        <v>0</v>
      </c>
      <c r="X1577">
        <v>1</v>
      </c>
      <c r="Y1577">
        <v>0</v>
      </c>
      <c r="Z1577">
        <v>-24</v>
      </c>
      <c r="AA1577">
        <v>1</v>
      </c>
      <c r="AB1577" s="13" t="s">
        <v>581</v>
      </c>
      <c r="AC1577">
        <v>0</v>
      </c>
      <c r="AD1577">
        <v>0</v>
      </c>
      <c r="AE1577" s="13" t="s">
        <v>61</v>
      </c>
    </row>
    <row r="1578" spans="1:31" x14ac:dyDescent="0.35">
      <c r="A1578" s="13" t="s">
        <v>2358</v>
      </c>
      <c r="B1578" s="13" t="s">
        <v>189</v>
      </c>
      <c r="C1578" s="13" t="s">
        <v>190</v>
      </c>
      <c r="D1578" s="13" t="s">
        <v>104</v>
      </c>
      <c r="E1578" s="13" t="s">
        <v>53</v>
      </c>
      <c r="F1578" s="13" t="s">
        <v>135</v>
      </c>
      <c r="G1578" s="13" t="s">
        <v>67</v>
      </c>
      <c r="H1578">
        <v>30000</v>
      </c>
      <c r="I1578" s="13" t="s">
        <v>105</v>
      </c>
      <c r="J1578" s="13" t="s">
        <v>106</v>
      </c>
      <c r="K1578" s="13" t="s">
        <v>107</v>
      </c>
      <c r="L1578" s="13" t="s">
        <v>88</v>
      </c>
      <c r="M1578">
        <v>60</v>
      </c>
      <c r="N1578">
        <v>0</v>
      </c>
      <c r="O1578" s="14">
        <v>46001</v>
      </c>
      <c r="P1578" s="14">
        <v>46061</v>
      </c>
      <c r="Q1578">
        <v>1080.3499999999999</v>
      </c>
      <c r="R1578">
        <v>0</v>
      </c>
      <c r="S1578">
        <v>0</v>
      </c>
      <c r="T1578">
        <v>0</v>
      </c>
      <c r="U1578">
        <v>0</v>
      </c>
      <c r="V1578">
        <v>1080.3499999999999</v>
      </c>
      <c r="W1578">
        <v>0</v>
      </c>
      <c r="X1578">
        <v>1</v>
      </c>
      <c r="Y1578">
        <v>0</v>
      </c>
      <c r="Z1578">
        <v>-39</v>
      </c>
      <c r="AA1578">
        <v>1</v>
      </c>
      <c r="AB1578" s="13" t="s">
        <v>581</v>
      </c>
      <c r="AC1578">
        <v>0</v>
      </c>
      <c r="AD1578">
        <v>0</v>
      </c>
      <c r="AE1578" s="13" t="s">
        <v>61</v>
      </c>
    </row>
    <row r="1579" spans="1:31" x14ac:dyDescent="0.35">
      <c r="A1579" s="13" t="s">
        <v>2359</v>
      </c>
      <c r="B1579" s="13" t="s">
        <v>590</v>
      </c>
      <c r="C1579" s="13" t="s">
        <v>591</v>
      </c>
      <c r="D1579" s="13" t="s">
        <v>52</v>
      </c>
      <c r="E1579" s="13" t="s">
        <v>53</v>
      </c>
      <c r="F1579" s="13" t="s">
        <v>135</v>
      </c>
      <c r="G1579" s="13" t="s">
        <v>67</v>
      </c>
      <c r="H1579">
        <v>240000</v>
      </c>
      <c r="I1579" s="13" t="s">
        <v>86</v>
      </c>
      <c r="J1579" s="13" t="s">
        <v>87</v>
      </c>
      <c r="K1579" s="13" t="s">
        <v>58</v>
      </c>
      <c r="L1579" s="13" t="s">
        <v>88</v>
      </c>
      <c r="M1579">
        <v>60</v>
      </c>
      <c r="N1579">
        <v>0</v>
      </c>
      <c r="O1579" s="14">
        <v>46001</v>
      </c>
      <c r="P1579" s="14">
        <v>46061</v>
      </c>
      <c r="Q1579">
        <v>2940.84</v>
      </c>
      <c r="R1579">
        <v>0</v>
      </c>
      <c r="S1579">
        <v>0</v>
      </c>
      <c r="T1579">
        <v>0</v>
      </c>
      <c r="U1579">
        <v>0</v>
      </c>
      <c r="V1579">
        <v>2940.84</v>
      </c>
      <c r="W1579">
        <v>0</v>
      </c>
      <c r="X1579">
        <v>1</v>
      </c>
      <c r="Y1579">
        <v>0</v>
      </c>
      <c r="Z1579">
        <v>-39</v>
      </c>
      <c r="AA1579">
        <v>1</v>
      </c>
      <c r="AB1579" s="13" t="s">
        <v>581</v>
      </c>
      <c r="AC1579">
        <v>0</v>
      </c>
      <c r="AD1579">
        <v>0</v>
      </c>
      <c r="AE1579" s="13" t="s">
        <v>61</v>
      </c>
    </row>
    <row r="1580" spans="1:31" x14ac:dyDescent="0.35">
      <c r="A1580" s="13" t="s">
        <v>2360</v>
      </c>
      <c r="B1580" s="13" t="s">
        <v>280</v>
      </c>
      <c r="C1580" s="13" t="s">
        <v>281</v>
      </c>
      <c r="D1580" s="13" t="s">
        <v>104</v>
      </c>
      <c r="E1580" s="13" t="s">
        <v>71</v>
      </c>
      <c r="F1580" s="13" t="s">
        <v>214</v>
      </c>
      <c r="G1580" s="13" t="s">
        <v>92</v>
      </c>
      <c r="H1580">
        <v>100000</v>
      </c>
      <c r="I1580" s="13" t="s">
        <v>121</v>
      </c>
      <c r="J1580" s="13" t="s">
        <v>122</v>
      </c>
      <c r="K1580" s="13" t="s">
        <v>107</v>
      </c>
      <c r="L1580" s="13" t="s">
        <v>88</v>
      </c>
      <c r="M1580">
        <v>60</v>
      </c>
      <c r="N1580">
        <v>0</v>
      </c>
      <c r="O1580" s="14">
        <v>46001</v>
      </c>
      <c r="P1580" s="14">
        <v>46061</v>
      </c>
      <c r="Q1580">
        <v>809.69</v>
      </c>
      <c r="R1580">
        <v>0</v>
      </c>
      <c r="S1580">
        <v>0</v>
      </c>
      <c r="T1580">
        <v>0</v>
      </c>
      <c r="U1580">
        <v>0</v>
      </c>
      <c r="V1580">
        <v>809.69</v>
      </c>
      <c r="W1580">
        <v>0</v>
      </c>
      <c r="X1580">
        <v>1</v>
      </c>
      <c r="Y1580">
        <v>0</v>
      </c>
      <c r="Z1580">
        <v>-39</v>
      </c>
      <c r="AA1580">
        <v>1</v>
      </c>
      <c r="AB1580" s="13" t="s">
        <v>581</v>
      </c>
      <c r="AC1580">
        <v>0</v>
      </c>
      <c r="AD1580">
        <v>0</v>
      </c>
      <c r="AE1580" s="13" t="s">
        <v>61</v>
      </c>
    </row>
    <row r="1581" spans="1:31" x14ac:dyDescent="0.35">
      <c r="A1581" s="13" t="s">
        <v>2361</v>
      </c>
      <c r="B1581" s="13" t="s">
        <v>177</v>
      </c>
      <c r="C1581" s="13" t="s">
        <v>178</v>
      </c>
      <c r="D1581" s="13" t="s">
        <v>52</v>
      </c>
      <c r="E1581" s="13" t="s">
        <v>71</v>
      </c>
      <c r="F1581" s="13" t="s">
        <v>72</v>
      </c>
      <c r="G1581" s="13" t="s">
        <v>67</v>
      </c>
      <c r="H1581">
        <v>415000</v>
      </c>
      <c r="I1581" s="13" t="s">
        <v>56</v>
      </c>
      <c r="J1581" s="13" t="s">
        <v>57</v>
      </c>
      <c r="K1581" s="13" t="s">
        <v>58</v>
      </c>
      <c r="L1581" s="13" t="s">
        <v>59</v>
      </c>
      <c r="M1581">
        <v>45</v>
      </c>
      <c r="N1581">
        <v>0</v>
      </c>
      <c r="O1581" s="14">
        <v>46001</v>
      </c>
      <c r="P1581" s="14">
        <v>46046</v>
      </c>
      <c r="Q1581">
        <v>15002.75</v>
      </c>
      <c r="R1581">
        <v>0</v>
      </c>
      <c r="S1581">
        <v>0</v>
      </c>
      <c r="T1581">
        <v>0</v>
      </c>
      <c r="U1581">
        <v>0</v>
      </c>
      <c r="V1581">
        <v>15002.75</v>
      </c>
      <c r="W1581">
        <v>0</v>
      </c>
      <c r="X1581">
        <v>1</v>
      </c>
      <c r="Y1581">
        <v>0</v>
      </c>
      <c r="Z1581">
        <v>-24</v>
      </c>
      <c r="AA1581">
        <v>1</v>
      </c>
      <c r="AB1581" s="13" t="s">
        <v>581</v>
      </c>
      <c r="AC1581">
        <v>0</v>
      </c>
      <c r="AD1581">
        <v>0</v>
      </c>
      <c r="AE1581" s="13" t="s">
        <v>61</v>
      </c>
    </row>
    <row r="1582" spans="1:31" x14ac:dyDescent="0.35">
      <c r="A1582" s="13" t="s">
        <v>2362</v>
      </c>
      <c r="B1582" s="13" t="s">
        <v>1452</v>
      </c>
      <c r="C1582" s="13" t="s">
        <v>1453</v>
      </c>
      <c r="D1582" s="13" t="s">
        <v>76</v>
      </c>
      <c r="E1582" s="13" t="s">
        <v>53</v>
      </c>
      <c r="F1582" s="13" t="s">
        <v>135</v>
      </c>
      <c r="G1582" s="13" t="s">
        <v>92</v>
      </c>
      <c r="H1582">
        <v>40000</v>
      </c>
      <c r="I1582" s="13" t="s">
        <v>93</v>
      </c>
      <c r="J1582" s="13" t="s">
        <v>94</v>
      </c>
      <c r="K1582" s="13" t="s">
        <v>81</v>
      </c>
      <c r="L1582" s="13" t="s">
        <v>95</v>
      </c>
      <c r="M1582">
        <v>30</v>
      </c>
      <c r="N1582">
        <v>0</v>
      </c>
      <c r="O1582" s="14">
        <v>46001</v>
      </c>
      <c r="P1582" s="14">
        <v>46031</v>
      </c>
      <c r="Q1582">
        <v>823.25</v>
      </c>
      <c r="R1582">
        <v>0</v>
      </c>
      <c r="S1582">
        <v>0</v>
      </c>
      <c r="T1582">
        <v>0</v>
      </c>
      <c r="U1582">
        <v>0</v>
      </c>
      <c r="V1582">
        <v>823.25</v>
      </c>
      <c r="W1582">
        <v>0</v>
      </c>
      <c r="X1582">
        <v>1</v>
      </c>
      <c r="Y1582">
        <v>0</v>
      </c>
      <c r="Z1582">
        <v>-9</v>
      </c>
      <c r="AA1582">
        <v>1</v>
      </c>
      <c r="AB1582" s="13" t="s">
        <v>581</v>
      </c>
      <c r="AC1582">
        <v>0</v>
      </c>
      <c r="AD1582">
        <v>0</v>
      </c>
      <c r="AE1582" s="13" t="s">
        <v>61</v>
      </c>
    </row>
    <row r="1583" spans="1:31" x14ac:dyDescent="0.35">
      <c r="A1583" s="13" t="s">
        <v>2363</v>
      </c>
      <c r="B1583" s="13" t="s">
        <v>550</v>
      </c>
      <c r="C1583" s="13" t="s">
        <v>551</v>
      </c>
      <c r="D1583" s="13" t="s">
        <v>104</v>
      </c>
      <c r="E1583" s="13" t="s">
        <v>71</v>
      </c>
      <c r="F1583" s="13" t="s">
        <v>214</v>
      </c>
      <c r="G1583" s="13" t="s">
        <v>55</v>
      </c>
      <c r="H1583">
        <v>110000</v>
      </c>
      <c r="I1583" s="13" t="s">
        <v>121</v>
      </c>
      <c r="J1583" s="13" t="s">
        <v>122</v>
      </c>
      <c r="K1583" s="13" t="s">
        <v>107</v>
      </c>
      <c r="L1583" s="13" t="s">
        <v>88</v>
      </c>
      <c r="M1583">
        <v>60</v>
      </c>
      <c r="N1583">
        <v>0</v>
      </c>
      <c r="O1583" s="14">
        <v>46001</v>
      </c>
      <c r="P1583" s="14">
        <v>46061</v>
      </c>
      <c r="Q1583">
        <v>6289.86</v>
      </c>
      <c r="R1583">
        <v>0</v>
      </c>
      <c r="S1583">
        <v>0</v>
      </c>
      <c r="T1583">
        <v>0</v>
      </c>
      <c r="U1583">
        <v>0</v>
      </c>
      <c r="V1583">
        <v>6289.86</v>
      </c>
      <c r="W1583">
        <v>0</v>
      </c>
      <c r="X1583">
        <v>1</v>
      </c>
      <c r="Y1583">
        <v>0</v>
      </c>
      <c r="Z1583">
        <v>-39</v>
      </c>
      <c r="AA1583">
        <v>1</v>
      </c>
      <c r="AB1583" s="13" t="s">
        <v>581</v>
      </c>
      <c r="AC1583">
        <v>0</v>
      </c>
      <c r="AD1583">
        <v>0</v>
      </c>
      <c r="AE1583" s="13" t="s">
        <v>61</v>
      </c>
    </row>
    <row r="1584" spans="1:31" x14ac:dyDescent="0.35">
      <c r="A1584" s="13" t="s">
        <v>2364</v>
      </c>
      <c r="B1584" s="13" t="s">
        <v>186</v>
      </c>
      <c r="C1584" s="13" t="s">
        <v>187</v>
      </c>
      <c r="D1584" s="13" t="s">
        <v>76</v>
      </c>
      <c r="E1584" s="13" t="s">
        <v>65</v>
      </c>
      <c r="F1584" s="13" t="s">
        <v>66</v>
      </c>
      <c r="G1584" s="13" t="s">
        <v>55</v>
      </c>
      <c r="H1584">
        <v>120000</v>
      </c>
      <c r="I1584" s="13" t="s">
        <v>93</v>
      </c>
      <c r="J1584" s="13" t="s">
        <v>94</v>
      </c>
      <c r="K1584" s="13" t="s">
        <v>81</v>
      </c>
      <c r="L1584" s="13" t="s">
        <v>95</v>
      </c>
      <c r="M1584">
        <v>30</v>
      </c>
      <c r="N1584">
        <v>0</v>
      </c>
      <c r="O1584" s="14">
        <v>46002</v>
      </c>
      <c r="P1584" s="14">
        <v>46032</v>
      </c>
      <c r="Q1584">
        <v>1382.82</v>
      </c>
      <c r="R1584">
        <v>0</v>
      </c>
      <c r="S1584">
        <v>0</v>
      </c>
      <c r="T1584">
        <v>0</v>
      </c>
      <c r="U1584">
        <v>0</v>
      </c>
      <c r="V1584">
        <v>1382.82</v>
      </c>
      <c r="W1584">
        <v>0</v>
      </c>
      <c r="X1584">
        <v>1</v>
      </c>
      <c r="Y1584">
        <v>0</v>
      </c>
      <c r="Z1584">
        <v>-10</v>
      </c>
      <c r="AA1584">
        <v>1</v>
      </c>
      <c r="AB1584" s="13" t="s">
        <v>581</v>
      </c>
      <c r="AC1584">
        <v>0</v>
      </c>
      <c r="AD1584">
        <v>0</v>
      </c>
      <c r="AE1584" s="13" t="s">
        <v>61</v>
      </c>
    </row>
    <row r="1585" spans="1:31" x14ac:dyDescent="0.35">
      <c r="A1585" s="13" t="s">
        <v>2365</v>
      </c>
      <c r="B1585" s="13" t="s">
        <v>409</v>
      </c>
      <c r="C1585" s="13" t="s">
        <v>410</v>
      </c>
      <c r="D1585" s="13" t="s">
        <v>126</v>
      </c>
      <c r="E1585" s="13" t="s">
        <v>71</v>
      </c>
      <c r="F1585" s="13" t="s">
        <v>72</v>
      </c>
      <c r="G1585" s="13" t="s">
        <v>67</v>
      </c>
      <c r="H1585">
        <v>195000</v>
      </c>
      <c r="I1585" s="13" t="s">
        <v>56</v>
      </c>
      <c r="J1585" s="13" t="s">
        <v>57</v>
      </c>
      <c r="K1585" s="13" t="s">
        <v>58</v>
      </c>
      <c r="L1585" s="13" t="s">
        <v>368</v>
      </c>
      <c r="M1585">
        <v>90</v>
      </c>
      <c r="N1585">
        <v>0</v>
      </c>
      <c r="O1585" s="14">
        <v>46002</v>
      </c>
      <c r="P1585" s="14">
        <v>46092</v>
      </c>
      <c r="Q1585">
        <v>2755.31</v>
      </c>
      <c r="R1585">
        <v>0</v>
      </c>
      <c r="S1585">
        <v>0</v>
      </c>
      <c r="T1585">
        <v>0</v>
      </c>
      <c r="U1585">
        <v>0</v>
      </c>
      <c r="V1585">
        <v>2755.31</v>
      </c>
      <c r="W1585">
        <v>0</v>
      </c>
      <c r="X1585">
        <v>1</v>
      </c>
      <c r="Y1585">
        <v>0</v>
      </c>
      <c r="Z1585">
        <v>-70</v>
      </c>
      <c r="AA1585">
        <v>1</v>
      </c>
      <c r="AB1585" s="13" t="s">
        <v>581</v>
      </c>
      <c r="AC1585">
        <v>0</v>
      </c>
      <c r="AD1585">
        <v>0</v>
      </c>
      <c r="AE1585" s="13" t="s">
        <v>61</v>
      </c>
    </row>
    <row r="1586" spans="1:31" x14ac:dyDescent="0.35">
      <c r="A1586" s="13" t="s">
        <v>2366</v>
      </c>
      <c r="B1586" s="13" t="s">
        <v>1999</v>
      </c>
      <c r="C1586" s="13" t="s">
        <v>2000</v>
      </c>
      <c r="D1586" s="13" t="s">
        <v>76</v>
      </c>
      <c r="E1586" s="13" t="s">
        <v>71</v>
      </c>
      <c r="F1586" s="13" t="s">
        <v>214</v>
      </c>
      <c r="G1586" s="13" t="s">
        <v>67</v>
      </c>
      <c r="H1586">
        <v>30000</v>
      </c>
      <c r="I1586" s="13" t="s">
        <v>79</v>
      </c>
      <c r="J1586" s="13" t="s">
        <v>80</v>
      </c>
      <c r="K1586" s="13" t="s">
        <v>81</v>
      </c>
      <c r="L1586" s="13" t="s">
        <v>95</v>
      </c>
      <c r="M1586">
        <v>30</v>
      </c>
      <c r="N1586">
        <v>0</v>
      </c>
      <c r="O1586" s="14">
        <v>46002</v>
      </c>
      <c r="P1586" s="14">
        <v>46032</v>
      </c>
      <c r="Q1586">
        <v>1093.5999999999999</v>
      </c>
      <c r="R1586">
        <v>0</v>
      </c>
      <c r="S1586">
        <v>0</v>
      </c>
      <c r="T1586">
        <v>0</v>
      </c>
      <c r="U1586">
        <v>0</v>
      </c>
      <c r="V1586">
        <v>1093.5999999999999</v>
      </c>
      <c r="W1586">
        <v>0</v>
      </c>
      <c r="X1586">
        <v>1</v>
      </c>
      <c r="Y1586">
        <v>0</v>
      </c>
      <c r="Z1586">
        <v>-10</v>
      </c>
      <c r="AA1586">
        <v>1</v>
      </c>
      <c r="AB1586" s="13" t="s">
        <v>581</v>
      </c>
      <c r="AC1586">
        <v>0</v>
      </c>
      <c r="AD1586">
        <v>0</v>
      </c>
      <c r="AE1586" s="13" t="s">
        <v>61</v>
      </c>
    </row>
    <row r="1587" spans="1:31" x14ac:dyDescent="0.35">
      <c r="A1587" s="13" t="s">
        <v>2367</v>
      </c>
      <c r="B1587" s="13" t="s">
        <v>1644</v>
      </c>
      <c r="C1587" s="13" t="s">
        <v>1645</v>
      </c>
      <c r="D1587" s="13" t="s">
        <v>76</v>
      </c>
      <c r="E1587" s="13" t="s">
        <v>77</v>
      </c>
      <c r="F1587" s="13" t="s">
        <v>78</v>
      </c>
      <c r="G1587" s="13" t="s">
        <v>55</v>
      </c>
      <c r="H1587">
        <v>85000</v>
      </c>
      <c r="I1587" s="13" t="s">
        <v>79</v>
      </c>
      <c r="J1587" s="13" t="s">
        <v>80</v>
      </c>
      <c r="K1587" s="13" t="s">
        <v>81</v>
      </c>
      <c r="L1587" s="13" t="s">
        <v>82</v>
      </c>
      <c r="M1587">
        <v>30</v>
      </c>
      <c r="N1587">
        <v>2</v>
      </c>
      <c r="O1587" s="14">
        <v>46002</v>
      </c>
      <c r="P1587" s="14">
        <v>46032</v>
      </c>
      <c r="Q1587">
        <v>1042.56</v>
      </c>
      <c r="R1587">
        <v>0</v>
      </c>
      <c r="S1587">
        <v>0</v>
      </c>
      <c r="T1587">
        <v>0</v>
      </c>
      <c r="U1587">
        <v>0</v>
      </c>
      <c r="V1587">
        <v>1042.56</v>
      </c>
      <c r="W1587">
        <v>0</v>
      </c>
      <c r="X1587">
        <v>1</v>
      </c>
      <c r="Y1587">
        <v>0</v>
      </c>
      <c r="Z1587">
        <v>-10</v>
      </c>
      <c r="AA1587">
        <v>1</v>
      </c>
      <c r="AB1587" s="13" t="s">
        <v>581</v>
      </c>
      <c r="AC1587">
        <v>0</v>
      </c>
      <c r="AD1587">
        <v>0</v>
      </c>
      <c r="AE1587" s="13" t="s">
        <v>61</v>
      </c>
    </row>
    <row r="1588" spans="1:31" x14ac:dyDescent="0.35">
      <c r="A1588" s="13" t="s">
        <v>2368</v>
      </c>
      <c r="B1588" s="13" t="s">
        <v>761</v>
      </c>
      <c r="C1588" s="13" t="s">
        <v>762</v>
      </c>
      <c r="D1588" s="13" t="s">
        <v>52</v>
      </c>
      <c r="E1588" s="13" t="s">
        <v>71</v>
      </c>
      <c r="F1588" s="13" t="s">
        <v>72</v>
      </c>
      <c r="G1588" s="13" t="s">
        <v>67</v>
      </c>
      <c r="H1588">
        <v>340000</v>
      </c>
      <c r="I1588" s="13" t="s">
        <v>86</v>
      </c>
      <c r="J1588" s="13" t="s">
        <v>87</v>
      </c>
      <c r="K1588" s="13" t="s">
        <v>58</v>
      </c>
      <c r="L1588" s="13" t="s">
        <v>59</v>
      </c>
      <c r="M1588">
        <v>45</v>
      </c>
      <c r="N1588">
        <v>0</v>
      </c>
      <c r="O1588" s="14">
        <v>46002</v>
      </c>
      <c r="P1588" s="14">
        <v>46047</v>
      </c>
      <c r="Q1588">
        <v>8639.15</v>
      </c>
      <c r="R1588">
        <v>0</v>
      </c>
      <c r="S1588">
        <v>0</v>
      </c>
      <c r="T1588">
        <v>0</v>
      </c>
      <c r="U1588">
        <v>0</v>
      </c>
      <c r="V1588">
        <v>8639.15</v>
      </c>
      <c r="W1588">
        <v>0</v>
      </c>
      <c r="X1588">
        <v>1</v>
      </c>
      <c r="Y1588">
        <v>0</v>
      </c>
      <c r="Z1588">
        <v>-25</v>
      </c>
      <c r="AA1588">
        <v>1</v>
      </c>
      <c r="AB1588" s="13" t="s">
        <v>581</v>
      </c>
      <c r="AC1588">
        <v>0</v>
      </c>
      <c r="AD1588">
        <v>0</v>
      </c>
      <c r="AE1588" s="13" t="s">
        <v>61</v>
      </c>
    </row>
    <row r="1589" spans="1:31" x14ac:dyDescent="0.35">
      <c r="A1589" s="13" t="s">
        <v>2369</v>
      </c>
      <c r="B1589" s="13" t="s">
        <v>716</v>
      </c>
      <c r="C1589" s="13" t="s">
        <v>717</v>
      </c>
      <c r="D1589" s="13" t="s">
        <v>126</v>
      </c>
      <c r="E1589" s="13" t="s">
        <v>99</v>
      </c>
      <c r="F1589" s="13" t="s">
        <v>127</v>
      </c>
      <c r="G1589" s="13" t="s">
        <v>67</v>
      </c>
      <c r="H1589">
        <v>195000</v>
      </c>
      <c r="I1589" s="13" t="s">
        <v>86</v>
      </c>
      <c r="J1589" s="13" t="s">
        <v>87</v>
      </c>
      <c r="K1589" s="13" t="s">
        <v>58</v>
      </c>
      <c r="L1589" s="13" t="s">
        <v>88</v>
      </c>
      <c r="M1589">
        <v>60</v>
      </c>
      <c r="N1589">
        <v>0</v>
      </c>
      <c r="O1589" s="14">
        <v>46002</v>
      </c>
      <c r="P1589" s="14">
        <v>46062</v>
      </c>
      <c r="Q1589">
        <v>1564.09</v>
      </c>
      <c r="R1589">
        <v>0</v>
      </c>
      <c r="S1589">
        <v>0</v>
      </c>
      <c r="T1589">
        <v>0</v>
      </c>
      <c r="U1589">
        <v>0</v>
      </c>
      <c r="V1589">
        <v>1564.09</v>
      </c>
      <c r="W1589">
        <v>0</v>
      </c>
      <c r="X1589">
        <v>1</v>
      </c>
      <c r="Y1589">
        <v>0</v>
      </c>
      <c r="Z1589">
        <v>-40</v>
      </c>
      <c r="AA1589">
        <v>1</v>
      </c>
      <c r="AB1589" s="13" t="s">
        <v>581</v>
      </c>
      <c r="AC1589">
        <v>0</v>
      </c>
      <c r="AD1589">
        <v>0</v>
      </c>
      <c r="AE1589" s="13" t="s">
        <v>61</v>
      </c>
    </row>
    <row r="1590" spans="1:31" x14ac:dyDescent="0.35">
      <c r="A1590" s="13" t="s">
        <v>2370</v>
      </c>
      <c r="B1590" s="13" t="s">
        <v>994</v>
      </c>
      <c r="C1590" s="13" t="s">
        <v>995</v>
      </c>
      <c r="D1590" s="13" t="s">
        <v>52</v>
      </c>
      <c r="E1590" s="13" t="s">
        <v>71</v>
      </c>
      <c r="F1590" s="13" t="s">
        <v>214</v>
      </c>
      <c r="G1590" s="13" t="s">
        <v>67</v>
      </c>
      <c r="H1590">
        <v>275000</v>
      </c>
      <c r="I1590" s="13" t="s">
        <v>86</v>
      </c>
      <c r="J1590" s="13" t="s">
        <v>87</v>
      </c>
      <c r="K1590" s="13" t="s">
        <v>58</v>
      </c>
      <c r="L1590" s="13" t="s">
        <v>88</v>
      </c>
      <c r="M1590">
        <v>60</v>
      </c>
      <c r="N1590">
        <v>0</v>
      </c>
      <c r="O1590" s="14">
        <v>46002</v>
      </c>
      <c r="P1590" s="14">
        <v>46062</v>
      </c>
      <c r="Q1590">
        <v>6085.71</v>
      </c>
      <c r="R1590">
        <v>0</v>
      </c>
      <c r="S1590">
        <v>0</v>
      </c>
      <c r="T1590">
        <v>0</v>
      </c>
      <c r="U1590">
        <v>0</v>
      </c>
      <c r="V1590">
        <v>6085.71</v>
      </c>
      <c r="W1590">
        <v>0</v>
      </c>
      <c r="X1590">
        <v>1</v>
      </c>
      <c r="Y1590">
        <v>0</v>
      </c>
      <c r="Z1590">
        <v>-40</v>
      </c>
      <c r="AA1590">
        <v>1</v>
      </c>
      <c r="AB1590" s="13" t="s">
        <v>581</v>
      </c>
      <c r="AC1590">
        <v>0</v>
      </c>
      <c r="AD1590">
        <v>0</v>
      </c>
      <c r="AE1590" s="13" t="s">
        <v>61</v>
      </c>
    </row>
    <row r="1591" spans="1:31" x14ac:dyDescent="0.35">
      <c r="A1591" s="13" t="s">
        <v>2371</v>
      </c>
      <c r="B1591" s="13" t="s">
        <v>1247</v>
      </c>
      <c r="C1591" s="13" t="s">
        <v>1248</v>
      </c>
      <c r="D1591" s="13" t="s">
        <v>52</v>
      </c>
      <c r="E1591" s="13" t="s">
        <v>99</v>
      </c>
      <c r="F1591" s="13" t="s">
        <v>100</v>
      </c>
      <c r="G1591" s="13" t="s">
        <v>55</v>
      </c>
      <c r="H1591">
        <v>600000</v>
      </c>
      <c r="I1591" s="13" t="s">
        <v>56</v>
      </c>
      <c r="J1591" s="13" t="s">
        <v>57</v>
      </c>
      <c r="K1591" s="13" t="s">
        <v>58</v>
      </c>
      <c r="L1591" s="13" t="s">
        <v>59</v>
      </c>
      <c r="M1591">
        <v>45</v>
      </c>
      <c r="N1591">
        <v>0</v>
      </c>
      <c r="O1591" s="14">
        <v>46002</v>
      </c>
      <c r="P1591" s="14">
        <v>46047</v>
      </c>
      <c r="Q1591">
        <v>5748.35</v>
      </c>
      <c r="R1591">
        <v>0</v>
      </c>
      <c r="S1591">
        <v>0</v>
      </c>
      <c r="T1591">
        <v>0</v>
      </c>
      <c r="U1591">
        <v>0</v>
      </c>
      <c r="V1591">
        <v>5748.35</v>
      </c>
      <c r="W1591">
        <v>0</v>
      </c>
      <c r="X1591">
        <v>1</v>
      </c>
      <c r="Y1591">
        <v>0</v>
      </c>
      <c r="Z1591">
        <v>-25</v>
      </c>
      <c r="AA1591">
        <v>1</v>
      </c>
      <c r="AB1591" s="13" t="s">
        <v>581</v>
      </c>
      <c r="AC1591">
        <v>0</v>
      </c>
      <c r="AD1591">
        <v>1</v>
      </c>
      <c r="AE1591" s="13" t="s">
        <v>665</v>
      </c>
    </row>
    <row r="1592" spans="1:31" x14ac:dyDescent="0.35">
      <c r="A1592" s="13" t="s">
        <v>2372</v>
      </c>
      <c r="B1592" s="13" t="s">
        <v>229</v>
      </c>
      <c r="C1592" s="13" t="s">
        <v>230</v>
      </c>
      <c r="D1592" s="13" t="s">
        <v>104</v>
      </c>
      <c r="E1592" s="13" t="s">
        <v>71</v>
      </c>
      <c r="F1592" s="13" t="s">
        <v>214</v>
      </c>
      <c r="G1592" s="13" t="s">
        <v>67</v>
      </c>
      <c r="H1592">
        <v>110000</v>
      </c>
      <c r="I1592" s="13" t="s">
        <v>105</v>
      </c>
      <c r="J1592" s="13" t="s">
        <v>106</v>
      </c>
      <c r="K1592" s="13" t="s">
        <v>107</v>
      </c>
      <c r="L1592" s="13" t="s">
        <v>88</v>
      </c>
      <c r="M1592">
        <v>60</v>
      </c>
      <c r="N1592">
        <v>0</v>
      </c>
      <c r="O1592" s="14">
        <v>46002</v>
      </c>
      <c r="P1592" s="14">
        <v>46062</v>
      </c>
      <c r="Q1592">
        <v>4186.91</v>
      </c>
      <c r="R1592">
        <v>0</v>
      </c>
      <c r="S1592">
        <v>0</v>
      </c>
      <c r="T1592">
        <v>0</v>
      </c>
      <c r="U1592">
        <v>0</v>
      </c>
      <c r="V1592">
        <v>4186.91</v>
      </c>
      <c r="W1592">
        <v>0</v>
      </c>
      <c r="X1592">
        <v>1</v>
      </c>
      <c r="Y1592">
        <v>0</v>
      </c>
      <c r="Z1592">
        <v>-40</v>
      </c>
      <c r="AA1592">
        <v>1</v>
      </c>
      <c r="AB1592" s="13" t="s">
        <v>581</v>
      </c>
      <c r="AC1592">
        <v>0</v>
      </c>
      <c r="AD1592">
        <v>0</v>
      </c>
      <c r="AE1592" s="13" t="s">
        <v>61</v>
      </c>
    </row>
    <row r="1593" spans="1:31" x14ac:dyDescent="0.35">
      <c r="A1593" s="13" t="s">
        <v>2373</v>
      </c>
      <c r="B1593" s="13" t="s">
        <v>442</v>
      </c>
      <c r="C1593" s="13" t="s">
        <v>443</v>
      </c>
      <c r="D1593" s="13" t="s">
        <v>104</v>
      </c>
      <c r="E1593" s="13" t="s">
        <v>71</v>
      </c>
      <c r="F1593" s="13" t="s">
        <v>214</v>
      </c>
      <c r="G1593" s="13" t="s">
        <v>92</v>
      </c>
      <c r="H1593">
        <v>145000</v>
      </c>
      <c r="I1593" s="13" t="s">
        <v>121</v>
      </c>
      <c r="J1593" s="13" t="s">
        <v>122</v>
      </c>
      <c r="K1593" s="13" t="s">
        <v>107</v>
      </c>
      <c r="L1593" s="13" t="s">
        <v>88</v>
      </c>
      <c r="M1593">
        <v>60</v>
      </c>
      <c r="N1593">
        <v>0</v>
      </c>
      <c r="O1593" s="14">
        <v>46002</v>
      </c>
      <c r="P1593" s="14">
        <v>46062</v>
      </c>
      <c r="Q1593">
        <v>6655.63</v>
      </c>
      <c r="R1593">
        <v>0</v>
      </c>
      <c r="S1593">
        <v>0</v>
      </c>
      <c r="T1593">
        <v>0</v>
      </c>
      <c r="U1593">
        <v>0</v>
      </c>
      <c r="V1593">
        <v>6655.63</v>
      </c>
      <c r="W1593">
        <v>0</v>
      </c>
      <c r="X1593">
        <v>1</v>
      </c>
      <c r="Y1593">
        <v>0</v>
      </c>
      <c r="Z1593">
        <v>-40</v>
      </c>
      <c r="AA1593">
        <v>1</v>
      </c>
      <c r="AB1593" s="13" t="s">
        <v>581</v>
      </c>
      <c r="AC1593">
        <v>0</v>
      </c>
      <c r="AD1593">
        <v>0</v>
      </c>
      <c r="AE1593" s="13" t="s">
        <v>61</v>
      </c>
    </row>
    <row r="1594" spans="1:31" x14ac:dyDescent="0.35">
      <c r="A1594" s="13" t="s">
        <v>2374</v>
      </c>
      <c r="B1594" s="13" t="s">
        <v>84</v>
      </c>
      <c r="C1594" s="13" t="s">
        <v>85</v>
      </c>
      <c r="D1594" s="13" t="s">
        <v>52</v>
      </c>
      <c r="E1594" s="13" t="s">
        <v>71</v>
      </c>
      <c r="F1594" s="13" t="s">
        <v>72</v>
      </c>
      <c r="G1594" s="13" t="s">
        <v>67</v>
      </c>
      <c r="H1594">
        <v>600000</v>
      </c>
      <c r="I1594" s="13" t="s">
        <v>86</v>
      </c>
      <c r="J1594" s="13" t="s">
        <v>87</v>
      </c>
      <c r="K1594" s="13" t="s">
        <v>58</v>
      </c>
      <c r="L1594" s="13" t="s">
        <v>88</v>
      </c>
      <c r="M1594">
        <v>60</v>
      </c>
      <c r="N1594">
        <v>0</v>
      </c>
      <c r="O1594" s="14">
        <v>46002</v>
      </c>
      <c r="P1594" s="14">
        <v>46062</v>
      </c>
      <c r="Q1594">
        <v>11904.52</v>
      </c>
      <c r="R1594">
        <v>0</v>
      </c>
      <c r="S1594">
        <v>0</v>
      </c>
      <c r="T1594">
        <v>0</v>
      </c>
      <c r="U1594">
        <v>0</v>
      </c>
      <c r="V1594">
        <v>11904.52</v>
      </c>
      <c r="W1594">
        <v>0</v>
      </c>
      <c r="X1594">
        <v>1</v>
      </c>
      <c r="Y1594">
        <v>0</v>
      </c>
      <c r="Z1594">
        <v>-40</v>
      </c>
      <c r="AA1594">
        <v>1</v>
      </c>
      <c r="AB1594" s="13" t="s">
        <v>581</v>
      </c>
      <c r="AC1594">
        <v>0</v>
      </c>
      <c r="AD1594">
        <v>0</v>
      </c>
      <c r="AE1594" s="13" t="s">
        <v>61</v>
      </c>
    </row>
    <row r="1595" spans="1:31" x14ac:dyDescent="0.35">
      <c r="A1595" s="13" t="s">
        <v>2375</v>
      </c>
      <c r="B1595" s="13" t="s">
        <v>1559</v>
      </c>
      <c r="C1595" s="13" t="s">
        <v>1560</v>
      </c>
      <c r="D1595" s="13" t="s">
        <v>104</v>
      </c>
      <c r="E1595" s="13" t="s">
        <v>99</v>
      </c>
      <c r="F1595" s="13" t="s">
        <v>100</v>
      </c>
      <c r="G1595" s="13" t="s">
        <v>55</v>
      </c>
      <c r="H1595">
        <v>115000</v>
      </c>
      <c r="I1595" s="13" t="s">
        <v>105</v>
      </c>
      <c r="J1595" s="13" t="s">
        <v>106</v>
      </c>
      <c r="K1595" s="13" t="s">
        <v>107</v>
      </c>
      <c r="L1595" s="13" t="s">
        <v>95</v>
      </c>
      <c r="M1595">
        <v>30</v>
      </c>
      <c r="N1595">
        <v>0</v>
      </c>
      <c r="O1595" s="14">
        <v>46002</v>
      </c>
      <c r="P1595" s="14">
        <v>46032</v>
      </c>
      <c r="Q1595">
        <v>1740.26</v>
      </c>
      <c r="R1595">
        <v>0</v>
      </c>
      <c r="S1595">
        <v>0</v>
      </c>
      <c r="T1595">
        <v>0</v>
      </c>
      <c r="U1595">
        <v>0</v>
      </c>
      <c r="V1595">
        <v>1740.26</v>
      </c>
      <c r="W1595">
        <v>0</v>
      </c>
      <c r="X1595">
        <v>1</v>
      </c>
      <c r="Y1595">
        <v>0</v>
      </c>
      <c r="Z1595">
        <v>-10</v>
      </c>
      <c r="AA1595">
        <v>1</v>
      </c>
      <c r="AB1595" s="13" t="s">
        <v>581</v>
      </c>
      <c r="AC1595">
        <v>0</v>
      </c>
      <c r="AD1595">
        <v>0</v>
      </c>
      <c r="AE1595" s="13" t="s">
        <v>61</v>
      </c>
    </row>
    <row r="1596" spans="1:31" x14ac:dyDescent="0.35">
      <c r="A1596" s="13" t="s">
        <v>2376</v>
      </c>
      <c r="B1596" s="13" t="s">
        <v>997</v>
      </c>
      <c r="C1596" s="13" t="s">
        <v>998</v>
      </c>
      <c r="D1596" s="13" t="s">
        <v>52</v>
      </c>
      <c r="E1596" s="13" t="s">
        <v>71</v>
      </c>
      <c r="F1596" s="13" t="s">
        <v>72</v>
      </c>
      <c r="G1596" s="13" t="s">
        <v>55</v>
      </c>
      <c r="H1596">
        <v>405000</v>
      </c>
      <c r="I1596" s="13" t="s">
        <v>86</v>
      </c>
      <c r="J1596" s="13" t="s">
        <v>87</v>
      </c>
      <c r="K1596" s="13" t="s">
        <v>58</v>
      </c>
      <c r="L1596" s="13" t="s">
        <v>59</v>
      </c>
      <c r="M1596">
        <v>45</v>
      </c>
      <c r="N1596">
        <v>0</v>
      </c>
      <c r="O1596" s="14">
        <v>46002</v>
      </c>
      <c r="P1596" s="14">
        <v>46047</v>
      </c>
      <c r="Q1596">
        <v>5851.93</v>
      </c>
      <c r="R1596">
        <v>0</v>
      </c>
      <c r="S1596">
        <v>0</v>
      </c>
      <c r="T1596">
        <v>0</v>
      </c>
      <c r="U1596">
        <v>0</v>
      </c>
      <c r="V1596">
        <v>5851.93</v>
      </c>
      <c r="W1596">
        <v>0</v>
      </c>
      <c r="X1596">
        <v>1</v>
      </c>
      <c r="Y1596">
        <v>0</v>
      </c>
      <c r="Z1596">
        <v>-25</v>
      </c>
      <c r="AA1596">
        <v>1</v>
      </c>
      <c r="AB1596" s="13" t="s">
        <v>581</v>
      </c>
      <c r="AC1596">
        <v>0</v>
      </c>
      <c r="AD1596">
        <v>0</v>
      </c>
      <c r="AE1596" s="13" t="s">
        <v>61</v>
      </c>
    </row>
    <row r="1597" spans="1:31" x14ac:dyDescent="0.35">
      <c r="A1597" s="13" t="s">
        <v>2377</v>
      </c>
      <c r="B1597" s="13" t="s">
        <v>1819</v>
      </c>
      <c r="C1597" s="13" t="s">
        <v>1820</v>
      </c>
      <c r="D1597" s="13" t="s">
        <v>126</v>
      </c>
      <c r="E1597" s="13" t="s">
        <v>71</v>
      </c>
      <c r="F1597" s="13" t="s">
        <v>72</v>
      </c>
      <c r="G1597" s="13" t="s">
        <v>67</v>
      </c>
      <c r="H1597">
        <v>90000</v>
      </c>
      <c r="I1597" s="13" t="s">
        <v>105</v>
      </c>
      <c r="J1597" s="13" t="s">
        <v>106</v>
      </c>
      <c r="K1597" s="13" t="s">
        <v>107</v>
      </c>
      <c r="L1597" s="13" t="s">
        <v>88</v>
      </c>
      <c r="M1597">
        <v>60</v>
      </c>
      <c r="N1597">
        <v>0</v>
      </c>
      <c r="O1597" s="14">
        <v>46002</v>
      </c>
      <c r="P1597" s="14">
        <v>46062</v>
      </c>
      <c r="Q1597">
        <v>9729.3799999999992</v>
      </c>
      <c r="R1597">
        <v>0</v>
      </c>
      <c r="S1597">
        <v>0</v>
      </c>
      <c r="T1597">
        <v>0</v>
      </c>
      <c r="U1597">
        <v>0</v>
      </c>
      <c r="V1597">
        <v>9729.3799999999992</v>
      </c>
      <c r="W1597">
        <v>0</v>
      </c>
      <c r="X1597">
        <v>1</v>
      </c>
      <c r="Y1597">
        <v>0</v>
      </c>
      <c r="Z1597">
        <v>-40</v>
      </c>
      <c r="AA1597">
        <v>1</v>
      </c>
      <c r="AB1597" s="13" t="s">
        <v>581</v>
      </c>
      <c r="AC1597">
        <v>0</v>
      </c>
      <c r="AD1597">
        <v>0</v>
      </c>
      <c r="AE1597" s="13" t="s">
        <v>61</v>
      </c>
    </row>
    <row r="1598" spans="1:31" x14ac:dyDescent="0.35">
      <c r="A1598" s="13" t="s">
        <v>2378</v>
      </c>
      <c r="B1598" s="13" t="s">
        <v>1720</v>
      </c>
      <c r="C1598" s="13" t="s">
        <v>1721</v>
      </c>
      <c r="D1598" s="13" t="s">
        <v>104</v>
      </c>
      <c r="E1598" s="13" t="s">
        <v>65</v>
      </c>
      <c r="F1598" s="13" t="s">
        <v>111</v>
      </c>
      <c r="G1598" s="13" t="s">
        <v>67</v>
      </c>
      <c r="H1598">
        <v>80000</v>
      </c>
      <c r="I1598" s="13" t="s">
        <v>105</v>
      </c>
      <c r="J1598" s="13" t="s">
        <v>106</v>
      </c>
      <c r="K1598" s="13" t="s">
        <v>107</v>
      </c>
      <c r="L1598" s="13" t="s">
        <v>95</v>
      </c>
      <c r="M1598">
        <v>30</v>
      </c>
      <c r="N1598">
        <v>0</v>
      </c>
      <c r="O1598" s="14">
        <v>46002</v>
      </c>
      <c r="P1598" s="14">
        <v>46032</v>
      </c>
      <c r="Q1598">
        <v>5401.23</v>
      </c>
      <c r="R1598">
        <v>0</v>
      </c>
      <c r="S1598">
        <v>0</v>
      </c>
      <c r="T1598">
        <v>0</v>
      </c>
      <c r="U1598">
        <v>0</v>
      </c>
      <c r="V1598">
        <v>5401.23</v>
      </c>
      <c r="W1598">
        <v>0</v>
      </c>
      <c r="X1598">
        <v>1</v>
      </c>
      <c r="Y1598">
        <v>0</v>
      </c>
      <c r="Z1598">
        <v>-10</v>
      </c>
      <c r="AA1598">
        <v>1</v>
      </c>
      <c r="AB1598" s="13" t="s">
        <v>581</v>
      </c>
      <c r="AC1598">
        <v>0</v>
      </c>
      <c r="AD1598">
        <v>0</v>
      </c>
      <c r="AE1598" s="13" t="s">
        <v>61</v>
      </c>
    </row>
    <row r="1599" spans="1:31" x14ac:dyDescent="0.35">
      <c r="A1599" s="13" t="s">
        <v>2379</v>
      </c>
      <c r="B1599" s="13" t="s">
        <v>834</v>
      </c>
      <c r="C1599" s="13" t="s">
        <v>835</v>
      </c>
      <c r="D1599" s="13" t="s">
        <v>104</v>
      </c>
      <c r="E1599" s="13" t="s">
        <v>77</v>
      </c>
      <c r="F1599" s="13" t="s">
        <v>174</v>
      </c>
      <c r="G1599" s="13" t="s">
        <v>67</v>
      </c>
      <c r="H1599">
        <v>140000</v>
      </c>
      <c r="I1599" s="13" t="s">
        <v>105</v>
      </c>
      <c r="J1599" s="13" t="s">
        <v>106</v>
      </c>
      <c r="K1599" s="13" t="s">
        <v>107</v>
      </c>
      <c r="L1599" s="13" t="s">
        <v>95</v>
      </c>
      <c r="M1599">
        <v>30</v>
      </c>
      <c r="N1599">
        <v>0</v>
      </c>
      <c r="O1599" s="14">
        <v>46002</v>
      </c>
      <c r="P1599" s="14">
        <v>46032</v>
      </c>
      <c r="Q1599">
        <v>1964.34</v>
      </c>
      <c r="R1599">
        <v>0</v>
      </c>
      <c r="S1599">
        <v>0</v>
      </c>
      <c r="T1599">
        <v>0</v>
      </c>
      <c r="U1599">
        <v>0</v>
      </c>
      <c r="V1599">
        <v>1964.34</v>
      </c>
      <c r="W1599">
        <v>0</v>
      </c>
      <c r="X1599">
        <v>1</v>
      </c>
      <c r="Y1599">
        <v>0</v>
      </c>
      <c r="Z1599">
        <v>-10</v>
      </c>
      <c r="AA1599">
        <v>1</v>
      </c>
      <c r="AB1599" s="13" t="s">
        <v>581</v>
      </c>
      <c r="AC1599">
        <v>0</v>
      </c>
      <c r="AD1599">
        <v>0</v>
      </c>
      <c r="AE1599" s="13" t="s">
        <v>61</v>
      </c>
    </row>
    <row r="1600" spans="1:31" x14ac:dyDescent="0.35">
      <c r="A1600" s="13" t="s">
        <v>2380</v>
      </c>
      <c r="B1600" s="13" t="s">
        <v>133</v>
      </c>
      <c r="C1600" s="13" t="s">
        <v>134</v>
      </c>
      <c r="D1600" s="13" t="s">
        <v>104</v>
      </c>
      <c r="E1600" s="13" t="s">
        <v>53</v>
      </c>
      <c r="F1600" s="13" t="s">
        <v>135</v>
      </c>
      <c r="G1600" s="13" t="s">
        <v>67</v>
      </c>
      <c r="H1600">
        <v>95000</v>
      </c>
      <c r="I1600" s="13" t="s">
        <v>121</v>
      </c>
      <c r="J1600" s="13" t="s">
        <v>122</v>
      </c>
      <c r="K1600" s="13" t="s">
        <v>107</v>
      </c>
      <c r="L1600" s="13" t="s">
        <v>82</v>
      </c>
      <c r="M1600">
        <v>30</v>
      </c>
      <c r="N1600">
        <v>2</v>
      </c>
      <c r="O1600" s="14">
        <v>46002</v>
      </c>
      <c r="P1600" s="14">
        <v>46032</v>
      </c>
      <c r="Q1600">
        <v>995.56</v>
      </c>
      <c r="R1600">
        <v>0</v>
      </c>
      <c r="S1600">
        <v>0</v>
      </c>
      <c r="T1600">
        <v>0</v>
      </c>
      <c r="U1600">
        <v>0</v>
      </c>
      <c r="V1600">
        <v>995.56</v>
      </c>
      <c r="W1600">
        <v>0</v>
      </c>
      <c r="X1600">
        <v>1</v>
      </c>
      <c r="Y1600">
        <v>0</v>
      </c>
      <c r="Z1600">
        <v>-10</v>
      </c>
      <c r="AA1600">
        <v>1</v>
      </c>
      <c r="AB1600" s="13" t="s">
        <v>581</v>
      </c>
      <c r="AC1600">
        <v>0</v>
      </c>
      <c r="AD1600">
        <v>0</v>
      </c>
      <c r="AE1600" s="13" t="s">
        <v>61</v>
      </c>
    </row>
    <row r="1601" spans="1:31" x14ac:dyDescent="0.35">
      <c r="A1601" s="13" t="s">
        <v>2381</v>
      </c>
      <c r="B1601" s="13" t="s">
        <v>2138</v>
      </c>
      <c r="C1601" s="13" t="s">
        <v>2139</v>
      </c>
      <c r="D1601" s="13" t="s">
        <v>76</v>
      </c>
      <c r="E1601" s="13" t="s">
        <v>53</v>
      </c>
      <c r="F1601" s="13" t="s">
        <v>135</v>
      </c>
      <c r="G1601" s="13" t="s">
        <v>55</v>
      </c>
      <c r="H1601">
        <v>105000</v>
      </c>
      <c r="I1601" s="13" t="s">
        <v>79</v>
      </c>
      <c r="J1601" s="13" t="s">
        <v>80</v>
      </c>
      <c r="K1601" s="13" t="s">
        <v>81</v>
      </c>
      <c r="L1601" s="13" t="s">
        <v>95</v>
      </c>
      <c r="M1601">
        <v>30</v>
      </c>
      <c r="N1601">
        <v>0</v>
      </c>
      <c r="O1601" s="14">
        <v>46002</v>
      </c>
      <c r="P1601" s="14">
        <v>46032</v>
      </c>
      <c r="Q1601">
        <v>973.43</v>
      </c>
      <c r="R1601">
        <v>0</v>
      </c>
      <c r="S1601">
        <v>0</v>
      </c>
      <c r="T1601">
        <v>0</v>
      </c>
      <c r="U1601">
        <v>0</v>
      </c>
      <c r="V1601">
        <v>973.43</v>
      </c>
      <c r="W1601">
        <v>0</v>
      </c>
      <c r="X1601">
        <v>1</v>
      </c>
      <c r="Y1601">
        <v>0</v>
      </c>
      <c r="Z1601">
        <v>-10</v>
      </c>
      <c r="AA1601">
        <v>1</v>
      </c>
      <c r="AB1601" s="13" t="s">
        <v>581</v>
      </c>
      <c r="AC1601">
        <v>0</v>
      </c>
      <c r="AD1601">
        <v>0</v>
      </c>
      <c r="AE1601" s="13" t="s">
        <v>61</v>
      </c>
    </row>
    <row r="1602" spans="1:31" x14ac:dyDescent="0.35">
      <c r="A1602" s="13" t="s">
        <v>2382</v>
      </c>
      <c r="B1602" s="13" t="s">
        <v>1081</v>
      </c>
      <c r="C1602" s="13" t="s">
        <v>1082</v>
      </c>
      <c r="D1602" s="13" t="s">
        <v>104</v>
      </c>
      <c r="E1602" s="13" t="s">
        <v>65</v>
      </c>
      <c r="F1602" s="13" t="s">
        <v>111</v>
      </c>
      <c r="G1602" s="13" t="s">
        <v>55</v>
      </c>
      <c r="H1602">
        <v>110000</v>
      </c>
      <c r="I1602" s="13" t="s">
        <v>105</v>
      </c>
      <c r="J1602" s="13" t="s">
        <v>106</v>
      </c>
      <c r="K1602" s="13" t="s">
        <v>107</v>
      </c>
      <c r="L1602" s="13" t="s">
        <v>95</v>
      </c>
      <c r="M1602">
        <v>30</v>
      </c>
      <c r="N1602">
        <v>0</v>
      </c>
      <c r="O1602" s="14">
        <v>46002</v>
      </c>
      <c r="P1602" s="14">
        <v>46032</v>
      </c>
      <c r="Q1602">
        <v>3387.92</v>
      </c>
      <c r="R1602">
        <v>0</v>
      </c>
      <c r="S1602">
        <v>0</v>
      </c>
      <c r="T1602">
        <v>0</v>
      </c>
      <c r="U1602">
        <v>0</v>
      </c>
      <c r="V1602">
        <v>3387.92</v>
      </c>
      <c r="W1602">
        <v>0</v>
      </c>
      <c r="X1602">
        <v>1</v>
      </c>
      <c r="Y1602">
        <v>0</v>
      </c>
      <c r="Z1602">
        <v>-10</v>
      </c>
      <c r="AA1602">
        <v>1</v>
      </c>
      <c r="AB1602" s="13" t="s">
        <v>581</v>
      </c>
      <c r="AC1602">
        <v>0</v>
      </c>
      <c r="AD1602">
        <v>0</v>
      </c>
      <c r="AE1602" s="13" t="s">
        <v>61</v>
      </c>
    </row>
    <row r="1603" spans="1:31" x14ac:dyDescent="0.35">
      <c r="A1603" s="13" t="s">
        <v>2383</v>
      </c>
      <c r="B1603" s="13" t="s">
        <v>2384</v>
      </c>
      <c r="C1603" s="13" t="s">
        <v>2385</v>
      </c>
      <c r="D1603" s="13" t="s">
        <v>76</v>
      </c>
      <c r="E1603" s="13" t="s">
        <v>77</v>
      </c>
      <c r="F1603" s="13" t="s">
        <v>174</v>
      </c>
      <c r="G1603" s="13" t="s">
        <v>55</v>
      </c>
      <c r="H1603">
        <v>60000</v>
      </c>
      <c r="I1603" s="13" t="s">
        <v>93</v>
      </c>
      <c r="J1603" s="13" t="s">
        <v>94</v>
      </c>
      <c r="K1603" s="13" t="s">
        <v>81</v>
      </c>
      <c r="L1603" s="13" t="s">
        <v>82</v>
      </c>
      <c r="M1603">
        <v>30</v>
      </c>
      <c r="N1603">
        <v>2</v>
      </c>
      <c r="O1603" s="14">
        <v>46002</v>
      </c>
      <c r="P1603" s="14">
        <v>46032</v>
      </c>
      <c r="Q1603">
        <v>1891.4</v>
      </c>
      <c r="R1603">
        <v>0</v>
      </c>
      <c r="S1603">
        <v>0</v>
      </c>
      <c r="T1603">
        <v>0</v>
      </c>
      <c r="U1603">
        <v>0</v>
      </c>
      <c r="V1603">
        <v>1891.4</v>
      </c>
      <c r="W1603">
        <v>0</v>
      </c>
      <c r="X1603">
        <v>1</v>
      </c>
      <c r="Y1603">
        <v>0</v>
      </c>
      <c r="Z1603">
        <v>-10</v>
      </c>
      <c r="AA1603">
        <v>1</v>
      </c>
      <c r="AB1603" s="13" t="s">
        <v>581</v>
      </c>
      <c r="AC1603">
        <v>0</v>
      </c>
      <c r="AD1603">
        <v>0</v>
      </c>
      <c r="AE1603" s="13" t="s">
        <v>61</v>
      </c>
    </row>
    <row r="1604" spans="1:31" x14ac:dyDescent="0.35">
      <c r="A1604" s="13" t="s">
        <v>2386</v>
      </c>
      <c r="B1604" s="13" t="s">
        <v>2387</v>
      </c>
      <c r="C1604" s="13" t="s">
        <v>2388</v>
      </c>
      <c r="D1604" s="13" t="s">
        <v>104</v>
      </c>
      <c r="E1604" s="13" t="s">
        <v>65</v>
      </c>
      <c r="F1604" s="13" t="s">
        <v>66</v>
      </c>
      <c r="G1604" s="13" t="s">
        <v>55</v>
      </c>
      <c r="H1604">
        <v>150000</v>
      </c>
      <c r="I1604" s="13" t="s">
        <v>86</v>
      </c>
      <c r="J1604" s="13" t="s">
        <v>87</v>
      </c>
      <c r="K1604" s="13" t="s">
        <v>58</v>
      </c>
      <c r="L1604" s="13" t="s">
        <v>82</v>
      </c>
      <c r="M1604">
        <v>30</v>
      </c>
      <c r="N1604">
        <v>2</v>
      </c>
      <c r="O1604" s="14">
        <v>46002</v>
      </c>
      <c r="P1604" s="14">
        <v>46032</v>
      </c>
      <c r="Q1604">
        <v>1258.1500000000001</v>
      </c>
      <c r="R1604">
        <v>0</v>
      </c>
      <c r="S1604">
        <v>0</v>
      </c>
      <c r="T1604">
        <v>0</v>
      </c>
      <c r="U1604">
        <v>0</v>
      </c>
      <c r="V1604">
        <v>1258.1500000000001</v>
      </c>
      <c r="W1604">
        <v>0</v>
      </c>
      <c r="X1604">
        <v>1</v>
      </c>
      <c r="Y1604">
        <v>0</v>
      </c>
      <c r="Z1604">
        <v>-10</v>
      </c>
      <c r="AA1604">
        <v>1</v>
      </c>
      <c r="AB1604" s="13" t="s">
        <v>581</v>
      </c>
      <c r="AC1604">
        <v>0</v>
      </c>
      <c r="AD1604">
        <v>0</v>
      </c>
      <c r="AE1604" s="13" t="s">
        <v>61</v>
      </c>
    </row>
    <row r="1605" spans="1:31" x14ac:dyDescent="0.35">
      <c r="A1605" s="13" t="s">
        <v>2389</v>
      </c>
      <c r="B1605" s="13" t="s">
        <v>2207</v>
      </c>
      <c r="C1605" s="13" t="s">
        <v>2208</v>
      </c>
      <c r="D1605" s="13" t="s">
        <v>104</v>
      </c>
      <c r="E1605" s="13" t="s">
        <v>77</v>
      </c>
      <c r="F1605" s="13" t="s">
        <v>174</v>
      </c>
      <c r="G1605" s="13" t="s">
        <v>67</v>
      </c>
      <c r="H1605">
        <v>120000</v>
      </c>
      <c r="I1605" s="13" t="s">
        <v>121</v>
      </c>
      <c r="J1605" s="13" t="s">
        <v>122</v>
      </c>
      <c r="K1605" s="13" t="s">
        <v>107</v>
      </c>
      <c r="L1605" s="13" t="s">
        <v>82</v>
      </c>
      <c r="M1605">
        <v>30</v>
      </c>
      <c r="N1605">
        <v>2</v>
      </c>
      <c r="O1605" s="14">
        <v>46002</v>
      </c>
      <c r="P1605" s="14">
        <v>46032</v>
      </c>
      <c r="Q1605">
        <v>3072.6</v>
      </c>
      <c r="R1605">
        <v>0</v>
      </c>
      <c r="S1605">
        <v>0</v>
      </c>
      <c r="T1605">
        <v>0</v>
      </c>
      <c r="U1605">
        <v>0</v>
      </c>
      <c r="V1605">
        <v>3072.6</v>
      </c>
      <c r="W1605">
        <v>0</v>
      </c>
      <c r="X1605">
        <v>1</v>
      </c>
      <c r="Y1605">
        <v>0</v>
      </c>
      <c r="Z1605">
        <v>-10</v>
      </c>
      <c r="AA1605">
        <v>1</v>
      </c>
      <c r="AB1605" s="13" t="s">
        <v>581</v>
      </c>
      <c r="AC1605">
        <v>0</v>
      </c>
      <c r="AD1605">
        <v>1</v>
      </c>
      <c r="AE1605" s="13" t="s">
        <v>629</v>
      </c>
    </row>
    <row r="1606" spans="1:31" x14ac:dyDescent="0.35">
      <c r="A1606" s="13" t="s">
        <v>2390</v>
      </c>
      <c r="B1606" s="13" t="s">
        <v>1826</v>
      </c>
      <c r="C1606" s="13" t="s">
        <v>1827</v>
      </c>
      <c r="D1606" s="13" t="s">
        <v>104</v>
      </c>
      <c r="E1606" s="13" t="s">
        <v>65</v>
      </c>
      <c r="F1606" s="13" t="s">
        <v>111</v>
      </c>
      <c r="G1606" s="13" t="s">
        <v>67</v>
      </c>
      <c r="H1606">
        <v>120000</v>
      </c>
      <c r="I1606" s="13" t="s">
        <v>121</v>
      </c>
      <c r="J1606" s="13" t="s">
        <v>122</v>
      </c>
      <c r="K1606" s="13" t="s">
        <v>107</v>
      </c>
      <c r="L1606" s="13" t="s">
        <v>95</v>
      </c>
      <c r="M1606">
        <v>30</v>
      </c>
      <c r="N1606">
        <v>0</v>
      </c>
      <c r="O1606" s="14">
        <v>46002</v>
      </c>
      <c r="P1606" s="14">
        <v>46032</v>
      </c>
      <c r="Q1606">
        <v>800.23</v>
      </c>
      <c r="R1606">
        <v>0</v>
      </c>
      <c r="S1606">
        <v>0</v>
      </c>
      <c r="T1606">
        <v>0</v>
      </c>
      <c r="U1606">
        <v>0</v>
      </c>
      <c r="V1606">
        <v>800.23</v>
      </c>
      <c r="W1606">
        <v>0</v>
      </c>
      <c r="X1606">
        <v>1</v>
      </c>
      <c r="Y1606">
        <v>0</v>
      </c>
      <c r="Z1606">
        <v>-10</v>
      </c>
      <c r="AA1606">
        <v>1</v>
      </c>
      <c r="AB1606" s="13" t="s">
        <v>581</v>
      </c>
      <c r="AC1606">
        <v>0</v>
      </c>
      <c r="AD1606">
        <v>0</v>
      </c>
      <c r="AE1606" s="13" t="s">
        <v>61</v>
      </c>
    </row>
    <row r="1607" spans="1:31" x14ac:dyDescent="0.35">
      <c r="A1607" s="13" t="s">
        <v>2391</v>
      </c>
      <c r="B1607" s="13" t="s">
        <v>971</v>
      </c>
      <c r="C1607" s="13" t="s">
        <v>972</v>
      </c>
      <c r="D1607" s="13" t="s">
        <v>104</v>
      </c>
      <c r="E1607" s="13" t="s">
        <v>99</v>
      </c>
      <c r="F1607" s="13" t="s">
        <v>100</v>
      </c>
      <c r="G1607" s="13" t="s">
        <v>55</v>
      </c>
      <c r="H1607">
        <v>55000</v>
      </c>
      <c r="I1607" s="13" t="s">
        <v>121</v>
      </c>
      <c r="J1607" s="13" t="s">
        <v>122</v>
      </c>
      <c r="K1607" s="13" t="s">
        <v>107</v>
      </c>
      <c r="L1607" s="13" t="s">
        <v>95</v>
      </c>
      <c r="M1607">
        <v>30</v>
      </c>
      <c r="N1607">
        <v>0</v>
      </c>
      <c r="O1607" s="14">
        <v>46002</v>
      </c>
      <c r="P1607" s="14">
        <v>46032</v>
      </c>
      <c r="Q1607">
        <v>1016.49</v>
      </c>
      <c r="R1607">
        <v>0</v>
      </c>
      <c r="S1607">
        <v>0</v>
      </c>
      <c r="T1607">
        <v>0</v>
      </c>
      <c r="U1607">
        <v>0</v>
      </c>
      <c r="V1607">
        <v>1016.49</v>
      </c>
      <c r="W1607">
        <v>0</v>
      </c>
      <c r="X1607">
        <v>1</v>
      </c>
      <c r="Y1607">
        <v>0</v>
      </c>
      <c r="Z1607">
        <v>-10</v>
      </c>
      <c r="AA1607">
        <v>1</v>
      </c>
      <c r="AB1607" s="13" t="s">
        <v>581</v>
      </c>
      <c r="AC1607">
        <v>0</v>
      </c>
      <c r="AD1607">
        <v>0</v>
      </c>
      <c r="AE1607" s="13" t="s">
        <v>61</v>
      </c>
    </row>
    <row r="1608" spans="1:31" x14ac:dyDescent="0.35">
      <c r="A1608" s="13" t="s">
        <v>2392</v>
      </c>
      <c r="B1608" s="13" t="s">
        <v>2393</v>
      </c>
      <c r="C1608" s="13" t="s">
        <v>2394</v>
      </c>
      <c r="D1608" s="13" t="s">
        <v>104</v>
      </c>
      <c r="E1608" s="13" t="s">
        <v>77</v>
      </c>
      <c r="F1608" s="13" t="s">
        <v>174</v>
      </c>
      <c r="G1608" s="13" t="s">
        <v>55</v>
      </c>
      <c r="H1608">
        <v>50000</v>
      </c>
      <c r="I1608" s="13" t="s">
        <v>105</v>
      </c>
      <c r="J1608" s="13" t="s">
        <v>106</v>
      </c>
      <c r="K1608" s="13" t="s">
        <v>107</v>
      </c>
      <c r="L1608" s="13" t="s">
        <v>95</v>
      </c>
      <c r="M1608">
        <v>30</v>
      </c>
      <c r="N1608">
        <v>0</v>
      </c>
      <c r="O1608" s="14">
        <v>46002</v>
      </c>
      <c r="P1608" s="14">
        <v>46032</v>
      </c>
      <c r="Q1608">
        <v>8002.29</v>
      </c>
      <c r="R1608">
        <v>0</v>
      </c>
      <c r="S1608">
        <v>0</v>
      </c>
      <c r="T1608">
        <v>0</v>
      </c>
      <c r="U1608">
        <v>0</v>
      </c>
      <c r="V1608">
        <v>8002.29</v>
      </c>
      <c r="W1608">
        <v>0</v>
      </c>
      <c r="X1608">
        <v>1</v>
      </c>
      <c r="Y1608">
        <v>0</v>
      </c>
      <c r="Z1608">
        <v>-10</v>
      </c>
      <c r="AA1608">
        <v>1</v>
      </c>
      <c r="AB1608" s="13" t="s">
        <v>581</v>
      </c>
      <c r="AC1608">
        <v>0</v>
      </c>
      <c r="AD1608">
        <v>0</v>
      </c>
      <c r="AE1608" s="13" t="s">
        <v>61</v>
      </c>
    </row>
    <row r="1609" spans="1:31" x14ac:dyDescent="0.35">
      <c r="A1609" s="13" t="s">
        <v>2395</v>
      </c>
      <c r="B1609" s="13" t="s">
        <v>2274</v>
      </c>
      <c r="C1609" s="13" t="s">
        <v>2275</v>
      </c>
      <c r="D1609" s="13" t="s">
        <v>104</v>
      </c>
      <c r="E1609" s="13" t="s">
        <v>77</v>
      </c>
      <c r="F1609" s="13" t="s">
        <v>78</v>
      </c>
      <c r="G1609" s="13" t="s">
        <v>55</v>
      </c>
      <c r="H1609">
        <v>35000</v>
      </c>
      <c r="I1609" s="13" t="s">
        <v>121</v>
      </c>
      <c r="J1609" s="13" t="s">
        <v>122</v>
      </c>
      <c r="K1609" s="13" t="s">
        <v>107</v>
      </c>
      <c r="L1609" s="13" t="s">
        <v>95</v>
      </c>
      <c r="M1609">
        <v>30</v>
      </c>
      <c r="N1609">
        <v>0</v>
      </c>
      <c r="O1609" s="14">
        <v>46002</v>
      </c>
      <c r="P1609" s="14">
        <v>46032</v>
      </c>
      <c r="Q1609">
        <v>2386.66</v>
      </c>
      <c r="R1609">
        <v>0</v>
      </c>
      <c r="S1609">
        <v>0</v>
      </c>
      <c r="T1609">
        <v>0</v>
      </c>
      <c r="U1609">
        <v>0</v>
      </c>
      <c r="V1609">
        <v>2386.66</v>
      </c>
      <c r="W1609">
        <v>0</v>
      </c>
      <c r="X1609">
        <v>1</v>
      </c>
      <c r="Y1609">
        <v>0</v>
      </c>
      <c r="Z1609">
        <v>-10</v>
      </c>
      <c r="AA1609">
        <v>1</v>
      </c>
      <c r="AB1609" s="13" t="s">
        <v>581</v>
      </c>
      <c r="AC1609">
        <v>0</v>
      </c>
      <c r="AD1609">
        <v>0</v>
      </c>
      <c r="AE1609" s="13" t="s">
        <v>61</v>
      </c>
    </row>
    <row r="1610" spans="1:31" x14ac:dyDescent="0.35">
      <c r="A1610" s="13" t="s">
        <v>2396</v>
      </c>
      <c r="B1610" s="13" t="s">
        <v>2029</v>
      </c>
      <c r="C1610" s="13" t="s">
        <v>2030</v>
      </c>
      <c r="D1610" s="13" t="s">
        <v>76</v>
      </c>
      <c r="E1610" s="13" t="s">
        <v>99</v>
      </c>
      <c r="F1610" s="13" t="s">
        <v>100</v>
      </c>
      <c r="G1610" s="13" t="s">
        <v>67</v>
      </c>
      <c r="H1610">
        <v>55000</v>
      </c>
      <c r="I1610" s="13" t="s">
        <v>79</v>
      </c>
      <c r="J1610" s="13" t="s">
        <v>80</v>
      </c>
      <c r="K1610" s="13" t="s">
        <v>81</v>
      </c>
      <c r="L1610" s="13" t="s">
        <v>95</v>
      </c>
      <c r="M1610">
        <v>30</v>
      </c>
      <c r="N1610">
        <v>0</v>
      </c>
      <c r="O1610" s="14">
        <v>46002</v>
      </c>
      <c r="P1610" s="14">
        <v>46032</v>
      </c>
      <c r="Q1610">
        <v>1137.8599999999999</v>
      </c>
      <c r="R1610">
        <v>0</v>
      </c>
      <c r="S1610">
        <v>0</v>
      </c>
      <c r="T1610">
        <v>0</v>
      </c>
      <c r="U1610">
        <v>0</v>
      </c>
      <c r="V1610">
        <v>1137.8599999999999</v>
      </c>
      <c r="W1610">
        <v>0</v>
      </c>
      <c r="X1610">
        <v>1</v>
      </c>
      <c r="Y1610">
        <v>0</v>
      </c>
      <c r="Z1610">
        <v>-10</v>
      </c>
      <c r="AA1610">
        <v>1</v>
      </c>
      <c r="AB1610" s="13" t="s">
        <v>581</v>
      </c>
      <c r="AC1610">
        <v>0</v>
      </c>
      <c r="AD1610">
        <v>0</v>
      </c>
      <c r="AE1610" s="13" t="s">
        <v>61</v>
      </c>
    </row>
    <row r="1611" spans="1:31" x14ac:dyDescent="0.35">
      <c r="A1611" s="13" t="s">
        <v>2397</v>
      </c>
      <c r="B1611" s="13" t="s">
        <v>516</v>
      </c>
      <c r="C1611" s="13" t="s">
        <v>517</v>
      </c>
      <c r="D1611" s="13" t="s">
        <v>52</v>
      </c>
      <c r="E1611" s="13" t="s">
        <v>65</v>
      </c>
      <c r="F1611" s="13" t="s">
        <v>66</v>
      </c>
      <c r="G1611" s="13" t="s">
        <v>55</v>
      </c>
      <c r="H1611">
        <v>305000</v>
      </c>
      <c r="I1611" s="13" t="s">
        <v>56</v>
      </c>
      <c r="J1611" s="13" t="s">
        <v>57</v>
      </c>
      <c r="K1611" s="13" t="s">
        <v>58</v>
      </c>
      <c r="L1611" s="13" t="s">
        <v>88</v>
      </c>
      <c r="M1611">
        <v>60</v>
      </c>
      <c r="N1611">
        <v>0</v>
      </c>
      <c r="O1611" s="14">
        <v>46002</v>
      </c>
      <c r="P1611" s="14">
        <v>46062</v>
      </c>
      <c r="Q1611">
        <v>2806.51</v>
      </c>
      <c r="R1611">
        <v>0</v>
      </c>
      <c r="S1611">
        <v>0</v>
      </c>
      <c r="T1611">
        <v>0</v>
      </c>
      <c r="U1611">
        <v>0</v>
      </c>
      <c r="V1611">
        <v>2806.51</v>
      </c>
      <c r="W1611">
        <v>0</v>
      </c>
      <c r="X1611">
        <v>1</v>
      </c>
      <c r="Y1611">
        <v>0</v>
      </c>
      <c r="Z1611">
        <v>-40</v>
      </c>
      <c r="AA1611">
        <v>1</v>
      </c>
      <c r="AB1611" s="13" t="s">
        <v>581</v>
      </c>
      <c r="AC1611">
        <v>0</v>
      </c>
      <c r="AD1611">
        <v>0</v>
      </c>
      <c r="AE1611" s="13" t="s">
        <v>61</v>
      </c>
    </row>
    <row r="1612" spans="1:31" x14ac:dyDescent="0.35">
      <c r="A1612" s="13" t="s">
        <v>2398</v>
      </c>
      <c r="B1612" s="13" t="s">
        <v>2163</v>
      </c>
      <c r="C1612" s="13" t="s">
        <v>2164</v>
      </c>
      <c r="D1612" s="13" t="s">
        <v>76</v>
      </c>
      <c r="E1612" s="13" t="s">
        <v>65</v>
      </c>
      <c r="F1612" s="13" t="s">
        <v>66</v>
      </c>
      <c r="G1612" s="13" t="s">
        <v>67</v>
      </c>
      <c r="H1612">
        <v>75000</v>
      </c>
      <c r="I1612" s="13" t="s">
        <v>93</v>
      </c>
      <c r="J1612" s="13" t="s">
        <v>94</v>
      </c>
      <c r="K1612" s="13" t="s">
        <v>81</v>
      </c>
      <c r="L1612" s="13" t="s">
        <v>82</v>
      </c>
      <c r="M1612">
        <v>30</v>
      </c>
      <c r="N1612">
        <v>2</v>
      </c>
      <c r="O1612" s="14">
        <v>46002</v>
      </c>
      <c r="P1612" s="14">
        <v>46032</v>
      </c>
      <c r="Q1612">
        <v>1568.02</v>
      </c>
      <c r="R1612">
        <v>0</v>
      </c>
      <c r="S1612">
        <v>0</v>
      </c>
      <c r="T1612">
        <v>0</v>
      </c>
      <c r="U1612">
        <v>0</v>
      </c>
      <c r="V1612">
        <v>1568.02</v>
      </c>
      <c r="W1612">
        <v>0</v>
      </c>
      <c r="X1612">
        <v>1</v>
      </c>
      <c r="Y1612">
        <v>0</v>
      </c>
      <c r="Z1612">
        <v>-10</v>
      </c>
      <c r="AA1612">
        <v>1</v>
      </c>
      <c r="AB1612" s="13" t="s">
        <v>581</v>
      </c>
      <c r="AC1612">
        <v>0</v>
      </c>
      <c r="AD1612">
        <v>0</v>
      </c>
      <c r="AE1612" s="13" t="s">
        <v>61</v>
      </c>
    </row>
    <row r="1613" spans="1:31" x14ac:dyDescent="0.35">
      <c r="A1613" s="13" t="s">
        <v>2399</v>
      </c>
      <c r="B1613" s="13" t="s">
        <v>366</v>
      </c>
      <c r="C1613" s="13" t="s">
        <v>367</v>
      </c>
      <c r="D1613" s="13" t="s">
        <v>126</v>
      </c>
      <c r="E1613" s="13" t="s">
        <v>77</v>
      </c>
      <c r="F1613" s="13" t="s">
        <v>78</v>
      </c>
      <c r="G1613" s="13" t="s">
        <v>67</v>
      </c>
      <c r="H1613">
        <v>70000</v>
      </c>
      <c r="I1613" s="13" t="s">
        <v>105</v>
      </c>
      <c r="J1613" s="13" t="s">
        <v>106</v>
      </c>
      <c r="K1613" s="13" t="s">
        <v>107</v>
      </c>
      <c r="L1613" s="13" t="s">
        <v>368</v>
      </c>
      <c r="M1613">
        <v>90</v>
      </c>
      <c r="N1613">
        <v>0</v>
      </c>
      <c r="O1613" s="14">
        <v>46002</v>
      </c>
      <c r="P1613" s="14">
        <v>46092</v>
      </c>
      <c r="Q1613">
        <v>4600.24</v>
      </c>
      <c r="R1613">
        <v>0</v>
      </c>
      <c r="S1613">
        <v>0</v>
      </c>
      <c r="T1613">
        <v>0</v>
      </c>
      <c r="U1613">
        <v>0</v>
      </c>
      <c r="V1613">
        <v>4600.24</v>
      </c>
      <c r="W1613">
        <v>0</v>
      </c>
      <c r="X1613">
        <v>1</v>
      </c>
      <c r="Y1613">
        <v>0</v>
      </c>
      <c r="Z1613">
        <v>-70</v>
      </c>
      <c r="AA1613">
        <v>1</v>
      </c>
      <c r="AB1613" s="13" t="s">
        <v>581</v>
      </c>
      <c r="AC1613">
        <v>0</v>
      </c>
      <c r="AD1613">
        <v>0</v>
      </c>
      <c r="AE1613" s="13" t="s">
        <v>61</v>
      </c>
    </row>
    <row r="1614" spans="1:31" x14ac:dyDescent="0.35">
      <c r="A1614" s="13" t="s">
        <v>2400</v>
      </c>
      <c r="B1614" s="13" t="s">
        <v>1155</v>
      </c>
      <c r="C1614" s="13" t="s">
        <v>1156</v>
      </c>
      <c r="D1614" s="13" t="s">
        <v>52</v>
      </c>
      <c r="E1614" s="13" t="s">
        <v>53</v>
      </c>
      <c r="F1614" s="13" t="s">
        <v>54</v>
      </c>
      <c r="G1614" s="13" t="s">
        <v>67</v>
      </c>
      <c r="H1614">
        <v>420000</v>
      </c>
      <c r="I1614" s="13" t="s">
        <v>86</v>
      </c>
      <c r="J1614" s="13" t="s">
        <v>87</v>
      </c>
      <c r="K1614" s="13" t="s">
        <v>58</v>
      </c>
      <c r="L1614" s="13" t="s">
        <v>88</v>
      </c>
      <c r="M1614">
        <v>60</v>
      </c>
      <c r="N1614">
        <v>0</v>
      </c>
      <c r="O1614" s="14">
        <v>46002</v>
      </c>
      <c r="P1614" s="14">
        <v>46062</v>
      </c>
      <c r="Q1614">
        <v>9283.93</v>
      </c>
      <c r="R1614">
        <v>0</v>
      </c>
      <c r="S1614">
        <v>0</v>
      </c>
      <c r="T1614">
        <v>0</v>
      </c>
      <c r="U1614">
        <v>0</v>
      </c>
      <c r="V1614">
        <v>9283.93</v>
      </c>
      <c r="W1614">
        <v>0</v>
      </c>
      <c r="X1614">
        <v>1</v>
      </c>
      <c r="Y1614">
        <v>0</v>
      </c>
      <c r="Z1614">
        <v>-40</v>
      </c>
      <c r="AA1614">
        <v>1</v>
      </c>
      <c r="AB1614" s="13" t="s">
        <v>581</v>
      </c>
      <c r="AC1614">
        <v>0</v>
      </c>
      <c r="AD1614">
        <v>0</v>
      </c>
      <c r="AE1614" s="13" t="s">
        <v>61</v>
      </c>
    </row>
    <row r="1615" spans="1:31" x14ac:dyDescent="0.35">
      <c r="A1615" s="13" t="s">
        <v>2401</v>
      </c>
      <c r="B1615" s="13" t="s">
        <v>1015</v>
      </c>
      <c r="C1615" s="13" t="s">
        <v>1016</v>
      </c>
      <c r="D1615" s="13" t="s">
        <v>52</v>
      </c>
      <c r="E1615" s="13" t="s">
        <v>77</v>
      </c>
      <c r="F1615" s="13" t="s">
        <v>174</v>
      </c>
      <c r="G1615" s="13" t="s">
        <v>55</v>
      </c>
      <c r="H1615">
        <v>590000</v>
      </c>
      <c r="I1615" s="13" t="s">
        <v>56</v>
      </c>
      <c r="J1615" s="13" t="s">
        <v>57</v>
      </c>
      <c r="K1615" s="13" t="s">
        <v>58</v>
      </c>
      <c r="L1615" s="13" t="s">
        <v>59</v>
      </c>
      <c r="M1615">
        <v>45</v>
      </c>
      <c r="N1615">
        <v>0</v>
      </c>
      <c r="O1615" s="14">
        <v>46002</v>
      </c>
      <c r="P1615" s="14">
        <v>46047</v>
      </c>
      <c r="Q1615">
        <v>8361.56</v>
      </c>
      <c r="R1615">
        <v>0</v>
      </c>
      <c r="S1615">
        <v>0</v>
      </c>
      <c r="T1615">
        <v>0</v>
      </c>
      <c r="U1615">
        <v>0</v>
      </c>
      <c r="V1615">
        <v>8361.56</v>
      </c>
      <c r="W1615">
        <v>0</v>
      </c>
      <c r="X1615">
        <v>1</v>
      </c>
      <c r="Y1615">
        <v>0</v>
      </c>
      <c r="Z1615">
        <v>-25</v>
      </c>
      <c r="AA1615">
        <v>1</v>
      </c>
      <c r="AB1615" s="13" t="s">
        <v>581</v>
      </c>
      <c r="AC1615">
        <v>0</v>
      </c>
      <c r="AD1615">
        <v>0</v>
      </c>
      <c r="AE1615" s="13" t="s">
        <v>61</v>
      </c>
    </row>
    <row r="1616" spans="1:31" x14ac:dyDescent="0.35">
      <c r="A1616" s="13" t="s">
        <v>2402</v>
      </c>
      <c r="B1616" s="13" t="s">
        <v>726</v>
      </c>
      <c r="C1616" s="13" t="s">
        <v>727</v>
      </c>
      <c r="D1616" s="13" t="s">
        <v>104</v>
      </c>
      <c r="E1616" s="13" t="s">
        <v>65</v>
      </c>
      <c r="F1616" s="13" t="s">
        <v>66</v>
      </c>
      <c r="G1616" s="13" t="s">
        <v>55</v>
      </c>
      <c r="H1616">
        <v>100000</v>
      </c>
      <c r="I1616" s="13" t="s">
        <v>105</v>
      </c>
      <c r="J1616" s="13" t="s">
        <v>106</v>
      </c>
      <c r="K1616" s="13" t="s">
        <v>107</v>
      </c>
      <c r="L1616" s="13" t="s">
        <v>95</v>
      </c>
      <c r="M1616">
        <v>30</v>
      </c>
      <c r="N1616">
        <v>0</v>
      </c>
      <c r="O1616" s="14">
        <v>46002</v>
      </c>
      <c r="P1616" s="14">
        <v>46032</v>
      </c>
      <c r="Q1616">
        <v>996.7</v>
      </c>
      <c r="R1616">
        <v>0</v>
      </c>
      <c r="S1616">
        <v>0</v>
      </c>
      <c r="T1616">
        <v>0</v>
      </c>
      <c r="U1616">
        <v>0</v>
      </c>
      <c r="V1616">
        <v>996.7</v>
      </c>
      <c r="W1616">
        <v>0</v>
      </c>
      <c r="X1616">
        <v>1</v>
      </c>
      <c r="Y1616">
        <v>0</v>
      </c>
      <c r="Z1616">
        <v>-10</v>
      </c>
      <c r="AA1616">
        <v>1</v>
      </c>
      <c r="AB1616" s="13" t="s">
        <v>581</v>
      </c>
      <c r="AC1616">
        <v>0</v>
      </c>
      <c r="AD1616">
        <v>0</v>
      </c>
      <c r="AE1616" s="13" t="s">
        <v>61</v>
      </c>
    </row>
    <row r="1617" spans="1:31" x14ac:dyDescent="0.35">
      <c r="A1617" s="13" t="s">
        <v>2403</v>
      </c>
      <c r="B1617" s="13" t="s">
        <v>1227</v>
      </c>
      <c r="C1617" s="13" t="s">
        <v>1228</v>
      </c>
      <c r="D1617" s="13" t="s">
        <v>76</v>
      </c>
      <c r="E1617" s="13" t="s">
        <v>99</v>
      </c>
      <c r="F1617" s="13" t="s">
        <v>100</v>
      </c>
      <c r="G1617" s="13" t="s">
        <v>55</v>
      </c>
      <c r="H1617">
        <v>110000</v>
      </c>
      <c r="I1617" s="13" t="s">
        <v>93</v>
      </c>
      <c r="J1617" s="13" t="s">
        <v>94</v>
      </c>
      <c r="K1617" s="13" t="s">
        <v>81</v>
      </c>
      <c r="L1617" s="13" t="s">
        <v>95</v>
      </c>
      <c r="M1617">
        <v>30</v>
      </c>
      <c r="N1617">
        <v>0</v>
      </c>
      <c r="O1617" s="14">
        <v>46002</v>
      </c>
      <c r="P1617" s="14">
        <v>46032</v>
      </c>
      <c r="Q1617">
        <v>926.12</v>
      </c>
      <c r="R1617">
        <v>0</v>
      </c>
      <c r="S1617">
        <v>0</v>
      </c>
      <c r="T1617">
        <v>0</v>
      </c>
      <c r="U1617">
        <v>0</v>
      </c>
      <c r="V1617">
        <v>926.12</v>
      </c>
      <c r="W1617">
        <v>0</v>
      </c>
      <c r="X1617">
        <v>1</v>
      </c>
      <c r="Y1617">
        <v>0</v>
      </c>
      <c r="Z1617">
        <v>-10</v>
      </c>
      <c r="AA1617">
        <v>1</v>
      </c>
      <c r="AB1617" s="13" t="s">
        <v>581</v>
      </c>
      <c r="AC1617">
        <v>0</v>
      </c>
      <c r="AD1617">
        <v>0</v>
      </c>
      <c r="AE1617" s="13" t="s">
        <v>61</v>
      </c>
    </row>
    <row r="1618" spans="1:31" x14ac:dyDescent="0.35">
      <c r="A1618" s="13" t="s">
        <v>2404</v>
      </c>
      <c r="B1618" s="13" t="s">
        <v>2351</v>
      </c>
      <c r="C1618" s="13" t="s">
        <v>2352</v>
      </c>
      <c r="D1618" s="13" t="s">
        <v>104</v>
      </c>
      <c r="E1618" s="13" t="s">
        <v>77</v>
      </c>
      <c r="F1618" s="13" t="s">
        <v>78</v>
      </c>
      <c r="G1618" s="13" t="s">
        <v>67</v>
      </c>
      <c r="H1618">
        <v>40000</v>
      </c>
      <c r="I1618" s="13" t="s">
        <v>121</v>
      </c>
      <c r="J1618" s="13" t="s">
        <v>122</v>
      </c>
      <c r="K1618" s="13" t="s">
        <v>107</v>
      </c>
      <c r="L1618" s="13" t="s">
        <v>95</v>
      </c>
      <c r="M1618">
        <v>30</v>
      </c>
      <c r="N1618">
        <v>0</v>
      </c>
      <c r="O1618" s="14">
        <v>46002</v>
      </c>
      <c r="P1618" s="14">
        <v>46032</v>
      </c>
      <c r="Q1618">
        <v>2255.19</v>
      </c>
      <c r="R1618">
        <v>0</v>
      </c>
      <c r="S1618">
        <v>0</v>
      </c>
      <c r="T1618">
        <v>0</v>
      </c>
      <c r="U1618">
        <v>0</v>
      </c>
      <c r="V1618">
        <v>2255.19</v>
      </c>
      <c r="W1618">
        <v>0</v>
      </c>
      <c r="X1618">
        <v>1</v>
      </c>
      <c r="Y1618">
        <v>0</v>
      </c>
      <c r="Z1618">
        <v>-10</v>
      </c>
      <c r="AA1618">
        <v>1</v>
      </c>
      <c r="AB1618" s="13" t="s">
        <v>581</v>
      </c>
      <c r="AC1618">
        <v>0</v>
      </c>
      <c r="AD1618">
        <v>0</v>
      </c>
      <c r="AE1618" s="13" t="s">
        <v>61</v>
      </c>
    </row>
    <row r="1619" spans="1:31" x14ac:dyDescent="0.35">
      <c r="A1619" s="13" t="s">
        <v>2405</v>
      </c>
      <c r="B1619" s="13" t="s">
        <v>933</v>
      </c>
      <c r="C1619" s="13" t="s">
        <v>934</v>
      </c>
      <c r="D1619" s="13" t="s">
        <v>76</v>
      </c>
      <c r="E1619" s="13" t="s">
        <v>71</v>
      </c>
      <c r="F1619" s="13" t="s">
        <v>214</v>
      </c>
      <c r="G1619" s="13" t="s">
        <v>67</v>
      </c>
      <c r="H1619">
        <v>115000</v>
      </c>
      <c r="I1619" s="13" t="s">
        <v>79</v>
      </c>
      <c r="J1619" s="13" t="s">
        <v>80</v>
      </c>
      <c r="K1619" s="13" t="s">
        <v>81</v>
      </c>
      <c r="L1619" s="13" t="s">
        <v>95</v>
      </c>
      <c r="M1619">
        <v>30</v>
      </c>
      <c r="N1619">
        <v>0</v>
      </c>
      <c r="O1619" s="14">
        <v>46002</v>
      </c>
      <c r="P1619" s="14">
        <v>46032</v>
      </c>
      <c r="Q1619">
        <v>3342.92</v>
      </c>
      <c r="R1619">
        <v>0</v>
      </c>
      <c r="S1619">
        <v>0</v>
      </c>
      <c r="T1619">
        <v>0</v>
      </c>
      <c r="U1619">
        <v>0</v>
      </c>
      <c r="V1619">
        <v>3342.92</v>
      </c>
      <c r="W1619">
        <v>0</v>
      </c>
      <c r="X1619">
        <v>1</v>
      </c>
      <c r="Y1619">
        <v>0</v>
      </c>
      <c r="Z1619">
        <v>-10</v>
      </c>
      <c r="AA1619">
        <v>1</v>
      </c>
      <c r="AB1619" s="13" t="s">
        <v>581</v>
      </c>
      <c r="AC1619">
        <v>0</v>
      </c>
      <c r="AD1619">
        <v>0</v>
      </c>
      <c r="AE1619" s="13" t="s">
        <v>61</v>
      </c>
    </row>
    <row r="1620" spans="1:31" x14ac:dyDescent="0.35">
      <c r="A1620" s="13" t="s">
        <v>2406</v>
      </c>
      <c r="B1620" s="13" t="s">
        <v>1059</v>
      </c>
      <c r="C1620" s="13" t="s">
        <v>1060</v>
      </c>
      <c r="D1620" s="13" t="s">
        <v>52</v>
      </c>
      <c r="E1620" s="13" t="s">
        <v>77</v>
      </c>
      <c r="F1620" s="13" t="s">
        <v>174</v>
      </c>
      <c r="G1620" s="13" t="s">
        <v>67</v>
      </c>
      <c r="H1620">
        <v>225000</v>
      </c>
      <c r="I1620" s="13" t="s">
        <v>86</v>
      </c>
      <c r="J1620" s="13" t="s">
        <v>87</v>
      </c>
      <c r="K1620" s="13" t="s">
        <v>58</v>
      </c>
      <c r="L1620" s="13" t="s">
        <v>88</v>
      </c>
      <c r="M1620">
        <v>60</v>
      </c>
      <c r="N1620">
        <v>0</v>
      </c>
      <c r="O1620" s="14">
        <v>46002</v>
      </c>
      <c r="P1620" s="14">
        <v>46062</v>
      </c>
      <c r="Q1620">
        <v>2976.51</v>
      </c>
      <c r="R1620">
        <v>0</v>
      </c>
      <c r="S1620">
        <v>0</v>
      </c>
      <c r="T1620">
        <v>0</v>
      </c>
      <c r="U1620">
        <v>0</v>
      </c>
      <c r="V1620">
        <v>2976.51</v>
      </c>
      <c r="W1620">
        <v>0</v>
      </c>
      <c r="X1620">
        <v>1</v>
      </c>
      <c r="Y1620">
        <v>0</v>
      </c>
      <c r="Z1620">
        <v>-40</v>
      </c>
      <c r="AA1620">
        <v>1</v>
      </c>
      <c r="AB1620" s="13" t="s">
        <v>581</v>
      </c>
      <c r="AC1620">
        <v>0</v>
      </c>
      <c r="AD1620">
        <v>0</v>
      </c>
      <c r="AE1620" s="13" t="s">
        <v>61</v>
      </c>
    </row>
    <row r="1621" spans="1:31" x14ac:dyDescent="0.35">
      <c r="A1621" s="13" t="s">
        <v>2407</v>
      </c>
      <c r="B1621" s="13" t="s">
        <v>1546</v>
      </c>
      <c r="C1621" s="13" t="s">
        <v>1547</v>
      </c>
      <c r="D1621" s="13" t="s">
        <v>76</v>
      </c>
      <c r="E1621" s="13" t="s">
        <v>77</v>
      </c>
      <c r="F1621" s="13" t="s">
        <v>174</v>
      </c>
      <c r="G1621" s="13" t="s">
        <v>92</v>
      </c>
      <c r="H1621">
        <v>70000</v>
      </c>
      <c r="I1621" s="13" t="s">
        <v>93</v>
      </c>
      <c r="J1621" s="13" t="s">
        <v>94</v>
      </c>
      <c r="K1621" s="13" t="s">
        <v>81</v>
      </c>
      <c r="L1621" s="13" t="s">
        <v>95</v>
      </c>
      <c r="M1621">
        <v>30</v>
      </c>
      <c r="N1621">
        <v>0</v>
      </c>
      <c r="O1621" s="14">
        <v>46002</v>
      </c>
      <c r="P1621" s="14">
        <v>46032</v>
      </c>
      <c r="Q1621">
        <v>4590.7299999999996</v>
      </c>
      <c r="R1621">
        <v>0</v>
      </c>
      <c r="S1621">
        <v>0</v>
      </c>
      <c r="T1621">
        <v>0</v>
      </c>
      <c r="U1621">
        <v>0</v>
      </c>
      <c r="V1621">
        <v>4590.7299999999996</v>
      </c>
      <c r="W1621">
        <v>0</v>
      </c>
      <c r="X1621">
        <v>1</v>
      </c>
      <c r="Y1621">
        <v>0</v>
      </c>
      <c r="Z1621">
        <v>-10</v>
      </c>
      <c r="AA1621">
        <v>1</v>
      </c>
      <c r="AB1621" s="13" t="s">
        <v>581</v>
      </c>
      <c r="AC1621">
        <v>0</v>
      </c>
      <c r="AD1621">
        <v>0</v>
      </c>
      <c r="AE1621" s="13" t="s">
        <v>61</v>
      </c>
    </row>
    <row r="1622" spans="1:31" x14ac:dyDescent="0.35">
      <c r="A1622" s="13" t="s">
        <v>2408</v>
      </c>
      <c r="B1622" s="13" t="s">
        <v>605</v>
      </c>
      <c r="C1622" s="13" t="s">
        <v>606</v>
      </c>
      <c r="D1622" s="13" t="s">
        <v>52</v>
      </c>
      <c r="E1622" s="13" t="s">
        <v>65</v>
      </c>
      <c r="F1622" s="13" t="s">
        <v>66</v>
      </c>
      <c r="G1622" s="13" t="s">
        <v>67</v>
      </c>
      <c r="H1622">
        <v>335000</v>
      </c>
      <c r="I1622" s="13" t="s">
        <v>86</v>
      </c>
      <c r="J1622" s="13" t="s">
        <v>87</v>
      </c>
      <c r="K1622" s="13" t="s">
        <v>58</v>
      </c>
      <c r="L1622" s="13" t="s">
        <v>59</v>
      </c>
      <c r="M1622">
        <v>45</v>
      </c>
      <c r="N1622">
        <v>0</v>
      </c>
      <c r="O1622" s="14">
        <v>46002</v>
      </c>
      <c r="P1622" s="14">
        <v>46047</v>
      </c>
      <c r="Q1622">
        <v>13555.59</v>
      </c>
      <c r="R1622">
        <v>0</v>
      </c>
      <c r="S1622">
        <v>0</v>
      </c>
      <c r="T1622">
        <v>0</v>
      </c>
      <c r="U1622">
        <v>0</v>
      </c>
      <c r="V1622">
        <v>13555.59</v>
      </c>
      <c r="W1622">
        <v>0</v>
      </c>
      <c r="X1622">
        <v>1</v>
      </c>
      <c r="Y1622">
        <v>0</v>
      </c>
      <c r="Z1622">
        <v>-25</v>
      </c>
      <c r="AA1622">
        <v>1</v>
      </c>
      <c r="AB1622" s="13" t="s">
        <v>581</v>
      </c>
      <c r="AC1622">
        <v>0</v>
      </c>
      <c r="AD1622">
        <v>0</v>
      </c>
      <c r="AE1622" s="13" t="s">
        <v>61</v>
      </c>
    </row>
    <row r="1623" spans="1:31" x14ac:dyDescent="0.35">
      <c r="A1623" s="13" t="s">
        <v>2409</v>
      </c>
      <c r="B1623" s="13" t="s">
        <v>625</v>
      </c>
      <c r="C1623" s="13" t="s">
        <v>626</v>
      </c>
      <c r="D1623" s="13" t="s">
        <v>104</v>
      </c>
      <c r="E1623" s="13" t="s">
        <v>71</v>
      </c>
      <c r="F1623" s="13" t="s">
        <v>214</v>
      </c>
      <c r="G1623" s="13" t="s">
        <v>67</v>
      </c>
      <c r="H1623">
        <v>85000</v>
      </c>
      <c r="I1623" s="13" t="s">
        <v>105</v>
      </c>
      <c r="J1623" s="13" t="s">
        <v>106</v>
      </c>
      <c r="K1623" s="13" t="s">
        <v>107</v>
      </c>
      <c r="L1623" s="13" t="s">
        <v>88</v>
      </c>
      <c r="M1623">
        <v>60</v>
      </c>
      <c r="N1623">
        <v>0</v>
      </c>
      <c r="O1623" s="14">
        <v>46002</v>
      </c>
      <c r="P1623" s="14">
        <v>46062</v>
      </c>
      <c r="Q1623">
        <v>2467.56</v>
      </c>
      <c r="R1623">
        <v>0</v>
      </c>
      <c r="S1623">
        <v>0</v>
      </c>
      <c r="T1623">
        <v>0</v>
      </c>
      <c r="U1623">
        <v>0</v>
      </c>
      <c r="V1623">
        <v>2467.56</v>
      </c>
      <c r="W1623">
        <v>0</v>
      </c>
      <c r="X1623">
        <v>1</v>
      </c>
      <c r="Y1623">
        <v>0</v>
      </c>
      <c r="Z1623">
        <v>-40</v>
      </c>
      <c r="AA1623">
        <v>1</v>
      </c>
      <c r="AB1623" s="13" t="s">
        <v>581</v>
      </c>
      <c r="AC1623">
        <v>0</v>
      </c>
      <c r="AD1623">
        <v>0</v>
      </c>
      <c r="AE1623" s="13" t="s">
        <v>61</v>
      </c>
    </row>
    <row r="1624" spans="1:31" x14ac:dyDescent="0.35">
      <c r="A1624" s="13" t="s">
        <v>2410</v>
      </c>
      <c r="B1624" s="13" t="s">
        <v>1411</v>
      </c>
      <c r="C1624" s="13" t="s">
        <v>1412</v>
      </c>
      <c r="D1624" s="13" t="s">
        <v>104</v>
      </c>
      <c r="E1624" s="13" t="s">
        <v>77</v>
      </c>
      <c r="F1624" s="13" t="s">
        <v>78</v>
      </c>
      <c r="G1624" s="13" t="s">
        <v>55</v>
      </c>
      <c r="H1624">
        <v>110000</v>
      </c>
      <c r="I1624" s="13" t="s">
        <v>121</v>
      </c>
      <c r="J1624" s="13" t="s">
        <v>122</v>
      </c>
      <c r="K1624" s="13" t="s">
        <v>107</v>
      </c>
      <c r="L1624" s="13" t="s">
        <v>95</v>
      </c>
      <c r="M1624">
        <v>30</v>
      </c>
      <c r="N1624">
        <v>0</v>
      </c>
      <c r="O1624" s="14">
        <v>46002</v>
      </c>
      <c r="P1624" s="14">
        <v>46032</v>
      </c>
      <c r="Q1624">
        <v>2366.7399999999998</v>
      </c>
      <c r="R1624">
        <v>0</v>
      </c>
      <c r="S1624">
        <v>0</v>
      </c>
      <c r="T1624">
        <v>0</v>
      </c>
      <c r="U1624">
        <v>0</v>
      </c>
      <c r="V1624">
        <v>2366.7399999999998</v>
      </c>
      <c r="W1624">
        <v>0</v>
      </c>
      <c r="X1624">
        <v>1</v>
      </c>
      <c r="Y1624">
        <v>0</v>
      </c>
      <c r="Z1624">
        <v>-10</v>
      </c>
      <c r="AA1624">
        <v>1</v>
      </c>
      <c r="AB1624" s="13" t="s">
        <v>581</v>
      </c>
      <c r="AC1624">
        <v>0</v>
      </c>
      <c r="AD1624">
        <v>0</v>
      </c>
      <c r="AE1624" s="13" t="s">
        <v>61</v>
      </c>
    </row>
    <row r="1625" spans="1:31" x14ac:dyDescent="0.35">
      <c r="A1625" s="13" t="s">
        <v>2411</v>
      </c>
      <c r="B1625" s="13" t="s">
        <v>1064</v>
      </c>
      <c r="C1625" s="13" t="s">
        <v>1065</v>
      </c>
      <c r="D1625" s="13" t="s">
        <v>76</v>
      </c>
      <c r="E1625" s="13" t="s">
        <v>99</v>
      </c>
      <c r="F1625" s="13" t="s">
        <v>127</v>
      </c>
      <c r="G1625" s="13" t="s">
        <v>55</v>
      </c>
      <c r="H1625">
        <v>25000</v>
      </c>
      <c r="I1625" s="13" t="s">
        <v>93</v>
      </c>
      <c r="J1625" s="13" t="s">
        <v>94</v>
      </c>
      <c r="K1625" s="13" t="s">
        <v>81</v>
      </c>
      <c r="L1625" s="13" t="s">
        <v>95</v>
      </c>
      <c r="M1625">
        <v>30</v>
      </c>
      <c r="N1625">
        <v>0</v>
      </c>
      <c r="O1625" s="14">
        <v>46002</v>
      </c>
      <c r="P1625" s="14">
        <v>46032</v>
      </c>
      <c r="Q1625">
        <v>946.09</v>
      </c>
      <c r="R1625">
        <v>0</v>
      </c>
      <c r="S1625">
        <v>0</v>
      </c>
      <c r="T1625">
        <v>0</v>
      </c>
      <c r="U1625">
        <v>0</v>
      </c>
      <c r="V1625">
        <v>946.09</v>
      </c>
      <c r="W1625">
        <v>0</v>
      </c>
      <c r="X1625">
        <v>1</v>
      </c>
      <c r="Y1625">
        <v>0</v>
      </c>
      <c r="Z1625">
        <v>-10</v>
      </c>
      <c r="AA1625">
        <v>1</v>
      </c>
      <c r="AB1625" s="13" t="s">
        <v>581</v>
      </c>
      <c r="AC1625">
        <v>0</v>
      </c>
      <c r="AD1625">
        <v>0</v>
      </c>
      <c r="AE1625" s="13" t="s">
        <v>61</v>
      </c>
    </row>
    <row r="1626" spans="1:31" x14ac:dyDescent="0.35">
      <c r="A1626" s="13" t="s">
        <v>2412</v>
      </c>
      <c r="B1626" s="13" t="s">
        <v>2413</v>
      </c>
      <c r="C1626" s="13" t="s">
        <v>2414</v>
      </c>
      <c r="D1626" s="13" t="s">
        <v>76</v>
      </c>
      <c r="E1626" s="13" t="s">
        <v>99</v>
      </c>
      <c r="F1626" s="13" t="s">
        <v>100</v>
      </c>
      <c r="G1626" s="13" t="s">
        <v>55</v>
      </c>
      <c r="H1626">
        <v>80000</v>
      </c>
      <c r="I1626" s="13" t="s">
        <v>79</v>
      </c>
      <c r="J1626" s="13" t="s">
        <v>80</v>
      </c>
      <c r="K1626" s="13" t="s">
        <v>81</v>
      </c>
      <c r="L1626" s="13" t="s">
        <v>95</v>
      </c>
      <c r="M1626">
        <v>30</v>
      </c>
      <c r="N1626">
        <v>0</v>
      </c>
      <c r="O1626" s="14">
        <v>46002</v>
      </c>
      <c r="P1626" s="14">
        <v>46032</v>
      </c>
      <c r="Q1626">
        <v>1481.25</v>
      </c>
      <c r="R1626">
        <v>0</v>
      </c>
      <c r="S1626">
        <v>0</v>
      </c>
      <c r="T1626">
        <v>0</v>
      </c>
      <c r="U1626">
        <v>0</v>
      </c>
      <c r="V1626">
        <v>1481.25</v>
      </c>
      <c r="W1626">
        <v>0</v>
      </c>
      <c r="X1626">
        <v>1</v>
      </c>
      <c r="Y1626">
        <v>0</v>
      </c>
      <c r="Z1626">
        <v>-10</v>
      </c>
      <c r="AA1626">
        <v>1</v>
      </c>
      <c r="AB1626" s="13" t="s">
        <v>581</v>
      </c>
      <c r="AC1626">
        <v>0</v>
      </c>
      <c r="AD1626">
        <v>0</v>
      </c>
      <c r="AE1626" s="13" t="s">
        <v>61</v>
      </c>
    </row>
    <row r="1627" spans="1:31" x14ac:dyDescent="0.35">
      <c r="A1627" s="13" t="s">
        <v>2415</v>
      </c>
      <c r="B1627" s="13" t="s">
        <v>2416</v>
      </c>
      <c r="C1627" s="13" t="s">
        <v>2417</v>
      </c>
      <c r="D1627" s="13" t="s">
        <v>104</v>
      </c>
      <c r="E1627" s="13" t="s">
        <v>65</v>
      </c>
      <c r="F1627" s="13" t="s">
        <v>111</v>
      </c>
      <c r="G1627" s="13" t="s">
        <v>67</v>
      </c>
      <c r="H1627">
        <v>35000</v>
      </c>
      <c r="I1627" s="13" t="s">
        <v>105</v>
      </c>
      <c r="J1627" s="13" t="s">
        <v>106</v>
      </c>
      <c r="K1627" s="13" t="s">
        <v>107</v>
      </c>
      <c r="L1627" s="13" t="s">
        <v>95</v>
      </c>
      <c r="M1627">
        <v>30</v>
      </c>
      <c r="N1627">
        <v>0</v>
      </c>
      <c r="O1627" s="14">
        <v>46002</v>
      </c>
      <c r="P1627" s="14">
        <v>46032</v>
      </c>
      <c r="Q1627">
        <v>5143.34</v>
      </c>
      <c r="R1627">
        <v>0</v>
      </c>
      <c r="S1627">
        <v>0</v>
      </c>
      <c r="T1627">
        <v>0</v>
      </c>
      <c r="U1627">
        <v>0</v>
      </c>
      <c r="V1627">
        <v>5143.34</v>
      </c>
      <c r="W1627">
        <v>0</v>
      </c>
      <c r="X1627">
        <v>1</v>
      </c>
      <c r="Y1627">
        <v>0</v>
      </c>
      <c r="Z1627">
        <v>-10</v>
      </c>
      <c r="AA1627">
        <v>1</v>
      </c>
      <c r="AB1627" s="13" t="s">
        <v>581</v>
      </c>
      <c r="AC1627">
        <v>0</v>
      </c>
      <c r="AD1627">
        <v>0</v>
      </c>
      <c r="AE1627" s="13" t="s">
        <v>61</v>
      </c>
    </row>
    <row r="1628" spans="1:31" x14ac:dyDescent="0.35">
      <c r="A1628" s="13" t="s">
        <v>2418</v>
      </c>
      <c r="B1628" s="13" t="s">
        <v>244</v>
      </c>
      <c r="C1628" s="13" t="s">
        <v>245</v>
      </c>
      <c r="D1628" s="13" t="s">
        <v>52</v>
      </c>
      <c r="E1628" s="13" t="s">
        <v>65</v>
      </c>
      <c r="F1628" s="13" t="s">
        <v>111</v>
      </c>
      <c r="G1628" s="13" t="s">
        <v>55</v>
      </c>
      <c r="H1628">
        <v>590000</v>
      </c>
      <c r="I1628" s="13" t="s">
        <v>86</v>
      </c>
      <c r="J1628" s="13" t="s">
        <v>87</v>
      </c>
      <c r="K1628" s="13" t="s">
        <v>58</v>
      </c>
      <c r="L1628" s="13" t="s">
        <v>59</v>
      </c>
      <c r="M1628">
        <v>45</v>
      </c>
      <c r="N1628">
        <v>0</v>
      </c>
      <c r="O1628" s="14">
        <v>46003</v>
      </c>
      <c r="P1628" s="14">
        <v>46048</v>
      </c>
      <c r="Q1628">
        <v>12253.41</v>
      </c>
      <c r="R1628">
        <v>0</v>
      </c>
      <c r="S1628">
        <v>0</v>
      </c>
      <c r="T1628">
        <v>0</v>
      </c>
      <c r="U1628">
        <v>0</v>
      </c>
      <c r="V1628">
        <v>12253.41</v>
      </c>
      <c r="W1628">
        <v>0</v>
      </c>
      <c r="X1628">
        <v>1</v>
      </c>
      <c r="Y1628">
        <v>0</v>
      </c>
      <c r="Z1628">
        <v>-26</v>
      </c>
      <c r="AA1628">
        <v>1</v>
      </c>
      <c r="AB1628" s="13" t="s">
        <v>581</v>
      </c>
      <c r="AC1628">
        <v>0</v>
      </c>
      <c r="AD1628">
        <v>0</v>
      </c>
      <c r="AE1628" s="13" t="s">
        <v>61</v>
      </c>
    </row>
    <row r="1629" spans="1:31" x14ac:dyDescent="0.35">
      <c r="A1629" s="13" t="s">
        <v>2419</v>
      </c>
      <c r="B1629" s="13" t="s">
        <v>702</v>
      </c>
      <c r="C1629" s="13" t="s">
        <v>703</v>
      </c>
      <c r="D1629" s="13" t="s">
        <v>52</v>
      </c>
      <c r="E1629" s="13" t="s">
        <v>65</v>
      </c>
      <c r="F1629" s="13" t="s">
        <v>111</v>
      </c>
      <c r="G1629" s="13" t="s">
        <v>67</v>
      </c>
      <c r="H1629">
        <v>435000</v>
      </c>
      <c r="I1629" s="13" t="s">
        <v>86</v>
      </c>
      <c r="J1629" s="13" t="s">
        <v>87</v>
      </c>
      <c r="K1629" s="13" t="s">
        <v>58</v>
      </c>
      <c r="L1629" s="13" t="s">
        <v>59</v>
      </c>
      <c r="M1629">
        <v>45</v>
      </c>
      <c r="N1629">
        <v>0</v>
      </c>
      <c r="O1629" s="14">
        <v>46003</v>
      </c>
      <c r="P1629" s="14">
        <v>46048</v>
      </c>
      <c r="Q1629">
        <v>10110.17</v>
      </c>
      <c r="R1629">
        <v>0</v>
      </c>
      <c r="S1629">
        <v>0</v>
      </c>
      <c r="T1629">
        <v>0</v>
      </c>
      <c r="U1629">
        <v>0</v>
      </c>
      <c r="V1629">
        <v>10110.17</v>
      </c>
      <c r="W1629">
        <v>0</v>
      </c>
      <c r="X1629">
        <v>1</v>
      </c>
      <c r="Y1629">
        <v>0</v>
      </c>
      <c r="Z1629">
        <v>-26</v>
      </c>
      <c r="AA1629">
        <v>1</v>
      </c>
      <c r="AB1629" s="13" t="s">
        <v>581</v>
      </c>
      <c r="AC1629">
        <v>0</v>
      </c>
      <c r="AD1629">
        <v>1</v>
      </c>
      <c r="AE1629" s="13" t="s">
        <v>348</v>
      </c>
    </row>
    <row r="1630" spans="1:31" x14ac:dyDescent="0.35">
      <c r="A1630" s="13" t="s">
        <v>2420</v>
      </c>
      <c r="B1630" s="13" t="s">
        <v>273</v>
      </c>
      <c r="C1630" s="13" t="s">
        <v>274</v>
      </c>
      <c r="D1630" s="13" t="s">
        <v>104</v>
      </c>
      <c r="E1630" s="13" t="s">
        <v>71</v>
      </c>
      <c r="F1630" s="13" t="s">
        <v>72</v>
      </c>
      <c r="G1630" s="13" t="s">
        <v>92</v>
      </c>
      <c r="H1630">
        <v>120000</v>
      </c>
      <c r="I1630" s="13" t="s">
        <v>105</v>
      </c>
      <c r="J1630" s="13" t="s">
        <v>106</v>
      </c>
      <c r="K1630" s="13" t="s">
        <v>107</v>
      </c>
      <c r="L1630" s="13" t="s">
        <v>88</v>
      </c>
      <c r="M1630">
        <v>60</v>
      </c>
      <c r="N1630">
        <v>0</v>
      </c>
      <c r="O1630" s="14">
        <v>46003</v>
      </c>
      <c r="P1630" s="14">
        <v>46063</v>
      </c>
      <c r="Q1630">
        <v>7210.19</v>
      </c>
      <c r="R1630">
        <v>0</v>
      </c>
      <c r="S1630">
        <v>0</v>
      </c>
      <c r="T1630">
        <v>0</v>
      </c>
      <c r="U1630">
        <v>0</v>
      </c>
      <c r="V1630">
        <v>7210.19</v>
      </c>
      <c r="W1630">
        <v>0</v>
      </c>
      <c r="X1630">
        <v>1</v>
      </c>
      <c r="Y1630">
        <v>0</v>
      </c>
      <c r="Z1630">
        <v>-41</v>
      </c>
      <c r="AA1630">
        <v>1</v>
      </c>
      <c r="AB1630" s="13" t="s">
        <v>581</v>
      </c>
      <c r="AC1630">
        <v>0</v>
      </c>
      <c r="AD1630">
        <v>0</v>
      </c>
      <c r="AE1630" s="13" t="s">
        <v>61</v>
      </c>
    </row>
    <row r="1631" spans="1:31" x14ac:dyDescent="0.35">
      <c r="A1631" s="13" t="s">
        <v>2421</v>
      </c>
      <c r="B1631" s="13" t="s">
        <v>1875</v>
      </c>
      <c r="C1631" s="13" t="s">
        <v>1876</v>
      </c>
      <c r="D1631" s="13" t="s">
        <v>104</v>
      </c>
      <c r="E1631" s="13" t="s">
        <v>65</v>
      </c>
      <c r="F1631" s="13" t="s">
        <v>66</v>
      </c>
      <c r="G1631" s="13" t="s">
        <v>67</v>
      </c>
      <c r="H1631">
        <v>70000</v>
      </c>
      <c r="I1631" s="13" t="s">
        <v>105</v>
      </c>
      <c r="J1631" s="13" t="s">
        <v>106</v>
      </c>
      <c r="K1631" s="13" t="s">
        <v>107</v>
      </c>
      <c r="L1631" s="13" t="s">
        <v>95</v>
      </c>
      <c r="M1631">
        <v>30</v>
      </c>
      <c r="N1631">
        <v>0</v>
      </c>
      <c r="O1631" s="14">
        <v>46003</v>
      </c>
      <c r="P1631" s="14">
        <v>46033</v>
      </c>
      <c r="Q1631">
        <v>1041.72</v>
      </c>
      <c r="R1631">
        <v>0</v>
      </c>
      <c r="S1631">
        <v>0</v>
      </c>
      <c r="T1631">
        <v>0</v>
      </c>
      <c r="U1631">
        <v>0</v>
      </c>
      <c r="V1631">
        <v>1041.72</v>
      </c>
      <c r="W1631">
        <v>0</v>
      </c>
      <c r="X1631">
        <v>1</v>
      </c>
      <c r="Y1631">
        <v>0</v>
      </c>
      <c r="Z1631">
        <v>-11</v>
      </c>
      <c r="AA1631">
        <v>1</v>
      </c>
      <c r="AB1631" s="13" t="s">
        <v>581</v>
      </c>
      <c r="AC1631">
        <v>0</v>
      </c>
      <c r="AD1631">
        <v>0</v>
      </c>
      <c r="AE1631" s="13" t="s">
        <v>61</v>
      </c>
    </row>
    <row r="1632" spans="1:31" x14ac:dyDescent="0.35">
      <c r="A1632" s="13" t="s">
        <v>2422</v>
      </c>
      <c r="B1632" s="13" t="s">
        <v>1763</v>
      </c>
      <c r="C1632" s="13" t="s">
        <v>1764</v>
      </c>
      <c r="D1632" s="13" t="s">
        <v>104</v>
      </c>
      <c r="E1632" s="13" t="s">
        <v>99</v>
      </c>
      <c r="F1632" s="13" t="s">
        <v>127</v>
      </c>
      <c r="G1632" s="13" t="s">
        <v>92</v>
      </c>
      <c r="H1632">
        <v>40000</v>
      </c>
      <c r="I1632" s="13" t="s">
        <v>105</v>
      </c>
      <c r="J1632" s="13" t="s">
        <v>106</v>
      </c>
      <c r="K1632" s="13" t="s">
        <v>107</v>
      </c>
      <c r="L1632" s="13" t="s">
        <v>82</v>
      </c>
      <c r="M1632">
        <v>30</v>
      </c>
      <c r="N1632">
        <v>2</v>
      </c>
      <c r="O1632" s="14">
        <v>46003</v>
      </c>
      <c r="P1632" s="14">
        <v>46033</v>
      </c>
      <c r="Q1632">
        <v>6182.32</v>
      </c>
      <c r="R1632">
        <v>0</v>
      </c>
      <c r="S1632">
        <v>0</v>
      </c>
      <c r="T1632">
        <v>0</v>
      </c>
      <c r="U1632">
        <v>0</v>
      </c>
      <c r="V1632">
        <v>6182.32</v>
      </c>
      <c r="W1632">
        <v>0</v>
      </c>
      <c r="X1632">
        <v>1</v>
      </c>
      <c r="Y1632">
        <v>0</v>
      </c>
      <c r="Z1632">
        <v>-11</v>
      </c>
      <c r="AA1632">
        <v>1</v>
      </c>
      <c r="AB1632" s="13" t="s">
        <v>581</v>
      </c>
      <c r="AC1632">
        <v>0</v>
      </c>
      <c r="AD1632">
        <v>0</v>
      </c>
      <c r="AE1632" s="13" t="s">
        <v>61</v>
      </c>
    </row>
    <row r="1633" spans="1:31" x14ac:dyDescent="0.35">
      <c r="A1633" s="13" t="s">
        <v>2423</v>
      </c>
      <c r="B1633" s="13" t="s">
        <v>1292</v>
      </c>
      <c r="C1633" s="13" t="s">
        <v>1293</v>
      </c>
      <c r="D1633" s="13" t="s">
        <v>104</v>
      </c>
      <c r="E1633" s="13" t="s">
        <v>53</v>
      </c>
      <c r="F1633" s="13" t="s">
        <v>135</v>
      </c>
      <c r="G1633" s="13" t="s">
        <v>67</v>
      </c>
      <c r="H1633">
        <v>35000</v>
      </c>
      <c r="I1633" s="13" t="s">
        <v>105</v>
      </c>
      <c r="J1633" s="13" t="s">
        <v>106</v>
      </c>
      <c r="K1633" s="13" t="s">
        <v>107</v>
      </c>
      <c r="L1633" s="13" t="s">
        <v>88</v>
      </c>
      <c r="M1633">
        <v>60</v>
      </c>
      <c r="N1633">
        <v>0</v>
      </c>
      <c r="O1633" s="14">
        <v>46003</v>
      </c>
      <c r="P1633" s="14">
        <v>46063</v>
      </c>
      <c r="Q1633">
        <v>800.16</v>
      </c>
      <c r="R1633">
        <v>0</v>
      </c>
      <c r="S1633">
        <v>0</v>
      </c>
      <c r="T1633">
        <v>0</v>
      </c>
      <c r="U1633">
        <v>0</v>
      </c>
      <c r="V1633">
        <v>800.16</v>
      </c>
      <c r="W1633">
        <v>0</v>
      </c>
      <c r="X1633">
        <v>1</v>
      </c>
      <c r="Y1633">
        <v>0</v>
      </c>
      <c r="Z1633">
        <v>-41</v>
      </c>
      <c r="AA1633">
        <v>1</v>
      </c>
      <c r="AB1633" s="13" t="s">
        <v>581</v>
      </c>
      <c r="AC1633">
        <v>0</v>
      </c>
      <c r="AD1633">
        <v>0</v>
      </c>
      <c r="AE1633" s="13" t="s">
        <v>61</v>
      </c>
    </row>
    <row r="1634" spans="1:31" x14ac:dyDescent="0.35">
      <c r="A1634" s="13" t="s">
        <v>2424</v>
      </c>
      <c r="B1634" s="13" t="s">
        <v>253</v>
      </c>
      <c r="C1634" s="13" t="s">
        <v>254</v>
      </c>
      <c r="D1634" s="13" t="s">
        <v>52</v>
      </c>
      <c r="E1634" s="13" t="s">
        <v>65</v>
      </c>
      <c r="F1634" s="13" t="s">
        <v>111</v>
      </c>
      <c r="G1634" s="13" t="s">
        <v>55</v>
      </c>
      <c r="H1634">
        <v>415000</v>
      </c>
      <c r="I1634" s="13" t="s">
        <v>56</v>
      </c>
      <c r="J1634" s="13" t="s">
        <v>57</v>
      </c>
      <c r="K1634" s="13" t="s">
        <v>58</v>
      </c>
      <c r="L1634" s="13" t="s">
        <v>59</v>
      </c>
      <c r="M1634">
        <v>45</v>
      </c>
      <c r="N1634">
        <v>0</v>
      </c>
      <c r="O1634" s="14">
        <v>46003</v>
      </c>
      <c r="P1634" s="14">
        <v>46048</v>
      </c>
      <c r="Q1634">
        <v>13140.26</v>
      </c>
      <c r="R1634">
        <v>0</v>
      </c>
      <c r="S1634">
        <v>0</v>
      </c>
      <c r="T1634">
        <v>0</v>
      </c>
      <c r="U1634">
        <v>0</v>
      </c>
      <c r="V1634">
        <v>13140.26</v>
      </c>
      <c r="W1634">
        <v>0</v>
      </c>
      <c r="X1634">
        <v>1</v>
      </c>
      <c r="Y1634">
        <v>0</v>
      </c>
      <c r="Z1634">
        <v>-26</v>
      </c>
      <c r="AA1634">
        <v>1</v>
      </c>
      <c r="AB1634" s="13" t="s">
        <v>581</v>
      </c>
      <c r="AC1634">
        <v>0</v>
      </c>
      <c r="AD1634">
        <v>0</v>
      </c>
      <c r="AE1634" s="13" t="s">
        <v>61</v>
      </c>
    </row>
    <row r="1635" spans="1:31" x14ac:dyDescent="0.35">
      <c r="A1635" s="13" t="s">
        <v>2425</v>
      </c>
      <c r="B1635" s="13" t="s">
        <v>910</v>
      </c>
      <c r="C1635" s="13" t="s">
        <v>911</v>
      </c>
      <c r="D1635" s="13" t="s">
        <v>52</v>
      </c>
      <c r="E1635" s="13" t="s">
        <v>53</v>
      </c>
      <c r="F1635" s="13" t="s">
        <v>135</v>
      </c>
      <c r="G1635" s="13" t="s">
        <v>55</v>
      </c>
      <c r="H1635">
        <v>240000</v>
      </c>
      <c r="I1635" s="13" t="s">
        <v>56</v>
      </c>
      <c r="J1635" s="13" t="s">
        <v>57</v>
      </c>
      <c r="K1635" s="13" t="s">
        <v>58</v>
      </c>
      <c r="L1635" s="13" t="s">
        <v>88</v>
      </c>
      <c r="M1635">
        <v>60</v>
      </c>
      <c r="N1635">
        <v>0</v>
      </c>
      <c r="O1635" s="14">
        <v>46003</v>
      </c>
      <c r="P1635" s="14">
        <v>46063</v>
      </c>
      <c r="Q1635">
        <v>4724.8</v>
      </c>
      <c r="R1635">
        <v>0</v>
      </c>
      <c r="S1635">
        <v>0</v>
      </c>
      <c r="T1635">
        <v>0</v>
      </c>
      <c r="U1635">
        <v>0</v>
      </c>
      <c r="V1635">
        <v>4724.8</v>
      </c>
      <c r="W1635">
        <v>0</v>
      </c>
      <c r="X1635">
        <v>1</v>
      </c>
      <c r="Y1635">
        <v>0</v>
      </c>
      <c r="Z1635">
        <v>-41</v>
      </c>
      <c r="AA1635">
        <v>1</v>
      </c>
      <c r="AB1635" s="13" t="s">
        <v>581</v>
      </c>
      <c r="AC1635">
        <v>0</v>
      </c>
      <c r="AD1635">
        <v>0</v>
      </c>
      <c r="AE1635" s="13" t="s">
        <v>61</v>
      </c>
    </row>
    <row r="1636" spans="1:31" x14ac:dyDescent="0.35">
      <c r="A1636" s="13" t="s">
        <v>2426</v>
      </c>
      <c r="B1636" s="13" t="s">
        <v>1553</v>
      </c>
      <c r="C1636" s="13" t="s">
        <v>1554</v>
      </c>
      <c r="D1636" s="13" t="s">
        <v>76</v>
      </c>
      <c r="E1636" s="13" t="s">
        <v>53</v>
      </c>
      <c r="F1636" s="13" t="s">
        <v>135</v>
      </c>
      <c r="G1636" s="13" t="s">
        <v>55</v>
      </c>
      <c r="H1636">
        <v>95000</v>
      </c>
      <c r="I1636" s="13" t="s">
        <v>79</v>
      </c>
      <c r="J1636" s="13" t="s">
        <v>80</v>
      </c>
      <c r="K1636" s="13" t="s">
        <v>81</v>
      </c>
      <c r="L1636" s="13" t="s">
        <v>95</v>
      </c>
      <c r="M1636">
        <v>30</v>
      </c>
      <c r="N1636">
        <v>0</v>
      </c>
      <c r="O1636" s="14">
        <v>46003</v>
      </c>
      <c r="P1636" s="14">
        <v>46033</v>
      </c>
      <c r="Q1636">
        <v>4209.2299999999996</v>
      </c>
      <c r="R1636">
        <v>0</v>
      </c>
      <c r="S1636">
        <v>0</v>
      </c>
      <c r="T1636">
        <v>0</v>
      </c>
      <c r="U1636">
        <v>0</v>
      </c>
      <c r="V1636">
        <v>4209.2299999999996</v>
      </c>
      <c r="W1636">
        <v>0</v>
      </c>
      <c r="X1636">
        <v>1</v>
      </c>
      <c r="Y1636">
        <v>0</v>
      </c>
      <c r="Z1636">
        <v>-11</v>
      </c>
      <c r="AA1636">
        <v>1</v>
      </c>
      <c r="AB1636" s="13" t="s">
        <v>581</v>
      </c>
      <c r="AC1636">
        <v>0</v>
      </c>
      <c r="AD1636">
        <v>1</v>
      </c>
      <c r="AE1636" s="13" t="s">
        <v>348</v>
      </c>
    </row>
    <row r="1637" spans="1:31" x14ac:dyDescent="0.35">
      <c r="A1637" s="13" t="s">
        <v>2427</v>
      </c>
      <c r="B1637" s="13" t="s">
        <v>1247</v>
      </c>
      <c r="C1637" s="13" t="s">
        <v>1248</v>
      </c>
      <c r="D1637" s="13" t="s">
        <v>52</v>
      </c>
      <c r="E1637" s="13" t="s">
        <v>99</v>
      </c>
      <c r="F1637" s="13" t="s">
        <v>100</v>
      </c>
      <c r="G1637" s="13" t="s">
        <v>55</v>
      </c>
      <c r="H1637">
        <v>600000</v>
      </c>
      <c r="I1637" s="13" t="s">
        <v>56</v>
      </c>
      <c r="J1637" s="13" t="s">
        <v>57</v>
      </c>
      <c r="K1637" s="13" t="s">
        <v>58</v>
      </c>
      <c r="L1637" s="13" t="s">
        <v>59</v>
      </c>
      <c r="M1637">
        <v>45</v>
      </c>
      <c r="N1637">
        <v>0</v>
      </c>
      <c r="O1637" s="14">
        <v>46003</v>
      </c>
      <c r="P1637" s="14">
        <v>46048</v>
      </c>
      <c r="Q1637">
        <v>6164.44</v>
      </c>
      <c r="R1637">
        <v>0</v>
      </c>
      <c r="S1637">
        <v>0</v>
      </c>
      <c r="T1637">
        <v>0</v>
      </c>
      <c r="U1637">
        <v>0</v>
      </c>
      <c r="V1637">
        <v>6164.44</v>
      </c>
      <c r="W1637">
        <v>0</v>
      </c>
      <c r="X1637">
        <v>1</v>
      </c>
      <c r="Y1637">
        <v>0</v>
      </c>
      <c r="Z1637">
        <v>-26</v>
      </c>
      <c r="AA1637">
        <v>1</v>
      </c>
      <c r="AB1637" s="13" t="s">
        <v>581</v>
      </c>
      <c r="AC1637">
        <v>0</v>
      </c>
      <c r="AD1637">
        <v>0</v>
      </c>
      <c r="AE1637" s="13" t="s">
        <v>61</v>
      </c>
    </row>
    <row r="1638" spans="1:31" x14ac:dyDescent="0.35">
      <c r="A1638" s="13" t="s">
        <v>2428</v>
      </c>
      <c r="B1638" s="13" t="s">
        <v>2312</v>
      </c>
      <c r="C1638" s="13" t="s">
        <v>2313</v>
      </c>
      <c r="D1638" s="13" t="s">
        <v>76</v>
      </c>
      <c r="E1638" s="13" t="s">
        <v>71</v>
      </c>
      <c r="F1638" s="13" t="s">
        <v>72</v>
      </c>
      <c r="G1638" s="13" t="s">
        <v>67</v>
      </c>
      <c r="H1638">
        <v>90000</v>
      </c>
      <c r="I1638" s="13" t="s">
        <v>79</v>
      </c>
      <c r="J1638" s="13" t="s">
        <v>80</v>
      </c>
      <c r="K1638" s="13" t="s">
        <v>81</v>
      </c>
      <c r="L1638" s="13" t="s">
        <v>95</v>
      </c>
      <c r="M1638">
        <v>30</v>
      </c>
      <c r="N1638">
        <v>0</v>
      </c>
      <c r="O1638" s="14">
        <v>46003</v>
      </c>
      <c r="P1638" s="14">
        <v>46033</v>
      </c>
      <c r="Q1638">
        <v>3827.18</v>
      </c>
      <c r="R1638">
        <v>0</v>
      </c>
      <c r="S1638">
        <v>0</v>
      </c>
      <c r="T1638">
        <v>0</v>
      </c>
      <c r="U1638">
        <v>0</v>
      </c>
      <c r="V1638">
        <v>3827.18</v>
      </c>
      <c r="W1638">
        <v>0</v>
      </c>
      <c r="X1638">
        <v>1</v>
      </c>
      <c r="Y1638">
        <v>0</v>
      </c>
      <c r="Z1638">
        <v>-11</v>
      </c>
      <c r="AA1638">
        <v>1</v>
      </c>
      <c r="AB1638" s="13" t="s">
        <v>581</v>
      </c>
      <c r="AC1638">
        <v>0</v>
      </c>
      <c r="AD1638">
        <v>0</v>
      </c>
      <c r="AE1638" s="13" t="s">
        <v>61</v>
      </c>
    </row>
    <row r="1639" spans="1:31" x14ac:dyDescent="0.35">
      <c r="A1639" s="13" t="s">
        <v>2429</v>
      </c>
      <c r="B1639" s="13" t="s">
        <v>84</v>
      </c>
      <c r="C1639" s="13" t="s">
        <v>85</v>
      </c>
      <c r="D1639" s="13" t="s">
        <v>52</v>
      </c>
      <c r="E1639" s="13" t="s">
        <v>71</v>
      </c>
      <c r="F1639" s="13" t="s">
        <v>72</v>
      </c>
      <c r="G1639" s="13" t="s">
        <v>67</v>
      </c>
      <c r="H1639">
        <v>600000</v>
      </c>
      <c r="I1639" s="13" t="s">
        <v>86</v>
      </c>
      <c r="J1639" s="13" t="s">
        <v>87</v>
      </c>
      <c r="K1639" s="13" t="s">
        <v>58</v>
      </c>
      <c r="L1639" s="13" t="s">
        <v>88</v>
      </c>
      <c r="M1639">
        <v>60</v>
      </c>
      <c r="N1639">
        <v>0</v>
      </c>
      <c r="O1639" s="14">
        <v>46003</v>
      </c>
      <c r="P1639" s="14">
        <v>46063</v>
      </c>
      <c r="Q1639">
        <v>17752.09</v>
      </c>
      <c r="R1639">
        <v>0</v>
      </c>
      <c r="S1639">
        <v>0</v>
      </c>
      <c r="T1639">
        <v>0</v>
      </c>
      <c r="U1639">
        <v>0</v>
      </c>
      <c r="V1639">
        <v>17752.09</v>
      </c>
      <c r="W1639">
        <v>0</v>
      </c>
      <c r="X1639">
        <v>1</v>
      </c>
      <c r="Y1639">
        <v>0</v>
      </c>
      <c r="Z1639">
        <v>-41</v>
      </c>
      <c r="AA1639">
        <v>1</v>
      </c>
      <c r="AB1639" s="13" t="s">
        <v>581</v>
      </c>
      <c r="AC1639">
        <v>0</v>
      </c>
      <c r="AD1639">
        <v>0</v>
      </c>
      <c r="AE1639" s="13" t="s">
        <v>61</v>
      </c>
    </row>
    <row r="1640" spans="1:31" x14ac:dyDescent="0.35">
      <c r="A1640" s="13" t="s">
        <v>2430</v>
      </c>
      <c r="B1640" s="13" t="s">
        <v>2431</v>
      </c>
      <c r="C1640" s="13" t="s">
        <v>2432</v>
      </c>
      <c r="D1640" s="13" t="s">
        <v>76</v>
      </c>
      <c r="E1640" s="13" t="s">
        <v>77</v>
      </c>
      <c r="F1640" s="13" t="s">
        <v>174</v>
      </c>
      <c r="G1640" s="13" t="s">
        <v>55</v>
      </c>
      <c r="H1640">
        <v>90000</v>
      </c>
      <c r="I1640" s="13" t="s">
        <v>93</v>
      </c>
      <c r="J1640" s="13" t="s">
        <v>94</v>
      </c>
      <c r="K1640" s="13" t="s">
        <v>81</v>
      </c>
      <c r="L1640" s="13" t="s">
        <v>82</v>
      </c>
      <c r="M1640">
        <v>30</v>
      </c>
      <c r="N1640">
        <v>2</v>
      </c>
      <c r="O1640" s="14">
        <v>46003</v>
      </c>
      <c r="P1640" s="14">
        <v>46033</v>
      </c>
      <c r="Q1640">
        <v>805.19</v>
      </c>
      <c r="R1640">
        <v>0</v>
      </c>
      <c r="S1640">
        <v>0</v>
      </c>
      <c r="T1640">
        <v>0</v>
      </c>
      <c r="U1640">
        <v>0</v>
      </c>
      <c r="V1640">
        <v>805.19</v>
      </c>
      <c r="W1640">
        <v>0</v>
      </c>
      <c r="X1640">
        <v>1</v>
      </c>
      <c r="Y1640">
        <v>0</v>
      </c>
      <c r="Z1640">
        <v>-11</v>
      </c>
      <c r="AA1640">
        <v>1</v>
      </c>
      <c r="AB1640" s="13" t="s">
        <v>581</v>
      </c>
      <c r="AC1640">
        <v>0</v>
      </c>
      <c r="AD1640">
        <v>0</v>
      </c>
      <c r="AE1640" s="13" t="s">
        <v>61</v>
      </c>
    </row>
    <row r="1641" spans="1:31" x14ac:dyDescent="0.35">
      <c r="A1641" s="13" t="s">
        <v>2433</v>
      </c>
      <c r="B1641" s="13" t="s">
        <v>1470</v>
      </c>
      <c r="C1641" s="13" t="s">
        <v>1471</v>
      </c>
      <c r="D1641" s="13" t="s">
        <v>52</v>
      </c>
      <c r="E1641" s="13" t="s">
        <v>77</v>
      </c>
      <c r="F1641" s="13" t="s">
        <v>78</v>
      </c>
      <c r="G1641" s="13" t="s">
        <v>67</v>
      </c>
      <c r="H1641">
        <v>385000</v>
      </c>
      <c r="I1641" s="13" t="s">
        <v>86</v>
      </c>
      <c r="J1641" s="13" t="s">
        <v>87</v>
      </c>
      <c r="K1641" s="13" t="s">
        <v>58</v>
      </c>
      <c r="L1641" s="13" t="s">
        <v>88</v>
      </c>
      <c r="M1641">
        <v>60</v>
      </c>
      <c r="N1641">
        <v>0</v>
      </c>
      <c r="O1641" s="14">
        <v>46003</v>
      </c>
      <c r="P1641" s="14">
        <v>46063</v>
      </c>
      <c r="Q1641">
        <v>1865.26</v>
      </c>
      <c r="R1641">
        <v>0</v>
      </c>
      <c r="S1641">
        <v>0</v>
      </c>
      <c r="T1641">
        <v>0</v>
      </c>
      <c r="U1641">
        <v>0</v>
      </c>
      <c r="V1641">
        <v>1865.26</v>
      </c>
      <c r="W1641">
        <v>0</v>
      </c>
      <c r="X1641">
        <v>1</v>
      </c>
      <c r="Y1641">
        <v>0</v>
      </c>
      <c r="Z1641">
        <v>-41</v>
      </c>
      <c r="AA1641">
        <v>1</v>
      </c>
      <c r="AB1641" s="13" t="s">
        <v>581</v>
      </c>
      <c r="AC1641">
        <v>0</v>
      </c>
      <c r="AD1641">
        <v>0</v>
      </c>
      <c r="AE1641" s="13" t="s">
        <v>61</v>
      </c>
    </row>
    <row r="1642" spans="1:31" x14ac:dyDescent="0.35">
      <c r="A1642" s="13" t="s">
        <v>2434</v>
      </c>
      <c r="B1642" s="13" t="s">
        <v>97</v>
      </c>
      <c r="C1642" s="13" t="s">
        <v>98</v>
      </c>
      <c r="D1642" s="13" t="s">
        <v>76</v>
      </c>
      <c r="E1642" s="13" t="s">
        <v>99</v>
      </c>
      <c r="F1642" s="13" t="s">
        <v>100</v>
      </c>
      <c r="G1642" s="13" t="s">
        <v>67</v>
      </c>
      <c r="H1642">
        <v>60000</v>
      </c>
      <c r="I1642" s="13" t="s">
        <v>93</v>
      </c>
      <c r="J1642" s="13" t="s">
        <v>94</v>
      </c>
      <c r="K1642" s="13" t="s">
        <v>81</v>
      </c>
      <c r="L1642" s="13" t="s">
        <v>82</v>
      </c>
      <c r="M1642">
        <v>30</v>
      </c>
      <c r="N1642">
        <v>2</v>
      </c>
      <c r="O1642" s="14">
        <v>46003</v>
      </c>
      <c r="P1642" s="14">
        <v>46033</v>
      </c>
      <c r="Q1642">
        <v>1508.11</v>
      </c>
      <c r="R1642">
        <v>0</v>
      </c>
      <c r="S1642">
        <v>0</v>
      </c>
      <c r="T1642">
        <v>0</v>
      </c>
      <c r="U1642">
        <v>0</v>
      </c>
      <c r="V1642">
        <v>1508.11</v>
      </c>
      <c r="W1642">
        <v>0</v>
      </c>
      <c r="X1642">
        <v>1</v>
      </c>
      <c r="Y1642">
        <v>0</v>
      </c>
      <c r="Z1642">
        <v>-11</v>
      </c>
      <c r="AA1642">
        <v>1</v>
      </c>
      <c r="AB1642" s="13" t="s">
        <v>581</v>
      </c>
      <c r="AC1642">
        <v>0</v>
      </c>
      <c r="AD1642">
        <v>0</v>
      </c>
      <c r="AE1642" s="13" t="s">
        <v>61</v>
      </c>
    </row>
    <row r="1643" spans="1:31" x14ac:dyDescent="0.35">
      <c r="A1643" s="13" t="s">
        <v>2435</v>
      </c>
      <c r="B1643" s="13" t="s">
        <v>219</v>
      </c>
      <c r="C1643" s="13" t="s">
        <v>220</v>
      </c>
      <c r="D1643" s="13" t="s">
        <v>76</v>
      </c>
      <c r="E1643" s="13" t="s">
        <v>71</v>
      </c>
      <c r="F1643" s="13" t="s">
        <v>72</v>
      </c>
      <c r="G1643" s="13" t="s">
        <v>55</v>
      </c>
      <c r="H1643">
        <v>65000</v>
      </c>
      <c r="I1643" s="13" t="s">
        <v>79</v>
      </c>
      <c r="J1643" s="13" t="s">
        <v>80</v>
      </c>
      <c r="K1643" s="13" t="s">
        <v>81</v>
      </c>
      <c r="L1643" s="13" t="s">
        <v>95</v>
      </c>
      <c r="M1643">
        <v>30</v>
      </c>
      <c r="N1643">
        <v>0</v>
      </c>
      <c r="O1643" s="14">
        <v>46003</v>
      </c>
      <c r="P1643" s="14">
        <v>46033</v>
      </c>
      <c r="Q1643">
        <v>1414.42</v>
      </c>
      <c r="R1643">
        <v>0</v>
      </c>
      <c r="S1643">
        <v>0</v>
      </c>
      <c r="T1643">
        <v>0</v>
      </c>
      <c r="U1643">
        <v>0</v>
      </c>
      <c r="V1643">
        <v>1414.42</v>
      </c>
      <c r="W1643">
        <v>0</v>
      </c>
      <c r="X1643">
        <v>1</v>
      </c>
      <c r="Y1643">
        <v>0</v>
      </c>
      <c r="Z1643">
        <v>-11</v>
      </c>
      <c r="AA1643">
        <v>1</v>
      </c>
      <c r="AB1643" s="13" t="s">
        <v>581</v>
      </c>
      <c r="AC1643">
        <v>0</v>
      </c>
      <c r="AD1643">
        <v>0</v>
      </c>
      <c r="AE1643" s="13" t="s">
        <v>61</v>
      </c>
    </row>
    <row r="1644" spans="1:31" x14ac:dyDescent="0.35">
      <c r="A1644" s="13" t="s">
        <v>2436</v>
      </c>
      <c r="B1644" s="13" t="s">
        <v>225</v>
      </c>
      <c r="C1644" s="13" t="s">
        <v>226</v>
      </c>
      <c r="D1644" s="13" t="s">
        <v>52</v>
      </c>
      <c r="E1644" s="13" t="s">
        <v>77</v>
      </c>
      <c r="F1644" s="13" t="s">
        <v>174</v>
      </c>
      <c r="G1644" s="13" t="s">
        <v>55</v>
      </c>
      <c r="H1644">
        <v>570000</v>
      </c>
      <c r="I1644" s="13" t="s">
        <v>56</v>
      </c>
      <c r="J1644" s="13" t="s">
        <v>57</v>
      </c>
      <c r="K1644" s="13" t="s">
        <v>58</v>
      </c>
      <c r="L1644" s="13" t="s">
        <v>59</v>
      </c>
      <c r="M1644">
        <v>45</v>
      </c>
      <c r="N1644">
        <v>0</v>
      </c>
      <c r="O1644" s="14">
        <v>46003</v>
      </c>
      <c r="P1644" s="14">
        <v>46048</v>
      </c>
      <c r="Q1644">
        <v>5082</v>
      </c>
      <c r="R1644">
        <v>0</v>
      </c>
      <c r="S1644">
        <v>0</v>
      </c>
      <c r="T1644">
        <v>0</v>
      </c>
      <c r="U1644">
        <v>0</v>
      </c>
      <c r="V1644">
        <v>5082</v>
      </c>
      <c r="W1644">
        <v>0</v>
      </c>
      <c r="X1644">
        <v>1</v>
      </c>
      <c r="Y1644">
        <v>0</v>
      </c>
      <c r="Z1644">
        <v>-26</v>
      </c>
      <c r="AA1644">
        <v>1</v>
      </c>
      <c r="AB1644" s="13" t="s">
        <v>581</v>
      </c>
      <c r="AC1644">
        <v>0</v>
      </c>
      <c r="AD1644">
        <v>0</v>
      </c>
      <c r="AE1644" s="13" t="s">
        <v>61</v>
      </c>
    </row>
    <row r="1645" spans="1:31" x14ac:dyDescent="0.35">
      <c r="A1645" s="13" t="s">
        <v>2437</v>
      </c>
      <c r="B1645" s="13" t="s">
        <v>1307</v>
      </c>
      <c r="C1645" s="13" t="s">
        <v>1308</v>
      </c>
      <c r="D1645" s="13" t="s">
        <v>52</v>
      </c>
      <c r="E1645" s="13" t="s">
        <v>71</v>
      </c>
      <c r="F1645" s="13" t="s">
        <v>72</v>
      </c>
      <c r="G1645" s="13" t="s">
        <v>67</v>
      </c>
      <c r="H1645">
        <v>165000</v>
      </c>
      <c r="I1645" s="13" t="s">
        <v>86</v>
      </c>
      <c r="J1645" s="13" t="s">
        <v>87</v>
      </c>
      <c r="K1645" s="13" t="s">
        <v>58</v>
      </c>
      <c r="L1645" s="13" t="s">
        <v>59</v>
      </c>
      <c r="M1645">
        <v>45</v>
      </c>
      <c r="N1645">
        <v>0</v>
      </c>
      <c r="O1645" s="14">
        <v>46003</v>
      </c>
      <c r="P1645" s="14">
        <v>46048</v>
      </c>
      <c r="Q1645">
        <v>5818.51</v>
      </c>
      <c r="R1645">
        <v>0</v>
      </c>
      <c r="S1645">
        <v>0</v>
      </c>
      <c r="T1645">
        <v>0</v>
      </c>
      <c r="U1645">
        <v>0</v>
      </c>
      <c r="V1645">
        <v>5818.51</v>
      </c>
      <c r="W1645">
        <v>0</v>
      </c>
      <c r="X1645">
        <v>1</v>
      </c>
      <c r="Y1645">
        <v>0</v>
      </c>
      <c r="Z1645">
        <v>-26</v>
      </c>
      <c r="AA1645">
        <v>1</v>
      </c>
      <c r="AB1645" s="13" t="s">
        <v>581</v>
      </c>
      <c r="AC1645">
        <v>0</v>
      </c>
      <c r="AD1645">
        <v>0</v>
      </c>
      <c r="AE1645" s="13" t="s">
        <v>61</v>
      </c>
    </row>
    <row r="1646" spans="1:31" x14ac:dyDescent="0.35">
      <c r="A1646" s="13" t="s">
        <v>2438</v>
      </c>
      <c r="B1646" s="13" t="s">
        <v>109</v>
      </c>
      <c r="C1646" s="13" t="s">
        <v>110</v>
      </c>
      <c r="D1646" s="13" t="s">
        <v>52</v>
      </c>
      <c r="E1646" s="13" t="s">
        <v>65</v>
      </c>
      <c r="F1646" s="13" t="s">
        <v>111</v>
      </c>
      <c r="G1646" s="13" t="s">
        <v>67</v>
      </c>
      <c r="H1646">
        <v>455000</v>
      </c>
      <c r="I1646" s="13" t="s">
        <v>86</v>
      </c>
      <c r="J1646" s="13" t="s">
        <v>87</v>
      </c>
      <c r="K1646" s="13" t="s">
        <v>58</v>
      </c>
      <c r="L1646" s="13" t="s">
        <v>59</v>
      </c>
      <c r="M1646">
        <v>45</v>
      </c>
      <c r="N1646">
        <v>0</v>
      </c>
      <c r="O1646" s="14">
        <v>46003</v>
      </c>
      <c r="P1646" s="14">
        <v>46048</v>
      </c>
      <c r="Q1646">
        <v>1657.71</v>
      </c>
      <c r="R1646">
        <v>0</v>
      </c>
      <c r="S1646">
        <v>0</v>
      </c>
      <c r="T1646">
        <v>0</v>
      </c>
      <c r="U1646">
        <v>0</v>
      </c>
      <c r="V1646">
        <v>1657.71</v>
      </c>
      <c r="W1646">
        <v>0</v>
      </c>
      <c r="X1646">
        <v>1</v>
      </c>
      <c r="Y1646">
        <v>0</v>
      </c>
      <c r="Z1646">
        <v>-26</v>
      </c>
      <c r="AA1646">
        <v>1</v>
      </c>
      <c r="AB1646" s="13" t="s">
        <v>581</v>
      </c>
      <c r="AC1646">
        <v>0</v>
      </c>
      <c r="AD1646">
        <v>0</v>
      </c>
      <c r="AE1646" s="13" t="s">
        <v>61</v>
      </c>
    </row>
    <row r="1647" spans="1:31" x14ac:dyDescent="0.35">
      <c r="A1647" s="13" t="s">
        <v>2439</v>
      </c>
      <c r="B1647" s="13" t="s">
        <v>558</v>
      </c>
      <c r="C1647" s="13" t="s">
        <v>559</v>
      </c>
      <c r="D1647" s="13" t="s">
        <v>52</v>
      </c>
      <c r="E1647" s="13" t="s">
        <v>53</v>
      </c>
      <c r="F1647" s="13" t="s">
        <v>54</v>
      </c>
      <c r="G1647" s="13" t="s">
        <v>55</v>
      </c>
      <c r="H1647">
        <v>240000</v>
      </c>
      <c r="I1647" s="13" t="s">
        <v>56</v>
      </c>
      <c r="J1647" s="13" t="s">
        <v>57</v>
      </c>
      <c r="K1647" s="13" t="s">
        <v>58</v>
      </c>
      <c r="L1647" s="13" t="s">
        <v>59</v>
      </c>
      <c r="M1647">
        <v>45</v>
      </c>
      <c r="N1647">
        <v>0</v>
      </c>
      <c r="O1647" s="14">
        <v>46003</v>
      </c>
      <c r="P1647" s="14">
        <v>46048</v>
      </c>
      <c r="Q1647">
        <v>7267.36</v>
      </c>
      <c r="R1647">
        <v>0</v>
      </c>
      <c r="S1647">
        <v>0</v>
      </c>
      <c r="T1647">
        <v>0</v>
      </c>
      <c r="U1647">
        <v>0</v>
      </c>
      <c r="V1647">
        <v>7267.36</v>
      </c>
      <c r="W1647">
        <v>0</v>
      </c>
      <c r="X1647">
        <v>1</v>
      </c>
      <c r="Y1647">
        <v>0</v>
      </c>
      <c r="Z1647">
        <v>-26</v>
      </c>
      <c r="AA1647">
        <v>1</v>
      </c>
      <c r="AB1647" s="13" t="s">
        <v>581</v>
      </c>
      <c r="AC1647">
        <v>0</v>
      </c>
      <c r="AD1647">
        <v>0</v>
      </c>
      <c r="AE1647" s="13" t="s">
        <v>61</v>
      </c>
    </row>
    <row r="1648" spans="1:31" x14ac:dyDescent="0.35">
      <c r="A1648" s="13" t="s">
        <v>2440</v>
      </c>
      <c r="B1648" s="13" t="s">
        <v>168</v>
      </c>
      <c r="C1648" s="13" t="s">
        <v>169</v>
      </c>
      <c r="D1648" s="13" t="s">
        <v>52</v>
      </c>
      <c r="E1648" s="13" t="s">
        <v>65</v>
      </c>
      <c r="F1648" s="13" t="s">
        <v>66</v>
      </c>
      <c r="G1648" s="13" t="s">
        <v>67</v>
      </c>
      <c r="H1648">
        <v>580000</v>
      </c>
      <c r="I1648" s="13" t="s">
        <v>56</v>
      </c>
      <c r="J1648" s="13" t="s">
        <v>57</v>
      </c>
      <c r="K1648" s="13" t="s">
        <v>58</v>
      </c>
      <c r="L1648" s="13" t="s">
        <v>59</v>
      </c>
      <c r="M1648">
        <v>45</v>
      </c>
      <c r="N1648">
        <v>0</v>
      </c>
      <c r="O1648" s="14">
        <v>46003</v>
      </c>
      <c r="P1648" s="14">
        <v>46048</v>
      </c>
      <c r="Q1648">
        <v>5103.1499999999996</v>
      </c>
      <c r="R1648">
        <v>0</v>
      </c>
      <c r="S1648">
        <v>0</v>
      </c>
      <c r="T1648">
        <v>0</v>
      </c>
      <c r="U1648">
        <v>0</v>
      </c>
      <c r="V1648">
        <v>5103.1499999999996</v>
      </c>
      <c r="W1648">
        <v>0</v>
      </c>
      <c r="X1648">
        <v>1</v>
      </c>
      <c r="Y1648">
        <v>0</v>
      </c>
      <c r="Z1648">
        <v>-26</v>
      </c>
      <c r="AA1648">
        <v>1</v>
      </c>
      <c r="AB1648" s="13" t="s">
        <v>581</v>
      </c>
      <c r="AC1648">
        <v>0</v>
      </c>
      <c r="AD1648">
        <v>0</v>
      </c>
      <c r="AE1648" s="13" t="s">
        <v>61</v>
      </c>
    </row>
    <row r="1649" spans="1:31" x14ac:dyDescent="0.35">
      <c r="A1649" s="13" t="s">
        <v>2441</v>
      </c>
      <c r="B1649" s="13" t="s">
        <v>1520</v>
      </c>
      <c r="C1649" s="13" t="s">
        <v>1521</v>
      </c>
      <c r="D1649" s="13" t="s">
        <v>76</v>
      </c>
      <c r="E1649" s="13" t="s">
        <v>53</v>
      </c>
      <c r="F1649" s="13" t="s">
        <v>135</v>
      </c>
      <c r="G1649" s="13" t="s">
        <v>55</v>
      </c>
      <c r="H1649">
        <v>110000</v>
      </c>
      <c r="I1649" s="13" t="s">
        <v>79</v>
      </c>
      <c r="J1649" s="13" t="s">
        <v>80</v>
      </c>
      <c r="K1649" s="13" t="s">
        <v>81</v>
      </c>
      <c r="L1649" s="13" t="s">
        <v>95</v>
      </c>
      <c r="M1649">
        <v>30</v>
      </c>
      <c r="N1649">
        <v>0</v>
      </c>
      <c r="O1649" s="14">
        <v>46003</v>
      </c>
      <c r="P1649" s="14">
        <v>46033</v>
      </c>
      <c r="Q1649">
        <v>772.35</v>
      </c>
      <c r="R1649">
        <v>0</v>
      </c>
      <c r="S1649">
        <v>0</v>
      </c>
      <c r="T1649">
        <v>0</v>
      </c>
      <c r="U1649">
        <v>0</v>
      </c>
      <c r="V1649">
        <v>772.35</v>
      </c>
      <c r="W1649">
        <v>0</v>
      </c>
      <c r="X1649">
        <v>1</v>
      </c>
      <c r="Y1649">
        <v>0</v>
      </c>
      <c r="Z1649">
        <v>-11</v>
      </c>
      <c r="AA1649">
        <v>1</v>
      </c>
      <c r="AB1649" s="13" t="s">
        <v>581</v>
      </c>
      <c r="AC1649">
        <v>0</v>
      </c>
      <c r="AD1649">
        <v>0</v>
      </c>
      <c r="AE1649" s="13" t="s">
        <v>61</v>
      </c>
    </row>
    <row r="1650" spans="1:31" x14ac:dyDescent="0.35">
      <c r="A1650" s="13" t="s">
        <v>2442</v>
      </c>
      <c r="B1650" s="13" t="s">
        <v>2443</v>
      </c>
      <c r="C1650" s="13" t="s">
        <v>2444</v>
      </c>
      <c r="D1650" s="13" t="s">
        <v>104</v>
      </c>
      <c r="E1650" s="13" t="s">
        <v>65</v>
      </c>
      <c r="F1650" s="13" t="s">
        <v>66</v>
      </c>
      <c r="G1650" s="13" t="s">
        <v>55</v>
      </c>
      <c r="H1650">
        <v>65000</v>
      </c>
      <c r="I1650" s="13" t="s">
        <v>105</v>
      </c>
      <c r="J1650" s="13" t="s">
        <v>106</v>
      </c>
      <c r="K1650" s="13" t="s">
        <v>107</v>
      </c>
      <c r="L1650" s="13" t="s">
        <v>95</v>
      </c>
      <c r="M1650">
        <v>30</v>
      </c>
      <c r="N1650">
        <v>0</v>
      </c>
      <c r="O1650" s="14">
        <v>46003</v>
      </c>
      <c r="P1650" s="14">
        <v>46033</v>
      </c>
      <c r="Q1650">
        <v>3387.47</v>
      </c>
      <c r="R1650">
        <v>0</v>
      </c>
      <c r="S1650">
        <v>0</v>
      </c>
      <c r="T1650">
        <v>0</v>
      </c>
      <c r="U1650">
        <v>0</v>
      </c>
      <c r="V1650">
        <v>3387.47</v>
      </c>
      <c r="W1650">
        <v>0</v>
      </c>
      <c r="X1650">
        <v>1</v>
      </c>
      <c r="Y1650">
        <v>0</v>
      </c>
      <c r="Z1650">
        <v>-11</v>
      </c>
      <c r="AA1650">
        <v>1</v>
      </c>
      <c r="AB1650" s="13" t="s">
        <v>581</v>
      </c>
      <c r="AC1650">
        <v>0</v>
      </c>
      <c r="AD1650">
        <v>0</v>
      </c>
      <c r="AE1650" s="13" t="s">
        <v>61</v>
      </c>
    </row>
    <row r="1651" spans="1:31" x14ac:dyDescent="0.35">
      <c r="A1651" s="13" t="s">
        <v>2445</v>
      </c>
      <c r="B1651" s="13" t="s">
        <v>1665</v>
      </c>
      <c r="C1651" s="13" t="s">
        <v>1666</v>
      </c>
      <c r="D1651" s="13" t="s">
        <v>76</v>
      </c>
      <c r="E1651" s="13" t="s">
        <v>77</v>
      </c>
      <c r="F1651" s="13" t="s">
        <v>78</v>
      </c>
      <c r="G1651" s="13" t="s">
        <v>55</v>
      </c>
      <c r="H1651">
        <v>65000</v>
      </c>
      <c r="I1651" s="13" t="s">
        <v>93</v>
      </c>
      <c r="J1651" s="13" t="s">
        <v>94</v>
      </c>
      <c r="K1651" s="13" t="s">
        <v>81</v>
      </c>
      <c r="L1651" s="13" t="s">
        <v>95</v>
      </c>
      <c r="M1651">
        <v>30</v>
      </c>
      <c r="N1651">
        <v>0</v>
      </c>
      <c r="O1651" s="14">
        <v>46003</v>
      </c>
      <c r="P1651" s="14">
        <v>46033</v>
      </c>
      <c r="Q1651">
        <v>1195.56</v>
      </c>
      <c r="R1651">
        <v>0</v>
      </c>
      <c r="S1651">
        <v>0</v>
      </c>
      <c r="T1651">
        <v>0</v>
      </c>
      <c r="U1651">
        <v>0</v>
      </c>
      <c r="V1651">
        <v>1195.56</v>
      </c>
      <c r="W1651">
        <v>0</v>
      </c>
      <c r="X1651">
        <v>1</v>
      </c>
      <c r="Y1651">
        <v>0</v>
      </c>
      <c r="Z1651">
        <v>-11</v>
      </c>
      <c r="AA1651">
        <v>1</v>
      </c>
      <c r="AB1651" s="13" t="s">
        <v>581</v>
      </c>
      <c r="AC1651">
        <v>0</v>
      </c>
      <c r="AD1651">
        <v>0</v>
      </c>
      <c r="AE1651" s="13" t="s">
        <v>61</v>
      </c>
    </row>
    <row r="1652" spans="1:31" x14ac:dyDescent="0.35">
      <c r="A1652" s="13" t="s">
        <v>2446</v>
      </c>
      <c r="B1652" s="13" t="s">
        <v>1127</v>
      </c>
      <c r="C1652" s="13" t="s">
        <v>1128</v>
      </c>
      <c r="D1652" s="13" t="s">
        <v>52</v>
      </c>
      <c r="E1652" s="13" t="s">
        <v>53</v>
      </c>
      <c r="F1652" s="13" t="s">
        <v>135</v>
      </c>
      <c r="G1652" s="13" t="s">
        <v>67</v>
      </c>
      <c r="H1652">
        <v>470000</v>
      </c>
      <c r="I1652" s="13" t="s">
        <v>56</v>
      </c>
      <c r="J1652" s="13" t="s">
        <v>57</v>
      </c>
      <c r="K1652" s="13" t="s">
        <v>58</v>
      </c>
      <c r="L1652" s="13" t="s">
        <v>88</v>
      </c>
      <c r="M1652">
        <v>60</v>
      </c>
      <c r="N1652">
        <v>0</v>
      </c>
      <c r="O1652" s="14">
        <v>46003</v>
      </c>
      <c r="P1652" s="14">
        <v>46063</v>
      </c>
      <c r="Q1652">
        <v>1630.87</v>
      </c>
      <c r="R1652">
        <v>0</v>
      </c>
      <c r="S1652">
        <v>0</v>
      </c>
      <c r="T1652">
        <v>0</v>
      </c>
      <c r="U1652">
        <v>0</v>
      </c>
      <c r="V1652">
        <v>1630.87</v>
      </c>
      <c r="W1652">
        <v>0</v>
      </c>
      <c r="X1652">
        <v>1</v>
      </c>
      <c r="Y1652">
        <v>0</v>
      </c>
      <c r="Z1652">
        <v>-41</v>
      </c>
      <c r="AA1652">
        <v>1</v>
      </c>
      <c r="AB1652" s="13" t="s">
        <v>581</v>
      </c>
      <c r="AC1652">
        <v>0</v>
      </c>
      <c r="AD1652">
        <v>1</v>
      </c>
      <c r="AE1652" s="13" t="s">
        <v>665</v>
      </c>
    </row>
    <row r="1653" spans="1:31" x14ac:dyDescent="0.35">
      <c r="A1653" s="13" t="s">
        <v>2447</v>
      </c>
      <c r="B1653" s="13" t="s">
        <v>766</v>
      </c>
      <c r="C1653" s="13" t="s">
        <v>767</v>
      </c>
      <c r="D1653" s="13" t="s">
        <v>104</v>
      </c>
      <c r="E1653" s="13" t="s">
        <v>53</v>
      </c>
      <c r="F1653" s="13" t="s">
        <v>135</v>
      </c>
      <c r="G1653" s="13" t="s">
        <v>92</v>
      </c>
      <c r="H1653">
        <v>90000</v>
      </c>
      <c r="I1653" s="13" t="s">
        <v>105</v>
      </c>
      <c r="J1653" s="13" t="s">
        <v>106</v>
      </c>
      <c r="K1653" s="13" t="s">
        <v>107</v>
      </c>
      <c r="L1653" s="13" t="s">
        <v>88</v>
      </c>
      <c r="M1653">
        <v>60</v>
      </c>
      <c r="N1653">
        <v>0</v>
      </c>
      <c r="O1653" s="14">
        <v>46003</v>
      </c>
      <c r="P1653" s="14">
        <v>46063</v>
      </c>
      <c r="Q1653">
        <v>6429.77</v>
      </c>
      <c r="R1653">
        <v>0</v>
      </c>
      <c r="S1653">
        <v>0</v>
      </c>
      <c r="T1653">
        <v>0</v>
      </c>
      <c r="U1653">
        <v>0</v>
      </c>
      <c r="V1653">
        <v>6429.77</v>
      </c>
      <c r="W1653">
        <v>0</v>
      </c>
      <c r="X1653">
        <v>1</v>
      </c>
      <c r="Y1653">
        <v>0</v>
      </c>
      <c r="Z1653">
        <v>-41</v>
      </c>
      <c r="AA1653">
        <v>1</v>
      </c>
      <c r="AB1653" s="13" t="s">
        <v>581</v>
      </c>
      <c r="AC1653">
        <v>0</v>
      </c>
      <c r="AD1653">
        <v>0</v>
      </c>
      <c r="AE1653" s="13" t="s">
        <v>61</v>
      </c>
    </row>
    <row r="1654" spans="1:31" x14ac:dyDescent="0.35">
      <c r="A1654" s="13" t="s">
        <v>2448</v>
      </c>
      <c r="B1654" s="13" t="s">
        <v>601</v>
      </c>
      <c r="C1654" s="13" t="s">
        <v>602</v>
      </c>
      <c r="D1654" s="13" t="s">
        <v>52</v>
      </c>
      <c r="E1654" s="13" t="s">
        <v>53</v>
      </c>
      <c r="F1654" s="13" t="s">
        <v>135</v>
      </c>
      <c r="G1654" s="13" t="s">
        <v>67</v>
      </c>
      <c r="H1654">
        <v>525000</v>
      </c>
      <c r="I1654" s="13" t="s">
        <v>86</v>
      </c>
      <c r="J1654" s="13" t="s">
        <v>87</v>
      </c>
      <c r="K1654" s="13" t="s">
        <v>58</v>
      </c>
      <c r="L1654" s="13" t="s">
        <v>59</v>
      </c>
      <c r="M1654">
        <v>45</v>
      </c>
      <c r="N1654">
        <v>0</v>
      </c>
      <c r="O1654" s="14">
        <v>46003</v>
      </c>
      <c r="P1654" s="14">
        <v>46048</v>
      </c>
      <c r="Q1654">
        <v>2390.9699999999998</v>
      </c>
      <c r="R1654">
        <v>0</v>
      </c>
      <c r="S1654">
        <v>0</v>
      </c>
      <c r="T1654">
        <v>0</v>
      </c>
      <c r="U1654">
        <v>0</v>
      </c>
      <c r="V1654">
        <v>2390.9699999999998</v>
      </c>
      <c r="W1654">
        <v>0</v>
      </c>
      <c r="X1654">
        <v>1</v>
      </c>
      <c r="Y1654">
        <v>0</v>
      </c>
      <c r="Z1654">
        <v>-26</v>
      </c>
      <c r="AA1654">
        <v>1</v>
      </c>
      <c r="AB1654" s="13" t="s">
        <v>581</v>
      </c>
      <c r="AC1654">
        <v>0</v>
      </c>
      <c r="AD1654">
        <v>0</v>
      </c>
      <c r="AE1654" s="13" t="s">
        <v>61</v>
      </c>
    </row>
    <row r="1655" spans="1:31" x14ac:dyDescent="0.35">
      <c r="A1655" s="13" t="s">
        <v>2449</v>
      </c>
      <c r="B1655" s="13" t="s">
        <v>2155</v>
      </c>
      <c r="C1655" s="13" t="s">
        <v>2156</v>
      </c>
      <c r="D1655" s="13" t="s">
        <v>76</v>
      </c>
      <c r="E1655" s="13" t="s">
        <v>53</v>
      </c>
      <c r="F1655" s="13" t="s">
        <v>135</v>
      </c>
      <c r="G1655" s="13" t="s">
        <v>67</v>
      </c>
      <c r="H1655">
        <v>120000</v>
      </c>
      <c r="I1655" s="13" t="s">
        <v>79</v>
      </c>
      <c r="J1655" s="13" t="s">
        <v>80</v>
      </c>
      <c r="K1655" s="13" t="s">
        <v>81</v>
      </c>
      <c r="L1655" s="13" t="s">
        <v>95</v>
      </c>
      <c r="M1655">
        <v>30</v>
      </c>
      <c r="N1655">
        <v>0</v>
      </c>
      <c r="O1655" s="14">
        <v>46003</v>
      </c>
      <c r="P1655" s="14">
        <v>46033</v>
      </c>
      <c r="Q1655">
        <v>1063.75</v>
      </c>
      <c r="R1655">
        <v>0</v>
      </c>
      <c r="S1655">
        <v>0</v>
      </c>
      <c r="T1655">
        <v>0</v>
      </c>
      <c r="U1655">
        <v>0</v>
      </c>
      <c r="V1655">
        <v>1063.75</v>
      </c>
      <c r="W1655">
        <v>0</v>
      </c>
      <c r="X1655">
        <v>1</v>
      </c>
      <c r="Y1655">
        <v>0</v>
      </c>
      <c r="Z1655">
        <v>-11</v>
      </c>
      <c r="AA1655">
        <v>1</v>
      </c>
      <c r="AB1655" s="13" t="s">
        <v>581</v>
      </c>
      <c r="AC1655">
        <v>0</v>
      </c>
      <c r="AD1655">
        <v>0</v>
      </c>
      <c r="AE1655" s="13" t="s">
        <v>61</v>
      </c>
    </row>
    <row r="1656" spans="1:31" x14ac:dyDescent="0.35">
      <c r="A1656" s="13" t="s">
        <v>2450</v>
      </c>
      <c r="B1656" s="13" t="s">
        <v>1672</v>
      </c>
      <c r="C1656" s="13" t="s">
        <v>1673</v>
      </c>
      <c r="D1656" s="13" t="s">
        <v>76</v>
      </c>
      <c r="E1656" s="13" t="s">
        <v>77</v>
      </c>
      <c r="F1656" s="13" t="s">
        <v>78</v>
      </c>
      <c r="G1656" s="13" t="s">
        <v>67</v>
      </c>
      <c r="H1656">
        <v>115000</v>
      </c>
      <c r="I1656" s="13" t="s">
        <v>79</v>
      </c>
      <c r="J1656" s="13" t="s">
        <v>80</v>
      </c>
      <c r="K1656" s="13" t="s">
        <v>81</v>
      </c>
      <c r="L1656" s="13" t="s">
        <v>95</v>
      </c>
      <c r="M1656">
        <v>30</v>
      </c>
      <c r="N1656">
        <v>0</v>
      </c>
      <c r="O1656" s="14">
        <v>46003</v>
      </c>
      <c r="P1656" s="14">
        <v>46033</v>
      </c>
      <c r="Q1656">
        <v>4367.3</v>
      </c>
      <c r="R1656">
        <v>0</v>
      </c>
      <c r="S1656">
        <v>0</v>
      </c>
      <c r="T1656">
        <v>0</v>
      </c>
      <c r="U1656">
        <v>0</v>
      </c>
      <c r="V1656">
        <v>4367.3</v>
      </c>
      <c r="W1656">
        <v>0</v>
      </c>
      <c r="X1656">
        <v>1</v>
      </c>
      <c r="Y1656">
        <v>0</v>
      </c>
      <c r="Z1656">
        <v>-11</v>
      </c>
      <c r="AA1656">
        <v>1</v>
      </c>
      <c r="AB1656" s="13" t="s">
        <v>581</v>
      </c>
      <c r="AC1656">
        <v>0</v>
      </c>
      <c r="AD1656">
        <v>0</v>
      </c>
      <c r="AE1656" s="13" t="s">
        <v>61</v>
      </c>
    </row>
    <row r="1657" spans="1:31" x14ac:dyDescent="0.35">
      <c r="A1657" s="13" t="s">
        <v>2451</v>
      </c>
      <c r="B1657" s="13" t="s">
        <v>2032</v>
      </c>
      <c r="C1657" s="13" t="s">
        <v>2033</v>
      </c>
      <c r="D1657" s="13" t="s">
        <v>76</v>
      </c>
      <c r="E1657" s="13" t="s">
        <v>65</v>
      </c>
      <c r="F1657" s="13" t="s">
        <v>66</v>
      </c>
      <c r="G1657" s="13" t="s">
        <v>67</v>
      </c>
      <c r="H1657">
        <v>110000</v>
      </c>
      <c r="I1657" s="13" t="s">
        <v>79</v>
      </c>
      <c r="J1657" s="13" t="s">
        <v>80</v>
      </c>
      <c r="K1657" s="13" t="s">
        <v>81</v>
      </c>
      <c r="L1657" s="13" t="s">
        <v>82</v>
      </c>
      <c r="M1657">
        <v>30</v>
      </c>
      <c r="N1657">
        <v>2</v>
      </c>
      <c r="O1657" s="14">
        <v>46003</v>
      </c>
      <c r="P1657" s="14">
        <v>46033</v>
      </c>
      <c r="Q1657">
        <v>802.15</v>
      </c>
      <c r="R1657">
        <v>0</v>
      </c>
      <c r="S1657">
        <v>0</v>
      </c>
      <c r="T1657">
        <v>0</v>
      </c>
      <c r="U1657">
        <v>0</v>
      </c>
      <c r="V1657">
        <v>802.15</v>
      </c>
      <c r="W1657">
        <v>0</v>
      </c>
      <c r="X1657">
        <v>1</v>
      </c>
      <c r="Y1657">
        <v>0</v>
      </c>
      <c r="Z1657">
        <v>-11</v>
      </c>
      <c r="AA1657">
        <v>1</v>
      </c>
      <c r="AB1657" s="13" t="s">
        <v>581</v>
      </c>
      <c r="AC1657">
        <v>0</v>
      </c>
      <c r="AD1657">
        <v>0</v>
      </c>
      <c r="AE1657" s="13" t="s">
        <v>61</v>
      </c>
    </row>
    <row r="1658" spans="1:31" x14ac:dyDescent="0.35">
      <c r="A1658" s="13" t="s">
        <v>2452</v>
      </c>
      <c r="B1658" s="13" t="s">
        <v>2453</v>
      </c>
      <c r="C1658" s="13" t="s">
        <v>2454</v>
      </c>
      <c r="D1658" s="13" t="s">
        <v>104</v>
      </c>
      <c r="E1658" s="13" t="s">
        <v>65</v>
      </c>
      <c r="F1658" s="13" t="s">
        <v>66</v>
      </c>
      <c r="G1658" s="13" t="s">
        <v>67</v>
      </c>
      <c r="H1658">
        <v>25000</v>
      </c>
      <c r="I1658" s="13" t="s">
        <v>121</v>
      </c>
      <c r="J1658" s="13" t="s">
        <v>122</v>
      </c>
      <c r="K1658" s="13" t="s">
        <v>107</v>
      </c>
      <c r="L1658" s="13" t="s">
        <v>95</v>
      </c>
      <c r="M1658">
        <v>30</v>
      </c>
      <c r="N1658">
        <v>0</v>
      </c>
      <c r="O1658" s="14">
        <v>46003</v>
      </c>
      <c r="P1658" s="14">
        <v>46033</v>
      </c>
      <c r="Q1658">
        <v>828.75</v>
      </c>
      <c r="R1658">
        <v>0</v>
      </c>
      <c r="S1658">
        <v>0</v>
      </c>
      <c r="T1658">
        <v>0</v>
      </c>
      <c r="U1658">
        <v>0</v>
      </c>
      <c r="V1658">
        <v>828.75</v>
      </c>
      <c r="W1658">
        <v>0</v>
      </c>
      <c r="X1658">
        <v>1</v>
      </c>
      <c r="Y1658">
        <v>0</v>
      </c>
      <c r="Z1658">
        <v>-11</v>
      </c>
      <c r="AA1658">
        <v>1</v>
      </c>
      <c r="AB1658" s="13" t="s">
        <v>581</v>
      </c>
      <c r="AC1658">
        <v>0</v>
      </c>
      <c r="AD1658">
        <v>0</v>
      </c>
      <c r="AE1658" s="13" t="s">
        <v>61</v>
      </c>
    </row>
    <row r="1659" spans="1:31" x14ac:dyDescent="0.35">
      <c r="A1659" s="13" t="s">
        <v>2455</v>
      </c>
      <c r="B1659" s="13" t="s">
        <v>1214</v>
      </c>
      <c r="C1659" s="13" t="s">
        <v>1215</v>
      </c>
      <c r="D1659" s="13" t="s">
        <v>76</v>
      </c>
      <c r="E1659" s="13" t="s">
        <v>53</v>
      </c>
      <c r="F1659" s="13" t="s">
        <v>135</v>
      </c>
      <c r="G1659" s="13" t="s">
        <v>92</v>
      </c>
      <c r="H1659">
        <v>55000</v>
      </c>
      <c r="I1659" s="13" t="s">
        <v>79</v>
      </c>
      <c r="J1659" s="13" t="s">
        <v>80</v>
      </c>
      <c r="K1659" s="13" t="s">
        <v>81</v>
      </c>
      <c r="L1659" s="13" t="s">
        <v>95</v>
      </c>
      <c r="M1659">
        <v>30</v>
      </c>
      <c r="N1659">
        <v>0</v>
      </c>
      <c r="O1659" s="14">
        <v>46003</v>
      </c>
      <c r="P1659" s="14">
        <v>46033</v>
      </c>
      <c r="Q1659">
        <v>4524.0600000000004</v>
      </c>
      <c r="R1659">
        <v>0</v>
      </c>
      <c r="S1659">
        <v>0</v>
      </c>
      <c r="T1659">
        <v>0</v>
      </c>
      <c r="U1659">
        <v>0</v>
      </c>
      <c r="V1659">
        <v>4524.0600000000004</v>
      </c>
      <c r="W1659">
        <v>0</v>
      </c>
      <c r="X1659">
        <v>1</v>
      </c>
      <c r="Y1659">
        <v>0</v>
      </c>
      <c r="Z1659">
        <v>-11</v>
      </c>
      <c r="AA1659">
        <v>1</v>
      </c>
      <c r="AB1659" s="13" t="s">
        <v>581</v>
      </c>
      <c r="AC1659">
        <v>0</v>
      </c>
      <c r="AD1659">
        <v>0</v>
      </c>
      <c r="AE1659" s="13" t="s">
        <v>61</v>
      </c>
    </row>
    <row r="1660" spans="1:31" x14ac:dyDescent="0.35">
      <c r="A1660" s="13" t="s">
        <v>2456</v>
      </c>
      <c r="B1660" s="13" t="s">
        <v>250</v>
      </c>
      <c r="C1660" s="13" t="s">
        <v>251</v>
      </c>
      <c r="D1660" s="13" t="s">
        <v>104</v>
      </c>
      <c r="E1660" s="13" t="s">
        <v>53</v>
      </c>
      <c r="F1660" s="13" t="s">
        <v>135</v>
      </c>
      <c r="G1660" s="13" t="s">
        <v>55</v>
      </c>
      <c r="H1660">
        <v>85000</v>
      </c>
      <c r="I1660" s="13" t="s">
        <v>105</v>
      </c>
      <c r="J1660" s="13" t="s">
        <v>106</v>
      </c>
      <c r="K1660" s="13" t="s">
        <v>107</v>
      </c>
      <c r="L1660" s="13" t="s">
        <v>88</v>
      </c>
      <c r="M1660">
        <v>60</v>
      </c>
      <c r="N1660">
        <v>0</v>
      </c>
      <c r="O1660" s="14">
        <v>46003</v>
      </c>
      <c r="P1660" s="14">
        <v>46063</v>
      </c>
      <c r="Q1660">
        <v>4861.75</v>
      </c>
      <c r="R1660">
        <v>0</v>
      </c>
      <c r="S1660">
        <v>0</v>
      </c>
      <c r="T1660">
        <v>0</v>
      </c>
      <c r="U1660">
        <v>0</v>
      </c>
      <c r="V1660">
        <v>4861.75</v>
      </c>
      <c r="W1660">
        <v>0</v>
      </c>
      <c r="X1660">
        <v>1</v>
      </c>
      <c r="Y1660">
        <v>0</v>
      </c>
      <c r="Z1660">
        <v>-41</v>
      </c>
      <c r="AA1660">
        <v>1</v>
      </c>
      <c r="AB1660" s="13" t="s">
        <v>581</v>
      </c>
      <c r="AC1660">
        <v>0</v>
      </c>
      <c r="AD1660">
        <v>0</v>
      </c>
      <c r="AE1660" s="13" t="s">
        <v>61</v>
      </c>
    </row>
    <row r="1661" spans="1:31" x14ac:dyDescent="0.35">
      <c r="A1661" s="13" t="s">
        <v>2457</v>
      </c>
      <c r="B1661" s="13" t="s">
        <v>1097</v>
      </c>
      <c r="C1661" s="13" t="s">
        <v>1098</v>
      </c>
      <c r="D1661" s="13" t="s">
        <v>52</v>
      </c>
      <c r="E1661" s="13" t="s">
        <v>77</v>
      </c>
      <c r="F1661" s="13" t="s">
        <v>78</v>
      </c>
      <c r="G1661" s="13" t="s">
        <v>67</v>
      </c>
      <c r="H1661">
        <v>510000</v>
      </c>
      <c r="I1661" s="13" t="s">
        <v>86</v>
      </c>
      <c r="J1661" s="13" t="s">
        <v>87</v>
      </c>
      <c r="K1661" s="13" t="s">
        <v>58</v>
      </c>
      <c r="L1661" s="13" t="s">
        <v>88</v>
      </c>
      <c r="M1661">
        <v>60</v>
      </c>
      <c r="N1661">
        <v>0</v>
      </c>
      <c r="O1661" s="14">
        <v>46003</v>
      </c>
      <c r="P1661" s="14">
        <v>46063</v>
      </c>
      <c r="Q1661">
        <v>2750.59</v>
      </c>
      <c r="R1661">
        <v>0</v>
      </c>
      <c r="S1661">
        <v>0</v>
      </c>
      <c r="T1661">
        <v>0</v>
      </c>
      <c r="U1661">
        <v>0</v>
      </c>
      <c r="V1661">
        <v>2750.59</v>
      </c>
      <c r="W1661">
        <v>0</v>
      </c>
      <c r="X1661">
        <v>1</v>
      </c>
      <c r="Y1661">
        <v>0</v>
      </c>
      <c r="Z1661">
        <v>-41</v>
      </c>
      <c r="AA1661">
        <v>1</v>
      </c>
      <c r="AB1661" s="13" t="s">
        <v>581</v>
      </c>
      <c r="AC1661">
        <v>0</v>
      </c>
      <c r="AD1661">
        <v>0</v>
      </c>
      <c r="AE1661" s="13" t="s">
        <v>61</v>
      </c>
    </row>
    <row r="1662" spans="1:31" x14ac:dyDescent="0.35">
      <c r="A1662" s="13" t="s">
        <v>2458</v>
      </c>
      <c r="B1662" s="13" t="s">
        <v>317</v>
      </c>
      <c r="C1662" s="13" t="s">
        <v>318</v>
      </c>
      <c r="D1662" s="13" t="s">
        <v>52</v>
      </c>
      <c r="E1662" s="13" t="s">
        <v>77</v>
      </c>
      <c r="F1662" s="13" t="s">
        <v>78</v>
      </c>
      <c r="G1662" s="13" t="s">
        <v>67</v>
      </c>
      <c r="H1662">
        <v>390000</v>
      </c>
      <c r="I1662" s="13" t="s">
        <v>56</v>
      </c>
      <c r="J1662" s="13" t="s">
        <v>57</v>
      </c>
      <c r="K1662" s="13" t="s">
        <v>58</v>
      </c>
      <c r="L1662" s="13" t="s">
        <v>88</v>
      </c>
      <c r="M1662">
        <v>60</v>
      </c>
      <c r="N1662">
        <v>0</v>
      </c>
      <c r="O1662" s="14">
        <v>46003</v>
      </c>
      <c r="P1662" s="14">
        <v>46063</v>
      </c>
      <c r="Q1662">
        <v>7894.1</v>
      </c>
      <c r="R1662">
        <v>0</v>
      </c>
      <c r="S1662">
        <v>0</v>
      </c>
      <c r="T1662">
        <v>0</v>
      </c>
      <c r="U1662">
        <v>0</v>
      </c>
      <c r="V1662">
        <v>7894.1</v>
      </c>
      <c r="W1662">
        <v>0</v>
      </c>
      <c r="X1662">
        <v>1</v>
      </c>
      <c r="Y1662">
        <v>0</v>
      </c>
      <c r="Z1662">
        <v>-41</v>
      </c>
      <c r="AA1662">
        <v>1</v>
      </c>
      <c r="AB1662" s="13" t="s">
        <v>581</v>
      </c>
      <c r="AC1662">
        <v>0</v>
      </c>
      <c r="AD1662">
        <v>0</v>
      </c>
      <c r="AE1662" s="13" t="s">
        <v>61</v>
      </c>
    </row>
    <row r="1663" spans="1:31" x14ac:dyDescent="0.35">
      <c r="A1663" s="13" t="s">
        <v>2459</v>
      </c>
      <c r="B1663" s="13" t="s">
        <v>561</v>
      </c>
      <c r="C1663" s="13" t="s">
        <v>562</v>
      </c>
      <c r="D1663" s="13" t="s">
        <v>126</v>
      </c>
      <c r="E1663" s="13" t="s">
        <v>53</v>
      </c>
      <c r="F1663" s="13" t="s">
        <v>135</v>
      </c>
      <c r="G1663" s="13" t="s">
        <v>67</v>
      </c>
      <c r="H1663">
        <v>155000</v>
      </c>
      <c r="I1663" s="13" t="s">
        <v>86</v>
      </c>
      <c r="J1663" s="13" t="s">
        <v>87</v>
      </c>
      <c r="K1663" s="13" t="s">
        <v>58</v>
      </c>
      <c r="L1663" s="13" t="s">
        <v>368</v>
      </c>
      <c r="M1663">
        <v>90</v>
      </c>
      <c r="N1663">
        <v>0</v>
      </c>
      <c r="O1663" s="14">
        <v>46003</v>
      </c>
      <c r="P1663" s="14">
        <v>46093</v>
      </c>
      <c r="Q1663">
        <v>6407.07</v>
      </c>
      <c r="R1663">
        <v>0</v>
      </c>
      <c r="S1663">
        <v>0</v>
      </c>
      <c r="T1663">
        <v>0</v>
      </c>
      <c r="U1663">
        <v>0</v>
      </c>
      <c r="V1663">
        <v>6407.07</v>
      </c>
      <c r="W1663">
        <v>0</v>
      </c>
      <c r="X1663">
        <v>1</v>
      </c>
      <c r="Y1663">
        <v>0</v>
      </c>
      <c r="Z1663">
        <v>-71</v>
      </c>
      <c r="AA1663">
        <v>1</v>
      </c>
      <c r="AB1663" s="13" t="s">
        <v>581</v>
      </c>
      <c r="AC1663">
        <v>0</v>
      </c>
      <c r="AD1663">
        <v>0</v>
      </c>
      <c r="AE1663" s="13" t="s">
        <v>61</v>
      </c>
    </row>
    <row r="1664" spans="1:31" x14ac:dyDescent="0.35">
      <c r="A1664" s="13" t="s">
        <v>2460</v>
      </c>
      <c r="B1664" s="13" t="s">
        <v>2171</v>
      </c>
      <c r="C1664" s="13" t="s">
        <v>2172</v>
      </c>
      <c r="D1664" s="13" t="s">
        <v>76</v>
      </c>
      <c r="E1664" s="13" t="s">
        <v>99</v>
      </c>
      <c r="F1664" s="13" t="s">
        <v>127</v>
      </c>
      <c r="G1664" s="13" t="s">
        <v>55</v>
      </c>
      <c r="H1664">
        <v>85000</v>
      </c>
      <c r="I1664" s="13" t="s">
        <v>93</v>
      </c>
      <c r="J1664" s="13" t="s">
        <v>94</v>
      </c>
      <c r="K1664" s="13" t="s">
        <v>81</v>
      </c>
      <c r="L1664" s="13" t="s">
        <v>95</v>
      </c>
      <c r="M1664">
        <v>30</v>
      </c>
      <c r="N1664">
        <v>0</v>
      </c>
      <c r="O1664" s="14">
        <v>46003</v>
      </c>
      <c r="P1664" s="14">
        <v>46033</v>
      </c>
      <c r="Q1664">
        <v>4763.46</v>
      </c>
      <c r="R1664">
        <v>0</v>
      </c>
      <c r="S1664">
        <v>0</v>
      </c>
      <c r="T1664">
        <v>0</v>
      </c>
      <c r="U1664">
        <v>0</v>
      </c>
      <c r="V1664">
        <v>4763.46</v>
      </c>
      <c r="W1664">
        <v>0</v>
      </c>
      <c r="X1664">
        <v>1</v>
      </c>
      <c r="Y1664">
        <v>0</v>
      </c>
      <c r="Z1664">
        <v>-11</v>
      </c>
      <c r="AA1664">
        <v>1</v>
      </c>
      <c r="AB1664" s="13" t="s">
        <v>581</v>
      </c>
      <c r="AC1664">
        <v>0</v>
      </c>
      <c r="AD1664">
        <v>0</v>
      </c>
      <c r="AE1664" s="13" t="s">
        <v>61</v>
      </c>
    </row>
    <row r="1665" spans="1:31" x14ac:dyDescent="0.35">
      <c r="A1665" s="13" t="s">
        <v>2461</v>
      </c>
      <c r="B1665" s="13" t="s">
        <v>116</v>
      </c>
      <c r="C1665" s="13" t="s">
        <v>117</v>
      </c>
      <c r="D1665" s="13" t="s">
        <v>76</v>
      </c>
      <c r="E1665" s="13" t="s">
        <v>65</v>
      </c>
      <c r="F1665" s="13" t="s">
        <v>111</v>
      </c>
      <c r="G1665" s="13" t="s">
        <v>67</v>
      </c>
      <c r="H1665">
        <v>85000</v>
      </c>
      <c r="I1665" s="13" t="s">
        <v>79</v>
      </c>
      <c r="J1665" s="13" t="s">
        <v>80</v>
      </c>
      <c r="K1665" s="13" t="s">
        <v>81</v>
      </c>
      <c r="L1665" s="13" t="s">
        <v>82</v>
      </c>
      <c r="M1665">
        <v>30</v>
      </c>
      <c r="N1665">
        <v>2</v>
      </c>
      <c r="O1665" s="14">
        <v>46003</v>
      </c>
      <c r="P1665" s="14">
        <v>46033</v>
      </c>
      <c r="Q1665">
        <v>452.65</v>
      </c>
      <c r="R1665">
        <v>0</v>
      </c>
      <c r="S1665">
        <v>0</v>
      </c>
      <c r="T1665">
        <v>0</v>
      </c>
      <c r="U1665">
        <v>0</v>
      </c>
      <c r="V1665">
        <v>452.65</v>
      </c>
      <c r="W1665">
        <v>0</v>
      </c>
      <c r="X1665">
        <v>1</v>
      </c>
      <c r="Y1665">
        <v>0</v>
      </c>
      <c r="Z1665">
        <v>-11</v>
      </c>
      <c r="AA1665">
        <v>1</v>
      </c>
      <c r="AB1665" s="13" t="s">
        <v>581</v>
      </c>
      <c r="AC1665">
        <v>0</v>
      </c>
      <c r="AD1665">
        <v>0</v>
      </c>
      <c r="AE1665" s="13" t="s">
        <v>61</v>
      </c>
    </row>
    <row r="1666" spans="1:31" x14ac:dyDescent="0.35">
      <c r="A1666" s="13" t="s">
        <v>2462</v>
      </c>
      <c r="B1666" s="13" t="s">
        <v>296</v>
      </c>
      <c r="C1666" s="13" t="s">
        <v>297</v>
      </c>
      <c r="D1666" s="13" t="s">
        <v>104</v>
      </c>
      <c r="E1666" s="13" t="s">
        <v>65</v>
      </c>
      <c r="F1666" s="13" t="s">
        <v>111</v>
      </c>
      <c r="G1666" s="13" t="s">
        <v>92</v>
      </c>
      <c r="H1666">
        <v>125000</v>
      </c>
      <c r="I1666" s="13" t="s">
        <v>105</v>
      </c>
      <c r="J1666" s="13" t="s">
        <v>106</v>
      </c>
      <c r="K1666" s="13" t="s">
        <v>107</v>
      </c>
      <c r="L1666" s="13" t="s">
        <v>82</v>
      </c>
      <c r="M1666">
        <v>30</v>
      </c>
      <c r="N1666">
        <v>2</v>
      </c>
      <c r="O1666" s="14">
        <v>46003</v>
      </c>
      <c r="P1666" s="14">
        <v>46033</v>
      </c>
      <c r="Q1666">
        <v>2909.85</v>
      </c>
      <c r="R1666">
        <v>0</v>
      </c>
      <c r="S1666">
        <v>0</v>
      </c>
      <c r="T1666">
        <v>0</v>
      </c>
      <c r="U1666">
        <v>0</v>
      </c>
      <c r="V1666">
        <v>2909.85</v>
      </c>
      <c r="W1666">
        <v>0</v>
      </c>
      <c r="X1666">
        <v>1</v>
      </c>
      <c r="Y1666">
        <v>0</v>
      </c>
      <c r="Z1666">
        <v>-11</v>
      </c>
      <c r="AA1666">
        <v>1</v>
      </c>
      <c r="AB1666" s="13" t="s">
        <v>581</v>
      </c>
      <c r="AC1666">
        <v>0</v>
      </c>
      <c r="AD1666">
        <v>0</v>
      </c>
      <c r="AE1666" s="13" t="s">
        <v>61</v>
      </c>
    </row>
    <row r="1667" spans="1:31" x14ac:dyDescent="0.35">
      <c r="A1667" s="13" t="s">
        <v>2463</v>
      </c>
      <c r="B1667" s="13" t="s">
        <v>2464</v>
      </c>
      <c r="C1667" s="13" t="s">
        <v>2465</v>
      </c>
      <c r="D1667" s="13" t="s">
        <v>126</v>
      </c>
      <c r="E1667" s="13" t="s">
        <v>77</v>
      </c>
      <c r="F1667" s="13" t="s">
        <v>78</v>
      </c>
      <c r="G1667" s="13" t="s">
        <v>67</v>
      </c>
      <c r="H1667">
        <v>75000</v>
      </c>
      <c r="I1667" s="13" t="s">
        <v>105</v>
      </c>
      <c r="J1667" s="13" t="s">
        <v>106</v>
      </c>
      <c r="K1667" s="13" t="s">
        <v>107</v>
      </c>
      <c r="L1667" s="13" t="s">
        <v>88</v>
      </c>
      <c r="M1667">
        <v>60</v>
      </c>
      <c r="N1667">
        <v>0</v>
      </c>
      <c r="O1667" s="14">
        <v>46003</v>
      </c>
      <c r="P1667" s="14">
        <v>46063</v>
      </c>
      <c r="Q1667">
        <v>11541.87</v>
      </c>
      <c r="R1667">
        <v>0</v>
      </c>
      <c r="S1667">
        <v>0</v>
      </c>
      <c r="T1667">
        <v>0</v>
      </c>
      <c r="U1667">
        <v>0</v>
      </c>
      <c r="V1667">
        <v>11541.87</v>
      </c>
      <c r="W1667">
        <v>0</v>
      </c>
      <c r="X1667">
        <v>1</v>
      </c>
      <c r="Y1667">
        <v>0</v>
      </c>
      <c r="Z1667">
        <v>-41</v>
      </c>
      <c r="AA1667">
        <v>1</v>
      </c>
      <c r="AB1667" s="13" t="s">
        <v>581</v>
      </c>
      <c r="AC1667">
        <v>0</v>
      </c>
      <c r="AD1667">
        <v>0</v>
      </c>
      <c r="AE1667" s="13" t="s">
        <v>61</v>
      </c>
    </row>
    <row r="1668" spans="1:31" x14ac:dyDescent="0.35">
      <c r="A1668" s="13" t="s">
        <v>2466</v>
      </c>
      <c r="B1668" s="13" t="s">
        <v>2043</v>
      </c>
      <c r="C1668" s="13" t="s">
        <v>2044</v>
      </c>
      <c r="D1668" s="13" t="s">
        <v>76</v>
      </c>
      <c r="E1668" s="13" t="s">
        <v>65</v>
      </c>
      <c r="F1668" s="13" t="s">
        <v>111</v>
      </c>
      <c r="G1668" s="13" t="s">
        <v>55</v>
      </c>
      <c r="H1668">
        <v>40000</v>
      </c>
      <c r="I1668" s="13" t="s">
        <v>93</v>
      </c>
      <c r="J1668" s="13" t="s">
        <v>94</v>
      </c>
      <c r="K1668" s="13" t="s">
        <v>81</v>
      </c>
      <c r="L1668" s="13" t="s">
        <v>82</v>
      </c>
      <c r="M1668">
        <v>30</v>
      </c>
      <c r="N1668">
        <v>2</v>
      </c>
      <c r="O1668" s="14">
        <v>46003</v>
      </c>
      <c r="P1668" s="14">
        <v>46033</v>
      </c>
      <c r="Q1668">
        <v>1460.86</v>
      </c>
      <c r="R1668">
        <v>0</v>
      </c>
      <c r="S1668">
        <v>0</v>
      </c>
      <c r="T1668">
        <v>0</v>
      </c>
      <c r="U1668">
        <v>0</v>
      </c>
      <c r="V1668">
        <v>1460.86</v>
      </c>
      <c r="W1668">
        <v>0</v>
      </c>
      <c r="X1668">
        <v>1</v>
      </c>
      <c r="Y1668">
        <v>0</v>
      </c>
      <c r="Z1668">
        <v>-11</v>
      </c>
      <c r="AA1668">
        <v>1</v>
      </c>
      <c r="AB1668" s="13" t="s">
        <v>581</v>
      </c>
      <c r="AC1668">
        <v>0</v>
      </c>
      <c r="AD1668">
        <v>0</v>
      </c>
      <c r="AE1668" s="13" t="s">
        <v>61</v>
      </c>
    </row>
    <row r="1669" spans="1:31" x14ac:dyDescent="0.35">
      <c r="A1669" s="13" t="s">
        <v>2467</v>
      </c>
      <c r="B1669" s="13" t="s">
        <v>791</v>
      </c>
      <c r="C1669" s="13" t="s">
        <v>792</v>
      </c>
      <c r="D1669" s="13" t="s">
        <v>104</v>
      </c>
      <c r="E1669" s="13" t="s">
        <v>53</v>
      </c>
      <c r="F1669" s="13" t="s">
        <v>54</v>
      </c>
      <c r="G1669" s="13" t="s">
        <v>67</v>
      </c>
      <c r="H1669">
        <v>95000</v>
      </c>
      <c r="I1669" s="13" t="s">
        <v>121</v>
      </c>
      <c r="J1669" s="13" t="s">
        <v>122</v>
      </c>
      <c r="K1669" s="13" t="s">
        <v>107</v>
      </c>
      <c r="L1669" s="13" t="s">
        <v>88</v>
      </c>
      <c r="M1669">
        <v>60</v>
      </c>
      <c r="N1669">
        <v>0</v>
      </c>
      <c r="O1669" s="14">
        <v>46003</v>
      </c>
      <c r="P1669" s="14">
        <v>46063</v>
      </c>
      <c r="Q1669">
        <v>4946.25</v>
      </c>
      <c r="R1669">
        <v>0</v>
      </c>
      <c r="S1669">
        <v>0</v>
      </c>
      <c r="T1669">
        <v>0</v>
      </c>
      <c r="U1669">
        <v>0</v>
      </c>
      <c r="V1669">
        <v>4946.25</v>
      </c>
      <c r="W1669">
        <v>0</v>
      </c>
      <c r="X1669">
        <v>1</v>
      </c>
      <c r="Y1669">
        <v>0</v>
      </c>
      <c r="Z1669">
        <v>-41</v>
      </c>
      <c r="AA1669">
        <v>1</v>
      </c>
      <c r="AB1669" s="13" t="s">
        <v>581</v>
      </c>
      <c r="AC1669">
        <v>0</v>
      </c>
      <c r="AD1669">
        <v>0</v>
      </c>
      <c r="AE1669" s="13" t="s">
        <v>61</v>
      </c>
    </row>
    <row r="1670" spans="1:31" x14ac:dyDescent="0.35">
      <c r="A1670" s="13" t="s">
        <v>2468</v>
      </c>
      <c r="B1670" s="13" t="s">
        <v>902</v>
      </c>
      <c r="C1670" s="13" t="s">
        <v>903</v>
      </c>
      <c r="D1670" s="13" t="s">
        <v>52</v>
      </c>
      <c r="E1670" s="13" t="s">
        <v>65</v>
      </c>
      <c r="F1670" s="13" t="s">
        <v>111</v>
      </c>
      <c r="G1670" s="13" t="s">
        <v>67</v>
      </c>
      <c r="H1670">
        <v>540000</v>
      </c>
      <c r="I1670" s="13" t="s">
        <v>56</v>
      </c>
      <c r="J1670" s="13" t="s">
        <v>57</v>
      </c>
      <c r="K1670" s="13" t="s">
        <v>58</v>
      </c>
      <c r="L1670" s="13" t="s">
        <v>59</v>
      </c>
      <c r="M1670">
        <v>45</v>
      </c>
      <c r="N1670">
        <v>0</v>
      </c>
      <c r="O1670" s="14">
        <v>46003</v>
      </c>
      <c r="P1670" s="14">
        <v>46048</v>
      </c>
      <c r="Q1670">
        <v>6017.3</v>
      </c>
      <c r="R1670">
        <v>0</v>
      </c>
      <c r="S1670">
        <v>0</v>
      </c>
      <c r="T1670">
        <v>0</v>
      </c>
      <c r="U1670">
        <v>0</v>
      </c>
      <c r="V1670">
        <v>6017.3</v>
      </c>
      <c r="W1670">
        <v>0</v>
      </c>
      <c r="X1670">
        <v>1</v>
      </c>
      <c r="Y1670">
        <v>0</v>
      </c>
      <c r="Z1670">
        <v>-26</v>
      </c>
      <c r="AA1670">
        <v>1</v>
      </c>
      <c r="AB1670" s="13" t="s">
        <v>581</v>
      </c>
      <c r="AC1670">
        <v>0</v>
      </c>
      <c r="AD1670">
        <v>0</v>
      </c>
      <c r="AE1670" s="13" t="s">
        <v>61</v>
      </c>
    </row>
    <row r="1671" spans="1:31" x14ac:dyDescent="0.35">
      <c r="A1671" s="13" t="s">
        <v>2469</v>
      </c>
      <c r="B1671" s="13" t="s">
        <v>1022</v>
      </c>
      <c r="C1671" s="13" t="s">
        <v>1023</v>
      </c>
      <c r="D1671" s="13" t="s">
        <v>126</v>
      </c>
      <c r="E1671" s="13" t="s">
        <v>77</v>
      </c>
      <c r="F1671" s="13" t="s">
        <v>174</v>
      </c>
      <c r="G1671" s="13" t="s">
        <v>55</v>
      </c>
      <c r="H1671">
        <v>160000</v>
      </c>
      <c r="I1671" s="13" t="s">
        <v>56</v>
      </c>
      <c r="J1671" s="13" t="s">
        <v>57</v>
      </c>
      <c r="K1671" s="13" t="s">
        <v>58</v>
      </c>
      <c r="L1671" s="13" t="s">
        <v>88</v>
      </c>
      <c r="M1671">
        <v>60</v>
      </c>
      <c r="N1671">
        <v>0</v>
      </c>
      <c r="O1671" s="14">
        <v>46003</v>
      </c>
      <c r="P1671" s="14">
        <v>46063</v>
      </c>
      <c r="Q1671">
        <v>11275.13</v>
      </c>
      <c r="R1671">
        <v>0</v>
      </c>
      <c r="S1671">
        <v>0</v>
      </c>
      <c r="T1671">
        <v>0</v>
      </c>
      <c r="U1671">
        <v>0</v>
      </c>
      <c r="V1671">
        <v>11275.13</v>
      </c>
      <c r="W1671">
        <v>0</v>
      </c>
      <c r="X1671">
        <v>1</v>
      </c>
      <c r="Y1671">
        <v>0</v>
      </c>
      <c r="Z1671">
        <v>-41</v>
      </c>
      <c r="AA1671">
        <v>1</v>
      </c>
      <c r="AB1671" s="13" t="s">
        <v>581</v>
      </c>
      <c r="AC1671">
        <v>0</v>
      </c>
      <c r="AD1671">
        <v>0</v>
      </c>
      <c r="AE1671" s="13" t="s">
        <v>61</v>
      </c>
    </row>
    <row r="1672" spans="1:31" x14ac:dyDescent="0.35">
      <c r="A1672" s="13" t="s">
        <v>2470</v>
      </c>
      <c r="B1672" s="13" t="s">
        <v>2351</v>
      </c>
      <c r="C1672" s="13" t="s">
        <v>2352</v>
      </c>
      <c r="D1672" s="13" t="s">
        <v>104</v>
      </c>
      <c r="E1672" s="13" t="s">
        <v>77</v>
      </c>
      <c r="F1672" s="13" t="s">
        <v>78</v>
      </c>
      <c r="G1672" s="13" t="s">
        <v>67</v>
      </c>
      <c r="H1672">
        <v>40000</v>
      </c>
      <c r="I1672" s="13" t="s">
        <v>121</v>
      </c>
      <c r="J1672" s="13" t="s">
        <v>122</v>
      </c>
      <c r="K1672" s="13" t="s">
        <v>107</v>
      </c>
      <c r="L1672" s="13" t="s">
        <v>95</v>
      </c>
      <c r="M1672">
        <v>30</v>
      </c>
      <c r="N1672">
        <v>0</v>
      </c>
      <c r="O1672" s="14">
        <v>46003</v>
      </c>
      <c r="P1672" s="14">
        <v>46033</v>
      </c>
      <c r="Q1672">
        <v>1465.46</v>
      </c>
      <c r="R1672">
        <v>0</v>
      </c>
      <c r="S1672">
        <v>0</v>
      </c>
      <c r="T1672">
        <v>0</v>
      </c>
      <c r="U1672">
        <v>0</v>
      </c>
      <c r="V1672">
        <v>1465.46</v>
      </c>
      <c r="W1672">
        <v>0</v>
      </c>
      <c r="X1672">
        <v>1</v>
      </c>
      <c r="Y1672">
        <v>0</v>
      </c>
      <c r="Z1672">
        <v>-11</v>
      </c>
      <c r="AA1672">
        <v>1</v>
      </c>
      <c r="AB1672" s="13" t="s">
        <v>581</v>
      </c>
      <c r="AC1672">
        <v>0</v>
      </c>
      <c r="AD1672">
        <v>0</v>
      </c>
      <c r="AE1672" s="13" t="s">
        <v>61</v>
      </c>
    </row>
    <row r="1673" spans="1:31" x14ac:dyDescent="0.35">
      <c r="A1673" s="13" t="s">
        <v>2471</v>
      </c>
      <c r="B1673" s="13" t="s">
        <v>933</v>
      </c>
      <c r="C1673" s="13" t="s">
        <v>934</v>
      </c>
      <c r="D1673" s="13" t="s">
        <v>76</v>
      </c>
      <c r="E1673" s="13" t="s">
        <v>71</v>
      </c>
      <c r="F1673" s="13" t="s">
        <v>214</v>
      </c>
      <c r="G1673" s="13" t="s">
        <v>67</v>
      </c>
      <c r="H1673">
        <v>115000</v>
      </c>
      <c r="I1673" s="13" t="s">
        <v>79</v>
      </c>
      <c r="J1673" s="13" t="s">
        <v>80</v>
      </c>
      <c r="K1673" s="13" t="s">
        <v>81</v>
      </c>
      <c r="L1673" s="13" t="s">
        <v>95</v>
      </c>
      <c r="M1673">
        <v>30</v>
      </c>
      <c r="N1673">
        <v>0</v>
      </c>
      <c r="O1673" s="14">
        <v>46003</v>
      </c>
      <c r="P1673" s="14">
        <v>46033</v>
      </c>
      <c r="Q1673">
        <v>2070.13</v>
      </c>
      <c r="R1673">
        <v>0</v>
      </c>
      <c r="S1673">
        <v>0</v>
      </c>
      <c r="T1673">
        <v>0</v>
      </c>
      <c r="U1673">
        <v>0</v>
      </c>
      <c r="V1673">
        <v>2070.13</v>
      </c>
      <c r="W1673">
        <v>0</v>
      </c>
      <c r="X1673">
        <v>1</v>
      </c>
      <c r="Y1673">
        <v>0</v>
      </c>
      <c r="Z1673">
        <v>-11</v>
      </c>
      <c r="AA1673">
        <v>1</v>
      </c>
      <c r="AB1673" s="13" t="s">
        <v>581</v>
      </c>
      <c r="AC1673">
        <v>0</v>
      </c>
      <c r="AD1673">
        <v>0</v>
      </c>
      <c r="AE1673" s="13" t="s">
        <v>61</v>
      </c>
    </row>
    <row r="1674" spans="1:31" x14ac:dyDescent="0.35">
      <c r="A1674" s="13" t="s">
        <v>2472</v>
      </c>
      <c r="B1674" s="13" t="s">
        <v>2473</v>
      </c>
      <c r="C1674" s="13" t="s">
        <v>2474</v>
      </c>
      <c r="D1674" s="13" t="s">
        <v>104</v>
      </c>
      <c r="E1674" s="13" t="s">
        <v>71</v>
      </c>
      <c r="F1674" s="13" t="s">
        <v>214</v>
      </c>
      <c r="G1674" s="13" t="s">
        <v>55</v>
      </c>
      <c r="H1674">
        <v>85000</v>
      </c>
      <c r="I1674" s="13" t="s">
        <v>121</v>
      </c>
      <c r="J1674" s="13" t="s">
        <v>122</v>
      </c>
      <c r="K1674" s="13" t="s">
        <v>107</v>
      </c>
      <c r="L1674" s="13" t="s">
        <v>82</v>
      </c>
      <c r="M1674">
        <v>30</v>
      </c>
      <c r="N1674">
        <v>2</v>
      </c>
      <c r="O1674" s="14">
        <v>46003</v>
      </c>
      <c r="P1674" s="14">
        <v>46033</v>
      </c>
      <c r="Q1674">
        <v>4849.84</v>
      </c>
      <c r="R1674">
        <v>0</v>
      </c>
      <c r="S1674">
        <v>0</v>
      </c>
      <c r="T1674">
        <v>0</v>
      </c>
      <c r="U1674">
        <v>0</v>
      </c>
      <c r="V1674">
        <v>4849.84</v>
      </c>
      <c r="W1674">
        <v>0</v>
      </c>
      <c r="X1674">
        <v>1</v>
      </c>
      <c r="Y1674">
        <v>0</v>
      </c>
      <c r="Z1674">
        <v>-11</v>
      </c>
      <c r="AA1674">
        <v>1</v>
      </c>
      <c r="AB1674" s="13" t="s">
        <v>581</v>
      </c>
      <c r="AC1674">
        <v>0</v>
      </c>
      <c r="AD1674">
        <v>0</v>
      </c>
      <c r="AE1674" s="13" t="s">
        <v>61</v>
      </c>
    </row>
    <row r="1675" spans="1:31" x14ac:dyDescent="0.35">
      <c r="A1675" s="13" t="s">
        <v>2475</v>
      </c>
      <c r="B1675" s="13" t="s">
        <v>212</v>
      </c>
      <c r="C1675" s="13" t="s">
        <v>213</v>
      </c>
      <c r="D1675" s="13" t="s">
        <v>52</v>
      </c>
      <c r="E1675" s="13" t="s">
        <v>71</v>
      </c>
      <c r="F1675" s="13" t="s">
        <v>214</v>
      </c>
      <c r="G1675" s="13" t="s">
        <v>92</v>
      </c>
      <c r="H1675">
        <v>380000</v>
      </c>
      <c r="I1675" s="13" t="s">
        <v>86</v>
      </c>
      <c r="J1675" s="13" t="s">
        <v>87</v>
      </c>
      <c r="K1675" s="13" t="s">
        <v>58</v>
      </c>
      <c r="L1675" s="13" t="s">
        <v>88</v>
      </c>
      <c r="M1675">
        <v>60</v>
      </c>
      <c r="N1675">
        <v>0</v>
      </c>
      <c r="O1675" s="14">
        <v>46003</v>
      </c>
      <c r="P1675" s="14">
        <v>46063</v>
      </c>
      <c r="Q1675">
        <v>2340.81</v>
      </c>
      <c r="R1675">
        <v>0</v>
      </c>
      <c r="S1675">
        <v>0</v>
      </c>
      <c r="T1675">
        <v>0</v>
      </c>
      <c r="U1675">
        <v>0</v>
      </c>
      <c r="V1675">
        <v>2340.81</v>
      </c>
      <c r="W1675">
        <v>0</v>
      </c>
      <c r="X1675">
        <v>1</v>
      </c>
      <c r="Y1675">
        <v>0</v>
      </c>
      <c r="Z1675">
        <v>-41</v>
      </c>
      <c r="AA1675">
        <v>1</v>
      </c>
      <c r="AB1675" s="13" t="s">
        <v>581</v>
      </c>
      <c r="AC1675">
        <v>0</v>
      </c>
      <c r="AD1675">
        <v>0</v>
      </c>
      <c r="AE1675" s="13" t="s">
        <v>61</v>
      </c>
    </row>
    <row r="1676" spans="1:31" x14ac:dyDescent="0.35">
      <c r="A1676" s="13" t="s">
        <v>2476</v>
      </c>
      <c r="B1676" s="13" t="s">
        <v>2477</v>
      </c>
      <c r="C1676" s="13" t="s">
        <v>2478</v>
      </c>
      <c r="D1676" s="13" t="s">
        <v>104</v>
      </c>
      <c r="E1676" s="13" t="s">
        <v>99</v>
      </c>
      <c r="F1676" s="13" t="s">
        <v>127</v>
      </c>
      <c r="G1676" s="13" t="s">
        <v>67</v>
      </c>
      <c r="H1676">
        <v>115000</v>
      </c>
      <c r="I1676" s="13" t="s">
        <v>105</v>
      </c>
      <c r="J1676" s="13" t="s">
        <v>106</v>
      </c>
      <c r="K1676" s="13" t="s">
        <v>107</v>
      </c>
      <c r="L1676" s="13" t="s">
        <v>95</v>
      </c>
      <c r="M1676">
        <v>30</v>
      </c>
      <c r="N1676">
        <v>0</v>
      </c>
      <c r="O1676" s="14">
        <v>46003</v>
      </c>
      <c r="P1676" s="14">
        <v>46033</v>
      </c>
      <c r="Q1676">
        <v>2541.0500000000002</v>
      </c>
      <c r="R1676">
        <v>0</v>
      </c>
      <c r="S1676">
        <v>0</v>
      </c>
      <c r="T1676">
        <v>0</v>
      </c>
      <c r="U1676">
        <v>0</v>
      </c>
      <c r="V1676">
        <v>2541.0500000000002</v>
      </c>
      <c r="W1676">
        <v>0</v>
      </c>
      <c r="X1676">
        <v>1</v>
      </c>
      <c r="Y1676">
        <v>0</v>
      </c>
      <c r="Z1676">
        <v>-11</v>
      </c>
      <c r="AA1676">
        <v>1</v>
      </c>
      <c r="AB1676" s="13" t="s">
        <v>581</v>
      </c>
      <c r="AC1676">
        <v>0</v>
      </c>
      <c r="AD1676">
        <v>0</v>
      </c>
      <c r="AE1676" s="13" t="s">
        <v>61</v>
      </c>
    </row>
    <row r="1677" spans="1:31" x14ac:dyDescent="0.35">
      <c r="A1677" s="13" t="s">
        <v>2479</v>
      </c>
      <c r="B1677" s="13" t="s">
        <v>390</v>
      </c>
      <c r="C1677" s="13" t="s">
        <v>391</v>
      </c>
      <c r="D1677" s="13" t="s">
        <v>52</v>
      </c>
      <c r="E1677" s="13" t="s">
        <v>71</v>
      </c>
      <c r="F1677" s="13" t="s">
        <v>72</v>
      </c>
      <c r="G1677" s="13" t="s">
        <v>55</v>
      </c>
      <c r="H1677">
        <v>320000</v>
      </c>
      <c r="I1677" s="13" t="s">
        <v>86</v>
      </c>
      <c r="J1677" s="13" t="s">
        <v>87</v>
      </c>
      <c r="K1677" s="13" t="s">
        <v>58</v>
      </c>
      <c r="L1677" s="13" t="s">
        <v>88</v>
      </c>
      <c r="M1677">
        <v>60</v>
      </c>
      <c r="N1677">
        <v>0</v>
      </c>
      <c r="O1677" s="14">
        <v>46003</v>
      </c>
      <c r="P1677" s="14">
        <v>46063</v>
      </c>
      <c r="Q1677">
        <v>3216.54</v>
      </c>
      <c r="R1677">
        <v>0</v>
      </c>
      <c r="S1677">
        <v>0</v>
      </c>
      <c r="T1677">
        <v>0</v>
      </c>
      <c r="U1677">
        <v>0</v>
      </c>
      <c r="V1677">
        <v>3216.54</v>
      </c>
      <c r="W1677">
        <v>0</v>
      </c>
      <c r="X1677">
        <v>1</v>
      </c>
      <c r="Y1677">
        <v>0</v>
      </c>
      <c r="Z1677">
        <v>-41</v>
      </c>
      <c r="AA1677">
        <v>1</v>
      </c>
      <c r="AB1677" s="13" t="s">
        <v>581</v>
      </c>
      <c r="AC1677">
        <v>0</v>
      </c>
      <c r="AD1677">
        <v>0</v>
      </c>
      <c r="AE1677" s="13" t="s">
        <v>61</v>
      </c>
    </row>
    <row r="1678" spans="1:31" x14ac:dyDescent="0.35">
      <c r="A1678" s="13" t="s">
        <v>2480</v>
      </c>
      <c r="B1678" s="13" t="s">
        <v>113</v>
      </c>
      <c r="C1678" s="13" t="s">
        <v>114</v>
      </c>
      <c r="D1678" s="13" t="s">
        <v>52</v>
      </c>
      <c r="E1678" s="13" t="s">
        <v>77</v>
      </c>
      <c r="F1678" s="13" t="s">
        <v>78</v>
      </c>
      <c r="G1678" s="13" t="s">
        <v>92</v>
      </c>
      <c r="H1678">
        <v>545000</v>
      </c>
      <c r="I1678" s="13" t="s">
        <v>86</v>
      </c>
      <c r="J1678" s="13" t="s">
        <v>87</v>
      </c>
      <c r="K1678" s="13" t="s">
        <v>58</v>
      </c>
      <c r="L1678" s="13" t="s">
        <v>88</v>
      </c>
      <c r="M1678">
        <v>60</v>
      </c>
      <c r="N1678">
        <v>0</v>
      </c>
      <c r="O1678" s="14">
        <v>46003</v>
      </c>
      <c r="P1678" s="14">
        <v>46063</v>
      </c>
      <c r="Q1678">
        <v>15689.38</v>
      </c>
      <c r="R1678">
        <v>0</v>
      </c>
      <c r="S1678">
        <v>0</v>
      </c>
      <c r="T1678">
        <v>0</v>
      </c>
      <c r="U1678">
        <v>0</v>
      </c>
      <c r="V1678">
        <v>15689.38</v>
      </c>
      <c r="W1678">
        <v>0</v>
      </c>
      <c r="X1678">
        <v>1</v>
      </c>
      <c r="Y1678">
        <v>0</v>
      </c>
      <c r="Z1678">
        <v>-41</v>
      </c>
      <c r="AA1678">
        <v>1</v>
      </c>
      <c r="AB1678" s="13" t="s">
        <v>581</v>
      </c>
      <c r="AC1678">
        <v>0</v>
      </c>
      <c r="AD1678">
        <v>0</v>
      </c>
      <c r="AE1678" s="13" t="s">
        <v>61</v>
      </c>
    </row>
    <row r="1679" spans="1:31" x14ac:dyDescent="0.35">
      <c r="A1679" s="13" t="s">
        <v>2481</v>
      </c>
      <c r="B1679" s="13" t="s">
        <v>625</v>
      </c>
      <c r="C1679" s="13" t="s">
        <v>626</v>
      </c>
      <c r="D1679" s="13" t="s">
        <v>104</v>
      </c>
      <c r="E1679" s="13" t="s">
        <v>71</v>
      </c>
      <c r="F1679" s="13" t="s">
        <v>214</v>
      </c>
      <c r="G1679" s="13" t="s">
        <v>67</v>
      </c>
      <c r="H1679">
        <v>85000</v>
      </c>
      <c r="I1679" s="13" t="s">
        <v>105</v>
      </c>
      <c r="J1679" s="13" t="s">
        <v>106</v>
      </c>
      <c r="K1679" s="13" t="s">
        <v>107</v>
      </c>
      <c r="L1679" s="13" t="s">
        <v>88</v>
      </c>
      <c r="M1679">
        <v>60</v>
      </c>
      <c r="N1679">
        <v>0</v>
      </c>
      <c r="O1679" s="14">
        <v>46003</v>
      </c>
      <c r="P1679" s="14">
        <v>46063</v>
      </c>
      <c r="Q1679">
        <v>800.05</v>
      </c>
      <c r="R1679">
        <v>0</v>
      </c>
      <c r="S1679">
        <v>0</v>
      </c>
      <c r="T1679">
        <v>0</v>
      </c>
      <c r="U1679">
        <v>0</v>
      </c>
      <c r="V1679">
        <v>800.05</v>
      </c>
      <c r="W1679">
        <v>0</v>
      </c>
      <c r="X1679">
        <v>1</v>
      </c>
      <c r="Y1679">
        <v>0</v>
      </c>
      <c r="Z1679">
        <v>-41</v>
      </c>
      <c r="AA1679">
        <v>1</v>
      </c>
      <c r="AB1679" s="13" t="s">
        <v>581</v>
      </c>
      <c r="AC1679">
        <v>0</v>
      </c>
      <c r="AD1679">
        <v>0</v>
      </c>
      <c r="AE1679" s="13" t="s">
        <v>61</v>
      </c>
    </row>
    <row r="1680" spans="1:31" x14ac:dyDescent="0.35">
      <c r="A1680" s="13" t="s">
        <v>2482</v>
      </c>
      <c r="B1680" s="13" t="s">
        <v>1280</v>
      </c>
      <c r="C1680" s="13" t="s">
        <v>1281</v>
      </c>
      <c r="D1680" s="13" t="s">
        <v>104</v>
      </c>
      <c r="E1680" s="13" t="s">
        <v>71</v>
      </c>
      <c r="F1680" s="13" t="s">
        <v>72</v>
      </c>
      <c r="G1680" s="13" t="s">
        <v>67</v>
      </c>
      <c r="H1680">
        <v>135000</v>
      </c>
      <c r="I1680" s="13" t="s">
        <v>121</v>
      </c>
      <c r="J1680" s="13" t="s">
        <v>122</v>
      </c>
      <c r="K1680" s="13" t="s">
        <v>107</v>
      </c>
      <c r="L1680" s="13" t="s">
        <v>88</v>
      </c>
      <c r="M1680">
        <v>60</v>
      </c>
      <c r="N1680">
        <v>0</v>
      </c>
      <c r="O1680" s="14">
        <v>46003</v>
      </c>
      <c r="P1680" s="14">
        <v>46063</v>
      </c>
      <c r="Q1680">
        <v>857.91</v>
      </c>
      <c r="R1680">
        <v>0</v>
      </c>
      <c r="S1680">
        <v>0</v>
      </c>
      <c r="T1680">
        <v>0</v>
      </c>
      <c r="U1680">
        <v>0</v>
      </c>
      <c r="V1680">
        <v>857.91</v>
      </c>
      <c r="W1680">
        <v>0</v>
      </c>
      <c r="X1680">
        <v>1</v>
      </c>
      <c r="Y1680">
        <v>0</v>
      </c>
      <c r="Z1680">
        <v>-41</v>
      </c>
      <c r="AA1680">
        <v>1</v>
      </c>
      <c r="AB1680" s="13" t="s">
        <v>581</v>
      </c>
      <c r="AC1680">
        <v>0</v>
      </c>
      <c r="AD1680">
        <v>0</v>
      </c>
      <c r="AE1680" s="13" t="s">
        <v>61</v>
      </c>
    </row>
    <row r="1681" spans="1:31" x14ac:dyDescent="0.35">
      <c r="A1681" s="13" t="s">
        <v>2483</v>
      </c>
      <c r="B1681" s="13" t="s">
        <v>361</v>
      </c>
      <c r="C1681" s="13" t="s">
        <v>362</v>
      </c>
      <c r="D1681" s="13" t="s">
        <v>76</v>
      </c>
      <c r="E1681" s="13" t="s">
        <v>65</v>
      </c>
      <c r="F1681" s="13" t="s">
        <v>66</v>
      </c>
      <c r="G1681" s="13" t="s">
        <v>67</v>
      </c>
      <c r="H1681">
        <v>30000</v>
      </c>
      <c r="I1681" s="13" t="s">
        <v>93</v>
      </c>
      <c r="J1681" s="13" t="s">
        <v>94</v>
      </c>
      <c r="K1681" s="13" t="s">
        <v>81</v>
      </c>
      <c r="L1681" s="13" t="s">
        <v>95</v>
      </c>
      <c r="M1681">
        <v>30</v>
      </c>
      <c r="N1681">
        <v>0</v>
      </c>
      <c r="O1681" s="14">
        <v>46003</v>
      </c>
      <c r="P1681" s="14">
        <v>46033</v>
      </c>
      <c r="Q1681">
        <v>1139.9100000000001</v>
      </c>
      <c r="R1681">
        <v>0</v>
      </c>
      <c r="S1681">
        <v>0</v>
      </c>
      <c r="T1681">
        <v>0</v>
      </c>
      <c r="U1681">
        <v>0</v>
      </c>
      <c r="V1681">
        <v>1139.9100000000001</v>
      </c>
      <c r="W1681">
        <v>0</v>
      </c>
      <c r="X1681">
        <v>1</v>
      </c>
      <c r="Y1681">
        <v>0</v>
      </c>
      <c r="Z1681">
        <v>-11</v>
      </c>
      <c r="AA1681">
        <v>1</v>
      </c>
      <c r="AB1681" s="13" t="s">
        <v>581</v>
      </c>
      <c r="AC1681">
        <v>0</v>
      </c>
      <c r="AD1681">
        <v>0</v>
      </c>
      <c r="AE1681" s="13" t="s">
        <v>61</v>
      </c>
    </row>
    <row r="1682" spans="1:31" x14ac:dyDescent="0.35">
      <c r="A1682" s="13" t="s">
        <v>2484</v>
      </c>
      <c r="B1682" s="13" t="s">
        <v>550</v>
      </c>
      <c r="C1682" s="13" t="s">
        <v>551</v>
      </c>
      <c r="D1682" s="13" t="s">
        <v>104</v>
      </c>
      <c r="E1682" s="13" t="s">
        <v>71</v>
      </c>
      <c r="F1682" s="13" t="s">
        <v>214</v>
      </c>
      <c r="G1682" s="13" t="s">
        <v>55</v>
      </c>
      <c r="H1682">
        <v>110000</v>
      </c>
      <c r="I1682" s="13" t="s">
        <v>121</v>
      </c>
      <c r="J1682" s="13" t="s">
        <v>122</v>
      </c>
      <c r="K1682" s="13" t="s">
        <v>107</v>
      </c>
      <c r="L1682" s="13" t="s">
        <v>88</v>
      </c>
      <c r="M1682">
        <v>60</v>
      </c>
      <c r="N1682">
        <v>0</v>
      </c>
      <c r="O1682" s="14">
        <v>46003</v>
      </c>
      <c r="P1682" s="14">
        <v>46063</v>
      </c>
      <c r="Q1682">
        <v>8075.87</v>
      </c>
      <c r="R1682">
        <v>0</v>
      </c>
      <c r="S1682">
        <v>0</v>
      </c>
      <c r="T1682">
        <v>0</v>
      </c>
      <c r="U1682">
        <v>0</v>
      </c>
      <c r="V1682">
        <v>8075.87</v>
      </c>
      <c r="W1682">
        <v>0</v>
      </c>
      <c r="X1682">
        <v>1</v>
      </c>
      <c r="Y1682">
        <v>0</v>
      </c>
      <c r="Z1682">
        <v>-41</v>
      </c>
      <c r="AA1682">
        <v>1</v>
      </c>
      <c r="AB1682" s="13" t="s">
        <v>581</v>
      </c>
      <c r="AC1682">
        <v>0</v>
      </c>
      <c r="AD1682">
        <v>0</v>
      </c>
      <c r="AE1682" s="13" t="s">
        <v>61</v>
      </c>
    </row>
    <row r="1683" spans="1:31" x14ac:dyDescent="0.35">
      <c r="A1683" s="13" t="s">
        <v>2485</v>
      </c>
      <c r="B1683" s="13" t="s">
        <v>216</v>
      </c>
      <c r="C1683" s="13" t="s">
        <v>217</v>
      </c>
      <c r="D1683" s="13" t="s">
        <v>52</v>
      </c>
      <c r="E1683" s="13" t="s">
        <v>65</v>
      </c>
      <c r="F1683" s="13" t="s">
        <v>66</v>
      </c>
      <c r="G1683" s="13" t="s">
        <v>67</v>
      </c>
      <c r="H1683">
        <v>515000</v>
      </c>
      <c r="I1683" s="13" t="s">
        <v>86</v>
      </c>
      <c r="J1683" s="13" t="s">
        <v>87</v>
      </c>
      <c r="K1683" s="13" t="s">
        <v>58</v>
      </c>
      <c r="L1683" s="13" t="s">
        <v>88</v>
      </c>
      <c r="M1683">
        <v>60</v>
      </c>
      <c r="N1683">
        <v>0</v>
      </c>
      <c r="O1683" s="14">
        <v>46006</v>
      </c>
      <c r="P1683" s="14">
        <v>46066</v>
      </c>
      <c r="Q1683">
        <v>6845.28</v>
      </c>
      <c r="R1683">
        <v>0</v>
      </c>
      <c r="S1683">
        <v>0</v>
      </c>
      <c r="T1683">
        <v>0</v>
      </c>
      <c r="U1683">
        <v>0</v>
      </c>
      <c r="V1683">
        <v>6845.28</v>
      </c>
      <c r="W1683">
        <v>0</v>
      </c>
      <c r="X1683">
        <v>1</v>
      </c>
      <c r="Y1683">
        <v>0</v>
      </c>
      <c r="Z1683">
        <v>-44</v>
      </c>
      <c r="AA1683">
        <v>1</v>
      </c>
      <c r="AB1683" s="13" t="s">
        <v>581</v>
      </c>
      <c r="AC1683">
        <v>0</v>
      </c>
      <c r="AD1683">
        <v>0</v>
      </c>
      <c r="AE1683" s="13" t="s">
        <v>61</v>
      </c>
    </row>
    <row r="1684" spans="1:31" x14ac:dyDescent="0.35">
      <c r="A1684" s="13" t="s">
        <v>2486</v>
      </c>
      <c r="B1684" s="13" t="s">
        <v>2117</v>
      </c>
      <c r="C1684" s="13" t="s">
        <v>2118</v>
      </c>
      <c r="D1684" s="13" t="s">
        <v>104</v>
      </c>
      <c r="E1684" s="13" t="s">
        <v>65</v>
      </c>
      <c r="F1684" s="13" t="s">
        <v>111</v>
      </c>
      <c r="G1684" s="13" t="s">
        <v>67</v>
      </c>
      <c r="H1684">
        <v>90000</v>
      </c>
      <c r="I1684" s="13" t="s">
        <v>121</v>
      </c>
      <c r="J1684" s="13" t="s">
        <v>122</v>
      </c>
      <c r="K1684" s="13" t="s">
        <v>107</v>
      </c>
      <c r="L1684" s="13" t="s">
        <v>95</v>
      </c>
      <c r="M1684">
        <v>30</v>
      </c>
      <c r="N1684">
        <v>0</v>
      </c>
      <c r="O1684" s="14">
        <v>46006</v>
      </c>
      <c r="P1684" s="14">
        <v>46036</v>
      </c>
      <c r="Q1684">
        <v>3244.83</v>
      </c>
      <c r="R1684">
        <v>0</v>
      </c>
      <c r="S1684">
        <v>0</v>
      </c>
      <c r="T1684">
        <v>0</v>
      </c>
      <c r="U1684">
        <v>0</v>
      </c>
      <c r="V1684">
        <v>3244.83</v>
      </c>
      <c r="W1684">
        <v>0</v>
      </c>
      <c r="X1684">
        <v>1</v>
      </c>
      <c r="Y1684">
        <v>0</v>
      </c>
      <c r="Z1684">
        <v>-14</v>
      </c>
      <c r="AA1684">
        <v>1</v>
      </c>
      <c r="AB1684" s="13" t="s">
        <v>581</v>
      </c>
      <c r="AC1684">
        <v>0</v>
      </c>
      <c r="AD1684">
        <v>0</v>
      </c>
      <c r="AE1684" s="13" t="s">
        <v>61</v>
      </c>
    </row>
    <row r="1685" spans="1:31" x14ac:dyDescent="0.35">
      <c r="A1685" s="13" t="s">
        <v>2487</v>
      </c>
      <c r="B1685" s="13" t="s">
        <v>253</v>
      </c>
      <c r="C1685" s="13" t="s">
        <v>254</v>
      </c>
      <c r="D1685" s="13" t="s">
        <v>52</v>
      </c>
      <c r="E1685" s="13" t="s">
        <v>65</v>
      </c>
      <c r="F1685" s="13" t="s">
        <v>111</v>
      </c>
      <c r="G1685" s="13" t="s">
        <v>55</v>
      </c>
      <c r="H1685">
        <v>415000</v>
      </c>
      <c r="I1685" s="13" t="s">
        <v>56</v>
      </c>
      <c r="J1685" s="13" t="s">
        <v>57</v>
      </c>
      <c r="K1685" s="13" t="s">
        <v>58</v>
      </c>
      <c r="L1685" s="13" t="s">
        <v>59</v>
      </c>
      <c r="M1685">
        <v>45</v>
      </c>
      <c r="N1685">
        <v>0</v>
      </c>
      <c r="O1685" s="14">
        <v>46006</v>
      </c>
      <c r="P1685" s="14">
        <v>46051</v>
      </c>
      <c r="Q1685">
        <v>2891.33</v>
      </c>
      <c r="R1685">
        <v>0</v>
      </c>
      <c r="S1685">
        <v>0</v>
      </c>
      <c r="T1685">
        <v>0</v>
      </c>
      <c r="U1685">
        <v>0</v>
      </c>
      <c r="V1685">
        <v>2891.33</v>
      </c>
      <c r="W1685">
        <v>0</v>
      </c>
      <c r="X1685">
        <v>1</v>
      </c>
      <c r="Y1685">
        <v>0</v>
      </c>
      <c r="Z1685">
        <v>-29</v>
      </c>
      <c r="AA1685">
        <v>1</v>
      </c>
      <c r="AB1685" s="13" t="s">
        <v>581</v>
      </c>
      <c r="AC1685">
        <v>0</v>
      </c>
      <c r="AD1685">
        <v>0</v>
      </c>
      <c r="AE1685" s="13" t="s">
        <v>61</v>
      </c>
    </row>
    <row r="1686" spans="1:31" x14ac:dyDescent="0.35">
      <c r="A1686" s="13" t="s">
        <v>2488</v>
      </c>
      <c r="B1686" s="13" t="s">
        <v>994</v>
      </c>
      <c r="C1686" s="13" t="s">
        <v>995</v>
      </c>
      <c r="D1686" s="13" t="s">
        <v>52</v>
      </c>
      <c r="E1686" s="13" t="s">
        <v>71</v>
      </c>
      <c r="F1686" s="13" t="s">
        <v>214</v>
      </c>
      <c r="G1686" s="13" t="s">
        <v>67</v>
      </c>
      <c r="H1686">
        <v>275000</v>
      </c>
      <c r="I1686" s="13" t="s">
        <v>86</v>
      </c>
      <c r="J1686" s="13" t="s">
        <v>87</v>
      </c>
      <c r="K1686" s="13" t="s">
        <v>58</v>
      </c>
      <c r="L1686" s="13" t="s">
        <v>88</v>
      </c>
      <c r="M1686">
        <v>60</v>
      </c>
      <c r="N1686">
        <v>0</v>
      </c>
      <c r="O1686" s="14">
        <v>46006</v>
      </c>
      <c r="P1686" s="14">
        <v>46066</v>
      </c>
      <c r="Q1686">
        <v>1856.16</v>
      </c>
      <c r="R1686">
        <v>0</v>
      </c>
      <c r="S1686">
        <v>0</v>
      </c>
      <c r="T1686">
        <v>0</v>
      </c>
      <c r="U1686">
        <v>0</v>
      </c>
      <c r="V1686">
        <v>1856.16</v>
      </c>
      <c r="W1686">
        <v>0</v>
      </c>
      <c r="X1686">
        <v>1</v>
      </c>
      <c r="Y1686">
        <v>0</v>
      </c>
      <c r="Z1686">
        <v>-44</v>
      </c>
      <c r="AA1686">
        <v>1</v>
      </c>
      <c r="AB1686" s="13" t="s">
        <v>581</v>
      </c>
      <c r="AC1686">
        <v>0</v>
      </c>
      <c r="AD1686">
        <v>0</v>
      </c>
      <c r="AE1686" s="13" t="s">
        <v>61</v>
      </c>
    </row>
    <row r="1687" spans="1:31" x14ac:dyDescent="0.35">
      <c r="A1687" s="13" t="s">
        <v>2489</v>
      </c>
      <c r="B1687" s="13" t="s">
        <v>1115</v>
      </c>
      <c r="C1687" s="13" t="s">
        <v>1116</v>
      </c>
      <c r="D1687" s="13" t="s">
        <v>52</v>
      </c>
      <c r="E1687" s="13" t="s">
        <v>65</v>
      </c>
      <c r="F1687" s="13" t="s">
        <v>66</v>
      </c>
      <c r="G1687" s="13" t="s">
        <v>92</v>
      </c>
      <c r="H1687">
        <v>300000</v>
      </c>
      <c r="I1687" s="13" t="s">
        <v>56</v>
      </c>
      <c r="J1687" s="13" t="s">
        <v>57</v>
      </c>
      <c r="K1687" s="13" t="s">
        <v>58</v>
      </c>
      <c r="L1687" s="13" t="s">
        <v>59</v>
      </c>
      <c r="M1687">
        <v>45</v>
      </c>
      <c r="N1687">
        <v>0</v>
      </c>
      <c r="O1687" s="14">
        <v>46006</v>
      </c>
      <c r="P1687" s="14">
        <v>46051</v>
      </c>
      <c r="Q1687">
        <v>5730.04</v>
      </c>
      <c r="R1687">
        <v>0</v>
      </c>
      <c r="S1687">
        <v>0</v>
      </c>
      <c r="T1687">
        <v>0</v>
      </c>
      <c r="U1687">
        <v>0</v>
      </c>
      <c r="V1687">
        <v>5730.04</v>
      </c>
      <c r="W1687">
        <v>0</v>
      </c>
      <c r="X1687">
        <v>1</v>
      </c>
      <c r="Y1687">
        <v>0</v>
      </c>
      <c r="Z1687">
        <v>-29</v>
      </c>
      <c r="AA1687">
        <v>1</v>
      </c>
      <c r="AB1687" s="13" t="s">
        <v>581</v>
      </c>
      <c r="AC1687">
        <v>0</v>
      </c>
      <c r="AD1687">
        <v>0</v>
      </c>
      <c r="AE1687" s="13" t="s">
        <v>61</v>
      </c>
    </row>
    <row r="1688" spans="1:31" x14ac:dyDescent="0.35">
      <c r="A1688" s="13" t="s">
        <v>2490</v>
      </c>
      <c r="B1688" s="13" t="s">
        <v>1296</v>
      </c>
      <c r="C1688" s="13" t="s">
        <v>1297</v>
      </c>
      <c r="D1688" s="13" t="s">
        <v>104</v>
      </c>
      <c r="E1688" s="13" t="s">
        <v>99</v>
      </c>
      <c r="F1688" s="13" t="s">
        <v>127</v>
      </c>
      <c r="G1688" s="13" t="s">
        <v>55</v>
      </c>
      <c r="H1688">
        <v>85000</v>
      </c>
      <c r="I1688" s="13" t="s">
        <v>121</v>
      </c>
      <c r="J1688" s="13" t="s">
        <v>122</v>
      </c>
      <c r="K1688" s="13" t="s">
        <v>107</v>
      </c>
      <c r="L1688" s="13" t="s">
        <v>95</v>
      </c>
      <c r="M1688">
        <v>30</v>
      </c>
      <c r="N1688">
        <v>0</v>
      </c>
      <c r="O1688" s="14">
        <v>46006</v>
      </c>
      <c r="P1688" s="14">
        <v>46036</v>
      </c>
      <c r="Q1688">
        <v>4726.9399999999996</v>
      </c>
      <c r="R1688">
        <v>0</v>
      </c>
      <c r="S1688">
        <v>0</v>
      </c>
      <c r="T1688">
        <v>0</v>
      </c>
      <c r="U1688">
        <v>0</v>
      </c>
      <c r="V1688">
        <v>4726.9399999999996</v>
      </c>
      <c r="W1688">
        <v>0</v>
      </c>
      <c r="X1688">
        <v>1</v>
      </c>
      <c r="Y1688">
        <v>0</v>
      </c>
      <c r="Z1688">
        <v>-14</v>
      </c>
      <c r="AA1688">
        <v>1</v>
      </c>
      <c r="AB1688" s="13" t="s">
        <v>581</v>
      </c>
      <c r="AC1688">
        <v>0</v>
      </c>
      <c r="AD1688">
        <v>0</v>
      </c>
      <c r="AE1688" s="13" t="s">
        <v>61</v>
      </c>
    </row>
    <row r="1689" spans="1:31" x14ac:dyDescent="0.35">
      <c r="A1689" s="13" t="s">
        <v>2491</v>
      </c>
      <c r="B1689" s="13" t="s">
        <v>1034</v>
      </c>
      <c r="C1689" s="13" t="s">
        <v>1035</v>
      </c>
      <c r="D1689" s="13" t="s">
        <v>104</v>
      </c>
      <c r="E1689" s="13" t="s">
        <v>53</v>
      </c>
      <c r="F1689" s="13" t="s">
        <v>135</v>
      </c>
      <c r="G1689" s="13" t="s">
        <v>67</v>
      </c>
      <c r="H1689">
        <v>40000</v>
      </c>
      <c r="I1689" s="13" t="s">
        <v>105</v>
      </c>
      <c r="J1689" s="13" t="s">
        <v>106</v>
      </c>
      <c r="K1689" s="13" t="s">
        <v>107</v>
      </c>
      <c r="L1689" s="13" t="s">
        <v>88</v>
      </c>
      <c r="M1689">
        <v>60</v>
      </c>
      <c r="N1689">
        <v>0</v>
      </c>
      <c r="O1689" s="14">
        <v>46006</v>
      </c>
      <c r="P1689" s="14">
        <v>46066</v>
      </c>
      <c r="Q1689">
        <v>2725.7</v>
      </c>
      <c r="R1689">
        <v>0</v>
      </c>
      <c r="S1689">
        <v>0</v>
      </c>
      <c r="T1689">
        <v>0</v>
      </c>
      <c r="U1689">
        <v>0</v>
      </c>
      <c r="V1689">
        <v>2725.7</v>
      </c>
      <c r="W1689">
        <v>0</v>
      </c>
      <c r="X1689">
        <v>1</v>
      </c>
      <c r="Y1689">
        <v>0</v>
      </c>
      <c r="Z1689">
        <v>-44</v>
      </c>
      <c r="AA1689">
        <v>1</v>
      </c>
      <c r="AB1689" s="13" t="s">
        <v>581</v>
      </c>
      <c r="AC1689">
        <v>0</v>
      </c>
      <c r="AD1689">
        <v>0</v>
      </c>
      <c r="AE1689" s="13" t="s">
        <v>61</v>
      </c>
    </row>
    <row r="1690" spans="1:31" x14ac:dyDescent="0.35">
      <c r="A1690" s="13" t="s">
        <v>2492</v>
      </c>
      <c r="B1690" s="13" t="s">
        <v>1120</v>
      </c>
      <c r="C1690" s="13" t="s">
        <v>1121</v>
      </c>
      <c r="D1690" s="13" t="s">
        <v>76</v>
      </c>
      <c r="E1690" s="13" t="s">
        <v>77</v>
      </c>
      <c r="F1690" s="13" t="s">
        <v>174</v>
      </c>
      <c r="G1690" s="13" t="s">
        <v>67</v>
      </c>
      <c r="H1690">
        <v>105000</v>
      </c>
      <c r="I1690" s="13" t="s">
        <v>79</v>
      </c>
      <c r="J1690" s="13" t="s">
        <v>80</v>
      </c>
      <c r="K1690" s="13" t="s">
        <v>81</v>
      </c>
      <c r="L1690" s="13" t="s">
        <v>95</v>
      </c>
      <c r="M1690">
        <v>30</v>
      </c>
      <c r="N1690">
        <v>0</v>
      </c>
      <c r="O1690" s="14">
        <v>46006</v>
      </c>
      <c r="P1690" s="14">
        <v>46036</v>
      </c>
      <c r="Q1690">
        <v>1347.42</v>
      </c>
      <c r="R1690">
        <v>0</v>
      </c>
      <c r="S1690">
        <v>0</v>
      </c>
      <c r="T1690">
        <v>0</v>
      </c>
      <c r="U1690">
        <v>0</v>
      </c>
      <c r="V1690">
        <v>1347.42</v>
      </c>
      <c r="W1690">
        <v>0</v>
      </c>
      <c r="X1690">
        <v>1</v>
      </c>
      <c r="Y1690">
        <v>0</v>
      </c>
      <c r="Z1690">
        <v>-14</v>
      </c>
      <c r="AA1690">
        <v>1</v>
      </c>
      <c r="AB1690" s="13" t="s">
        <v>581</v>
      </c>
      <c r="AC1690">
        <v>0</v>
      </c>
      <c r="AD1690">
        <v>0</v>
      </c>
      <c r="AE1690" s="13" t="s">
        <v>61</v>
      </c>
    </row>
    <row r="1691" spans="1:31" x14ac:dyDescent="0.35">
      <c r="A1691" s="13" t="s">
        <v>2493</v>
      </c>
      <c r="B1691" s="13" t="s">
        <v>1374</v>
      </c>
      <c r="C1691" s="13" t="s">
        <v>1375</v>
      </c>
      <c r="D1691" s="13" t="s">
        <v>76</v>
      </c>
      <c r="E1691" s="13" t="s">
        <v>77</v>
      </c>
      <c r="F1691" s="13" t="s">
        <v>174</v>
      </c>
      <c r="G1691" s="13" t="s">
        <v>67</v>
      </c>
      <c r="H1691">
        <v>35000</v>
      </c>
      <c r="I1691" s="13" t="s">
        <v>93</v>
      </c>
      <c r="J1691" s="13" t="s">
        <v>94</v>
      </c>
      <c r="K1691" s="13" t="s">
        <v>81</v>
      </c>
      <c r="L1691" s="13" t="s">
        <v>95</v>
      </c>
      <c r="M1691">
        <v>30</v>
      </c>
      <c r="N1691">
        <v>0</v>
      </c>
      <c r="O1691" s="14">
        <v>46006</v>
      </c>
      <c r="P1691" s="14">
        <v>46036</v>
      </c>
      <c r="Q1691">
        <v>491.08</v>
      </c>
      <c r="R1691">
        <v>0</v>
      </c>
      <c r="S1691">
        <v>0</v>
      </c>
      <c r="T1691">
        <v>0</v>
      </c>
      <c r="U1691">
        <v>0</v>
      </c>
      <c r="V1691">
        <v>491.08</v>
      </c>
      <c r="W1691">
        <v>0</v>
      </c>
      <c r="X1691">
        <v>1</v>
      </c>
      <c r="Y1691">
        <v>0</v>
      </c>
      <c r="Z1691">
        <v>-14</v>
      </c>
      <c r="AA1691">
        <v>1</v>
      </c>
      <c r="AB1691" s="13" t="s">
        <v>581</v>
      </c>
      <c r="AC1691">
        <v>0</v>
      </c>
      <c r="AD1691">
        <v>0</v>
      </c>
      <c r="AE1691" s="13" t="s">
        <v>61</v>
      </c>
    </row>
    <row r="1692" spans="1:31" x14ac:dyDescent="0.35">
      <c r="A1692" s="13" t="s">
        <v>2494</v>
      </c>
      <c r="B1692" s="13" t="s">
        <v>997</v>
      </c>
      <c r="C1692" s="13" t="s">
        <v>998</v>
      </c>
      <c r="D1692" s="13" t="s">
        <v>52</v>
      </c>
      <c r="E1692" s="13" t="s">
        <v>71</v>
      </c>
      <c r="F1692" s="13" t="s">
        <v>72</v>
      </c>
      <c r="G1692" s="13" t="s">
        <v>55</v>
      </c>
      <c r="H1692">
        <v>405000</v>
      </c>
      <c r="I1692" s="13" t="s">
        <v>86</v>
      </c>
      <c r="J1692" s="13" t="s">
        <v>87</v>
      </c>
      <c r="K1692" s="13" t="s">
        <v>58</v>
      </c>
      <c r="L1692" s="13" t="s">
        <v>59</v>
      </c>
      <c r="M1692">
        <v>45</v>
      </c>
      <c r="N1692">
        <v>0</v>
      </c>
      <c r="O1692" s="14">
        <v>46006</v>
      </c>
      <c r="P1692" s="14">
        <v>46051</v>
      </c>
      <c r="Q1692">
        <v>4949.96</v>
      </c>
      <c r="R1692">
        <v>0</v>
      </c>
      <c r="S1692">
        <v>0</v>
      </c>
      <c r="T1692">
        <v>0</v>
      </c>
      <c r="U1692">
        <v>0</v>
      </c>
      <c r="V1692">
        <v>4949.96</v>
      </c>
      <c r="W1692">
        <v>0</v>
      </c>
      <c r="X1692">
        <v>1</v>
      </c>
      <c r="Y1692">
        <v>0</v>
      </c>
      <c r="Z1692">
        <v>-29</v>
      </c>
      <c r="AA1692">
        <v>1</v>
      </c>
      <c r="AB1692" s="13" t="s">
        <v>581</v>
      </c>
      <c r="AC1692">
        <v>0</v>
      </c>
      <c r="AD1692">
        <v>0</v>
      </c>
      <c r="AE1692" s="13" t="s">
        <v>61</v>
      </c>
    </row>
    <row r="1693" spans="1:31" x14ac:dyDescent="0.35">
      <c r="A1693" s="13" t="s">
        <v>2495</v>
      </c>
      <c r="B1693" s="13" t="s">
        <v>277</v>
      </c>
      <c r="C1693" s="13" t="s">
        <v>278</v>
      </c>
      <c r="D1693" s="13" t="s">
        <v>104</v>
      </c>
      <c r="E1693" s="13" t="s">
        <v>71</v>
      </c>
      <c r="F1693" s="13" t="s">
        <v>214</v>
      </c>
      <c r="G1693" s="13" t="s">
        <v>92</v>
      </c>
      <c r="H1693">
        <v>105000</v>
      </c>
      <c r="I1693" s="13" t="s">
        <v>105</v>
      </c>
      <c r="J1693" s="13" t="s">
        <v>106</v>
      </c>
      <c r="K1693" s="13" t="s">
        <v>107</v>
      </c>
      <c r="L1693" s="13" t="s">
        <v>88</v>
      </c>
      <c r="M1693">
        <v>60</v>
      </c>
      <c r="N1693">
        <v>0</v>
      </c>
      <c r="O1693" s="14">
        <v>46006</v>
      </c>
      <c r="P1693" s="14">
        <v>46066</v>
      </c>
      <c r="Q1693">
        <v>4085.35</v>
      </c>
      <c r="R1693">
        <v>0</v>
      </c>
      <c r="S1693">
        <v>0</v>
      </c>
      <c r="T1693">
        <v>0</v>
      </c>
      <c r="U1693">
        <v>0</v>
      </c>
      <c r="V1693">
        <v>4085.35</v>
      </c>
      <c r="W1693">
        <v>0</v>
      </c>
      <c r="X1693">
        <v>1</v>
      </c>
      <c r="Y1693">
        <v>0</v>
      </c>
      <c r="Z1693">
        <v>-44</v>
      </c>
      <c r="AA1693">
        <v>1</v>
      </c>
      <c r="AB1693" s="13" t="s">
        <v>581</v>
      </c>
      <c r="AC1693">
        <v>0</v>
      </c>
      <c r="AD1693">
        <v>0</v>
      </c>
      <c r="AE1693" s="13" t="s">
        <v>61</v>
      </c>
    </row>
    <row r="1694" spans="1:31" x14ac:dyDescent="0.35">
      <c r="A1694" s="13" t="s">
        <v>2496</v>
      </c>
      <c r="B1694" s="13" t="s">
        <v>1655</v>
      </c>
      <c r="C1694" s="13" t="s">
        <v>1656</v>
      </c>
      <c r="D1694" s="13" t="s">
        <v>104</v>
      </c>
      <c r="E1694" s="13" t="s">
        <v>77</v>
      </c>
      <c r="F1694" s="13" t="s">
        <v>78</v>
      </c>
      <c r="G1694" s="13" t="s">
        <v>55</v>
      </c>
      <c r="H1694">
        <v>115000</v>
      </c>
      <c r="I1694" s="13" t="s">
        <v>121</v>
      </c>
      <c r="J1694" s="13" t="s">
        <v>122</v>
      </c>
      <c r="K1694" s="13" t="s">
        <v>107</v>
      </c>
      <c r="L1694" s="13" t="s">
        <v>95</v>
      </c>
      <c r="M1694">
        <v>30</v>
      </c>
      <c r="N1694">
        <v>0</v>
      </c>
      <c r="O1694" s="14">
        <v>46006</v>
      </c>
      <c r="P1694" s="14">
        <v>46036</v>
      </c>
      <c r="Q1694">
        <v>2534.06</v>
      </c>
      <c r="R1694">
        <v>0</v>
      </c>
      <c r="S1694">
        <v>0</v>
      </c>
      <c r="T1694">
        <v>0</v>
      </c>
      <c r="U1694">
        <v>0</v>
      </c>
      <c r="V1694">
        <v>2534.06</v>
      </c>
      <c r="W1694">
        <v>0</v>
      </c>
      <c r="X1694">
        <v>1</v>
      </c>
      <c r="Y1694">
        <v>0</v>
      </c>
      <c r="Z1694">
        <v>-14</v>
      </c>
      <c r="AA1694">
        <v>1</v>
      </c>
      <c r="AB1694" s="13" t="s">
        <v>581</v>
      </c>
      <c r="AC1694">
        <v>0</v>
      </c>
      <c r="AD1694">
        <v>0</v>
      </c>
      <c r="AE1694" s="13" t="s">
        <v>61</v>
      </c>
    </row>
    <row r="1695" spans="1:31" x14ac:dyDescent="0.35">
      <c r="A1695" s="13" t="s">
        <v>2497</v>
      </c>
      <c r="B1695" s="13" t="s">
        <v>232</v>
      </c>
      <c r="C1695" s="13" t="s">
        <v>233</v>
      </c>
      <c r="D1695" s="13" t="s">
        <v>76</v>
      </c>
      <c r="E1695" s="13" t="s">
        <v>65</v>
      </c>
      <c r="F1695" s="13" t="s">
        <v>66</v>
      </c>
      <c r="G1695" s="13" t="s">
        <v>55</v>
      </c>
      <c r="H1695">
        <v>90000</v>
      </c>
      <c r="I1695" s="13" t="s">
        <v>93</v>
      </c>
      <c r="J1695" s="13" t="s">
        <v>94</v>
      </c>
      <c r="K1695" s="13" t="s">
        <v>81</v>
      </c>
      <c r="L1695" s="13" t="s">
        <v>82</v>
      </c>
      <c r="M1695">
        <v>30</v>
      </c>
      <c r="N1695">
        <v>2</v>
      </c>
      <c r="O1695" s="14">
        <v>46006</v>
      </c>
      <c r="P1695" s="14">
        <v>46036</v>
      </c>
      <c r="Q1695">
        <v>4009.1</v>
      </c>
      <c r="R1695">
        <v>0</v>
      </c>
      <c r="S1695">
        <v>0</v>
      </c>
      <c r="T1695">
        <v>0</v>
      </c>
      <c r="U1695">
        <v>0</v>
      </c>
      <c r="V1695">
        <v>4009.1</v>
      </c>
      <c r="W1695">
        <v>0</v>
      </c>
      <c r="X1695">
        <v>1</v>
      </c>
      <c r="Y1695">
        <v>0</v>
      </c>
      <c r="Z1695">
        <v>-14</v>
      </c>
      <c r="AA1695">
        <v>1</v>
      </c>
      <c r="AB1695" s="13" t="s">
        <v>581</v>
      </c>
      <c r="AC1695">
        <v>0</v>
      </c>
      <c r="AD1695">
        <v>0</v>
      </c>
      <c r="AE1695" s="13" t="s">
        <v>61</v>
      </c>
    </row>
    <row r="1696" spans="1:31" x14ac:dyDescent="0.35">
      <c r="A1696" s="13" t="s">
        <v>2498</v>
      </c>
      <c r="B1696" s="13" t="s">
        <v>1081</v>
      </c>
      <c r="C1696" s="13" t="s">
        <v>1082</v>
      </c>
      <c r="D1696" s="13" t="s">
        <v>104</v>
      </c>
      <c r="E1696" s="13" t="s">
        <v>65</v>
      </c>
      <c r="F1696" s="13" t="s">
        <v>111</v>
      </c>
      <c r="G1696" s="13" t="s">
        <v>55</v>
      </c>
      <c r="H1696">
        <v>110000</v>
      </c>
      <c r="I1696" s="13" t="s">
        <v>105</v>
      </c>
      <c r="J1696" s="13" t="s">
        <v>106</v>
      </c>
      <c r="K1696" s="13" t="s">
        <v>107</v>
      </c>
      <c r="L1696" s="13" t="s">
        <v>95</v>
      </c>
      <c r="M1696">
        <v>30</v>
      </c>
      <c r="N1696">
        <v>0</v>
      </c>
      <c r="O1696" s="14">
        <v>46006</v>
      </c>
      <c r="P1696" s="14">
        <v>46036</v>
      </c>
      <c r="Q1696">
        <v>1057.76</v>
      </c>
      <c r="R1696">
        <v>0</v>
      </c>
      <c r="S1696">
        <v>0</v>
      </c>
      <c r="T1696">
        <v>0</v>
      </c>
      <c r="U1696">
        <v>0</v>
      </c>
      <c r="V1696">
        <v>1057.76</v>
      </c>
      <c r="W1696">
        <v>0</v>
      </c>
      <c r="X1696">
        <v>1</v>
      </c>
      <c r="Y1696">
        <v>0</v>
      </c>
      <c r="Z1696">
        <v>-14</v>
      </c>
      <c r="AA1696">
        <v>1</v>
      </c>
      <c r="AB1696" s="13" t="s">
        <v>581</v>
      </c>
      <c r="AC1696">
        <v>0</v>
      </c>
      <c r="AD1696">
        <v>0</v>
      </c>
      <c r="AE1696" s="13" t="s">
        <v>61</v>
      </c>
    </row>
    <row r="1697" spans="1:31" x14ac:dyDescent="0.35">
      <c r="A1697" s="13" t="s">
        <v>2499</v>
      </c>
      <c r="B1697" s="13" t="s">
        <v>109</v>
      </c>
      <c r="C1697" s="13" t="s">
        <v>110</v>
      </c>
      <c r="D1697" s="13" t="s">
        <v>52</v>
      </c>
      <c r="E1697" s="13" t="s">
        <v>65</v>
      </c>
      <c r="F1697" s="13" t="s">
        <v>111</v>
      </c>
      <c r="G1697" s="13" t="s">
        <v>67</v>
      </c>
      <c r="H1697">
        <v>455000</v>
      </c>
      <c r="I1697" s="13" t="s">
        <v>86</v>
      </c>
      <c r="J1697" s="13" t="s">
        <v>87</v>
      </c>
      <c r="K1697" s="13" t="s">
        <v>58</v>
      </c>
      <c r="L1697" s="13" t="s">
        <v>59</v>
      </c>
      <c r="M1697">
        <v>45</v>
      </c>
      <c r="N1697">
        <v>0</v>
      </c>
      <c r="O1697" s="14">
        <v>46006</v>
      </c>
      <c r="P1697" s="14">
        <v>46051</v>
      </c>
      <c r="Q1697">
        <v>5212.6899999999996</v>
      </c>
      <c r="R1697">
        <v>0</v>
      </c>
      <c r="S1697">
        <v>0</v>
      </c>
      <c r="T1697">
        <v>0</v>
      </c>
      <c r="U1697">
        <v>0</v>
      </c>
      <c r="V1697">
        <v>5212.6899999999996</v>
      </c>
      <c r="W1697">
        <v>0</v>
      </c>
      <c r="X1697">
        <v>1</v>
      </c>
      <c r="Y1697">
        <v>0</v>
      </c>
      <c r="Z1697">
        <v>-29</v>
      </c>
      <c r="AA1697">
        <v>1</v>
      </c>
      <c r="AB1697" s="13" t="s">
        <v>581</v>
      </c>
      <c r="AC1697">
        <v>0</v>
      </c>
      <c r="AD1697">
        <v>0</v>
      </c>
      <c r="AE1697" s="13" t="s">
        <v>61</v>
      </c>
    </row>
    <row r="1698" spans="1:31" x14ac:dyDescent="0.35">
      <c r="A1698" s="13" t="s">
        <v>2500</v>
      </c>
      <c r="B1698" s="13" t="s">
        <v>141</v>
      </c>
      <c r="C1698" s="13" t="s">
        <v>142</v>
      </c>
      <c r="D1698" s="13" t="s">
        <v>76</v>
      </c>
      <c r="E1698" s="13" t="s">
        <v>65</v>
      </c>
      <c r="F1698" s="13" t="s">
        <v>66</v>
      </c>
      <c r="G1698" s="13" t="s">
        <v>67</v>
      </c>
      <c r="H1698">
        <v>120000</v>
      </c>
      <c r="I1698" s="13" t="s">
        <v>93</v>
      </c>
      <c r="J1698" s="13" t="s">
        <v>94</v>
      </c>
      <c r="K1698" s="13" t="s">
        <v>81</v>
      </c>
      <c r="L1698" s="13" t="s">
        <v>95</v>
      </c>
      <c r="M1698">
        <v>30</v>
      </c>
      <c r="N1698">
        <v>0</v>
      </c>
      <c r="O1698" s="14">
        <v>46006</v>
      </c>
      <c r="P1698" s="14">
        <v>46036</v>
      </c>
      <c r="Q1698">
        <v>857.12</v>
      </c>
      <c r="R1698">
        <v>0</v>
      </c>
      <c r="S1698">
        <v>0</v>
      </c>
      <c r="T1698">
        <v>0</v>
      </c>
      <c r="U1698">
        <v>0</v>
      </c>
      <c r="V1698">
        <v>857.12</v>
      </c>
      <c r="W1698">
        <v>0</v>
      </c>
      <c r="X1698">
        <v>1</v>
      </c>
      <c r="Y1698">
        <v>0</v>
      </c>
      <c r="Z1698">
        <v>-14</v>
      </c>
      <c r="AA1698">
        <v>1</v>
      </c>
      <c r="AB1698" s="13" t="s">
        <v>581</v>
      </c>
      <c r="AC1698">
        <v>0</v>
      </c>
      <c r="AD1698">
        <v>0</v>
      </c>
      <c r="AE1698" s="13" t="s">
        <v>61</v>
      </c>
    </row>
    <row r="1699" spans="1:31" x14ac:dyDescent="0.35">
      <c r="A1699" s="13" t="s">
        <v>2501</v>
      </c>
      <c r="B1699" s="13" t="s">
        <v>558</v>
      </c>
      <c r="C1699" s="13" t="s">
        <v>559</v>
      </c>
      <c r="D1699" s="13" t="s">
        <v>52</v>
      </c>
      <c r="E1699" s="13" t="s">
        <v>53</v>
      </c>
      <c r="F1699" s="13" t="s">
        <v>54</v>
      </c>
      <c r="G1699" s="13" t="s">
        <v>55</v>
      </c>
      <c r="H1699">
        <v>240000</v>
      </c>
      <c r="I1699" s="13" t="s">
        <v>56</v>
      </c>
      <c r="J1699" s="13" t="s">
        <v>57</v>
      </c>
      <c r="K1699" s="13" t="s">
        <v>58</v>
      </c>
      <c r="L1699" s="13" t="s">
        <v>59</v>
      </c>
      <c r="M1699">
        <v>45</v>
      </c>
      <c r="N1699">
        <v>0</v>
      </c>
      <c r="O1699" s="14">
        <v>46006</v>
      </c>
      <c r="P1699" s="14">
        <v>46051</v>
      </c>
      <c r="Q1699">
        <v>2210.73</v>
      </c>
      <c r="R1699">
        <v>0</v>
      </c>
      <c r="S1699">
        <v>0</v>
      </c>
      <c r="T1699">
        <v>0</v>
      </c>
      <c r="U1699">
        <v>0</v>
      </c>
      <c r="V1699">
        <v>2210.73</v>
      </c>
      <c r="W1699">
        <v>0</v>
      </c>
      <c r="X1699">
        <v>1</v>
      </c>
      <c r="Y1699">
        <v>0</v>
      </c>
      <c r="Z1699">
        <v>-29</v>
      </c>
      <c r="AA1699">
        <v>1</v>
      </c>
      <c r="AB1699" s="13" t="s">
        <v>581</v>
      </c>
      <c r="AC1699">
        <v>0</v>
      </c>
      <c r="AD1699">
        <v>0</v>
      </c>
      <c r="AE1699" s="13" t="s">
        <v>61</v>
      </c>
    </row>
    <row r="1700" spans="1:31" x14ac:dyDescent="0.35">
      <c r="A1700" s="13" t="s">
        <v>2502</v>
      </c>
      <c r="B1700" s="13" t="s">
        <v>780</v>
      </c>
      <c r="C1700" s="13" t="s">
        <v>781</v>
      </c>
      <c r="D1700" s="13" t="s">
        <v>52</v>
      </c>
      <c r="E1700" s="13" t="s">
        <v>77</v>
      </c>
      <c r="F1700" s="13" t="s">
        <v>174</v>
      </c>
      <c r="G1700" s="13" t="s">
        <v>55</v>
      </c>
      <c r="H1700">
        <v>290000</v>
      </c>
      <c r="I1700" s="13" t="s">
        <v>86</v>
      </c>
      <c r="J1700" s="13" t="s">
        <v>87</v>
      </c>
      <c r="K1700" s="13" t="s">
        <v>58</v>
      </c>
      <c r="L1700" s="13" t="s">
        <v>88</v>
      </c>
      <c r="M1700">
        <v>60</v>
      </c>
      <c r="N1700">
        <v>0</v>
      </c>
      <c r="O1700" s="14">
        <v>46006</v>
      </c>
      <c r="P1700" s="14">
        <v>46066</v>
      </c>
      <c r="Q1700">
        <v>11986.47</v>
      </c>
      <c r="R1700">
        <v>0</v>
      </c>
      <c r="S1700">
        <v>0</v>
      </c>
      <c r="T1700">
        <v>0</v>
      </c>
      <c r="U1700">
        <v>0</v>
      </c>
      <c r="V1700">
        <v>11986.47</v>
      </c>
      <c r="W1700">
        <v>0</v>
      </c>
      <c r="X1700">
        <v>1</v>
      </c>
      <c r="Y1700">
        <v>0</v>
      </c>
      <c r="Z1700">
        <v>-44</v>
      </c>
      <c r="AA1700">
        <v>1</v>
      </c>
      <c r="AB1700" s="13" t="s">
        <v>581</v>
      </c>
      <c r="AC1700">
        <v>0</v>
      </c>
      <c r="AD1700">
        <v>0</v>
      </c>
      <c r="AE1700" s="13" t="s">
        <v>61</v>
      </c>
    </row>
    <row r="1701" spans="1:31" x14ac:dyDescent="0.35">
      <c r="A1701" s="13" t="s">
        <v>2503</v>
      </c>
      <c r="B1701" s="13" t="s">
        <v>168</v>
      </c>
      <c r="C1701" s="13" t="s">
        <v>169</v>
      </c>
      <c r="D1701" s="13" t="s">
        <v>52</v>
      </c>
      <c r="E1701" s="13" t="s">
        <v>65</v>
      </c>
      <c r="F1701" s="13" t="s">
        <v>66</v>
      </c>
      <c r="G1701" s="13" t="s">
        <v>67</v>
      </c>
      <c r="H1701">
        <v>580000</v>
      </c>
      <c r="I1701" s="13" t="s">
        <v>56</v>
      </c>
      <c r="J1701" s="13" t="s">
        <v>57</v>
      </c>
      <c r="K1701" s="13" t="s">
        <v>58</v>
      </c>
      <c r="L1701" s="13" t="s">
        <v>59</v>
      </c>
      <c r="M1701">
        <v>45</v>
      </c>
      <c r="N1701">
        <v>0</v>
      </c>
      <c r="O1701" s="14">
        <v>46006</v>
      </c>
      <c r="P1701" s="14">
        <v>46051</v>
      </c>
      <c r="Q1701">
        <v>8615.7800000000007</v>
      </c>
      <c r="R1701">
        <v>0</v>
      </c>
      <c r="S1701">
        <v>0</v>
      </c>
      <c r="T1701">
        <v>0</v>
      </c>
      <c r="U1701">
        <v>0</v>
      </c>
      <c r="V1701">
        <v>8615.7800000000007</v>
      </c>
      <c r="W1701">
        <v>0</v>
      </c>
      <c r="X1701">
        <v>1</v>
      </c>
      <c r="Y1701">
        <v>0</v>
      </c>
      <c r="Z1701">
        <v>-29</v>
      </c>
      <c r="AA1701">
        <v>1</v>
      </c>
      <c r="AB1701" s="13" t="s">
        <v>581</v>
      </c>
      <c r="AC1701">
        <v>0</v>
      </c>
      <c r="AD1701">
        <v>0</v>
      </c>
      <c r="AE1701" s="13" t="s">
        <v>61</v>
      </c>
    </row>
    <row r="1702" spans="1:31" x14ac:dyDescent="0.35">
      <c r="A1702" s="13" t="s">
        <v>2504</v>
      </c>
      <c r="B1702" s="13" t="s">
        <v>644</v>
      </c>
      <c r="C1702" s="13" t="s">
        <v>645</v>
      </c>
      <c r="D1702" s="13" t="s">
        <v>76</v>
      </c>
      <c r="E1702" s="13" t="s">
        <v>53</v>
      </c>
      <c r="F1702" s="13" t="s">
        <v>54</v>
      </c>
      <c r="G1702" s="13" t="s">
        <v>92</v>
      </c>
      <c r="H1702">
        <v>35000</v>
      </c>
      <c r="I1702" s="13" t="s">
        <v>79</v>
      </c>
      <c r="J1702" s="13" t="s">
        <v>80</v>
      </c>
      <c r="K1702" s="13" t="s">
        <v>81</v>
      </c>
      <c r="L1702" s="13" t="s">
        <v>95</v>
      </c>
      <c r="M1702">
        <v>30</v>
      </c>
      <c r="N1702">
        <v>0</v>
      </c>
      <c r="O1702" s="14">
        <v>46006</v>
      </c>
      <c r="P1702" s="14">
        <v>46036</v>
      </c>
      <c r="Q1702">
        <v>450.96</v>
      </c>
      <c r="R1702">
        <v>0</v>
      </c>
      <c r="S1702">
        <v>0</v>
      </c>
      <c r="T1702">
        <v>0</v>
      </c>
      <c r="U1702">
        <v>0</v>
      </c>
      <c r="V1702">
        <v>450.96</v>
      </c>
      <c r="W1702">
        <v>0</v>
      </c>
      <c r="X1702">
        <v>1</v>
      </c>
      <c r="Y1702">
        <v>0</v>
      </c>
      <c r="Z1702">
        <v>-14</v>
      </c>
      <c r="AA1702">
        <v>1</v>
      </c>
      <c r="AB1702" s="13" t="s">
        <v>581</v>
      </c>
      <c r="AC1702">
        <v>0</v>
      </c>
      <c r="AD1702">
        <v>0</v>
      </c>
      <c r="AE1702" s="13" t="s">
        <v>61</v>
      </c>
    </row>
    <row r="1703" spans="1:31" x14ac:dyDescent="0.35">
      <c r="A1703" s="13" t="s">
        <v>2505</v>
      </c>
      <c r="B1703" s="13" t="s">
        <v>1127</v>
      </c>
      <c r="C1703" s="13" t="s">
        <v>1128</v>
      </c>
      <c r="D1703" s="13" t="s">
        <v>52</v>
      </c>
      <c r="E1703" s="13" t="s">
        <v>53</v>
      </c>
      <c r="F1703" s="13" t="s">
        <v>135</v>
      </c>
      <c r="G1703" s="13" t="s">
        <v>67</v>
      </c>
      <c r="H1703">
        <v>470000</v>
      </c>
      <c r="I1703" s="13" t="s">
        <v>56</v>
      </c>
      <c r="J1703" s="13" t="s">
        <v>57</v>
      </c>
      <c r="K1703" s="13" t="s">
        <v>58</v>
      </c>
      <c r="L1703" s="13" t="s">
        <v>88</v>
      </c>
      <c r="M1703">
        <v>60</v>
      </c>
      <c r="N1703">
        <v>0</v>
      </c>
      <c r="O1703" s="14">
        <v>46006</v>
      </c>
      <c r="P1703" s="14">
        <v>46066</v>
      </c>
      <c r="Q1703">
        <v>1695.19</v>
      </c>
      <c r="R1703">
        <v>0</v>
      </c>
      <c r="S1703">
        <v>0</v>
      </c>
      <c r="T1703">
        <v>0</v>
      </c>
      <c r="U1703">
        <v>0</v>
      </c>
      <c r="V1703">
        <v>1695.19</v>
      </c>
      <c r="W1703">
        <v>0</v>
      </c>
      <c r="X1703">
        <v>1</v>
      </c>
      <c r="Y1703">
        <v>0</v>
      </c>
      <c r="Z1703">
        <v>-44</v>
      </c>
      <c r="AA1703">
        <v>1</v>
      </c>
      <c r="AB1703" s="13" t="s">
        <v>581</v>
      </c>
      <c r="AC1703">
        <v>0</v>
      </c>
      <c r="AD1703">
        <v>0</v>
      </c>
      <c r="AE1703" s="13" t="s">
        <v>61</v>
      </c>
    </row>
    <row r="1704" spans="1:31" x14ac:dyDescent="0.35">
      <c r="A1704" s="13" t="s">
        <v>2506</v>
      </c>
      <c r="B1704" s="13" t="s">
        <v>2084</v>
      </c>
      <c r="C1704" s="13" t="s">
        <v>2085</v>
      </c>
      <c r="D1704" s="13" t="s">
        <v>76</v>
      </c>
      <c r="E1704" s="13" t="s">
        <v>65</v>
      </c>
      <c r="F1704" s="13" t="s">
        <v>66</v>
      </c>
      <c r="G1704" s="13" t="s">
        <v>67</v>
      </c>
      <c r="H1704">
        <v>60000</v>
      </c>
      <c r="I1704" s="13" t="s">
        <v>93</v>
      </c>
      <c r="J1704" s="13" t="s">
        <v>94</v>
      </c>
      <c r="K1704" s="13" t="s">
        <v>81</v>
      </c>
      <c r="L1704" s="13" t="s">
        <v>95</v>
      </c>
      <c r="M1704">
        <v>30</v>
      </c>
      <c r="N1704">
        <v>0</v>
      </c>
      <c r="O1704" s="14">
        <v>46006</v>
      </c>
      <c r="P1704" s="14">
        <v>46036</v>
      </c>
      <c r="Q1704">
        <v>1534.35</v>
      </c>
      <c r="R1704">
        <v>0</v>
      </c>
      <c r="S1704">
        <v>0</v>
      </c>
      <c r="T1704">
        <v>0</v>
      </c>
      <c r="U1704">
        <v>0</v>
      </c>
      <c r="V1704">
        <v>1534.35</v>
      </c>
      <c r="W1704">
        <v>0</v>
      </c>
      <c r="X1704">
        <v>1</v>
      </c>
      <c r="Y1704">
        <v>0</v>
      </c>
      <c r="Z1704">
        <v>-14</v>
      </c>
      <c r="AA1704">
        <v>1</v>
      </c>
      <c r="AB1704" s="13" t="s">
        <v>581</v>
      </c>
      <c r="AC1704">
        <v>0</v>
      </c>
      <c r="AD1704">
        <v>0</v>
      </c>
      <c r="AE1704" s="13" t="s">
        <v>61</v>
      </c>
    </row>
    <row r="1705" spans="1:31" x14ac:dyDescent="0.35">
      <c r="A1705" s="13" t="s">
        <v>2507</v>
      </c>
      <c r="B1705" s="13" t="s">
        <v>1179</v>
      </c>
      <c r="C1705" s="13" t="s">
        <v>1180</v>
      </c>
      <c r="D1705" s="13" t="s">
        <v>104</v>
      </c>
      <c r="E1705" s="13" t="s">
        <v>71</v>
      </c>
      <c r="F1705" s="13" t="s">
        <v>72</v>
      </c>
      <c r="G1705" s="13" t="s">
        <v>67</v>
      </c>
      <c r="H1705">
        <v>50000</v>
      </c>
      <c r="I1705" s="13" t="s">
        <v>105</v>
      </c>
      <c r="J1705" s="13" t="s">
        <v>106</v>
      </c>
      <c r="K1705" s="13" t="s">
        <v>107</v>
      </c>
      <c r="L1705" s="13" t="s">
        <v>88</v>
      </c>
      <c r="M1705">
        <v>60</v>
      </c>
      <c r="N1705">
        <v>0</v>
      </c>
      <c r="O1705" s="14">
        <v>46006</v>
      </c>
      <c r="P1705" s="14">
        <v>46066</v>
      </c>
      <c r="Q1705">
        <v>4565.67</v>
      </c>
      <c r="R1705">
        <v>0</v>
      </c>
      <c r="S1705">
        <v>0</v>
      </c>
      <c r="T1705">
        <v>0</v>
      </c>
      <c r="U1705">
        <v>0</v>
      </c>
      <c r="V1705">
        <v>4565.67</v>
      </c>
      <c r="W1705">
        <v>0</v>
      </c>
      <c r="X1705">
        <v>1</v>
      </c>
      <c r="Y1705">
        <v>0</v>
      </c>
      <c r="Z1705">
        <v>-44</v>
      </c>
      <c r="AA1705">
        <v>1</v>
      </c>
      <c r="AB1705" s="13" t="s">
        <v>581</v>
      </c>
      <c r="AC1705">
        <v>0</v>
      </c>
      <c r="AD1705">
        <v>0</v>
      </c>
      <c r="AE1705" s="13" t="s">
        <v>61</v>
      </c>
    </row>
    <row r="1706" spans="1:31" x14ac:dyDescent="0.35">
      <c r="A1706" s="13" t="s">
        <v>2508</v>
      </c>
      <c r="B1706" s="13" t="s">
        <v>144</v>
      </c>
      <c r="C1706" s="13" t="s">
        <v>145</v>
      </c>
      <c r="D1706" s="13" t="s">
        <v>52</v>
      </c>
      <c r="E1706" s="13" t="s">
        <v>99</v>
      </c>
      <c r="F1706" s="13" t="s">
        <v>100</v>
      </c>
      <c r="G1706" s="13" t="s">
        <v>55</v>
      </c>
      <c r="H1706">
        <v>590000</v>
      </c>
      <c r="I1706" s="13" t="s">
        <v>56</v>
      </c>
      <c r="J1706" s="13" t="s">
        <v>57</v>
      </c>
      <c r="K1706" s="13" t="s">
        <v>58</v>
      </c>
      <c r="L1706" s="13" t="s">
        <v>88</v>
      </c>
      <c r="M1706">
        <v>60</v>
      </c>
      <c r="N1706">
        <v>0</v>
      </c>
      <c r="O1706" s="14">
        <v>46006</v>
      </c>
      <c r="P1706" s="14">
        <v>46066</v>
      </c>
      <c r="Q1706">
        <v>4775.95</v>
      </c>
      <c r="R1706">
        <v>0</v>
      </c>
      <c r="S1706">
        <v>0</v>
      </c>
      <c r="T1706">
        <v>0</v>
      </c>
      <c r="U1706">
        <v>0</v>
      </c>
      <c r="V1706">
        <v>4775.95</v>
      </c>
      <c r="W1706">
        <v>0</v>
      </c>
      <c r="X1706">
        <v>1</v>
      </c>
      <c r="Y1706">
        <v>0</v>
      </c>
      <c r="Z1706">
        <v>-44</v>
      </c>
      <c r="AA1706">
        <v>1</v>
      </c>
      <c r="AB1706" s="13" t="s">
        <v>581</v>
      </c>
      <c r="AC1706">
        <v>0</v>
      </c>
      <c r="AD1706">
        <v>0</v>
      </c>
      <c r="AE1706" s="13" t="s">
        <v>61</v>
      </c>
    </row>
    <row r="1707" spans="1:31" x14ac:dyDescent="0.35">
      <c r="A1707" s="13" t="s">
        <v>2509</v>
      </c>
      <c r="B1707" s="13" t="s">
        <v>1092</v>
      </c>
      <c r="C1707" s="13" t="s">
        <v>1093</v>
      </c>
      <c r="D1707" s="13" t="s">
        <v>76</v>
      </c>
      <c r="E1707" s="13" t="s">
        <v>77</v>
      </c>
      <c r="F1707" s="13" t="s">
        <v>78</v>
      </c>
      <c r="G1707" s="13" t="s">
        <v>55</v>
      </c>
      <c r="H1707">
        <v>110000</v>
      </c>
      <c r="I1707" s="13" t="s">
        <v>93</v>
      </c>
      <c r="J1707" s="13" t="s">
        <v>94</v>
      </c>
      <c r="K1707" s="13" t="s">
        <v>81</v>
      </c>
      <c r="L1707" s="13" t="s">
        <v>95</v>
      </c>
      <c r="M1707">
        <v>30</v>
      </c>
      <c r="N1707">
        <v>0</v>
      </c>
      <c r="O1707" s="14">
        <v>46006</v>
      </c>
      <c r="P1707" s="14">
        <v>46036</v>
      </c>
      <c r="Q1707">
        <v>1287.5999999999999</v>
      </c>
      <c r="R1707">
        <v>0</v>
      </c>
      <c r="S1707">
        <v>0</v>
      </c>
      <c r="T1707">
        <v>0</v>
      </c>
      <c r="U1707">
        <v>0</v>
      </c>
      <c r="V1707">
        <v>1287.5999999999999</v>
      </c>
      <c r="W1707">
        <v>0</v>
      </c>
      <c r="X1707">
        <v>1</v>
      </c>
      <c r="Y1707">
        <v>0</v>
      </c>
      <c r="Z1707">
        <v>-14</v>
      </c>
      <c r="AA1707">
        <v>1</v>
      </c>
      <c r="AB1707" s="13" t="s">
        <v>581</v>
      </c>
      <c r="AC1707">
        <v>0</v>
      </c>
      <c r="AD1707">
        <v>0</v>
      </c>
      <c r="AE1707" s="13" t="s">
        <v>61</v>
      </c>
    </row>
    <row r="1708" spans="1:31" x14ac:dyDescent="0.35">
      <c r="A1708" s="13" t="s">
        <v>2510</v>
      </c>
      <c r="B1708" s="13" t="s">
        <v>2511</v>
      </c>
      <c r="C1708" s="13" t="s">
        <v>2512</v>
      </c>
      <c r="D1708" s="13" t="s">
        <v>104</v>
      </c>
      <c r="E1708" s="13" t="s">
        <v>99</v>
      </c>
      <c r="F1708" s="13" t="s">
        <v>127</v>
      </c>
      <c r="G1708" s="13" t="s">
        <v>92</v>
      </c>
      <c r="H1708">
        <v>60000</v>
      </c>
      <c r="I1708" s="13" t="s">
        <v>121</v>
      </c>
      <c r="J1708" s="13" t="s">
        <v>122</v>
      </c>
      <c r="K1708" s="13" t="s">
        <v>107</v>
      </c>
      <c r="L1708" s="13" t="s">
        <v>95</v>
      </c>
      <c r="M1708">
        <v>30</v>
      </c>
      <c r="N1708">
        <v>0</v>
      </c>
      <c r="O1708" s="14">
        <v>46006</v>
      </c>
      <c r="P1708" s="14">
        <v>46036</v>
      </c>
      <c r="Q1708">
        <v>3228.84</v>
      </c>
      <c r="R1708">
        <v>0</v>
      </c>
      <c r="S1708">
        <v>0</v>
      </c>
      <c r="T1708">
        <v>0</v>
      </c>
      <c r="U1708">
        <v>0</v>
      </c>
      <c r="V1708">
        <v>3228.84</v>
      </c>
      <c r="W1708">
        <v>0</v>
      </c>
      <c r="X1708">
        <v>1</v>
      </c>
      <c r="Y1708">
        <v>0</v>
      </c>
      <c r="Z1708">
        <v>-14</v>
      </c>
      <c r="AA1708">
        <v>1</v>
      </c>
      <c r="AB1708" s="13" t="s">
        <v>581</v>
      </c>
      <c r="AC1708">
        <v>0</v>
      </c>
      <c r="AD1708">
        <v>0</v>
      </c>
      <c r="AE1708" s="13" t="s">
        <v>61</v>
      </c>
    </row>
    <row r="1709" spans="1:31" x14ac:dyDescent="0.35">
      <c r="A1709" s="13" t="s">
        <v>2513</v>
      </c>
      <c r="B1709" s="13" t="s">
        <v>375</v>
      </c>
      <c r="C1709" s="13" t="s">
        <v>376</v>
      </c>
      <c r="D1709" s="13" t="s">
        <v>52</v>
      </c>
      <c r="E1709" s="13" t="s">
        <v>99</v>
      </c>
      <c r="F1709" s="13" t="s">
        <v>100</v>
      </c>
      <c r="G1709" s="13" t="s">
        <v>55</v>
      </c>
      <c r="H1709">
        <v>395000</v>
      </c>
      <c r="I1709" s="13" t="s">
        <v>56</v>
      </c>
      <c r="J1709" s="13" t="s">
        <v>57</v>
      </c>
      <c r="K1709" s="13" t="s">
        <v>58</v>
      </c>
      <c r="L1709" s="13" t="s">
        <v>59</v>
      </c>
      <c r="M1709">
        <v>45</v>
      </c>
      <c r="N1709">
        <v>0</v>
      </c>
      <c r="O1709" s="14">
        <v>46006</v>
      </c>
      <c r="P1709" s="14">
        <v>46051</v>
      </c>
      <c r="Q1709">
        <v>13625.2</v>
      </c>
      <c r="R1709">
        <v>0</v>
      </c>
      <c r="S1709">
        <v>0</v>
      </c>
      <c r="T1709">
        <v>0</v>
      </c>
      <c r="U1709">
        <v>0</v>
      </c>
      <c r="V1709">
        <v>13625.2</v>
      </c>
      <c r="W1709">
        <v>0</v>
      </c>
      <c r="X1709">
        <v>1</v>
      </c>
      <c r="Y1709">
        <v>0</v>
      </c>
      <c r="Z1709">
        <v>-29</v>
      </c>
      <c r="AA1709">
        <v>1</v>
      </c>
      <c r="AB1709" s="13" t="s">
        <v>581</v>
      </c>
      <c r="AC1709">
        <v>0</v>
      </c>
      <c r="AD1709">
        <v>0</v>
      </c>
      <c r="AE1709" s="13" t="s">
        <v>61</v>
      </c>
    </row>
    <row r="1710" spans="1:31" x14ac:dyDescent="0.35">
      <c r="A1710" s="13" t="s">
        <v>2514</v>
      </c>
      <c r="B1710" s="13" t="s">
        <v>695</v>
      </c>
      <c r="C1710" s="13" t="s">
        <v>696</v>
      </c>
      <c r="D1710" s="13" t="s">
        <v>52</v>
      </c>
      <c r="E1710" s="13" t="s">
        <v>53</v>
      </c>
      <c r="F1710" s="13" t="s">
        <v>54</v>
      </c>
      <c r="G1710" s="13" t="s">
        <v>92</v>
      </c>
      <c r="H1710">
        <v>535000</v>
      </c>
      <c r="I1710" s="13" t="s">
        <v>56</v>
      </c>
      <c r="J1710" s="13" t="s">
        <v>57</v>
      </c>
      <c r="K1710" s="13" t="s">
        <v>58</v>
      </c>
      <c r="L1710" s="13" t="s">
        <v>88</v>
      </c>
      <c r="M1710">
        <v>60</v>
      </c>
      <c r="N1710">
        <v>0</v>
      </c>
      <c r="O1710" s="14">
        <v>46006</v>
      </c>
      <c r="P1710" s="14">
        <v>46066</v>
      </c>
      <c r="Q1710">
        <v>11875.51</v>
      </c>
      <c r="R1710">
        <v>0</v>
      </c>
      <c r="S1710">
        <v>0</v>
      </c>
      <c r="T1710">
        <v>0</v>
      </c>
      <c r="U1710">
        <v>0</v>
      </c>
      <c r="V1710">
        <v>11875.51</v>
      </c>
      <c r="W1710">
        <v>0</v>
      </c>
      <c r="X1710">
        <v>1</v>
      </c>
      <c r="Y1710">
        <v>0</v>
      </c>
      <c r="Z1710">
        <v>-44</v>
      </c>
      <c r="AA1710">
        <v>1</v>
      </c>
      <c r="AB1710" s="13" t="s">
        <v>581</v>
      </c>
      <c r="AC1710">
        <v>0</v>
      </c>
      <c r="AD1710">
        <v>0</v>
      </c>
      <c r="AE1710" s="13" t="s">
        <v>61</v>
      </c>
    </row>
    <row r="1711" spans="1:31" x14ac:dyDescent="0.35">
      <c r="A1711" s="13" t="s">
        <v>2515</v>
      </c>
      <c r="B1711" s="13" t="s">
        <v>180</v>
      </c>
      <c r="C1711" s="13" t="s">
        <v>181</v>
      </c>
      <c r="D1711" s="13" t="s">
        <v>104</v>
      </c>
      <c r="E1711" s="13" t="s">
        <v>77</v>
      </c>
      <c r="F1711" s="13" t="s">
        <v>174</v>
      </c>
      <c r="G1711" s="13" t="s">
        <v>55</v>
      </c>
      <c r="H1711">
        <v>105000</v>
      </c>
      <c r="I1711" s="13" t="s">
        <v>121</v>
      </c>
      <c r="J1711" s="13" t="s">
        <v>122</v>
      </c>
      <c r="K1711" s="13" t="s">
        <v>107</v>
      </c>
      <c r="L1711" s="13" t="s">
        <v>95</v>
      </c>
      <c r="M1711">
        <v>30</v>
      </c>
      <c r="N1711">
        <v>0</v>
      </c>
      <c r="O1711" s="14">
        <v>46006</v>
      </c>
      <c r="P1711" s="14">
        <v>46036</v>
      </c>
      <c r="Q1711">
        <v>3056.84</v>
      </c>
      <c r="R1711">
        <v>0</v>
      </c>
      <c r="S1711">
        <v>0</v>
      </c>
      <c r="T1711">
        <v>0</v>
      </c>
      <c r="U1711">
        <v>0</v>
      </c>
      <c r="V1711">
        <v>3056.84</v>
      </c>
      <c r="W1711">
        <v>0</v>
      </c>
      <c r="X1711">
        <v>1</v>
      </c>
      <c r="Y1711">
        <v>0</v>
      </c>
      <c r="Z1711">
        <v>-14</v>
      </c>
      <c r="AA1711">
        <v>1</v>
      </c>
      <c r="AB1711" s="13" t="s">
        <v>581</v>
      </c>
      <c r="AC1711">
        <v>0</v>
      </c>
      <c r="AD1711">
        <v>0</v>
      </c>
      <c r="AE1711" s="13" t="s">
        <v>61</v>
      </c>
    </row>
    <row r="1712" spans="1:31" x14ac:dyDescent="0.35">
      <c r="A1712" s="13" t="s">
        <v>2516</v>
      </c>
      <c r="B1712" s="13" t="s">
        <v>1059</v>
      </c>
      <c r="C1712" s="13" t="s">
        <v>1060</v>
      </c>
      <c r="D1712" s="13" t="s">
        <v>52</v>
      </c>
      <c r="E1712" s="13" t="s">
        <v>77</v>
      </c>
      <c r="F1712" s="13" t="s">
        <v>174</v>
      </c>
      <c r="G1712" s="13" t="s">
        <v>67</v>
      </c>
      <c r="H1712">
        <v>225000</v>
      </c>
      <c r="I1712" s="13" t="s">
        <v>86</v>
      </c>
      <c r="J1712" s="13" t="s">
        <v>87</v>
      </c>
      <c r="K1712" s="13" t="s">
        <v>58</v>
      </c>
      <c r="L1712" s="13" t="s">
        <v>88</v>
      </c>
      <c r="M1712">
        <v>60</v>
      </c>
      <c r="N1712">
        <v>0</v>
      </c>
      <c r="O1712" s="14">
        <v>46006</v>
      </c>
      <c r="P1712" s="14">
        <v>46066</v>
      </c>
      <c r="Q1712">
        <v>6528.44</v>
      </c>
      <c r="R1712">
        <v>0</v>
      </c>
      <c r="S1712">
        <v>0</v>
      </c>
      <c r="T1712">
        <v>0</v>
      </c>
      <c r="U1712">
        <v>0</v>
      </c>
      <c r="V1712">
        <v>6528.44</v>
      </c>
      <c r="W1712">
        <v>0</v>
      </c>
      <c r="X1712">
        <v>1</v>
      </c>
      <c r="Y1712">
        <v>0</v>
      </c>
      <c r="Z1712">
        <v>-44</v>
      </c>
      <c r="AA1712">
        <v>1</v>
      </c>
      <c r="AB1712" s="13" t="s">
        <v>581</v>
      </c>
      <c r="AC1712">
        <v>0</v>
      </c>
      <c r="AD1712">
        <v>1</v>
      </c>
      <c r="AE1712" s="13" t="s">
        <v>377</v>
      </c>
    </row>
    <row r="1713" spans="1:31" x14ac:dyDescent="0.35">
      <c r="A1713" s="13" t="s">
        <v>2517</v>
      </c>
      <c r="B1713" s="13" t="s">
        <v>379</v>
      </c>
      <c r="C1713" s="13" t="s">
        <v>380</v>
      </c>
      <c r="D1713" s="13" t="s">
        <v>52</v>
      </c>
      <c r="E1713" s="13" t="s">
        <v>77</v>
      </c>
      <c r="F1713" s="13" t="s">
        <v>78</v>
      </c>
      <c r="G1713" s="13" t="s">
        <v>92</v>
      </c>
      <c r="H1713">
        <v>450000</v>
      </c>
      <c r="I1713" s="13" t="s">
        <v>56</v>
      </c>
      <c r="J1713" s="13" t="s">
        <v>57</v>
      </c>
      <c r="K1713" s="13" t="s">
        <v>58</v>
      </c>
      <c r="L1713" s="13" t="s">
        <v>59</v>
      </c>
      <c r="M1713">
        <v>45</v>
      </c>
      <c r="N1713">
        <v>0</v>
      </c>
      <c r="O1713" s="14">
        <v>46006</v>
      </c>
      <c r="P1713" s="14">
        <v>46051</v>
      </c>
      <c r="Q1713">
        <v>2202.62</v>
      </c>
      <c r="R1713">
        <v>0</v>
      </c>
      <c r="S1713">
        <v>0</v>
      </c>
      <c r="T1713">
        <v>0</v>
      </c>
      <c r="U1713">
        <v>0</v>
      </c>
      <c r="V1713">
        <v>2202.62</v>
      </c>
      <c r="W1713">
        <v>0</v>
      </c>
      <c r="X1713">
        <v>1</v>
      </c>
      <c r="Y1713">
        <v>0</v>
      </c>
      <c r="Z1713">
        <v>-29</v>
      </c>
      <c r="AA1713">
        <v>1</v>
      </c>
      <c r="AB1713" s="13" t="s">
        <v>581</v>
      </c>
      <c r="AC1713">
        <v>0</v>
      </c>
      <c r="AD1713">
        <v>0</v>
      </c>
      <c r="AE1713" s="13" t="s">
        <v>61</v>
      </c>
    </row>
    <row r="1714" spans="1:31" x14ac:dyDescent="0.35">
      <c r="A1714" s="13" t="s">
        <v>2518</v>
      </c>
      <c r="B1714" s="13" t="s">
        <v>876</v>
      </c>
      <c r="C1714" s="13" t="s">
        <v>877</v>
      </c>
      <c r="D1714" s="13" t="s">
        <v>126</v>
      </c>
      <c r="E1714" s="13" t="s">
        <v>77</v>
      </c>
      <c r="F1714" s="13" t="s">
        <v>174</v>
      </c>
      <c r="G1714" s="13" t="s">
        <v>67</v>
      </c>
      <c r="H1714">
        <v>105000</v>
      </c>
      <c r="I1714" s="13" t="s">
        <v>121</v>
      </c>
      <c r="J1714" s="13" t="s">
        <v>122</v>
      </c>
      <c r="K1714" s="13" t="s">
        <v>107</v>
      </c>
      <c r="L1714" s="13" t="s">
        <v>88</v>
      </c>
      <c r="M1714">
        <v>60</v>
      </c>
      <c r="N1714">
        <v>0</v>
      </c>
      <c r="O1714" s="14">
        <v>46006</v>
      </c>
      <c r="P1714" s="14">
        <v>46066</v>
      </c>
      <c r="Q1714">
        <v>8867.6</v>
      </c>
      <c r="R1714">
        <v>0</v>
      </c>
      <c r="S1714">
        <v>0</v>
      </c>
      <c r="T1714">
        <v>0</v>
      </c>
      <c r="U1714">
        <v>0</v>
      </c>
      <c r="V1714">
        <v>8867.6</v>
      </c>
      <c r="W1714">
        <v>0</v>
      </c>
      <c r="X1714">
        <v>1</v>
      </c>
      <c r="Y1714">
        <v>0</v>
      </c>
      <c r="Z1714">
        <v>-44</v>
      </c>
      <c r="AA1714">
        <v>1</v>
      </c>
      <c r="AB1714" s="13" t="s">
        <v>581</v>
      </c>
      <c r="AC1714">
        <v>0</v>
      </c>
      <c r="AD1714">
        <v>0</v>
      </c>
      <c r="AE1714" s="13" t="s">
        <v>61</v>
      </c>
    </row>
    <row r="1715" spans="1:31" x14ac:dyDescent="0.35">
      <c r="A1715" s="13" t="s">
        <v>2519</v>
      </c>
      <c r="B1715" s="13" t="s">
        <v>390</v>
      </c>
      <c r="C1715" s="13" t="s">
        <v>391</v>
      </c>
      <c r="D1715" s="13" t="s">
        <v>52</v>
      </c>
      <c r="E1715" s="13" t="s">
        <v>71</v>
      </c>
      <c r="F1715" s="13" t="s">
        <v>72</v>
      </c>
      <c r="G1715" s="13" t="s">
        <v>55</v>
      </c>
      <c r="H1715">
        <v>320000</v>
      </c>
      <c r="I1715" s="13" t="s">
        <v>86</v>
      </c>
      <c r="J1715" s="13" t="s">
        <v>87</v>
      </c>
      <c r="K1715" s="13" t="s">
        <v>58</v>
      </c>
      <c r="L1715" s="13" t="s">
        <v>88</v>
      </c>
      <c r="M1715">
        <v>60</v>
      </c>
      <c r="N1715">
        <v>0</v>
      </c>
      <c r="O1715" s="14">
        <v>46006</v>
      </c>
      <c r="P1715" s="14">
        <v>46066</v>
      </c>
      <c r="Q1715">
        <v>4228.88</v>
      </c>
      <c r="R1715">
        <v>0</v>
      </c>
      <c r="S1715">
        <v>0</v>
      </c>
      <c r="T1715">
        <v>0</v>
      </c>
      <c r="U1715">
        <v>0</v>
      </c>
      <c r="V1715">
        <v>4228.88</v>
      </c>
      <c r="W1715">
        <v>0</v>
      </c>
      <c r="X1715">
        <v>1</v>
      </c>
      <c r="Y1715">
        <v>0</v>
      </c>
      <c r="Z1715">
        <v>-44</v>
      </c>
      <c r="AA1715">
        <v>1</v>
      </c>
      <c r="AB1715" s="13" t="s">
        <v>581</v>
      </c>
      <c r="AC1715">
        <v>0</v>
      </c>
      <c r="AD1715">
        <v>0</v>
      </c>
      <c r="AE1715" s="13" t="s">
        <v>61</v>
      </c>
    </row>
    <row r="1716" spans="1:31" x14ac:dyDescent="0.35">
      <c r="A1716" s="13" t="s">
        <v>2520</v>
      </c>
      <c r="B1716" s="13" t="s">
        <v>50</v>
      </c>
      <c r="C1716" s="13" t="s">
        <v>51</v>
      </c>
      <c r="D1716" s="13" t="s">
        <v>52</v>
      </c>
      <c r="E1716" s="13" t="s">
        <v>53</v>
      </c>
      <c r="F1716" s="13" t="s">
        <v>54</v>
      </c>
      <c r="G1716" s="13" t="s">
        <v>55</v>
      </c>
      <c r="H1716">
        <v>585000</v>
      </c>
      <c r="I1716" s="13" t="s">
        <v>56</v>
      </c>
      <c r="J1716" s="13" t="s">
        <v>57</v>
      </c>
      <c r="K1716" s="13" t="s">
        <v>58</v>
      </c>
      <c r="L1716" s="13" t="s">
        <v>59</v>
      </c>
      <c r="M1716">
        <v>45</v>
      </c>
      <c r="N1716">
        <v>0</v>
      </c>
      <c r="O1716" s="14">
        <v>46006</v>
      </c>
      <c r="P1716" s="14">
        <v>46051</v>
      </c>
      <c r="Q1716">
        <v>9006.31</v>
      </c>
      <c r="R1716">
        <v>0</v>
      </c>
      <c r="S1716">
        <v>0</v>
      </c>
      <c r="T1716">
        <v>0</v>
      </c>
      <c r="U1716">
        <v>0</v>
      </c>
      <c r="V1716">
        <v>9006.31</v>
      </c>
      <c r="W1716">
        <v>0</v>
      </c>
      <c r="X1716">
        <v>1</v>
      </c>
      <c r="Y1716">
        <v>0</v>
      </c>
      <c r="Z1716">
        <v>-29</v>
      </c>
      <c r="AA1716">
        <v>1</v>
      </c>
      <c r="AB1716" s="13" t="s">
        <v>581</v>
      </c>
      <c r="AC1716">
        <v>0</v>
      </c>
      <c r="AD1716">
        <v>0</v>
      </c>
      <c r="AE1716" s="13" t="s">
        <v>61</v>
      </c>
    </row>
    <row r="1717" spans="1:31" x14ac:dyDescent="0.35">
      <c r="A1717" s="13" t="s">
        <v>2521</v>
      </c>
      <c r="B1717" s="13" t="s">
        <v>280</v>
      </c>
      <c r="C1717" s="13" t="s">
        <v>281</v>
      </c>
      <c r="D1717" s="13" t="s">
        <v>104</v>
      </c>
      <c r="E1717" s="13" t="s">
        <v>71</v>
      </c>
      <c r="F1717" s="13" t="s">
        <v>214</v>
      </c>
      <c r="G1717" s="13" t="s">
        <v>92</v>
      </c>
      <c r="H1717">
        <v>100000</v>
      </c>
      <c r="I1717" s="13" t="s">
        <v>121</v>
      </c>
      <c r="J1717" s="13" t="s">
        <v>122</v>
      </c>
      <c r="K1717" s="13" t="s">
        <v>107</v>
      </c>
      <c r="L1717" s="13" t="s">
        <v>88</v>
      </c>
      <c r="M1717">
        <v>60</v>
      </c>
      <c r="N1717">
        <v>0</v>
      </c>
      <c r="O1717" s="14">
        <v>46006</v>
      </c>
      <c r="P1717" s="14">
        <v>46066</v>
      </c>
      <c r="Q1717">
        <v>999.93</v>
      </c>
      <c r="R1717">
        <v>0</v>
      </c>
      <c r="S1717">
        <v>0</v>
      </c>
      <c r="T1717">
        <v>0</v>
      </c>
      <c r="U1717">
        <v>0</v>
      </c>
      <c r="V1717">
        <v>999.93</v>
      </c>
      <c r="W1717">
        <v>0</v>
      </c>
      <c r="X1717">
        <v>1</v>
      </c>
      <c r="Y1717">
        <v>0</v>
      </c>
      <c r="Z1717">
        <v>-44</v>
      </c>
      <c r="AA1717">
        <v>1</v>
      </c>
      <c r="AB1717" s="13" t="s">
        <v>581</v>
      </c>
      <c r="AC1717">
        <v>0</v>
      </c>
      <c r="AD1717">
        <v>0</v>
      </c>
      <c r="AE1717" s="13" t="s">
        <v>61</v>
      </c>
    </row>
    <row r="1718" spans="1:31" x14ac:dyDescent="0.35">
      <c r="A1718" s="13" t="s">
        <v>2522</v>
      </c>
      <c r="B1718" s="13" t="s">
        <v>1027</v>
      </c>
      <c r="C1718" s="13" t="s">
        <v>1028</v>
      </c>
      <c r="D1718" s="13" t="s">
        <v>104</v>
      </c>
      <c r="E1718" s="13" t="s">
        <v>53</v>
      </c>
      <c r="F1718" s="13" t="s">
        <v>54</v>
      </c>
      <c r="G1718" s="13" t="s">
        <v>67</v>
      </c>
      <c r="H1718">
        <v>40000</v>
      </c>
      <c r="I1718" s="13" t="s">
        <v>121</v>
      </c>
      <c r="J1718" s="13" t="s">
        <v>122</v>
      </c>
      <c r="K1718" s="13" t="s">
        <v>107</v>
      </c>
      <c r="L1718" s="13" t="s">
        <v>88</v>
      </c>
      <c r="M1718">
        <v>60</v>
      </c>
      <c r="N1718">
        <v>0</v>
      </c>
      <c r="O1718" s="14">
        <v>46006</v>
      </c>
      <c r="P1718" s="14">
        <v>46066</v>
      </c>
      <c r="Q1718">
        <v>8355.51</v>
      </c>
      <c r="R1718">
        <v>0</v>
      </c>
      <c r="S1718">
        <v>0</v>
      </c>
      <c r="T1718">
        <v>0</v>
      </c>
      <c r="U1718">
        <v>0</v>
      </c>
      <c r="V1718">
        <v>8355.51</v>
      </c>
      <c r="W1718">
        <v>0</v>
      </c>
      <c r="X1718">
        <v>1</v>
      </c>
      <c r="Y1718">
        <v>0</v>
      </c>
      <c r="Z1718">
        <v>-44</v>
      </c>
      <c r="AA1718">
        <v>1</v>
      </c>
      <c r="AB1718" s="13" t="s">
        <v>581</v>
      </c>
      <c r="AC1718">
        <v>0</v>
      </c>
      <c r="AD1718">
        <v>0</v>
      </c>
      <c r="AE1718" s="13" t="s">
        <v>61</v>
      </c>
    </row>
    <row r="1719" spans="1:31" x14ac:dyDescent="0.35">
      <c r="A1719" s="13" t="s">
        <v>2523</v>
      </c>
      <c r="B1719" s="13" t="s">
        <v>2524</v>
      </c>
      <c r="C1719" s="13" t="s">
        <v>2525</v>
      </c>
      <c r="D1719" s="13" t="s">
        <v>104</v>
      </c>
      <c r="E1719" s="13" t="s">
        <v>65</v>
      </c>
      <c r="F1719" s="13" t="s">
        <v>111</v>
      </c>
      <c r="G1719" s="13" t="s">
        <v>67</v>
      </c>
      <c r="H1719">
        <v>110000</v>
      </c>
      <c r="I1719" s="13" t="s">
        <v>121</v>
      </c>
      <c r="J1719" s="13" t="s">
        <v>122</v>
      </c>
      <c r="K1719" s="13" t="s">
        <v>107</v>
      </c>
      <c r="L1719" s="13" t="s">
        <v>95</v>
      </c>
      <c r="M1719">
        <v>30</v>
      </c>
      <c r="N1719">
        <v>0</v>
      </c>
      <c r="O1719" s="14">
        <v>46007</v>
      </c>
      <c r="P1719" s="14">
        <v>46037</v>
      </c>
      <c r="Q1719">
        <v>1499.85</v>
      </c>
      <c r="R1719">
        <v>0</v>
      </c>
      <c r="S1719">
        <v>0</v>
      </c>
      <c r="T1719">
        <v>0</v>
      </c>
      <c r="U1719">
        <v>0</v>
      </c>
      <c r="V1719">
        <v>1499.85</v>
      </c>
      <c r="W1719">
        <v>0</v>
      </c>
      <c r="X1719">
        <v>1</v>
      </c>
      <c r="Y1719">
        <v>0</v>
      </c>
      <c r="Z1719">
        <v>-15</v>
      </c>
      <c r="AA1719">
        <v>1</v>
      </c>
      <c r="AB1719" s="13" t="s">
        <v>581</v>
      </c>
      <c r="AC1719">
        <v>0</v>
      </c>
      <c r="AD1719">
        <v>0</v>
      </c>
      <c r="AE1719" s="13" t="s">
        <v>61</v>
      </c>
    </row>
    <row r="1720" spans="1:31" x14ac:dyDescent="0.35">
      <c r="A1720" s="13" t="s">
        <v>2526</v>
      </c>
      <c r="B1720" s="13" t="s">
        <v>197</v>
      </c>
      <c r="C1720" s="13" t="s">
        <v>198</v>
      </c>
      <c r="D1720" s="13" t="s">
        <v>76</v>
      </c>
      <c r="E1720" s="13" t="s">
        <v>53</v>
      </c>
      <c r="F1720" s="13" t="s">
        <v>135</v>
      </c>
      <c r="G1720" s="13" t="s">
        <v>67</v>
      </c>
      <c r="H1720">
        <v>105000</v>
      </c>
      <c r="I1720" s="13" t="s">
        <v>79</v>
      </c>
      <c r="J1720" s="13" t="s">
        <v>80</v>
      </c>
      <c r="K1720" s="13" t="s">
        <v>81</v>
      </c>
      <c r="L1720" s="13" t="s">
        <v>95</v>
      </c>
      <c r="M1720">
        <v>30</v>
      </c>
      <c r="N1720">
        <v>0</v>
      </c>
      <c r="O1720" s="14">
        <v>46007</v>
      </c>
      <c r="P1720" s="14">
        <v>46037</v>
      </c>
      <c r="Q1720">
        <v>4465.46</v>
      </c>
      <c r="R1720">
        <v>0</v>
      </c>
      <c r="S1720">
        <v>0</v>
      </c>
      <c r="T1720">
        <v>0</v>
      </c>
      <c r="U1720">
        <v>0</v>
      </c>
      <c r="V1720">
        <v>4465.46</v>
      </c>
      <c r="W1720">
        <v>0</v>
      </c>
      <c r="X1720">
        <v>1</v>
      </c>
      <c r="Y1720">
        <v>0</v>
      </c>
      <c r="Z1720">
        <v>-15</v>
      </c>
      <c r="AA1720">
        <v>1</v>
      </c>
      <c r="AB1720" s="13" t="s">
        <v>581</v>
      </c>
      <c r="AC1720">
        <v>0</v>
      </c>
      <c r="AD1720">
        <v>0</v>
      </c>
      <c r="AE1720" s="13" t="s">
        <v>61</v>
      </c>
    </row>
    <row r="1721" spans="1:31" x14ac:dyDescent="0.35">
      <c r="A1721" s="13" t="s">
        <v>2527</v>
      </c>
      <c r="B1721" s="13" t="s">
        <v>203</v>
      </c>
      <c r="C1721" s="13" t="s">
        <v>204</v>
      </c>
      <c r="D1721" s="13" t="s">
        <v>52</v>
      </c>
      <c r="E1721" s="13" t="s">
        <v>53</v>
      </c>
      <c r="F1721" s="13" t="s">
        <v>135</v>
      </c>
      <c r="G1721" s="13" t="s">
        <v>67</v>
      </c>
      <c r="H1721">
        <v>500000</v>
      </c>
      <c r="I1721" s="13" t="s">
        <v>56</v>
      </c>
      <c r="J1721" s="13" t="s">
        <v>57</v>
      </c>
      <c r="K1721" s="13" t="s">
        <v>58</v>
      </c>
      <c r="L1721" s="13" t="s">
        <v>59</v>
      </c>
      <c r="M1721">
        <v>45</v>
      </c>
      <c r="N1721">
        <v>0</v>
      </c>
      <c r="O1721" s="14">
        <v>46007</v>
      </c>
      <c r="P1721" s="14">
        <v>46052</v>
      </c>
      <c r="Q1721">
        <v>16405.48</v>
      </c>
      <c r="R1721">
        <v>0</v>
      </c>
      <c r="S1721">
        <v>0</v>
      </c>
      <c r="T1721">
        <v>0</v>
      </c>
      <c r="U1721">
        <v>0</v>
      </c>
      <c r="V1721">
        <v>16405.48</v>
      </c>
      <c r="W1721">
        <v>0</v>
      </c>
      <c r="X1721">
        <v>1</v>
      </c>
      <c r="Y1721">
        <v>0</v>
      </c>
      <c r="Z1721">
        <v>-30</v>
      </c>
      <c r="AA1721">
        <v>1</v>
      </c>
      <c r="AB1721" s="13" t="s">
        <v>581</v>
      </c>
      <c r="AC1721">
        <v>0</v>
      </c>
      <c r="AD1721">
        <v>0</v>
      </c>
      <c r="AE1721" s="13" t="s">
        <v>61</v>
      </c>
    </row>
    <row r="1722" spans="1:31" x14ac:dyDescent="0.35">
      <c r="A1722" s="13" t="s">
        <v>2528</v>
      </c>
      <c r="B1722" s="13" t="s">
        <v>1460</v>
      </c>
      <c r="C1722" s="13" t="s">
        <v>1461</v>
      </c>
      <c r="D1722" s="13" t="s">
        <v>104</v>
      </c>
      <c r="E1722" s="13" t="s">
        <v>99</v>
      </c>
      <c r="F1722" s="13" t="s">
        <v>100</v>
      </c>
      <c r="G1722" s="13" t="s">
        <v>55</v>
      </c>
      <c r="H1722">
        <v>65000</v>
      </c>
      <c r="I1722" s="13" t="s">
        <v>121</v>
      </c>
      <c r="J1722" s="13" t="s">
        <v>122</v>
      </c>
      <c r="K1722" s="13" t="s">
        <v>107</v>
      </c>
      <c r="L1722" s="13" t="s">
        <v>82</v>
      </c>
      <c r="M1722">
        <v>30</v>
      </c>
      <c r="N1722">
        <v>2</v>
      </c>
      <c r="O1722" s="14">
        <v>46007</v>
      </c>
      <c r="P1722" s="14">
        <v>46037</v>
      </c>
      <c r="Q1722">
        <v>4092.17</v>
      </c>
      <c r="R1722">
        <v>0</v>
      </c>
      <c r="S1722">
        <v>0</v>
      </c>
      <c r="T1722">
        <v>0</v>
      </c>
      <c r="U1722">
        <v>0</v>
      </c>
      <c r="V1722">
        <v>4092.17</v>
      </c>
      <c r="W1722">
        <v>0</v>
      </c>
      <c r="X1722">
        <v>1</v>
      </c>
      <c r="Y1722">
        <v>0</v>
      </c>
      <c r="Z1722">
        <v>-15</v>
      </c>
      <c r="AA1722">
        <v>1</v>
      </c>
      <c r="AB1722" s="13" t="s">
        <v>581</v>
      </c>
      <c r="AC1722">
        <v>0</v>
      </c>
      <c r="AD1722">
        <v>1</v>
      </c>
      <c r="AE1722" s="13" t="s">
        <v>377</v>
      </c>
    </row>
    <row r="1723" spans="1:31" x14ac:dyDescent="0.35">
      <c r="A1723" s="13" t="s">
        <v>2529</v>
      </c>
      <c r="B1723" s="13" t="s">
        <v>256</v>
      </c>
      <c r="C1723" s="13" t="s">
        <v>257</v>
      </c>
      <c r="D1723" s="13" t="s">
        <v>76</v>
      </c>
      <c r="E1723" s="13" t="s">
        <v>99</v>
      </c>
      <c r="F1723" s="13" t="s">
        <v>100</v>
      </c>
      <c r="G1723" s="13" t="s">
        <v>55</v>
      </c>
      <c r="H1723">
        <v>25000</v>
      </c>
      <c r="I1723" s="13" t="s">
        <v>79</v>
      </c>
      <c r="J1723" s="13" t="s">
        <v>80</v>
      </c>
      <c r="K1723" s="13" t="s">
        <v>81</v>
      </c>
      <c r="L1723" s="13" t="s">
        <v>95</v>
      </c>
      <c r="M1723">
        <v>30</v>
      </c>
      <c r="N1723">
        <v>0</v>
      </c>
      <c r="O1723" s="14">
        <v>46007</v>
      </c>
      <c r="P1723" s="14">
        <v>46037</v>
      </c>
      <c r="Q1723">
        <v>1070.55</v>
      </c>
      <c r="R1723">
        <v>0</v>
      </c>
      <c r="S1723">
        <v>0</v>
      </c>
      <c r="T1723">
        <v>0</v>
      </c>
      <c r="U1723">
        <v>0</v>
      </c>
      <c r="V1723">
        <v>1070.55</v>
      </c>
      <c r="W1723">
        <v>0</v>
      </c>
      <c r="X1723">
        <v>1</v>
      </c>
      <c r="Y1723">
        <v>0</v>
      </c>
      <c r="Z1723">
        <v>-15</v>
      </c>
      <c r="AA1723">
        <v>1</v>
      </c>
      <c r="AB1723" s="13" t="s">
        <v>581</v>
      </c>
      <c r="AC1723">
        <v>0</v>
      </c>
      <c r="AD1723">
        <v>0</v>
      </c>
      <c r="AE1723" s="13" t="s">
        <v>61</v>
      </c>
    </row>
    <row r="1724" spans="1:31" x14ac:dyDescent="0.35">
      <c r="A1724" s="13" t="s">
        <v>2530</v>
      </c>
      <c r="B1724" s="13" t="s">
        <v>1763</v>
      </c>
      <c r="C1724" s="13" t="s">
        <v>1764</v>
      </c>
      <c r="D1724" s="13" t="s">
        <v>104</v>
      </c>
      <c r="E1724" s="13" t="s">
        <v>99</v>
      </c>
      <c r="F1724" s="13" t="s">
        <v>127</v>
      </c>
      <c r="G1724" s="13" t="s">
        <v>92</v>
      </c>
      <c r="H1724">
        <v>40000</v>
      </c>
      <c r="I1724" s="13" t="s">
        <v>105</v>
      </c>
      <c r="J1724" s="13" t="s">
        <v>106</v>
      </c>
      <c r="K1724" s="13" t="s">
        <v>107</v>
      </c>
      <c r="L1724" s="13" t="s">
        <v>82</v>
      </c>
      <c r="M1724">
        <v>30</v>
      </c>
      <c r="N1724">
        <v>2</v>
      </c>
      <c r="O1724" s="14">
        <v>46007</v>
      </c>
      <c r="P1724" s="14">
        <v>46037</v>
      </c>
      <c r="Q1724">
        <v>962.7</v>
      </c>
      <c r="R1724">
        <v>0</v>
      </c>
      <c r="S1724">
        <v>0</v>
      </c>
      <c r="T1724">
        <v>0</v>
      </c>
      <c r="U1724">
        <v>0</v>
      </c>
      <c r="V1724">
        <v>962.7</v>
      </c>
      <c r="W1724">
        <v>0</v>
      </c>
      <c r="X1724">
        <v>1</v>
      </c>
      <c r="Y1724">
        <v>0</v>
      </c>
      <c r="Z1724">
        <v>-15</v>
      </c>
      <c r="AA1724">
        <v>1</v>
      </c>
      <c r="AB1724" s="13" t="s">
        <v>581</v>
      </c>
      <c r="AC1724">
        <v>0</v>
      </c>
      <c r="AD1724">
        <v>0</v>
      </c>
      <c r="AE1724" s="13" t="s">
        <v>61</v>
      </c>
    </row>
    <row r="1725" spans="1:31" x14ac:dyDescent="0.35">
      <c r="A1725" s="13" t="s">
        <v>2531</v>
      </c>
      <c r="B1725" s="13" t="s">
        <v>137</v>
      </c>
      <c r="C1725" s="13" t="s">
        <v>138</v>
      </c>
      <c r="D1725" s="13" t="s">
        <v>52</v>
      </c>
      <c r="E1725" s="13" t="s">
        <v>53</v>
      </c>
      <c r="F1725" s="13" t="s">
        <v>135</v>
      </c>
      <c r="G1725" s="13" t="s">
        <v>92</v>
      </c>
      <c r="H1725">
        <v>355000</v>
      </c>
      <c r="I1725" s="13" t="s">
        <v>56</v>
      </c>
      <c r="J1725" s="13" t="s">
        <v>57</v>
      </c>
      <c r="K1725" s="13" t="s">
        <v>58</v>
      </c>
      <c r="L1725" s="13" t="s">
        <v>88</v>
      </c>
      <c r="M1725">
        <v>60</v>
      </c>
      <c r="N1725">
        <v>0</v>
      </c>
      <c r="O1725" s="14">
        <v>46007</v>
      </c>
      <c r="P1725" s="14">
        <v>46067</v>
      </c>
      <c r="Q1725">
        <v>1775.06</v>
      </c>
      <c r="R1725">
        <v>0</v>
      </c>
      <c r="S1725">
        <v>0</v>
      </c>
      <c r="T1725">
        <v>0</v>
      </c>
      <c r="U1725">
        <v>0</v>
      </c>
      <c r="V1725">
        <v>1775.06</v>
      </c>
      <c r="W1725">
        <v>0</v>
      </c>
      <c r="X1725">
        <v>1</v>
      </c>
      <c r="Y1725">
        <v>0</v>
      </c>
      <c r="Z1725">
        <v>-45</v>
      </c>
      <c r="AA1725">
        <v>1</v>
      </c>
      <c r="AB1725" s="13" t="s">
        <v>581</v>
      </c>
      <c r="AC1725">
        <v>0</v>
      </c>
      <c r="AD1725">
        <v>0</v>
      </c>
      <c r="AE1725" s="13" t="s">
        <v>61</v>
      </c>
    </row>
    <row r="1726" spans="1:31" x14ac:dyDescent="0.35">
      <c r="A1726" s="13" t="s">
        <v>2532</v>
      </c>
      <c r="B1726" s="13" t="s">
        <v>253</v>
      </c>
      <c r="C1726" s="13" t="s">
        <v>254</v>
      </c>
      <c r="D1726" s="13" t="s">
        <v>52</v>
      </c>
      <c r="E1726" s="13" t="s">
        <v>65</v>
      </c>
      <c r="F1726" s="13" t="s">
        <v>111</v>
      </c>
      <c r="G1726" s="13" t="s">
        <v>55</v>
      </c>
      <c r="H1726">
        <v>415000</v>
      </c>
      <c r="I1726" s="13" t="s">
        <v>56</v>
      </c>
      <c r="J1726" s="13" t="s">
        <v>57</v>
      </c>
      <c r="K1726" s="13" t="s">
        <v>58</v>
      </c>
      <c r="L1726" s="13" t="s">
        <v>59</v>
      </c>
      <c r="M1726">
        <v>45</v>
      </c>
      <c r="N1726">
        <v>0</v>
      </c>
      <c r="O1726" s="14">
        <v>46007</v>
      </c>
      <c r="P1726" s="14">
        <v>46052</v>
      </c>
      <c r="Q1726">
        <v>4353.6400000000003</v>
      </c>
      <c r="R1726">
        <v>0</v>
      </c>
      <c r="S1726">
        <v>0</v>
      </c>
      <c r="T1726">
        <v>0</v>
      </c>
      <c r="U1726">
        <v>0</v>
      </c>
      <c r="V1726">
        <v>4353.6400000000003</v>
      </c>
      <c r="W1726">
        <v>0</v>
      </c>
      <c r="X1726">
        <v>1</v>
      </c>
      <c r="Y1726">
        <v>0</v>
      </c>
      <c r="Z1726">
        <v>-30</v>
      </c>
      <c r="AA1726">
        <v>1</v>
      </c>
      <c r="AB1726" s="13" t="s">
        <v>581</v>
      </c>
      <c r="AC1726">
        <v>0</v>
      </c>
      <c r="AD1726">
        <v>0</v>
      </c>
      <c r="AE1726" s="13" t="s">
        <v>61</v>
      </c>
    </row>
    <row r="1727" spans="1:31" x14ac:dyDescent="0.35">
      <c r="A1727" s="13" t="s">
        <v>2533</v>
      </c>
      <c r="B1727" s="13" t="s">
        <v>156</v>
      </c>
      <c r="C1727" s="13" t="s">
        <v>157</v>
      </c>
      <c r="D1727" s="13" t="s">
        <v>52</v>
      </c>
      <c r="E1727" s="13" t="s">
        <v>53</v>
      </c>
      <c r="F1727" s="13" t="s">
        <v>54</v>
      </c>
      <c r="G1727" s="13" t="s">
        <v>92</v>
      </c>
      <c r="H1727">
        <v>600000</v>
      </c>
      <c r="I1727" s="13" t="s">
        <v>56</v>
      </c>
      <c r="J1727" s="13" t="s">
        <v>57</v>
      </c>
      <c r="K1727" s="13" t="s">
        <v>58</v>
      </c>
      <c r="L1727" s="13" t="s">
        <v>88</v>
      </c>
      <c r="M1727">
        <v>60</v>
      </c>
      <c r="N1727">
        <v>0</v>
      </c>
      <c r="O1727" s="14">
        <v>46007</v>
      </c>
      <c r="P1727" s="14">
        <v>46067</v>
      </c>
      <c r="Q1727">
        <v>9968.99</v>
      </c>
      <c r="R1727">
        <v>0</v>
      </c>
      <c r="S1727">
        <v>0</v>
      </c>
      <c r="T1727">
        <v>0</v>
      </c>
      <c r="U1727">
        <v>0</v>
      </c>
      <c r="V1727">
        <v>9968.99</v>
      </c>
      <c r="W1727">
        <v>0</v>
      </c>
      <c r="X1727">
        <v>1</v>
      </c>
      <c r="Y1727">
        <v>0</v>
      </c>
      <c r="Z1727">
        <v>-45</v>
      </c>
      <c r="AA1727">
        <v>1</v>
      </c>
      <c r="AB1727" s="13" t="s">
        <v>581</v>
      </c>
      <c r="AC1727">
        <v>0</v>
      </c>
      <c r="AD1727">
        <v>0</v>
      </c>
      <c r="AE1727" s="13" t="s">
        <v>61</v>
      </c>
    </row>
    <row r="1728" spans="1:31" x14ac:dyDescent="0.35">
      <c r="A1728" s="13" t="s">
        <v>2534</v>
      </c>
      <c r="B1728" s="13" t="s">
        <v>2123</v>
      </c>
      <c r="C1728" s="13" t="s">
        <v>2124</v>
      </c>
      <c r="D1728" s="13" t="s">
        <v>76</v>
      </c>
      <c r="E1728" s="13" t="s">
        <v>71</v>
      </c>
      <c r="F1728" s="13" t="s">
        <v>72</v>
      </c>
      <c r="G1728" s="13" t="s">
        <v>67</v>
      </c>
      <c r="H1728">
        <v>45000</v>
      </c>
      <c r="I1728" s="13" t="s">
        <v>93</v>
      </c>
      <c r="J1728" s="13" t="s">
        <v>94</v>
      </c>
      <c r="K1728" s="13" t="s">
        <v>81</v>
      </c>
      <c r="L1728" s="13" t="s">
        <v>95</v>
      </c>
      <c r="M1728">
        <v>30</v>
      </c>
      <c r="N1728">
        <v>0</v>
      </c>
      <c r="O1728" s="14">
        <v>46007</v>
      </c>
      <c r="P1728" s="14">
        <v>46037</v>
      </c>
      <c r="Q1728">
        <v>1824.74</v>
      </c>
      <c r="R1728">
        <v>0</v>
      </c>
      <c r="S1728">
        <v>0</v>
      </c>
      <c r="T1728">
        <v>0</v>
      </c>
      <c r="U1728">
        <v>0</v>
      </c>
      <c r="V1728">
        <v>1824.74</v>
      </c>
      <c r="W1728">
        <v>0</v>
      </c>
      <c r="X1728">
        <v>1</v>
      </c>
      <c r="Y1728">
        <v>0</v>
      </c>
      <c r="Z1728">
        <v>-15</v>
      </c>
      <c r="AA1728">
        <v>1</v>
      </c>
      <c r="AB1728" s="13" t="s">
        <v>581</v>
      </c>
      <c r="AC1728">
        <v>0</v>
      </c>
      <c r="AD1728">
        <v>0</v>
      </c>
      <c r="AE1728" s="13" t="s">
        <v>61</v>
      </c>
    </row>
    <row r="1729" spans="1:31" x14ac:dyDescent="0.35">
      <c r="A1729" s="13" t="s">
        <v>2535</v>
      </c>
      <c r="B1729" s="13" t="s">
        <v>1115</v>
      </c>
      <c r="C1729" s="13" t="s">
        <v>1116</v>
      </c>
      <c r="D1729" s="13" t="s">
        <v>52</v>
      </c>
      <c r="E1729" s="13" t="s">
        <v>65</v>
      </c>
      <c r="F1729" s="13" t="s">
        <v>66</v>
      </c>
      <c r="G1729" s="13" t="s">
        <v>92</v>
      </c>
      <c r="H1729">
        <v>300000</v>
      </c>
      <c r="I1729" s="13" t="s">
        <v>56</v>
      </c>
      <c r="J1729" s="13" t="s">
        <v>57</v>
      </c>
      <c r="K1729" s="13" t="s">
        <v>58</v>
      </c>
      <c r="L1729" s="13" t="s">
        <v>59</v>
      </c>
      <c r="M1729">
        <v>45</v>
      </c>
      <c r="N1729">
        <v>0</v>
      </c>
      <c r="O1729" s="14">
        <v>46007</v>
      </c>
      <c r="P1729" s="14">
        <v>46052</v>
      </c>
      <c r="Q1729">
        <v>15847.32</v>
      </c>
      <c r="R1729">
        <v>0</v>
      </c>
      <c r="S1729">
        <v>0</v>
      </c>
      <c r="T1729">
        <v>0</v>
      </c>
      <c r="U1729">
        <v>0</v>
      </c>
      <c r="V1729">
        <v>15847.32</v>
      </c>
      <c r="W1729">
        <v>0</v>
      </c>
      <c r="X1729">
        <v>1</v>
      </c>
      <c r="Y1729">
        <v>0</v>
      </c>
      <c r="Z1729">
        <v>-30</v>
      </c>
      <c r="AA1729">
        <v>1</v>
      </c>
      <c r="AB1729" s="13" t="s">
        <v>581</v>
      </c>
      <c r="AC1729">
        <v>0</v>
      </c>
      <c r="AD1729">
        <v>0</v>
      </c>
      <c r="AE1729" s="13" t="s">
        <v>61</v>
      </c>
    </row>
    <row r="1730" spans="1:31" x14ac:dyDescent="0.35">
      <c r="A1730" s="13" t="s">
        <v>2536</v>
      </c>
      <c r="B1730" s="13" t="s">
        <v>2312</v>
      </c>
      <c r="C1730" s="13" t="s">
        <v>2313</v>
      </c>
      <c r="D1730" s="13" t="s">
        <v>76</v>
      </c>
      <c r="E1730" s="13" t="s">
        <v>71</v>
      </c>
      <c r="F1730" s="13" t="s">
        <v>72</v>
      </c>
      <c r="G1730" s="13" t="s">
        <v>67</v>
      </c>
      <c r="H1730">
        <v>90000</v>
      </c>
      <c r="I1730" s="13" t="s">
        <v>79</v>
      </c>
      <c r="J1730" s="13" t="s">
        <v>80</v>
      </c>
      <c r="K1730" s="13" t="s">
        <v>81</v>
      </c>
      <c r="L1730" s="13" t="s">
        <v>95</v>
      </c>
      <c r="M1730">
        <v>30</v>
      </c>
      <c r="N1730">
        <v>0</v>
      </c>
      <c r="O1730" s="14">
        <v>46007</v>
      </c>
      <c r="P1730" s="14">
        <v>46037</v>
      </c>
      <c r="Q1730">
        <v>475.15</v>
      </c>
      <c r="R1730">
        <v>0</v>
      </c>
      <c r="S1730">
        <v>0</v>
      </c>
      <c r="T1730">
        <v>0</v>
      </c>
      <c r="U1730">
        <v>0</v>
      </c>
      <c r="V1730">
        <v>475.15</v>
      </c>
      <c r="W1730">
        <v>0</v>
      </c>
      <c r="X1730">
        <v>1</v>
      </c>
      <c r="Y1730">
        <v>0</v>
      </c>
      <c r="Z1730">
        <v>-15</v>
      </c>
      <c r="AA1730">
        <v>1</v>
      </c>
      <c r="AB1730" s="13" t="s">
        <v>581</v>
      </c>
      <c r="AC1730">
        <v>0</v>
      </c>
      <c r="AD1730">
        <v>0</v>
      </c>
      <c r="AE1730" s="13" t="s">
        <v>61</v>
      </c>
    </row>
    <row r="1731" spans="1:31" x14ac:dyDescent="0.35">
      <c r="A1731" s="13" t="s">
        <v>2537</v>
      </c>
      <c r="B1731" s="13" t="s">
        <v>2316</v>
      </c>
      <c r="C1731" s="13" t="s">
        <v>2317</v>
      </c>
      <c r="D1731" s="13" t="s">
        <v>76</v>
      </c>
      <c r="E1731" s="13" t="s">
        <v>71</v>
      </c>
      <c r="F1731" s="13" t="s">
        <v>214</v>
      </c>
      <c r="G1731" s="13" t="s">
        <v>67</v>
      </c>
      <c r="H1731">
        <v>85000</v>
      </c>
      <c r="I1731" s="13" t="s">
        <v>93</v>
      </c>
      <c r="J1731" s="13" t="s">
        <v>94</v>
      </c>
      <c r="K1731" s="13" t="s">
        <v>81</v>
      </c>
      <c r="L1731" s="13" t="s">
        <v>95</v>
      </c>
      <c r="M1731">
        <v>30</v>
      </c>
      <c r="N1731">
        <v>0</v>
      </c>
      <c r="O1731" s="14">
        <v>46007</v>
      </c>
      <c r="P1731" s="14">
        <v>46037</v>
      </c>
      <c r="Q1731">
        <v>4259.1000000000004</v>
      </c>
      <c r="R1731">
        <v>0</v>
      </c>
      <c r="S1731">
        <v>0</v>
      </c>
      <c r="T1731">
        <v>0</v>
      </c>
      <c r="U1731">
        <v>0</v>
      </c>
      <c r="V1731">
        <v>4259.1000000000004</v>
      </c>
      <c r="W1731">
        <v>0</v>
      </c>
      <c r="X1731">
        <v>1</v>
      </c>
      <c r="Y1731">
        <v>0</v>
      </c>
      <c r="Z1731">
        <v>-15</v>
      </c>
      <c r="AA1731">
        <v>1</v>
      </c>
      <c r="AB1731" s="13" t="s">
        <v>581</v>
      </c>
      <c r="AC1731">
        <v>0</v>
      </c>
      <c r="AD1731">
        <v>0</v>
      </c>
      <c r="AE1731" s="13" t="s">
        <v>61</v>
      </c>
    </row>
    <row r="1732" spans="1:31" x14ac:dyDescent="0.35">
      <c r="A1732" s="13" t="s">
        <v>2538</v>
      </c>
      <c r="B1732" s="13" t="s">
        <v>914</v>
      </c>
      <c r="C1732" s="13" t="s">
        <v>915</v>
      </c>
      <c r="D1732" s="13" t="s">
        <v>76</v>
      </c>
      <c r="E1732" s="13" t="s">
        <v>99</v>
      </c>
      <c r="F1732" s="13" t="s">
        <v>100</v>
      </c>
      <c r="G1732" s="13" t="s">
        <v>55</v>
      </c>
      <c r="H1732">
        <v>95000</v>
      </c>
      <c r="I1732" s="13" t="s">
        <v>93</v>
      </c>
      <c r="J1732" s="13" t="s">
        <v>94</v>
      </c>
      <c r="K1732" s="13" t="s">
        <v>81</v>
      </c>
      <c r="L1732" s="13" t="s">
        <v>95</v>
      </c>
      <c r="M1732">
        <v>30</v>
      </c>
      <c r="N1732">
        <v>0</v>
      </c>
      <c r="O1732" s="14">
        <v>46007</v>
      </c>
      <c r="P1732" s="14">
        <v>46037</v>
      </c>
      <c r="Q1732">
        <v>2793.16</v>
      </c>
      <c r="R1732">
        <v>0</v>
      </c>
      <c r="S1732">
        <v>0</v>
      </c>
      <c r="T1732">
        <v>0</v>
      </c>
      <c r="U1732">
        <v>0</v>
      </c>
      <c r="V1732">
        <v>2793.16</v>
      </c>
      <c r="W1732">
        <v>0</v>
      </c>
      <c r="X1732">
        <v>1</v>
      </c>
      <c r="Y1732">
        <v>0</v>
      </c>
      <c r="Z1732">
        <v>-15</v>
      </c>
      <c r="AA1732">
        <v>1</v>
      </c>
      <c r="AB1732" s="13" t="s">
        <v>581</v>
      </c>
      <c r="AC1732">
        <v>0</v>
      </c>
      <c r="AD1732">
        <v>1</v>
      </c>
      <c r="AE1732" s="13" t="s">
        <v>377</v>
      </c>
    </row>
    <row r="1733" spans="1:31" x14ac:dyDescent="0.35">
      <c r="A1733" s="13" t="s">
        <v>2539</v>
      </c>
      <c r="B1733" s="13" t="s">
        <v>2250</v>
      </c>
      <c r="C1733" s="13" t="s">
        <v>2251</v>
      </c>
      <c r="D1733" s="13" t="s">
        <v>104</v>
      </c>
      <c r="E1733" s="13" t="s">
        <v>71</v>
      </c>
      <c r="F1733" s="13" t="s">
        <v>214</v>
      </c>
      <c r="G1733" s="13" t="s">
        <v>55</v>
      </c>
      <c r="H1733">
        <v>75000</v>
      </c>
      <c r="I1733" s="13" t="s">
        <v>105</v>
      </c>
      <c r="J1733" s="13" t="s">
        <v>106</v>
      </c>
      <c r="K1733" s="13" t="s">
        <v>107</v>
      </c>
      <c r="L1733" s="13" t="s">
        <v>82</v>
      </c>
      <c r="M1733">
        <v>30</v>
      </c>
      <c r="N1733">
        <v>2</v>
      </c>
      <c r="O1733" s="14">
        <v>46007</v>
      </c>
      <c r="P1733" s="14">
        <v>46037</v>
      </c>
      <c r="Q1733">
        <v>8599.1</v>
      </c>
      <c r="R1733">
        <v>0</v>
      </c>
      <c r="S1733">
        <v>0</v>
      </c>
      <c r="T1733">
        <v>0</v>
      </c>
      <c r="U1733">
        <v>0</v>
      </c>
      <c r="V1733">
        <v>8599.1</v>
      </c>
      <c r="W1733">
        <v>0</v>
      </c>
      <c r="X1733">
        <v>1</v>
      </c>
      <c r="Y1733">
        <v>0</v>
      </c>
      <c r="Z1733">
        <v>-15</v>
      </c>
      <c r="AA1733">
        <v>1</v>
      </c>
      <c r="AB1733" s="13" t="s">
        <v>581</v>
      </c>
      <c r="AC1733">
        <v>0</v>
      </c>
      <c r="AD1733">
        <v>0</v>
      </c>
      <c r="AE1733" s="13" t="s">
        <v>61</v>
      </c>
    </row>
    <row r="1734" spans="1:31" x14ac:dyDescent="0.35">
      <c r="A1734" s="13" t="s">
        <v>2540</v>
      </c>
      <c r="B1734" s="13" t="s">
        <v>917</v>
      </c>
      <c r="C1734" s="13" t="s">
        <v>918</v>
      </c>
      <c r="D1734" s="13" t="s">
        <v>126</v>
      </c>
      <c r="E1734" s="13" t="s">
        <v>53</v>
      </c>
      <c r="F1734" s="13" t="s">
        <v>54</v>
      </c>
      <c r="G1734" s="13" t="s">
        <v>67</v>
      </c>
      <c r="H1734">
        <v>65000</v>
      </c>
      <c r="I1734" s="13" t="s">
        <v>105</v>
      </c>
      <c r="J1734" s="13" t="s">
        <v>106</v>
      </c>
      <c r="K1734" s="13" t="s">
        <v>107</v>
      </c>
      <c r="L1734" s="13" t="s">
        <v>368</v>
      </c>
      <c r="M1734">
        <v>90</v>
      </c>
      <c r="N1734">
        <v>0</v>
      </c>
      <c r="O1734" s="14">
        <v>46007</v>
      </c>
      <c r="P1734" s="14">
        <v>46097</v>
      </c>
      <c r="Q1734">
        <v>4257.8500000000004</v>
      </c>
      <c r="R1734">
        <v>0</v>
      </c>
      <c r="S1734">
        <v>0</v>
      </c>
      <c r="T1734">
        <v>0</v>
      </c>
      <c r="U1734">
        <v>0</v>
      </c>
      <c r="V1734">
        <v>4257.8500000000004</v>
      </c>
      <c r="W1734">
        <v>0</v>
      </c>
      <c r="X1734">
        <v>1</v>
      </c>
      <c r="Y1734">
        <v>0</v>
      </c>
      <c r="Z1734">
        <v>-75</v>
      </c>
      <c r="AA1734">
        <v>1</v>
      </c>
      <c r="AB1734" s="13" t="s">
        <v>581</v>
      </c>
      <c r="AC1734">
        <v>0</v>
      </c>
      <c r="AD1734">
        <v>0</v>
      </c>
      <c r="AE1734" s="13" t="s">
        <v>61</v>
      </c>
    </row>
    <row r="1735" spans="1:31" x14ac:dyDescent="0.35">
      <c r="A1735" s="13" t="s">
        <v>2541</v>
      </c>
      <c r="B1735" s="13" t="s">
        <v>1467</v>
      </c>
      <c r="C1735" s="13" t="s">
        <v>1468</v>
      </c>
      <c r="D1735" s="13" t="s">
        <v>104</v>
      </c>
      <c r="E1735" s="13" t="s">
        <v>99</v>
      </c>
      <c r="F1735" s="13" t="s">
        <v>127</v>
      </c>
      <c r="G1735" s="13" t="s">
        <v>55</v>
      </c>
      <c r="H1735">
        <v>135000</v>
      </c>
      <c r="I1735" s="13" t="s">
        <v>121</v>
      </c>
      <c r="J1735" s="13" t="s">
        <v>122</v>
      </c>
      <c r="K1735" s="13" t="s">
        <v>107</v>
      </c>
      <c r="L1735" s="13" t="s">
        <v>95</v>
      </c>
      <c r="M1735">
        <v>30</v>
      </c>
      <c r="N1735">
        <v>0</v>
      </c>
      <c r="O1735" s="14">
        <v>46007</v>
      </c>
      <c r="P1735" s="14">
        <v>46037</v>
      </c>
      <c r="Q1735">
        <v>8703.7099999999991</v>
      </c>
      <c r="R1735">
        <v>0</v>
      </c>
      <c r="S1735">
        <v>0</v>
      </c>
      <c r="T1735">
        <v>0</v>
      </c>
      <c r="U1735">
        <v>0</v>
      </c>
      <c r="V1735">
        <v>8703.7099999999991</v>
      </c>
      <c r="W1735">
        <v>0</v>
      </c>
      <c r="X1735">
        <v>1</v>
      </c>
      <c r="Y1735">
        <v>0</v>
      </c>
      <c r="Z1735">
        <v>-15</v>
      </c>
      <c r="AA1735">
        <v>1</v>
      </c>
      <c r="AB1735" s="13" t="s">
        <v>581</v>
      </c>
      <c r="AC1735">
        <v>0</v>
      </c>
      <c r="AD1735">
        <v>0</v>
      </c>
      <c r="AE1735" s="13" t="s">
        <v>61</v>
      </c>
    </row>
    <row r="1736" spans="1:31" x14ac:dyDescent="0.35">
      <c r="A1736" s="13" t="s">
        <v>2542</v>
      </c>
      <c r="B1736" s="13" t="s">
        <v>997</v>
      </c>
      <c r="C1736" s="13" t="s">
        <v>998</v>
      </c>
      <c r="D1736" s="13" t="s">
        <v>52</v>
      </c>
      <c r="E1736" s="13" t="s">
        <v>71</v>
      </c>
      <c r="F1736" s="13" t="s">
        <v>72</v>
      </c>
      <c r="G1736" s="13" t="s">
        <v>55</v>
      </c>
      <c r="H1736">
        <v>405000</v>
      </c>
      <c r="I1736" s="13" t="s">
        <v>86</v>
      </c>
      <c r="J1736" s="13" t="s">
        <v>87</v>
      </c>
      <c r="K1736" s="13" t="s">
        <v>58</v>
      </c>
      <c r="L1736" s="13" t="s">
        <v>59</v>
      </c>
      <c r="M1736">
        <v>45</v>
      </c>
      <c r="N1736">
        <v>0</v>
      </c>
      <c r="O1736" s="14">
        <v>46007</v>
      </c>
      <c r="P1736" s="14">
        <v>46052</v>
      </c>
      <c r="Q1736">
        <v>15991.41</v>
      </c>
      <c r="R1736">
        <v>0</v>
      </c>
      <c r="S1736">
        <v>0</v>
      </c>
      <c r="T1736">
        <v>0</v>
      </c>
      <c r="U1736">
        <v>0</v>
      </c>
      <c r="V1736">
        <v>15991.41</v>
      </c>
      <c r="W1736">
        <v>0</v>
      </c>
      <c r="X1736">
        <v>1</v>
      </c>
      <c r="Y1736">
        <v>0</v>
      </c>
      <c r="Z1736">
        <v>-30</v>
      </c>
      <c r="AA1736">
        <v>1</v>
      </c>
      <c r="AB1736" s="13" t="s">
        <v>581</v>
      </c>
      <c r="AC1736">
        <v>0</v>
      </c>
      <c r="AD1736">
        <v>0</v>
      </c>
      <c r="AE1736" s="13" t="s">
        <v>61</v>
      </c>
    </row>
    <row r="1737" spans="1:31" x14ac:dyDescent="0.35">
      <c r="A1737" s="13" t="s">
        <v>2543</v>
      </c>
      <c r="B1737" s="13" t="s">
        <v>225</v>
      </c>
      <c r="C1737" s="13" t="s">
        <v>226</v>
      </c>
      <c r="D1737" s="13" t="s">
        <v>52</v>
      </c>
      <c r="E1737" s="13" t="s">
        <v>77</v>
      </c>
      <c r="F1737" s="13" t="s">
        <v>174</v>
      </c>
      <c r="G1737" s="13" t="s">
        <v>55</v>
      </c>
      <c r="H1737">
        <v>570000</v>
      </c>
      <c r="I1737" s="13" t="s">
        <v>56</v>
      </c>
      <c r="J1737" s="13" t="s">
        <v>57</v>
      </c>
      <c r="K1737" s="13" t="s">
        <v>58</v>
      </c>
      <c r="L1737" s="13" t="s">
        <v>59</v>
      </c>
      <c r="M1737">
        <v>45</v>
      </c>
      <c r="N1737">
        <v>0</v>
      </c>
      <c r="O1737" s="14">
        <v>46007</v>
      </c>
      <c r="P1737" s="14">
        <v>46052</v>
      </c>
      <c r="Q1737">
        <v>3691.13</v>
      </c>
      <c r="R1737">
        <v>0</v>
      </c>
      <c r="S1737">
        <v>0</v>
      </c>
      <c r="T1737">
        <v>0</v>
      </c>
      <c r="U1737">
        <v>0</v>
      </c>
      <c r="V1737">
        <v>3691.13</v>
      </c>
      <c r="W1737">
        <v>0</v>
      </c>
      <c r="X1737">
        <v>1</v>
      </c>
      <c r="Y1737">
        <v>0</v>
      </c>
      <c r="Z1737">
        <v>-30</v>
      </c>
      <c r="AA1737">
        <v>1</v>
      </c>
      <c r="AB1737" s="13" t="s">
        <v>581</v>
      </c>
      <c r="AC1737">
        <v>0</v>
      </c>
      <c r="AD1737">
        <v>0</v>
      </c>
      <c r="AE1737" s="13" t="s">
        <v>61</v>
      </c>
    </row>
    <row r="1738" spans="1:31" x14ac:dyDescent="0.35">
      <c r="A1738" s="13" t="s">
        <v>2544</v>
      </c>
      <c r="B1738" s="13" t="s">
        <v>1001</v>
      </c>
      <c r="C1738" s="13" t="s">
        <v>1002</v>
      </c>
      <c r="D1738" s="13" t="s">
        <v>76</v>
      </c>
      <c r="E1738" s="13" t="s">
        <v>99</v>
      </c>
      <c r="F1738" s="13" t="s">
        <v>127</v>
      </c>
      <c r="G1738" s="13" t="s">
        <v>55</v>
      </c>
      <c r="H1738">
        <v>90000</v>
      </c>
      <c r="I1738" s="13" t="s">
        <v>93</v>
      </c>
      <c r="J1738" s="13" t="s">
        <v>94</v>
      </c>
      <c r="K1738" s="13" t="s">
        <v>81</v>
      </c>
      <c r="L1738" s="13" t="s">
        <v>95</v>
      </c>
      <c r="M1738">
        <v>30</v>
      </c>
      <c r="N1738">
        <v>0</v>
      </c>
      <c r="O1738" s="14">
        <v>46007</v>
      </c>
      <c r="P1738" s="14">
        <v>46037</v>
      </c>
      <c r="Q1738">
        <v>486.58</v>
      </c>
      <c r="R1738">
        <v>0</v>
      </c>
      <c r="S1738">
        <v>0</v>
      </c>
      <c r="T1738">
        <v>0</v>
      </c>
      <c r="U1738">
        <v>0</v>
      </c>
      <c r="V1738">
        <v>486.58</v>
      </c>
      <c r="W1738">
        <v>0</v>
      </c>
      <c r="X1738">
        <v>1</v>
      </c>
      <c r="Y1738">
        <v>0</v>
      </c>
      <c r="Z1738">
        <v>-15</v>
      </c>
      <c r="AA1738">
        <v>1</v>
      </c>
      <c r="AB1738" s="13" t="s">
        <v>581</v>
      </c>
      <c r="AC1738">
        <v>0</v>
      </c>
      <c r="AD1738">
        <v>0</v>
      </c>
      <c r="AE1738" s="13" t="s">
        <v>61</v>
      </c>
    </row>
    <row r="1739" spans="1:31" x14ac:dyDescent="0.35">
      <c r="A1739" s="13" t="s">
        <v>2545</v>
      </c>
      <c r="B1739" s="13" t="s">
        <v>2138</v>
      </c>
      <c r="C1739" s="13" t="s">
        <v>2139</v>
      </c>
      <c r="D1739" s="13" t="s">
        <v>76</v>
      </c>
      <c r="E1739" s="13" t="s">
        <v>53</v>
      </c>
      <c r="F1739" s="13" t="s">
        <v>135</v>
      </c>
      <c r="G1739" s="13" t="s">
        <v>55</v>
      </c>
      <c r="H1739">
        <v>105000</v>
      </c>
      <c r="I1739" s="13" t="s">
        <v>79</v>
      </c>
      <c r="J1739" s="13" t="s">
        <v>80</v>
      </c>
      <c r="K1739" s="13" t="s">
        <v>81</v>
      </c>
      <c r="L1739" s="13" t="s">
        <v>95</v>
      </c>
      <c r="M1739">
        <v>30</v>
      </c>
      <c r="N1739">
        <v>0</v>
      </c>
      <c r="O1739" s="14">
        <v>46007</v>
      </c>
      <c r="P1739" s="14">
        <v>46037</v>
      </c>
      <c r="Q1739">
        <v>2311.85</v>
      </c>
      <c r="R1739">
        <v>0</v>
      </c>
      <c r="S1739">
        <v>0</v>
      </c>
      <c r="T1739">
        <v>0</v>
      </c>
      <c r="U1739">
        <v>0</v>
      </c>
      <c r="V1739">
        <v>2311.85</v>
      </c>
      <c r="W1739">
        <v>0</v>
      </c>
      <c r="X1739">
        <v>1</v>
      </c>
      <c r="Y1739">
        <v>0</v>
      </c>
      <c r="Z1739">
        <v>-15</v>
      </c>
      <c r="AA1739">
        <v>1</v>
      </c>
      <c r="AB1739" s="13" t="s">
        <v>581</v>
      </c>
      <c r="AC1739">
        <v>0</v>
      </c>
      <c r="AD1739">
        <v>0</v>
      </c>
      <c r="AE1739" s="13" t="s">
        <v>61</v>
      </c>
    </row>
    <row r="1740" spans="1:31" x14ac:dyDescent="0.35">
      <c r="A1740" s="13" t="s">
        <v>2546</v>
      </c>
      <c r="B1740" s="13" t="s">
        <v>109</v>
      </c>
      <c r="C1740" s="13" t="s">
        <v>110</v>
      </c>
      <c r="D1740" s="13" t="s">
        <v>52</v>
      </c>
      <c r="E1740" s="13" t="s">
        <v>65</v>
      </c>
      <c r="F1740" s="13" t="s">
        <v>111</v>
      </c>
      <c r="G1740" s="13" t="s">
        <v>67</v>
      </c>
      <c r="H1740">
        <v>455000</v>
      </c>
      <c r="I1740" s="13" t="s">
        <v>86</v>
      </c>
      <c r="J1740" s="13" t="s">
        <v>87</v>
      </c>
      <c r="K1740" s="13" t="s">
        <v>58</v>
      </c>
      <c r="L1740" s="13" t="s">
        <v>59</v>
      </c>
      <c r="M1740">
        <v>45</v>
      </c>
      <c r="N1740">
        <v>0</v>
      </c>
      <c r="O1740" s="14">
        <v>46007</v>
      </c>
      <c r="P1740" s="14">
        <v>46052</v>
      </c>
      <c r="Q1740">
        <v>2110.5</v>
      </c>
      <c r="R1740">
        <v>0</v>
      </c>
      <c r="S1740">
        <v>0</v>
      </c>
      <c r="T1740">
        <v>0</v>
      </c>
      <c r="U1740">
        <v>0</v>
      </c>
      <c r="V1740">
        <v>2110.5</v>
      </c>
      <c r="W1740">
        <v>0</v>
      </c>
      <c r="X1740">
        <v>1</v>
      </c>
      <c r="Y1740">
        <v>0</v>
      </c>
      <c r="Z1740">
        <v>-30</v>
      </c>
      <c r="AA1740">
        <v>1</v>
      </c>
      <c r="AB1740" s="13" t="s">
        <v>581</v>
      </c>
      <c r="AC1740">
        <v>0</v>
      </c>
      <c r="AD1740">
        <v>1</v>
      </c>
      <c r="AE1740" s="13" t="s">
        <v>629</v>
      </c>
    </row>
    <row r="1741" spans="1:31" x14ac:dyDescent="0.35">
      <c r="A1741" s="13" t="s">
        <v>2547</v>
      </c>
      <c r="B1741" s="13" t="s">
        <v>1038</v>
      </c>
      <c r="C1741" s="13" t="s">
        <v>1039</v>
      </c>
      <c r="D1741" s="13" t="s">
        <v>52</v>
      </c>
      <c r="E1741" s="13" t="s">
        <v>77</v>
      </c>
      <c r="F1741" s="13" t="s">
        <v>78</v>
      </c>
      <c r="G1741" s="13" t="s">
        <v>67</v>
      </c>
      <c r="H1741">
        <v>425000</v>
      </c>
      <c r="I1741" s="13" t="s">
        <v>56</v>
      </c>
      <c r="J1741" s="13" t="s">
        <v>57</v>
      </c>
      <c r="K1741" s="13" t="s">
        <v>58</v>
      </c>
      <c r="L1741" s="13" t="s">
        <v>59</v>
      </c>
      <c r="M1741">
        <v>45</v>
      </c>
      <c r="N1741">
        <v>0</v>
      </c>
      <c r="O1741" s="14">
        <v>46007</v>
      </c>
      <c r="P1741" s="14">
        <v>46052</v>
      </c>
      <c r="Q1741">
        <v>10778.33</v>
      </c>
      <c r="R1741">
        <v>0</v>
      </c>
      <c r="S1741">
        <v>0</v>
      </c>
      <c r="T1741">
        <v>0</v>
      </c>
      <c r="U1741">
        <v>0</v>
      </c>
      <c r="V1741">
        <v>10778.33</v>
      </c>
      <c r="W1741">
        <v>0</v>
      </c>
      <c r="X1741">
        <v>1</v>
      </c>
      <c r="Y1741">
        <v>0</v>
      </c>
      <c r="Z1741">
        <v>-30</v>
      </c>
      <c r="AA1741">
        <v>1</v>
      </c>
      <c r="AB1741" s="13" t="s">
        <v>581</v>
      </c>
      <c r="AC1741">
        <v>0</v>
      </c>
      <c r="AD1741">
        <v>0</v>
      </c>
      <c r="AE1741" s="13" t="s">
        <v>61</v>
      </c>
    </row>
    <row r="1742" spans="1:31" x14ac:dyDescent="0.35">
      <c r="A1742" s="13" t="s">
        <v>2548</v>
      </c>
      <c r="B1742" s="13" t="s">
        <v>1520</v>
      </c>
      <c r="C1742" s="13" t="s">
        <v>1521</v>
      </c>
      <c r="D1742" s="13" t="s">
        <v>76</v>
      </c>
      <c r="E1742" s="13" t="s">
        <v>53</v>
      </c>
      <c r="F1742" s="13" t="s">
        <v>135</v>
      </c>
      <c r="G1742" s="13" t="s">
        <v>55</v>
      </c>
      <c r="H1742">
        <v>110000</v>
      </c>
      <c r="I1742" s="13" t="s">
        <v>79</v>
      </c>
      <c r="J1742" s="13" t="s">
        <v>80</v>
      </c>
      <c r="K1742" s="13" t="s">
        <v>81</v>
      </c>
      <c r="L1742" s="13" t="s">
        <v>95</v>
      </c>
      <c r="M1742">
        <v>30</v>
      </c>
      <c r="N1742">
        <v>0</v>
      </c>
      <c r="O1742" s="14">
        <v>46007</v>
      </c>
      <c r="P1742" s="14">
        <v>46037</v>
      </c>
      <c r="Q1742">
        <v>531.24</v>
      </c>
      <c r="R1742">
        <v>0</v>
      </c>
      <c r="S1742">
        <v>0</v>
      </c>
      <c r="T1742">
        <v>0</v>
      </c>
      <c r="U1742">
        <v>0</v>
      </c>
      <c r="V1742">
        <v>531.24</v>
      </c>
      <c r="W1742">
        <v>0</v>
      </c>
      <c r="X1742">
        <v>1</v>
      </c>
      <c r="Y1742">
        <v>0</v>
      </c>
      <c r="Z1742">
        <v>-15</v>
      </c>
      <c r="AA1742">
        <v>1</v>
      </c>
      <c r="AB1742" s="13" t="s">
        <v>581</v>
      </c>
      <c r="AC1742">
        <v>0</v>
      </c>
      <c r="AD1742">
        <v>0</v>
      </c>
      <c r="AE1742" s="13" t="s">
        <v>61</v>
      </c>
    </row>
    <row r="1743" spans="1:31" x14ac:dyDescent="0.35">
      <c r="A1743" s="13" t="s">
        <v>2549</v>
      </c>
      <c r="B1743" s="13" t="s">
        <v>241</v>
      </c>
      <c r="C1743" s="13" t="s">
        <v>242</v>
      </c>
      <c r="D1743" s="13" t="s">
        <v>76</v>
      </c>
      <c r="E1743" s="13" t="s">
        <v>65</v>
      </c>
      <c r="F1743" s="13" t="s">
        <v>111</v>
      </c>
      <c r="G1743" s="13" t="s">
        <v>67</v>
      </c>
      <c r="H1743">
        <v>100000</v>
      </c>
      <c r="I1743" s="13" t="s">
        <v>93</v>
      </c>
      <c r="J1743" s="13" t="s">
        <v>94</v>
      </c>
      <c r="K1743" s="13" t="s">
        <v>81</v>
      </c>
      <c r="L1743" s="13" t="s">
        <v>95</v>
      </c>
      <c r="M1743">
        <v>30</v>
      </c>
      <c r="N1743">
        <v>0</v>
      </c>
      <c r="O1743" s="14">
        <v>46007</v>
      </c>
      <c r="P1743" s="14">
        <v>46037</v>
      </c>
      <c r="Q1743">
        <v>1547.37</v>
      </c>
      <c r="R1743">
        <v>0</v>
      </c>
      <c r="S1743">
        <v>0</v>
      </c>
      <c r="T1743">
        <v>0</v>
      </c>
      <c r="U1743">
        <v>0</v>
      </c>
      <c r="V1743">
        <v>1547.37</v>
      </c>
      <c r="W1743">
        <v>0</v>
      </c>
      <c r="X1743">
        <v>1</v>
      </c>
      <c r="Y1743">
        <v>0</v>
      </c>
      <c r="Z1743">
        <v>-15</v>
      </c>
      <c r="AA1743">
        <v>1</v>
      </c>
      <c r="AB1743" s="13" t="s">
        <v>581</v>
      </c>
      <c r="AC1743">
        <v>0</v>
      </c>
      <c r="AD1743">
        <v>0</v>
      </c>
      <c r="AE1743" s="13" t="s">
        <v>61</v>
      </c>
    </row>
    <row r="1744" spans="1:31" x14ac:dyDescent="0.35">
      <c r="A1744" s="13" t="s">
        <v>2550</v>
      </c>
      <c r="B1744" s="13" t="s">
        <v>69</v>
      </c>
      <c r="C1744" s="13" t="s">
        <v>70</v>
      </c>
      <c r="D1744" s="13" t="s">
        <v>52</v>
      </c>
      <c r="E1744" s="13" t="s">
        <v>71</v>
      </c>
      <c r="F1744" s="13" t="s">
        <v>72</v>
      </c>
      <c r="G1744" s="13" t="s">
        <v>55</v>
      </c>
      <c r="H1744">
        <v>580000</v>
      </c>
      <c r="I1744" s="13" t="s">
        <v>56</v>
      </c>
      <c r="J1744" s="13" t="s">
        <v>57</v>
      </c>
      <c r="K1744" s="13" t="s">
        <v>58</v>
      </c>
      <c r="L1744" s="13" t="s">
        <v>59</v>
      </c>
      <c r="M1744">
        <v>45</v>
      </c>
      <c r="N1744">
        <v>0</v>
      </c>
      <c r="O1744" s="14">
        <v>46007</v>
      </c>
      <c r="P1744" s="14">
        <v>46052</v>
      </c>
      <c r="Q1744">
        <v>16482.740000000002</v>
      </c>
      <c r="R1744">
        <v>0</v>
      </c>
      <c r="S1744">
        <v>0</v>
      </c>
      <c r="T1744">
        <v>0</v>
      </c>
      <c r="U1744">
        <v>0</v>
      </c>
      <c r="V1744">
        <v>16482.740000000002</v>
      </c>
      <c r="W1744">
        <v>0</v>
      </c>
      <c r="X1744">
        <v>1</v>
      </c>
      <c r="Y1744">
        <v>0</v>
      </c>
      <c r="Z1744">
        <v>-30</v>
      </c>
      <c r="AA1744">
        <v>1</v>
      </c>
      <c r="AB1744" s="13" t="s">
        <v>581</v>
      </c>
      <c r="AC1744">
        <v>0</v>
      </c>
      <c r="AD1744">
        <v>0</v>
      </c>
      <c r="AE1744" s="13" t="s">
        <v>61</v>
      </c>
    </row>
    <row r="1745" spans="1:31" x14ac:dyDescent="0.35">
      <c r="A1745" s="13" t="s">
        <v>2551</v>
      </c>
      <c r="B1745" s="13" t="s">
        <v>692</v>
      </c>
      <c r="C1745" s="13" t="s">
        <v>693</v>
      </c>
      <c r="D1745" s="13" t="s">
        <v>52</v>
      </c>
      <c r="E1745" s="13" t="s">
        <v>53</v>
      </c>
      <c r="F1745" s="13" t="s">
        <v>135</v>
      </c>
      <c r="G1745" s="13" t="s">
        <v>55</v>
      </c>
      <c r="H1745">
        <v>360000</v>
      </c>
      <c r="I1745" s="13" t="s">
        <v>56</v>
      </c>
      <c r="J1745" s="13" t="s">
        <v>57</v>
      </c>
      <c r="K1745" s="13" t="s">
        <v>58</v>
      </c>
      <c r="L1745" s="13" t="s">
        <v>88</v>
      </c>
      <c r="M1745">
        <v>60</v>
      </c>
      <c r="N1745">
        <v>0</v>
      </c>
      <c r="O1745" s="14">
        <v>46007</v>
      </c>
      <c r="P1745" s="14">
        <v>46067</v>
      </c>
      <c r="Q1745">
        <v>7270.55</v>
      </c>
      <c r="R1745">
        <v>0</v>
      </c>
      <c r="S1745">
        <v>0</v>
      </c>
      <c r="T1745">
        <v>0</v>
      </c>
      <c r="U1745">
        <v>0</v>
      </c>
      <c r="V1745">
        <v>7270.55</v>
      </c>
      <c r="W1745">
        <v>0</v>
      </c>
      <c r="X1745">
        <v>1</v>
      </c>
      <c r="Y1745">
        <v>0</v>
      </c>
      <c r="Z1745">
        <v>-45</v>
      </c>
      <c r="AA1745">
        <v>1</v>
      </c>
      <c r="AB1745" s="13" t="s">
        <v>581</v>
      </c>
      <c r="AC1745">
        <v>0</v>
      </c>
      <c r="AD1745">
        <v>0</v>
      </c>
      <c r="AE1745" s="13" t="s">
        <v>61</v>
      </c>
    </row>
    <row r="1746" spans="1:31" x14ac:dyDescent="0.35">
      <c r="A1746" s="13" t="s">
        <v>2552</v>
      </c>
      <c r="B1746" s="13" t="s">
        <v>2155</v>
      </c>
      <c r="C1746" s="13" t="s">
        <v>2156</v>
      </c>
      <c r="D1746" s="13" t="s">
        <v>76</v>
      </c>
      <c r="E1746" s="13" t="s">
        <v>53</v>
      </c>
      <c r="F1746" s="13" t="s">
        <v>135</v>
      </c>
      <c r="G1746" s="13" t="s">
        <v>67</v>
      </c>
      <c r="H1746">
        <v>120000</v>
      </c>
      <c r="I1746" s="13" t="s">
        <v>79</v>
      </c>
      <c r="J1746" s="13" t="s">
        <v>80</v>
      </c>
      <c r="K1746" s="13" t="s">
        <v>81</v>
      </c>
      <c r="L1746" s="13" t="s">
        <v>95</v>
      </c>
      <c r="M1746">
        <v>30</v>
      </c>
      <c r="N1746">
        <v>0</v>
      </c>
      <c r="O1746" s="14">
        <v>46007</v>
      </c>
      <c r="P1746" s="14">
        <v>46037</v>
      </c>
      <c r="Q1746">
        <v>457.6</v>
      </c>
      <c r="R1746">
        <v>0</v>
      </c>
      <c r="S1746">
        <v>0</v>
      </c>
      <c r="T1746">
        <v>0</v>
      </c>
      <c r="U1746">
        <v>0</v>
      </c>
      <c r="V1746">
        <v>457.6</v>
      </c>
      <c r="W1746">
        <v>0</v>
      </c>
      <c r="X1746">
        <v>1</v>
      </c>
      <c r="Y1746">
        <v>0</v>
      </c>
      <c r="Z1746">
        <v>-15</v>
      </c>
      <c r="AA1746">
        <v>1</v>
      </c>
      <c r="AB1746" s="13" t="s">
        <v>581</v>
      </c>
      <c r="AC1746">
        <v>0</v>
      </c>
      <c r="AD1746">
        <v>0</v>
      </c>
      <c r="AE1746" s="13" t="s">
        <v>61</v>
      </c>
    </row>
    <row r="1747" spans="1:31" x14ac:dyDescent="0.35">
      <c r="A1747" s="13" t="s">
        <v>2553</v>
      </c>
      <c r="B1747" s="13" t="s">
        <v>147</v>
      </c>
      <c r="C1747" s="13" t="s">
        <v>148</v>
      </c>
      <c r="D1747" s="13" t="s">
        <v>104</v>
      </c>
      <c r="E1747" s="13" t="s">
        <v>53</v>
      </c>
      <c r="F1747" s="13" t="s">
        <v>54</v>
      </c>
      <c r="G1747" s="13" t="s">
        <v>67</v>
      </c>
      <c r="H1747">
        <v>80000</v>
      </c>
      <c r="I1747" s="13" t="s">
        <v>105</v>
      </c>
      <c r="J1747" s="13" t="s">
        <v>106</v>
      </c>
      <c r="K1747" s="13" t="s">
        <v>107</v>
      </c>
      <c r="L1747" s="13" t="s">
        <v>88</v>
      </c>
      <c r="M1747">
        <v>60</v>
      </c>
      <c r="N1747">
        <v>0</v>
      </c>
      <c r="O1747" s="14">
        <v>46007</v>
      </c>
      <c r="P1747" s="14">
        <v>46067</v>
      </c>
      <c r="Q1747">
        <v>1242</v>
      </c>
      <c r="R1747">
        <v>0</v>
      </c>
      <c r="S1747">
        <v>0</v>
      </c>
      <c r="T1747">
        <v>0</v>
      </c>
      <c r="U1747">
        <v>0</v>
      </c>
      <c r="V1747">
        <v>1242</v>
      </c>
      <c r="W1747">
        <v>0</v>
      </c>
      <c r="X1747">
        <v>1</v>
      </c>
      <c r="Y1747">
        <v>0</v>
      </c>
      <c r="Z1747">
        <v>-45</v>
      </c>
      <c r="AA1747">
        <v>1</v>
      </c>
      <c r="AB1747" s="13" t="s">
        <v>581</v>
      </c>
      <c r="AC1747">
        <v>0</v>
      </c>
      <c r="AD1747">
        <v>0</v>
      </c>
      <c r="AE1747" s="13" t="s">
        <v>61</v>
      </c>
    </row>
    <row r="1748" spans="1:31" x14ac:dyDescent="0.35">
      <c r="A1748" s="13" t="s">
        <v>2554</v>
      </c>
      <c r="B1748" s="13" t="s">
        <v>1262</v>
      </c>
      <c r="C1748" s="13" t="s">
        <v>1263</v>
      </c>
      <c r="D1748" s="13" t="s">
        <v>104</v>
      </c>
      <c r="E1748" s="13" t="s">
        <v>53</v>
      </c>
      <c r="F1748" s="13" t="s">
        <v>54</v>
      </c>
      <c r="G1748" s="13" t="s">
        <v>67</v>
      </c>
      <c r="H1748">
        <v>60000</v>
      </c>
      <c r="I1748" s="13" t="s">
        <v>105</v>
      </c>
      <c r="J1748" s="13" t="s">
        <v>106</v>
      </c>
      <c r="K1748" s="13" t="s">
        <v>107</v>
      </c>
      <c r="L1748" s="13" t="s">
        <v>88</v>
      </c>
      <c r="M1748">
        <v>60</v>
      </c>
      <c r="N1748">
        <v>0</v>
      </c>
      <c r="O1748" s="14">
        <v>46007</v>
      </c>
      <c r="P1748" s="14">
        <v>46067</v>
      </c>
      <c r="Q1748">
        <v>4335.7700000000004</v>
      </c>
      <c r="R1748">
        <v>0</v>
      </c>
      <c r="S1748">
        <v>0</v>
      </c>
      <c r="T1748">
        <v>0</v>
      </c>
      <c r="U1748">
        <v>0</v>
      </c>
      <c r="V1748">
        <v>4335.7700000000004</v>
      </c>
      <c r="W1748">
        <v>0</v>
      </c>
      <c r="X1748">
        <v>1</v>
      </c>
      <c r="Y1748">
        <v>0</v>
      </c>
      <c r="Z1748">
        <v>-45</v>
      </c>
      <c r="AA1748">
        <v>1</v>
      </c>
      <c r="AB1748" s="13" t="s">
        <v>581</v>
      </c>
      <c r="AC1748">
        <v>0</v>
      </c>
      <c r="AD1748">
        <v>0</v>
      </c>
      <c r="AE1748" s="13" t="s">
        <v>61</v>
      </c>
    </row>
    <row r="1749" spans="1:31" x14ac:dyDescent="0.35">
      <c r="A1749" s="13" t="s">
        <v>2555</v>
      </c>
      <c r="B1749" s="13" t="s">
        <v>866</v>
      </c>
      <c r="C1749" s="13" t="s">
        <v>867</v>
      </c>
      <c r="D1749" s="13" t="s">
        <v>104</v>
      </c>
      <c r="E1749" s="13" t="s">
        <v>71</v>
      </c>
      <c r="F1749" s="13" t="s">
        <v>214</v>
      </c>
      <c r="G1749" s="13" t="s">
        <v>55</v>
      </c>
      <c r="H1749">
        <v>50000</v>
      </c>
      <c r="I1749" s="13" t="s">
        <v>105</v>
      </c>
      <c r="J1749" s="13" t="s">
        <v>106</v>
      </c>
      <c r="K1749" s="13" t="s">
        <v>107</v>
      </c>
      <c r="L1749" s="13" t="s">
        <v>88</v>
      </c>
      <c r="M1749">
        <v>60</v>
      </c>
      <c r="N1749">
        <v>0</v>
      </c>
      <c r="O1749" s="14">
        <v>46007</v>
      </c>
      <c r="P1749" s="14">
        <v>46067</v>
      </c>
      <c r="Q1749">
        <v>6203.58</v>
      </c>
      <c r="R1749">
        <v>0</v>
      </c>
      <c r="S1749">
        <v>0</v>
      </c>
      <c r="T1749">
        <v>0</v>
      </c>
      <c r="U1749">
        <v>0</v>
      </c>
      <c r="V1749">
        <v>6203.58</v>
      </c>
      <c r="W1749">
        <v>0</v>
      </c>
      <c r="X1749">
        <v>1</v>
      </c>
      <c r="Y1749">
        <v>0</v>
      </c>
      <c r="Z1749">
        <v>-45</v>
      </c>
      <c r="AA1749">
        <v>1</v>
      </c>
      <c r="AB1749" s="13" t="s">
        <v>581</v>
      </c>
      <c r="AC1749">
        <v>0</v>
      </c>
      <c r="AD1749">
        <v>0</v>
      </c>
      <c r="AE1749" s="13" t="s">
        <v>61</v>
      </c>
    </row>
    <row r="1750" spans="1:31" x14ac:dyDescent="0.35">
      <c r="A1750" s="13" t="s">
        <v>2556</v>
      </c>
      <c r="B1750" s="13" t="s">
        <v>899</v>
      </c>
      <c r="C1750" s="13" t="s">
        <v>900</v>
      </c>
      <c r="D1750" s="13" t="s">
        <v>76</v>
      </c>
      <c r="E1750" s="13" t="s">
        <v>71</v>
      </c>
      <c r="F1750" s="13" t="s">
        <v>72</v>
      </c>
      <c r="G1750" s="13" t="s">
        <v>92</v>
      </c>
      <c r="H1750">
        <v>85000</v>
      </c>
      <c r="I1750" s="13" t="s">
        <v>93</v>
      </c>
      <c r="J1750" s="13" t="s">
        <v>94</v>
      </c>
      <c r="K1750" s="13" t="s">
        <v>81</v>
      </c>
      <c r="L1750" s="13" t="s">
        <v>82</v>
      </c>
      <c r="M1750">
        <v>30</v>
      </c>
      <c r="N1750">
        <v>2</v>
      </c>
      <c r="O1750" s="14">
        <v>46007</v>
      </c>
      <c r="P1750" s="14">
        <v>46037</v>
      </c>
      <c r="Q1750">
        <v>1504.04</v>
      </c>
      <c r="R1750">
        <v>0</v>
      </c>
      <c r="S1750">
        <v>0</v>
      </c>
      <c r="T1750">
        <v>0</v>
      </c>
      <c r="U1750">
        <v>0</v>
      </c>
      <c r="V1750">
        <v>1504.04</v>
      </c>
      <c r="W1750">
        <v>0</v>
      </c>
      <c r="X1750">
        <v>1</v>
      </c>
      <c r="Y1750">
        <v>0</v>
      </c>
      <c r="Z1750">
        <v>-15</v>
      </c>
      <c r="AA1750">
        <v>1</v>
      </c>
      <c r="AB1750" s="13" t="s">
        <v>581</v>
      </c>
      <c r="AC1750">
        <v>0</v>
      </c>
      <c r="AD1750">
        <v>0</v>
      </c>
      <c r="AE1750" s="13" t="s">
        <v>61</v>
      </c>
    </row>
    <row r="1751" spans="1:31" x14ac:dyDescent="0.35">
      <c r="A1751" s="13" t="s">
        <v>2557</v>
      </c>
      <c r="B1751" s="13" t="s">
        <v>235</v>
      </c>
      <c r="C1751" s="13" t="s">
        <v>236</v>
      </c>
      <c r="D1751" s="13" t="s">
        <v>76</v>
      </c>
      <c r="E1751" s="13" t="s">
        <v>71</v>
      </c>
      <c r="F1751" s="13" t="s">
        <v>72</v>
      </c>
      <c r="G1751" s="13" t="s">
        <v>55</v>
      </c>
      <c r="H1751">
        <v>40000</v>
      </c>
      <c r="I1751" s="13" t="s">
        <v>79</v>
      </c>
      <c r="J1751" s="13" t="s">
        <v>80</v>
      </c>
      <c r="K1751" s="13" t="s">
        <v>81</v>
      </c>
      <c r="L1751" s="13" t="s">
        <v>95</v>
      </c>
      <c r="M1751">
        <v>30</v>
      </c>
      <c r="N1751">
        <v>0</v>
      </c>
      <c r="O1751" s="14">
        <v>46007</v>
      </c>
      <c r="P1751" s="14">
        <v>46037</v>
      </c>
      <c r="Q1751">
        <v>526.79999999999995</v>
      </c>
      <c r="R1751">
        <v>0</v>
      </c>
      <c r="S1751">
        <v>0</v>
      </c>
      <c r="T1751">
        <v>0</v>
      </c>
      <c r="U1751">
        <v>0</v>
      </c>
      <c r="V1751">
        <v>526.79999999999995</v>
      </c>
      <c r="W1751">
        <v>0</v>
      </c>
      <c r="X1751">
        <v>1</v>
      </c>
      <c r="Y1751">
        <v>0</v>
      </c>
      <c r="Z1751">
        <v>-15</v>
      </c>
      <c r="AA1751">
        <v>1</v>
      </c>
      <c r="AB1751" s="13" t="s">
        <v>581</v>
      </c>
      <c r="AC1751">
        <v>0</v>
      </c>
      <c r="AD1751">
        <v>0</v>
      </c>
      <c r="AE1751" s="13" t="s">
        <v>61</v>
      </c>
    </row>
    <row r="1752" spans="1:31" x14ac:dyDescent="0.35">
      <c r="A1752" s="13" t="s">
        <v>2558</v>
      </c>
      <c r="B1752" s="13" t="s">
        <v>695</v>
      </c>
      <c r="C1752" s="13" t="s">
        <v>696</v>
      </c>
      <c r="D1752" s="13" t="s">
        <v>52</v>
      </c>
      <c r="E1752" s="13" t="s">
        <v>53</v>
      </c>
      <c r="F1752" s="13" t="s">
        <v>54</v>
      </c>
      <c r="G1752" s="13" t="s">
        <v>92</v>
      </c>
      <c r="H1752">
        <v>535000</v>
      </c>
      <c r="I1752" s="13" t="s">
        <v>56</v>
      </c>
      <c r="J1752" s="13" t="s">
        <v>57</v>
      </c>
      <c r="K1752" s="13" t="s">
        <v>58</v>
      </c>
      <c r="L1752" s="13" t="s">
        <v>88</v>
      </c>
      <c r="M1752">
        <v>60</v>
      </c>
      <c r="N1752">
        <v>0</v>
      </c>
      <c r="O1752" s="14">
        <v>46007</v>
      </c>
      <c r="P1752" s="14">
        <v>46067</v>
      </c>
      <c r="Q1752">
        <v>12143.38</v>
      </c>
      <c r="R1752">
        <v>0</v>
      </c>
      <c r="S1752">
        <v>0</v>
      </c>
      <c r="T1752">
        <v>0</v>
      </c>
      <c r="U1752">
        <v>0</v>
      </c>
      <c r="V1752">
        <v>12143.38</v>
      </c>
      <c r="W1752">
        <v>0</v>
      </c>
      <c r="X1752">
        <v>1</v>
      </c>
      <c r="Y1752">
        <v>0</v>
      </c>
      <c r="Z1752">
        <v>-45</v>
      </c>
      <c r="AA1752">
        <v>1</v>
      </c>
      <c r="AB1752" s="13" t="s">
        <v>581</v>
      </c>
      <c r="AC1752">
        <v>0</v>
      </c>
      <c r="AD1752">
        <v>0</v>
      </c>
      <c r="AE1752" s="13" t="s">
        <v>61</v>
      </c>
    </row>
    <row r="1753" spans="1:31" x14ac:dyDescent="0.35">
      <c r="A1753" s="13" t="s">
        <v>2559</v>
      </c>
      <c r="B1753" s="13" t="s">
        <v>357</v>
      </c>
      <c r="C1753" s="13" t="s">
        <v>358</v>
      </c>
      <c r="D1753" s="13" t="s">
        <v>104</v>
      </c>
      <c r="E1753" s="13" t="s">
        <v>71</v>
      </c>
      <c r="F1753" s="13" t="s">
        <v>214</v>
      </c>
      <c r="G1753" s="13" t="s">
        <v>92</v>
      </c>
      <c r="H1753">
        <v>25000</v>
      </c>
      <c r="I1753" s="13" t="s">
        <v>105</v>
      </c>
      <c r="J1753" s="13" t="s">
        <v>106</v>
      </c>
      <c r="K1753" s="13" t="s">
        <v>107</v>
      </c>
      <c r="L1753" s="13" t="s">
        <v>82</v>
      </c>
      <c r="M1753">
        <v>30</v>
      </c>
      <c r="N1753">
        <v>2</v>
      </c>
      <c r="O1753" s="14">
        <v>46007</v>
      </c>
      <c r="P1753" s="14">
        <v>46037</v>
      </c>
      <c r="Q1753">
        <v>6880.07</v>
      </c>
      <c r="R1753">
        <v>0</v>
      </c>
      <c r="S1753">
        <v>0</v>
      </c>
      <c r="T1753">
        <v>0</v>
      </c>
      <c r="U1753">
        <v>0</v>
      </c>
      <c r="V1753">
        <v>6880.07</v>
      </c>
      <c r="W1753">
        <v>0</v>
      </c>
      <c r="X1753">
        <v>1</v>
      </c>
      <c r="Y1753">
        <v>0</v>
      </c>
      <c r="Z1753">
        <v>-15</v>
      </c>
      <c r="AA1753">
        <v>1</v>
      </c>
      <c r="AB1753" s="13" t="s">
        <v>581</v>
      </c>
      <c r="AC1753">
        <v>0</v>
      </c>
      <c r="AD1753">
        <v>0</v>
      </c>
      <c r="AE1753" s="13" t="s">
        <v>61</v>
      </c>
    </row>
    <row r="1754" spans="1:31" x14ac:dyDescent="0.35">
      <c r="A1754" s="13" t="s">
        <v>2560</v>
      </c>
      <c r="B1754" s="13" t="s">
        <v>1015</v>
      </c>
      <c r="C1754" s="13" t="s">
        <v>1016</v>
      </c>
      <c r="D1754" s="13" t="s">
        <v>52</v>
      </c>
      <c r="E1754" s="13" t="s">
        <v>77</v>
      </c>
      <c r="F1754" s="13" t="s">
        <v>174</v>
      </c>
      <c r="G1754" s="13" t="s">
        <v>55</v>
      </c>
      <c r="H1754">
        <v>590000</v>
      </c>
      <c r="I1754" s="13" t="s">
        <v>56</v>
      </c>
      <c r="J1754" s="13" t="s">
        <v>57</v>
      </c>
      <c r="K1754" s="13" t="s">
        <v>58</v>
      </c>
      <c r="L1754" s="13" t="s">
        <v>59</v>
      </c>
      <c r="M1754">
        <v>45</v>
      </c>
      <c r="N1754">
        <v>0</v>
      </c>
      <c r="O1754" s="14">
        <v>46007</v>
      </c>
      <c r="P1754" s="14">
        <v>46052</v>
      </c>
      <c r="Q1754">
        <v>3031.3</v>
      </c>
      <c r="R1754">
        <v>0</v>
      </c>
      <c r="S1754">
        <v>0</v>
      </c>
      <c r="T1754">
        <v>0</v>
      </c>
      <c r="U1754">
        <v>0</v>
      </c>
      <c r="V1754">
        <v>3031.3</v>
      </c>
      <c r="W1754">
        <v>0</v>
      </c>
      <c r="X1754">
        <v>1</v>
      </c>
      <c r="Y1754">
        <v>0</v>
      </c>
      <c r="Z1754">
        <v>-30</v>
      </c>
      <c r="AA1754">
        <v>1</v>
      </c>
      <c r="AB1754" s="13" t="s">
        <v>581</v>
      </c>
      <c r="AC1754">
        <v>0</v>
      </c>
      <c r="AD1754">
        <v>0</v>
      </c>
      <c r="AE1754" s="13" t="s">
        <v>61</v>
      </c>
    </row>
    <row r="1755" spans="1:31" x14ac:dyDescent="0.35">
      <c r="A1755" s="13" t="s">
        <v>2561</v>
      </c>
      <c r="B1755" s="13" t="s">
        <v>499</v>
      </c>
      <c r="C1755" s="13" t="s">
        <v>500</v>
      </c>
      <c r="D1755" s="13" t="s">
        <v>104</v>
      </c>
      <c r="E1755" s="13" t="s">
        <v>53</v>
      </c>
      <c r="F1755" s="13" t="s">
        <v>54</v>
      </c>
      <c r="G1755" s="13" t="s">
        <v>67</v>
      </c>
      <c r="H1755">
        <v>90000</v>
      </c>
      <c r="I1755" s="13" t="s">
        <v>105</v>
      </c>
      <c r="J1755" s="13" t="s">
        <v>106</v>
      </c>
      <c r="K1755" s="13" t="s">
        <v>107</v>
      </c>
      <c r="L1755" s="13" t="s">
        <v>88</v>
      </c>
      <c r="M1755">
        <v>60</v>
      </c>
      <c r="N1755">
        <v>0</v>
      </c>
      <c r="O1755" s="14">
        <v>46007</v>
      </c>
      <c r="P1755" s="14">
        <v>46067</v>
      </c>
      <c r="Q1755">
        <v>1572.13</v>
      </c>
      <c r="R1755">
        <v>0</v>
      </c>
      <c r="S1755">
        <v>0</v>
      </c>
      <c r="T1755">
        <v>0</v>
      </c>
      <c r="U1755">
        <v>0</v>
      </c>
      <c r="V1755">
        <v>1572.13</v>
      </c>
      <c r="W1755">
        <v>0</v>
      </c>
      <c r="X1755">
        <v>1</v>
      </c>
      <c r="Y1755">
        <v>0</v>
      </c>
      <c r="Z1755">
        <v>-45</v>
      </c>
      <c r="AA1755">
        <v>1</v>
      </c>
      <c r="AB1755" s="13" t="s">
        <v>581</v>
      </c>
      <c r="AC1755">
        <v>0</v>
      </c>
      <c r="AD1755">
        <v>0</v>
      </c>
      <c r="AE1755" s="13" t="s">
        <v>61</v>
      </c>
    </row>
    <row r="1756" spans="1:31" x14ac:dyDescent="0.35">
      <c r="A1756" s="13" t="s">
        <v>2562</v>
      </c>
      <c r="B1756" s="13" t="s">
        <v>330</v>
      </c>
      <c r="C1756" s="13" t="s">
        <v>331</v>
      </c>
      <c r="D1756" s="13" t="s">
        <v>104</v>
      </c>
      <c r="E1756" s="13" t="s">
        <v>65</v>
      </c>
      <c r="F1756" s="13" t="s">
        <v>111</v>
      </c>
      <c r="G1756" s="13" t="s">
        <v>55</v>
      </c>
      <c r="H1756">
        <v>85000</v>
      </c>
      <c r="I1756" s="13" t="s">
        <v>121</v>
      </c>
      <c r="J1756" s="13" t="s">
        <v>122</v>
      </c>
      <c r="K1756" s="13" t="s">
        <v>107</v>
      </c>
      <c r="L1756" s="13" t="s">
        <v>95</v>
      </c>
      <c r="M1756">
        <v>30</v>
      </c>
      <c r="N1756">
        <v>0</v>
      </c>
      <c r="O1756" s="14">
        <v>46007</v>
      </c>
      <c r="P1756" s="14">
        <v>46037</v>
      </c>
      <c r="Q1756">
        <v>3277.72</v>
      </c>
      <c r="R1756">
        <v>0</v>
      </c>
      <c r="S1756">
        <v>0</v>
      </c>
      <c r="T1756">
        <v>0</v>
      </c>
      <c r="U1756">
        <v>0</v>
      </c>
      <c r="V1756">
        <v>3277.72</v>
      </c>
      <c r="W1756">
        <v>0</v>
      </c>
      <c r="X1756">
        <v>1</v>
      </c>
      <c r="Y1756">
        <v>0</v>
      </c>
      <c r="Z1756">
        <v>-15</v>
      </c>
      <c r="AA1756">
        <v>1</v>
      </c>
      <c r="AB1756" s="13" t="s">
        <v>581</v>
      </c>
      <c r="AC1756">
        <v>0</v>
      </c>
      <c r="AD1756">
        <v>1</v>
      </c>
      <c r="AE1756" s="13" t="s">
        <v>629</v>
      </c>
    </row>
    <row r="1757" spans="1:31" x14ac:dyDescent="0.35">
      <c r="A1757" s="13" t="s">
        <v>2563</v>
      </c>
      <c r="B1757" s="13" t="s">
        <v>206</v>
      </c>
      <c r="C1757" s="13" t="s">
        <v>207</v>
      </c>
      <c r="D1757" s="13" t="s">
        <v>52</v>
      </c>
      <c r="E1757" s="13" t="s">
        <v>65</v>
      </c>
      <c r="F1757" s="13" t="s">
        <v>111</v>
      </c>
      <c r="G1757" s="13" t="s">
        <v>92</v>
      </c>
      <c r="H1757">
        <v>490000</v>
      </c>
      <c r="I1757" s="13" t="s">
        <v>86</v>
      </c>
      <c r="J1757" s="13" t="s">
        <v>87</v>
      </c>
      <c r="K1757" s="13" t="s">
        <v>58</v>
      </c>
      <c r="L1757" s="13" t="s">
        <v>88</v>
      </c>
      <c r="M1757">
        <v>60</v>
      </c>
      <c r="N1757">
        <v>0</v>
      </c>
      <c r="O1757" s="14">
        <v>46007</v>
      </c>
      <c r="P1757" s="14">
        <v>46067</v>
      </c>
      <c r="Q1757">
        <v>9459.5499999999993</v>
      </c>
      <c r="R1757">
        <v>0</v>
      </c>
      <c r="S1757">
        <v>0</v>
      </c>
      <c r="T1757">
        <v>0</v>
      </c>
      <c r="U1757">
        <v>0</v>
      </c>
      <c r="V1757">
        <v>9459.5499999999993</v>
      </c>
      <c r="W1757">
        <v>0</v>
      </c>
      <c r="X1757">
        <v>1</v>
      </c>
      <c r="Y1757">
        <v>0</v>
      </c>
      <c r="Z1757">
        <v>-45</v>
      </c>
      <c r="AA1757">
        <v>1</v>
      </c>
      <c r="AB1757" s="13" t="s">
        <v>581</v>
      </c>
      <c r="AC1757">
        <v>0</v>
      </c>
      <c r="AD1757">
        <v>0</v>
      </c>
      <c r="AE1757" s="13" t="s">
        <v>61</v>
      </c>
    </row>
    <row r="1758" spans="1:31" x14ac:dyDescent="0.35">
      <c r="A1758" s="13" t="s">
        <v>2564</v>
      </c>
      <c r="B1758" s="13" t="s">
        <v>390</v>
      </c>
      <c r="C1758" s="13" t="s">
        <v>391</v>
      </c>
      <c r="D1758" s="13" t="s">
        <v>52</v>
      </c>
      <c r="E1758" s="13" t="s">
        <v>71</v>
      </c>
      <c r="F1758" s="13" t="s">
        <v>72</v>
      </c>
      <c r="G1758" s="13" t="s">
        <v>55</v>
      </c>
      <c r="H1758">
        <v>320000</v>
      </c>
      <c r="I1758" s="13" t="s">
        <v>86</v>
      </c>
      <c r="J1758" s="13" t="s">
        <v>87</v>
      </c>
      <c r="K1758" s="13" t="s">
        <v>58</v>
      </c>
      <c r="L1758" s="13" t="s">
        <v>88</v>
      </c>
      <c r="M1758">
        <v>60</v>
      </c>
      <c r="N1758">
        <v>0</v>
      </c>
      <c r="O1758" s="14">
        <v>46007</v>
      </c>
      <c r="P1758" s="14">
        <v>46067</v>
      </c>
      <c r="Q1758">
        <v>10687.37</v>
      </c>
      <c r="R1758">
        <v>0</v>
      </c>
      <c r="S1758">
        <v>0</v>
      </c>
      <c r="T1758">
        <v>0</v>
      </c>
      <c r="U1758">
        <v>0</v>
      </c>
      <c r="V1758">
        <v>10687.37</v>
      </c>
      <c r="W1758">
        <v>0</v>
      </c>
      <c r="X1758">
        <v>1</v>
      </c>
      <c r="Y1758">
        <v>0</v>
      </c>
      <c r="Z1758">
        <v>-45</v>
      </c>
      <c r="AA1758">
        <v>1</v>
      </c>
      <c r="AB1758" s="13" t="s">
        <v>581</v>
      </c>
      <c r="AC1758">
        <v>0</v>
      </c>
      <c r="AD1758">
        <v>0</v>
      </c>
      <c r="AE1758" s="13" t="s">
        <v>61</v>
      </c>
    </row>
    <row r="1759" spans="1:31" x14ac:dyDescent="0.35">
      <c r="A1759" s="13" t="s">
        <v>2565</v>
      </c>
      <c r="B1759" s="13" t="s">
        <v>547</v>
      </c>
      <c r="C1759" s="13" t="s">
        <v>548</v>
      </c>
      <c r="D1759" s="13" t="s">
        <v>52</v>
      </c>
      <c r="E1759" s="13" t="s">
        <v>71</v>
      </c>
      <c r="F1759" s="13" t="s">
        <v>72</v>
      </c>
      <c r="G1759" s="13" t="s">
        <v>92</v>
      </c>
      <c r="H1759">
        <v>160000</v>
      </c>
      <c r="I1759" s="13" t="s">
        <v>86</v>
      </c>
      <c r="J1759" s="13" t="s">
        <v>87</v>
      </c>
      <c r="K1759" s="13" t="s">
        <v>58</v>
      </c>
      <c r="L1759" s="13" t="s">
        <v>88</v>
      </c>
      <c r="M1759">
        <v>60</v>
      </c>
      <c r="N1759">
        <v>0</v>
      </c>
      <c r="O1759" s="14">
        <v>46007</v>
      </c>
      <c r="P1759" s="14">
        <v>46067</v>
      </c>
      <c r="Q1759">
        <v>16359.42</v>
      </c>
      <c r="R1759">
        <v>0</v>
      </c>
      <c r="S1759">
        <v>0</v>
      </c>
      <c r="T1759">
        <v>0</v>
      </c>
      <c r="U1759">
        <v>0</v>
      </c>
      <c r="V1759">
        <v>16359.42</v>
      </c>
      <c r="W1759">
        <v>0</v>
      </c>
      <c r="X1759">
        <v>1</v>
      </c>
      <c r="Y1759">
        <v>0</v>
      </c>
      <c r="Z1759">
        <v>-45</v>
      </c>
      <c r="AA1759">
        <v>1</v>
      </c>
      <c r="AB1759" s="13" t="s">
        <v>581</v>
      </c>
      <c r="AC1759">
        <v>0</v>
      </c>
      <c r="AD1759">
        <v>1</v>
      </c>
      <c r="AE1759" s="13" t="s">
        <v>377</v>
      </c>
    </row>
    <row r="1760" spans="1:31" x14ac:dyDescent="0.35">
      <c r="A1760" s="13" t="s">
        <v>2566</v>
      </c>
      <c r="B1760" s="13" t="s">
        <v>50</v>
      </c>
      <c r="C1760" s="13" t="s">
        <v>51</v>
      </c>
      <c r="D1760" s="13" t="s">
        <v>52</v>
      </c>
      <c r="E1760" s="13" t="s">
        <v>53</v>
      </c>
      <c r="F1760" s="13" t="s">
        <v>54</v>
      </c>
      <c r="G1760" s="13" t="s">
        <v>55</v>
      </c>
      <c r="H1760">
        <v>585000</v>
      </c>
      <c r="I1760" s="13" t="s">
        <v>56</v>
      </c>
      <c r="J1760" s="13" t="s">
        <v>57</v>
      </c>
      <c r="K1760" s="13" t="s">
        <v>58</v>
      </c>
      <c r="L1760" s="13" t="s">
        <v>59</v>
      </c>
      <c r="M1760">
        <v>45</v>
      </c>
      <c r="N1760">
        <v>0</v>
      </c>
      <c r="O1760" s="14">
        <v>46007</v>
      </c>
      <c r="P1760" s="14">
        <v>46052</v>
      </c>
      <c r="Q1760">
        <v>17384.330000000002</v>
      </c>
      <c r="R1760">
        <v>0</v>
      </c>
      <c r="S1760">
        <v>0</v>
      </c>
      <c r="T1760">
        <v>0</v>
      </c>
      <c r="U1760">
        <v>0</v>
      </c>
      <c r="V1760">
        <v>17384.330000000002</v>
      </c>
      <c r="W1760">
        <v>0</v>
      </c>
      <c r="X1760">
        <v>1</v>
      </c>
      <c r="Y1760">
        <v>0</v>
      </c>
      <c r="Z1760">
        <v>-30</v>
      </c>
      <c r="AA1760">
        <v>1</v>
      </c>
      <c r="AB1760" s="13" t="s">
        <v>581</v>
      </c>
      <c r="AC1760">
        <v>0</v>
      </c>
      <c r="AD1760">
        <v>0</v>
      </c>
      <c r="AE1760" s="13" t="s">
        <v>61</v>
      </c>
    </row>
    <row r="1761" spans="1:31" x14ac:dyDescent="0.35">
      <c r="A1761" s="13" t="s">
        <v>2567</v>
      </c>
      <c r="B1761" s="13" t="s">
        <v>1411</v>
      </c>
      <c r="C1761" s="13" t="s">
        <v>1412</v>
      </c>
      <c r="D1761" s="13" t="s">
        <v>104</v>
      </c>
      <c r="E1761" s="13" t="s">
        <v>77</v>
      </c>
      <c r="F1761" s="13" t="s">
        <v>78</v>
      </c>
      <c r="G1761" s="13" t="s">
        <v>55</v>
      </c>
      <c r="H1761">
        <v>110000</v>
      </c>
      <c r="I1761" s="13" t="s">
        <v>121</v>
      </c>
      <c r="J1761" s="13" t="s">
        <v>122</v>
      </c>
      <c r="K1761" s="13" t="s">
        <v>107</v>
      </c>
      <c r="L1761" s="13" t="s">
        <v>95</v>
      </c>
      <c r="M1761">
        <v>30</v>
      </c>
      <c r="N1761">
        <v>0</v>
      </c>
      <c r="O1761" s="14">
        <v>46007</v>
      </c>
      <c r="P1761" s="14">
        <v>46037</v>
      </c>
      <c r="Q1761">
        <v>848.09</v>
      </c>
      <c r="R1761">
        <v>0</v>
      </c>
      <c r="S1761">
        <v>0</v>
      </c>
      <c r="T1761">
        <v>0</v>
      </c>
      <c r="U1761">
        <v>0</v>
      </c>
      <c r="V1761">
        <v>848.09</v>
      </c>
      <c r="W1761">
        <v>0</v>
      </c>
      <c r="X1761">
        <v>1</v>
      </c>
      <c r="Y1761">
        <v>0</v>
      </c>
      <c r="Z1761">
        <v>-15</v>
      </c>
      <c r="AA1761">
        <v>1</v>
      </c>
      <c r="AB1761" s="13" t="s">
        <v>581</v>
      </c>
      <c r="AC1761">
        <v>0</v>
      </c>
      <c r="AD1761">
        <v>0</v>
      </c>
      <c r="AE1761" s="13" t="s">
        <v>61</v>
      </c>
    </row>
    <row r="1762" spans="1:31" x14ac:dyDescent="0.35">
      <c r="A1762" s="13" t="s">
        <v>2568</v>
      </c>
      <c r="B1762" s="13" t="s">
        <v>177</v>
      </c>
      <c r="C1762" s="13" t="s">
        <v>178</v>
      </c>
      <c r="D1762" s="13" t="s">
        <v>52</v>
      </c>
      <c r="E1762" s="13" t="s">
        <v>71</v>
      </c>
      <c r="F1762" s="13" t="s">
        <v>72</v>
      </c>
      <c r="G1762" s="13" t="s">
        <v>67</v>
      </c>
      <c r="H1762">
        <v>415000</v>
      </c>
      <c r="I1762" s="13" t="s">
        <v>56</v>
      </c>
      <c r="J1762" s="13" t="s">
        <v>57</v>
      </c>
      <c r="K1762" s="13" t="s">
        <v>58</v>
      </c>
      <c r="L1762" s="13" t="s">
        <v>59</v>
      </c>
      <c r="M1762">
        <v>45</v>
      </c>
      <c r="N1762">
        <v>0</v>
      </c>
      <c r="O1762" s="14">
        <v>46007</v>
      </c>
      <c r="P1762" s="14">
        <v>46052</v>
      </c>
      <c r="Q1762">
        <v>6957.8</v>
      </c>
      <c r="R1762">
        <v>0</v>
      </c>
      <c r="S1762">
        <v>0</v>
      </c>
      <c r="T1762">
        <v>0</v>
      </c>
      <c r="U1762">
        <v>0</v>
      </c>
      <c r="V1762">
        <v>6957.8</v>
      </c>
      <c r="W1762">
        <v>0</v>
      </c>
      <c r="X1762">
        <v>1</v>
      </c>
      <c r="Y1762">
        <v>0</v>
      </c>
      <c r="Z1762">
        <v>-30</v>
      </c>
      <c r="AA1762">
        <v>1</v>
      </c>
      <c r="AB1762" s="13" t="s">
        <v>581</v>
      </c>
      <c r="AC1762">
        <v>0</v>
      </c>
      <c r="AD1762">
        <v>0</v>
      </c>
      <c r="AE1762" s="13" t="s">
        <v>61</v>
      </c>
    </row>
    <row r="1763" spans="1:31" x14ac:dyDescent="0.35">
      <c r="A1763" s="13" t="s">
        <v>2569</v>
      </c>
      <c r="B1763" s="13" t="s">
        <v>1285</v>
      </c>
      <c r="C1763" s="13" t="s">
        <v>1286</v>
      </c>
      <c r="D1763" s="13" t="s">
        <v>76</v>
      </c>
      <c r="E1763" s="13" t="s">
        <v>53</v>
      </c>
      <c r="F1763" s="13" t="s">
        <v>54</v>
      </c>
      <c r="G1763" s="13" t="s">
        <v>55</v>
      </c>
      <c r="H1763">
        <v>105000</v>
      </c>
      <c r="I1763" s="13" t="s">
        <v>79</v>
      </c>
      <c r="J1763" s="13" t="s">
        <v>80</v>
      </c>
      <c r="K1763" s="13" t="s">
        <v>81</v>
      </c>
      <c r="L1763" s="13" t="s">
        <v>95</v>
      </c>
      <c r="M1763">
        <v>30</v>
      </c>
      <c r="N1763">
        <v>0</v>
      </c>
      <c r="O1763" s="14">
        <v>46008</v>
      </c>
      <c r="P1763" s="14">
        <v>46038</v>
      </c>
      <c r="Q1763">
        <v>1148.01</v>
      </c>
      <c r="R1763">
        <v>0</v>
      </c>
      <c r="S1763">
        <v>0</v>
      </c>
      <c r="T1763">
        <v>0</v>
      </c>
      <c r="U1763">
        <v>0</v>
      </c>
      <c r="V1763">
        <v>1148.01</v>
      </c>
      <c r="W1763">
        <v>0</v>
      </c>
      <c r="X1763">
        <v>1</v>
      </c>
      <c r="Y1763">
        <v>0</v>
      </c>
      <c r="Z1763">
        <v>-16</v>
      </c>
      <c r="AA1763">
        <v>1</v>
      </c>
      <c r="AB1763" s="13" t="s">
        <v>581</v>
      </c>
      <c r="AC1763">
        <v>0</v>
      </c>
      <c r="AD1763">
        <v>0</v>
      </c>
      <c r="AE1763" s="13" t="s">
        <v>61</v>
      </c>
    </row>
    <row r="1764" spans="1:31" x14ac:dyDescent="0.35">
      <c r="A1764" s="13" t="s">
        <v>2570</v>
      </c>
      <c r="B1764" s="13" t="s">
        <v>203</v>
      </c>
      <c r="C1764" s="13" t="s">
        <v>204</v>
      </c>
      <c r="D1764" s="13" t="s">
        <v>52</v>
      </c>
      <c r="E1764" s="13" t="s">
        <v>53</v>
      </c>
      <c r="F1764" s="13" t="s">
        <v>135</v>
      </c>
      <c r="G1764" s="13" t="s">
        <v>67</v>
      </c>
      <c r="H1764">
        <v>500000</v>
      </c>
      <c r="I1764" s="13" t="s">
        <v>56</v>
      </c>
      <c r="J1764" s="13" t="s">
        <v>57</v>
      </c>
      <c r="K1764" s="13" t="s">
        <v>58</v>
      </c>
      <c r="L1764" s="13" t="s">
        <v>59</v>
      </c>
      <c r="M1764">
        <v>45</v>
      </c>
      <c r="N1764">
        <v>0</v>
      </c>
      <c r="O1764" s="14">
        <v>46008</v>
      </c>
      <c r="P1764" s="14">
        <v>46053</v>
      </c>
      <c r="Q1764">
        <v>9765.76</v>
      </c>
      <c r="R1764">
        <v>0</v>
      </c>
      <c r="S1764">
        <v>0</v>
      </c>
      <c r="T1764">
        <v>0</v>
      </c>
      <c r="U1764">
        <v>0</v>
      </c>
      <c r="V1764">
        <v>9765.76</v>
      </c>
      <c r="W1764">
        <v>0</v>
      </c>
      <c r="X1764">
        <v>1</v>
      </c>
      <c r="Y1764">
        <v>0</v>
      </c>
      <c r="Z1764">
        <v>-31</v>
      </c>
      <c r="AA1764">
        <v>1</v>
      </c>
      <c r="AB1764" s="13" t="s">
        <v>581</v>
      </c>
      <c r="AC1764">
        <v>0</v>
      </c>
      <c r="AD1764">
        <v>1</v>
      </c>
      <c r="AE1764" s="13" t="s">
        <v>665</v>
      </c>
    </row>
    <row r="1765" spans="1:31" x14ac:dyDescent="0.35">
      <c r="A1765" s="13" t="s">
        <v>2571</v>
      </c>
      <c r="B1765" s="13" t="s">
        <v>702</v>
      </c>
      <c r="C1765" s="13" t="s">
        <v>703</v>
      </c>
      <c r="D1765" s="13" t="s">
        <v>52</v>
      </c>
      <c r="E1765" s="13" t="s">
        <v>65</v>
      </c>
      <c r="F1765" s="13" t="s">
        <v>111</v>
      </c>
      <c r="G1765" s="13" t="s">
        <v>67</v>
      </c>
      <c r="H1765">
        <v>435000</v>
      </c>
      <c r="I1765" s="13" t="s">
        <v>86</v>
      </c>
      <c r="J1765" s="13" t="s">
        <v>87</v>
      </c>
      <c r="K1765" s="13" t="s">
        <v>58</v>
      </c>
      <c r="L1765" s="13" t="s">
        <v>59</v>
      </c>
      <c r="M1765">
        <v>45</v>
      </c>
      <c r="N1765">
        <v>0</v>
      </c>
      <c r="O1765" s="14">
        <v>46008</v>
      </c>
      <c r="P1765" s="14">
        <v>46053</v>
      </c>
      <c r="Q1765">
        <v>10144.81</v>
      </c>
      <c r="R1765">
        <v>0</v>
      </c>
      <c r="S1765">
        <v>0</v>
      </c>
      <c r="T1765">
        <v>0</v>
      </c>
      <c r="U1765">
        <v>0</v>
      </c>
      <c r="V1765">
        <v>10144.81</v>
      </c>
      <c r="W1765">
        <v>0</v>
      </c>
      <c r="X1765">
        <v>1</v>
      </c>
      <c r="Y1765">
        <v>0</v>
      </c>
      <c r="Z1765">
        <v>-31</v>
      </c>
      <c r="AA1765">
        <v>1</v>
      </c>
      <c r="AB1765" s="13" t="s">
        <v>581</v>
      </c>
      <c r="AC1765">
        <v>0</v>
      </c>
      <c r="AD1765">
        <v>0</v>
      </c>
      <c r="AE1765" s="13" t="s">
        <v>61</v>
      </c>
    </row>
    <row r="1766" spans="1:31" x14ac:dyDescent="0.35">
      <c r="A1766" s="13" t="s">
        <v>2572</v>
      </c>
      <c r="B1766" s="13" t="s">
        <v>1807</v>
      </c>
      <c r="C1766" s="13" t="s">
        <v>1808</v>
      </c>
      <c r="D1766" s="13" t="s">
        <v>76</v>
      </c>
      <c r="E1766" s="13" t="s">
        <v>65</v>
      </c>
      <c r="F1766" s="13" t="s">
        <v>66</v>
      </c>
      <c r="G1766" s="13" t="s">
        <v>55</v>
      </c>
      <c r="H1766">
        <v>45000</v>
      </c>
      <c r="I1766" s="13" t="s">
        <v>93</v>
      </c>
      <c r="J1766" s="13" t="s">
        <v>94</v>
      </c>
      <c r="K1766" s="13" t="s">
        <v>81</v>
      </c>
      <c r="L1766" s="13" t="s">
        <v>95</v>
      </c>
      <c r="M1766">
        <v>30</v>
      </c>
      <c r="N1766">
        <v>0</v>
      </c>
      <c r="O1766" s="14">
        <v>46008</v>
      </c>
      <c r="P1766" s="14">
        <v>46038</v>
      </c>
      <c r="Q1766">
        <v>2487.85</v>
      </c>
      <c r="R1766">
        <v>0</v>
      </c>
      <c r="S1766">
        <v>0</v>
      </c>
      <c r="T1766">
        <v>0</v>
      </c>
      <c r="U1766">
        <v>0</v>
      </c>
      <c r="V1766">
        <v>2487.85</v>
      </c>
      <c r="W1766">
        <v>0</v>
      </c>
      <c r="X1766">
        <v>1</v>
      </c>
      <c r="Y1766">
        <v>0</v>
      </c>
      <c r="Z1766">
        <v>-16</v>
      </c>
      <c r="AA1766">
        <v>1</v>
      </c>
      <c r="AB1766" s="13" t="s">
        <v>581</v>
      </c>
      <c r="AC1766">
        <v>0</v>
      </c>
      <c r="AD1766">
        <v>0</v>
      </c>
      <c r="AE1766" s="13" t="s">
        <v>61</v>
      </c>
    </row>
    <row r="1767" spans="1:31" x14ac:dyDescent="0.35">
      <c r="A1767" s="13" t="s">
        <v>2573</v>
      </c>
      <c r="B1767" s="13" t="s">
        <v>273</v>
      </c>
      <c r="C1767" s="13" t="s">
        <v>274</v>
      </c>
      <c r="D1767" s="13" t="s">
        <v>104</v>
      </c>
      <c r="E1767" s="13" t="s">
        <v>71</v>
      </c>
      <c r="F1767" s="13" t="s">
        <v>72</v>
      </c>
      <c r="G1767" s="13" t="s">
        <v>92</v>
      </c>
      <c r="H1767">
        <v>120000</v>
      </c>
      <c r="I1767" s="13" t="s">
        <v>105</v>
      </c>
      <c r="J1767" s="13" t="s">
        <v>106</v>
      </c>
      <c r="K1767" s="13" t="s">
        <v>107</v>
      </c>
      <c r="L1767" s="13" t="s">
        <v>88</v>
      </c>
      <c r="M1767">
        <v>60</v>
      </c>
      <c r="N1767">
        <v>0</v>
      </c>
      <c r="O1767" s="14">
        <v>46008</v>
      </c>
      <c r="P1767" s="14">
        <v>46068</v>
      </c>
      <c r="Q1767">
        <v>878</v>
      </c>
      <c r="R1767">
        <v>0</v>
      </c>
      <c r="S1767">
        <v>0</v>
      </c>
      <c r="T1767">
        <v>0</v>
      </c>
      <c r="U1767">
        <v>0</v>
      </c>
      <c r="V1767">
        <v>878</v>
      </c>
      <c r="W1767">
        <v>0</v>
      </c>
      <c r="X1767">
        <v>1</v>
      </c>
      <c r="Y1767">
        <v>0</v>
      </c>
      <c r="Z1767">
        <v>-46</v>
      </c>
      <c r="AA1767">
        <v>1</v>
      </c>
      <c r="AB1767" s="13" t="s">
        <v>581</v>
      </c>
      <c r="AC1767">
        <v>0</v>
      </c>
      <c r="AD1767">
        <v>0</v>
      </c>
      <c r="AE1767" s="13" t="s">
        <v>61</v>
      </c>
    </row>
    <row r="1768" spans="1:31" x14ac:dyDescent="0.35">
      <c r="A1768" s="13" t="s">
        <v>2574</v>
      </c>
      <c r="B1768" s="13" t="s">
        <v>1292</v>
      </c>
      <c r="C1768" s="13" t="s">
        <v>1293</v>
      </c>
      <c r="D1768" s="13" t="s">
        <v>104</v>
      </c>
      <c r="E1768" s="13" t="s">
        <v>53</v>
      </c>
      <c r="F1768" s="13" t="s">
        <v>135</v>
      </c>
      <c r="G1768" s="13" t="s">
        <v>67</v>
      </c>
      <c r="H1768">
        <v>35000</v>
      </c>
      <c r="I1768" s="13" t="s">
        <v>105</v>
      </c>
      <c r="J1768" s="13" t="s">
        <v>106</v>
      </c>
      <c r="K1768" s="13" t="s">
        <v>107</v>
      </c>
      <c r="L1768" s="13" t="s">
        <v>88</v>
      </c>
      <c r="M1768">
        <v>60</v>
      </c>
      <c r="N1768">
        <v>0</v>
      </c>
      <c r="O1768" s="14">
        <v>46008</v>
      </c>
      <c r="P1768" s="14">
        <v>46068</v>
      </c>
      <c r="Q1768">
        <v>1190.02</v>
      </c>
      <c r="R1768">
        <v>0</v>
      </c>
      <c r="S1768">
        <v>0</v>
      </c>
      <c r="T1768">
        <v>0</v>
      </c>
      <c r="U1768">
        <v>0</v>
      </c>
      <c r="V1768">
        <v>1190.02</v>
      </c>
      <c r="W1768">
        <v>0</v>
      </c>
      <c r="X1768">
        <v>1</v>
      </c>
      <c r="Y1768">
        <v>0</v>
      </c>
      <c r="Z1768">
        <v>-46</v>
      </c>
      <c r="AA1768">
        <v>1</v>
      </c>
      <c r="AB1768" s="13" t="s">
        <v>581</v>
      </c>
      <c r="AC1768">
        <v>0</v>
      </c>
      <c r="AD1768">
        <v>0</v>
      </c>
      <c r="AE1768" s="13" t="s">
        <v>61</v>
      </c>
    </row>
    <row r="1769" spans="1:31" x14ac:dyDescent="0.35">
      <c r="A1769" s="13" t="s">
        <v>2575</v>
      </c>
      <c r="B1769" s="13" t="s">
        <v>137</v>
      </c>
      <c r="C1769" s="13" t="s">
        <v>138</v>
      </c>
      <c r="D1769" s="13" t="s">
        <v>52</v>
      </c>
      <c r="E1769" s="13" t="s">
        <v>53</v>
      </c>
      <c r="F1769" s="13" t="s">
        <v>135</v>
      </c>
      <c r="G1769" s="13" t="s">
        <v>92</v>
      </c>
      <c r="H1769">
        <v>355000</v>
      </c>
      <c r="I1769" s="13" t="s">
        <v>56</v>
      </c>
      <c r="J1769" s="13" t="s">
        <v>57</v>
      </c>
      <c r="K1769" s="13" t="s">
        <v>58</v>
      </c>
      <c r="L1769" s="13" t="s">
        <v>88</v>
      </c>
      <c r="M1769">
        <v>60</v>
      </c>
      <c r="N1769">
        <v>0</v>
      </c>
      <c r="O1769" s="14">
        <v>46008</v>
      </c>
      <c r="P1769" s="14">
        <v>46068</v>
      </c>
      <c r="Q1769">
        <v>12224.25</v>
      </c>
      <c r="R1769">
        <v>0</v>
      </c>
      <c r="S1769">
        <v>0</v>
      </c>
      <c r="T1769">
        <v>0</v>
      </c>
      <c r="U1769">
        <v>0</v>
      </c>
      <c r="V1769">
        <v>12224.25</v>
      </c>
      <c r="W1769">
        <v>0</v>
      </c>
      <c r="X1769">
        <v>1</v>
      </c>
      <c r="Y1769">
        <v>0</v>
      </c>
      <c r="Z1769">
        <v>-46</v>
      </c>
      <c r="AA1769">
        <v>1</v>
      </c>
      <c r="AB1769" s="13" t="s">
        <v>581</v>
      </c>
      <c r="AC1769">
        <v>0</v>
      </c>
      <c r="AD1769">
        <v>0</v>
      </c>
      <c r="AE1769" s="13" t="s">
        <v>61</v>
      </c>
    </row>
    <row r="1770" spans="1:31" x14ac:dyDescent="0.35">
      <c r="A1770" s="13" t="s">
        <v>2576</v>
      </c>
      <c r="B1770" s="13" t="s">
        <v>434</v>
      </c>
      <c r="C1770" s="13" t="s">
        <v>435</v>
      </c>
      <c r="D1770" s="13" t="s">
        <v>52</v>
      </c>
      <c r="E1770" s="13" t="s">
        <v>77</v>
      </c>
      <c r="F1770" s="13" t="s">
        <v>78</v>
      </c>
      <c r="G1770" s="13" t="s">
        <v>55</v>
      </c>
      <c r="H1770">
        <v>510000</v>
      </c>
      <c r="I1770" s="13" t="s">
        <v>56</v>
      </c>
      <c r="J1770" s="13" t="s">
        <v>57</v>
      </c>
      <c r="K1770" s="13" t="s">
        <v>58</v>
      </c>
      <c r="L1770" s="13" t="s">
        <v>88</v>
      </c>
      <c r="M1770">
        <v>60</v>
      </c>
      <c r="N1770">
        <v>0</v>
      </c>
      <c r="O1770" s="14">
        <v>46008</v>
      </c>
      <c r="P1770" s="14">
        <v>46068</v>
      </c>
      <c r="Q1770">
        <v>3051.37</v>
      </c>
      <c r="R1770">
        <v>0</v>
      </c>
      <c r="S1770">
        <v>0</v>
      </c>
      <c r="T1770">
        <v>0</v>
      </c>
      <c r="U1770">
        <v>0</v>
      </c>
      <c r="V1770">
        <v>3051.37</v>
      </c>
      <c r="W1770">
        <v>0</v>
      </c>
      <c r="X1770">
        <v>1</v>
      </c>
      <c r="Y1770">
        <v>0</v>
      </c>
      <c r="Z1770">
        <v>-46</v>
      </c>
      <c r="AA1770">
        <v>1</v>
      </c>
      <c r="AB1770" s="13" t="s">
        <v>581</v>
      </c>
      <c r="AC1770">
        <v>0</v>
      </c>
      <c r="AD1770">
        <v>1</v>
      </c>
      <c r="AE1770" s="13" t="s">
        <v>348</v>
      </c>
    </row>
    <row r="1771" spans="1:31" x14ac:dyDescent="0.35">
      <c r="A1771" s="13" t="s">
        <v>2577</v>
      </c>
      <c r="B1771" s="13" t="s">
        <v>1604</v>
      </c>
      <c r="C1771" s="13" t="s">
        <v>1605</v>
      </c>
      <c r="D1771" s="13" t="s">
        <v>104</v>
      </c>
      <c r="E1771" s="13" t="s">
        <v>65</v>
      </c>
      <c r="F1771" s="13" t="s">
        <v>66</v>
      </c>
      <c r="G1771" s="13" t="s">
        <v>55</v>
      </c>
      <c r="H1771">
        <v>95000</v>
      </c>
      <c r="I1771" s="13" t="s">
        <v>121</v>
      </c>
      <c r="J1771" s="13" t="s">
        <v>122</v>
      </c>
      <c r="K1771" s="13" t="s">
        <v>107</v>
      </c>
      <c r="L1771" s="13" t="s">
        <v>95</v>
      </c>
      <c r="M1771">
        <v>30</v>
      </c>
      <c r="N1771">
        <v>0</v>
      </c>
      <c r="O1771" s="14">
        <v>46008</v>
      </c>
      <c r="P1771" s="14">
        <v>46038</v>
      </c>
      <c r="Q1771">
        <v>2725.85</v>
      </c>
      <c r="R1771">
        <v>0</v>
      </c>
      <c r="S1771">
        <v>0</v>
      </c>
      <c r="T1771">
        <v>0</v>
      </c>
      <c r="U1771">
        <v>0</v>
      </c>
      <c r="V1771">
        <v>2725.85</v>
      </c>
      <c r="W1771">
        <v>0</v>
      </c>
      <c r="X1771">
        <v>1</v>
      </c>
      <c r="Y1771">
        <v>0</v>
      </c>
      <c r="Z1771">
        <v>-16</v>
      </c>
      <c r="AA1771">
        <v>1</v>
      </c>
      <c r="AB1771" s="13" t="s">
        <v>581</v>
      </c>
      <c r="AC1771">
        <v>0</v>
      </c>
      <c r="AD1771">
        <v>0</v>
      </c>
      <c r="AE1771" s="13" t="s">
        <v>61</v>
      </c>
    </row>
    <row r="1772" spans="1:31" x14ac:dyDescent="0.35">
      <c r="A1772" s="13" t="s">
        <v>2578</v>
      </c>
      <c r="B1772" s="13" t="s">
        <v>1881</v>
      </c>
      <c r="C1772" s="13" t="s">
        <v>1882</v>
      </c>
      <c r="D1772" s="13" t="s">
        <v>76</v>
      </c>
      <c r="E1772" s="13" t="s">
        <v>65</v>
      </c>
      <c r="F1772" s="13" t="s">
        <v>66</v>
      </c>
      <c r="G1772" s="13" t="s">
        <v>67</v>
      </c>
      <c r="H1772">
        <v>80000</v>
      </c>
      <c r="I1772" s="13" t="s">
        <v>93</v>
      </c>
      <c r="J1772" s="13" t="s">
        <v>94</v>
      </c>
      <c r="K1772" s="13" t="s">
        <v>81</v>
      </c>
      <c r="L1772" s="13" t="s">
        <v>95</v>
      </c>
      <c r="M1772">
        <v>30</v>
      </c>
      <c r="N1772">
        <v>0</v>
      </c>
      <c r="O1772" s="14">
        <v>46008</v>
      </c>
      <c r="P1772" s="14">
        <v>46038</v>
      </c>
      <c r="Q1772">
        <v>566.35</v>
      </c>
      <c r="R1772">
        <v>0</v>
      </c>
      <c r="S1772">
        <v>0</v>
      </c>
      <c r="T1772">
        <v>0</v>
      </c>
      <c r="U1772">
        <v>0</v>
      </c>
      <c r="V1772">
        <v>566.35</v>
      </c>
      <c r="W1772">
        <v>0</v>
      </c>
      <c r="X1772">
        <v>1</v>
      </c>
      <c r="Y1772">
        <v>0</v>
      </c>
      <c r="Z1772">
        <v>-16</v>
      </c>
      <c r="AA1772">
        <v>1</v>
      </c>
      <c r="AB1772" s="13" t="s">
        <v>581</v>
      </c>
      <c r="AC1772">
        <v>0</v>
      </c>
      <c r="AD1772">
        <v>0</v>
      </c>
      <c r="AE1772" s="13" t="s">
        <v>61</v>
      </c>
    </row>
    <row r="1773" spans="1:31" x14ac:dyDescent="0.35">
      <c r="A1773" s="13" t="s">
        <v>2579</v>
      </c>
      <c r="B1773" s="13" t="s">
        <v>1553</v>
      </c>
      <c r="C1773" s="13" t="s">
        <v>1554</v>
      </c>
      <c r="D1773" s="13" t="s">
        <v>76</v>
      </c>
      <c r="E1773" s="13" t="s">
        <v>53</v>
      </c>
      <c r="F1773" s="13" t="s">
        <v>135</v>
      </c>
      <c r="G1773" s="13" t="s">
        <v>55</v>
      </c>
      <c r="H1773">
        <v>95000</v>
      </c>
      <c r="I1773" s="13" t="s">
        <v>79</v>
      </c>
      <c r="J1773" s="13" t="s">
        <v>80</v>
      </c>
      <c r="K1773" s="13" t="s">
        <v>81</v>
      </c>
      <c r="L1773" s="13" t="s">
        <v>95</v>
      </c>
      <c r="M1773">
        <v>30</v>
      </c>
      <c r="N1773">
        <v>0</v>
      </c>
      <c r="O1773" s="14">
        <v>46008</v>
      </c>
      <c r="P1773" s="14">
        <v>46038</v>
      </c>
      <c r="Q1773">
        <v>2962.22</v>
      </c>
      <c r="R1773">
        <v>0</v>
      </c>
      <c r="S1773">
        <v>0</v>
      </c>
      <c r="T1773">
        <v>0</v>
      </c>
      <c r="U1773">
        <v>0</v>
      </c>
      <c r="V1773">
        <v>2962.22</v>
      </c>
      <c r="W1773">
        <v>0</v>
      </c>
      <c r="X1773">
        <v>1</v>
      </c>
      <c r="Y1773">
        <v>0</v>
      </c>
      <c r="Z1773">
        <v>-16</v>
      </c>
      <c r="AA1773">
        <v>1</v>
      </c>
      <c r="AB1773" s="13" t="s">
        <v>581</v>
      </c>
      <c r="AC1773">
        <v>0</v>
      </c>
      <c r="AD1773">
        <v>0</v>
      </c>
      <c r="AE1773" s="13" t="s">
        <v>61</v>
      </c>
    </row>
    <row r="1774" spans="1:31" x14ac:dyDescent="0.35">
      <c r="A1774" s="13" t="s">
        <v>2580</v>
      </c>
      <c r="B1774" s="13" t="s">
        <v>270</v>
      </c>
      <c r="C1774" s="13" t="s">
        <v>271</v>
      </c>
      <c r="D1774" s="13" t="s">
        <v>52</v>
      </c>
      <c r="E1774" s="13" t="s">
        <v>71</v>
      </c>
      <c r="F1774" s="13" t="s">
        <v>72</v>
      </c>
      <c r="G1774" s="13" t="s">
        <v>67</v>
      </c>
      <c r="H1774">
        <v>555000</v>
      </c>
      <c r="I1774" s="13" t="s">
        <v>56</v>
      </c>
      <c r="J1774" s="13" t="s">
        <v>57</v>
      </c>
      <c r="K1774" s="13" t="s">
        <v>58</v>
      </c>
      <c r="L1774" s="13" t="s">
        <v>88</v>
      </c>
      <c r="M1774">
        <v>60</v>
      </c>
      <c r="N1774">
        <v>0</v>
      </c>
      <c r="O1774" s="14">
        <v>46008</v>
      </c>
      <c r="P1774" s="14">
        <v>46068</v>
      </c>
      <c r="Q1774">
        <v>2401.02</v>
      </c>
      <c r="R1774">
        <v>0</v>
      </c>
      <c r="S1774">
        <v>0</v>
      </c>
      <c r="T1774">
        <v>0</v>
      </c>
      <c r="U1774">
        <v>0</v>
      </c>
      <c r="V1774">
        <v>2401.02</v>
      </c>
      <c r="W1774">
        <v>0</v>
      </c>
      <c r="X1774">
        <v>1</v>
      </c>
      <c r="Y1774">
        <v>0</v>
      </c>
      <c r="Z1774">
        <v>-46</v>
      </c>
      <c r="AA1774">
        <v>1</v>
      </c>
      <c r="AB1774" s="13" t="s">
        <v>581</v>
      </c>
      <c r="AC1774">
        <v>0</v>
      </c>
      <c r="AD1774">
        <v>0</v>
      </c>
      <c r="AE1774" s="13" t="s">
        <v>61</v>
      </c>
    </row>
    <row r="1775" spans="1:31" x14ac:dyDescent="0.35">
      <c r="A1775" s="13" t="s">
        <v>2581</v>
      </c>
      <c r="B1775" s="13" t="s">
        <v>418</v>
      </c>
      <c r="C1775" s="13" t="s">
        <v>419</v>
      </c>
      <c r="D1775" s="13" t="s">
        <v>52</v>
      </c>
      <c r="E1775" s="13" t="s">
        <v>99</v>
      </c>
      <c r="F1775" s="13" t="s">
        <v>100</v>
      </c>
      <c r="G1775" s="13" t="s">
        <v>67</v>
      </c>
      <c r="H1775">
        <v>535000</v>
      </c>
      <c r="I1775" s="13" t="s">
        <v>86</v>
      </c>
      <c r="J1775" s="13" t="s">
        <v>87</v>
      </c>
      <c r="K1775" s="13" t="s">
        <v>58</v>
      </c>
      <c r="L1775" s="13" t="s">
        <v>59</v>
      </c>
      <c r="M1775">
        <v>45</v>
      </c>
      <c r="N1775">
        <v>0</v>
      </c>
      <c r="O1775" s="14">
        <v>46008</v>
      </c>
      <c r="P1775" s="14">
        <v>46053</v>
      </c>
      <c r="Q1775">
        <v>2231.14</v>
      </c>
      <c r="R1775">
        <v>0</v>
      </c>
      <c r="S1775">
        <v>0</v>
      </c>
      <c r="T1775">
        <v>0</v>
      </c>
      <c r="U1775">
        <v>0</v>
      </c>
      <c r="V1775">
        <v>2231.14</v>
      </c>
      <c r="W1775">
        <v>0</v>
      </c>
      <c r="X1775">
        <v>1</v>
      </c>
      <c r="Y1775">
        <v>0</v>
      </c>
      <c r="Z1775">
        <v>-31</v>
      </c>
      <c r="AA1775">
        <v>1</v>
      </c>
      <c r="AB1775" s="13" t="s">
        <v>581</v>
      </c>
      <c r="AC1775">
        <v>0</v>
      </c>
      <c r="AD1775">
        <v>0</v>
      </c>
      <c r="AE1775" s="13" t="s">
        <v>61</v>
      </c>
    </row>
    <row r="1776" spans="1:31" x14ac:dyDescent="0.35">
      <c r="A1776" s="13" t="s">
        <v>2582</v>
      </c>
      <c r="B1776" s="13" t="s">
        <v>667</v>
      </c>
      <c r="C1776" s="13" t="s">
        <v>668</v>
      </c>
      <c r="D1776" s="13" t="s">
        <v>126</v>
      </c>
      <c r="E1776" s="13" t="s">
        <v>65</v>
      </c>
      <c r="F1776" s="13" t="s">
        <v>66</v>
      </c>
      <c r="G1776" s="13" t="s">
        <v>67</v>
      </c>
      <c r="H1776">
        <v>180000</v>
      </c>
      <c r="I1776" s="13" t="s">
        <v>86</v>
      </c>
      <c r="J1776" s="13" t="s">
        <v>87</v>
      </c>
      <c r="K1776" s="13" t="s">
        <v>58</v>
      </c>
      <c r="L1776" s="13" t="s">
        <v>88</v>
      </c>
      <c r="M1776">
        <v>60</v>
      </c>
      <c r="N1776">
        <v>0</v>
      </c>
      <c r="O1776" s="14">
        <v>46008</v>
      </c>
      <c r="P1776" s="14">
        <v>46068</v>
      </c>
      <c r="Q1776">
        <v>1289.8800000000001</v>
      </c>
      <c r="R1776">
        <v>0</v>
      </c>
      <c r="S1776">
        <v>0</v>
      </c>
      <c r="T1776">
        <v>0</v>
      </c>
      <c r="U1776">
        <v>0</v>
      </c>
      <c r="V1776">
        <v>1289.8800000000001</v>
      </c>
      <c r="W1776">
        <v>0</v>
      </c>
      <c r="X1776">
        <v>1</v>
      </c>
      <c r="Y1776">
        <v>0</v>
      </c>
      <c r="Z1776">
        <v>-46</v>
      </c>
      <c r="AA1776">
        <v>1</v>
      </c>
      <c r="AB1776" s="13" t="s">
        <v>581</v>
      </c>
      <c r="AC1776">
        <v>0</v>
      </c>
      <c r="AD1776">
        <v>0</v>
      </c>
      <c r="AE1776" s="13" t="s">
        <v>61</v>
      </c>
    </row>
    <row r="1777" spans="1:31" x14ac:dyDescent="0.35">
      <c r="A1777" s="13" t="s">
        <v>2583</v>
      </c>
      <c r="B1777" s="13" t="s">
        <v>1467</v>
      </c>
      <c r="C1777" s="13" t="s">
        <v>1468</v>
      </c>
      <c r="D1777" s="13" t="s">
        <v>104</v>
      </c>
      <c r="E1777" s="13" t="s">
        <v>99</v>
      </c>
      <c r="F1777" s="13" t="s">
        <v>127</v>
      </c>
      <c r="G1777" s="13" t="s">
        <v>55</v>
      </c>
      <c r="H1777">
        <v>135000</v>
      </c>
      <c r="I1777" s="13" t="s">
        <v>121</v>
      </c>
      <c r="J1777" s="13" t="s">
        <v>122</v>
      </c>
      <c r="K1777" s="13" t="s">
        <v>107</v>
      </c>
      <c r="L1777" s="13" t="s">
        <v>95</v>
      </c>
      <c r="M1777">
        <v>30</v>
      </c>
      <c r="N1777">
        <v>0</v>
      </c>
      <c r="O1777" s="14">
        <v>46008</v>
      </c>
      <c r="P1777" s="14">
        <v>46038</v>
      </c>
      <c r="Q1777">
        <v>7923.1</v>
      </c>
      <c r="R1777">
        <v>0</v>
      </c>
      <c r="S1777">
        <v>0</v>
      </c>
      <c r="T1777">
        <v>0</v>
      </c>
      <c r="U1777">
        <v>0</v>
      </c>
      <c r="V1777">
        <v>7923.1</v>
      </c>
      <c r="W1777">
        <v>0</v>
      </c>
      <c r="X1777">
        <v>1</v>
      </c>
      <c r="Y1777">
        <v>0</v>
      </c>
      <c r="Z1777">
        <v>-16</v>
      </c>
      <c r="AA1777">
        <v>1</v>
      </c>
      <c r="AB1777" s="13" t="s">
        <v>581</v>
      </c>
      <c r="AC1777">
        <v>0</v>
      </c>
      <c r="AD1777">
        <v>0</v>
      </c>
      <c r="AE1777" s="13" t="s">
        <v>61</v>
      </c>
    </row>
    <row r="1778" spans="1:31" x14ac:dyDescent="0.35">
      <c r="A1778" s="13" t="s">
        <v>2584</v>
      </c>
      <c r="B1778" s="13" t="s">
        <v>1819</v>
      </c>
      <c r="C1778" s="13" t="s">
        <v>1820</v>
      </c>
      <c r="D1778" s="13" t="s">
        <v>126</v>
      </c>
      <c r="E1778" s="13" t="s">
        <v>71</v>
      </c>
      <c r="F1778" s="13" t="s">
        <v>72</v>
      </c>
      <c r="G1778" s="13" t="s">
        <v>67</v>
      </c>
      <c r="H1778">
        <v>90000</v>
      </c>
      <c r="I1778" s="13" t="s">
        <v>105</v>
      </c>
      <c r="J1778" s="13" t="s">
        <v>106</v>
      </c>
      <c r="K1778" s="13" t="s">
        <v>107</v>
      </c>
      <c r="L1778" s="13" t="s">
        <v>88</v>
      </c>
      <c r="M1778">
        <v>60</v>
      </c>
      <c r="N1778">
        <v>0</v>
      </c>
      <c r="O1778" s="14">
        <v>46008</v>
      </c>
      <c r="P1778" s="14">
        <v>46068</v>
      </c>
      <c r="Q1778">
        <v>4421.37</v>
      </c>
      <c r="R1778">
        <v>0</v>
      </c>
      <c r="S1778">
        <v>0</v>
      </c>
      <c r="T1778">
        <v>0</v>
      </c>
      <c r="U1778">
        <v>0</v>
      </c>
      <c r="V1778">
        <v>4421.37</v>
      </c>
      <c r="W1778">
        <v>0</v>
      </c>
      <c r="X1778">
        <v>1</v>
      </c>
      <c r="Y1778">
        <v>0</v>
      </c>
      <c r="Z1778">
        <v>-46</v>
      </c>
      <c r="AA1778">
        <v>1</v>
      </c>
      <c r="AB1778" s="13" t="s">
        <v>581</v>
      </c>
      <c r="AC1778">
        <v>0</v>
      </c>
      <c r="AD1778">
        <v>0</v>
      </c>
      <c r="AE1778" s="13" t="s">
        <v>61</v>
      </c>
    </row>
    <row r="1779" spans="1:31" x14ac:dyDescent="0.35">
      <c r="A1779" s="13" t="s">
        <v>2585</v>
      </c>
      <c r="B1779" s="13" t="s">
        <v>854</v>
      </c>
      <c r="C1779" s="13" t="s">
        <v>855</v>
      </c>
      <c r="D1779" s="13" t="s">
        <v>52</v>
      </c>
      <c r="E1779" s="13" t="s">
        <v>77</v>
      </c>
      <c r="F1779" s="13" t="s">
        <v>78</v>
      </c>
      <c r="G1779" s="13" t="s">
        <v>67</v>
      </c>
      <c r="H1779">
        <v>385000</v>
      </c>
      <c r="I1779" s="13" t="s">
        <v>86</v>
      </c>
      <c r="J1779" s="13" t="s">
        <v>87</v>
      </c>
      <c r="K1779" s="13" t="s">
        <v>58</v>
      </c>
      <c r="L1779" s="13" t="s">
        <v>88</v>
      </c>
      <c r="M1779">
        <v>60</v>
      </c>
      <c r="N1779">
        <v>0</v>
      </c>
      <c r="O1779" s="14">
        <v>46008</v>
      </c>
      <c r="P1779" s="14">
        <v>46068</v>
      </c>
      <c r="Q1779">
        <v>4372.21</v>
      </c>
      <c r="R1779">
        <v>0</v>
      </c>
      <c r="S1779">
        <v>0</v>
      </c>
      <c r="T1779">
        <v>0</v>
      </c>
      <c r="U1779">
        <v>0</v>
      </c>
      <c r="V1779">
        <v>4372.21</v>
      </c>
      <c r="W1779">
        <v>0</v>
      </c>
      <c r="X1779">
        <v>1</v>
      </c>
      <c r="Y1779">
        <v>0</v>
      </c>
      <c r="Z1779">
        <v>-46</v>
      </c>
      <c r="AA1779">
        <v>1</v>
      </c>
      <c r="AB1779" s="13" t="s">
        <v>581</v>
      </c>
      <c r="AC1779">
        <v>0</v>
      </c>
      <c r="AD1779">
        <v>0</v>
      </c>
      <c r="AE1779" s="13" t="s">
        <v>61</v>
      </c>
    </row>
    <row r="1780" spans="1:31" x14ac:dyDescent="0.35">
      <c r="A1780" s="13" t="s">
        <v>2586</v>
      </c>
      <c r="B1780" s="13" t="s">
        <v>539</v>
      </c>
      <c r="C1780" s="13" t="s">
        <v>540</v>
      </c>
      <c r="D1780" s="13" t="s">
        <v>52</v>
      </c>
      <c r="E1780" s="13" t="s">
        <v>65</v>
      </c>
      <c r="F1780" s="13" t="s">
        <v>66</v>
      </c>
      <c r="G1780" s="13" t="s">
        <v>67</v>
      </c>
      <c r="H1780">
        <v>435000</v>
      </c>
      <c r="I1780" s="13" t="s">
        <v>56</v>
      </c>
      <c r="J1780" s="13" t="s">
        <v>57</v>
      </c>
      <c r="K1780" s="13" t="s">
        <v>58</v>
      </c>
      <c r="L1780" s="13" t="s">
        <v>59</v>
      </c>
      <c r="M1780">
        <v>45</v>
      </c>
      <c r="N1780">
        <v>0</v>
      </c>
      <c r="O1780" s="14">
        <v>46008</v>
      </c>
      <c r="P1780" s="14">
        <v>46053</v>
      </c>
      <c r="Q1780">
        <v>10766.65</v>
      </c>
      <c r="R1780">
        <v>0</v>
      </c>
      <c r="S1780">
        <v>0</v>
      </c>
      <c r="T1780">
        <v>0</v>
      </c>
      <c r="U1780">
        <v>0</v>
      </c>
      <c r="V1780">
        <v>10766.65</v>
      </c>
      <c r="W1780">
        <v>0</v>
      </c>
      <c r="X1780">
        <v>1</v>
      </c>
      <c r="Y1780">
        <v>0</v>
      </c>
      <c r="Z1780">
        <v>-31</v>
      </c>
      <c r="AA1780">
        <v>1</v>
      </c>
      <c r="AB1780" s="13" t="s">
        <v>581</v>
      </c>
      <c r="AC1780">
        <v>0</v>
      </c>
      <c r="AD1780">
        <v>0</v>
      </c>
      <c r="AE1780" s="13" t="s">
        <v>61</v>
      </c>
    </row>
    <row r="1781" spans="1:31" x14ac:dyDescent="0.35">
      <c r="A1781" s="13" t="s">
        <v>2587</v>
      </c>
      <c r="B1781" s="13" t="s">
        <v>219</v>
      </c>
      <c r="C1781" s="13" t="s">
        <v>220</v>
      </c>
      <c r="D1781" s="13" t="s">
        <v>76</v>
      </c>
      <c r="E1781" s="13" t="s">
        <v>71</v>
      </c>
      <c r="F1781" s="13" t="s">
        <v>72</v>
      </c>
      <c r="G1781" s="13" t="s">
        <v>55</v>
      </c>
      <c r="H1781">
        <v>65000</v>
      </c>
      <c r="I1781" s="13" t="s">
        <v>79</v>
      </c>
      <c r="J1781" s="13" t="s">
        <v>80</v>
      </c>
      <c r="K1781" s="13" t="s">
        <v>81</v>
      </c>
      <c r="L1781" s="13" t="s">
        <v>95</v>
      </c>
      <c r="M1781">
        <v>30</v>
      </c>
      <c r="N1781">
        <v>0</v>
      </c>
      <c r="O1781" s="14">
        <v>46008</v>
      </c>
      <c r="P1781" s="14">
        <v>46038</v>
      </c>
      <c r="Q1781">
        <v>2117.5700000000002</v>
      </c>
      <c r="R1781">
        <v>0</v>
      </c>
      <c r="S1781">
        <v>0</v>
      </c>
      <c r="T1781">
        <v>0</v>
      </c>
      <c r="U1781">
        <v>0</v>
      </c>
      <c r="V1781">
        <v>2117.5700000000002</v>
      </c>
      <c r="W1781">
        <v>0</v>
      </c>
      <c r="X1781">
        <v>1</v>
      </c>
      <c r="Y1781">
        <v>0</v>
      </c>
      <c r="Z1781">
        <v>-16</v>
      </c>
      <c r="AA1781">
        <v>1</v>
      </c>
      <c r="AB1781" s="13" t="s">
        <v>581</v>
      </c>
      <c r="AC1781">
        <v>0</v>
      </c>
      <c r="AD1781">
        <v>0</v>
      </c>
      <c r="AE1781" s="13" t="s">
        <v>61</v>
      </c>
    </row>
    <row r="1782" spans="1:31" x14ac:dyDescent="0.35">
      <c r="A1782" s="13" t="s">
        <v>2588</v>
      </c>
      <c r="B1782" s="13" t="s">
        <v>834</v>
      </c>
      <c r="C1782" s="13" t="s">
        <v>835</v>
      </c>
      <c r="D1782" s="13" t="s">
        <v>104</v>
      </c>
      <c r="E1782" s="13" t="s">
        <v>77</v>
      </c>
      <c r="F1782" s="13" t="s">
        <v>174</v>
      </c>
      <c r="G1782" s="13" t="s">
        <v>67</v>
      </c>
      <c r="H1782">
        <v>140000</v>
      </c>
      <c r="I1782" s="13" t="s">
        <v>105</v>
      </c>
      <c r="J1782" s="13" t="s">
        <v>106</v>
      </c>
      <c r="K1782" s="13" t="s">
        <v>107</v>
      </c>
      <c r="L1782" s="13" t="s">
        <v>95</v>
      </c>
      <c r="M1782">
        <v>30</v>
      </c>
      <c r="N1782">
        <v>0</v>
      </c>
      <c r="O1782" s="14">
        <v>46008</v>
      </c>
      <c r="P1782" s="14">
        <v>46038</v>
      </c>
      <c r="Q1782">
        <v>1008.44</v>
      </c>
      <c r="R1782">
        <v>0</v>
      </c>
      <c r="S1782">
        <v>0</v>
      </c>
      <c r="T1782">
        <v>0</v>
      </c>
      <c r="U1782">
        <v>0</v>
      </c>
      <c r="V1782">
        <v>1008.44</v>
      </c>
      <c r="W1782">
        <v>0</v>
      </c>
      <c r="X1782">
        <v>1</v>
      </c>
      <c r="Y1782">
        <v>0</v>
      </c>
      <c r="Z1782">
        <v>-16</v>
      </c>
      <c r="AA1782">
        <v>1</v>
      </c>
      <c r="AB1782" s="13" t="s">
        <v>581</v>
      </c>
      <c r="AC1782">
        <v>0</v>
      </c>
      <c r="AD1782">
        <v>0</v>
      </c>
      <c r="AE1782" s="13" t="s">
        <v>61</v>
      </c>
    </row>
    <row r="1783" spans="1:31" x14ac:dyDescent="0.35">
      <c r="A1783" s="13" t="s">
        <v>2589</v>
      </c>
      <c r="B1783" s="13" t="s">
        <v>2138</v>
      </c>
      <c r="C1783" s="13" t="s">
        <v>2139</v>
      </c>
      <c r="D1783" s="13" t="s">
        <v>76</v>
      </c>
      <c r="E1783" s="13" t="s">
        <v>53</v>
      </c>
      <c r="F1783" s="13" t="s">
        <v>135</v>
      </c>
      <c r="G1783" s="13" t="s">
        <v>55</v>
      </c>
      <c r="H1783">
        <v>105000</v>
      </c>
      <c r="I1783" s="13" t="s">
        <v>79</v>
      </c>
      <c r="J1783" s="13" t="s">
        <v>80</v>
      </c>
      <c r="K1783" s="13" t="s">
        <v>81</v>
      </c>
      <c r="L1783" s="13" t="s">
        <v>95</v>
      </c>
      <c r="M1783">
        <v>30</v>
      </c>
      <c r="N1783">
        <v>0</v>
      </c>
      <c r="O1783" s="14">
        <v>46008</v>
      </c>
      <c r="P1783" s="14">
        <v>46038</v>
      </c>
      <c r="Q1783">
        <v>714.95</v>
      </c>
      <c r="R1783">
        <v>0</v>
      </c>
      <c r="S1783">
        <v>0</v>
      </c>
      <c r="T1783">
        <v>0</v>
      </c>
      <c r="U1783">
        <v>0</v>
      </c>
      <c r="V1783">
        <v>714.95</v>
      </c>
      <c r="W1783">
        <v>0</v>
      </c>
      <c r="X1783">
        <v>1</v>
      </c>
      <c r="Y1783">
        <v>0</v>
      </c>
      <c r="Z1783">
        <v>-16</v>
      </c>
      <c r="AA1783">
        <v>1</v>
      </c>
      <c r="AB1783" s="13" t="s">
        <v>581</v>
      </c>
      <c r="AC1783">
        <v>0</v>
      </c>
      <c r="AD1783">
        <v>0</v>
      </c>
      <c r="AE1783" s="13" t="s">
        <v>61</v>
      </c>
    </row>
    <row r="1784" spans="1:31" x14ac:dyDescent="0.35">
      <c r="A1784" s="13" t="s">
        <v>2590</v>
      </c>
      <c r="B1784" s="13" t="s">
        <v>109</v>
      </c>
      <c r="C1784" s="13" t="s">
        <v>110</v>
      </c>
      <c r="D1784" s="13" t="s">
        <v>52</v>
      </c>
      <c r="E1784" s="13" t="s">
        <v>65</v>
      </c>
      <c r="F1784" s="13" t="s">
        <v>111</v>
      </c>
      <c r="G1784" s="13" t="s">
        <v>67</v>
      </c>
      <c r="H1784">
        <v>455000</v>
      </c>
      <c r="I1784" s="13" t="s">
        <v>86</v>
      </c>
      <c r="J1784" s="13" t="s">
        <v>87</v>
      </c>
      <c r="K1784" s="13" t="s">
        <v>58</v>
      </c>
      <c r="L1784" s="13" t="s">
        <v>59</v>
      </c>
      <c r="M1784">
        <v>45</v>
      </c>
      <c r="N1784">
        <v>0</v>
      </c>
      <c r="O1784" s="14">
        <v>46008</v>
      </c>
      <c r="P1784" s="14">
        <v>46053</v>
      </c>
      <c r="Q1784">
        <v>1625.03</v>
      </c>
      <c r="R1784">
        <v>0</v>
      </c>
      <c r="S1784">
        <v>0</v>
      </c>
      <c r="T1784">
        <v>0</v>
      </c>
      <c r="U1784">
        <v>0</v>
      </c>
      <c r="V1784">
        <v>1625.03</v>
      </c>
      <c r="W1784">
        <v>0</v>
      </c>
      <c r="X1784">
        <v>1</v>
      </c>
      <c r="Y1784">
        <v>0</v>
      </c>
      <c r="Z1784">
        <v>-31</v>
      </c>
      <c r="AA1784">
        <v>1</v>
      </c>
      <c r="AB1784" s="13" t="s">
        <v>581</v>
      </c>
      <c r="AC1784">
        <v>0</v>
      </c>
      <c r="AD1784">
        <v>0</v>
      </c>
      <c r="AE1784" s="13" t="s">
        <v>61</v>
      </c>
    </row>
    <row r="1785" spans="1:31" x14ac:dyDescent="0.35">
      <c r="A1785" s="13" t="s">
        <v>2591</v>
      </c>
      <c r="B1785" s="13" t="s">
        <v>312</v>
      </c>
      <c r="C1785" s="13" t="s">
        <v>313</v>
      </c>
      <c r="D1785" s="13" t="s">
        <v>52</v>
      </c>
      <c r="E1785" s="13" t="s">
        <v>77</v>
      </c>
      <c r="F1785" s="13" t="s">
        <v>174</v>
      </c>
      <c r="G1785" s="13" t="s">
        <v>55</v>
      </c>
      <c r="H1785">
        <v>600000</v>
      </c>
      <c r="I1785" s="13" t="s">
        <v>56</v>
      </c>
      <c r="J1785" s="13" t="s">
        <v>57</v>
      </c>
      <c r="K1785" s="13" t="s">
        <v>58</v>
      </c>
      <c r="L1785" s="13" t="s">
        <v>88</v>
      </c>
      <c r="M1785">
        <v>60</v>
      </c>
      <c r="N1785">
        <v>0</v>
      </c>
      <c r="O1785" s="14">
        <v>46008</v>
      </c>
      <c r="P1785" s="14">
        <v>46068</v>
      </c>
      <c r="Q1785">
        <v>3267.36</v>
      </c>
      <c r="R1785">
        <v>0</v>
      </c>
      <c r="S1785">
        <v>0</v>
      </c>
      <c r="T1785">
        <v>0</v>
      </c>
      <c r="U1785">
        <v>0</v>
      </c>
      <c r="V1785">
        <v>3267.36</v>
      </c>
      <c r="W1785">
        <v>0</v>
      </c>
      <c r="X1785">
        <v>1</v>
      </c>
      <c r="Y1785">
        <v>0</v>
      </c>
      <c r="Z1785">
        <v>-46</v>
      </c>
      <c r="AA1785">
        <v>1</v>
      </c>
      <c r="AB1785" s="13" t="s">
        <v>581</v>
      </c>
      <c r="AC1785">
        <v>0</v>
      </c>
      <c r="AD1785">
        <v>0</v>
      </c>
      <c r="AE1785" s="13" t="s">
        <v>61</v>
      </c>
    </row>
    <row r="1786" spans="1:31" x14ac:dyDescent="0.35">
      <c r="A1786" s="13" t="s">
        <v>2592</v>
      </c>
      <c r="B1786" s="13" t="s">
        <v>1520</v>
      </c>
      <c r="C1786" s="13" t="s">
        <v>1521</v>
      </c>
      <c r="D1786" s="13" t="s">
        <v>76</v>
      </c>
      <c r="E1786" s="13" t="s">
        <v>53</v>
      </c>
      <c r="F1786" s="13" t="s">
        <v>135</v>
      </c>
      <c r="G1786" s="13" t="s">
        <v>55</v>
      </c>
      <c r="H1786">
        <v>110000</v>
      </c>
      <c r="I1786" s="13" t="s">
        <v>79</v>
      </c>
      <c r="J1786" s="13" t="s">
        <v>80</v>
      </c>
      <c r="K1786" s="13" t="s">
        <v>81</v>
      </c>
      <c r="L1786" s="13" t="s">
        <v>95</v>
      </c>
      <c r="M1786">
        <v>30</v>
      </c>
      <c r="N1786">
        <v>0</v>
      </c>
      <c r="O1786" s="14">
        <v>46008</v>
      </c>
      <c r="P1786" s="14">
        <v>46038</v>
      </c>
      <c r="Q1786">
        <v>2019.4</v>
      </c>
      <c r="R1786">
        <v>0</v>
      </c>
      <c r="S1786">
        <v>0</v>
      </c>
      <c r="T1786">
        <v>0</v>
      </c>
      <c r="U1786">
        <v>0</v>
      </c>
      <c r="V1786">
        <v>2019.4</v>
      </c>
      <c r="W1786">
        <v>0</v>
      </c>
      <c r="X1786">
        <v>1</v>
      </c>
      <c r="Y1786">
        <v>0</v>
      </c>
      <c r="Z1786">
        <v>-16</v>
      </c>
      <c r="AA1786">
        <v>1</v>
      </c>
      <c r="AB1786" s="13" t="s">
        <v>581</v>
      </c>
      <c r="AC1786">
        <v>0</v>
      </c>
      <c r="AD1786">
        <v>0</v>
      </c>
      <c r="AE1786" s="13" t="s">
        <v>61</v>
      </c>
    </row>
    <row r="1787" spans="1:31" x14ac:dyDescent="0.35">
      <c r="A1787" s="13" t="s">
        <v>2593</v>
      </c>
      <c r="B1787" s="13" t="s">
        <v>641</v>
      </c>
      <c r="C1787" s="13" t="s">
        <v>642</v>
      </c>
      <c r="D1787" s="13" t="s">
        <v>52</v>
      </c>
      <c r="E1787" s="13" t="s">
        <v>99</v>
      </c>
      <c r="F1787" s="13" t="s">
        <v>127</v>
      </c>
      <c r="G1787" s="13" t="s">
        <v>67</v>
      </c>
      <c r="H1787">
        <v>315000</v>
      </c>
      <c r="I1787" s="13" t="s">
        <v>56</v>
      </c>
      <c r="J1787" s="13" t="s">
        <v>57</v>
      </c>
      <c r="K1787" s="13" t="s">
        <v>58</v>
      </c>
      <c r="L1787" s="13" t="s">
        <v>88</v>
      </c>
      <c r="M1787">
        <v>60</v>
      </c>
      <c r="N1787">
        <v>0</v>
      </c>
      <c r="O1787" s="14">
        <v>46008</v>
      </c>
      <c r="P1787" s="14">
        <v>46068</v>
      </c>
      <c r="Q1787">
        <v>3248.59</v>
      </c>
      <c r="R1787">
        <v>0</v>
      </c>
      <c r="S1787">
        <v>0</v>
      </c>
      <c r="T1787">
        <v>0</v>
      </c>
      <c r="U1787">
        <v>0</v>
      </c>
      <c r="V1787">
        <v>3248.59</v>
      </c>
      <c r="W1787">
        <v>0</v>
      </c>
      <c r="X1787">
        <v>1</v>
      </c>
      <c r="Y1787">
        <v>0</v>
      </c>
      <c r="Z1787">
        <v>-46</v>
      </c>
      <c r="AA1787">
        <v>1</v>
      </c>
      <c r="AB1787" s="13" t="s">
        <v>581</v>
      </c>
      <c r="AC1787">
        <v>0</v>
      </c>
      <c r="AD1787">
        <v>0</v>
      </c>
      <c r="AE1787" s="13" t="s">
        <v>61</v>
      </c>
    </row>
    <row r="1788" spans="1:31" x14ac:dyDescent="0.35">
      <c r="A1788" s="13" t="s">
        <v>2594</v>
      </c>
      <c r="B1788" s="13" t="s">
        <v>1727</v>
      </c>
      <c r="C1788" s="13" t="s">
        <v>1728</v>
      </c>
      <c r="D1788" s="13" t="s">
        <v>76</v>
      </c>
      <c r="E1788" s="13" t="s">
        <v>77</v>
      </c>
      <c r="F1788" s="13" t="s">
        <v>78</v>
      </c>
      <c r="G1788" s="13" t="s">
        <v>55</v>
      </c>
      <c r="H1788">
        <v>75000</v>
      </c>
      <c r="I1788" s="13" t="s">
        <v>79</v>
      </c>
      <c r="J1788" s="13" t="s">
        <v>80</v>
      </c>
      <c r="K1788" s="13" t="s">
        <v>81</v>
      </c>
      <c r="L1788" s="13" t="s">
        <v>82</v>
      </c>
      <c r="M1788">
        <v>30</v>
      </c>
      <c r="N1788">
        <v>2</v>
      </c>
      <c r="O1788" s="14">
        <v>46008</v>
      </c>
      <c r="P1788" s="14">
        <v>46038</v>
      </c>
      <c r="Q1788">
        <v>3934.7</v>
      </c>
      <c r="R1788">
        <v>0</v>
      </c>
      <c r="S1788">
        <v>0</v>
      </c>
      <c r="T1788">
        <v>0</v>
      </c>
      <c r="U1788">
        <v>0</v>
      </c>
      <c r="V1788">
        <v>3934.7</v>
      </c>
      <c r="W1788">
        <v>0</v>
      </c>
      <c r="X1788">
        <v>1</v>
      </c>
      <c r="Y1788">
        <v>0</v>
      </c>
      <c r="Z1788">
        <v>-16</v>
      </c>
      <c r="AA1788">
        <v>1</v>
      </c>
      <c r="AB1788" s="13" t="s">
        <v>581</v>
      </c>
      <c r="AC1788">
        <v>0</v>
      </c>
      <c r="AD1788">
        <v>0</v>
      </c>
      <c r="AE1788" s="13" t="s">
        <v>61</v>
      </c>
    </row>
    <row r="1789" spans="1:31" x14ac:dyDescent="0.35">
      <c r="A1789" s="13" t="s">
        <v>2595</v>
      </c>
      <c r="B1789" s="13" t="s">
        <v>481</v>
      </c>
      <c r="C1789" s="13" t="s">
        <v>482</v>
      </c>
      <c r="D1789" s="13" t="s">
        <v>76</v>
      </c>
      <c r="E1789" s="13" t="s">
        <v>53</v>
      </c>
      <c r="F1789" s="13" t="s">
        <v>54</v>
      </c>
      <c r="G1789" s="13" t="s">
        <v>67</v>
      </c>
      <c r="H1789">
        <v>60000</v>
      </c>
      <c r="I1789" s="13" t="s">
        <v>79</v>
      </c>
      <c r="J1789" s="13" t="s">
        <v>80</v>
      </c>
      <c r="K1789" s="13" t="s">
        <v>81</v>
      </c>
      <c r="L1789" s="13" t="s">
        <v>95</v>
      </c>
      <c r="M1789">
        <v>30</v>
      </c>
      <c r="N1789">
        <v>0</v>
      </c>
      <c r="O1789" s="14">
        <v>46008</v>
      </c>
      <c r="P1789" s="14">
        <v>46038</v>
      </c>
      <c r="Q1789">
        <v>2013.17</v>
      </c>
      <c r="R1789">
        <v>0</v>
      </c>
      <c r="S1789">
        <v>0</v>
      </c>
      <c r="T1789">
        <v>0</v>
      </c>
      <c r="U1789">
        <v>0</v>
      </c>
      <c r="V1789">
        <v>2013.17</v>
      </c>
      <c r="W1789">
        <v>0</v>
      </c>
      <c r="X1789">
        <v>1</v>
      </c>
      <c r="Y1789">
        <v>0</v>
      </c>
      <c r="Z1789">
        <v>-16</v>
      </c>
      <c r="AA1789">
        <v>1</v>
      </c>
      <c r="AB1789" s="13" t="s">
        <v>581</v>
      </c>
      <c r="AC1789">
        <v>0</v>
      </c>
      <c r="AD1789">
        <v>0</v>
      </c>
      <c r="AE1789" s="13" t="s">
        <v>61</v>
      </c>
    </row>
    <row r="1790" spans="1:31" x14ac:dyDescent="0.35">
      <c r="A1790" s="13" t="s">
        <v>2596</v>
      </c>
      <c r="B1790" s="13" t="s">
        <v>644</v>
      </c>
      <c r="C1790" s="13" t="s">
        <v>645</v>
      </c>
      <c r="D1790" s="13" t="s">
        <v>76</v>
      </c>
      <c r="E1790" s="13" t="s">
        <v>53</v>
      </c>
      <c r="F1790" s="13" t="s">
        <v>54</v>
      </c>
      <c r="G1790" s="13" t="s">
        <v>92</v>
      </c>
      <c r="H1790">
        <v>35000</v>
      </c>
      <c r="I1790" s="13" t="s">
        <v>79</v>
      </c>
      <c r="J1790" s="13" t="s">
        <v>80</v>
      </c>
      <c r="K1790" s="13" t="s">
        <v>81</v>
      </c>
      <c r="L1790" s="13" t="s">
        <v>95</v>
      </c>
      <c r="M1790">
        <v>30</v>
      </c>
      <c r="N1790">
        <v>0</v>
      </c>
      <c r="O1790" s="14">
        <v>46008</v>
      </c>
      <c r="P1790" s="14">
        <v>46038</v>
      </c>
      <c r="Q1790">
        <v>454.83</v>
      </c>
      <c r="R1790">
        <v>0</v>
      </c>
      <c r="S1790">
        <v>0</v>
      </c>
      <c r="T1790">
        <v>0</v>
      </c>
      <c r="U1790">
        <v>0</v>
      </c>
      <c r="V1790">
        <v>454.83</v>
      </c>
      <c r="W1790">
        <v>0</v>
      </c>
      <c r="X1790">
        <v>1</v>
      </c>
      <c r="Y1790">
        <v>0</v>
      </c>
      <c r="Z1790">
        <v>-16</v>
      </c>
      <c r="AA1790">
        <v>1</v>
      </c>
      <c r="AB1790" s="13" t="s">
        <v>581</v>
      </c>
      <c r="AC1790">
        <v>0</v>
      </c>
      <c r="AD1790">
        <v>0</v>
      </c>
      <c r="AE1790" s="13" t="s">
        <v>61</v>
      </c>
    </row>
    <row r="1791" spans="1:31" x14ac:dyDescent="0.35">
      <c r="A1791" s="13" t="s">
        <v>2597</v>
      </c>
      <c r="B1791" s="13" t="s">
        <v>692</v>
      </c>
      <c r="C1791" s="13" t="s">
        <v>693</v>
      </c>
      <c r="D1791" s="13" t="s">
        <v>52</v>
      </c>
      <c r="E1791" s="13" t="s">
        <v>53</v>
      </c>
      <c r="F1791" s="13" t="s">
        <v>135</v>
      </c>
      <c r="G1791" s="13" t="s">
        <v>55</v>
      </c>
      <c r="H1791">
        <v>360000</v>
      </c>
      <c r="I1791" s="13" t="s">
        <v>56</v>
      </c>
      <c r="J1791" s="13" t="s">
        <v>57</v>
      </c>
      <c r="K1791" s="13" t="s">
        <v>58</v>
      </c>
      <c r="L1791" s="13" t="s">
        <v>88</v>
      </c>
      <c r="M1791">
        <v>60</v>
      </c>
      <c r="N1791">
        <v>0</v>
      </c>
      <c r="O1791" s="14">
        <v>46008</v>
      </c>
      <c r="P1791" s="14">
        <v>46068</v>
      </c>
      <c r="Q1791">
        <v>2401.62</v>
      </c>
      <c r="R1791">
        <v>0</v>
      </c>
      <c r="S1791">
        <v>0</v>
      </c>
      <c r="T1791">
        <v>0</v>
      </c>
      <c r="U1791">
        <v>0</v>
      </c>
      <c r="V1791">
        <v>2401.62</v>
      </c>
      <c r="W1791">
        <v>0</v>
      </c>
      <c r="X1791">
        <v>1</v>
      </c>
      <c r="Y1791">
        <v>0</v>
      </c>
      <c r="Z1791">
        <v>-46</v>
      </c>
      <c r="AA1791">
        <v>1</v>
      </c>
      <c r="AB1791" s="13" t="s">
        <v>581</v>
      </c>
      <c r="AC1791">
        <v>0</v>
      </c>
      <c r="AD1791">
        <v>0</v>
      </c>
      <c r="AE1791" s="13" t="s">
        <v>61</v>
      </c>
    </row>
    <row r="1792" spans="1:31" x14ac:dyDescent="0.35">
      <c r="A1792" s="13" t="s">
        <v>2598</v>
      </c>
      <c r="B1792" s="13" t="s">
        <v>2155</v>
      </c>
      <c r="C1792" s="13" t="s">
        <v>2156</v>
      </c>
      <c r="D1792" s="13" t="s">
        <v>76</v>
      </c>
      <c r="E1792" s="13" t="s">
        <v>53</v>
      </c>
      <c r="F1792" s="13" t="s">
        <v>135</v>
      </c>
      <c r="G1792" s="13" t="s">
        <v>67</v>
      </c>
      <c r="H1792">
        <v>120000</v>
      </c>
      <c r="I1792" s="13" t="s">
        <v>79</v>
      </c>
      <c r="J1792" s="13" t="s">
        <v>80</v>
      </c>
      <c r="K1792" s="13" t="s">
        <v>81</v>
      </c>
      <c r="L1792" s="13" t="s">
        <v>95</v>
      </c>
      <c r="M1792">
        <v>30</v>
      </c>
      <c r="N1792">
        <v>0</v>
      </c>
      <c r="O1792" s="14">
        <v>46008</v>
      </c>
      <c r="P1792" s="14">
        <v>46038</v>
      </c>
      <c r="Q1792">
        <v>4003.04</v>
      </c>
      <c r="R1792">
        <v>0</v>
      </c>
      <c r="S1792">
        <v>0</v>
      </c>
      <c r="T1792">
        <v>0</v>
      </c>
      <c r="U1792">
        <v>0</v>
      </c>
      <c r="V1792">
        <v>4003.04</v>
      </c>
      <c r="W1792">
        <v>0</v>
      </c>
      <c r="X1792">
        <v>1</v>
      </c>
      <c r="Y1792">
        <v>0</v>
      </c>
      <c r="Z1792">
        <v>-16</v>
      </c>
      <c r="AA1792">
        <v>1</v>
      </c>
      <c r="AB1792" s="13" t="s">
        <v>581</v>
      </c>
      <c r="AC1792">
        <v>0</v>
      </c>
      <c r="AD1792">
        <v>0</v>
      </c>
      <c r="AE1792" s="13" t="s">
        <v>61</v>
      </c>
    </row>
    <row r="1793" spans="1:31" x14ac:dyDescent="0.35">
      <c r="A1793" s="13" t="s">
        <v>2599</v>
      </c>
      <c r="B1793" s="13" t="s">
        <v>147</v>
      </c>
      <c r="C1793" s="13" t="s">
        <v>148</v>
      </c>
      <c r="D1793" s="13" t="s">
        <v>104</v>
      </c>
      <c r="E1793" s="13" t="s">
        <v>53</v>
      </c>
      <c r="F1793" s="13" t="s">
        <v>54</v>
      </c>
      <c r="G1793" s="13" t="s">
        <v>67</v>
      </c>
      <c r="H1793">
        <v>80000</v>
      </c>
      <c r="I1793" s="13" t="s">
        <v>105</v>
      </c>
      <c r="J1793" s="13" t="s">
        <v>106</v>
      </c>
      <c r="K1793" s="13" t="s">
        <v>107</v>
      </c>
      <c r="L1793" s="13" t="s">
        <v>88</v>
      </c>
      <c r="M1793">
        <v>60</v>
      </c>
      <c r="N1793">
        <v>0</v>
      </c>
      <c r="O1793" s="14">
        <v>46008</v>
      </c>
      <c r="P1793" s="14">
        <v>46068</v>
      </c>
      <c r="Q1793">
        <v>901.14</v>
      </c>
      <c r="R1793">
        <v>0</v>
      </c>
      <c r="S1793">
        <v>0</v>
      </c>
      <c r="T1793">
        <v>0</v>
      </c>
      <c r="U1793">
        <v>0</v>
      </c>
      <c r="V1793">
        <v>901.14</v>
      </c>
      <c r="W1793">
        <v>0</v>
      </c>
      <c r="X1793">
        <v>1</v>
      </c>
      <c r="Y1793">
        <v>0</v>
      </c>
      <c r="Z1793">
        <v>-46</v>
      </c>
      <c r="AA1793">
        <v>1</v>
      </c>
      <c r="AB1793" s="13" t="s">
        <v>581</v>
      </c>
      <c r="AC1793">
        <v>0</v>
      </c>
      <c r="AD1793">
        <v>0</v>
      </c>
      <c r="AE1793" s="13" t="s">
        <v>61</v>
      </c>
    </row>
    <row r="1794" spans="1:31" x14ac:dyDescent="0.35">
      <c r="A1794" s="13" t="s">
        <v>2600</v>
      </c>
      <c r="B1794" s="13" t="s">
        <v>862</v>
      </c>
      <c r="C1794" s="13" t="s">
        <v>863</v>
      </c>
      <c r="D1794" s="13" t="s">
        <v>126</v>
      </c>
      <c r="E1794" s="13" t="s">
        <v>99</v>
      </c>
      <c r="F1794" s="13" t="s">
        <v>127</v>
      </c>
      <c r="G1794" s="13" t="s">
        <v>67</v>
      </c>
      <c r="H1794">
        <v>110000</v>
      </c>
      <c r="I1794" s="13" t="s">
        <v>105</v>
      </c>
      <c r="J1794" s="13" t="s">
        <v>106</v>
      </c>
      <c r="K1794" s="13" t="s">
        <v>107</v>
      </c>
      <c r="L1794" s="13" t="s">
        <v>88</v>
      </c>
      <c r="M1794">
        <v>60</v>
      </c>
      <c r="N1794">
        <v>0</v>
      </c>
      <c r="O1794" s="14">
        <v>46008</v>
      </c>
      <c r="P1794" s="14">
        <v>46068</v>
      </c>
      <c r="Q1794">
        <v>1095.2</v>
      </c>
      <c r="R1794">
        <v>0</v>
      </c>
      <c r="S1794">
        <v>0</v>
      </c>
      <c r="T1794">
        <v>0</v>
      </c>
      <c r="U1794">
        <v>0</v>
      </c>
      <c r="V1794">
        <v>1095.2</v>
      </c>
      <c r="W1794">
        <v>0</v>
      </c>
      <c r="X1794">
        <v>1</v>
      </c>
      <c r="Y1794">
        <v>0</v>
      </c>
      <c r="Z1794">
        <v>-46</v>
      </c>
      <c r="AA1794">
        <v>1</v>
      </c>
      <c r="AB1794" s="13" t="s">
        <v>581</v>
      </c>
      <c r="AC1794">
        <v>0</v>
      </c>
      <c r="AD1794">
        <v>0</v>
      </c>
      <c r="AE1794" s="13" t="s">
        <v>61</v>
      </c>
    </row>
    <row r="1795" spans="1:31" x14ac:dyDescent="0.35">
      <c r="A1795" s="13" t="s">
        <v>2601</v>
      </c>
      <c r="B1795" s="13" t="s">
        <v>283</v>
      </c>
      <c r="C1795" s="13" t="s">
        <v>284</v>
      </c>
      <c r="D1795" s="13" t="s">
        <v>104</v>
      </c>
      <c r="E1795" s="13" t="s">
        <v>53</v>
      </c>
      <c r="F1795" s="13" t="s">
        <v>135</v>
      </c>
      <c r="G1795" s="13" t="s">
        <v>92</v>
      </c>
      <c r="H1795">
        <v>105000</v>
      </c>
      <c r="I1795" s="13" t="s">
        <v>105</v>
      </c>
      <c r="J1795" s="13" t="s">
        <v>106</v>
      </c>
      <c r="K1795" s="13" t="s">
        <v>107</v>
      </c>
      <c r="L1795" s="13" t="s">
        <v>82</v>
      </c>
      <c r="M1795">
        <v>30</v>
      </c>
      <c r="N1795">
        <v>2</v>
      </c>
      <c r="O1795" s="14">
        <v>46008</v>
      </c>
      <c r="P1795" s="14">
        <v>46038</v>
      </c>
      <c r="Q1795">
        <v>5397.79</v>
      </c>
      <c r="R1795">
        <v>0</v>
      </c>
      <c r="S1795">
        <v>0</v>
      </c>
      <c r="T1795">
        <v>0</v>
      </c>
      <c r="U1795">
        <v>0</v>
      </c>
      <c r="V1795">
        <v>5397.79</v>
      </c>
      <c r="W1795">
        <v>0</v>
      </c>
      <c r="X1795">
        <v>1</v>
      </c>
      <c r="Y1795">
        <v>0</v>
      </c>
      <c r="Z1795">
        <v>-16</v>
      </c>
      <c r="AA1795">
        <v>1</v>
      </c>
      <c r="AB1795" s="13" t="s">
        <v>581</v>
      </c>
      <c r="AC1795">
        <v>0</v>
      </c>
      <c r="AD1795">
        <v>0</v>
      </c>
      <c r="AE1795" s="13" t="s">
        <v>61</v>
      </c>
    </row>
    <row r="1796" spans="1:31" x14ac:dyDescent="0.35">
      <c r="A1796" s="13" t="s">
        <v>2602</v>
      </c>
      <c r="B1796" s="13" t="s">
        <v>1682</v>
      </c>
      <c r="C1796" s="13" t="s">
        <v>1683</v>
      </c>
      <c r="D1796" s="13" t="s">
        <v>76</v>
      </c>
      <c r="E1796" s="13" t="s">
        <v>99</v>
      </c>
      <c r="F1796" s="13" t="s">
        <v>127</v>
      </c>
      <c r="G1796" s="13" t="s">
        <v>67</v>
      </c>
      <c r="H1796">
        <v>120000</v>
      </c>
      <c r="I1796" s="13" t="s">
        <v>79</v>
      </c>
      <c r="J1796" s="13" t="s">
        <v>80</v>
      </c>
      <c r="K1796" s="13" t="s">
        <v>81</v>
      </c>
      <c r="L1796" s="13" t="s">
        <v>95</v>
      </c>
      <c r="M1796">
        <v>30</v>
      </c>
      <c r="N1796">
        <v>0</v>
      </c>
      <c r="O1796" s="14">
        <v>46008</v>
      </c>
      <c r="P1796" s="14">
        <v>46038</v>
      </c>
      <c r="Q1796">
        <v>3061.11</v>
      </c>
      <c r="R1796">
        <v>0</v>
      </c>
      <c r="S1796">
        <v>0</v>
      </c>
      <c r="T1796">
        <v>0</v>
      </c>
      <c r="U1796">
        <v>0</v>
      </c>
      <c r="V1796">
        <v>3061.11</v>
      </c>
      <c r="W1796">
        <v>0</v>
      </c>
      <c r="X1796">
        <v>1</v>
      </c>
      <c r="Y1796">
        <v>0</v>
      </c>
      <c r="Z1796">
        <v>-16</v>
      </c>
      <c r="AA1796">
        <v>1</v>
      </c>
      <c r="AB1796" s="13" t="s">
        <v>581</v>
      </c>
      <c r="AC1796">
        <v>0</v>
      </c>
      <c r="AD1796">
        <v>0</v>
      </c>
      <c r="AE1796" s="13" t="s">
        <v>61</v>
      </c>
    </row>
    <row r="1797" spans="1:31" x14ac:dyDescent="0.35">
      <c r="A1797" s="13" t="s">
        <v>2603</v>
      </c>
      <c r="B1797" s="13" t="s">
        <v>250</v>
      </c>
      <c r="C1797" s="13" t="s">
        <v>251</v>
      </c>
      <c r="D1797" s="13" t="s">
        <v>104</v>
      </c>
      <c r="E1797" s="13" t="s">
        <v>53</v>
      </c>
      <c r="F1797" s="13" t="s">
        <v>135</v>
      </c>
      <c r="G1797" s="13" t="s">
        <v>55</v>
      </c>
      <c r="H1797">
        <v>85000</v>
      </c>
      <c r="I1797" s="13" t="s">
        <v>105</v>
      </c>
      <c r="J1797" s="13" t="s">
        <v>106</v>
      </c>
      <c r="K1797" s="13" t="s">
        <v>107</v>
      </c>
      <c r="L1797" s="13" t="s">
        <v>88</v>
      </c>
      <c r="M1797">
        <v>60</v>
      </c>
      <c r="N1797">
        <v>0</v>
      </c>
      <c r="O1797" s="14">
        <v>46008</v>
      </c>
      <c r="P1797" s="14">
        <v>46068</v>
      </c>
      <c r="Q1797">
        <v>1217.18</v>
      </c>
      <c r="R1797">
        <v>0</v>
      </c>
      <c r="S1797">
        <v>0</v>
      </c>
      <c r="T1797">
        <v>0</v>
      </c>
      <c r="U1797">
        <v>0</v>
      </c>
      <c r="V1797">
        <v>1217.18</v>
      </c>
      <c r="W1797">
        <v>0</v>
      </c>
      <c r="X1797">
        <v>1</v>
      </c>
      <c r="Y1797">
        <v>0</v>
      </c>
      <c r="Z1797">
        <v>-46</v>
      </c>
      <c r="AA1797">
        <v>1</v>
      </c>
      <c r="AB1797" s="13" t="s">
        <v>581</v>
      </c>
      <c r="AC1797">
        <v>0</v>
      </c>
      <c r="AD1797">
        <v>0</v>
      </c>
      <c r="AE1797" s="13" t="s">
        <v>61</v>
      </c>
    </row>
    <row r="1798" spans="1:31" x14ac:dyDescent="0.35">
      <c r="A1798" s="13" t="s">
        <v>2604</v>
      </c>
      <c r="B1798" s="13" t="s">
        <v>290</v>
      </c>
      <c r="C1798" s="13" t="s">
        <v>291</v>
      </c>
      <c r="D1798" s="13" t="s">
        <v>104</v>
      </c>
      <c r="E1798" s="13" t="s">
        <v>77</v>
      </c>
      <c r="F1798" s="13" t="s">
        <v>78</v>
      </c>
      <c r="G1798" s="13" t="s">
        <v>92</v>
      </c>
      <c r="H1798">
        <v>140000</v>
      </c>
      <c r="I1798" s="13" t="s">
        <v>121</v>
      </c>
      <c r="J1798" s="13" t="s">
        <v>122</v>
      </c>
      <c r="K1798" s="13" t="s">
        <v>107</v>
      </c>
      <c r="L1798" s="13" t="s">
        <v>82</v>
      </c>
      <c r="M1798">
        <v>30</v>
      </c>
      <c r="N1798">
        <v>2</v>
      </c>
      <c r="O1798" s="14">
        <v>46008</v>
      </c>
      <c r="P1798" s="14">
        <v>46038</v>
      </c>
      <c r="Q1798">
        <v>899.03</v>
      </c>
      <c r="R1798">
        <v>0</v>
      </c>
      <c r="S1798">
        <v>0</v>
      </c>
      <c r="T1798">
        <v>0</v>
      </c>
      <c r="U1798">
        <v>0</v>
      </c>
      <c r="V1798">
        <v>899.03</v>
      </c>
      <c r="W1798">
        <v>0</v>
      </c>
      <c r="X1798">
        <v>1</v>
      </c>
      <c r="Y1798">
        <v>0</v>
      </c>
      <c r="Z1798">
        <v>-16</v>
      </c>
      <c r="AA1798">
        <v>1</v>
      </c>
      <c r="AB1798" s="13" t="s">
        <v>581</v>
      </c>
      <c r="AC1798">
        <v>0</v>
      </c>
      <c r="AD1798">
        <v>0</v>
      </c>
      <c r="AE1798" s="13" t="s">
        <v>61</v>
      </c>
    </row>
    <row r="1799" spans="1:31" x14ac:dyDescent="0.35">
      <c r="A1799" s="13" t="s">
        <v>2605</v>
      </c>
      <c r="B1799" s="13" t="s">
        <v>930</v>
      </c>
      <c r="C1799" s="13" t="s">
        <v>931</v>
      </c>
      <c r="D1799" s="13" t="s">
        <v>104</v>
      </c>
      <c r="E1799" s="13" t="s">
        <v>71</v>
      </c>
      <c r="F1799" s="13" t="s">
        <v>214</v>
      </c>
      <c r="G1799" s="13" t="s">
        <v>55</v>
      </c>
      <c r="H1799">
        <v>120000</v>
      </c>
      <c r="I1799" s="13" t="s">
        <v>121</v>
      </c>
      <c r="J1799" s="13" t="s">
        <v>122</v>
      </c>
      <c r="K1799" s="13" t="s">
        <v>107</v>
      </c>
      <c r="L1799" s="13" t="s">
        <v>88</v>
      </c>
      <c r="M1799">
        <v>60</v>
      </c>
      <c r="N1799">
        <v>0</v>
      </c>
      <c r="O1799" s="14">
        <v>46008</v>
      </c>
      <c r="P1799" s="14">
        <v>46068</v>
      </c>
      <c r="Q1799">
        <v>2283.6999999999998</v>
      </c>
      <c r="R1799">
        <v>0</v>
      </c>
      <c r="S1799">
        <v>0</v>
      </c>
      <c r="T1799">
        <v>0</v>
      </c>
      <c r="U1799">
        <v>0</v>
      </c>
      <c r="V1799">
        <v>2283.6999999999998</v>
      </c>
      <c r="W1799">
        <v>0</v>
      </c>
      <c r="X1799">
        <v>1</v>
      </c>
      <c r="Y1799">
        <v>0</v>
      </c>
      <c r="Z1799">
        <v>-46</v>
      </c>
      <c r="AA1799">
        <v>1</v>
      </c>
      <c r="AB1799" s="13" t="s">
        <v>581</v>
      </c>
      <c r="AC1799">
        <v>0</v>
      </c>
      <c r="AD1799">
        <v>0</v>
      </c>
      <c r="AE1799" s="13" t="s">
        <v>61</v>
      </c>
    </row>
    <row r="1800" spans="1:31" x14ac:dyDescent="0.35">
      <c r="A1800" s="13" t="s">
        <v>2606</v>
      </c>
      <c r="B1800" s="13" t="s">
        <v>722</v>
      </c>
      <c r="C1800" s="13" t="s">
        <v>723</v>
      </c>
      <c r="D1800" s="13" t="s">
        <v>104</v>
      </c>
      <c r="E1800" s="13" t="s">
        <v>71</v>
      </c>
      <c r="F1800" s="13" t="s">
        <v>72</v>
      </c>
      <c r="G1800" s="13" t="s">
        <v>67</v>
      </c>
      <c r="H1800">
        <v>45000</v>
      </c>
      <c r="I1800" s="13" t="s">
        <v>105</v>
      </c>
      <c r="J1800" s="13" t="s">
        <v>106</v>
      </c>
      <c r="K1800" s="13" t="s">
        <v>107</v>
      </c>
      <c r="L1800" s="13" t="s">
        <v>88</v>
      </c>
      <c r="M1800">
        <v>60</v>
      </c>
      <c r="N1800">
        <v>0</v>
      </c>
      <c r="O1800" s="14">
        <v>46008</v>
      </c>
      <c r="P1800" s="14">
        <v>46068</v>
      </c>
      <c r="Q1800">
        <v>1134.93</v>
      </c>
      <c r="R1800">
        <v>0</v>
      </c>
      <c r="S1800">
        <v>0</v>
      </c>
      <c r="T1800">
        <v>0</v>
      </c>
      <c r="U1800">
        <v>0</v>
      </c>
      <c r="V1800">
        <v>1134.93</v>
      </c>
      <c r="W1800">
        <v>0</v>
      </c>
      <c r="X1800">
        <v>1</v>
      </c>
      <c r="Y1800">
        <v>0</v>
      </c>
      <c r="Z1800">
        <v>-46</v>
      </c>
      <c r="AA1800">
        <v>1</v>
      </c>
      <c r="AB1800" s="13" t="s">
        <v>581</v>
      </c>
      <c r="AC1800">
        <v>0</v>
      </c>
      <c r="AD1800">
        <v>0</v>
      </c>
      <c r="AE1800" s="13" t="s">
        <v>61</v>
      </c>
    </row>
    <row r="1801" spans="1:31" x14ac:dyDescent="0.35">
      <c r="A1801" s="13" t="s">
        <v>2607</v>
      </c>
      <c r="B1801" s="13" t="s">
        <v>1015</v>
      </c>
      <c r="C1801" s="13" t="s">
        <v>1016</v>
      </c>
      <c r="D1801" s="13" t="s">
        <v>52</v>
      </c>
      <c r="E1801" s="13" t="s">
        <v>77</v>
      </c>
      <c r="F1801" s="13" t="s">
        <v>174</v>
      </c>
      <c r="G1801" s="13" t="s">
        <v>55</v>
      </c>
      <c r="H1801">
        <v>590000</v>
      </c>
      <c r="I1801" s="13" t="s">
        <v>56</v>
      </c>
      <c r="J1801" s="13" t="s">
        <v>57</v>
      </c>
      <c r="K1801" s="13" t="s">
        <v>58</v>
      </c>
      <c r="L1801" s="13" t="s">
        <v>59</v>
      </c>
      <c r="M1801">
        <v>45</v>
      </c>
      <c r="N1801">
        <v>0</v>
      </c>
      <c r="O1801" s="14">
        <v>46008</v>
      </c>
      <c r="P1801" s="14">
        <v>46053</v>
      </c>
      <c r="Q1801">
        <v>2452.85</v>
      </c>
      <c r="R1801">
        <v>0</v>
      </c>
      <c r="S1801">
        <v>0</v>
      </c>
      <c r="T1801">
        <v>0</v>
      </c>
      <c r="U1801">
        <v>0</v>
      </c>
      <c r="V1801">
        <v>2452.85</v>
      </c>
      <c r="W1801">
        <v>0</v>
      </c>
      <c r="X1801">
        <v>1</v>
      </c>
      <c r="Y1801">
        <v>0</v>
      </c>
      <c r="Z1801">
        <v>-31</v>
      </c>
      <c r="AA1801">
        <v>1</v>
      </c>
      <c r="AB1801" s="13" t="s">
        <v>581</v>
      </c>
      <c r="AC1801">
        <v>0</v>
      </c>
      <c r="AD1801">
        <v>0</v>
      </c>
      <c r="AE1801" s="13" t="s">
        <v>61</v>
      </c>
    </row>
    <row r="1802" spans="1:31" x14ac:dyDescent="0.35">
      <c r="A1802" s="13" t="s">
        <v>2608</v>
      </c>
      <c r="B1802" s="13" t="s">
        <v>2043</v>
      </c>
      <c r="C1802" s="13" t="s">
        <v>2044</v>
      </c>
      <c r="D1802" s="13" t="s">
        <v>76</v>
      </c>
      <c r="E1802" s="13" t="s">
        <v>65</v>
      </c>
      <c r="F1802" s="13" t="s">
        <v>111</v>
      </c>
      <c r="G1802" s="13" t="s">
        <v>55</v>
      </c>
      <c r="H1802">
        <v>40000</v>
      </c>
      <c r="I1802" s="13" t="s">
        <v>93</v>
      </c>
      <c r="J1802" s="13" t="s">
        <v>94</v>
      </c>
      <c r="K1802" s="13" t="s">
        <v>81</v>
      </c>
      <c r="L1802" s="13" t="s">
        <v>82</v>
      </c>
      <c r="M1802">
        <v>30</v>
      </c>
      <c r="N1802">
        <v>2</v>
      </c>
      <c r="O1802" s="14">
        <v>46008</v>
      </c>
      <c r="P1802" s="14">
        <v>46038</v>
      </c>
      <c r="Q1802">
        <v>1553.86</v>
      </c>
      <c r="R1802">
        <v>0</v>
      </c>
      <c r="S1802">
        <v>0</v>
      </c>
      <c r="T1802">
        <v>0</v>
      </c>
      <c r="U1802">
        <v>0</v>
      </c>
      <c r="V1802">
        <v>1553.86</v>
      </c>
      <c r="W1802">
        <v>0</v>
      </c>
      <c r="X1802">
        <v>1</v>
      </c>
      <c r="Y1802">
        <v>0</v>
      </c>
      <c r="Z1802">
        <v>-16</v>
      </c>
      <c r="AA1802">
        <v>1</v>
      </c>
      <c r="AB1802" s="13" t="s">
        <v>581</v>
      </c>
      <c r="AC1802">
        <v>0</v>
      </c>
      <c r="AD1802">
        <v>0</v>
      </c>
      <c r="AE1802" s="13" t="s">
        <v>61</v>
      </c>
    </row>
    <row r="1803" spans="1:31" x14ac:dyDescent="0.35">
      <c r="A1803" s="13" t="s">
        <v>2609</v>
      </c>
      <c r="B1803" s="13" t="s">
        <v>63</v>
      </c>
      <c r="C1803" s="13" t="s">
        <v>64</v>
      </c>
      <c r="D1803" s="13" t="s">
        <v>52</v>
      </c>
      <c r="E1803" s="13" t="s">
        <v>65</v>
      </c>
      <c r="F1803" s="13" t="s">
        <v>66</v>
      </c>
      <c r="G1803" s="13" t="s">
        <v>67</v>
      </c>
      <c r="H1803">
        <v>315000</v>
      </c>
      <c r="I1803" s="13" t="s">
        <v>56</v>
      </c>
      <c r="J1803" s="13" t="s">
        <v>57</v>
      </c>
      <c r="K1803" s="13" t="s">
        <v>58</v>
      </c>
      <c r="L1803" s="13" t="s">
        <v>59</v>
      </c>
      <c r="M1803">
        <v>45</v>
      </c>
      <c r="N1803">
        <v>0</v>
      </c>
      <c r="O1803" s="14">
        <v>46008</v>
      </c>
      <c r="P1803" s="14">
        <v>46053</v>
      </c>
      <c r="Q1803">
        <v>5696.88</v>
      </c>
      <c r="R1803">
        <v>0</v>
      </c>
      <c r="S1803">
        <v>0</v>
      </c>
      <c r="T1803">
        <v>0</v>
      </c>
      <c r="U1803">
        <v>0</v>
      </c>
      <c r="V1803">
        <v>5696.88</v>
      </c>
      <c r="W1803">
        <v>0</v>
      </c>
      <c r="X1803">
        <v>1</v>
      </c>
      <c r="Y1803">
        <v>0</v>
      </c>
      <c r="Z1803">
        <v>-31</v>
      </c>
      <c r="AA1803">
        <v>1</v>
      </c>
      <c r="AB1803" s="13" t="s">
        <v>581</v>
      </c>
      <c r="AC1803">
        <v>0</v>
      </c>
      <c r="AD1803">
        <v>0</v>
      </c>
      <c r="AE1803" s="13" t="s">
        <v>61</v>
      </c>
    </row>
    <row r="1804" spans="1:31" x14ac:dyDescent="0.35">
      <c r="A1804" s="13" t="s">
        <v>2610</v>
      </c>
      <c r="B1804" s="13" t="s">
        <v>172</v>
      </c>
      <c r="C1804" s="13" t="s">
        <v>173</v>
      </c>
      <c r="D1804" s="13" t="s">
        <v>52</v>
      </c>
      <c r="E1804" s="13" t="s">
        <v>77</v>
      </c>
      <c r="F1804" s="13" t="s">
        <v>174</v>
      </c>
      <c r="G1804" s="13" t="s">
        <v>67</v>
      </c>
      <c r="H1804">
        <v>590000</v>
      </c>
      <c r="I1804" s="13" t="s">
        <v>56</v>
      </c>
      <c r="J1804" s="13" t="s">
        <v>57</v>
      </c>
      <c r="K1804" s="13" t="s">
        <v>58</v>
      </c>
      <c r="L1804" s="13" t="s">
        <v>59</v>
      </c>
      <c r="M1804">
        <v>45</v>
      </c>
      <c r="N1804">
        <v>0</v>
      </c>
      <c r="O1804" s="14">
        <v>46008</v>
      </c>
      <c r="P1804" s="14">
        <v>46053</v>
      </c>
      <c r="Q1804">
        <v>5784.28</v>
      </c>
      <c r="R1804">
        <v>0</v>
      </c>
      <c r="S1804">
        <v>0</v>
      </c>
      <c r="T1804">
        <v>0</v>
      </c>
      <c r="U1804">
        <v>0</v>
      </c>
      <c r="V1804">
        <v>5784.28</v>
      </c>
      <c r="W1804">
        <v>0</v>
      </c>
      <c r="X1804">
        <v>1</v>
      </c>
      <c r="Y1804">
        <v>0</v>
      </c>
      <c r="Z1804">
        <v>-31</v>
      </c>
      <c r="AA1804">
        <v>1</v>
      </c>
      <c r="AB1804" s="13" t="s">
        <v>581</v>
      </c>
      <c r="AC1804">
        <v>0</v>
      </c>
      <c r="AD1804">
        <v>0</v>
      </c>
      <c r="AE1804" s="13" t="s">
        <v>61</v>
      </c>
    </row>
    <row r="1805" spans="1:31" x14ac:dyDescent="0.35">
      <c r="A1805" s="13" t="s">
        <v>2611</v>
      </c>
      <c r="B1805" s="13" t="s">
        <v>605</v>
      </c>
      <c r="C1805" s="13" t="s">
        <v>606</v>
      </c>
      <c r="D1805" s="13" t="s">
        <v>52</v>
      </c>
      <c r="E1805" s="13" t="s">
        <v>65</v>
      </c>
      <c r="F1805" s="13" t="s">
        <v>66</v>
      </c>
      <c r="G1805" s="13" t="s">
        <v>67</v>
      </c>
      <c r="H1805">
        <v>335000</v>
      </c>
      <c r="I1805" s="13" t="s">
        <v>86</v>
      </c>
      <c r="J1805" s="13" t="s">
        <v>87</v>
      </c>
      <c r="K1805" s="13" t="s">
        <v>58</v>
      </c>
      <c r="L1805" s="13" t="s">
        <v>59</v>
      </c>
      <c r="M1805">
        <v>45</v>
      </c>
      <c r="N1805">
        <v>0</v>
      </c>
      <c r="O1805" s="14">
        <v>46008</v>
      </c>
      <c r="P1805" s="14">
        <v>46053</v>
      </c>
      <c r="Q1805">
        <v>16797.39</v>
      </c>
      <c r="R1805">
        <v>0</v>
      </c>
      <c r="S1805">
        <v>0</v>
      </c>
      <c r="T1805">
        <v>0</v>
      </c>
      <c r="U1805">
        <v>0</v>
      </c>
      <c r="V1805">
        <v>16797.39</v>
      </c>
      <c r="W1805">
        <v>0</v>
      </c>
      <c r="X1805">
        <v>1</v>
      </c>
      <c r="Y1805">
        <v>0</v>
      </c>
      <c r="Z1805">
        <v>-31</v>
      </c>
      <c r="AA1805">
        <v>1</v>
      </c>
      <c r="AB1805" s="13" t="s">
        <v>581</v>
      </c>
      <c r="AC1805">
        <v>0</v>
      </c>
      <c r="AD1805">
        <v>0</v>
      </c>
      <c r="AE1805" s="13" t="s">
        <v>61</v>
      </c>
    </row>
    <row r="1806" spans="1:31" x14ac:dyDescent="0.35">
      <c r="A1806" s="13" t="s">
        <v>2612</v>
      </c>
      <c r="B1806" s="13" t="s">
        <v>390</v>
      </c>
      <c r="C1806" s="13" t="s">
        <v>391</v>
      </c>
      <c r="D1806" s="13" t="s">
        <v>52</v>
      </c>
      <c r="E1806" s="13" t="s">
        <v>71</v>
      </c>
      <c r="F1806" s="13" t="s">
        <v>72</v>
      </c>
      <c r="G1806" s="13" t="s">
        <v>55</v>
      </c>
      <c r="H1806">
        <v>320000</v>
      </c>
      <c r="I1806" s="13" t="s">
        <v>86</v>
      </c>
      <c r="J1806" s="13" t="s">
        <v>87</v>
      </c>
      <c r="K1806" s="13" t="s">
        <v>58</v>
      </c>
      <c r="L1806" s="13" t="s">
        <v>88</v>
      </c>
      <c r="M1806">
        <v>60</v>
      </c>
      <c r="N1806">
        <v>0</v>
      </c>
      <c r="O1806" s="14">
        <v>46008</v>
      </c>
      <c r="P1806" s="14">
        <v>46068</v>
      </c>
      <c r="Q1806">
        <v>4496.1499999999996</v>
      </c>
      <c r="R1806">
        <v>0</v>
      </c>
      <c r="S1806">
        <v>0</v>
      </c>
      <c r="T1806">
        <v>0</v>
      </c>
      <c r="U1806">
        <v>0</v>
      </c>
      <c r="V1806">
        <v>4496.1499999999996</v>
      </c>
      <c r="W1806">
        <v>0</v>
      </c>
      <c r="X1806">
        <v>1</v>
      </c>
      <c r="Y1806">
        <v>0</v>
      </c>
      <c r="Z1806">
        <v>-46</v>
      </c>
      <c r="AA1806">
        <v>1</v>
      </c>
      <c r="AB1806" s="13" t="s">
        <v>581</v>
      </c>
      <c r="AC1806">
        <v>0</v>
      </c>
      <c r="AD1806">
        <v>0</v>
      </c>
      <c r="AE1806" s="13" t="s">
        <v>61</v>
      </c>
    </row>
    <row r="1807" spans="1:31" x14ac:dyDescent="0.35">
      <c r="A1807" s="13" t="s">
        <v>2613</v>
      </c>
      <c r="B1807" s="13" t="s">
        <v>340</v>
      </c>
      <c r="C1807" s="13" t="s">
        <v>341</v>
      </c>
      <c r="D1807" s="13" t="s">
        <v>52</v>
      </c>
      <c r="E1807" s="13" t="s">
        <v>77</v>
      </c>
      <c r="F1807" s="13" t="s">
        <v>78</v>
      </c>
      <c r="G1807" s="13" t="s">
        <v>92</v>
      </c>
      <c r="H1807">
        <v>565000</v>
      </c>
      <c r="I1807" s="13" t="s">
        <v>56</v>
      </c>
      <c r="J1807" s="13" t="s">
        <v>57</v>
      </c>
      <c r="K1807" s="13" t="s">
        <v>58</v>
      </c>
      <c r="L1807" s="13" t="s">
        <v>59</v>
      </c>
      <c r="M1807">
        <v>45</v>
      </c>
      <c r="N1807">
        <v>0</v>
      </c>
      <c r="O1807" s="14">
        <v>46008</v>
      </c>
      <c r="P1807" s="14">
        <v>46053</v>
      </c>
      <c r="Q1807">
        <v>12092.53</v>
      </c>
      <c r="R1807">
        <v>0</v>
      </c>
      <c r="S1807">
        <v>0</v>
      </c>
      <c r="T1807">
        <v>0</v>
      </c>
      <c r="U1807">
        <v>0</v>
      </c>
      <c r="V1807">
        <v>12092.53</v>
      </c>
      <c r="W1807">
        <v>0</v>
      </c>
      <c r="X1807">
        <v>1</v>
      </c>
      <c r="Y1807">
        <v>0</v>
      </c>
      <c r="Z1807">
        <v>-31</v>
      </c>
      <c r="AA1807">
        <v>1</v>
      </c>
      <c r="AB1807" s="13" t="s">
        <v>581</v>
      </c>
      <c r="AC1807">
        <v>0</v>
      </c>
      <c r="AD1807">
        <v>0</v>
      </c>
      <c r="AE1807" s="13" t="s">
        <v>61</v>
      </c>
    </row>
    <row r="1808" spans="1:31" x14ac:dyDescent="0.35">
      <c r="A1808" s="13" t="s">
        <v>2614</v>
      </c>
      <c r="B1808" s="13" t="s">
        <v>50</v>
      </c>
      <c r="C1808" s="13" t="s">
        <v>51</v>
      </c>
      <c r="D1808" s="13" t="s">
        <v>52</v>
      </c>
      <c r="E1808" s="13" t="s">
        <v>53</v>
      </c>
      <c r="F1808" s="13" t="s">
        <v>54</v>
      </c>
      <c r="G1808" s="13" t="s">
        <v>55</v>
      </c>
      <c r="H1808">
        <v>585000</v>
      </c>
      <c r="I1808" s="13" t="s">
        <v>56</v>
      </c>
      <c r="J1808" s="13" t="s">
        <v>57</v>
      </c>
      <c r="K1808" s="13" t="s">
        <v>58</v>
      </c>
      <c r="L1808" s="13" t="s">
        <v>59</v>
      </c>
      <c r="M1808">
        <v>45</v>
      </c>
      <c r="N1808">
        <v>0</v>
      </c>
      <c r="O1808" s="14">
        <v>46008</v>
      </c>
      <c r="P1808" s="14">
        <v>46053</v>
      </c>
      <c r="Q1808">
        <v>1797.18</v>
      </c>
      <c r="R1808">
        <v>0</v>
      </c>
      <c r="S1808">
        <v>0</v>
      </c>
      <c r="T1808">
        <v>0</v>
      </c>
      <c r="U1808">
        <v>0</v>
      </c>
      <c r="V1808">
        <v>1797.18</v>
      </c>
      <c r="W1808">
        <v>0</v>
      </c>
      <c r="X1808">
        <v>1</v>
      </c>
      <c r="Y1808">
        <v>0</v>
      </c>
      <c r="Z1808">
        <v>-31</v>
      </c>
      <c r="AA1808">
        <v>1</v>
      </c>
      <c r="AB1808" s="13" t="s">
        <v>581</v>
      </c>
      <c r="AC1808">
        <v>0</v>
      </c>
      <c r="AD1808">
        <v>0</v>
      </c>
      <c r="AE1808" s="13" t="s">
        <v>61</v>
      </c>
    </row>
    <row r="1809" spans="1:31" x14ac:dyDescent="0.35">
      <c r="A1809" s="13" t="s">
        <v>2615</v>
      </c>
      <c r="B1809" s="13" t="s">
        <v>2413</v>
      </c>
      <c r="C1809" s="13" t="s">
        <v>2414</v>
      </c>
      <c r="D1809" s="13" t="s">
        <v>76</v>
      </c>
      <c r="E1809" s="13" t="s">
        <v>99</v>
      </c>
      <c r="F1809" s="13" t="s">
        <v>100</v>
      </c>
      <c r="G1809" s="13" t="s">
        <v>55</v>
      </c>
      <c r="H1809">
        <v>80000</v>
      </c>
      <c r="I1809" s="13" t="s">
        <v>79</v>
      </c>
      <c r="J1809" s="13" t="s">
        <v>80</v>
      </c>
      <c r="K1809" s="13" t="s">
        <v>81</v>
      </c>
      <c r="L1809" s="13" t="s">
        <v>95</v>
      </c>
      <c r="M1809">
        <v>30</v>
      </c>
      <c r="N1809">
        <v>0</v>
      </c>
      <c r="O1809" s="14">
        <v>46008</v>
      </c>
      <c r="P1809" s="14">
        <v>46038</v>
      </c>
      <c r="Q1809">
        <v>604.67999999999995</v>
      </c>
      <c r="R1809">
        <v>0</v>
      </c>
      <c r="S1809">
        <v>0</v>
      </c>
      <c r="T1809">
        <v>0</v>
      </c>
      <c r="U1809">
        <v>0</v>
      </c>
      <c r="V1809">
        <v>604.67999999999995</v>
      </c>
      <c r="W1809">
        <v>0</v>
      </c>
      <c r="X1809">
        <v>1</v>
      </c>
      <c r="Y1809">
        <v>0</v>
      </c>
      <c r="Z1809">
        <v>-16</v>
      </c>
      <c r="AA1809">
        <v>1</v>
      </c>
      <c r="AB1809" s="13" t="s">
        <v>581</v>
      </c>
      <c r="AC1809">
        <v>0</v>
      </c>
      <c r="AD1809">
        <v>0</v>
      </c>
      <c r="AE1809" s="13" t="s">
        <v>61</v>
      </c>
    </row>
    <row r="1810" spans="1:31" x14ac:dyDescent="0.35">
      <c r="A1810" s="13" t="s">
        <v>2616</v>
      </c>
      <c r="B1810" s="13" t="s">
        <v>263</v>
      </c>
      <c r="C1810" s="13" t="s">
        <v>264</v>
      </c>
      <c r="D1810" s="13" t="s">
        <v>52</v>
      </c>
      <c r="E1810" s="13" t="s">
        <v>99</v>
      </c>
      <c r="F1810" s="13" t="s">
        <v>100</v>
      </c>
      <c r="G1810" s="13" t="s">
        <v>55</v>
      </c>
      <c r="H1810">
        <v>590000</v>
      </c>
      <c r="I1810" s="13" t="s">
        <v>86</v>
      </c>
      <c r="J1810" s="13" t="s">
        <v>87</v>
      </c>
      <c r="K1810" s="13" t="s">
        <v>58</v>
      </c>
      <c r="L1810" s="13" t="s">
        <v>88</v>
      </c>
      <c r="M1810">
        <v>60</v>
      </c>
      <c r="N1810">
        <v>0</v>
      </c>
      <c r="O1810" s="14">
        <v>46008</v>
      </c>
      <c r="P1810" s="14">
        <v>46068</v>
      </c>
      <c r="Q1810">
        <v>3935.82</v>
      </c>
      <c r="R1810">
        <v>0</v>
      </c>
      <c r="S1810">
        <v>0</v>
      </c>
      <c r="T1810">
        <v>0</v>
      </c>
      <c r="U1810">
        <v>0</v>
      </c>
      <c r="V1810">
        <v>3935.82</v>
      </c>
      <c r="W1810">
        <v>0</v>
      </c>
      <c r="X1810">
        <v>1</v>
      </c>
      <c r="Y1810">
        <v>0</v>
      </c>
      <c r="Z1810">
        <v>-46</v>
      </c>
      <c r="AA1810">
        <v>1</v>
      </c>
      <c r="AB1810" s="13" t="s">
        <v>581</v>
      </c>
      <c r="AC1810">
        <v>0</v>
      </c>
      <c r="AD1810">
        <v>0</v>
      </c>
      <c r="AE1810" s="13" t="s">
        <v>61</v>
      </c>
    </row>
    <row r="1811" spans="1:31" x14ac:dyDescent="0.35">
      <c r="A1811" s="13" t="s">
        <v>2617</v>
      </c>
      <c r="B1811" s="13" t="s">
        <v>90</v>
      </c>
      <c r="C1811" s="13" t="s">
        <v>91</v>
      </c>
      <c r="D1811" s="13" t="s">
        <v>76</v>
      </c>
      <c r="E1811" s="13" t="s">
        <v>53</v>
      </c>
      <c r="F1811" s="13" t="s">
        <v>54</v>
      </c>
      <c r="G1811" s="13" t="s">
        <v>92</v>
      </c>
      <c r="H1811">
        <v>95000</v>
      </c>
      <c r="I1811" s="13" t="s">
        <v>93</v>
      </c>
      <c r="J1811" s="13" t="s">
        <v>94</v>
      </c>
      <c r="K1811" s="13" t="s">
        <v>81</v>
      </c>
      <c r="L1811" s="13" t="s">
        <v>95</v>
      </c>
      <c r="M1811">
        <v>30</v>
      </c>
      <c r="N1811">
        <v>0</v>
      </c>
      <c r="O1811" s="14">
        <v>46008</v>
      </c>
      <c r="P1811" s="14">
        <v>46038</v>
      </c>
      <c r="Q1811">
        <v>4673.38</v>
      </c>
      <c r="R1811">
        <v>0</v>
      </c>
      <c r="S1811">
        <v>0</v>
      </c>
      <c r="T1811">
        <v>0</v>
      </c>
      <c r="U1811">
        <v>0</v>
      </c>
      <c r="V1811">
        <v>4673.38</v>
      </c>
      <c r="W1811">
        <v>0</v>
      </c>
      <c r="X1811">
        <v>1</v>
      </c>
      <c r="Y1811">
        <v>0</v>
      </c>
      <c r="Z1811">
        <v>-16</v>
      </c>
      <c r="AA1811">
        <v>1</v>
      </c>
      <c r="AB1811" s="13" t="s">
        <v>581</v>
      </c>
      <c r="AC1811">
        <v>0</v>
      </c>
      <c r="AD1811">
        <v>0</v>
      </c>
      <c r="AE1811" s="13" t="s">
        <v>61</v>
      </c>
    </row>
    <row r="1812" spans="1:31" x14ac:dyDescent="0.35">
      <c r="A1812" s="13" t="s">
        <v>2618</v>
      </c>
      <c r="B1812" s="13" t="s">
        <v>550</v>
      </c>
      <c r="C1812" s="13" t="s">
        <v>551</v>
      </c>
      <c r="D1812" s="13" t="s">
        <v>104</v>
      </c>
      <c r="E1812" s="13" t="s">
        <v>71</v>
      </c>
      <c r="F1812" s="13" t="s">
        <v>214</v>
      </c>
      <c r="G1812" s="13" t="s">
        <v>55</v>
      </c>
      <c r="H1812">
        <v>110000</v>
      </c>
      <c r="I1812" s="13" t="s">
        <v>121</v>
      </c>
      <c r="J1812" s="13" t="s">
        <v>122</v>
      </c>
      <c r="K1812" s="13" t="s">
        <v>107</v>
      </c>
      <c r="L1812" s="13" t="s">
        <v>88</v>
      </c>
      <c r="M1812">
        <v>60</v>
      </c>
      <c r="N1812">
        <v>0</v>
      </c>
      <c r="O1812" s="14">
        <v>46008</v>
      </c>
      <c r="P1812" s="14">
        <v>46068</v>
      </c>
      <c r="Q1812">
        <v>839.96</v>
      </c>
      <c r="R1812">
        <v>0</v>
      </c>
      <c r="S1812">
        <v>0</v>
      </c>
      <c r="T1812">
        <v>0</v>
      </c>
      <c r="U1812">
        <v>0</v>
      </c>
      <c r="V1812">
        <v>839.96</v>
      </c>
      <c r="W1812">
        <v>0</v>
      </c>
      <c r="X1812">
        <v>1</v>
      </c>
      <c r="Y1812">
        <v>0</v>
      </c>
      <c r="Z1812">
        <v>-46</v>
      </c>
      <c r="AA1812">
        <v>1</v>
      </c>
      <c r="AB1812" s="13" t="s">
        <v>581</v>
      </c>
      <c r="AC1812">
        <v>0</v>
      </c>
      <c r="AD1812">
        <v>0</v>
      </c>
      <c r="AE1812" s="13" t="s">
        <v>61</v>
      </c>
    </row>
    <row r="1813" spans="1:31" x14ac:dyDescent="0.35">
      <c r="A1813" s="13" t="s">
        <v>2619</v>
      </c>
      <c r="B1813" s="13" t="s">
        <v>244</v>
      </c>
      <c r="C1813" s="13" t="s">
        <v>245</v>
      </c>
      <c r="D1813" s="13" t="s">
        <v>52</v>
      </c>
      <c r="E1813" s="13" t="s">
        <v>65</v>
      </c>
      <c r="F1813" s="13" t="s">
        <v>111</v>
      </c>
      <c r="G1813" s="13" t="s">
        <v>55</v>
      </c>
      <c r="H1813">
        <v>590000</v>
      </c>
      <c r="I1813" s="13" t="s">
        <v>86</v>
      </c>
      <c r="J1813" s="13" t="s">
        <v>87</v>
      </c>
      <c r="K1813" s="13" t="s">
        <v>58</v>
      </c>
      <c r="L1813" s="13" t="s">
        <v>59</v>
      </c>
      <c r="M1813">
        <v>45</v>
      </c>
      <c r="N1813">
        <v>0</v>
      </c>
      <c r="O1813" s="14">
        <v>46009</v>
      </c>
      <c r="P1813" s="14">
        <v>46054</v>
      </c>
      <c r="Q1813">
        <v>8908.75</v>
      </c>
      <c r="R1813">
        <v>0</v>
      </c>
      <c r="S1813">
        <v>0</v>
      </c>
      <c r="T1813">
        <v>0</v>
      </c>
      <c r="U1813">
        <v>0</v>
      </c>
      <c r="V1813">
        <v>8908.75</v>
      </c>
      <c r="W1813">
        <v>0</v>
      </c>
      <c r="X1813">
        <v>1</v>
      </c>
      <c r="Y1813">
        <v>0</v>
      </c>
      <c r="Z1813">
        <v>-32</v>
      </c>
      <c r="AA1813">
        <v>1</v>
      </c>
      <c r="AB1813" s="13" t="s">
        <v>581</v>
      </c>
      <c r="AC1813">
        <v>0</v>
      </c>
      <c r="AD1813">
        <v>0</v>
      </c>
      <c r="AE1813" s="13" t="s">
        <v>61</v>
      </c>
    </row>
    <row r="1814" spans="1:31" x14ac:dyDescent="0.35">
      <c r="A1814" s="13" t="s">
        <v>2620</v>
      </c>
      <c r="B1814" s="13" t="s">
        <v>1237</v>
      </c>
      <c r="C1814" s="13" t="s">
        <v>1238</v>
      </c>
      <c r="D1814" s="13" t="s">
        <v>104</v>
      </c>
      <c r="E1814" s="13" t="s">
        <v>99</v>
      </c>
      <c r="F1814" s="13" t="s">
        <v>127</v>
      </c>
      <c r="G1814" s="13" t="s">
        <v>67</v>
      </c>
      <c r="H1814">
        <v>125000</v>
      </c>
      <c r="I1814" s="13" t="s">
        <v>121</v>
      </c>
      <c r="J1814" s="13" t="s">
        <v>122</v>
      </c>
      <c r="K1814" s="13" t="s">
        <v>107</v>
      </c>
      <c r="L1814" s="13" t="s">
        <v>95</v>
      </c>
      <c r="M1814">
        <v>30</v>
      </c>
      <c r="N1814">
        <v>0</v>
      </c>
      <c r="O1814" s="14">
        <v>46009</v>
      </c>
      <c r="P1814" s="14">
        <v>46039</v>
      </c>
      <c r="Q1814">
        <v>5906.55</v>
      </c>
      <c r="R1814">
        <v>0</v>
      </c>
      <c r="S1814">
        <v>0</v>
      </c>
      <c r="T1814">
        <v>0</v>
      </c>
      <c r="U1814">
        <v>0</v>
      </c>
      <c r="V1814">
        <v>5906.55</v>
      </c>
      <c r="W1814">
        <v>0</v>
      </c>
      <c r="X1814">
        <v>1</v>
      </c>
      <c r="Y1814">
        <v>0</v>
      </c>
      <c r="Z1814">
        <v>-17</v>
      </c>
      <c r="AA1814">
        <v>1</v>
      </c>
      <c r="AB1814" s="13" t="s">
        <v>581</v>
      </c>
      <c r="AC1814">
        <v>0</v>
      </c>
      <c r="AD1814">
        <v>0</v>
      </c>
      <c r="AE1814" s="13" t="s">
        <v>61</v>
      </c>
    </row>
    <row r="1815" spans="1:31" x14ac:dyDescent="0.35">
      <c r="A1815" s="13" t="s">
        <v>2621</v>
      </c>
      <c r="B1815" s="13" t="s">
        <v>2622</v>
      </c>
      <c r="C1815" s="13" t="s">
        <v>2623</v>
      </c>
      <c r="D1815" s="13" t="s">
        <v>104</v>
      </c>
      <c r="E1815" s="13" t="s">
        <v>65</v>
      </c>
      <c r="F1815" s="13" t="s">
        <v>111</v>
      </c>
      <c r="G1815" s="13" t="s">
        <v>67</v>
      </c>
      <c r="H1815">
        <v>145000</v>
      </c>
      <c r="I1815" s="13" t="s">
        <v>105</v>
      </c>
      <c r="J1815" s="13" t="s">
        <v>106</v>
      </c>
      <c r="K1815" s="13" t="s">
        <v>107</v>
      </c>
      <c r="L1815" s="13" t="s">
        <v>95</v>
      </c>
      <c r="M1815">
        <v>30</v>
      </c>
      <c r="N1815">
        <v>0</v>
      </c>
      <c r="O1815" s="14">
        <v>46009</v>
      </c>
      <c r="P1815" s="14">
        <v>46039</v>
      </c>
      <c r="Q1815">
        <v>4948.29</v>
      </c>
      <c r="R1815">
        <v>0</v>
      </c>
      <c r="S1815">
        <v>0</v>
      </c>
      <c r="T1815">
        <v>0</v>
      </c>
      <c r="U1815">
        <v>0</v>
      </c>
      <c r="V1815">
        <v>4948.29</v>
      </c>
      <c r="W1815">
        <v>0</v>
      </c>
      <c r="X1815">
        <v>1</v>
      </c>
      <c r="Y1815">
        <v>0</v>
      </c>
      <c r="Z1815">
        <v>-17</v>
      </c>
      <c r="AA1815">
        <v>1</v>
      </c>
      <c r="AB1815" s="13" t="s">
        <v>581</v>
      </c>
      <c r="AC1815">
        <v>0</v>
      </c>
      <c r="AD1815">
        <v>0</v>
      </c>
      <c r="AE1815" s="13" t="s">
        <v>61</v>
      </c>
    </row>
    <row r="1816" spans="1:31" x14ac:dyDescent="0.35">
      <c r="A1816" s="13" t="s">
        <v>2624</v>
      </c>
      <c r="B1816" s="13" t="s">
        <v>702</v>
      </c>
      <c r="C1816" s="13" t="s">
        <v>703</v>
      </c>
      <c r="D1816" s="13" t="s">
        <v>52</v>
      </c>
      <c r="E1816" s="13" t="s">
        <v>65</v>
      </c>
      <c r="F1816" s="13" t="s">
        <v>111</v>
      </c>
      <c r="G1816" s="13" t="s">
        <v>67</v>
      </c>
      <c r="H1816">
        <v>435000</v>
      </c>
      <c r="I1816" s="13" t="s">
        <v>86</v>
      </c>
      <c r="J1816" s="13" t="s">
        <v>87</v>
      </c>
      <c r="K1816" s="13" t="s">
        <v>58</v>
      </c>
      <c r="L1816" s="13" t="s">
        <v>59</v>
      </c>
      <c r="M1816">
        <v>45</v>
      </c>
      <c r="N1816">
        <v>0</v>
      </c>
      <c r="O1816" s="14">
        <v>46009</v>
      </c>
      <c r="P1816" s="14">
        <v>46054</v>
      </c>
      <c r="Q1816">
        <v>2098.2800000000002</v>
      </c>
      <c r="R1816">
        <v>0</v>
      </c>
      <c r="S1816">
        <v>0</v>
      </c>
      <c r="T1816">
        <v>0</v>
      </c>
      <c r="U1816">
        <v>0</v>
      </c>
      <c r="V1816">
        <v>2098.2800000000002</v>
      </c>
      <c r="W1816">
        <v>0</v>
      </c>
      <c r="X1816">
        <v>1</v>
      </c>
      <c r="Y1816">
        <v>0</v>
      </c>
      <c r="Z1816">
        <v>-32</v>
      </c>
      <c r="AA1816">
        <v>1</v>
      </c>
      <c r="AB1816" s="13" t="s">
        <v>581</v>
      </c>
      <c r="AC1816">
        <v>0</v>
      </c>
      <c r="AD1816">
        <v>0</v>
      </c>
      <c r="AE1816" s="13" t="s">
        <v>61</v>
      </c>
    </row>
    <row r="1817" spans="1:31" x14ac:dyDescent="0.35">
      <c r="A1817" s="13" t="s">
        <v>2625</v>
      </c>
      <c r="B1817" s="13" t="s">
        <v>1288</v>
      </c>
      <c r="C1817" s="13" t="s">
        <v>1289</v>
      </c>
      <c r="D1817" s="13" t="s">
        <v>52</v>
      </c>
      <c r="E1817" s="13" t="s">
        <v>65</v>
      </c>
      <c r="F1817" s="13" t="s">
        <v>111</v>
      </c>
      <c r="G1817" s="13" t="s">
        <v>67</v>
      </c>
      <c r="H1817">
        <v>550000</v>
      </c>
      <c r="I1817" s="13" t="s">
        <v>56</v>
      </c>
      <c r="J1817" s="13" t="s">
        <v>57</v>
      </c>
      <c r="K1817" s="13" t="s">
        <v>58</v>
      </c>
      <c r="L1817" s="13" t="s">
        <v>59</v>
      </c>
      <c r="M1817">
        <v>45</v>
      </c>
      <c r="N1817">
        <v>0</v>
      </c>
      <c r="O1817" s="14">
        <v>46009</v>
      </c>
      <c r="P1817" s="14">
        <v>46054</v>
      </c>
      <c r="Q1817">
        <v>4073.48</v>
      </c>
      <c r="R1817">
        <v>0</v>
      </c>
      <c r="S1817">
        <v>0</v>
      </c>
      <c r="T1817">
        <v>0</v>
      </c>
      <c r="U1817">
        <v>0</v>
      </c>
      <c r="V1817">
        <v>4073.48</v>
      </c>
      <c r="W1817">
        <v>0</v>
      </c>
      <c r="X1817">
        <v>1</v>
      </c>
      <c r="Y1817">
        <v>0</v>
      </c>
      <c r="Z1817">
        <v>-32</v>
      </c>
      <c r="AA1817">
        <v>1</v>
      </c>
      <c r="AB1817" s="13" t="s">
        <v>581</v>
      </c>
      <c r="AC1817">
        <v>0</v>
      </c>
      <c r="AD1817">
        <v>0</v>
      </c>
      <c r="AE1817" s="13" t="s">
        <v>61</v>
      </c>
    </row>
    <row r="1818" spans="1:31" x14ac:dyDescent="0.35">
      <c r="A1818" s="13" t="s">
        <v>2626</v>
      </c>
      <c r="B1818" s="13" t="s">
        <v>2627</v>
      </c>
      <c r="C1818" s="13" t="s">
        <v>2628</v>
      </c>
      <c r="D1818" s="13" t="s">
        <v>104</v>
      </c>
      <c r="E1818" s="13" t="s">
        <v>53</v>
      </c>
      <c r="F1818" s="13" t="s">
        <v>54</v>
      </c>
      <c r="G1818" s="13" t="s">
        <v>55</v>
      </c>
      <c r="H1818">
        <v>135000</v>
      </c>
      <c r="I1818" s="13" t="s">
        <v>105</v>
      </c>
      <c r="J1818" s="13" t="s">
        <v>106</v>
      </c>
      <c r="K1818" s="13" t="s">
        <v>107</v>
      </c>
      <c r="L1818" s="13" t="s">
        <v>82</v>
      </c>
      <c r="M1818">
        <v>30</v>
      </c>
      <c r="N1818">
        <v>2</v>
      </c>
      <c r="O1818" s="14">
        <v>46009</v>
      </c>
      <c r="P1818" s="14">
        <v>46039</v>
      </c>
      <c r="Q1818">
        <v>7269.78</v>
      </c>
      <c r="R1818">
        <v>0</v>
      </c>
      <c r="S1818">
        <v>0</v>
      </c>
      <c r="T1818">
        <v>0</v>
      </c>
      <c r="U1818">
        <v>0</v>
      </c>
      <c r="V1818">
        <v>7269.78</v>
      </c>
      <c r="W1818">
        <v>0</v>
      </c>
      <c r="X1818">
        <v>1</v>
      </c>
      <c r="Y1818">
        <v>0</v>
      </c>
      <c r="Z1818">
        <v>-17</v>
      </c>
      <c r="AA1818">
        <v>1</v>
      </c>
      <c r="AB1818" s="13" t="s">
        <v>581</v>
      </c>
      <c r="AC1818">
        <v>0</v>
      </c>
      <c r="AD1818">
        <v>0</v>
      </c>
      <c r="AE1818" s="13" t="s">
        <v>61</v>
      </c>
    </row>
    <row r="1819" spans="1:31" x14ac:dyDescent="0.35">
      <c r="A1819" s="13" t="s">
        <v>2629</v>
      </c>
      <c r="B1819" s="13" t="s">
        <v>761</v>
      </c>
      <c r="C1819" s="13" t="s">
        <v>762</v>
      </c>
      <c r="D1819" s="13" t="s">
        <v>52</v>
      </c>
      <c r="E1819" s="13" t="s">
        <v>71</v>
      </c>
      <c r="F1819" s="13" t="s">
        <v>72</v>
      </c>
      <c r="G1819" s="13" t="s">
        <v>67</v>
      </c>
      <c r="H1819">
        <v>340000</v>
      </c>
      <c r="I1819" s="13" t="s">
        <v>86</v>
      </c>
      <c r="J1819" s="13" t="s">
        <v>87</v>
      </c>
      <c r="K1819" s="13" t="s">
        <v>58</v>
      </c>
      <c r="L1819" s="13" t="s">
        <v>59</v>
      </c>
      <c r="M1819">
        <v>45</v>
      </c>
      <c r="N1819">
        <v>0</v>
      </c>
      <c r="O1819" s="14">
        <v>46009</v>
      </c>
      <c r="P1819" s="14">
        <v>46054</v>
      </c>
      <c r="Q1819">
        <v>5613.5</v>
      </c>
      <c r="R1819">
        <v>0</v>
      </c>
      <c r="S1819">
        <v>0</v>
      </c>
      <c r="T1819">
        <v>0</v>
      </c>
      <c r="U1819">
        <v>0</v>
      </c>
      <c r="V1819">
        <v>5613.5</v>
      </c>
      <c r="W1819">
        <v>0</v>
      </c>
      <c r="X1819">
        <v>1</v>
      </c>
      <c r="Y1819">
        <v>0</v>
      </c>
      <c r="Z1819">
        <v>-32</v>
      </c>
      <c r="AA1819">
        <v>1</v>
      </c>
      <c r="AB1819" s="13" t="s">
        <v>581</v>
      </c>
      <c r="AC1819">
        <v>0</v>
      </c>
      <c r="AD1819">
        <v>0</v>
      </c>
      <c r="AE1819" s="13" t="s">
        <v>61</v>
      </c>
    </row>
    <row r="1820" spans="1:31" x14ac:dyDescent="0.35">
      <c r="A1820" s="13" t="s">
        <v>2630</v>
      </c>
      <c r="B1820" s="13" t="s">
        <v>1601</v>
      </c>
      <c r="C1820" s="13" t="s">
        <v>1602</v>
      </c>
      <c r="D1820" s="13" t="s">
        <v>76</v>
      </c>
      <c r="E1820" s="13" t="s">
        <v>99</v>
      </c>
      <c r="F1820" s="13" t="s">
        <v>127</v>
      </c>
      <c r="G1820" s="13" t="s">
        <v>55</v>
      </c>
      <c r="H1820">
        <v>90000</v>
      </c>
      <c r="I1820" s="13" t="s">
        <v>93</v>
      </c>
      <c r="J1820" s="13" t="s">
        <v>94</v>
      </c>
      <c r="K1820" s="13" t="s">
        <v>81</v>
      </c>
      <c r="L1820" s="13" t="s">
        <v>95</v>
      </c>
      <c r="M1820">
        <v>30</v>
      </c>
      <c r="N1820">
        <v>0</v>
      </c>
      <c r="O1820" s="14">
        <v>46009</v>
      </c>
      <c r="P1820" s="14">
        <v>46039</v>
      </c>
      <c r="Q1820">
        <v>4471.9799999999996</v>
      </c>
      <c r="R1820">
        <v>0</v>
      </c>
      <c r="S1820">
        <v>0</v>
      </c>
      <c r="T1820">
        <v>0</v>
      </c>
      <c r="U1820">
        <v>0</v>
      </c>
      <c r="V1820">
        <v>4471.9799999999996</v>
      </c>
      <c r="W1820">
        <v>0</v>
      </c>
      <c r="X1820">
        <v>1</v>
      </c>
      <c r="Y1820">
        <v>0</v>
      </c>
      <c r="Z1820">
        <v>-17</v>
      </c>
      <c r="AA1820">
        <v>1</v>
      </c>
      <c r="AB1820" s="13" t="s">
        <v>581</v>
      </c>
      <c r="AC1820">
        <v>0</v>
      </c>
      <c r="AD1820">
        <v>0</v>
      </c>
      <c r="AE1820" s="13" t="s">
        <v>61</v>
      </c>
    </row>
    <row r="1821" spans="1:31" x14ac:dyDescent="0.35">
      <c r="A1821" s="13" t="s">
        <v>2631</v>
      </c>
      <c r="B1821" s="13" t="s">
        <v>434</v>
      </c>
      <c r="C1821" s="13" t="s">
        <v>435</v>
      </c>
      <c r="D1821" s="13" t="s">
        <v>52</v>
      </c>
      <c r="E1821" s="13" t="s">
        <v>77</v>
      </c>
      <c r="F1821" s="13" t="s">
        <v>78</v>
      </c>
      <c r="G1821" s="13" t="s">
        <v>55</v>
      </c>
      <c r="H1821">
        <v>510000</v>
      </c>
      <c r="I1821" s="13" t="s">
        <v>56</v>
      </c>
      <c r="J1821" s="13" t="s">
        <v>57</v>
      </c>
      <c r="K1821" s="13" t="s">
        <v>58</v>
      </c>
      <c r="L1821" s="13" t="s">
        <v>88</v>
      </c>
      <c r="M1821">
        <v>60</v>
      </c>
      <c r="N1821">
        <v>0</v>
      </c>
      <c r="O1821" s="14">
        <v>46009</v>
      </c>
      <c r="P1821" s="14">
        <v>46069</v>
      </c>
      <c r="Q1821">
        <v>1983.74</v>
      </c>
      <c r="R1821">
        <v>0</v>
      </c>
      <c r="S1821">
        <v>0</v>
      </c>
      <c r="T1821">
        <v>0</v>
      </c>
      <c r="U1821">
        <v>0</v>
      </c>
      <c r="V1821">
        <v>1983.74</v>
      </c>
      <c r="W1821">
        <v>0</v>
      </c>
      <c r="X1821">
        <v>1</v>
      </c>
      <c r="Y1821">
        <v>0</v>
      </c>
      <c r="Z1821">
        <v>-47</v>
      </c>
      <c r="AA1821">
        <v>1</v>
      </c>
      <c r="AB1821" s="13" t="s">
        <v>581</v>
      </c>
      <c r="AC1821">
        <v>0</v>
      </c>
      <c r="AD1821">
        <v>0</v>
      </c>
      <c r="AE1821" s="13" t="s">
        <v>61</v>
      </c>
    </row>
    <row r="1822" spans="1:31" x14ac:dyDescent="0.35">
      <c r="A1822" s="13" t="s">
        <v>2632</v>
      </c>
      <c r="B1822" s="13" t="s">
        <v>156</v>
      </c>
      <c r="C1822" s="13" t="s">
        <v>157</v>
      </c>
      <c r="D1822" s="13" t="s">
        <v>52</v>
      </c>
      <c r="E1822" s="13" t="s">
        <v>53</v>
      </c>
      <c r="F1822" s="13" t="s">
        <v>54</v>
      </c>
      <c r="G1822" s="13" t="s">
        <v>92</v>
      </c>
      <c r="H1822">
        <v>600000</v>
      </c>
      <c r="I1822" s="13" t="s">
        <v>56</v>
      </c>
      <c r="J1822" s="13" t="s">
        <v>57</v>
      </c>
      <c r="K1822" s="13" t="s">
        <v>58</v>
      </c>
      <c r="L1822" s="13" t="s">
        <v>88</v>
      </c>
      <c r="M1822">
        <v>60</v>
      </c>
      <c r="N1822">
        <v>0</v>
      </c>
      <c r="O1822" s="14">
        <v>46009</v>
      </c>
      <c r="P1822" s="14">
        <v>46069</v>
      </c>
      <c r="Q1822">
        <v>10765.73</v>
      </c>
      <c r="R1822">
        <v>0</v>
      </c>
      <c r="S1822">
        <v>0</v>
      </c>
      <c r="T1822">
        <v>0</v>
      </c>
      <c r="U1822">
        <v>0</v>
      </c>
      <c r="V1822">
        <v>10765.73</v>
      </c>
      <c r="W1822">
        <v>0</v>
      </c>
      <c r="X1822">
        <v>1</v>
      </c>
      <c r="Y1822">
        <v>0</v>
      </c>
      <c r="Z1822">
        <v>-47</v>
      </c>
      <c r="AA1822">
        <v>1</v>
      </c>
      <c r="AB1822" s="13" t="s">
        <v>581</v>
      </c>
      <c r="AC1822">
        <v>0</v>
      </c>
      <c r="AD1822">
        <v>0</v>
      </c>
      <c r="AE1822" s="13" t="s">
        <v>61</v>
      </c>
    </row>
    <row r="1823" spans="1:31" x14ac:dyDescent="0.35">
      <c r="A1823" s="13" t="s">
        <v>2633</v>
      </c>
      <c r="B1823" s="13" t="s">
        <v>2012</v>
      </c>
      <c r="C1823" s="13" t="s">
        <v>2013</v>
      </c>
      <c r="D1823" s="13" t="s">
        <v>104</v>
      </c>
      <c r="E1823" s="13" t="s">
        <v>53</v>
      </c>
      <c r="F1823" s="13" t="s">
        <v>54</v>
      </c>
      <c r="G1823" s="13" t="s">
        <v>92</v>
      </c>
      <c r="H1823">
        <v>80000</v>
      </c>
      <c r="I1823" s="13" t="s">
        <v>121</v>
      </c>
      <c r="J1823" s="13" t="s">
        <v>122</v>
      </c>
      <c r="K1823" s="13" t="s">
        <v>107</v>
      </c>
      <c r="L1823" s="13" t="s">
        <v>82</v>
      </c>
      <c r="M1823">
        <v>30</v>
      </c>
      <c r="N1823">
        <v>2</v>
      </c>
      <c r="O1823" s="14">
        <v>46009</v>
      </c>
      <c r="P1823" s="14">
        <v>46039</v>
      </c>
      <c r="Q1823">
        <v>7329.21</v>
      </c>
      <c r="R1823">
        <v>0</v>
      </c>
      <c r="S1823">
        <v>0</v>
      </c>
      <c r="T1823">
        <v>0</v>
      </c>
      <c r="U1823">
        <v>0</v>
      </c>
      <c r="V1823">
        <v>7329.21</v>
      </c>
      <c r="W1823">
        <v>0</v>
      </c>
      <c r="X1823">
        <v>1</v>
      </c>
      <c r="Y1823">
        <v>0</v>
      </c>
      <c r="Z1823">
        <v>-17</v>
      </c>
      <c r="AA1823">
        <v>1</v>
      </c>
      <c r="AB1823" s="13" t="s">
        <v>581</v>
      </c>
      <c r="AC1823">
        <v>0</v>
      </c>
      <c r="AD1823">
        <v>0</v>
      </c>
      <c r="AE1823" s="13" t="s">
        <v>61</v>
      </c>
    </row>
    <row r="1824" spans="1:31" x14ac:dyDescent="0.35">
      <c r="A1824" s="13" t="s">
        <v>2634</v>
      </c>
      <c r="B1824" s="13" t="s">
        <v>1247</v>
      </c>
      <c r="C1824" s="13" t="s">
        <v>1248</v>
      </c>
      <c r="D1824" s="13" t="s">
        <v>52</v>
      </c>
      <c r="E1824" s="13" t="s">
        <v>99</v>
      </c>
      <c r="F1824" s="13" t="s">
        <v>100</v>
      </c>
      <c r="G1824" s="13" t="s">
        <v>55</v>
      </c>
      <c r="H1824">
        <v>600000</v>
      </c>
      <c r="I1824" s="13" t="s">
        <v>56</v>
      </c>
      <c r="J1824" s="13" t="s">
        <v>57</v>
      </c>
      <c r="K1824" s="13" t="s">
        <v>58</v>
      </c>
      <c r="L1824" s="13" t="s">
        <v>59</v>
      </c>
      <c r="M1824">
        <v>45</v>
      </c>
      <c r="N1824">
        <v>0</v>
      </c>
      <c r="O1824" s="14">
        <v>46009</v>
      </c>
      <c r="P1824" s="14">
        <v>46054</v>
      </c>
      <c r="Q1824">
        <v>14198.2</v>
      </c>
      <c r="R1824">
        <v>0</v>
      </c>
      <c r="S1824">
        <v>0</v>
      </c>
      <c r="T1824">
        <v>0</v>
      </c>
      <c r="U1824">
        <v>0</v>
      </c>
      <c r="V1824">
        <v>14198.2</v>
      </c>
      <c r="W1824">
        <v>0</v>
      </c>
      <c r="X1824">
        <v>1</v>
      </c>
      <c r="Y1824">
        <v>0</v>
      </c>
      <c r="Z1824">
        <v>-32</v>
      </c>
      <c r="AA1824">
        <v>1</v>
      </c>
      <c r="AB1824" s="13" t="s">
        <v>581</v>
      </c>
      <c r="AC1824">
        <v>0</v>
      </c>
      <c r="AD1824">
        <v>0</v>
      </c>
      <c r="AE1824" s="13" t="s">
        <v>61</v>
      </c>
    </row>
    <row r="1825" spans="1:31" x14ac:dyDescent="0.35">
      <c r="A1825" s="13" t="s">
        <v>2635</v>
      </c>
      <c r="B1825" s="13" t="s">
        <v>270</v>
      </c>
      <c r="C1825" s="13" t="s">
        <v>271</v>
      </c>
      <c r="D1825" s="13" t="s">
        <v>52</v>
      </c>
      <c r="E1825" s="13" t="s">
        <v>71</v>
      </c>
      <c r="F1825" s="13" t="s">
        <v>72</v>
      </c>
      <c r="G1825" s="13" t="s">
        <v>67</v>
      </c>
      <c r="H1825">
        <v>555000</v>
      </c>
      <c r="I1825" s="13" t="s">
        <v>56</v>
      </c>
      <c r="J1825" s="13" t="s">
        <v>57</v>
      </c>
      <c r="K1825" s="13" t="s">
        <v>58</v>
      </c>
      <c r="L1825" s="13" t="s">
        <v>88</v>
      </c>
      <c r="M1825">
        <v>60</v>
      </c>
      <c r="N1825">
        <v>0</v>
      </c>
      <c r="O1825" s="14">
        <v>46009</v>
      </c>
      <c r="P1825" s="14">
        <v>46069</v>
      </c>
      <c r="Q1825">
        <v>5556.03</v>
      </c>
      <c r="R1825">
        <v>0</v>
      </c>
      <c r="S1825">
        <v>0</v>
      </c>
      <c r="T1825">
        <v>0</v>
      </c>
      <c r="U1825">
        <v>0</v>
      </c>
      <c r="V1825">
        <v>5556.03</v>
      </c>
      <c r="W1825">
        <v>0</v>
      </c>
      <c r="X1825">
        <v>1</v>
      </c>
      <c r="Y1825">
        <v>0</v>
      </c>
      <c r="Z1825">
        <v>-47</v>
      </c>
      <c r="AA1825">
        <v>1</v>
      </c>
      <c r="AB1825" s="13" t="s">
        <v>581</v>
      </c>
      <c r="AC1825">
        <v>0</v>
      </c>
      <c r="AD1825">
        <v>0</v>
      </c>
      <c r="AE1825" s="13" t="s">
        <v>61</v>
      </c>
    </row>
    <row r="1826" spans="1:31" x14ac:dyDescent="0.35">
      <c r="A1826" s="13" t="s">
        <v>2636</v>
      </c>
      <c r="B1826" s="13" t="s">
        <v>393</v>
      </c>
      <c r="C1826" s="13" t="s">
        <v>394</v>
      </c>
      <c r="D1826" s="13" t="s">
        <v>76</v>
      </c>
      <c r="E1826" s="13" t="s">
        <v>65</v>
      </c>
      <c r="F1826" s="13" t="s">
        <v>66</v>
      </c>
      <c r="G1826" s="13" t="s">
        <v>55</v>
      </c>
      <c r="H1826">
        <v>50000</v>
      </c>
      <c r="I1826" s="13" t="s">
        <v>93</v>
      </c>
      <c r="J1826" s="13" t="s">
        <v>94</v>
      </c>
      <c r="K1826" s="13" t="s">
        <v>81</v>
      </c>
      <c r="L1826" s="13" t="s">
        <v>95</v>
      </c>
      <c r="M1826">
        <v>30</v>
      </c>
      <c r="N1826">
        <v>0</v>
      </c>
      <c r="O1826" s="14">
        <v>46009</v>
      </c>
      <c r="P1826" s="14">
        <v>46039</v>
      </c>
      <c r="Q1826">
        <v>4096.0600000000004</v>
      </c>
      <c r="R1826">
        <v>0</v>
      </c>
      <c r="S1826">
        <v>0</v>
      </c>
      <c r="T1826">
        <v>0</v>
      </c>
      <c r="U1826">
        <v>0</v>
      </c>
      <c r="V1826">
        <v>4096.0600000000004</v>
      </c>
      <c r="W1826">
        <v>0</v>
      </c>
      <c r="X1826">
        <v>1</v>
      </c>
      <c r="Y1826">
        <v>0</v>
      </c>
      <c r="Z1826">
        <v>-17</v>
      </c>
      <c r="AA1826">
        <v>1</v>
      </c>
      <c r="AB1826" s="13" t="s">
        <v>581</v>
      </c>
      <c r="AC1826">
        <v>0</v>
      </c>
      <c r="AD1826">
        <v>0</v>
      </c>
      <c r="AE1826" s="13" t="s">
        <v>61</v>
      </c>
    </row>
    <row r="1827" spans="1:31" x14ac:dyDescent="0.35">
      <c r="A1827" s="13" t="s">
        <v>2637</v>
      </c>
      <c r="B1827" s="13" t="s">
        <v>2253</v>
      </c>
      <c r="C1827" s="13" t="s">
        <v>2254</v>
      </c>
      <c r="D1827" s="13" t="s">
        <v>76</v>
      </c>
      <c r="E1827" s="13" t="s">
        <v>53</v>
      </c>
      <c r="F1827" s="13" t="s">
        <v>54</v>
      </c>
      <c r="G1827" s="13" t="s">
        <v>67</v>
      </c>
      <c r="H1827">
        <v>85000</v>
      </c>
      <c r="I1827" s="13" t="s">
        <v>93</v>
      </c>
      <c r="J1827" s="13" t="s">
        <v>94</v>
      </c>
      <c r="K1827" s="13" t="s">
        <v>81</v>
      </c>
      <c r="L1827" s="13" t="s">
        <v>82</v>
      </c>
      <c r="M1827">
        <v>30</v>
      </c>
      <c r="N1827">
        <v>2</v>
      </c>
      <c r="O1827" s="14">
        <v>46009</v>
      </c>
      <c r="P1827" s="14">
        <v>46039</v>
      </c>
      <c r="Q1827">
        <v>3966.66</v>
      </c>
      <c r="R1827">
        <v>0</v>
      </c>
      <c r="S1827">
        <v>0</v>
      </c>
      <c r="T1827">
        <v>0</v>
      </c>
      <c r="U1827">
        <v>0</v>
      </c>
      <c r="V1827">
        <v>3966.66</v>
      </c>
      <c r="W1827">
        <v>0</v>
      </c>
      <c r="X1827">
        <v>1</v>
      </c>
      <c r="Y1827">
        <v>0</v>
      </c>
      <c r="Z1827">
        <v>-17</v>
      </c>
      <c r="AA1827">
        <v>1</v>
      </c>
      <c r="AB1827" s="13" t="s">
        <v>581</v>
      </c>
      <c r="AC1827">
        <v>0</v>
      </c>
      <c r="AD1827">
        <v>0</v>
      </c>
      <c r="AE1827" s="13" t="s">
        <v>61</v>
      </c>
    </row>
    <row r="1828" spans="1:31" x14ac:dyDescent="0.35">
      <c r="A1828" s="13" t="s">
        <v>2638</v>
      </c>
      <c r="B1828" s="13" t="s">
        <v>1120</v>
      </c>
      <c r="C1828" s="13" t="s">
        <v>1121</v>
      </c>
      <c r="D1828" s="13" t="s">
        <v>76</v>
      </c>
      <c r="E1828" s="13" t="s">
        <v>77</v>
      </c>
      <c r="F1828" s="13" t="s">
        <v>174</v>
      </c>
      <c r="G1828" s="13" t="s">
        <v>67</v>
      </c>
      <c r="H1828">
        <v>105000</v>
      </c>
      <c r="I1828" s="13" t="s">
        <v>79</v>
      </c>
      <c r="J1828" s="13" t="s">
        <v>80</v>
      </c>
      <c r="K1828" s="13" t="s">
        <v>81</v>
      </c>
      <c r="L1828" s="13" t="s">
        <v>95</v>
      </c>
      <c r="M1828">
        <v>30</v>
      </c>
      <c r="N1828">
        <v>0</v>
      </c>
      <c r="O1828" s="14">
        <v>46009</v>
      </c>
      <c r="P1828" s="14">
        <v>46039</v>
      </c>
      <c r="Q1828">
        <v>450.86</v>
      </c>
      <c r="R1828">
        <v>0</v>
      </c>
      <c r="S1828">
        <v>0</v>
      </c>
      <c r="T1828">
        <v>0</v>
      </c>
      <c r="U1828">
        <v>0</v>
      </c>
      <c r="V1828">
        <v>450.86</v>
      </c>
      <c r="W1828">
        <v>0</v>
      </c>
      <c r="X1828">
        <v>1</v>
      </c>
      <c r="Y1828">
        <v>0</v>
      </c>
      <c r="Z1828">
        <v>-17</v>
      </c>
      <c r="AA1828">
        <v>1</v>
      </c>
      <c r="AB1828" s="13" t="s">
        <v>581</v>
      </c>
      <c r="AC1828">
        <v>0</v>
      </c>
      <c r="AD1828">
        <v>0</v>
      </c>
      <c r="AE1828" s="13" t="s">
        <v>61</v>
      </c>
    </row>
    <row r="1829" spans="1:31" x14ac:dyDescent="0.35">
      <c r="A1829" s="13" t="s">
        <v>2639</v>
      </c>
      <c r="B1829" s="13" t="s">
        <v>150</v>
      </c>
      <c r="C1829" s="13" t="s">
        <v>151</v>
      </c>
      <c r="D1829" s="13" t="s">
        <v>104</v>
      </c>
      <c r="E1829" s="13" t="s">
        <v>65</v>
      </c>
      <c r="F1829" s="13" t="s">
        <v>66</v>
      </c>
      <c r="G1829" s="13" t="s">
        <v>67</v>
      </c>
      <c r="H1829">
        <v>65000</v>
      </c>
      <c r="I1829" s="13" t="s">
        <v>121</v>
      </c>
      <c r="J1829" s="13" t="s">
        <v>122</v>
      </c>
      <c r="K1829" s="13" t="s">
        <v>107</v>
      </c>
      <c r="L1829" s="13" t="s">
        <v>95</v>
      </c>
      <c r="M1829">
        <v>30</v>
      </c>
      <c r="N1829">
        <v>0</v>
      </c>
      <c r="O1829" s="14">
        <v>46009</v>
      </c>
      <c r="P1829" s="14">
        <v>46039</v>
      </c>
      <c r="Q1829">
        <v>2668.34</v>
      </c>
      <c r="R1829">
        <v>0</v>
      </c>
      <c r="S1829">
        <v>0</v>
      </c>
      <c r="T1829">
        <v>0</v>
      </c>
      <c r="U1829">
        <v>0</v>
      </c>
      <c r="V1829">
        <v>2668.34</v>
      </c>
      <c r="W1829">
        <v>0</v>
      </c>
      <c r="X1829">
        <v>1</v>
      </c>
      <c r="Y1829">
        <v>0</v>
      </c>
      <c r="Z1829">
        <v>-17</v>
      </c>
      <c r="AA1829">
        <v>1</v>
      </c>
      <c r="AB1829" s="13" t="s">
        <v>581</v>
      </c>
      <c r="AC1829">
        <v>0</v>
      </c>
      <c r="AD1829">
        <v>0</v>
      </c>
      <c r="AE1829" s="13" t="s">
        <v>61</v>
      </c>
    </row>
    <row r="1830" spans="1:31" x14ac:dyDescent="0.35">
      <c r="A1830" s="13" t="s">
        <v>2640</v>
      </c>
      <c r="B1830" s="13" t="s">
        <v>854</v>
      </c>
      <c r="C1830" s="13" t="s">
        <v>855</v>
      </c>
      <c r="D1830" s="13" t="s">
        <v>52</v>
      </c>
      <c r="E1830" s="13" t="s">
        <v>77</v>
      </c>
      <c r="F1830" s="13" t="s">
        <v>78</v>
      </c>
      <c r="G1830" s="13" t="s">
        <v>67</v>
      </c>
      <c r="H1830">
        <v>385000</v>
      </c>
      <c r="I1830" s="13" t="s">
        <v>86</v>
      </c>
      <c r="J1830" s="13" t="s">
        <v>87</v>
      </c>
      <c r="K1830" s="13" t="s">
        <v>58</v>
      </c>
      <c r="L1830" s="13" t="s">
        <v>88</v>
      </c>
      <c r="M1830">
        <v>60</v>
      </c>
      <c r="N1830">
        <v>0</v>
      </c>
      <c r="O1830" s="14">
        <v>46009</v>
      </c>
      <c r="P1830" s="14">
        <v>46069</v>
      </c>
      <c r="Q1830">
        <v>12173.81</v>
      </c>
      <c r="R1830">
        <v>0</v>
      </c>
      <c r="S1830">
        <v>0</v>
      </c>
      <c r="T1830">
        <v>0</v>
      </c>
      <c r="U1830">
        <v>0</v>
      </c>
      <c r="V1830">
        <v>12173.81</v>
      </c>
      <c r="W1830">
        <v>0</v>
      </c>
      <c r="X1830">
        <v>1</v>
      </c>
      <c r="Y1830">
        <v>0</v>
      </c>
      <c r="Z1830">
        <v>-47</v>
      </c>
      <c r="AA1830">
        <v>1</v>
      </c>
      <c r="AB1830" s="13" t="s">
        <v>581</v>
      </c>
      <c r="AC1830">
        <v>0</v>
      </c>
      <c r="AD1830">
        <v>0</v>
      </c>
      <c r="AE1830" s="13" t="s">
        <v>61</v>
      </c>
    </row>
    <row r="1831" spans="1:31" x14ac:dyDescent="0.35">
      <c r="A1831" s="13" t="s">
        <v>2641</v>
      </c>
      <c r="B1831" s="13" t="s">
        <v>2642</v>
      </c>
      <c r="C1831" s="13" t="s">
        <v>2643</v>
      </c>
      <c r="D1831" s="13" t="s">
        <v>76</v>
      </c>
      <c r="E1831" s="13" t="s">
        <v>71</v>
      </c>
      <c r="F1831" s="13" t="s">
        <v>214</v>
      </c>
      <c r="G1831" s="13" t="s">
        <v>92</v>
      </c>
      <c r="H1831">
        <v>45000</v>
      </c>
      <c r="I1831" s="13" t="s">
        <v>93</v>
      </c>
      <c r="J1831" s="13" t="s">
        <v>94</v>
      </c>
      <c r="K1831" s="13" t="s">
        <v>81</v>
      </c>
      <c r="L1831" s="13" t="s">
        <v>95</v>
      </c>
      <c r="M1831">
        <v>30</v>
      </c>
      <c r="N1831">
        <v>0</v>
      </c>
      <c r="O1831" s="14">
        <v>46009</v>
      </c>
      <c r="P1831" s="14">
        <v>46039</v>
      </c>
      <c r="Q1831">
        <v>1836.83</v>
      </c>
      <c r="R1831">
        <v>0</v>
      </c>
      <c r="S1831">
        <v>0</v>
      </c>
      <c r="T1831">
        <v>0</v>
      </c>
      <c r="U1831">
        <v>0</v>
      </c>
      <c r="V1831">
        <v>1836.83</v>
      </c>
      <c r="W1831">
        <v>0</v>
      </c>
      <c r="X1831">
        <v>1</v>
      </c>
      <c r="Y1831">
        <v>0</v>
      </c>
      <c r="Z1831">
        <v>-17</v>
      </c>
      <c r="AA1831">
        <v>1</v>
      </c>
      <c r="AB1831" s="13" t="s">
        <v>581</v>
      </c>
      <c r="AC1831">
        <v>0</v>
      </c>
      <c r="AD1831">
        <v>0</v>
      </c>
      <c r="AE1831" s="13" t="s">
        <v>61</v>
      </c>
    </row>
    <row r="1832" spans="1:31" x14ac:dyDescent="0.35">
      <c r="A1832" s="13" t="s">
        <v>2644</v>
      </c>
      <c r="B1832" s="13" t="s">
        <v>277</v>
      </c>
      <c r="C1832" s="13" t="s">
        <v>278</v>
      </c>
      <c r="D1832" s="13" t="s">
        <v>104</v>
      </c>
      <c r="E1832" s="13" t="s">
        <v>71</v>
      </c>
      <c r="F1832" s="13" t="s">
        <v>214</v>
      </c>
      <c r="G1832" s="13" t="s">
        <v>92</v>
      </c>
      <c r="H1832">
        <v>105000</v>
      </c>
      <c r="I1832" s="13" t="s">
        <v>105</v>
      </c>
      <c r="J1832" s="13" t="s">
        <v>106</v>
      </c>
      <c r="K1832" s="13" t="s">
        <v>107</v>
      </c>
      <c r="L1832" s="13" t="s">
        <v>88</v>
      </c>
      <c r="M1832">
        <v>60</v>
      </c>
      <c r="N1832">
        <v>0</v>
      </c>
      <c r="O1832" s="14">
        <v>46009</v>
      </c>
      <c r="P1832" s="14">
        <v>46069</v>
      </c>
      <c r="Q1832">
        <v>4897.88</v>
      </c>
      <c r="R1832">
        <v>0</v>
      </c>
      <c r="S1832">
        <v>0</v>
      </c>
      <c r="T1832">
        <v>0</v>
      </c>
      <c r="U1832">
        <v>0</v>
      </c>
      <c r="V1832">
        <v>4897.88</v>
      </c>
      <c r="W1832">
        <v>0</v>
      </c>
      <c r="X1832">
        <v>1</v>
      </c>
      <c r="Y1832">
        <v>0</v>
      </c>
      <c r="Z1832">
        <v>-47</v>
      </c>
      <c r="AA1832">
        <v>1</v>
      </c>
      <c r="AB1832" s="13" t="s">
        <v>581</v>
      </c>
      <c r="AC1832">
        <v>0</v>
      </c>
      <c r="AD1832">
        <v>0</v>
      </c>
      <c r="AE1832" s="13" t="s">
        <v>61</v>
      </c>
    </row>
    <row r="1833" spans="1:31" x14ac:dyDescent="0.35">
      <c r="A1833" s="13" t="s">
        <v>2645</v>
      </c>
      <c r="B1833" s="13" t="s">
        <v>1723</v>
      </c>
      <c r="C1833" s="13" t="s">
        <v>1724</v>
      </c>
      <c r="D1833" s="13" t="s">
        <v>76</v>
      </c>
      <c r="E1833" s="13" t="s">
        <v>71</v>
      </c>
      <c r="F1833" s="13" t="s">
        <v>214</v>
      </c>
      <c r="G1833" s="13" t="s">
        <v>92</v>
      </c>
      <c r="H1833">
        <v>65000</v>
      </c>
      <c r="I1833" s="13" t="s">
        <v>93</v>
      </c>
      <c r="J1833" s="13" t="s">
        <v>94</v>
      </c>
      <c r="K1833" s="13" t="s">
        <v>81</v>
      </c>
      <c r="L1833" s="13" t="s">
        <v>95</v>
      </c>
      <c r="M1833">
        <v>30</v>
      </c>
      <c r="N1833">
        <v>0</v>
      </c>
      <c r="O1833" s="14">
        <v>46009</v>
      </c>
      <c r="P1833" s="14">
        <v>46039</v>
      </c>
      <c r="Q1833">
        <v>2093.8000000000002</v>
      </c>
      <c r="R1833">
        <v>0</v>
      </c>
      <c r="S1833">
        <v>0</v>
      </c>
      <c r="T1833">
        <v>0</v>
      </c>
      <c r="U1833">
        <v>0</v>
      </c>
      <c r="V1833">
        <v>2093.8000000000002</v>
      </c>
      <c r="W1833">
        <v>0</v>
      </c>
      <c r="X1833">
        <v>1</v>
      </c>
      <c r="Y1833">
        <v>0</v>
      </c>
      <c r="Z1833">
        <v>-17</v>
      </c>
      <c r="AA1833">
        <v>1</v>
      </c>
      <c r="AB1833" s="13" t="s">
        <v>581</v>
      </c>
      <c r="AC1833">
        <v>0</v>
      </c>
      <c r="AD1833">
        <v>0</v>
      </c>
      <c r="AE1833" s="13" t="s">
        <v>61</v>
      </c>
    </row>
    <row r="1834" spans="1:31" x14ac:dyDescent="0.35">
      <c r="A1834" s="13" t="s">
        <v>2646</v>
      </c>
      <c r="B1834" s="13" t="s">
        <v>1001</v>
      </c>
      <c r="C1834" s="13" t="s">
        <v>1002</v>
      </c>
      <c r="D1834" s="13" t="s">
        <v>76</v>
      </c>
      <c r="E1834" s="13" t="s">
        <v>99</v>
      </c>
      <c r="F1834" s="13" t="s">
        <v>127</v>
      </c>
      <c r="G1834" s="13" t="s">
        <v>55</v>
      </c>
      <c r="H1834">
        <v>90000</v>
      </c>
      <c r="I1834" s="13" t="s">
        <v>93</v>
      </c>
      <c r="J1834" s="13" t="s">
        <v>94</v>
      </c>
      <c r="K1834" s="13" t="s">
        <v>81</v>
      </c>
      <c r="L1834" s="13" t="s">
        <v>95</v>
      </c>
      <c r="M1834">
        <v>30</v>
      </c>
      <c r="N1834">
        <v>0</v>
      </c>
      <c r="O1834" s="14">
        <v>46009</v>
      </c>
      <c r="P1834" s="14">
        <v>46039</v>
      </c>
      <c r="Q1834">
        <v>4697.1899999999996</v>
      </c>
      <c r="R1834">
        <v>0</v>
      </c>
      <c r="S1834">
        <v>0</v>
      </c>
      <c r="T1834">
        <v>0</v>
      </c>
      <c r="U1834">
        <v>0</v>
      </c>
      <c r="V1834">
        <v>4697.1899999999996</v>
      </c>
      <c r="W1834">
        <v>0</v>
      </c>
      <c r="X1834">
        <v>1</v>
      </c>
      <c r="Y1834">
        <v>0</v>
      </c>
      <c r="Z1834">
        <v>-17</v>
      </c>
      <c r="AA1834">
        <v>1</v>
      </c>
      <c r="AB1834" s="13" t="s">
        <v>581</v>
      </c>
      <c r="AC1834">
        <v>0</v>
      </c>
      <c r="AD1834">
        <v>0</v>
      </c>
      <c r="AE1834" s="13" t="s">
        <v>61</v>
      </c>
    </row>
    <row r="1835" spans="1:31" x14ac:dyDescent="0.35">
      <c r="A1835" s="13" t="s">
        <v>2647</v>
      </c>
      <c r="B1835" s="13" t="s">
        <v>2138</v>
      </c>
      <c r="C1835" s="13" t="s">
        <v>2139</v>
      </c>
      <c r="D1835" s="13" t="s">
        <v>76</v>
      </c>
      <c r="E1835" s="13" t="s">
        <v>53</v>
      </c>
      <c r="F1835" s="13" t="s">
        <v>135</v>
      </c>
      <c r="G1835" s="13" t="s">
        <v>55</v>
      </c>
      <c r="H1835">
        <v>105000</v>
      </c>
      <c r="I1835" s="13" t="s">
        <v>79</v>
      </c>
      <c r="J1835" s="13" t="s">
        <v>80</v>
      </c>
      <c r="K1835" s="13" t="s">
        <v>81</v>
      </c>
      <c r="L1835" s="13" t="s">
        <v>95</v>
      </c>
      <c r="M1835">
        <v>30</v>
      </c>
      <c r="N1835">
        <v>0</v>
      </c>
      <c r="O1835" s="14">
        <v>46009</v>
      </c>
      <c r="P1835" s="14">
        <v>46039</v>
      </c>
      <c r="Q1835">
        <v>2658.33</v>
      </c>
      <c r="R1835">
        <v>0</v>
      </c>
      <c r="S1835">
        <v>0</v>
      </c>
      <c r="T1835">
        <v>0</v>
      </c>
      <c r="U1835">
        <v>0</v>
      </c>
      <c r="V1835">
        <v>2658.33</v>
      </c>
      <c r="W1835">
        <v>0</v>
      </c>
      <c r="X1835">
        <v>1</v>
      </c>
      <c r="Y1835">
        <v>0</v>
      </c>
      <c r="Z1835">
        <v>-17</v>
      </c>
      <c r="AA1835">
        <v>1</v>
      </c>
      <c r="AB1835" s="13" t="s">
        <v>581</v>
      </c>
      <c r="AC1835">
        <v>0</v>
      </c>
      <c r="AD1835">
        <v>0</v>
      </c>
      <c r="AE1835" s="13" t="s">
        <v>61</v>
      </c>
    </row>
    <row r="1836" spans="1:31" x14ac:dyDescent="0.35">
      <c r="A1836" s="13" t="s">
        <v>2648</v>
      </c>
      <c r="B1836" s="13" t="s">
        <v>109</v>
      </c>
      <c r="C1836" s="13" t="s">
        <v>110</v>
      </c>
      <c r="D1836" s="13" t="s">
        <v>52</v>
      </c>
      <c r="E1836" s="13" t="s">
        <v>65</v>
      </c>
      <c r="F1836" s="13" t="s">
        <v>111</v>
      </c>
      <c r="G1836" s="13" t="s">
        <v>67</v>
      </c>
      <c r="H1836">
        <v>455000</v>
      </c>
      <c r="I1836" s="13" t="s">
        <v>86</v>
      </c>
      <c r="J1836" s="13" t="s">
        <v>87</v>
      </c>
      <c r="K1836" s="13" t="s">
        <v>58</v>
      </c>
      <c r="L1836" s="13" t="s">
        <v>59</v>
      </c>
      <c r="M1836">
        <v>45</v>
      </c>
      <c r="N1836">
        <v>0</v>
      </c>
      <c r="O1836" s="14">
        <v>46009</v>
      </c>
      <c r="P1836" s="14">
        <v>46054</v>
      </c>
      <c r="Q1836">
        <v>17639.48</v>
      </c>
      <c r="R1836">
        <v>0</v>
      </c>
      <c r="S1836">
        <v>0</v>
      </c>
      <c r="T1836">
        <v>0</v>
      </c>
      <c r="U1836">
        <v>0</v>
      </c>
      <c r="V1836">
        <v>17639.48</v>
      </c>
      <c r="W1836">
        <v>0</v>
      </c>
      <c r="X1836">
        <v>1</v>
      </c>
      <c r="Y1836">
        <v>0</v>
      </c>
      <c r="Z1836">
        <v>-32</v>
      </c>
      <c r="AA1836">
        <v>1</v>
      </c>
      <c r="AB1836" s="13" t="s">
        <v>581</v>
      </c>
      <c r="AC1836">
        <v>0</v>
      </c>
      <c r="AD1836">
        <v>0</v>
      </c>
      <c r="AE1836" s="13" t="s">
        <v>61</v>
      </c>
    </row>
    <row r="1837" spans="1:31" x14ac:dyDescent="0.35">
      <c r="A1837" s="13" t="s">
        <v>2649</v>
      </c>
      <c r="B1837" s="13" t="s">
        <v>1038</v>
      </c>
      <c r="C1837" s="13" t="s">
        <v>1039</v>
      </c>
      <c r="D1837" s="13" t="s">
        <v>52</v>
      </c>
      <c r="E1837" s="13" t="s">
        <v>77</v>
      </c>
      <c r="F1837" s="13" t="s">
        <v>78</v>
      </c>
      <c r="G1837" s="13" t="s">
        <v>67</v>
      </c>
      <c r="H1837">
        <v>425000</v>
      </c>
      <c r="I1837" s="13" t="s">
        <v>56</v>
      </c>
      <c r="J1837" s="13" t="s">
        <v>57</v>
      </c>
      <c r="K1837" s="13" t="s">
        <v>58</v>
      </c>
      <c r="L1837" s="13" t="s">
        <v>59</v>
      </c>
      <c r="M1837">
        <v>45</v>
      </c>
      <c r="N1837">
        <v>0</v>
      </c>
      <c r="O1837" s="14">
        <v>46009</v>
      </c>
      <c r="P1837" s="14">
        <v>46054</v>
      </c>
      <c r="Q1837">
        <v>17180.8</v>
      </c>
      <c r="R1837">
        <v>0</v>
      </c>
      <c r="S1837">
        <v>0</v>
      </c>
      <c r="T1837">
        <v>0</v>
      </c>
      <c r="U1837">
        <v>0</v>
      </c>
      <c r="V1837">
        <v>17180.8</v>
      </c>
      <c r="W1837">
        <v>0</v>
      </c>
      <c r="X1837">
        <v>1</v>
      </c>
      <c r="Y1837">
        <v>0</v>
      </c>
      <c r="Z1837">
        <v>-32</v>
      </c>
      <c r="AA1837">
        <v>1</v>
      </c>
      <c r="AB1837" s="13" t="s">
        <v>581</v>
      </c>
      <c r="AC1837">
        <v>0</v>
      </c>
      <c r="AD1837">
        <v>0</v>
      </c>
      <c r="AE1837" s="13" t="s">
        <v>61</v>
      </c>
    </row>
    <row r="1838" spans="1:31" x14ac:dyDescent="0.35">
      <c r="A1838" s="13" t="s">
        <v>2650</v>
      </c>
      <c r="B1838" s="13" t="s">
        <v>857</v>
      </c>
      <c r="C1838" s="13" t="s">
        <v>858</v>
      </c>
      <c r="D1838" s="13" t="s">
        <v>126</v>
      </c>
      <c r="E1838" s="13" t="s">
        <v>99</v>
      </c>
      <c r="F1838" s="13" t="s">
        <v>127</v>
      </c>
      <c r="G1838" s="13" t="s">
        <v>55</v>
      </c>
      <c r="H1838">
        <v>160000</v>
      </c>
      <c r="I1838" s="13" t="s">
        <v>56</v>
      </c>
      <c r="J1838" s="13" t="s">
        <v>57</v>
      </c>
      <c r="K1838" s="13" t="s">
        <v>58</v>
      </c>
      <c r="L1838" s="13" t="s">
        <v>88</v>
      </c>
      <c r="M1838">
        <v>60</v>
      </c>
      <c r="N1838">
        <v>0</v>
      </c>
      <c r="O1838" s="14">
        <v>46009</v>
      </c>
      <c r="P1838" s="14">
        <v>46069</v>
      </c>
      <c r="Q1838">
        <v>1113.31</v>
      </c>
      <c r="R1838">
        <v>0</v>
      </c>
      <c r="S1838">
        <v>0</v>
      </c>
      <c r="T1838">
        <v>0</v>
      </c>
      <c r="U1838">
        <v>0</v>
      </c>
      <c r="V1838">
        <v>1113.31</v>
      </c>
      <c r="W1838">
        <v>0</v>
      </c>
      <c r="X1838">
        <v>1</v>
      </c>
      <c r="Y1838">
        <v>0</v>
      </c>
      <c r="Z1838">
        <v>-47</v>
      </c>
      <c r="AA1838">
        <v>1</v>
      </c>
      <c r="AB1838" s="13" t="s">
        <v>581</v>
      </c>
      <c r="AC1838">
        <v>0</v>
      </c>
      <c r="AD1838">
        <v>0</v>
      </c>
      <c r="AE1838" s="13" t="s">
        <v>61</v>
      </c>
    </row>
    <row r="1839" spans="1:31" x14ac:dyDescent="0.35">
      <c r="A1839" s="13" t="s">
        <v>2651</v>
      </c>
      <c r="B1839" s="13" t="s">
        <v>458</v>
      </c>
      <c r="C1839" s="13" t="s">
        <v>459</v>
      </c>
      <c r="D1839" s="13" t="s">
        <v>126</v>
      </c>
      <c r="E1839" s="13" t="s">
        <v>71</v>
      </c>
      <c r="F1839" s="13" t="s">
        <v>72</v>
      </c>
      <c r="G1839" s="13" t="s">
        <v>67</v>
      </c>
      <c r="H1839">
        <v>135000</v>
      </c>
      <c r="I1839" s="13" t="s">
        <v>121</v>
      </c>
      <c r="J1839" s="13" t="s">
        <v>122</v>
      </c>
      <c r="K1839" s="13" t="s">
        <v>107</v>
      </c>
      <c r="L1839" s="13" t="s">
        <v>368</v>
      </c>
      <c r="M1839">
        <v>90</v>
      </c>
      <c r="N1839">
        <v>0</v>
      </c>
      <c r="O1839" s="14">
        <v>46009</v>
      </c>
      <c r="P1839" s="14">
        <v>46099</v>
      </c>
      <c r="Q1839">
        <v>9140.73</v>
      </c>
      <c r="R1839">
        <v>0</v>
      </c>
      <c r="S1839">
        <v>0</v>
      </c>
      <c r="T1839">
        <v>0</v>
      </c>
      <c r="U1839">
        <v>0</v>
      </c>
      <c r="V1839">
        <v>9140.73</v>
      </c>
      <c r="W1839">
        <v>0</v>
      </c>
      <c r="X1839">
        <v>1</v>
      </c>
      <c r="Y1839">
        <v>0</v>
      </c>
      <c r="Z1839">
        <v>-77</v>
      </c>
      <c r="AA1839">
        <v>1</v>
      </c>
      <c r="AB1839" s="13" t="s">
        <v>581</v>
      </c>
      <c r="AC1839">
        <v>0</v>
      </c>
      <c r="AD1839">
        <v>0</v>
      </c>
      <c r="AE1839" s="13" t="s">
        <v>61</v>
      </c>
    </row>
    <row r="1840" spans="1:31" x14ac:dyDescent="0.35">
      <c r="A1840" s="13" t="s">
        <v>2652</v>
      </c>
      <c r="B1840" s="13" t="s">
        <v>525</v>
      </c>
      <c r="C1840" s="13" t="s">
        <v>526</v>
      </c>
      <c r="D1840" s="13" t="s">
        <v>126</v>
      </c>
      <c r="E1840" s="13" t="s">
        <v>53</v>
      </c>
      <c r="F1840" s="13" t="s">
        <v>54</v>
      </c>
      <c r="G1840" s="13" t="s">
        <v>67</v>
      </c>
      <c r="H1840">
        <v>95000</v>
      </c>
      <c r="I1840" s="13" t="s">
        <v>105</v>
      </c>
      <c r="J1840" s="13" t="s">
        <v>106</v>
      </c>
      <c r="K1840" s="13" t="s">
        <v>107</v>
      </c>
      <c r="L1840" s="13" t="s">
        <v>368</v>
      </c>
      <c r="M1840">
        <v>90</v>
      </c>
      <c r="N1840">
        <v>0</v>
      </c>
      <c r="O1840" s="14">
        <v>46009</v>
      </c>
      <c r="P1840" s="14">
        <v>46099</v>
      </c>
      <c r="Q1840">
        <v>1431.67</v>
      </c>
      <c r="R1840">
        <v>0</v>
      </c>
      <c r="S1840">
        <v>0</v>
      </c>
      <c r="T1840">
        <v>0</v>
      </c>
      <c r="U1840">
        <v>0</v>
      </c>
      <c r="V1840">
        <v>1431.67</v>
      </c>
      <c r="W1840">
        <v>0</v>
      </c>
      <c r="X1840">
        <v>1</v>
      </c>
      <c r="Y1840">
        <v>0</v>
      </c>
      <c r="Z1840">
        <v>-77</v>
      </c>
      <c r="AA1840">
        <v>1</v>
      </c>
      <c r="AB1840" s="13" t="s">
        <v>581</v>
      </c>
      <c r="AC1840">
        <v>0</v>
      </c>
      <c r="AD1840">
        <v>0</v>
      </c>
      <c r="AE1840" s="13" t="s">
        <v>61</v>
      </c>
    </row>
    <row r="1841" spans="1:31" x14ac:dyDescent="0.35">
      <c r="A1841" s="13" t="s">
        <v>2653</v>
      </c>
      <c r="B1841" s="13" t="s">
        <v>147</v>
      </c>
      <c r="C1841" s="13" t="s">
        <v>148</v>
      </c>
      <c r="D1841" s="13" t="s">
        <v>104</v>
      </c>
      <c r="E1841" s="13" t="s">
        <v>53</v>
      </c>
      <c r="F1841" s="13" t="s">
        <v>54</v>
      </c>
      <c r="G1841" s="13" t="s">
        <v>67</v>
      </c>
      <c r="H1841">
        <v>80000</v>
      </c>
      <c r="I1841" s="13" t="s">
        <v>105</v>
      </c>
      <c r="J1841" s="13" t="s">
        <v>106</v>
      </c>
      <c r="K1841" s="13" t="s">
        <v>107</v>
      </c>
      <c r="L1841" s="13" t="s">
        <v>88</v>
      </c>
      <c r="M1841">
        <v>60</v>
      </c>
      <c r="N1841">
        <v>0</v>
      </c>
      <c r="O1841" s="14">
        <v>46009</v>
      </c>
      <c r="P1841" s="14">
        <v>46069</v>
      </c>
      <c r="Q1841">
        <v>6313.34</v>
      </c>
      <c r="R1841">
        <v>0</v>
      </c>
      <c r="S1841">
        <v>0</v>
      </c>
      <c r="T1841">
        <v>0</v>
      </c>
      <c r="U1841">
        <v>0</v>
      </c>
      <c r="V1841">
        <v>6313.34</v>
      </c>
      <c r="W1841">
        <v>0</v>
      </c>
      <c r="X1841">
        <v>1</v>
      </c>
      <c r="Y1841">
        <v>0</v>
      </c>
      <c r="Z1841">
        <v>-47</v>
      </c>
      <c r="AA1841">
        <v>1</v>
      </c>
      <c r="AB1841" s="13" t="s">
        <v>581</v>
      </c>
      <c r="AC1841">
        <v>0</v>
      </c>
      <c r="AD1841">
        <v>0</v>
      </c>
      <c r="AE1841" s="13" t="s">
        <v>61</v>
      </c>
    </row>
    <row r="1842" spans="1:31" x14ac:dyDescent="0.35">
      <c r="A1842" s="13" t="s">
        <v>2654</v>
      </c>
      <c r="B1842" s="13" t="s">
        <v>673</v>
      </c>
      <c r="C1842" s="13" t="s">
        <v>674</v>
      </c>
      <c r="D1842" s="13" t="s">
        <v>52</v>
      </c>
      <c r="E1842" s="13" t="s">
        <v>77</v>
      </c>
      <c r="F1842" s="13" t="s">
        <v>78</v>
      </c>
      <c r="G1842" s="13" t="s">
        <v>67</v>
      </c>
      <c r="H1842">
        <v>275000</v>
      </c>
      <c r="I1842" s="13" t="s">
        <v>86</v>
      </c>
      <c r="J1842" s="13" t="s">
        <v>87</v>
      </c>
      <c r="K1842" s="13" t="s">
        <v>58</v>
      </c>
      <c r="L1842" s="13" t="s">
        <v>88</v>
      </c>
      <c r="M1842">
        <v>60</v>
      </c>
      <c r="N1842">
        <v>0</v>
      </c>
      <c r="O1842" s="14">
        <v>46009</v>
      </c>
      <c r="P1842" s="14">
        <v>46069</v>
      </c>
      <c r="Q1842">
        <v>2738.57</v>
      </c>
      <c r="R1842">
        <v>0</v>
      </c>
      <c r="S1842">
        <v>0</v>
      </c>
      <c r="T1842">
        <v>0</v>
      </c>
      <c r="U1842">
        <v>0</v>
      </c>
      <c r="V1842">
        <v>2738.57</v>
      </c>
      <c r="W1842">
        <v>0</v>
      </c>
      <c r="X1842">
        <v>1</v>
      </c>
      <c r="Y1842">
        <v>0</v>
      </c>
      <c r="Z1842">
        <v>-47</v>
      </c>
      <c r="AA1842">
        <v>1</v>
      </c>
      <c r="AB1842" s="13" t="s">
        <v>581</v>
      </c>
      <c r="AC1842">
        <v>0</v>
      </c>
      <c r="AD1842">
        <v>0</v>
      </c>
      <c r="AE1842" s="13" t="s">
        <v>61</v>
      </c>
    </row>
    <row r="1843" spans="1:31" x14ac:dyDescent="0.35">
      <c r="A1843" s="13" t="s">
        <v>2655</v>
      </c>
      <c r="B1843" s="13" t="s">
        <v>1150</v>
      </c>
      <c r="C1843" s="13" t="s">
        <v>1151</v>
      </c>
      <c r="D1843" s="13" t="s">
        <v>76</v>
      </c>
      <c r="E1843" s="13" t="s">
        <v>77</v>
      </c>
      <c r="F1843" s="13" t="s">
        <v>174</v>
      </c>
      <c r="G1843" s="13" t="s">
        <v>92</v>
      </c>
      <c r="H1843">
        <v>50000</v>
      </c>
      <c r="I1843" s="13" t="s">
        <v>79</v>
      </c>
      <c r="J1843" s="13" t="s">
        <v>80</v>
      </c>
      <c r="K1843" s="13" t="s">
        <v>81</v>
      </c>
      <c r="L1843" s="13" t="s">
        <v>82</v>
      </c>
      <c r="M1843">
        <v>30</v>
      </c>
      <c r="N1843">
        <v>2</v>
      </c>
      <c r="O1843" s="14">
        <v>46009</v>
      </c>
      <c r="P1843" s="14">
        <v>46039</v>
      </c>
      <c r="Q1843">
        <v>452.4</v>
      </c>
      <c r="R1843">
        <v>0</v>
      </c>
      <c r="S1843">
        <v>0</v>
      </c>
      <c r="T1843">
        <v>0</v>
      </c>
      <c r="U1843">
        <v>0</v>
      </c>
      <c r="V1843">
        <v>452.4</v>
      </c>
      <c r="W1843">
        <v>0</v>
      </c>
      <c r="X1843">
        <v>1</v>
      </c>
      <c r="Y1843">
        <v>0</v>
      </c>
      <c r="Z1843">
        <v>-17</v>
      </c>
      <c r="AA1843">
        <v>1</v>
      </c>
      <c r="AB1843" s="13" t="s">
        <v>581</v>
      </c>
      <c r="AC1843">
        <v>0</v>
      </c>
      <c r="AD1843">
        <v>0</v>
      </c>
      <c r="AE1843" s="13" t="s">
        <v>61</v>
      </c>
    </row>
    <row r="1844" spans="1:31" x14ac:dyDescent="0.35">
      <c r="A1844" s="13" t="s">
        <v>2656</v>
      </c>
      <c r="B1844" s="13" t="s">
        <v>162</v>
      </c>
      <c r="C1844" s="13" t="s">
        <v>163</v>
      </c>
      <c r="D1844" s="13" t="s">
        <v>76</v>
      </c>
      <c r="E1844" s="13" t="s">
        <v>99</v>
      </c>
      <c r="F1844" s="13" t="s">
        <v>127</v>
      </c>
      <c r="G1844" s="13" t="s">
        <v>67</v>
      </c>
      <c r="H1844">
        <v>90000</v>
      </c>
      <c r="I1844" s="13" t="s">
        <v>79</v>
      </c>
      <c r="J1844" s="13" t="s">
        <v>80</v>
      </c>
      <c r="K1844" s="13" t="s">
        <v>81</v>
      </c>
      <c r="L1844" s="13" t="s">
        <v>95</v>
      </c>
      <c r="M1844">
        <v>30</v>
      </c>
      <c r="N1844">
        <v>0</v>
      </c>
      <c r="O1844" s="14">
        <v>46009</v>
      </c>
      <c r="P1844" s="14">
        <v>46039</v>
      </c>
      <c r="Q1844">
        <v>4614.87</v>
      </c>
      <c r="R1844">
        <v>0</v>
      </c>
      <c r="S1844">
        <v>0</v>
      </c>
      <c r="T1844">
        <v>0</v>
      </c>
      <c r="U1844">
        <v>0</v>
      </c>
      <c r="V1844">
        <v>4614.87</v>
      </c>
      <c r="W1844">
        <v>0</v>
      </c>
      <c r="X1844">
        <v>1</v>
      </c>
      <c r="Y1844">
        <v>0</v>
      </c>
      <c r="Z1844">
        <v>-17</v>
      </c>
      <c r="AA1844">
        <v>1</v>
      </c>
      <c r="AB1844" s="13" t="s">
        <v>581</v>
      </c>
      <c r="AC1844">
        <v>0</v>
      </c>
      <c r="AD1844">
        <v>0</v>
      </c>
      <c r="AE1844" s="13" t="s">
        <v>61</v>
      </c>
    </row>
    <row r="1845" spans="1:31" x14ac:dyDescent="0.35">
      <c r="A1845" s="13" t="s">
        <v>2657</v>
      </c>
      <c r="B1845" s="13" t="s">
        <v>366</v>
      </c>
      <c r="C1845" s="13" t="s">
        <v>367</v>
      </c>
      <c r="D1845" s="13" t="s">
        <v>126</v>
      </c>
      <c r="E1845" s="13" t="s">
        <v>77</v>
      </c>
      <c r="F1845" s="13" t="s">
        <v>78</v>
      </c>
      <c r="G1845" s="13" t="s">
        <v>67</v>
      </c>
      <c r="H1845">
        <v>70000</v>
      </c>
      <c r="I1845" s="13" t="s">
        <v>105</v>
      </c>
      <c r="J1845" s="13" t="s">
        <v>106</v>
      </c>
      <c r="K1845" s="13" t="s">
        <v>107</v>
      </c>
      <c r="L1845" s="13" t="s">
        <v>368</v>
      </c>
      <c r="M1845">
        <v>90</v>
      </c>
      <c r="N1845">
        <v>0</v>
      </c>
      <c r="O1845" s="14">
        <v>46009</v>
      </c>
      <c r="P1845" s="14">
        <v>46099</v>
      </c>
      <c r="Q1845">
        <v>6540.67</v>
      </c>
      <c r="R1845">
        <v>0</v>
      </c>
      <c r="S1845">
        <v>0</v>
      </c>
      <c r="T1845">
        <v>0</v>
      </c>
      <c r="U1845">
        <v>0</v>
      </c>
      <c r="V1845">
        <v>6540.67</v>
      </c>
      <c r="W1845">
        <v>0</v>
      </c>
      <c r="X1845">
        <v>1</v>
      </c>
      <c r="Y1845">
        <v>0</v>
      </c>
      <c r="Z1845">
        <v>-77</v>
      </c>
      <c r="AA1845">
        <v>1</v>
      </c>
      <c r="AB1845" s="13" t="s">
        <v>581</v>
      </c>
      <c r="AC1845">
        <v>0</v>
      </c>
      <c r="AD1845">
        <v>0</v>
      </c>
      <c r="AE1845" s="13" t="s">
        <v>61</v>
      </c>
    </row>
    <row r="1846" spans="1:31" x14ac:dyDescent="0.35">
      <c r="A1846" s="13" t="s">
        <v>2658</v>
      </c>
      <c r="B1846" s="13" t="s">
        <v>614</v>
      </c>
      <c r="C1846" s="13" t="s">
        <v>615</v>
      </c>
      <c r="D1846" s="13" t="s">
        <v>126</v>
      </c>
      <c r="E1846" s="13" t="s">
        <v>65</v>
      </c>
      <c r="F1846" s="13" t="s">
        <v>66</v>
      </c>
      <c r="G1846" s="13" t="s">
        <v>55</v>
      </c>
      <c r="H1846">
        <v>100000</v>
      </c>
      <c r="I1846" s="13" t="s">
        <v>121</v>
      </c>
      <c r="J1846" s="13" t="s">
        <v>122</v>
      </c>
      <c r="K1846" s="13" t="s">
        <v>107</v>
      </c>
      <c r="L1846" s="13" t="s">
        <v>88</v>
      </c>
      <c r="M1846">
        <v>60</v>
      </c>
      <c r="N1846">
        <v>0</v>
      </c>
      <c r="O1846" s="14">
        <v>46009</v>
      </c>
      <c r="P1846" s="14">
        <v>46069</v>
      </c>
      <c r="Q1846">
        <v>2688.17</v>
      </c>
      <c r="R1846">
        <v>0</v>
      </c>
      <c r="S1846">
        <v>0</v>
      </c>
      <c r="T1846">
        <v>0</v>
      </c>
      <c r="U1846">
        <v>0</v>
      </c>
      <c r="V1846">
        <v>2688.17</v>
      </c>
      <c r="W1846">
        <v>0</v>
      </c>
      <c r="X1846">
        <v>1</v>
      </c>
      <c r="Y1846">
        <v>0</v>
      </c>
      <c r="Z1846">
        <v>-47</v>
      </c>
      <c r="AA1846">
        <v>1</v>
      </c>
      <c r="AB1846" s="13" t="s">
        <v>581</v>
      </c>
      <c r="AC1846">
        <v>0</v>
      </c>
      <c r="AD1846">
        <v>0</v>
      </c>
      <c r="AE1846" s="13" t="s">
        <v>61</v>
      </c>
    </row>
    <row r="1847" spans="1:31" x14ac:dyDescent="0.35">
      <c r="A1847" s="13" t="s">
        <v>2659</v>
      </c>
      <c r="B1847" s="13" t="s">
        <v>1966</v>
      </c>
      <c r="C1847" s="13" t="s">
        <v>1967</v>
      </c>
      <c r="D1847" s="13" t="s">
        <v>76</v>
      </c>
      <c r="E1847" s="13" t="s">
        <v>71</v>
      </c>
      <c r="F1847" s="13" t="s">
        <v>214</v>
      </c>
      <c r="G1847" s="13" t="s">
        <v>55</v>
      </c>
      <c r="H1847">
        <v>35000</v>
      </c>
      <c r="I1847" s="13" t="s">
        <v>93</v>
      </c>
      <c r="J1847" s="13" t="s">
        <v>94</v>
      </c>
      <c r="K1847" s="13" t="s">
        <v>81</v>
      </c>
      <c r="L1847" s="13" t="s">
        <v>95</v>
      </c>
      <c r="M1847">
        <v>30</v>
      </c>
      <c r="N1847">
        <v>0</v>
      </c>
      <c r="O1847" s="14">
        <v>46009</v>
      </c>
      <c r="P1847" s="14">
        <v>46039</v>
      </c>
      <c r="Q1847">
        <v>467.34</v>
      </c>
      <c r="R1847">
        <v>0</v>
      </c>
      <c r="S1847">
        <v>0</v>
      </c>
      <c r="T1847">
        <v>0</v>
      </c>
      <c r="U1847">
        <v>0</v>
      </c>
      <c r="V1847">
        <v>467.34</v>
      </c>
      <c r="W1847">
        <v>0</v>
      </c>
      <c r="X1847">
        <v>1</v>
      </c>
      <c r="Y1847">
        <v>0</v>
      </c>
      <c r="Z1847">
        <v>-17</v>
      </c>
      <c r="AA1847">
        <v>1</v>
      </c>
      <c r="AB1847" s="13" t="s">
        <v>581</v>
      </c>
      <c r="AC1847">
        <v>0</v>
      </c>
      <c r="AD1847">
        <v>0</v>
      </c>
      <c r="AE1847" s="13" t="s">
        <v>61</v>
      </c>
    </row>
    <row r="1848" spans="1:31" x14ac:dyDescent="0.35">
      <c r="A1848" s="13" t="s">
        <v>2660</v>
      </c>
      <c r="B1848" s="13" t="s">
        <v>1916</v>
      </c>
      <c r="C1848" s="13" t="s">
        <v>1917</v>
      </c>
      <c r="D1848" s="13" t="s">
        <v>104</v>
      </c>
      <c r="E1848" s="13" t="s">
        <v>99</v>
      </c>
      <c r="F1848" s="13" t="s">
        <v>127</v>
      </c>
      <c r="G1848" s="13" t="s">
        <v>67</v>
      </c>
      <c r="H1848">
        <v>140000</v>
      </c>
      <c r="I1848" s="13" t="s">
        <v>121</v>
      </c>
      <c r="J1848" s="13" t="s">
        <v>122</v>
      </c>
      <c r="K1848" s="13" t="s">
        <v>107</v>
      </c>
      <c r="L1848" s="13" t="s">
        <v>95</v>
      </c>
      <c r="M1848">
        <v>30</v>
      </c>
      <c r="N1848">
        <v>0</v>
      </c>
      <c r="O1848" s="14">
        <v>46009</v>
      </c>
      <c r="P1848" s="14">
        <v>46039</v>
      </c>
      <c r="Q1848">
        <v>1011.87</v>
      </c>
      <c r="R1848">
        <v>0</v>
      </c>
      <c r="S1848">
        <v>0</v>
      </c>
      <c r="T1848">
        <v>0</v>
      </c>
      <c r="U1848">
        <v>0</v>
      </c>
      <c r="V1848">
        <v>1011.87</v>
      </c>
      <c r="W1848">
        <v>0</v>
      </c>
      <c r="X1848">
        <v>1</v>
      </c>
      <c r="Y1848">
        <v>0</v>
      </c>
      <c r="Z1848">
        <v>-17</v>
      </c>
      <c r="AA1848">
        <v>1</v>
      </c>
      <c r="AB1848" s="13" t="s">
        <v>581</v>
      </c>
      <c r="AC1848">
        <v>0</v>
      </c>
      <c r="AD1848">
        <v>0</v>
      </c>
      <c r="AE1848" s="13" t="s">
        <v>61</v>
      </c>
    </row>
    <row r="1849" spans="1:31" x14ac:dyDescent="0.35">
      <c r="A1849" s="13" t="s">
        <v>2661</v>
      </c>
      <c r="B1849" s="13" t="s">
        <v>317</v>
      </c>
      <c r="C1849" s="13" t="s">
        <v>318</v>
      </c>
      <c r="D1849" s="13" t="s">
        <v>52</v>
      </c>
      <c r="E1849" s="13" t="s">
        <v>77</v>
      </c>
      <c r="F1849" s="13" t="s">
        <v>78</v>
      </c>
      <c r="G1849" s="13" t="s">
        <v>67</v>
      </c>
      <c r="H1849">
        <v>390000</v>
      </c>
      <c r="I1849" s="13" t="s">
        <v>56</v>
      </c>
      <c r="J1849" s="13" t="s">
        <v>57</v>
      </c>
      <c r="K1849" s="13" t="s">
        <v>58</v>
      </c>
      <c r="L1849" s="13" t="s">
        <v>88</v>
      </c>
      <c r="M1849">
        <v>60</v>
      </c>
      <c r="N1849">
        <v>0</v>
      </c>
      <c r="O1849" s="14">
        <v>46009</v>
      </c>
      <c r="P1849" s="14">
        <v>46069</v>
      </c>
      <c r="Q1849">
        <v>6282.04</v>
      </c>
      <c r="R1849">
        <v>0</v>
      </c>
      <c r="S1849">
        <v>0</v>
      </c>
      <c r="T1849">
        <v>0</v>
      </c>
      <c r="U1849">
        <v>0</v>
      </c>
      <c r="V1849">
        <v>6282.04</v>
      </c>
      <c r="W1849">
        <v>0</v>
      </c>
      <c r="X1849">
        <v>1</v>
      </c>
      <c r="Y1849">
        <v>0</v>
      </c>
      <c r="Z1849">
        <v>-47</v>
      </c>
      <c r="AA1849">
        <v>1</v>
      </c>
      <c r="AB1849" s="13" t="s">
        <v>581</v>
      </c>
      <c r="AC1849">
        <v>0</v>
      </c>
      <c r="AD1849">
        <v>0</v>
      </c>
      <c r="AE1849" s="13" t="s">
        <v>61</v>
      </c>
    </row>
    <row r="1850" spans="1:31" x14ac:dyDescent="0.35">
      <c r="A1850" s="13" t="s">
        <v>2662</v>
      </c>
      <c r="B1850" s="13" t="s">
        <v>981</v>
      </c>
      <c r="C1850" s="13" t="s">
        <v>982</v>
      </c>
      <c r="D1850" s="13" t="s">
        <v>52</v>
      </c>
      <c r="E1850" s="13" t="s">
        <v>53</v>
      </c>
      <c r="F1850" s="13" t="s">
        <v>54</v>
      </c>
      <c r="G1850" s="13" t="s">
        <v>67</v>
      </c>
      <c r="H1850">
        <v>275000</v>
      </c>
      <c r="I1850" s="13" t="s">
        <v>86</v>
      </c>
      <c r="J1850" s="13" t="s">
        <v>87</v>
      </c>
      <c r="K1850" s="13" t="s">
        <v>58</v>
      </c>
      <c r="L1850" s="13" t="s">
        <v>88</v>
      </c>
      <c r="M1850">
        <v>60</v>
      </c>
      <c r="N1850">
        <v>0</v>
      </c>
      <c r="O1850" s="14">
        <v>46009</v>
      </c>
      <c r="P1850" s="14">
        <v>46069</v>
      </c>
      <c r="Q1850">
        <v>12525.68</v>
      </c>
      <c r="R1850">
        <v>0</v>
      </c>
      <c r="S1850">
        <v>0</v>
      </c>
      <c r="T1850">
        <v>0</v>
      </c>
      <c r="U1850">
        <v>0</v>
      </c>
      <c r="V1850">
        <v>12525.68</v>
      </c>
      <c r="W1850">
        <v>0</v>
      </c>
      <c r="X1850">
        <v>1</v>
      </c>
      <c r="Y1850">
        <v>0</v>
      </c>
      <c r="Z1850">
        <v>-47</v>
      </c>
      <c r="AA1850">
        <v>1</v>
      </c>
      <c r="AB1850" s="13" t="s">
        <v>581</v>
      </c>
      <c r="AC1850">
        <v>0</v>
      </c>
      <c r="AD1850">
        <v>0</v>
      </c>
      <c r="AE1850" s="13" t="s">
        <v>61</v>
      </c>
    </row>
    <row r="1851" spans="1:31" x14ac:dyDescent="0.35">
      <c r="A1851" s="13" t="s">
        <v>2663</v>
      </c>
      <c r="B1851" s="13" t="s">
        <v>617</v>
      </c>
      <c r="C1851" s="13" t="s">
        <v>618</v>
      </c>
      <c r="D1851" s="13" t="s">
        <v>126</v>
      </c>
      <c r="E1851" s="13" t="s">
        <v>99</v>
      </c>
      <c r="F1851" s="13" t="s">
        <v>127</v>
      </c>
      <c r="G1851" s="13" t="s">
        <v>67</v>
      </c>
      <c r="H1851">
        <v>70000</v>
      </c>
      <c r="I1851" s="13" t="s">
        <v>121</v>
      </c>
      <c r="J1851" s="13" t="s">
        <v>122</v>
      </c>
      <c r="K1851" s="13" t="s">
        <v>107</v>
      </c>
      <c r="L1851" s="13" t="s">
        <v>368</v>
      </c>
      <c r="M1851">
        <v>90</v>
      </c>
      <c r="N1851">
        <v>0</v>
      </c>
      <c r="O1851" s="14">
        <v>46009</v>
      </c>
      <c r="P1851" s="14">
        <v>46099</v>
      </c>
      <c r="Q1851">
        <v>1541.21</v>
      </c>
      <c r="R1851">
        <v>0</v>
      </c>
      <c r="S1851">
        <v>0</v>
      </c>
      <c r="T1851">
        <v>0</v>
      </c>
      <c r="U1851">
        <v>0</v>
      </c>
      <c r="V1851">
        <v>1541.21</v>
      </c>
      <c r="W1851">
        <v>0</v>
      </c>
      <c r="X1851">
        <v>1</v>
      </c>
      <c r="Y1851">
        <v>0</v>
      </c>
      <c r="Z1851">
        <v>-77</v>
      </c>
      <c r="AA1851">
        <v>1</v>
      </c>
      <c r="AB1851" s="13" t="s">
        <v>581</v>
      </c>
      <c r="AC1851">
        <v>0</v>
      </c>
      <c r="AD1851">
        <v>0</v>
      </c>
      <c r="AE1851" s="13" t="s">
        <v>61</v>
      </c>
    </row>
    <row r="1852" spans="1:31" x14ac:dyDescent="0.35">
      <c r="A1852" s="13" t="s">
        <v>2664</v>
      </c>
      <c r="B1852" s="13" t="s">
        <v>788</v>
      </c>
      <c r="C1852" s="13" t="s">
        <v>789</v>
      </c>
      <c r="D1852" s="13" t="s">
        <v>52</v>
      </c>
      <c r="E1852" s="13" t="s">
        <v>53</v>
      </c>
      <c r="F1852" s="13" t="s">
        <v>54</v>
      </c>
      <c r="G1852" s="13" t="s">
        <v>67</v>
      </c>
      <c r="H1852">
        <v>405000</v>
      </c>
      <c r="I1852" s="13" t="s">
        <v>86</v>
      </c>
      <c r="J1852" s="13" t="s">
        <v>87</v>
      </c>
      <c r="K1852" s="13" t="s">
        <v>58</v>
      </c>
      <c r="L1852" s="13" t="s">
        <v>88</v>
      </c>
      <c r="M1852">
        <v>60</v>
      </c>
      <c r="N1852">
        <v>0</v>
      </c>
      <c r="O1852" s="14">
        <v>46009</v>
      </c>
      <c r="P1852" s="14">
        <v>46069</v>
      </c>
      <c r="Q1852">
        <v>1697.26</v>
      </c>
      <c r="R1852">
        <v>0</v>
      </c>
      <c r="S1852">
        <v>0</v>
      </c>
      <c r="T1852">
        <v>0</v>
      </c>
      <c r="U1852">
        <v>0</v>
      </c>
      <c r="V1852">
        <v>1697.26</v>
      </c>
      <c r="W1852">
        <v>0</v>
      </c>
      <c r="X1852">
        <v>1</v>
      </c>
      <c r="Y1852">
        <v>0</v>
      </c>
      <c r="Z1852">
        <v>-47</v>
      </c>
      <c r="AA1852">
        <v>1</v>
      </c>
      <c r="AB1852" s="13" t="s">
        <v>581</v>
      </c>
      <c r="AC1852">
        <v>0</v>
      </c>
      <c r="AD1852">
        <v>0</v>
      </c>
      <c r="AE1852" s="13" t="s">
        <v>61</v>
      </c>
    </row>
    <row r="1853" spans="1:31" x14ac:dyDescent="0.35">
      <c r="A1853" s="13" t="s">
        <v>2665</v>
      </c>
      <c r="B1853" s="13" t="s">
        <v>403</v>
      </c>
      <c r="C1853" s="13" t="s">
        <v>404</v>
      </c>
      <c r="D1853" s="13" t="s">
        <v>126</v>
      </c>
      <c r="E1853" s="13" t="s">
        <v>77</v>
      </c>
      <c r="F1853" s="13" t="s">
        <v>78</v>
      </c>
      <c r="G1853" s="13" t="s">
        <v>67</v>
      </c>
      <c r="H1853">
        <v>170000</v>
      </c>
      <c r="I1853" s="13" t="s">
        <v>56</v>
      </c>
      <c r="J1853" s="13" t="s">
        <v>57</v>
      </c>
      <c r="K1853" s="13" t="s">
        <v>58</v>
      </c>
      <c r="L1853" s="13" t="s">
        <v>368</v>
      </c>
      <c r="M1853">
        <v>90</v>
      </c>
      <c r="N1853">
        <v>0</v>
      </c>
      <c r="O1853" s="14">
        <v>46009</v>
      </c>
      <c r="P1853" s="14">
        <v>46099</v>
      </c>
      <c r="Q1853">
        <v>10141.98</v>
      </c>
      <c r="R1853">
        <v>0</v>
      </c>
      <c r="S1853">
        <v>0</v>
      </c>
      <c r="T1853">
        <v>0</v>
      </c>
      <c r="U1853">
        <v>0</v>
      </c>
      <c r="V1853">
        <v>10141.98</v>
      </c>
      <c r="W1853">
        <v>0</v>
      </c>
      <c r="X1853">
        <v>1</v>
      </c>
      <c r="Y1853">
        <v>0</v>
      </c>
      <c r="Z1853">
        <v>-77</v>
      </c>
      <c r="AA1853">
        <v>1</v>
      </c>
      <c r="AB1853" s="13" t="s">
        <v>581</v>
      </c>
      <c r="AC1853">
        <v>0</v>
      </c>
      <c r="AD1853">
        <v>0</v>
      </c>
      <c r="AE1853" s="13" t="s">
        <v>61</v>
      </c>
    </row>
    <row r="1854" spans="1:31" x14ac:dyDescent="0.35">
      <c r="A1854" s="13" t="s">
        <v>2666</v>
      </c>
      <c r="B1854" s="13" t="s">
        <v>1577</v>
      </c>
      <c r="C1854" s="13" t="s">
        <v>1578</v>
      </c>
      <c r="D1854" s="13" t="s">
        <v>76</v>
      </c>
      <c r="E1854" s="13" t="s">
        <v>71</v>
      </c>
      <c r="F1854" s="13" t="s">
        <v>72</v>
      </c>
      <c r="G1854" s="13" t="s">
        <v>67</v>
      </c>
      <c r="H1854">
        <v>100000</v>
      </c>
      <c r="I1854" s="13" t="s">
        <v>79</v>
      </c>
      <c r="J1854" s="13" t="s">
        <v>80</v>
      </c>
      <c r="K1854" s="13" t="s">
        <v>81</v>
      </c>
      <c r="L1854" s="13" t="s">
        <v>95</v>
      </c>
      <c r="M1854">
        <v>30</v>
      </c>
      <c r="N1854">
        <v>0</v>
      </c>
      <c r="O1854" s="14">
        <v>46009</v>
      </c>
      <c r="P1854" s="14">
        <v>46039</v>
      </c>
      <c r="Q1854">
        <v>842.82</v>
      </c>
      <c r="R1854">
        <v>0</v>
      </c>
      <c r="S1854">
        <v>0</v>
      </c>
      <c r="T1854">
        <v>0</v>
      </c>
      <c r="U1854">
        <v>0</v>
      </c>
      <c r="V1854">
        <v>842.82</v>
      </c>
      <c r="W1854">
        <v>0</v>
      </c>
      <c r="X1854">
        <v>1</v>
      </c>
      <c r="Y1854">
        <v>0</v>
      </c>
      <c r="Z1854">
        <v>-17</v>
      </c>
      <c r="AA1854">
        <v>1</v>
      </c>
      <c r="AB1854" s="13" t="s">
        <v>581</v>
      </c>
      <c r="AC1854">
        <v>0</v>
      </c>
      <c r="AD1854">
        <v>0</v>
      </c>
      <c r="AE1854" s="13" t="s">
        <v>61</v>
      </c>
    </row>
    <row r="1855" spans="1:31" x14ac:dyDescent="0.35">
      <c r="A1855" s="13" t="s">
        <v>2667</v>
      </c>
      <c r="B1855" s="13" t="s">
        <v>2668</v>
      </c>
      <c r="C1855" s="13" t="s">
        <v>2669</v>
      </c>
      <c r="D1855" s="13" t="s">
        <v>104</v>
      </c>
      <c r="E1855" s="13" t="s">
        <v>77</v>
      </c>
      <c r="F1855" s="13" t="s">
        <v>174</v>
      </c>
      <c r="G1855" s="13" t="s">
        <v>55</v>
      </c>
      <c r="H1855">
        <v>120000</v>
      </c>
      <c r="I1855" s="13" t="s">
        <v>121</v>
      </c>
      <c r="J1855" s="13" t="s">
        <v>122</v>
      </c>
      <c r="K1855" s="13" t="s">
        <v>107</v>
      </c>
      <c r="L1855" s="13" t="s">
        <v>95</v>
      </c>
      <c r="M1855">
        <v>30</v>
      </c>
      <c r="N1855">
        <v>0</v>
      </c>
      <c r="O1855" s="14">
        <v>46009</v>
      </c>
      <c r="P1855" s="14">
        <v>46039</v>
      </c>
      <c r="Q1855">
        <v>6613.51</v>
      </c>
      <c r="R1855">
        <v>0</v>
      </c>
      <c r="S1855">
        <v>0</v>
      </c>
      <c r="T1855">
        <v>0</v>
      </c>
      <c r="U1855">
        <v>0</v>
      </c>
      <c r="V1855">
        <v>6613.51</v>
      </c>
      <c r="W1855">
        <v>0</v>
      </c>
      <c r="X1855">
        <v>1</v>
      </c>
      <c r="Y1855">
        <v>0</v>
      </c>
      <c r="Z1855">
        <v>-17</v>
      </c>
      <c r="AA1855">
        <v>1</v>
      </c>
      <c r="AB1855" s="13" t="s">
        <v>581</v>
      </c>
      <c r="AC1855">
        <v>0</v>
      </c>
      <c r="AD1855">
        <v>0</v>
      </c>
      <c r="AE1855" s="13" t="s">
        <v>61</v>
      </c>
    </row>
    <row r="1856" spans="1:31" x14ac:dyDescent="0.35">
      <c r="A1856" s="13" t="s">
        <v>2670</v>
      </c>
      <c r="B1856" s="13" t="s">
        <v>430</v>
      </c>
      <c r="C1856" s="13" t="s">
        <v>431</v>
      </c>
      <c r="D1856" s="13" t="s">
        <v>126</v>
      </c>
      <c r="E1856" s="13" t="s">
        <v>77</v>
      </c>
      <c r="F1856" s="13" t="s">
        <v>174</v>
      </c>
      <c r="G1856" s="13" t="s">
        <v>67</v>
      </c>
      <c r="H1856">
        <v>195000</v>
      </c>
      <c r="I1856" s="13" t="s">
        <v>56</v>
      </c>
      <c r="J1856" s="13" t="s">
        <v>57</v>
      </c>
      <c r="K1856" s="13" t="s">
        <v>58</v>
      </c>
      <c r="L1856" s="13" t="s">
        <v>368</v>
      </c>
      <c r="M1856">
        <v>90</v>
      </c>
      <c r="N1856">
        <v>0</v>
      </c>
      <c r="O1856" s="14">
        <v>46009</v>
      </c>
      <c r="P1856" s="14">
        <v>46099</v>
      </c>
      <c r="Q1856">
        <v>2161.6799999999998</v>
      </c>
      <c r="R1856">
        <v>0</v>
      </c>
      <c r="S1856">
        <v>0</v>
      </c>
      <c r="T1856">
        <v>0</v>
      </c>
      <c r="U1856">
        <v>0</v>
      </c>
      <c r="V1856">
        <v>2161.6799999999998</v>
      </c>
      <c r="W1856">
        <v>0</v>
      </c>
      <c r="X1856">
        <v>1</v>
      </c>
      <c r="Y1856">
        <v>0</v>
      </c>
      <c r="Z1856">
        <v>-77</v>
      </c>
      <c r="AA1856">
        <v>1</v>
      </c>
      <c r="AB1856" s="13" t="s">
        <v>581</v>
      </c>
      <c r="AC1856">
        <v>0</v>
      </c>
      <c r="AD1856">
        <v>0</v>
      </c>
      <c r="AE1856" s="13" t="s">
        <v>61</v>
      </c>
    </row>
    <row r="1857" spans="1:31" x14ac:dyDescent="0.35">
      <c r="A1857" s="13" t="s">
        <v>2671</v>
      </c>
      <c r="B1857" s="13" t="s">
        <v>172</v>
      </c>
      <c r="C1857" s="13" t="s">
        <v>173</v>
      </c>
      <c r="D1857" s="13" t="s">
        <v>52</v>
      </c>
      <c r="E1857" s="13" t="s">
        <v>77</v>
      </c>
      <c r="F1857" s="13" t="s">
        <v>174</v>
      </c>
      <c r="G1857" s="13" t="s">
        <v>67</v>
      </c>
      <c r="H1857">
        <v>590000</v>
      </c>
      <c r="I1857" s="13" t="s">
        <v>56</v>
      </c>
      <c r="J1857" s="13" t="s">
        <v>57</v>
      </c>
      <c r="K1857" s="13" t="s">
        <v>58</v>
      </c>
      <c r="L1857" s="13" t="s">
        <v>59</v>
      </c>
      <c r="M1857">
        <v>45</v>
      </c>
      <c r="N1857">
        <v>0</v>
      </c>
      <c r="O1857" s="14">
        <v>46009</v>
      </c>
      <c r="P1857" s="14">
        <v>46054</v>
      </c>
      <c r="Q1857">
        <v>2963.18</v>
      </c>
      <c r="R1857">
        <v>0</v>
      </c>
      <c r="S1857">
        <v>0</v>
      </c>
      <c r="T1857">
        <v>0</v>
      </c>
      <c r="U1857">
        <v>0</v>
      </c>
      <c r="V1857">
        <v>2963.18</v>
      </c>
      <c r="W1857">
        <v>0</v>
      </c>
      <c r="X1857">
        <v>1</v>
      </c>
      <c r="Y1857">
        <v>0</v>
      </c>
      <c r="Z1857">
        <v>-32</v>
      </c>
      <c r="AA1857">
        <v>1</v>
      </c>
      <c r="AB1857" s="13" t="s">
        <v>581</v>
      </c>
      <c r="AC1857">
        <v>0</v>
      </c>
      <c r="AD1857">
        <v>0</v>
      </c>
      <c r="AE1857" s="13" t="s">
        <v>61</v>
      </c>
    </row>
    <row r="1858" spans="1:31" x14ac:dyDescent="0.35">
      <c r="A1858" s="13" t="s">
        <v>2672</v>
      </c>
      <c r="B1858" s="13" t="s">
        <v>949</v>
      </c>
      <c r="C1858" s="13" t="s">
        <v>950</v>
      </c>
      <c r="D1858" s="13" t="s">
        <v>52</v>
      </c>
      <c r="E1858" s="13" t="s">
        <v>99</v>
      </c>
      <c r="F1858" s="13" t="s">
        <v>100</v>
      </c>
      <c r="G1858" s="13" t="s">
        <v>67</v>
      </c>
      <c r="H1858">
        <v>330000</v>
      </c>
      <c r="I1858" s="13" t="s">
        <v>56</v>
      </c>
      <c r="J1858" s="13" t="s">
        <v>57</v>
      </c>
      <c r="K1858" s="13" t="s">
        <v>58</v>
      </c>
      <c r="L1858" s="13" t="s">
        <v>88</v>
      </c>
      <c r="M1858">
        <v>60</v>
      </c>
      <c r="N1858">
        <v>0</v>
      </c>
      <c r="O1858" s="14">
        <v>46009</v>
      </c>
      <c r="P1858" s="14">
        <v>46069</v>
      </c>
      <c r="Q1858">
        <v>3064.13</v>
      </c>
      <c r="R1858">
        <v>0</v>
      </c>
      <c r="S1858">
        <v>0</v>
      </c>
      <c r="T1858">
        <v>0</v>
      </c>
      <c r="U1858">
        <v>0</v>
      </c>
      <c r="V1858">
        <v>3064.13</v>
      </c>
      <c r="W1858">
        <v>0</v>
      </c>
      <c r="X1858">
        <v>1</v>
      </c>
      <c r="Y1858">
        <v>0</v>
      </c>
      <c r="Z1858">
        <v>-47</v>
      </c>
      <c r="AA1858">
        <v>1</v>
      </c>
      <c r="AB1858" s="13" t="s">
        <v>581</v>
      </c>
      <c r="AC1858">
        <v>0</v>
      </c>
      <c r="AD1858">
        <v>0</v>
      </c>
      <c r="AE1858" s="13" t="s">
        <v>61</v>
      </c>
    </row>
    <row r="1859" spans="1:31" x14ac:dyDescent="0.35">
      <c r="A1859" s="13" t="s">
        <v>2673</v>
      </c>
      <c r="B1859" s="13" t="s">
        <v>1405</v>
      </c>
      <c r="C1859" s="13" t="s">
        <v>1406</v>
      </c>
      <c r="D1859" s="13" t="s">
        <v>52</v>
      </c>
      <c r="E1859" s="13" t="s">
        <v>53</v>
      </c>
      <c r="F1859" s="13" t="s">
        <v>54</v>
      </c>
      <c r="G1859" s="13" t="s">
        <v>67</v>
      </c>
      <c r="H1859">
        <v>445000</v>
      </c>
      <c r="I1859" s="13" t="s">
        <v>86</v>
      </c>
      <c r="J1859" s="13" t="s">
        <v>87</v>
      </c>
      <c r="K1859" s="13" t="s">
        <v>58</v>
      </c>
      <c r="L1859" s="13" t="s">
        <v>59</v>
      </c>
      <c r="M1859">
        <v>45</v>
      </c>
      <c r="N1859">
        <v>0</v>
      </c>
      <c r="O1859" s="14">
        <v>46009</v>
      </c>
      <c r="P1859" s="14">
        <v>46054</v>
      </c>
      <c r="Q1859">
        <v>7395.64</v>
      </c>
      <c r="R1859">
        <v>0</v>
      </c>
      <c r="S1859">
        <v>0</v>
      </c>
      <c r="T1859">
        <v>0</v>
      </c>
      <c r="U1859">
        <v>0</v>
      </c>
      <c r="V1859">
        <v>7395.64</v>
      </c>
      <c r="W1859">
        <v>0</v>
      </c>
      <c r="X1859">
        <v>1</v>
      </c>
      <c r="Y1859">
        <v>0</v>
      </c>
      <c r="Z1859">
        <v>-32</v>
      </c>
      <c r="AA1859">
        <v>1</v>
      </c>
      <c r="AB1859" s="13" t="s">
        <v>581</v>
      </c>
      <c r="AC1859">
        <v>0</v>
      </c>
      <c r="AD1859">
        <v>0</v>
      </c>
      <c r="AE1859" s="13" t="s">
        <v>61</v>
      </c>
    </row>
    <row r="1860" spans="1:31" x14ac:dyDescent="0.35">
      <c r="A1860" s="13" t="s">
        <v>2674</v>
      </c>
      <c r="B1860" s="13" t="s">
        <v>986</v>
      </c>
      <c r="C1860" s="13" t="s">
        <v>987</v>
      </c>
      <c r="D1860" s="13" t="s">
        <v>104</v>
      </c>
      <c r="E1860" s="13" t="s">
        <v>71</v>
      </c>
      <c r="F1860" s="13" t="s">
        <v>72</v>
      </c>
      <c r="G1860" s="13" t="s">
        <v>67</v>
      </c>
      <c r="H1860">
        <v>125000</v>
      </c>
      <c r="I1860" s="13" t="s">
        <v>105</v>
      </c>
      <c r="J1860" s="13" t="s">
        <v>106</v>
      </c>
      <c r="K1860" s="13" t="s">
        <v>107</v>
      </c>
      <c r="L1860" s="13" t="s">
        <v>88</v>
      </c>
      <c r="M1860">
        <v>60</v>
      </c>
      <c r="N1860">
        <v>0</v>
      </c>
      <c r="O1860" s="14">
        <v>46009</v>
      </c>
      <c r="P1860" s="14">
        <v>46069</v>
      </c>
      <c r="Q1860">
        <v>3808.06</v>
      </c>
      <c r="R1860">
        <v>0</v>
      </c>
      <c r="S1860">
        <v>0</v>
      </c>
      <c r="T1860">
        <v>0</v>
      </c>
      <c r="U1860">
        <v>0</v>
      </c>
      <c r="V1860">
        <v>3808.06</v>
      </c>
      <c r="W1860">
        <v>0</v>
      </c>
      <c r="X1860">
        <v>1</v>
      </c>
      <c r="Y1860">
        <v>0</v>
      </c>
      <c r="Z1860">
        <v>-47</v>
      </c>
      <c r="AA1860">
        <v>1</v>
      </c>
      <c r="AB1860" s="13" t="s">
        <v>581</v>
      </c>
      <c r="AC1860">
        <v>0</v>
      </c>
      <c r="AD1860">
        <v>0</v>
      </c>
      <c r="AE1860" s="13" t="s">
        <v>61</v>
      </c>
    </row>
    <row r="1861" spans="1:31" x14ac:dyDescent="0.35">
      <c r="A1861" s="13" t="s">
        <v>2675</v>
      </c>
      <c r="B1861" s="13" t="s">
        <v>2351</v>
      </c>
      <c r="C1861" s="13" t="s">
        <v>2352</v>
      </c>
      <c r="D1861" s="13" t="s">
        <v>104</v>
      </c>
      <c r="E1861" s="13" t="s">
        <v>77</v>
      </c>
      <c r="F1861" s="13" t="s">
        <v>78</v>
      </c>
      <c r="G1861" s="13" t="s">
        <v>67</v>
      </c>
      <c r="H1861">
        <v>40000</v>
      </c>
      <c r="I1861" s="13" t="s">
        <v>121</v>
      </c>
      <c r="J1861" s="13" t="s">
        <v>122</v>
      </c>
      <c r="K1861" s="13" t="s">
        <v>107</v>
      </c>
      <c r="L1861" s="13" t="s">
        <v>95</v>
      </c>
      <c r="M1861">
        <v>30</v>
      </c>
      <c r="N1861">
        <v>0</v>
      </c>
      <c r="O1861" s="14">
        <v>46009</v>
      </c>
      <c r="P1861" s="14">
        <v>46039</v>
      </c>
      <c r="Q1861">
        <v>6038.7</v>
      </c>
      <c r="R1861">
        <v>0</v>
      </c>
      <c r="S1861">
        <v>0</v>
      </c>
      <c r="T1861">
        <v>0</v>
      </c>
      <c r="U1861">
        <v>0</v>
      </c>
      <c r="V1861">
        <v>6038.7</v>
      </c>
      <c r="W1861">
        <v>0</v>
      </c>
      <c r="X1861">
        <v>1</v>
      </c>
      <c r="Y1861">
        <v>0</v>
      </c>
      <c r="Z1861">
        <v>-17</v>
      </c>
      <c r="AA1861">
        <v>1</v>
      </c>
      <c r="AB1861" s="13" t="s">
        <v>581</v>
      </c>
      <c r="AC1861">
        <v>0</v>
      </c>
      <c r="AD1861">
        <v>0</v>
      </c>
      <c r="AE1861" s="13" t="s">
        <v>61</v>
      </c>
    </row>
    <row r="1862" spans="1:31" x14ac:dyDescent="0.35">
      <c r="A1862" s="13" t="s">
        <v>2676</v>
      </c>
      <c r="B1862" s="13" t="s">
        <v>933</v>
      </c>
      <c r="C1862" s="13" t="s">
        <v>934</v>
      </c>
      <c r="D1862" s="13" t="s">
        <v>76</v>
      </c>
      <c r="E1862" s="13" t="s">
        <v>71</v>
      </c>
      <c r="F1862" s="13" t="s">
        <v>214</v>
      </c>
      <c r="G1862" s="13" t="s">
        <v>67</v>
      </c>
      <c r="H1862">
        <v>115000</v>
      </c>
      <c r="I1862" s="13" t="s">
        <v>79</v>
      </c>
      <c r="J1862" s="13" t="s">
        <v>80</v>
      </c>
      <c r="K1862" s="13" t="s">
        <v>81</v>
      </c>
      <c r="L1862" s="13" t="s">
        <v>95</v>
      </c>
      <c r="M1862">
        <v>30</v>
      </c>
      <c r="N1862">
        <v>0</v>
      </c>
      <c r="O1862" s="14">
        <v>46009</v>
      </c>
      <c r="P1862" s="14">
        <v>46039</v>
      </c>
      <c r="Q1862">
        <v>3935.71</v>
      </c>
      <c r="R1862">
        <v>0</v>
      </c>
      <c r="S1862">
        <v>0</v>
      </c>
      <c r="T1862">
        <v>0</v>
      </c>
      <c r="U1862">
        <v>0</v>
      </c>
      <c r="V1862">
        <v>3935.71</v>
      </c>
      <c r="W1862">
        <v>0</v>
      </c>
      <c r="X1862">
        <v>1</v>
      </c>
      <c r="Y1862">
        <v>0</v>
      </c>
      <c r="Z1862">
        <v>-17</v>
      </c>
      <c r="AA1862">
        <v>1</v>
      </c>
      <c r="AB1862" s="13" t="s">
        <v>581</v>
      </c>
      <c r="AC1862">
        <v>0</v>
      </c>
      <c r="AD1862">
        <v>0</v>
      </c>
      <c r="AE1862" s="13" t="s">
        <v>61</v>
      </c>
    </row>
    <row r="1863" spans="1:31" x14ac:dyDescent="0.35">
      <c r="A1863" s="13" t="s">
        <v>2677</v>
      </c>
      <c r="B1863" s="13" t="s">
        <v>2473</v>
      </c>
      <c r="C1863" s="13" t="s">
        <v>2474</v>
      </c>
      <c r="D1863" s="13" t="s">
        <v>104</v>
      </c>
      <c r="E1863" s="13" t="s">
        <v>71</v>
      </c>
      <c r="F1863" s="13" t="s">
        <v>214</v>
      </c>
      <c r="G1863" s="13" t="s">
        <v>55</v>
      </c>
      <c r="H1863">
        <v>85000</v>
      </c>
      <c r="I1863" s="13" t="s">
        <v>121</v>
      </c>
      <c r="J1863" s="13" t="s">
        <v>122</v>
      </c>
      <c r="K1863" s="13" t="s">
        <v>107</v>
      </c>
      <c r="L1863" s="13" t="s">
        <v>82</v>
      </c>
      <c r="M1863">
        <v>30</v>
      </c>
      <c r="N1863">
        <v>2</v>
      </c>
      <c r="O1863" s="14">
        <v>46009</v>
      </c>
      <c r="P1863" s="14">
        <v>46039</v>
      </c>
      <c r="Q1863">
        <v>1744.64</v>
      </c>
      <c r="R1863">
        <v>0</v>
      </c>
      <c r="S1863">
        <v>0</v>
      </c>
      <c r="T1863">
        <v>0</v>
      </c>
      <c r="U1863">
        <v>0</v>
      </c>
      <c r="V1863">
        <v>1744.64</v>
      </c>
      <c r="W1863">
        <v>0</v>
      </c>
      <c r="X1863">
        <v>1</v>
      </c>
      <c r="Y1863">
        <v>0</v>
      </c>
      <c r="Z1863">
        <v>-17</v>
      </c>
      <c r="AA1863">
        <v>1</v>
      </c>
      <c r="AB1863" s="13" t="s">
        <v>581</v>
      </c>
      <c r="AC1863">
        <v>0</v>
      </c>
      <c r="AD1863">
        <v>0</v>
      </c>
      <c r="AE1863" s="13" t="s">
        <v>61</v>
      </c>
    </row>
    <row r="1864" spans="1:31" x14ac:dyDescent="0.35">
      <c r="A1864" s="13" t="s">
        <v>2678</v>
      </c>
      <c r="B1864" s="13" t="s">
        <v>379</v>
      </c>
      <c r="C1864" s="13" t="s">
        <v>380</v>
      </c>
      <c r="D1864" s="13" t="s">
        <v>52</v>
      </c>
      <c r="E1864" s="13" t="s">
        <v>77</v>
      </c>
      <c r="F1864" s="13" t="s">
        <v>78</v>
      </c>
      <c r="G1864" s="13" t="s">
        <v>92</v>
      </c>
      <c r="H1864">
        <v>450000</v>
      </c>
      <c r="I1864" s="13" t="s">
        <v>56</v>
      </c>
      <c r="J1864" s="13" t="s">
        <v>57</v>
      </c>
      <c r="K1864" s="13" t="s">
        <v>58</v>
      </c>
      <c r="L1864" s="13" t="s">
        <v>59</v>
      </c>
      <c r="M1864">
        <v>45</v>
      </c>
      <c r="N1864">
        <v>0</v>
      </c>
      <c r="O1864" s="14">
        <v>46009</v>
      </c>
      <c r="P1864" s="14">
        <v>46054</v>
      </c>
      <c r="Q1864">
        <v>2683.24</v>
      </c>
      <c r="R1864">
        <v>0</v>
      </c>
      <c r="S1864">
        <v>0</v>
      </c>
      <c r="T1864">
        <v>0</v>
      </c>
      <c r="U1864">
        <v>0</v>
      </c>
      <c r="V1864">
        <v>2683.24</v>
      </c>
      <c r="W1864">
        <v>0</v>
      </c>
      <c r="X1864">
        <v>1</v>
      </c>
      <c r="Y1864">
        <v>0</v>
      </c>
      <c r="Z1864">
        <v>-32</v>
      </c>
      <c r="AA1864">
        <v>1</v>
      </c>
      <c r="AB1864" s="13" t="s">
        <v>581</v>
      </c>
      <c r="AC1864">
        <v>0</v>
      </c>
      <c r="AD1864">
        <v>0</v>
      </c>
      <c r="AE1864" s="13" t="s">
        <v>61</v>
      </c>
    </row>
    <row r="1865" spans="1:31" x14ac:dyDescent="0.35">
      <c r="A1865" s="13" t="s">
        <v>2679</v>
      </c>
      <c r="B1865" s="13" t="s">
        <v>772</v>
      </c>
      <c r="C1865" s="13" t="s">
        <v>773</v>
      </c>
      <c r="D1865" s="13" t="s">
        <v>76</v>
      </c>
      <c r="E1865" s="13" t="s">
        <v>99</v>
      </c>
      <c r="F1865" s="13" t="s">
        <v>100</v>
      </c>
      <c r="G1865" s="13" t="s">
        <v>55</v>
      </c>
      <c r="H1865">
        <v>105000</v>
      </c>
      <c r="I1865" s="13" t="s">
        <v>79</v>
      </c>
      <c r="J1865" s="13" t="s">
        <v>80</v>
      </c>
      <c r="K1865" s="13" t="s">
        <v>81</v>
      </c>
      <c r="L1865" s="13" t="s">
        <v>82</v>
      </c>
      <c r="M1865">
        <v>30</v>
      </c>
      <c r="N1865">
        <v>2</v>
      </c>
      <c r="O1865" s="14">
        <v>46009</v>
      </c>
      <c r="P1865" s="14">
        <v>46039</v>
      </c>
      <c r="Q1865">
        <v>3347.82</v>
      </c>
      <c r="R1865">
        <v>0</v>
      </c>
      <c r="S1865">
        <v>0</v>
      </c>
      <c r="T1865">
        <v>0</v>
      </c>
      <c r="U1865">
        <v>0</v>
      </c>
      <c r="V1865">
        <v>3347.82</v>
      </c>
      <c r="W1865">
        <v>0</v>
      </c>
      <c r="X1865">
        <v>1</v>
      </c>
      <c r="Y1865">
        <v>0</v>
      </c>
      <c r="Z1865">
        <v>-17</v>
      </c>
      <c r="AA1865">
        <v>1</v>
      </c>
      <c r="AB1865" s="13" t="s">
        <v>581</v>
      </c>
      <c r="AC1865">
        <v>0</v>
      </c>
      <c r="AD1865">
        <v>0</v>
      </c>
      <c r="AE1865" s="13" t="s">
        <v>61</v>
      </c>
    </row>
    <row r="1866" spans="1:31" x14ac:dyDescent="0.35">
      <c r="A1866" s="13" t="s">
        <v>2680</v>
      </c>
      <c r="B1866" s="13" t="s">
        <v>280</v>
      </c>
      <c r="C1866" s="13" t="s">
        <v>281</v>
      </c>
      <c r="D1866" s="13" t="s">
        <v>104</v>
      </c>
      <c r="E1866" s="13" t="s">
        <v>71</v>
      </c>
      <c r="F1866" s="13" t="s">
        <v>214</v>
      </c>
      <c r="G1866" s="13" t="s">
        <v>92</v>
      </c>
      <c r="H1866">
        <v>100000</v>
      </c>
      <c r="I1866" s="13" t="s">
        <v>121</v>
      </c>
      <c r="J1866" s="13" t="s">
        <v>122</v>
      </c>
      <c r="K1866" s="13" t="s">
        <v>107</v>
      </c>
      <c r="L1866" s="13" t="s">
        <v>88</v>
      </c>
      <c r="M1866">
        <v>60</v>
      </c>
      <c r="N1866">
        <v>0</v>
      </c>
      <c r="O1866" s="14">
        <v>46009</v>
      </c>
      <c r="P1866" s="14">
        <v>46069</v>
      </c>
      <c r="Q1866">
        <v>4850.67</v>
      </c>
      <c r="R1866">
        <v>0</v>
      </c>
      <c r="S1866">
        <v>0</v>
      </c>
      <c r="T1866">
        <v>0</v>
      </c>
      <c r="U1866">
        <v>0</v>
      </c>
      <c r="V1866">
        <v>4850.67</v>
      </c>
      <c r="W1866">
        <v>0</v>
      </c>
      <c r="X1866">
        <v>1</v>
      </c>
      <c r="Y1866">
        <v>0</v>
      </c>
      <c r="Z1866">
        <v>-47</v>
      </c>
      <c r="AA1866">
        <v>1</v>
      </c>
      <c r="AB1866" s="13" t="s">
        <v>581</v>
      </c>
      <c r="AC1866">
        <v>0</v>
      </c>
      <c r="AD1866">
        <v>0</v>
      </c>
      <c r="AE1866" s="13" t="s">
        <v>61</v>
      </c>
    </row>
    <row r="1867" spans="1:31" x14ac:dyDescent="0.35">
      <c r="A1867" s="13" t="s">
        <v>2681</v>
      </c>
      <c r="B1867" s="13" t="s">
        <v>361</v>
      </c>
      <c r="C1867" s="13" t="s">
        <v>362</v>
      </c>
      <c r="D1867" s="13" t="s">
        <v>76</v>
      </c>
      <c r="E1867" s="13" t="s">
        <v>65</v>
      </c>
      <c r="F1867" s="13" t="s">
        <v>66</v>
      </c>
      <c r="G1867" s="13" t="s">
        <v>67</v>
      </c>
      <c r="H1867">
        <v>30000</v>
      </c>
      <c r="I1867" s="13" t="s">
        <v>93</v>
      </c>
      <c r="J1867" s="13" t="s">
        <v>94</v>
      </c>
      <c r="K1867" s="13" t="s">
        <v>81</v>
      </c>
      <c r="L1867" s="13" t="s">
        <v>95</v>
      </c>
      <c r="M1867">
        <v>30</v>
      </c>
      <c r="N1867">
        <v>0</v>
      </c>
      <c r="O1867" s="14">
        <v>46009</v>
      </c>
      <c r="P1867" s="14">
        <v>46039</v>
      </c>
      <c r="Q1867">
        <v>1190.1300000000001</v>
      </c>
      <c r="R1867">
        <v>0</v>
      </c>
      <c r="S1867">
        <v>0</v>
      </c>
      <c r="T1867">
        <v>0</v>
      </c>
      <c r="U1867">
        <v>0</v>
      </c>
      <c r="V1867">
        <v>1190.1300000000001</v>
      </c>
      <c r="W1867">
        <v>0</v>
      </c>
      <c r="X1867">
        <v>1</v>
      </c>
      <c r="Y1867">
        <v>0</v>
      </c>
      <c r="Z1867">
        <v>-17</v>
      </c>
      <c r="AA1867">
        <v>1</v>
      </c>
      <c r="AB1867" s="13" t="s">
        <v>581</v>
      </c>
      <c r="AC1867">
        <v>0</v>
      </c>
      <c r="AD1867">
        <v>0</v>
      </c>
      <c r="AE1867" s="13" t="s">
        <v>61</v>
      </c>
    </row>
    <row r="1868" spans="1:31" x14ac:dyDescent="0.35">
      <c r="A1868" s="13" t="s">
        <v>2682</v>
      </c>
      <c r="B1868" s="13" t="s">
        <v>177</v>
      </c>
      <c r="C1868" s="13" t="s">
        <v>178</v>
      </c>
      <c r="D1868" s="13" t="s">
        <v>52</v>
      </c>
      <c r="E1868" s="13" t="s">
        <v>71</v>
      </c>
      <c r="F1868" s="13" t="s">
        <v>72</v>
      </c>
      <c r="G1868" s="13" t="s">
        <v>67</v>
      </c>
      <c r="H1868">
        <v>415000</v>
      </c>
      <c r="I1868" s="13" t="s">
        <v>56</v>
      </c>
      <c r="J1868" s="13" t="s">
        <v>57</v>
      </c>
      <c r="K1868" s="13" t="s">
        <v>58</v>
      </c>
      <c r="L1868" s="13" t="s">
        <v>59</v>
      </c>
      <c r="M1868">
        <v>45</v>
      </c>
      <c r="N1868">
        <v>0</v>
      </c>
      <c r="O1868" s="14">
        <v>46009</v>
      </c>
      <c r="P1868" s="14">
        <v>46054</v>
      </c>
      <c r="Q1868">
        <v>3515.1</v>
      </c>
      <c r="R1868">
        <v>0</v>
      </c>
      <c r="S1868">
        <v>0</v>
      </c>
      <c r="T1868">
        <v>0</v>
      </c>
      <c r="U1868">
        <v>0</v>
      </c>
      <c r="V1868">
        <v>3515.1</v>
      </c>
      <c r="W1868">
        <v>0</v>
      </c>
      <c r="X1868">
        <v>1</v>
      </c>
      <c r="Y1868">
        <v>0</v>
      </c>
      <c r="Z1868">
        <v>-32</v>
      </c>
      <c r="AA1868">
        <v>1</v>
      </c>
      <c r="AB1868" s="13" t="s">
        <v>581</v>
      </c>
      <c r="AC1868">
        <v>0</v>
      </c>
      <c r="AD1868">
        <v>0</v>
      </c>
      <c r="AE1868" s="13" t="s">
        <v>61</v>
      </c>
    </row>
    <row r="1869" spans="1:31" x14ac:dyDescent="0.35">
      <c r="A1869" s="13" t="s">
        <v>2683</v>
      </c>
      <c r="B1869" s="13" t="s">
        <v>958</v>
      </c>
      <c r="C1869" s="13" t="s">
        <v>959</v>
      </c>
      <c r="D1869" s="13" t="s">
        <v>52</v>
      </c>
      <c r="E1869" s="13" t="s">
        <v>99</v>
      </c>
      <c r="F1869" s="13" t="s">
        <v>100</v>
      </c>
      <c r="G1869" s="13" t="s">
        <v>55</v>
      </c>
      <c r="H1869">
        <v>270000</v>
      </c>
      <c r="I1869" s="13" t="s">
        <v>56</v>
      </c>
      <c r="J1869" s="13" t="s">
        <v>57</v>
      </c>
      <c r="K1869" s="13" t="s">
        <v>58</v>
      </c>
      <c r="L1869" s="13" t="s">
        <v>59</v>
      </c>
      <c r="M1869">
        <v>45</v>
      </c>
      <c r="N1869">
        <v>0</v>
      </c>
      <c r="O1869" s="14">
        <v>46009</v>
      </c>
      <c r="P1869" s="14">
        <v>46054</v>
      </c>
      <c r="Q1869">
        <v>7851.61</v>
      </c>
      <c r="R1869">
        <v>0</v>
      </c>
      <c r="S1869">
        <v>0</v>
      </c>
      <c r="T1869">
        <v>0</v>
      </c>
      <c r="U1869">
        <v>0</v>
      </c>
      <c r="V1869">
        <v>7851.61</v>
      </c>
      <c r="W1869">
        <v>0</v>
      </c>
      <c r="X1869">
        <v>1</v>
      </c>
      <c r="Y1869">
        <v>0</v>
      </c>
      <c r="Z1869">
        <v>-32</v>
      </c>
      <c r="AA1869">
        <v>1</v>
      </c>
      <c r="AB1869" s="13" t="s">
        <v>581</v>
      </c>
      <c r="AC1869">
        <v>0</v>
      </c>
      <c r="AD1869">
        <v>0</v>
      </c>
      <c r="AE1869" s="13" t="s">
        <v>61</v>
      </c>
    </row>
    <row r="1870" spans="1:31" x14ac:dyDescent="0.35">
      <c r="A1870" s="13" t="s">
        <v>2684</v>
      </c>
      <c r="B1870" s="13" t="s">
        <v>1589</v>
      </c>
      <c r="C1870" s="13" t="s">
        <v>1590</v>
      </c>
      <c r="D1870" s="13" t="s">
        <v>76</v>
      </c>
      <c r="E1870" s="13" t="s">
        <v>99</v>
      </c>
      <c r="F1870" s="13" t="s">
        <v>100</v>
      </c>
      <c r="G1870" s="13" t="s">
        <v>67</v>
      </c>
      <c r="H1870">
        <v>40000</v>
      </c>
      <c r="I1870" s="13" t="s">
        <v>79</v>
      </c>
      <c r="J1870" s="13" t="s">
        <v>80</v>
      </c>
      <c r="K1870" s="13" t="s">
        <v>81</v>
      </c>
      <c r="L1870" s="13" t="s">
        <v>95</v>
      </c>
      <c r="M1870">
        <v>30</v>
      </c>
      <c r="N1870">
        <v>0</v>
      </c>
      <c r="O1870" s="14">
        <v>46009</v>
      </c>
      <c r="P1870" s="14">
        <v>46039</v>
      </c>
      <c r="Q1870">
        <v>3585.97</v>
      </c>
      <c r="R1870">
        <v>0</v>
      </c>
      <c r="S1870">
        <v>0</v>
      </c>
      <c r="T1870">
        <v>0</v>
      </c>
      <c r="U1870">
        <v>0</v>
      </c>
      <c r="V1870">
        <v>3585.97</v>
      </c>
      <c r="W1870">
        <v>0</v>
      </c>
      <c r="X1870">
        <v>1</v>
      </c>
      <c r="Y1870">
        <v>0</v>
      </c>
      <c r="Z1870">
        <v>-17</v>
      </c>
      <c r="AA1870">
        <v>1</v>
      </c>
      <c r="AB1870" s="13" t="s">
        <v>581</v>
      </c>
      <c r="AC1870">
        <v>0</v>
      </c>
      <c r="AD1870">
        <v>0</v>
      </c>
      <c r="AE1870" s="13" t="s">
        <v>61</v>
      </c>
    </row>
    <row r="1871" spans="1:31" x14ac:dyDescent="0.35">
      <c r="A1871" s="13" t="s">
        <v>2685</v>
      </c>
      <c r="B1871" s="13" t="s">
        <v>2524</v>
      </c>
      <c r="C1871" s="13" t="s">
        <v>2525</v>
      </c>
      <c r="D1871" s="13" t="s">
        <v>104</v>
      </c>
      <c r="E1871" s="13" t="s">
        <v>65</v>
      </c>
      <c r="F1871" s="13" t="s">
        <v>111</v>
      </c>
      <c r="G1871" s="13" t="s">
        <v>67</v>
      </c>
      <c r="H1871">
        <v>110000</v>
      </c>
      <c r="I1871" s="13" t="s">
        <v>121</v>
      </c>
      <c r="J1871" s="13" t="s">
        <v>122</v>
      </c>
      <c r="K1871" s="13" t="s">
        <v>107</v>
      </c>
      <c r="L1871" s="13" t="s">
        <v>95</v>
      </c>
      <c r="M1871">
        <v>30</v>
      </c>
      <c r="N1871">
        <v>0</v>
      </c>
      <c r="O1871" s="14">
        <v>46010</v>
      </c>
      <c r="P1871" s="14">
        <v>46040</v>
      </c>
      <c r="Q1871">
        <v>5374.18</v>
      </c>
      <c r="R1871">
        <v>0</v>
      </c>
      <c r="S1871">
        <v>0</v>
      </c>
      <c r="T1871">
        <v>0</v>
      </c>
      <c r="U1871">
        <v>0</v>
      </c>
      <c r="V1871">
        <v>5374.18</v>
      </c>
      <c r="W1871">
        <v>0</v>
      </c>
      <c r="X1871">
        <v>1</v>
      </c>
      <c r="Y1871">
        <v>0</v>
      </c>
      <c r="Z1871">
        <v>-18</v>
      </c>
      <c r="AA1871">
        <v>1</v>
      </c>
      <c r="AB1871" s="13" t="s">
        <v>581</v>
      </c>
      <c r="AC1871">
        <v>0</v>
      </c>
      <c r="AD1871">
        <v>0</v>
      </c>
      <c r="AE1871" s="13" t="s">
        <v>61</v>
      </c>
    </row>
    <row r="1872" spans="1:31" x14ac:dyDescent="0.35">
      <c r="A1872" s="13" t="s">
        <v>2686</v>
      </c>
      <c r="B1872" s="13" t="s">
        <v>1358</v>
      </c>
      <c r="C1872" s="13" t="s">
        <v>1359</v>
      </c>
      <c r="D1872" s="13" t="s">
        <v>76</v>
      </c>
      <c r="E1872" s="13" t="s">
        <v>71</v>
      </c>
      <c r="F1872" s="13" t="s">
        <v>72</v>
      </c>
      <c r="G1872" s="13" t="s">
        <v>92</v>
      </c>
      <c r="H1872">
        <v>105000</v>
      </c>
      <c r="I1872" s="13" t="s">
        <v>79</v>
      </c>
      <c r="J1872" s="13" t="s">
        <v>80</v>
      </c>
      <c r="K1872" s="13" t="s">
        <v>81</v>
      </c>
      <c r="L1872" s="13" t="s">
        <v>95</v>
      </c>
      <c r="M1872">
        <v>30</v>
      </c>
      <c r="N1872">
        <v>0</v>
      </c>
      <c r="O1872" s="14">
        <v>46010</v>
      </c>
      <c r="P1872" s="14">
        <v>46040</v>
      </c>
      <c r="Q1872">
        <v>2570.92</v>
      </c>
      <c r="R1872">
        <v>0</v>
      </c>
      <c r="S1872">
        <v>0</v>
      </c>
      <c r="T1872">
        <v>0</v>
      </c>
      <c r="U1872">
        <v>0</v>
      </c>
      <c r="V1872">
        <v>2570.92</v>
      </c>
      <c r="W1872">
        <v>0</v>
      </c>
      <c r="X1872">
        <v>1</v>
      </c>
      <c r="Y1872">
        <v>0</v>
      </c>
      <c r="Z1872">
        <v>-18</v>
      </c>
      <c r="AA1872">
        <v>1</v>
      </c>
      <c r="AB1872" s="13" t="s">
        <v>581</v>
      </c>
      <c r="AC1872">
        <v>0</v>
      </c>
      <c r="AD1872">
        <v>0</v>
      </c>
      <c r="AE1872" s="13" t="s">
        <v>61</v>
      </c>
    </row>
    <row r="1873" spans="1:31" x14ac:dyDescent="0.35">
      <c r="A1873" s="13" t="s">
        <v>2687</v>
      </c>
      <c r="B1873" s="13" t="s">
        <v>244</v>
      </c>
      <c r="C1873" s="13" t="s">
        <v>245</v>
      </c>
      <c r="D1873" s="13" t="s">
        <v>52</v>
      </c>
      <c r="E1873" s="13" t="s">
        <v>65</v>
      </c>
      <c r="F1873" s="13" t="s">
        <v>111</v>
      </c>
      <c r="G1873" s="13" t="s">
        <v>55</v>
      </c>
      <c r="H1873">
        <v>590000</v>
      </c>
      <c r="I1873" s="13" t="s">
        <v>86</v>
      </c>
      <c r="J1873" s="13" t="s">
        <v>87</v>
      </c>
      <c r="K1873" s="13" t="s">
        <v>58</v>
      </c>
      <c r="L1873" s="13" t="s">
        <v>59</v>
      </c>
      <c r="M1873">
        <v>45</v>
      </c>
      <c r="N1873">
        <v>0</v>
      </c>
      <c r="O1873" s="14">
        <v>46010</v>
      </c>
      <c r="P1873" s="14">
        <v>46055</v>
      </c>
      <c r="Q1873">
        <v>5979.84</v>
      </c>
      <c r="R1873">
        <v>0</v>
      </c>
      <c r="S1873">
        <v>0</v>
      </c>
      <c r="T1873">
        <v>0</v>
      </c>
      <c r="U1873">
        <v>0</v>
      </c>
      <c r="V1873">
        <v>5979.84</v>
      </c>
      <c r="W1873">
        <v>0</v>
      </c>
      <c r="X1873">
        <v>1</v>
      </c>
      <c r="Y1873">
        <v>0</v>
      </c>
      <c r="Z1873">
        <v>-33</v>
      </c>
      <c r="AA1873">
        <v>1</v>
      </c>
      <c r="AB1873" s="13" t="s">
        <v>581</v>
      </c>
      <c r="AC1873">
        <v>0</v>
      </c>
      <c r="AD1873">
        <v>0</v>
      </c>
      <c r="AE1873" s="13" t="s">
        <v>61</v>
      </c>
    </row>
    <row r="1874" spans="1:31" x14ac:dyDescent="0.35">
      <c r="A1874" s="13" t="s">
        <v>2688</v>
      </c>
      <c r="B1874" s="13" t="s">
        <v>1285</v>
      </c>
      <c r="C1874" s="13" t="s">
        <v>1286</v>
      </c>
      <c r="D1874" s="13" t="s">
        <v>76</v>
      </c>
      <c r="E1874" s="13" t="s">
        <v>53</v>
      </c>
      <c r="F1874" s="13" t="s">
        <v>54</v>
      </c>
      <c r="G1874" s="13" t="s">
        <v>55</v>
      </c>
      <c r="H1874">
        <v>105000</v>
      </c>
      <c r="I1874" s="13" t="s">
        <v>79</v>
      </c>
      <c r="J1874" s="13" t="s">
        <v>80</v>
      </c>
      <c r="K1874" s="13" t="s">
        <v>81</v>
      </c>
      <c r="L1874" s="13" t="s">
        <v>95</v>
      </c>
      <c r="M1874">
        <v>30</v>
      </c>
      <c r="N1874">
        <v>0</v>
      </c>
      <c r="O1874" s="14">
        <v>46010</v>
      </c>
      <c r="P1874" s="14">
        <v>46040</v>
      </c>
      <c r="Q1874">
        <v>1222.5999999999999</v>
      </c>
      <c r="R1874">
        <v>0</v>
      </c>
      <c r="S1874">
        <v>0</v>
      </c>
      <c r="T1874">
        <v>0</v>
      </c>
      <c r="U1874">
        <v>0</v>
      </c>
      <c r="V1874">
        <v>1222.5999999999999</v>
      </c>
      <c r="W1874">
        <v>0</v>
      </c>
      <c r="X1874">
        <v>1</v>
      </c>
      <c r="Y1874">
        <v>0</v>
      </c>
      <c r="Z1874">
        <v>-18</v>
      </c>
      <c r="AA1874">
        <v>1</v>
      </c>
      <c r="AB1874" s="13" t="s">
        <v>581</v>
      </c>
      <c r="AC1874">
        <v>0</v>
      </c>
      <c r="AD1874">
        <v>0</v>
      </c>
      <c r="AE1874" s="13" t="s">
        <v>61</v>
      </c>
    </row>
    <row r="1875" spans="1:31" x14ac:dyDescent="0.35">
      <c r="A1875" s="13" t="s">
        <v>2689</v>
      </c>
      <c r="B1875" s="13" t="s">
        <v>203</v>
      </c>
      <c r="C1875" s="13" t="s">
        <v>204</v>
      </c>
      <c r="D1875" s="13" t="s">
        <v>52</v>
      </c>
      <c r="E1875" s="13" t="s">
        <v>53</v>
      </c>
      <c r="F1875" s="13" t="s">
        <v>135</v>
      </c>
      <c r="G1875" s="13" t="s">
        <v>67</v>
      </c>
      <c r="H1875">
        <v>500000</v>
      </c>
      <c r="I1875" s="13" t="s">
        <v>56</v>
      </c>
      <c r="J1875" s="13" t="s">
        <v>57</v>
      </c>
      <c r="K1875" s="13" t="s">
        <v>58</v>
      </c>
      <c r="L1875" s="13" t="s">
        <v>59</v>
      </c>
      <c r="M1875">
        <v>45</v>
      </c>
      <c r="N1875">
        <v>0</v>
      </c>
      <c r="O1875" s="14">
        <v>46010</v>
      </c>
      <c r="P1875" s="14">
        <v>46055</v>
      </c>
      <c r="Q1875">
        <v>1625.17</v>
      </c>
      <c r="R1875">
        <v>0</v>
      </c>
      <c r="S1875">
        <v>0</v>
      </c>
      <c r="T1875">
        <v>0</v>
      </c>
      <c r="U1875">
        <v>0</v>
      </c>
      <c r="V1875">
        <v>1625.17</v>
      </c>
      <c r="W1875">
        <v>0</v>
      </c>
      <c r="X1875">
        <v>1</v>
      </c>
      <c r="Y1875">
        <v>0</v>
      </c>
      <c r="Z1875">
        <v>-33</v>
      </c>
      <c r="AA1875">
        <v>1</v>
      </c>
      <c r="AB1875" s="13" t="s">
        <v>581</v>
      </c>
      <c r="AC1875">
        <v>0</v>
      </c>
      <c r="AD1875">
        <v>0</v>
      </c>
      <c r="AE1875" s="13" t="s">
        <v>61</v>
      </c>
    </row>
    <row r="1876" spans="1:31" x14ac:dyDescent="0.35">
      <c r="A1876" s="13" t="s">
        <v>2690</v>
      </c>
      <c r="B1876" s="13" t="s">
        <v>702</v>
      </c>
      <c r="C1876" s="13" t="s">
        <v>703</v>
      </c>
      <c r="D1876" s="13" t="s">
        <v>52</v>
      </c>
      <c r="E1876" s="13" t="s">
        <v>65</v>
      </c>
      <c r="F1876" s="13" t="s">
        <v>111</v>
      </c>
      <c r="G1876" s="13" t="s">
        <v>67</v>
      </c>
      <c r="H1876">
        <v>435000</v>
      </c>
      <c r="I1876" s="13" t="s">
        <v>86</v>
      </c>
      <c r="J1876" s="13" t="s">
        <v>87</v>
      </c>
      <c r="K1876" s="13" t="s">
        <v>58</v>
      </c>
      <c r="L1876" s="13" t="s">
        <v>59</v>
      </c>
      <c r="M1876">
        <v>45</v>
      </c>
      <c r="N1876">
        <v>0</v>
      </c>
      <c r="O1876" s="14">
        <v>46010</v>
      </c>
      <c r="P1876" s="14">
        <v>46055</v>
      </c>
      <c r="Q1876">
        <v>4219.91</v>
      </c>
      <c r="R1876">
        <v>0</v>
      </c>
      <c r="S1876">
        <v>0</v>
      </c>
      <c r="T1876">
        <v>0</v>
      </c>
      <c r="U1876">
        <v>0</v>
      </c>
      <c r="V1876">
        <v>4219.91</v>
      </c>
      <c r="W1876">
        <v>0</v>
      </c>
      <c r="X1876">
        <v>1</v>
      </c>
      <c r="Y1876">
        <v>0</v>
      </c>
      <c r="Z1876">
        <v>-33</v>
      </c>
      <c r="AA1876">
        <v>1</v>
      </c>
      <c r="AB1876" s="13" t="s">
        <v>581</v>
      </c>
      <c r="AC1876">
        <v>0</v>
      </c>
      <c r="AD1876">
        <v>0</v>
      </c>
      <c r="AE1876" s="13" t="s">
        <v>61</v>
      </c>
    </row>
    <row r="1877" spans="1:31" x14ac:dyDescent="0.35">
      <c r="A1877" s="13" t="s">
        <v>2691</v>
      </c>
      <c r="B1877" s="13" t="s">
        <v>1644</v>
      </c>
      <c r="C1877" s="13" t="s">
        <v>1645</v>
      </c>
      <c r="D1877" s="13" t="s">
        <v>76</v>
      </c>
      <c r="E1877" s="13" t="s">
        <v>77</v>
      </c>
      <c r="F1877" s="13" t="s">
        <v>78</v>
      </c>
      <c r="G1877" s="13" t="s">
        <v>55</v>
      </c>
      <c r="H1877">
        <v>85000</v>
      </c>
      <c r="I1877" s="13" t="s">
        <v>79</v>
      </c>
      <c r="J1877" s="13" t="s">
        <v>80</v>
      </c>
      <c r="K1877" s="13" t="s">
        <v>81</v>
      </c>
      <c r="L1877" s="13" t="s">
        <v>82</v>
      </c>
      <c r="M1877">
        <v>30</v>
      </c>
      <c r="N1877">
        <v>2</v>
      </c>
      <c r="O1877" s="14">
        <v>46010</v>
      </c>
      <c r="P1877" s="14">
        <v>46040</v>
      </c>
      <c r="Q1877">
        <v>2350.38</v>
      </c>
      <c r="R1877">
        <v>0</v>
      </c>
      <c r="S1877">
        <v>0</v>
      </c>
      <c r="T1877">
        <v>0</v>
      </c>
      <c r="U1877">
        <v>0</v>
      </c>
      <c r="V1877">
        <v>2350.38</v>
      </c>
      <c r="W1877">
        <v>0</v>
      </c>
      <c r="X1877">
        <v>1</v>
      </c>
      <c r="Y1877">
        <v>0</v>
      </c>
      <c r="Z1877">
        <v>-18</v>
      </c>
      <c r="AA1877">
        <v>1</v>
      </c>
      <c r="AB1877" s="13" t="s">
        <v>581</v>
      </c>
      <c r="AC1877">
        <v>0</v>
      </c>
      <c r="AD1877">
        <v>0</v>
      </c>
      <c r="AE1877" s="13" t="s">
        <v>61</v>
      </c>
    </row>
    <row r="1878" spans="1:31" x14ac:dyDescent="0.35">
      <c r="A1878" s="13" t="s">
        <v>2692</v>
      </c>
      <c r="B1878" s="13" t="s">
        <v>1288</v>
      </c>
      <c r="C1878" s="13" t="s">
        <v>1289</v>
      </c>
      <c r="D1878" s="13" t="s">
        <v>52</v>
      </c>
      <c r="E1878" s="13" t="s">
        <v>65</v>
      </c>
      <c r="F1878" s="13" t="s">
        <v>111</v>
      </c>
      <c r="G1878" s="13" t="s">
        <v>67</v>
      </c>
      <c r="H1878">
        <v>550000</v>
      </c>
      <c r="I1878" s="13" t="s">
        <v>56</v>
      </c>
      <c r="J1878" s="13" t="s">
        <v>57</v>
      </c>
      <c r="K1878" s="13" t="s">
        <v>58</v>
      </c>
      <c r="L1878" s="13" t="s">
        <v>59</v>
      </c>
      <c r="M1878">
        <v>45</v>
      </c>
      <c r="N1878">
        <v>0</v>
      </c>
      <c r="O1878" s="14">
        <v>46010</v>
      </c>
      <c r="P1878" s="14">
        <v>46055</v>
      </c>
      <c r="Q1878">
        <v>3060.87</v>
      </c>
      <c r="R1878">
        <v>0</v>
      </c>
      <c r="S1878">
        <v>0</v>
      </c>
      <c r="T1878">
        <v>0</v>
      </c>
      <c r="U1878">
        <v>0</v>
      </c>
      <c r="V1878">
        <v>3060.87</v>
      </c>
      <c r="W1878">
        <v>0</v>
      </c>
      <c r="X1878">
        <v>1</v>
      </c>
      <c r="Y1878">
        <v>0</v>
      </c>
      <c r="Z1878">
        <v>-33</v>
      </c>
      <c r="AA1878">
        <v>1</v>
      </c>
      <c r="AB1878" s="13" t="s">
        <v>581</v>
      </c>
      <c r="AC1878">
        <v>0</v>
      </c>
      <c r="AD1878">
        <v>0</v>
      </c>
      <c r="AE1878" s="13" t="s">
        <v>61</v>
      </c>
    </row>
    <row r="1879" spans="1:31" x14ac:dyDescent="0.35">
      <c r="A1879" s="13" t="s">
        <v>2693</v>
      </c>
      <c r="B1879" s="13" t="s">
        <v>253</v>
      </c>
      <c r="C1879" s="13" t="s">
        <v>254</v>
      </c>
      <c r="D1879" s="13" t="s">
        <v>52</v>
      </c>
      <c r="E1879" s="13" t="s">
        <v>65</v>
      </c>
      <c r="F1879" s="13" t="s">
        <v>111</v>
      </c>
      <c r="G1879" s="13" t="s">
        <v>55</v>
      </c>
      <c r="H1879">
        <v>415000</v>
      </c>
      <c r="I1879" s="13" t="s">
        <v>56</v>
      </c>
      <c r="J1879" s="13" t="s">
        <v>57</v>
      </c>
      <c r="K1879" s="13" t="s">
        <v>58</v>
      </c>
      <c r="L1879" s="13" t="s">
        <v>59</v>
      </c>
      <c r="M1879">
        <v>45</v>
      </c>
      <c r="N1879">
        <v>0</v>
      </c>
      <c r="O1879" s="14">
        <v>46010</v>
      </c>
      <c r="P1879" s="14">
        <v>46055</v>
      </c>
      <c r="Q1879">
        <v>11095.13</v>
      </c>
      <c r="R1879">
        <v>0</v>
      </c>
      <c r="S1879">
        <v>0</v>
      </c>
      <c r="T1879">
        <v>0</v>
      </c>
      <c r="U1879">
        <v>0</v>
      </c>
      <c r="V1879">
        <v>11095.13</v>
      </c>
      <c r="W1879">
        <v>0</v>
      </c>
      <c r="X1879">
        <v>1</v>
      </c>
      <c r="Y1879">
        <v>0</v>
      </c>
      <c r="Z1879">
        <v>-33</v>
      </c>
      <c r="AA1879">
        <v>1</v>
      </c>
      <c r="AB1879" s="13" t="s">
        <v>581</v>
      </c>
      <c r="AC1879">
        <v>0</v>
      </c>
      <c r="AD1879">
        <v>0</v>
      </c>
      <c r="AE1879" s="13" t="s">
        <v>61</v>
      </c>
    </row>
    <row r="1880" spans="1:31" x14ac:dyDescent="0.35">
      <c r="A1880" s="13" t="s">
        <v>2694</v>
      </c>
      <c r="B1880" s="13" t="s">
        <v>434</v>
      </c>
      <c r="C1880" s="13" t="s">
        <v>435</v>
      </c>
      <c r="D1880" s="13" t="s">
        <v>52</v>
      </c>
      <c r="E1880" s="13" t="s">
        <v>77</v>
      </c>
      <c r="F1880" s="13" t="s">
        <v>78</v>
      </c>
      <c r="G1880" s="13" t="s">
        <v>55</v>
      </c>
      <c r="H1880">
        <v>510000</v>
      </c>
      <c r="I1880" s="13" t="s">
        <v>56</v>
      </c>
      <c r="J1880" s="13" t="s">
        <v>57</v>
      </c>
      <c r="K1880" s="13" t="s">
        <v>58</v>
      </c>
      <c r="L1880" s="13" t="s">
        <v>88</v>
      </c>
      <c r="M1880">
        <v>60</v>
      </c>
      <c r="N1880">
        <v>0</v>
      </c>
      <c r="O1880" s="14">
        <v>46010</v>
      </c>
      <c r="P1880" s="14">
        <v>46070</v>
      </c>
      <c r="Q1880">
        <v>1892.56</v>
      </c>
      <c r="R1880">
        <v>0</v>
      </c>
      <c r="S1880">
        <v>0</v>
      </c>
      <c r="T1880">
        <v>0</v>
      </c>
      <c r="U1880">
        <v>0</v>
      </c>
      <c r="V1880">
        <v>1892.56</v>
      </c>
      <c r="W1880">
        <v>0</v>
      </c>
      <c r="X1880">
        <v>1</v>
      </c>
      <c r="Y1880">
        <v>0</v>
      </c>
      <c r="Z1880">
        <v>-48</v>
      </c>
      <c r="AA1880">
        <v>1</v>
      </c>
      <c r="AB1880" s="13" t="s">
        <v>581</v>
      </c>
      <c r="AC1880">
        <v>0</v>
      </c>
      <c r="AD1880">
        <v>0</v>
      </c>
      <c r="AE1880" s="13" t="s">
        <v>61</v>
      </c>
    </row>
    <row r="1881" spans="1:31" x14ac:dyDescent="0.35">
      <c r="A1881" s="13" t="s">
        <v>2695</v>
      </c>
      <c r="B1881" s="13" t="s">
        <v>910</v>
      </c>
      <c r="C1881" s="13" t="s">
        <v>911</v>
      </c>
      <c r="D1881" s="13" t="s">
        <v>52</v>
      </c>
      <c r="E1881" s="13" t="s">
        <v>53</v>
      </c>
      <c r="F1881" s="13" t="s">
        <v>135</v>
      </c>
      <c r="G1881" s="13" t="s">
        <v>55</v>
      </c>
      <c r="H1881">
        <v>240000</v>
      </c>
      <c r="I1881" s="13" t="s">
        <v>56</v>
      </c>
      <c r="J1881" s="13" t="s">
        <v>57</v>
      </c>
      <c r="K1881" s="13" t="s">
        <v>58</v>
      </c>
      <c r="L1881" s="13" t="s">
        <v>88</v>
      </c>
      <c r="M1881">
        <v>60</v>
      </c>
      <c r="N1881">
        <v>0</v>
      </c>
      <c r="O1881" s="14">
        <v>46010</v>
      </c>
      <c r="P1881" s="14">
        <v>46070</v>
      </c>
      <c r="Q1881">
        <v>9912.0300000000007</v>
      </c>
      <c r="R1881">
        <v>0</v>
      </c>
      <c r="S1881">
        <v>0</v>
      </c>
      <c r="T1881">
        <v>0</v>
      </c>
      <c r="U1881">
        <v>0</v>
      </c>
      <c r="V1881">
        <v>9912.0300000000007</v>
      </c>
      <c r="W1881">
        <v>0</v>
      </c>
      <c r="X1881">
        <v>1</v>
      </c>
      <c r="Y1881">
        <v>0</v>
      </c>
      <c r="Z1881">
        <v>-48</v>
      </c>
      <c r="AA1881">
        <v>1</v>
      </c>
      <c r="AB1881" s="13" t="s">
        <v>581</v>
      </c>
      <c r="AC1881">
        <v>0</v>
      </c>
      <c r="AD1881">
        <v>0</v>
      </c>
      <c r="AE1881" s="13" t="s">
        <v>61</v>
      </c>
    </row>
    <row r="1882" spans="1:31" x14ac:dyDescent="0.35">
      <c r="A1882" s="13" t="s">
        <v>2696</v>
      </c>
      <c r="B1882" s="13" t="s">
        <v>478</v>
      </c>
      <c r="C1882" s="13" t="s">
        <v>479</v>
      </c>
      <c r="D1882" s="13" t="s">
        <v>52</v>
      </c>
      <c r="E1882" s="13" t="s">
        <v>77</v>
      </c>
      <c r="F1882" s="13" t="s">
        <v>174</v>
      </c>
      <c r="G1882" s="13" t="s">
        <v>55</v>
      </c>
      <c r="H1882">
        <v>385000</v>
      </c>
      <c r="I1882" s="13" t="s">
        <v>86</v>
      </c>
      <c r="J1882" s="13" t="s">
        <v>87</v>
      </c>
      <c r="K1882" s="13" t="s">
        <v>58</v>
      </c>
      <c r="L1882" s="13" t="s">
        <v>88</v>
      </c>
      <c r="M1882">
        <v>60</v>
      </c>
      <c r="N1882">
        <v>0</v>
      </c>
      <c r="O1882" s="14">
        <v>46010</v>
      </c>
      <c r="P1882" s="14">
        <v>46070</v>
      </c>
      <c r="Q1882">
        <v>13425.98</v>
      </c>
      <c r="R1882">
        <v>0</v>
      </c>
      <c r="S1882">
        <v>0</v>
      </c>
      <c r="T1882">
        <v>0</v>
      </c>
      <c r="U1882">
        <v>0</v>
      </c>
      <c r="V1882">
        <v>13425.98</v>
      </c>
      <c r="W1882">
        <v>0</v>
      </c>
      <c r="X1882">
        <v>1</v>
      </c>
      <c r="Y1882">
        <v>0</v>
      </c>
      <c r="Z1882">
        <v>-48</v>
      </c>
      <c r="AA1882">
        <v>1</v>
      </c>
      <c r="AB1882" s="13" t="s">
        <v>581</v>
      </c>
      <c r="AC1882">
        <v>0</v>
      </c>
      <c r="AD1882">
        <v>0</v>
      </c>
      <c r="AE1882" s="13" t="s">
        <v>61</v>
      </c>
    </row>
    <row r="1883" spans="1:31" x14ac:dyDescent="0.35">
      <c r="A1883" s="13" t="s">
        <v>2697</v>
      </c>
      <c r="B1883" s="13" t="s">
        <v>1553</v>
      </c>
      <c r="C1883" s="13" t="s">
        <v>1554</v>
      </c>
      <c r="D1883" s="13" t="s">
        <v>76</v>
      </c>
      <c r="E1883" s="13" t="s">
        <v>53</v>
      </c>
      <c r="F1883" s="13" t="s">
        <v>135</v>
      </c>
      <c r="G1883" s="13" t="s">
        <v>55</v>
      </c>
      <c r="H1883">
        <v>95000</v>
      </c>
      <c r="I1883" s="13" t="s">
        <v>79</v>
      </c>
      <c r="J1883" s="13" t="s">
        <v>80</v>
      </c>
      <c r="K1883" s="13" t="s">
        <v>81</v>
      </c>
      <c r="L1883" s="13" t="s">
        <v>95</v>
      </c>
      <c r="M1883">
        <v>30</v>
      </c>
      <c r="N1883">
        <v>0</v>
      </c>
      <c r="O1883" s="14">
        <v>46010</v>
      </c>
      <c r="P1883" s="14">
        <v>46040</v>
      </c>
      <c r="Q1883">
        <v>515.41999999999996</v>
      </c>
      <c r="R1883">
        <v>0</v>
      </c>
      <c r="S1883">
        <v>0</v>
      </c>
      <c r="T1883">
        <v>0</v>
      </c>
      <c r="U1883">
        <v>0</v>
      </c>
      <c r="V1883">
        <v>515.41999999999996</v>
      </c>
      <c r="W1883">
        <v>0</v>
      </c>
      <c r="X1883">
        <v>1</v>
      </c>
      <c r="Y1883">
        <v>0</v>
      </c>
      <c r="Z1883">
        <v>-18</v>
      </c>
      <c r="AA1883">
        <v>1</v>
      </c>
      <c r="AB1883" s="13" t="s">
        <v>581</v>
      </c>
      <c r="AC1883">
        <v>0</v>
      </c>
      <c r="AD1883">
        <v>0</v>
      </c>
      <c r="AE1883" s="13" t="s">
        <v>61</v>
      </c>
    </row>
    <row r="1884" spans="1:31" x14ac:dyDescent="0.35">
      <c r="A1884" s="13" t="s">
        <v>2698</v>
      </c>
      <c r="B1884" s="13" t="s">
        <v>1034</v>
      </c>
      <c r="C1884" s="13" t="s">
        <v>1035</v>
      </c>
      <c r="D1884" s="13" t="s">
        <v>104</v>
      </c>
      <c r="E1884" s="13" t="s">
        <v>53</v>
      </c>
      <c r="F1884" s="13" t="s">
        <v>135</v>
      </c>
      <c r="G1884" s="13" t="s">
        <v>67</v>
      </c>
      <c r="H1884">
        <v>40000</v>
      </c>
      <c r="I1884" s="13" t="s">
        <v>105</v>
      </c>
      <c r="J1884" s="13" t="s">
        <v>106</v>
      </c>
      <c r="K1884" s="13" t="s">
        <v>107</v>
      </c>
      <c r="L1884" s="13" t="s">
        <v>88</v>
      </c>
      <c r="M1884">
        <v>60</v>
      </c>
      <c r="N1884">
        <v>0</v>
      </c>
      <c r="O1884" s="14">
        <v>46010</v>
      </c>
      <c r="P1884" s="14">
        <v>46070</v>
      </c>
      <c r="Q1884">
        <v>868.98</v>
      </c>
      <c r="R1884">
        <v>0</v>
      </c>
      <c r="S1884">
        <v>0</v>
      </c>
      <c r="T1884">
        <v>0</v>
      </c>
      <c r="U1884">
        <v>0</v>
      </c>
      <c r="V1884">
        <v>868.98</v>
      </c>
      <c r="W1884">
        <v>0</v>
      </c>
      <c r="X1884">
        <v>1</v>
      </c>
      <c r="Y1884">
        <v>0</v>
      </c>
      <c r="Z1884">
        <v>-48</v>
      </c>
      <c r="AA1884">
        <v>1</v>
      </c>
      <c r="AB1884" s="13" t="s">
        <v>581</v>
      </c>
      <c r="AC1884">
        <v>0</v>
      </c>
      <c r="AD1884">
        <v>0</v>
      </c>
      <c r="AE1884" s="13" t="s">
        <v>61</v>
      </c>
    </row>
    <row r="1885" spans="1:31" x14ac:dyDescent="0.35">
      <c r="A1885" s="13" t="s">
        <v>2699</v>
      </c>
      <c r="B1885" s="13" t="s">
        <v>914</v>
      </c>
      <c r="C1885" s="13" t="s">
        <v>915</v>
      </c>
      <c r="D1885" s="13" t="s">
        <v>76</v>
      </c>
      <c r="E1885" s="13" t="s">
        <v>99</v>
      </c>
      <c r="F1885" s="13" t="s">
        <v>100</v>
      </c>
      <c r="G1885" s="13" t="s">
        <v>55</v>
      </c>
      <c r="H1885">
        <v>95000</v>
      </c>
      <c r="I1885" s="13" t="s">
        <v>93</v>
      </c>
      <c r="J1885" s="13" t="s">
        <v>94</v>
      </c>
      <c r="K1885" s="13" t="s">
        <v>81</v>
      </c>
      <c r="L1885" s="13" t="s">
        <v>95</v>
      </c>
      <c r="M1885">
        <v>30</v>
      </c>
      <c r="N1885">
        <v>0</v>
      </c>
      <c r="O1885" s="14">
        <v>46010</v>
      </c>
      <c r="P1885" s="14">
        <v>46040</v>
      </c>
      <c r="Q1885">
        <v>1568.28</v>
      </c>
      <c r="R1885">
        <v>0</v>
      </c>
      <c r="S1885">
        <v>0</v>
      </c>
      <c r="T1885">
        <v>0</v>
      </c>
      <c r="U1885">
        <v>0</v>
      </c>
      <c r="V1885">
        <v>1568.28</v>
      </c>
      <c r="W1885">
        <v>0</v>
      </c>
      <c r="X1885">
        <v>1</v>
      </c>
      <c r="Y1885">
        <v>0</v>
      </c>
      <c r="Z1885">
        <v>-18</v>
      </c>
      <c r="AA1885">
        <v>1</v>
      </c>
      <c r="AB1885" s="13" t="s">
        <v>581</v>
      </c>
      <c r="AC1885">
        <v>0</v>
      </c>
      <c r="AD1885">
        <v>0</v>
      </c>
      <c r="AE1885" s="13" t="s">
        <v>61</v>
      </c>
    </row>
    <row r="1886" spans="1:31" x14ac:dyDescent="0.35">
      <c r="A1886" s="13" t="s">
        <v>2700</v>
      </c>
      <c r="B1886" s="13" t="s">
        <v>418</v>
      </c>
      <c r="C1886" s="13" t="s">
        <v>419</v>
      </c>
      <c r="D1886" s="13" t="s">
        <v>52</v>
      </c>
      <c r="E1886" s="13" t="s">
        <v>99</v>
      </c>
      <c r="F1886" s="13" t="s">
        <v>100</v>
      </c>
      <c r="G1886" s="13" t="s">
        <v>67</v>
      </c>
      <c r="H1886">
        <v>535000</v>
      </c>
      <c r="I1886" s="13" t="s">
        <v>86</v>
      </c>
      <c r="J1886" s="13" t="s">
        <v>87</v>
      </c>
      <c r="K1886" s="13" t="s">
        <v>58</v>
      </c>
      <c r="L1886" s="13" t="s">
        <v>59</v>
      </c>
      <c r="M1886">
        <v>45</v>
      </c>
      <c r="N1886">
        <v>0</v>
      </c>
      <c r="O1886" s="14">
        <v>46010</v>
      </c>
      <c r="P1886" s="14">
        <v>46055</v>
      </c>
      <c r="Q1886">
        <v>8637.9599999999991</v>
      </c>
      <c r="R1886">
        <v>0</v>
      </c>
      <c r="S1886">
        <v>0</v>
      </c>
      <c r="T1886">
        <v>0</v>
      </c>
      <c r="U1886">
        <v>0</v>
      </c>
      <c r="V1886">
        <v>8637.9599999999991</v>
      </c>
      <c r="W1886">
        <v>0</v>
      </c>
      <c r="X1886">
        <v>1</v>
      </c>
      <c r="Y1886">
        <v>0</v>
      </c>
      <c r="Z1886">
        <v>-33</v>
      </c>
      <c r="AA1886">
        <v>1</v>
      </c>
      <c r="AB1886" s="13" t="s">
        <v>581</v>
      </c>
      <c r="AC1886">
        <v>0</v>
      </c>
      <c r="AD1886">
        <v>0</v>
      </c>
      <c r="AE1886" s="13" t="s">
        <v>61</v>
      </c>
    </row>
    <row r="1887" spans="1:31" x14ac:dyDescent="0.35">
      <c r="A1887" s="13" t="s">
        <v>2701</v>
      </c>
      <c r="B1887" s="13" t="s">
        <v>2253</v>
      </c>
      <c r="C1887" s="13" t="s">
        <v>2254</v>
      </c>
      <c r="D1887" s="13" t="s">
        <v>76</v>
      </c>
      <c r="E1887" s="13" t="s">
        <v>53</v>
      </c>
      <c r="F1887" s="13" t="s">
        <v>54</v>
      </c>
      <c r="G1887" s="13" t="s">
        <v>67</v>
      </c>
      <c r="H1887">
        <v>85000</v>
      </c>
      <c r="I1887" s="13" t="s">
        <v>93</v>
      </c>
      <c r="J1887" s="13" t="s">
        <v>94</v>
      </c>
      <c r="K1887" s="13" t="s">
        <v>81</v>
      </c>
      <c r="L1887" s="13" t="s">
        <v>82</v>
      </c>
      <c r="M1887">
        <v>30</v>
      </c>
      <c r="N1887">
        <v>2</v>
      </c>
      <c r="O1887" s="14">
        <v>46010</v>
      </c>
      <c r="P1887" s="14">
        <v>46040</v>
      </c>
      <c r="Q1887">
        <v>1131.3499999999999</v>
      </c>
      <c r="R1887">
        <v>0</v>
      </c>
      <c r="S1887">
        <v>0</v>
      </c>
      <c r="T1887">
        <v>0</v>
      </c>
      <c r="U1887">
        <v>0</v>
      </c>
      <c r="V1887">
        <v>1131.3499999999999</v>
      </c>
      <c r="W1887">
        <v>0</v>
      </c>
      <c r="X1887">
        <v>1</v>
      </c>
      <c r="Y1887">
        <v>0</v>
      </c>
      <c r="Z1887">
        <v>-18</v>
      </c>
      <c r="AA1887">
        <v>1</v>
      </c>
      <c r="AB1887" s="13" t="s">
        <v>581</v>
      </c>
      <c r="AC1887">
        <v>0</v>
      </c>
      <c r="AD1887">
        <v>0</v>
      </c>
      <c r="AE1887" s="13" t="s">
        <v>61</v>
      </c>
    </row>
    <row r="1888" spans="1:31" x14ac:dyDescent="0.35">
      <c r="A1888" s="13" t="s">
        <v>2702</v>
      </c>
      <c r="B1888" s="13" t="s">
        <v>917</v>
      </c>
      <c r="C1888" s="13" t="s">
        <v>918</v>
      </c>
      <c r="D1888" s="13" t="s">
        <v>126</v>
      </c>
      <c r="E1888" s="13" t="s">
        <v>53</v>
      </c>
      <c r="F1888" s="13" t="s">
        <v>54</v>
      </c>
      <c r="G1888" s="13" t="s">
        <v>67</v>
      </c>
      <c r="H1888">
        <v>65000</v>
      </c>
      <c r="I1888" s="13" t="s">
        <v>105</v>
      </c>
      <c r="J1888" s="13" t="s">
        <v>106</v>
      </c>
      <c r="K1888" s="13" t="s">
        <v>107</v>
      </c>
      <c r="L1888" s="13" t="s">
        <v>368</v>
      </c>
      <c r="M1888">
        <v>90</v>
      </c>
      <c r="N1888">
        <v>0</v>
      </c>
      <c r="O1888" s="14">
        <v>46010</v>
      </c>
      <c r="P1888" s="14">
        <v>46100</v>
      </c>
      <c r="Q1888">
        <v>4570.38</v>
      </c>
      <c r="R1888">
        <v>0</v>
      </c>
      <c r="S1888">
        <v>0</v>
      </c>
      <c r="T1888">
        <v>0</v>
      </c>
      <c r="U1888">
        <v>0</v>
      </c>
      <c r="V1888">
        <v>4570.38</v>
      </c>
      <c r="W1888">
        <v>0</v>
      </c>
      <c r="X1888">
        <v>1</v>
      </c>
      <c r="Y1888">
        <v>0</v>
      </c>
      <c r="Z1888">
        <v>-78</v>
      </c>
      <c r="AA1888">
        <v>1</v>
      </c>
      <c r="AB1888" s="13" t="s">
        <v>581</v>
      </c>
      <c r="AC1888">
        <v>0</v>
      </c>
      <c r="AD1888">
        <v>0</v>
      </c>
      <c r="AE1888" s="13" t="s">
        <v>61</v>
      </c>
    </row>
    <row r="1889" spans="1:31" x14ac:dyDescent="0.35">
      <c r="A1889" s="13" t="s">
        <v>2703</v>
      </c>
      <c r="B1889" s="13" t="s">
        <v>1120</v>
      </c>
      <c r="C1889" s="13" t="s">
        <v>1121</v>
      </c>
      <c r="D1889" s="13" t="s">
        <v>76</v>
      </c>
      <c r="E1889" s="13" t="s">
        <v>77</v>
      </c>
      <c r="F1889" s="13" t="s">
        <v>174</v>
      </c>
      <c r="G1889" s="13" t="s">
        <v>67</v>
      </c>
      <c r="H1889">
        <v>105000</v>
      </c>
      <c r="I1889" s="13" t="s">
        <v>79</v>
      </c>
      <c r="J1889" s="13" t="s">
        <v>80</v>
      </c>
      <c r="K1889" s="13" t="s">
        <v>81</v>
      </c>
      <c r="L1889" s="13" t="s">
        <v>95</v>
      </c>
      <c r="M1889">
        <v>30</v>
      </c>
      <c r="N1889">
        <v>0</v>
      </c>
      <c r="O1889" s="14">
        <v>46010</v>
      </c>
      <c r="P1889" s="14">
        <v>46040</v>
      </c>
      <c r="Q1889">
        <v>2403.84</v>
      </c>
      <c r="R1889">
        <v>0</v>
      </c>
      <c r="S1889">
        <v>0</v>
      </c>
      <c r="T1889">
        <v>0</v>
      </c>
      <c r="U1889">
        <v>0</v>
      </c>
      <c r="V1889">
        <v>2403.84</v>
      </c>
      <c r="W1889">
        <v>0</v>
      </c>
      <c r="X1889">
        <v>1</v>
      </c>
      <c r="Y1889">
        <v>0</v>
      </c>
      <c r="Z1889">
        <v>-18</v>
      </c>
      <c r="AA1889">
        <v>1</v>
      </c>
      <c r="AB1889" s="13" t="s">
        <v>581</v>
      </c>
      <c r="AC1889">
        <v>0</v>
      </c>
      <c r="AD1889">
        <v>0</v>
      </c>
      <c r="AE1889" s="13" t="s">
        <v>61</v>
      </c>
    </row>
    <row r="1890" spans="1:31" x14ac:dyDescent="0.35">
      <c r="A1890" s="13" t="s">
        <v>2704</v>
      </c>
      <c r="B1890" s="13" t="s">
        <v>1467</v>
      </c>
      <c r="C1890" s="13" t="s">
        <v>1468</v>
      </c>
      <c r="D1890" s="13" t="s">
        <v>104</v>
      </c>
      <c r="E1890" s="13" t="s">
        <v>99</v>
      </c>
      <c r="F1890" s="13" t="s">
        <v>127</v>
      </c>
      <c r="G1890" s="13" t="s">
        <v>55</v>
      </c>
      <c r="H1890">
        <v>135000</v>
      </c>
      <c r="I1890" s="13" t="s">
        <v>121</v>
      </c>
      <c r="J1890" s="13" t="s">
        <v>122</v>
      </c>
      <c r="K1890" s="13" t="s">
        <v>107</v>
      </c>
      <c r="L1890" s="13" t="s">
        <v>95</v>
      </c>
      <c r="M1890">
        <v>30</v>
      </c>
      <c r="N1890">
        <v>0</v>
      </c>
      <c r="O1890" s="14">
        <v>46010</v>
      </c>
      <c r="P1890" s="14">
        <v>46040</v>
      </c>
      <c r="Q1890">
        <v>3483.12</v>
      </c>
      <c r="R1890">
        <v>0</v>
      </c>
      <c r="S1890">
        <v>0</v>
      </c>
      <c r="T1890">
        <v>0</v>
      </c>
      <c r="U1890">
        <v>0</v>
      </c>
      <c r="V1890">
        <v>3483.12</v>
      </c>
      <c r="W1890">
        <v>0</v>
      </c>
      <c r="X1890">
        <v>1</v>
      </c>
      <c r="Y1890">
        <v>0</v>
      </c>
      <c r="Z1890">
        <v>-18</v>
      </c>
      <c r="AA1890">
        <v>1</v>
      </c>
      <c r="AB1890" s="13" t="s">
        <v>581</v>
      </c>
      <c r="AC1890">
        <v>0</v>
      </c>
      <c r="AD1890">
        <v>0</v>
      </c>
      <c r="AE1890" s="13" t="s">
        <v>61</v>
      </c>
    </row>
    <row r="1891" spans="1:31" x14ac:dyDescent="0.35">
      <c r="A1891" s="13" t="s">
        <v>2705</v>
      </c>
      <c r="B1891" s="13" t="s">
        <v>1470</v>
      </c>
      <c r="C1891" s="13" t="s">
        <v>1471</v>
      </c>
      <c r="D1891" s="13" t="s">
        <v>52</v>
      </c>
      <c r="E1891" s="13" t="s">
        <v>77</v>
      </c>
      <c r="F1891" s="13" t="s">
        <v>78</v>
      </c>
      <c r="G1891" s="13" t="s">
        <v>67</v>
      </c>
      <c r="H1891">
        <v>385000</v>
      </c>
      <c r="I1891" s="13" t="s">
        <v>86</v>
      </c>
      <c r="J1891" s="13" t="s">
        <v>87</v>
      </c>
      <c r="K1891" s="13" t="s">
        <v>58</v>
      </c>
      <c r="L1891" s="13" t="s">
        <v>88</v>
      </c>
      <c r="M1891">
        <v>60</v>
      </c>
      <c r="N1891">
        <v>0</v>
      </c>
      <c r="O1891" s="14">
        <v>46010</v>
      </c>
      <c r="P1891" s="14">
        <v>46070</v>
      </c>
      <c r="Q1891">
        <v>16642.669999999998</v>
      </c>
      <c r="R1891">
        <v>0</v>
      </c>
      <c r="S1891">
        <v>0</v>
      </c>
      <c r="T1891">
        <v>0</v>
      </c>
      <c r="U1891">
        <v>0</v>
      </c>
      <c r="V1891">
        <v>16642.669999999998</v>
      </c>
      <c r="W1891">
        <v>0</v>
      </c>
      <c r="X1891">
        <v>1</v>
      </c>
      <c r="Y1891">
        <v>0</v>
      </c>
      <c r="Z1891">
        <v>-48</v>
      </c>
      <c r="AA1891">
        <v>1</v>
      </c>
      <c r="AB1891" s="13" t="s">
        <v>581</v>
      </c>
      <c r="AC1891">
        <v>0</v>
      </c>
      <c r="AD1891">
        <v>0</v>
      </c>
      <c r="AE1891" s="13" t="s">
        <v>61</v>
      </c>
    </row>
    <row r="1892" spans="1:31" x14ac:dyDescent="0.35">
      <c r="A1892" s="13" t="s">
        <v>2706</v>
      </c>
      <c r="B1892" s="13" t="s">
        <v>277</v>
      </c>
      <c r="C1892" s="13" t="s">
        <v>278</v>
      </c>
      <c r="D1892" s="13" t="s">
        <v>104</v>
      </c>
      <c r="E1892" s="13" t="s">
        <v>71</v>
      </c>
      <c r="F1892" s="13" t="s">
        <v>214</v>
      </c>
      <c r="G1892" s="13" t="s">
        <v>92</v>
      </c>
      <c r="H1892">
        <v>105000</v>
      </c>
      <c r="I1892" s="13" t="s">
        <v>105</v>
      </c>
      <c r="J1892" s="13" t="s">
        <v>106</v>
      </c>
      <c r="K1892" s="13" t="s">
        <v>107</v>
      </c>
      <c r="L1892" s="13" t="s">
        <v>88</v>
      </c>
      <c r="M1892">
        <v>60</v>
      </c>
      <c r="N1892">
        <v>0</v>
      </c>
      <c r="O1892" s="14">
        <v>46010</v>
      </c>
      <c r="P1892" s="14">
        <v>46070</v>
      </c>
      <c r="Q1892">
        <v>2002.31</v>
      </c>
      <c r="R1892">
        <v>0</v>
      </c>
      <c r="S1892">
        <v>0</v>
      </c>
      <c r="T1892">
        <v>0</v>
      </c>
      <c r="U1892">
        <v>0</v>
      </c>
      <c r="V1892">
        <v>2002.31</v>
      </c>
      <c r="W1892">
        <v>0</v>
      </c>
      <c r="X1892">
        <v>1</v>
      </c>
      <c r="Y1892">
        <v>0</v>
      </c>
      <c r="Z1892">
        <v>-48</v>
      </c>
      <c r="AA1892">
        <v>1</v>
      </c>
      <c r="AB1892" s="13" t="s">
        <v>581</v>
      </c>
      <c r="AC1892">
        <v>0</v>
      </c>
      <c r="AD1892">
        <v>0</v>
      </c>
      <c r="AE1892" s="13" t="s">
        <v>61</v>
      </c>
    </row>
    <row r="1893" spans="1:31" x14ac:dyDescent="0.35">
      <c r="A1893" s="13" t="s">
        <v>2707</v>
      </c>
      <c r="B1893" s="13" t="s">
        <v>1655</v>
      </c>
      <c r="C1893" s="13" t="s">
        <v>1656</v>
      </c>
      <c r="D1893" s="13" t="s">
        <v>104</v>
      </c>
      <c r="E1893" s="13" t="s">
        <v>77</v>
      </c>
      <c r="F1893" s="13" t="s">
        <v>78</v>
      </c>
      <c r="G1893" s="13" t="s">
        <v>55</v>
      </c>
      <c r="H1893">
        <v>115000</v>
      </c>
      <c r="I1893" s="13" t="s">
        <v>121</v>
      </c>
      <c r="J1893" s="13" t="s">
        <v>122</v>
      </c>
      <c r="K1893" s="13" t="s">
        <v>107</v>
      </c>
      <c r="L1893" s="13" t="s">
        <v>95</v>
      </c>
      <c r="M1893">
        <v>30</v>
      </c>
      <c r="N1893">
        <v>0</v>
      </c>
      <c r="O1893" s="14">
        <v>46010</v>
      </c>
      <c r="P1893" s="14">
        <v>46040</v>
      </c>
      <c r="Q1893">
        <v>2113.21</v>
      </c>
      <c r="R1893">
        <v>0</v>
      </c>
      <c r="S1893">
        <v>0</v>
      </c>
      <c r="T1893">
        <v>0</v>
      </c>
      <c r="U1893">
        <v>0</v>
      </c>
      <c r="V1893">
        <v>2113.21</v>
      </c>
      <c r="W1893">
        <v>0</v>
      </c>
      <c r="X1893">
        <v>1</v>
      </c>
      <c r="Y1893">
        <v>0</v>
      </c>
      <c r="Z1893">
        <v>-18</v>
      </c>
      <c r="AA1893">
        <v>1</v>
      </c>
      <c r="AB1893" s="13" t="s">
        <v>581</v>
      </c>
      <c r="AC1893">
        <v>0</v>
      </c>
      <c r="AD1893">
        <v>0</v>
      </c>
      <c r="AE1893" s="13" t="s">
        <v>61</v>
      </c>
    </row>
    <row r="1894" spans="1:31" x14ac:dyDescent="0.35">
      <c r="A1894" s="13" t="s">
        <v>2708</v>
      </c>
      <c r="B1894" s="13" t="s">
        <v>232</v>
      </c>
      <c r="C1894" s="13" t="s">
        <v>233</v>
      </c>
      <c r="D1894" s="13" t="s">
        <v>76</v>
      </c>
      <c r="E1894" s="13" t="s">
        <v>65</v>
      </c>
      <c r="F1894" s="13" t="s">
        <v>66</v>
      </c>
      <c r="G1894" s="13" t="s">
        <v>55</v>
      </c>
      <c r="H1894">
        <v>90000</v>
      </c>
      <c r="I1894" s="13" t="s">
        <v>93</v>
      </c>
      <c r="J1894" s="13" t="s">
        <v>94</v>
      </c>
      <c r="K1894" s="13" t="s">
        <v>81</v>
      </c>
      <c r="L1894" s="13" t="s">
        <v>82</v>
      </c>
      <c r="M1894">
        <v>30</v>
      </c>
      <c r="N1894">
        <v>2</v>
      </c>
      <c r="O1894" s="14">
        <v>46010</v>
      </c>
      <c r="P1894" s="14">
        <v>46040</v>
      </c>
      <c r="Q1894">
        <v>4495.17</v>
      </c>
      <c r="R1894">
        <v>0</v>
      </c>
      <c r="S1894">
        <v>0</v>
      </c>
      <c r="T1894">
        <v>0</v>
      </c>
      <c r="U1894">
        <v>0</v>
      </c>
      <c r="V1894">
        <v>4495.17</v>
      </c>
      <c r="W1894">
        <v>0</v>
      </c>
      <c r="X1894">
        <v>1</v>
      </c>
      <c r="Y1894">
        <v>0</v>
      </c>
      <c r="Z1894">
        <v>-18</v>
      </c>
      <c r="AA1894">
        <v>1</v>
      </c>
      <c r="AB1894" s="13" t="s">
        <v>581</v>
      </c>
      <c r="AC1894">
        <v>0</v>
      </c>
      <c r="AD1894">
        <v>0</v>
      </c>
      <c r="AE1894" s="13" t="s">
        <v>61</v>
      </c>
    </row>
    <row r="1895" spans="1:31" x14ac:dyDescent="0.35">
      <c r="A1895" s="13" t="s">
        <v>2709</v>
      </c>
      <c r="B1895" s="13" t="s">
        <v>521</v>
      </c>
      <c r="C1895" s="13" t="s">
        <v>522</v>
      </c>
      <c r="D1895" s="13" t="s">
        <v>126</v>
      </c>
      <c r="E1895" s="13" t="s">
        <v>77</v>
      </c>
      <c r="F1895" s="13" t="s">
        <v>78</v>
      </c>
      <c r="G1895" s="13" t="s">
        <v>67</v>
      </c>
      <c r="H1895">
        <v>155000</v>
      </c>
      <c r="I1895" s="13" t="s">
        <v>86</v>
      </c>
      <c r="J1895" s="13" t="s">
        <v>87</v>
      </c>
      <c r="K1895" s="13" t="s">
        <v>58</v>
      </c>
      <c r="L1895" s="13" t="s">
        <v>368</v>
      </c>
      <c r="M1895">
        <v>90</v>
      </c>
      <c r="N1895">
        <v>0</v>
      </c>
      <c r="O1895" s="14">
        <v>46010</v>
      </c>
      <c r="P1895" s="14">
        <v>46100</v>
      </c>
      <c r="Q1895">
        <v>1334.28</v>
      </c>
      <c r="R1895">
        <v>0</v>
      </c>
      <c r="S1895">
        <v>0</v>
      </c>
      <c r="T1895">
        <v>0</v>
      </c>
      <c r="U1895">
        <v>0</v>
      </c>
      <c r="V1895">
        <v>1334.28</v>
      </c>
      <c r="W1895">
        <v>0</v>
      </c>
      <c r="X1895">
        <v>1</v>
      </c>
      <c r="Y1895">
        <v>0</v>
      </c>
      <c r="Z1895">
        <v>-78</v>
      </c>
      <c r="AA1895">
        <v>1</v>
      </c>
      <c r="AB1895" s="13" t="s">
        <v>581</v>
      </c>
      <c r="AC1895">
        <v>0</v>
      </c>
      <c r="AD1895">
        <v>0</v>
      </c>
      <c r="AE1895" s="13" t="s">
        <v>61</v>
      </c>
    </row>
    <row r="1896" spans="1:31" x14ac:dyDescent="0.35">
      <c r="A1896" s="13" t="s">
        <v>2710</v>
      </c>
      <c r="B1896" s="13" t="s">
        <v>834</v>
      </c>
      <c r="C1896" s="13" t="s">
        <v>835</v>
      </c>
      <c r="D1896" s="13" t="s">
        <v>104</v>
      </c>
      <c r="E1896" s="13" t="s">
        <v>77</v>
      </c>
      <c r="F1896" s="13" t="s">
        <v>174</v>
      </c>
      <c r="G1896" s="13" t="s">
        <v>67</v>
      </c>
      <c r="H1896">
        <v>140000</v>
      </c>
      <c r="I1896" s="13" t="s">
        <v>105</v>
      </c>
      <c r="J1896" s="13" t="s">
        <v>106</v>
      </c>
      <c r="K1896" s="13" t="s">
        <v>107</v>
      </c>
      <c r="L1896" s="13" t="s">
        <v>95</v>
      </c>
      <c r="M1896">
        <v>30</v>
      </c>
      <c r="N1896">
        <v>0</v>
      </c>
      <c r="O1896" s="14">
        <v>46010</v>
      </c>
      <c r="P1896" s="14">
        <v>46040</v>
      </c>
      <c r="Q1896">
        <v>1036.01</v>
      </c>
      <c r="R1896">
        <v>0</v>
      </c>
      <c r="S1896">
        <v>0</v>
      </c>
      <c r="T1896">
        <v>0</v>
      </c>
      <c r="U1896">
        <v>0</v>
      </c>
      <c r="V1896">
        <v>1036.01</v>
      </c>
      <c r="W1896">
        <v>0</v>
      </c>
      <c r="X1896">
        <v>1</v>
      </c>
      <c r="Y1896">
        <v>0</v>
      </c>
      <c r="Z1896">
        <v>-18</v>
      </c>
      <c r="AA1896">
        <v>1</v>
      </c>
      <c r="AB1896" s="13" t="s">
        <v>581</v>
      </c>
      <c r="AC1896">
        <v>0</v>
      </c>
      <c r="AD1896">
        <v>0</v>
      </c>
      <c r="AE1896" s="13" t="s">
        <v>61</v>
      </c>
    </row>
    <row r="1897" spans="1:31" x14ac:dyDescent="0.35">
      <c r="A1897" s="13" t="s">
        <v>2711</v>
      </c>
      <c r="B1897" s="13" t="s">
        <v>2138</v>
      </c>
      <c r="C1897" s="13" t="s">
        <v>2139</v>
      </c>
      <c r="D1897" s="13" t="s">
        <v>76</v>
      </c>
      <c r="E1897" s="13" t="s">
        <v>53</v>
      </c>
      <c r="F1897" s="13" t="s">
        <v>135</v>
      </c>
      <c r="G1897" s="13" t="s">
        <v>55</v>
      </c>
      <c r="H1897">
        <v>105000</v>
      </c>
      <c r="I1897" s="13" t="s">
        <v>79</v>
      </c>
      <c r="J1897" s="13" t="s">
        <v>80</v>
      </c>
      <c r="K1897" s="13" t="s">
        <v>81</v>
      </c>
      <c r="L1897" s="13" t="s">
        <v>95</v>
      </c>
      <c r="M1897">
        <v>30</v>
      </c>
      <c r="N1897">
        <v>0</v>
      </c>
      <c r="O1897" s="14">
        <v>46010</v>
      </c>
      <c r="P1897" s="14">
        <v>46040</v>
      </c>
      <c r="Q1897">
        <v>1604.49</v>
      </c>
      <c r="R1897">
        <v>0</v>
      </c>
      <c r="S1897">
        <v>0</v>
      </c>
      <c r="T1897">
        <v>0</v>
      </c>
      <c r="U1897">
        <v>0</v>
      </c>
      <c r="V1897">
        <v>1604.49</v>
      </c>
      <c r="W1897">
        <v>0</v>
      </c>
      <c r="X1897">
        <v>1</v>
      </c>
      <c r="Y1897">
        <v>0</v>
      </c>
      <c r="Z1897">
        <v>-18</v>
      </c>
      <c r="AA1897">
        <v>1</v>
      </c>
      <c r="AB1897" s="13" t="s">
        <v>581</v>
      </c>
      <c r="AC1897">
        <v>0</v>
      </c>
      <c r="AD1897">
        <v>0</v>
      </c>
      <c r="AE1897" s="13" t="s">
        <v>61</v>
      </c>
    </row>
    <row r="1898" spans="1:31" x14ac:dyDescent="0.35">
      <c r="A1898" s="13" t="s">
        <v>2712</v>
      </c>
      <c r="B1898" s="13" t="s">
        <v>109</v>
      </c>
      <c r="C1898" s="13" t="s">
        <v>110</v>
      </c>
      <c r="D1898" s="13" t="s">
        <v>52</v>
      </c>
      <c r="E1898" s="13" t="s">
        <v>65</v>
      </c>
      <c r="F1898" s="13" t="s">
        <v>111</v>
      </c>
      <c r="G1898" s="13" t="s">
        <v>67</v>
      </c>
      <c r="H1898">
        <v>455000</v>
      </c>
      <c r="I1898" s="13" t="s">
        <v>86</v>
      </c>
      <c r="J1898" s="13" t="s">
        <v>87</v>
      </c>
      <c r="K1898" s="13" t="s">
        <v>58</v>
      </c>
      <c r="L1898" s="13" t="s">
        <v>59</v>
      </c>
      <c r="M1898">
        <v>45</v>
      </c>
      <c r="N1898">
        <v>0</v>
      </c>
      <c r="O1898" s="14">
        <v>46010</v>
      </c>
      <c r="P1898" s="14">
        <v>46055</v>
      </c>
      <c r="Q1898">
        <v>5908.62</v>
      </c>
      <c r="R1898">
        <v>0</v>
      </c>
      <c r="S1898">
        <v>0</v>
      </c>
      <c r="T1898">
        <v>0</v>
      </c>
      <c r="U1898">
        <v>0</v>
      </c>
      <c r="V1898">
        <v>5908.62</v>
      </c>
      <c r="W1898">
        <v>0</v>
      </c>
      <c r="X1898">
        <v>1</v>
      </c>
      <c r="Y1898">
        <v>0</v>
      </c>
      <c r="Z1898">
        <v>-33</v>
      </c>
      <c r="AA1898">
        <v>1</v>
      </c>
      <c r="AB1898" s="13" t="s">
        <v>581</v>
      </c>
      <c r="AC1898">
        <v>0</v>
      </c>
      <c r="AD1898">
        <v>0</v>
      </c>
      <c r="AE1898" s="13" t="s">
        <v>61</v>
      </c>
    </row>
    <row r="1899" spans="1:31" x14ac:dyDescent="0.35">
      <c r="A1899" s="13" t="s">
        <v>2713</v>
      </c>
      <c r="B1899" s="13" t="s">
        <v>1004</v>
      </c>
      <c r="C1899" s="13" t="s">
        <v>1005</v>
      </c>
      <c r="D1899" s="13" t="s">
        <v>104</v>
      </c>
      <c r="E1899" s="13" t="s">
        <v>53</v>
      </c>
      <c r="F1899" s="13" t="s">
        <v>135</v>
      </c>
      <c r="G1899" s="13" t="s">
        <v>55</v>
      </c>
      <c r="H1899">
        <v>55000</v>
      </c>
      <c r="I1899" s="13" t="s">
        <v>121</v>
      </c>
      <c r="J1899" s="13" t="s">
        <v>122</v>
      </c>
      <c r="K1899" s="13" t="s">
        <v>107</v>
      </c>
      <c r="L1899" s="13" t="s">
        <v>88</v>
      </c>
      <c r="M1899">
        <v>60</v>
      </c>
      <c r="N1899">
        <v>0</v>
      </c>
      <c r="O1899" s="14">
        <v>46010</v>
      </c>
      <c r="P1899" s="14">
        <v>46070</v>
      </c>
      <c r="Q1899">
        <v>8117.81</v>
      </c>
      <c r="R1899">
        <v>0</v>
      </c>
      <c r="S1899">
        <v>0</v>
      </c>
      <c r="T1899">
        <v>0</v>
      </c>
      <c r="U1899">
        <v>0</v>
      </c>
      <c r="V1899">
        <v>8117.81</v>
      </c>
      <c r="W1899">
        <v>0</v>
      </c>
      <c r="X1899">
        <v>1</v>
      </c>
      <c r="Y1899">
        <v>0</v>
      </c>
      <c r="Z1899">
        <v>-48</v>
      </c>
      <c r="AA1899">
        <v>1</v>
      </c>
      <c r="AB1899" s="13" t="s">
        <v>581</v>
      </c>
      <c r="AC1899">
        <v>0</v>
      </c>
      <c r="AD1899">
        <v>0</v>
      </c>
      <c r="AE1899" s="13" t="s">
        <v>61</v>
      </c>
    </row>
    <row r="1900" spans="1:31" x14ac:dyDescent="0.35">
      <c r="A1900" s="13" t="s">
        <v>2714</v>
      </c>
      <c r="B1900" s="13" t="s">
        <v>238</v>
      </c>
      <c r="C1900" s="13" t="s">
        <v>239</v>
      </c>
      <c r="D1900" s="13" t="s">
        <v>76</v>
      </c>
      <c r="E1900" s="13" t="s">
        <v>71</v>
      </c>
      <c r="F1900" s="13" t="s">
        <v>214</v>
      </c>
      <c r="G1900" s="13" t="s">
        <v>92</v>
      </c>
      <c r="H1900">
        <v>100000</v>
      </c>
      <c r="I1900" s="13" t="s">
        <v>93</v>
      </c>
      <c r="J1900" s="13" t="s">
        <v>94</v>
      </c>
      <c r="K1900" s="13" t="s">
        <v>81</v>
      </c>
      <c r="L1900" s="13" t="s">
        <v>95</v>
      </c>
      <c r="M1900">
        <v>30</v>
      </c>
      <c r="N1900">
        <v>0</v>
      </c>
      <c r="O1900" s="14">
        <v>46010</v>
      </c>
      <c r="P1900" s="14">
        <v>46040</v>
      </c>
      <c r="Q1900">
        <v>551.9</v>
      </c>
      <c r="R1900">
        <v>0</v>
      </c>
      <c r="S1900">
        <v>0</v>
      </c>
      <c r="T1900">
        <v>0</v>
      </c>
      <c r="U1900">
        <v>0</v>
      </c>
      <c r="V1900">
        <v>551.9</v>
      </c>
      <c r="W1900">
        <v>0</v>
      </c>
      <c r="X1900">
        <v>1</v>
      </c>
      <c r="Y1900">
        <v>0</v>
      </c>
      <c r="Z1900">
        <v>-18</v>
      </c>
      <c r="AA1900">
        <v>1</v>
      </c>
      <c r="AB1900" s="13" t="s">
        <v>581</v>
      </c>
      <c r="AC1900">
        <v>0</v>
      </c>
      <c r="AD1900">
        <v>0</v>
      </c>
      <c r="AE1900" s="13" t="s">
        <v>61</v>
      </c>
    </row>
    <row r="1901" spans="1:31" x14ac:dyDescent="0.35">
      <c r="A1901" s="13" t="s">
        <v>2715</v>
      </c>
      <c r="B1901" s="13" t="s">
        <v>69</v>
      </c>
      <c r="C1901" s="13" t="s">
        <v>70</v>
      </c>
      <c r="D1901" s="13" t="s">
        <v>52</v>
      </c>
      <c r="E1901" s="13" t="s">
        <v>71</v>
      </c>
      <c r="F1901" s="13" t="s">
        <v>72</v>
      </c>
      <c r="G1901" s="13" t="s">
        <v>55</v>
      </c>
      <c r="H1901">
        <v>580000</v>
      </c>
      <c r="I1901" s="13" t="s">
        <v>56</v>
      </c>
      <c r="J1901" s="13" t="s">
        <v>57</v>
      </c>
      <c r="K1901" s="13" t="s">
        <v>58</v>
      </c>
      <c r="L1901" s="13" t="s">
        <v>59</v>
      </c>
      <c r="M1901">
        <v>45</v>
      </c>
      <c r="N1901">
        <v>0</v>
      </c>
      <c r="O1901" s="14">
        <v>46010</v>
      </c>
      <c r="P1901" s="14">
        <v>46055</v>
      </c>
      <c r="Q1901">
        <v>1633.28</v>
      </c>
      <c r="R1901">
        <v>0</v>
      </c>
      <c r="S1901">
        <v>0</v>
      </c>
      <c r="T1901">
        <v>0</v>
      </c>
      <c r="U1901">
        <v>0</v>
      </c>
      <c r="V1901">
        <v>1633.28</v>
      </c>
      <c r="W1901">
        <v>0</v>
      </c>
      <c r="X1901">
        <v>1</v>
      </c>
      <c r="Y1901">
        <v>0</v>
      </c>
      <c r="Z1901">
        <v>-33</v>
      </c>
      <c r="AA1901">
        <v>1</v>
      </c>
      <c r="AB1901" s="13" t="s">
        <v>581</v>
      </c>
      <c r="AC1901">
        <v>0</v>
      </c>
      <c r="AD1901">
        <v>0</v>
      </c>
      <c r="AE1901" s="13" t="s">
        <v>61</v>
      </c>
    </row>
    <row r="1902" spans="1:31" x14ac:dyDescent="0.35">
      <c r="A1902" s="13" t="s">
        <v>2716</v>
      </c>
      <c r="B1902" s="13" t="s">
        <v>1382</v>
      </c>
      <c r="C1902" s="13" t="s">
        <v>1383</v>
      </c>
      <c r="D1902" s="13" t="s">
        <v>104</v>
      </c>
      <c r="E1902" s="13" t="s">
        <v>77</v>
      </c>
      <c r="F1902" s="13" t="s">
        <v>78</v>
      </c>
      <c r="G1902" s="13" t="s">
        <v>92</v>
      </c>
      <c r="H1902">
        <v>45000</v>
      </c>
      <c r="I1902" s="13" t="s">
        <v>105</v>
      </c>
      <c r="J1902" s="13" t="s">
        <v>106</v>
      </c>
      <c r="K1902" s="13" t="s">
        <v>107</v>
      </c>
      <c r="L1902" s="13" t="s">
        <v>95</v>
      </c>
      <c r="M1902">
        <v>30</v>
      </c>
      <c r="N1902">
        <v>0</v>
      </c>
      <c r="O1902" s="14">
        <v>46010</v>
      </c>
      <c r="P1902" s="14">
        <v>46040</v>
      </c>
      <c r="Q1902">
        <v>2561.34</v>
      </c>
      <c r="R1902">
        <v>0</v>
      </c>
      <c r="S1902">
        <v>0</v>
      </c>
      <c r="T1902">
        <v>0</v>
      </c>
      <c r="U1902">
        <v>0</v>
      </c>
      <c r="V1902">
        <v>2561.34</v>
      </c>
      <c r="W1902">
        <v>0</v>
      </c>
      <c r="X1902">
        <v>1</v>
      </c>
      <c r="Y1902">
        <v>0</v>
      </c>
      <c r="Z1902">
        <v>-18</v>
      </c>
      <c r="AA1902">
        <v>1</v>
      </c>
      <c r="AB1902" s="13" t="s">
        <v>581</v>
      </c>
      <c r="AC1902">
        <v>0</v>
      </c>
      <c r="AD1902">
        <v>0</v>
      </c>
      <c r="AE1902" s="13" t="s">
        <v>61</v>
      </c>
    </row>
    <row r="1903" spans="1:31" x14ac:dyDescent="0.35">
      <c r="A1903" s="13" t="s">
        <v>2717</v>
      </c>
      <c r="B1903" s="13" t="s">
        <v>890</v>
      </c>
      <c r="C1903" s="13" t="s">
        <v>891</v>
      </c>
      <c r="D1903" s="13" t="s">
        <v>76</v>
      </c>
      <c r="E1903" s="13" t="s">
        <v>99</v>
      </c>
      <c r="F1903" s="13" t="s">
        <v>100</v>
      </c>
      <c r="G1903" s="13" t="s">
        <v>67</v>
      </c>
      <c r="H1903">
        <v>110000</v>
      </c>
      <c r="I1903" s="13" t="s">
        <v>79</v>
      </c>
      <c r="J1903" s="13" t="s">
        <v>80</v>
      </c>
      <c r="K1903" s="13" t="s">
        <v>81</v>
      </c>
      <c r="L1903" s="13" t="s">
        <v>95</v>
      </c>
      <c r="M1903">
        <v>30</v>
      </c>
      <c r="N1903">
        <v>0</v>
      </c>
      <c r="O1903" s="14">
        <v>46010</v>
      </c>
      <c r="P1903" s="14">
        <v>46040</v>
      </c>
      <c r="Q1903">
        <v>1400.08</v>
      </c>
      <c r="R1903">
        <v>0</v>
      </c>
      <c r="S1903">
        <v>0</v>
      </c>
      <c r="T1903">
        <v>0</v>
      </c>
      <c r="U1903">
        <v>0</v>
      </c>
      <c r="V1903">
        <v>1400.08</v>
      </c>
      <c r="W1903">
        <v>0</v>
      </c>
      <c r="X1903">
        <v>1</v>
      </c>
      <c r="Y1903">
        <v>0</v>
      </c>
      <c r="Z1903">
        <v>-18</v>
      </c>
      <c r="AA1903">
        <v>1</v>
      </c>
      <c r="AB1903" s="13" t="s">
        <v>581</v>
      </c>
      <c r="AC1903">
        <v>0</v>
      </c>
      <c r="AD1903">
        <v>0</v>
      </c>
      <c r="AE1903" s="13" t="s">
        <v>61</v>
      </c>
    </row>
    <row r="1904" spans="1:31" x14ac:dyDescent="0.35">
      <c r="A1904" s="13" t="s">
        <v>2718</v>
      </c>
      <c r="B1904" s="13" t="s">
        <v>2029</v>
      </c>
      <c r="C1904" s="13" t="s">
        <v>2030</v>
      </c>
      <c r="D1904" s="13" t="s">
        <v>76</v>
      </c>
      <c r="E1904" s="13" t="s">
        <v>99</v>
      </c>
      <c r="F1904" s="13" t="s">
        <v>100</v>
      </c>
      <c r="G1904" s="13" t="s">
        <v>67</v>
      </c>
      <c r="H1904">
        <v>55000</v>
      </c>
      <c r="I1904" s="13" t="s">
        <v>79</v>
      </c>
      <c r="J1904" s="13" t="s">
        <v>80</v>
      </c>
      <c r="K1904" s="13" t="s">
        <v>81</v>
      </c>
      <c r="L1904" s="13" t="s">
        <v>95</v>
      </c>
      <c r="M1904">
        <v>30</v>
      </c>
      <c r="N1904">
        <v>0</v>
      </c>
      <c r="O1904" s="14">
        <v>46010</v>
      </c>
      <c r="P1904" s="14">
        <v>46040</v>
      </c>
      <c r="Q1904">
        <v>4280.8599999999997</v>
      </c>
      <c r="R1904">
        <v>0</v>
      </c>
      <c r="S1904">
        <v>0</v>
      </c>
      <c r="T1904">
        <v>0</v>
      </c>
      <c r="U1904">
        <v>0</v>
      </c>
      <c r="V1904">
        <v>4280.8599999999997</v>
      </c>
      <c r="W1904">
        <v>0</v>
      </c>
      <c r="X1904">
        <v>1</v>
      </c>
      <c r="Y1904">
        <v>0</v>
      </c>
      <c r="Z1904">
        <v>-18</v>
      </c>
      <c r="AA1904">
        <v>1</v>
      </c>
      <c r="AB1904" s="13" t="s">
        <v>581</v>
      </c>
      <c r="AC1904">
        <v>0</v>
      </c>
      <c r="AD1904">
        <v>0</v>
      </c>
      <c r="AE1904" s="13" t="s">
        <v>61</v>
      </c>
    </row>
    <row r="1905" spans="1:31" x14ac:dyDescent="0.35">
      <c r="A1905" s="13" t="s">
        <v>2719</v>
      </c>
      <c r="B1905" s="13" t="s">
        <v>283</v>
      </c>
      <c r="C1905" s="13" t="s">
        <v>284</v>
      </c>
      <c r="D1905" s="13" t="s">
        <v>104</v>
      </c>
      <c r="E1905" s="13" t="s">
        <v>53</v>
      </c>
      <c r="F1905" s="13" t="s">
        <v>135</v>
      </c>
      <c r="G1905" s="13" t="s">
        <v>92</v>
      </c>
      <c r="H1905">
        <v>105000</v>
      </c>
      <c r="I1905" s="13" t="s">
        <v>105</v>
      </c>
      <c r="J1905" s="13" t="s">
        <v>106</v>
      </c>
      <c r="K1905" s="13" t="s">
        <v>107</v>
      </c>
      <c r="L1905" s="13" t="s">
        <v>82</v>
      </c>
      <c r="M1905">
        <v>30</v>
      </c>
      <c r="N1905">
        <v>2</v>
      </c>
      <c r="O1905" s="14">
        <v>46010</v>
      </c>
      <c r="P1905" s="14">
        <v>46040</v>
      </c>
      <c r="Q1905">
        <v>1621.8</v>
      </c>
      <c r="R1905">
        <v>0</v>
      </c>
      <c r="S1905">
        <v>0</v>
      </c>
      <c r="T1905">
        <v>0</v>
      </c>
      <c r="U1905">
        <v>0</v>
      </c>
      <c r="V1905">
        <v>1621.8</v>
      </c>
      <c r="W1905">
        <v>0</v>
      </c>
      <c r="X1905">
        <v>1</v>
      </c>
      <c r="Y1905">
        <v>0</v>
      </c>
      <c r="Z1905">
        <v>-18</v>
      </c>
      <c r="AA1905">
        <v>1</v>
      </c>
      <c r="AB1905" s="13" t="s">
        <v>581</v>
      </c>
      <c r="AC1905">
        <v>0</v>
      </c>
      <c r="AD1905">
        <v>0</v>
      </c>
      <c r="AE1905" s="13" t="s">
        <v>61</v>
      </c>
    </row>
    <row r="1906" spans="1:31" x14ac:dyDescent="0.35">
      <c r="A1906" s="13" t="s">
        <v>2720</v>
      </c>
      <c r="B1906" s="13" t="s">
        <v>899</v>
      </c>
      <c r="C1906" s="13" t="s">
        <v>900</v>
      </c>
      <c r="D1906" s="13" t="s">
        <v>76</v>
      </c>
      <c r="E1906" s="13" t="s">
        <v>71</v>
      </c>
      <c r="F1906" s="13" t="s">
        <v>72</v>
      </c>
      <c r="G1906" s="13" t="s">
        <v>92</v>
      </c>
      <c r="H1906">
        <v>85000</v>
      </c>
      <c r="I1906" s="13" t="s">
        <v>93</v>
      </c>
      <c r="J1906" s="13" t="s">
        <v>94</v>
      </c>
      <c r="K1906" s="13" t="s">
        <v>81</v>
      </c>
      <c r="L1906" s="13" t="s">
        <v>82</v>
      </c>
      <c r="M1906">
        <v>30</v>
      </c>
      <c r="N1906">
        <v>2</v>
      </c>
      <c r="O1906" s="14">
        <v>46010</v>
      </c>
      <c r="P1906" s="14">
        <v>46040</v>
      </c>
      <c r="Q1906">
        <v>1188.9100000000001</v>
      </c>
      <c r="R1906">
        <v>0</v>
      </c>
      <c r="S1906">
        <v>0</v>
      </c>
      <c r="T1906">
        <v>0</v>
      </c>
      <c r="U1906">
        <v>0</v>
      </c>
      <c r="V1906">
        <v>1188.9100000000001</v>
      </c>
      <c r="W1906">
        <v>0</v>
      </c>
      <c r="X1906">
        <v>1</v>
      </c>
      <c r="Y1906">
        <v>0</v>
      </c>
      <c r="Z1906">
        <v>-18</v>
      </c>
      <c r="AA1906">
        <v>1</v>
      </c>
      <c r="AB1906" s="13" t="s">
        <v>581</v>
      </c>
      <c r="AC1906">
        <v>0</v>
      </c>
      <c r="AD1906">
        <v>0</v>
      </c>
      <c r="AE1906" s="13" t="s">
        <v>61</v>
      </c>
    </row>
    <row r="1907" spans="1:31" x14ac:dyDescent="0.35">
      <c r="A1907" s="13" t="s">
        <v>2721</v>
      </c>
      <c r="B1907" s="13" t="s">
        <v>162</v>
      </c>
      <c r="C1907" s="13" t="s">
        <v>163</v>
      </c>
      <c r="D1907" s="13" t="s">
        <v>76</v>
      </c>
      <c r="E1907" s="13" t="s">
        <v>99</v>
      </c>
      <c r="F1907" s="13" t="s">
        <v>127</v>
      </c>
      <c r="G1907" s="13" t="s">
        <v>67</v>
      </c>
      <c r="H1907">
        <v>90000</v>
      </c>
      <c r="I1907" s="13" t="s">
        <v>79</v>
      </c>
      <c r="J1907" s="13" t="s">
        <v>80</v>
      </c>
      <c r="K1907" s="13" t="s">
        <v>81</v>
      </c>
      <c r="L1907" s="13" t="s">
        <v>95</v>
      </c>
      <c r="M1907">
        <v>30</v>
      </c>
      <c r="N1907">
        <v>0</v>
      </c>
      <c r="O1907" s="14">
        <v>46010</v>
      </c>
      <c r="P1907" s="14">
        <v>46040</v>
      </c>
      <c r="Q1907">
        <v>3239.08</v>
      </c>
      <c r="R1907">
        <v>0</v>
      </c>
      <c r="S1907">
        <v>0</v>
      </c>
      <c r="T1907">
        <v>0</v>
      </c>
      <c r="U1907">
        <v>0</v>
      </c>
      <c r="V1907">
        <v>3239.08</v>
      </c>
      <c r="W1907">
        <v>0</v>
      </c>
      <c r="X1907">
        <v>1</v>
      </c>
      <c r="Y1907">
        <v>0</v>
      </c>
      <c r="Z1907">
        <v>-18</v>
      </c>
      <c r="AA1907">
        <v>1</v>
      </c>
      <c r="AB1907" s="13" t="s">
        <v>581</v>
      </c>
      <c r="AC1907">
        <v>0</v>
      </c>
      <c r="AD1907">
        <v>0</v>
      </c>
      <c r="AE1907" s="13" t="s">
        <v>61</v>
      </c>
    </row>
    <row r="1908" spans="1:31" x14ac:dyDescent="0.35">
      <c r="A1908" s="13" t="s">
        <v>2722</v>
      </c>
      <c r="B1908" s="13" t="s">
        <v>159</v>
      </c>
      <c r="C1908" s="13" t="s">
        <v>160</v>
      </c>
      <c r="D1908" s="13" t="s">
        <v>104</v>
      </c>
      <c r="E1908" s="13" t="s">
        <v>53</v>
      </c>
      <c r="F1908" s="13" t="s">
        <v>135</v>
      </c>
      <c r="G1908" s="13" t="s">
        <v>67</v>
      </c>
      <c r="H1908">
        <v>140000</v>
      </c>
      <c r="I1908" s="13" t="s">
        <v>105</v>
      </c>
      <c r="J1908" s="13" t="s">
        <v>106</v>
      </c>
      <c r="K1908" s="13" t="s">
        <v>107</v>
      </c>
      <c r="L1908" s="13" t="s">
        <v>88</v>
      </c>
      <c r="M1908">
        <v>60</v>
      </c>
      <c r="N1908">
        <v>0</v>
      </c>
      <c r="O1908" s="14">
        <v>46010</v>
      </c>
      <c r="P1908" s="14">
        <v>46070</v>
      </c>
      <c r="Q1908">
        <v>958.1</v>
      </c>
      <c r="R1908">
        <v>0</v>
      </c>
      <c r="S1908">
        <v>0</v>
      </c>
      <c r="T1908">
        <v>0</v>
      </c>
      <c r="U1908">
        <v>0</v>
      </c>
      <c r="V1908">
        <v>958.1</v>
      </c>
      <c r="W1908">
        <v>0</v>
      </c>
      <c r="X1908">
        <v>1</v>
      </c>
      <c r="Y1908">
        <v>0</v>
      </c>
      <c r="Z1908">
        <v>-48</v>
      </c>
      <c r="AA1908">
        <v>1</v>
      </c>
      <c r="AB1908" s="13" t="s">
        <v>581</v>
      </c>
      <c r="AC1908">
        <v>0</v>
      </c>
      <c r="AD1908">
        <v>0</v>
      </c>
      <c r="AE1908" s="13" t="s">
        <v>61</v>
      </c>
    </row>
    <row r="1909" spans="1:31" x14ac:dyDescent="0.35">
      <c r="A1909" s="13" t="s">
        <v>2723</v>
      </c>
      <c r="B1909" s="13" t="s">
        <v>695</v>
      </c>
      <c r="C1909" s="13" t="s">
        <v>696</v>
      </c>
      <c r="D1909" s="13" t="s">
        <v>52</v>
      </c>
      <c r="E1909" s="13" t="s">
        <v>53</v>
      </c>
      <c r="F1909" s="13" t="s">
        <v>54</v>
      </c>
      <c r="G1909" s="13" t="s">
        <v>92</v>
      </c>
      <c r="H1909">
        <v>535000</v>
      </c>
      <c r="I1909" s="13" t="s">
        <v>56</v>
      </c>
      <c r="J1909" s="13" t="s">
        <v>57</v>
      </c>
      <c r="K1909" s="13" t="s">
        <v>58</v>
      </c>
      <c r="L1909" s="13" t="s">
        <v>88</v>
      </c>
      <c r="M1909">
        <v>60</v>
      </c>
      <c r="N1909">
        <v>0</v>
      </c>
      <c r="O1909" s="14">
        <v>46010</v>
      </c>
      <c r="P1909" s="14">
        <v>46070</v>
      </c>
      <c r="Q1909">
        <v>14890.5</v>
      </c>
      <c r="R1909">
        <v>0</v>
      </c>
      <c r="S1909">
        <v>0</v>
      </c>
      <c r="T1909">
        <v>0</v>
      </c>
      <c r="U1909">
        <v>0</v>
      </c>
      <c r="V1909">
        <v>14890.5</v>
      </c>
      <c r="W1909">
        <v>0</v>
      </c>
      <c r="X1909">
        <v>1</v>
      </c>
      <c r="Y1909">
        <v>0</v>
      </c>
      <c r="Z1909">
        <v>-48</v>
      </c>
      <c r="AA1909">
        <v>1</v>
      </c>
      <c r="AB1909" s="13" t="s">
        <v>581</v>
      </c>
      <c r="AC1909">
        <v>0</v>
      </c>
      <c r="AD1909">
        <v>0</v>
      </c>
      <c r="AE1909" s="13" t="s">
        <v>61</v>
      </c>
    </row>
    <row r="1910" spans="1:31" x14ac:dyDescent="0.35">
      <c r="A1910" s="13" t="s">
        <v>2724</v>
      </c>
      <c r="B1910" s="13" t="s">
        <v>2171</v>
      </c>
      <c r="C1910" s="13" t="s">
        <v>2172</v>
      </c>
      <c r="D1910" s="13" t="s">
        <v>76</v>
      </c>
      <c r="E1910" s="13" t="s">
        <v>99</v>
      </c>
      <c r="F1910" s="13" t="s">
        <v>127</v>
      </c>
      <c r="G1910" s="13" t="s">
        <v>55</v>
      </c>
      <c r="H1910">
        <v>85000</v>
      </c>
      <c r="I1910" s="13" t="s">
        <v>93</v>
      </c>
      <c r="J1910" s="13" t="s">
        <v>94</v>
      </c>
      <c r="K1910" s="13" t="s">
        <v>81</v>
      </c>
      <c r="L1910" s="13" t="s">
        <v>95</v>
      </c>
      <c r="M1910">
        <v>30</v>
      </c>
      <c r="N1910">
        <v>0</v>
      </c>
      <c r="O1910" s="14">
        <v>46010</v>
      </c>
      <c r="P1910" s="14">
        <v>46040</v>
      </c>
      <c r="Q1910">
        <v>590.73</v>
      </c>
      <c r="R1910">
        <v>0</v>
      </c>
      <c r="S1910">
        <v>0</v>
      </c>
      <c r="T1910">
        <v>0</v>
      </c>
      <c r="U1910">
        <v>0</v>
      </c>
      <c r="V1910">
        <v>590.73</v>
      </c>
      <c r="W1910">
        <v>0</v>
      </c>
      <c r="X1910">
        <v>1</v>
      </c>
      <c r="Y1910">
        <v>0</v>
      </c>
      <c r="Z1910">
        <v>-18</v>
      </c>
      <c r="AA1910">
        <v>1</v>
      </c>
      <c r="AB1910" s="13" t="s">
        <v>581</v>
      </c>
      <c r="AC1910">
        <v>0</v>
      </c>
      <c r="AD1910">
        <v>0</v>
      </c>
      <c r="AE1910" s="13" t="s">
        <v>61</v>
      </c>
    </row>
    <row r="1911" spans="1:31" x14ac:dyDescent="0.35">
      <c r="A1911" s="13" t="s">
        <v>2725</v>
      </c>
      <c r="B1911" s="13" t="s">
        <v>1220</v>
      </c>
      <c r="C1911" s="13" t="s">
        <v>1221</v>
      </c>
      <c r="D1911" s="13" t="s">
        <v>52</v>
      </c>
      <c r="E1911" s="13" t="s">
        <v>65</v>
      </c>
      <c r="F1911" s="13" t="s">
        <v>111</v>
      </c>
      <c r="G1911" s="13" t="s">
        <v>67</v>
      </c>
      <c r="H1911">
        <v>340000</v>
      </c>
      <c r="I1911" s="13" t="s">
        <v>86</v>
      </c>
      <c r="J1911" s="13" t="s">
        <v>87</v>
      </c>
      <c r="K1911" s="13" t="s">
        <v>58</v>
      </c>
      <c r="L1911" s="13" t="s">
        <v>59</v>
      </c>
      <c r="M1911">
        <v>45</v>
      </c>
      <c r="N1911">
        <v>0</v>
      </c>
      <c r="O1911" s="14">
        <v>46010</v>
      </c>
      <c r="P1911" s="14">
        <v>46055</v>
      </c>
      <c r="Q1911">
        <v>6893.78</v>
      </c>
      <c r="R1911">
        <v>0</v>
      </c>
      <c r="S1911">
        <v>0</v>
      </c>
      <c r="T1911">
        <v>0</v>
      </c>
      <c r="U1911">
        <v>0</v>
      </c>
      <c r="V1911">
        <v>6893.78</v>
      </c>
      <c r="W1911">
        <v>0</v>
      </c>
      <c r="X1911">
        <v>1</v>
      </c>
      <c r="Y1911">
        <v>0</v>
      </c>
      <c r="Z1911">
        <v>-33</v>
      </c>
      <c r="AA1911">
        <v>1</v>
      </c>
      <c r="AB1911" s="13" t="s">
        <v>581</v>
      </c>
      <c r="AC1911">
        <v>0</v>
      </c>
      <c r="AD1911">
        <v>0</v>
      </c>
      <c r="AE1911" s="13" t="s">
        <v>61</v>
      </c>
    </row>
    <row r="1912" spans="1:31" x14ac:dyDescent="0.35">
      <c r="A1912" s="13" t="s">
        <v>2726</v>
      </c>
      <c r="B1912" s="13" t="s">
        <v>172</v>
      </c>
      <c r="C1912" s="13" t="s">
        <v>173</v>
      </c>
      <c r="D1912" s="13" t="s">
        <v>52</v>
      </c>
      <c r="E1912" s="13" t="s">
        <v>77</v>
      </c>
      <c r="F1912" s="13" t="s">
        <v>174</v>
      </c>
      <c r="G1912" s="13" t="s">
        <v>67</v>
      </c>
      <c r="H1912">
        <v>590000</v>
      </c>
      <c r="I1912" s="13" t="s">
        <v>56</v>
      </c>
      <c r="J1912" s="13" t="s">
        <v>57</v>
      </c>
      <c r="K1912" s="13" t="s">
        <v>58</v>
      </c>
      <c r="L1912" s="13" t="s">
        <v>59</v>
      </c>
      <c r="M1912">
        <v>45</v>
      </c>
      <c r="N1912">
        <v>0</v>
      </c>
      <c r="O1912" s="14">
        <v>46010</v>
      </c>
      <c r="P1912" s="14">
        <v>46055</v>
      </c>
      <c r="Q1912">
        <v>10110.34</v>
      </c>
      <c r="R1912">
        <v>0</v>
      </c>
      <c r="S1912">
        <v>0</v>
      </c>
      <c r="T1912">
        <v>0</v>
      </c>
      <c r="U1912">
        <v>0</v>
      </c>
      <c r="V1912">
        <v>10110.34</v>
      </c>
      <c r="W1912">
        <v>0</v>
      </c>
      <c r="X1912">
        <v>1</v>
      </c>
      <c r="Y1912">
        <v>0</v>
      </c>
      <c r="Z1912">
        <v>-33</v>
      </c>
      <c r="AA1912">
        <v>1</v>
      </c>
      <c r="AB1912" s="13" t="s">
        <v>581</v>
      </c>
      <c r="AC1912">
        <v>0</v>
      </c>
      <c r="AD1912">
        <v>0</v>
      </c>
      <c r="AE1912" s="13" t="s">
        <v>61</v>
      </c>
    </row>
    <row r="1913" spans="1:31" x14ac:dyDescent="0.35">
      <c r="A1913" s="13" t="s">
        <v>2727</v>
      </c>
      <c r="B1913" s="13" t="s">
        <v>1102</v>
      </c>
      <c r="C1913" s="13" t="s">
        <v>1103</v>
      </c>
      <c r="D1913" s="13" t="s">
        <v>52</v>
      </c>
      <c r="E1913" s="13" t="s">
        <v>71</v>
      </c>
      <c r="F1913" s="13" t="s">
        <v>72</v>
      </c>
      <c r="G1913" s="13" t="s">
        <v>67</v>
      </c>
      <c r="H1913">
        <v>335000</v>
      </c>
      <c r="I1913" s="13" t="s">
        <v>86</v>
      </c>
      <c r="J1913" s="13" t="s">
        <v>87</v>
      </c>
      <c r="K1913" s="13" t="s">
        <v>58</v>
      </c>
      <c r="L1913" s="13" t="s">
        <v>59</v>
      </c>
      <c r="M1913">
        <v>45</v>
      </c>
      <c r="N1913">
        <v>0</v>
      </c>
      <c r="O1913" s="14">
        <v>46010</v>
      </c>
      <c r="P1913" s="14">
        <v>46055</v>
      </c>
      <c r="Q1913">
        <v>6702.76</v>
      </c>
      <c r="R1913">
        <v>0</v>
      </c>
      <c r="S1913">
        <v>0</v>
      </c>
      <c r="T1913">
        <v>0</v>
      </c>
      <c r="U1913">
        <v>0</v>
      </c>
      <c r="V1913">
        <v>6702.76</v>
      </c>
      <c r="W1913">
        <v>0</v>
      </c>
      <c r="X1913">
        <v>1</v>
      </c>
      <c r="Y1913">
        <v>0</v>
      </c>
      <c r="Z1913">
        <v>-33</v>
      </c>
      <c r="AA1913">
        <v>1</v>
      </c>
      <c r="AB1913" s="13" t="s">
        <v>581</v>
      </c>
      <c r="AC1913">
        <v>0</v>
      </c>
      <c r="AD1913">
        <v>0</v>
      </c>
      <c r="AE1913" s="13" t="s">
        <v>61</v>
      </c>
    </row>
    <row r="1914" spans="1:31" x14ac:dyDescent="0.35">
      <c r="A1914" s="13" t="s">
        <v>2728</v>
      </c>
      <c r="B1914" s="13" t="s">
        <v>379</v>
      </c>
      <c r="C1914" s="13" t="s">
        <v>380</v>
      </c>
      <c r="D1914" s="13" t="s">
        <v>52</v>
      </c>
      <c r="E1914" s="13" t="s">
        <v>77</v>
      </c>
      <c r="F1914" s="13" t="s">
        <v>78</v>
      </c>
      <c r="G1914" s="13" t="s">
        <v>92</v>
      </c>
      <c r="H1914">
        <v>450000</v>
      </c>
      <c r="I1914" s="13" t="s">
        <v>56</v>
      </c>
      <c r="J1914" s="13" t="s">
        <v>57</v>
      </c>
      <c r="K1914" s="13" t="s">
        <v>58</v>
      </c>
      <c r="L1914" s="13" t="s">
        <v>59</v>
      </c>
      <c r="M1914">
        <v>45</v>
      </c>
      <c r="N1914">
        <v>0</v>
      </c>
      <c r="O1914" s="14">
        <v>46010</v>
      </c>
      <c r="P1914" s="14">
        <v>46055</v>
      </c>
      <c r="Q1914">
        <v>10301.370000000001</v>
      </c>
      <c r="R1914">
        <v>0</v>
      </c>
      <c r="S1914">
        <v>0</v>
      </c>
      <c r="T1914">
        <v>0</v>
      </c>
      <c r="U1914">
        <v>0</v>
      </c>
      <c r="V1914">
        <v>10301.370000000001</v>
      </c>
      <c r="W1914">
        <v>0</v>
      </c>
      <c r="X1914">
        <v>1</v>
      </c>
      <c r="Y1914">
        <v>0</v>
      </c>
      <c r="Z1914">
        <v>-33</v>
      </c>
      <c r="AA1914">
        <v>1</v>
      </c>
      <c r="AB1914" s="13" t="s">
        <v>581</v>
      </c>
      <c r="AC1914">
        <v>0</v>
      </c>
      <c r="AD1914">
        <v>0</v>
      </c>
      <c r="AE1914" s="13" t="s">
        <v>61</v>
      </c>
    </row>
    <row r="1915" spans="1:31" x14ac:dyDescent="0.35">
      <c r="A1915" s="13" t="s">
        <v>2729</v>
      </c>
      <c r="B1915" s="13" t="s">
        <v>474</v>
      </c>
      <c r="C1915" s="13" t="s">
        <v>475</v>
      </c>
      <c r="D1915" s="13" t="s">
        <v>126</v>
      </c>
      <c r="E1915" s="13" t="s">
        <v>77</v>
      </c>
      <c r="F1915" s="13" t="s">
        <v>174</v>
      </c>
      <c r="G1915" s="13" t="s">
        <v>67</v>
      </c>
      <c r="H1915">
        <v>165000</v>
      </c>
      <c r="I1915" s="13" t="s">
        <v>56</v>
      </c>
      <c r="J1915" s="13" t="s">
        <v>57</v>
      </c>
      <c r="K1915" s="13" t="s">
        <v>58</v>
      </c>
      <c r="L1915" s="13" t="s">
        <v>368</v>
      </c>
      <c r="M1915">
        <v>90</v>
      </c>
      <c r="N1915">
        <v>0</v>
      </c>
      <c r="O1915" s="14">
        <v>46010</v>
      </c>
      <c r="P1915" s="14">
        <v>46100</v>
      </c>
      <c r="Q1915">
        <v>3474.86</v>
      </c>
      <c r="R1915">
        <v>0</v>
      </c>
      <c r="S1915">
        <v>0</v>
      </c>
      <c r="T1915">
        <v>0</v>
      </c>
      <c r="U1915">
        <v>0</v>
      </c>
      <c r="V1915">
        <v>3474.86</v>
      </c>
      <c r="W1915">
        <v>0</v>
      </c>
      <c r="X1915">
        <v>1</v>
      </c>
      <c r="Y1915">
        <v>0</v>
      </c>
      <c r="Z1915">
        <v>-78</v>
      </c>
      <c r="AA1915">
        <v>1</v>
      </c>
      <c r="AB1915" s="13" t="s">
        <v>581</v>
      </c>
      <c r="AC1915">
        <v>0</v>
      </c>
      <c r="AD1915">
        <v>0</v>
      </c>
      <c r="AE1915" s="13" t="s">
        <v>61</v>
      </c>
    </row>
    <row r="1916" spans="1:31" x14ac:dyDescent="0.35">
      <c r="A1916" s="13" t="s">
        <v>2730</v>
      </c>
      <c r="B1916" s="13" t="s">
        <v>605</v>
      </c>
      <c r="C1916" s="13" t="s">
        <v>606</v>
      </c>
      <c r="D1916" s="13" t="s">
        <v>52</v>
      </c>
      <c r="E1916" s="13" t="s">
        <v>65</v>
      </c>
      <c r="F1916" s="13" t="s">
        <v>66</v>
      </c>
      <c r="G1916" s="13" t="s">
        <v>67</v>
      </c>
      <c r="H1916">
        <v>335000</v>
      </c>
      <c r="I1916" s="13" t="s">
        <v>86</v>
      </c>
      <c r="J1916" s="13" t="s">
        <v>87</v>
      </c>
      <c r="K1916" s="13" t="s">
        <v>58</v>
      </c>
      <c r="L1916" s="13" t="s">
        <v>59</v>
      </c>
      <c r="M1916">
        <v>45</v>
      </c>
      <c r="N1916">
        <v>0</v>
      </c>
      <c r="O1916" s="14">
        <v>46010</v>
      </c>
      <c r="P1916" s="14">
        <v>46055</v>
      </c>
      <c r="Q1916">
        <v>1625.05</v>
      </c>
      <c r="R1916">
        <v>0</v>
      </c>
      <c r="S1916">
        <v>0</v>
      </c>
      <c r="T1916">
        <v>0</v>
      </c>
      <c r="U1916">
        <v>0</v>
      </c>
      <c r="V1916">
        <v>1625.05</v>
      </c>
      <c r="W1916">
        <v>0</v>
      </c>
      <c r="X1916">
        <v>1</v>
      </c>
      <c r="Y1916">
        <v>0</v>
      </c>
      <c r="Z1916">
        <v>-33</v>
      </c>
      <c r="AA1916">
        <v>1</v>
      </c>
      <c r="AB1916" s="13" t="s">
        <v>581</v>
      </c>
      <c r="AC1916">
        <v>0</v>
      </c>
      <c r="AD1916">
        <v>0</v>
      </c>
      <c r="AE1916" s="13" t="s">
        <v>61</v>
      </c>
    </row>
    <row r="1917" spans="1:31" x14ac:dyDescent="0.35">
      <c r="A1917" s="13" t="s">
        <v>2731</v>
      </c>
      <c r="B1917" s="13" t="s">
        <v>390</v>
      </c>
      <c r="C1917" s="13" t="s">
        <v>391</v>
      </c>
      <c r="D1917" s="13" t="s">
        <v>52</v>
      </c>
      <c r="E1917" s="13" t="s">
        <v>71</v>
      </c>
      <c r="F1917" s="13" t="s">
        <v>72</v>
      </c>
      <c r="G1917" s="13" t="s">
        <v>55</v>
      </c>
      <c r="H1917">
        <v>320000</v>
      </c>
      <c r="I1917" s="13" t="s">
        <v>86</v>
      </c>
      <c r="J1917" s="13" t="s">
        <v>87</v>
      </c>
      <c r="K1917" s="13" t="s">
        <v>58</v>
      </c>
      <c r="L1917" s="13" t="s">
        <v>88</v>
      </c>
      <c r="M1917">
        <v>60</v>
      </c>
      <c r="N1917">
        <v>0</v>
      </c>
      <c r="O1917" s="14">
        <v>46010</v>
      </c>
      <c r="P1917" s="14">
        <v>46070</v>
      </c>
      <c r="Q1917">
        <v>10738.29</v>
      </c>
      <c r="R1917">
        <v>0</v>
      </c>
      <c r="S1917">
        <v>0</v>
      </c>
      <c r="T1917">
        <v>0</v>
      </c>
      <c r="U1917">
        <v>0</v>
      </c>
      <c r="V1917">
        <v>10738.29</v>
      </c>
      <c r="W1917">
        <v>0</v>
      </c>
      <c r="X1917">
        <v>1</v>
      </c>
      <c r="Y1917">
        <v>0</v>
      </c>
      <c r="Z1917">
        <v>-48</v>
      </c>
      <c r="AA1917">
        <v>1</v>
      </c>
      <c r="AB1917" s="13" t="s">
        <v>581</v>
      </c>
      <c r="AC1917">
        <v>0</v>
      </c>
      <c r="AD1917">
        <v>0</v>
      </c>
      <c r="AE1917" s="13" t="s">
        <v>61</v>
      </c>
    </row>
    <row r="1918" spans="1:31" x14ac:dyDescent="0.35">
      <c r="A1918" s="13" t="s">
        <v>2732</v>
      </c>
      <c r="B1918" s="13" t="s">
        <v>772</v>
      </c>
      <c r="C1918" s="13" t="s">
        <v>773</v>
      </c>
      <c r="D1918" s="13" t="s">
        <v>76</v>
      </c>
      <c r="E1918" s="13" t="s">
        <v>99</v>
      </c>
      <c r="F1918" s="13" t="s">
        <v>100</v>
      </c>
      <c r="G1918" s="13" t="s">
        <v>55</v>
      </c>
      <c r="H1918">
        <v>105000</v>
      </c>
      <c r="I1918" s="13" t="s">
        <v>79</v>
      </c>
      <c r="J1918" s="13" t="s">
        <v>80</v>
      </c>
      <c r="K1918" s="13" t="s">
        <v>81</v>
      </c>
      <c r="L1918" s="13" t="s">
        <v>82</v>
      </c>
      <c r="M1918">
        <v>30</v>
      </c>
      <c r="N1918">
        <v>2</v>
      </c>
      <c r="O1918" s="14">
        <v>46010</v>
      </c>
      <c r="P1918" s="14">
        <v>46040</v>
      </c>
      <c r="Q1918">
        <v>2027.05</v>
      </c>
      <c r="R1918">
        <v>0</v>
      </c>
      <c r="S1918">
        <v>0</v>
      </c>
      <c r="T1918">
        <v>0</v>
      </c>
      <c r="U1918">
        <v>0</v>
      </c>
      <c r="V1918">
        <v>2027.05</v>
      </c>
      <c r="W1918">
        <v>0</v>
      </c>
      <c r="X1918">
        <v>1</v>
      </c>
      <c r="Y1918">
        <v>0</v>
      </c>
      <c r="Z1918">
        <v>-18</v>
      </c>
      <c r="AA1918">
        <v>1</v>
      </c>
      <c r="AB1918" s="13" t="s">
        <v>581</v>
      </c>
      <c r="AC1918">
        <v>0</v>
      </c>
      <c r="AD1918">
        <v>0</v>
      </c>
      <c r="AE1918" s="13" t="s">
        <v>61</v>
      </c>
    </row>
    <row r="1919" spans="1:31" x14ac:dyDescent="0.35">
      <c r="A1919" s="13" t="s">
        <v>2733</v>
      </c>
      <c r="B1919" s="13" t="s">
        <v>1165</v>
      </c>
      <c r="C1919" s="13" t="s">
        <v>1166</v>
      </c>
      <c r="D1919" s="13" t="s">
        <v>52</v>
      </c>
      <c r="E1919" s="13" t="s">
        <v>99</v>
      </c>
      <c r="F1919" s="13" t="s">
        <v>127</v>
      </c>
      <c r="G1919" s="13" t="s">
        <v>67</v>
      </c>
      <c r="H1919">
        <v>370000</v>
      </c>
      <c r="I1919" s="13" t="s">
        <v>56</v>
      </c>
      <c r="J1919" s="13" t="s">
        <v>57</v>
      </c>
      <c r="K1919" s="13" t="s">
        <v>58</v>
      </c>
      <c r="L1919" s="13" t="s">
        <v>88</v>
      </c>
      <c r="M1919">
        <v>60</v>
      </c>
      <c r="N1919">
        <v>0</v>
      </c>
      <c r="O1919" s="14">
        <v>46010</v>
      </c>
      <c r="P1919" s="14">
        <v>46070</v>
      </c>
      <c r="Q1919">
        <v>8014.33</v>
      </c>
      <c r="R1919">
        <v>0</v>
      </c>
      <c r="S1919">
        <v>0</v>
      </c>
      <c r="T1919">
        <v>0</v>
      </c>
      <c r="U1919">
        <v>0</v>
      </c>
      <c r="V1919">
        <v>8014.33</v>
      </c>
      <c r="W1919">
        <v>0</v>
      </c>
      <c r="X1919">
        <v>1</v>
      </c>
      <c r="Y1919">
        <v>0</v>
      </c>
      <c r="Z1919">
        <v>-48</v>
      </c>
      <c r="AA1919">
        <v>1</v>
      </c>
      <c r="AB1919" s="13" t="s">
        <v>581</v>
      </c>
      <c r="AC1919">
        <v>0</v>
      </c>
      <c r="AD1919">
        <v>0</v>
      </c>
      <c r="AE1919" s="13" t="s">
        <v>61</v>
      </c>
    </row>
    <row r="1920" spans="1:31" x14ac:dyDescent="0.35">
      <c r="A1920" s="13" t="s">
        <v>2734</v>
      </c>
      <c r="B1920" s="13" t="s">
        <v>90</v>
      </c>
      <c r="C1920" s="13" t="s">
        <v>91</v>
      </c>
      <c r="D1920" s="13" t="s">
        <v>76</v>
      </c>
      <c r="E1920" s="13" t="s">
        <v>53</v>
      </c>
      <c r="F1920" s="13" t="s">
        <v>54</v>
      </c>
      <c r="G1920" s="13" t="s">
        <v>92</v>
      </c>
      <c r="H1920">
        <v>95000</v>
      </c>
      <c r="I1920" s="13" t="s">
        <v>93</v>
      </c>
      <c r="J1920" s="13" t="s">
        <v>94</v>
      </c>
      <c r="K1920" s="13" t="s">
        <v>81</v>
      </c>
      <c r="L1920" s="13" t="s">
        <v>95</v>
      </c>
      <c r="M1920">
        <v>30</v>
      </c>
      <c r="N1920">
        <v>0</v>
      </c>
      <c r="O1920" s="14">
        <v>46010</v>
      </c>
      <c r="P1920" s="14">
        <v>46040</v>
      </c>
      <c r="Q1920">
        <v>564.21</v>
      </c>
      <c r="R1920">
        <v>0</v>
      </c>
      <c r="S1920">
        <v>0</v>
      </c>
      <c r="T1920">
        <v>0</v>
      </c>
      <c r="U1920">
        <v>0</v>
      </c>
      <c r="V1920">
        <v>564.21</v>
      </c>
      <c r="W1920">
        <v>0</v>
      </c>
      <c r="X1920">
        <v>1</v>
      </c>
      <c r="Y1920">
        <v>0</v>
      </c>
      <c r="Z1920">
        <v>-18</v>
      </c>
      <c r="AA1920">
        <v>1</v>
      </c>
      <c r="AB1920" s="13" t="s">
        <v>581</v>
      </c>
      <c r="AC1920">
        <v>0</v>
      </c>
      <c r="AD1920">
        <v>0</v>
      </c>
      <c r="AE1920" s="13" t="s">
        <v>61</v>
      </c>
    </row>
    <row r="1921" spans="1:31" x14ac:dyDescent="0.35">
      <c r="A1921" s="13" t="s">
        <v>2735</v>
      </c>
      <c r="B1921" s="13" t="s">
        <v>244</v>
      </c>
      <c r="C1921" s="13" t="s">
        <v>245</v>
      </c>
      <c r="D1921" s="13" t="s">
        <v>52</v>
      </c>
      <c r="E1921" s="13" t="s">
        <v>65</v>
      </c>
      <c r="F1921" s="13" t="s">
        <v>111</v>
      </c>
      <c r="G1921" s="13" t="s">
        <v>55</v>
      </c>
      <c r="H1921">
        <v>590000</v>
      </c>
      <c r="I1921" s="13" t="s">
        <v>86</v>
      </c>
      <c r="J1921" s="13" t="s">
        <v>87</v>
      </c>
      <c r="K1921" s="13" t="s">
        <v>58</v>
      </c>
      <c r="L1921" s="13" t="s">
        <v>59</v>
      </c>
      <c r="M1921">
        <v>45</v>
      </c>
      <c r="N1921">
        <v>0</v>
      </c>
      <c r="O1921" s="14">
        <v>46013</v>
      </c>
      <c r="P1921" s="14">
        <v>46058</v>
      </c>
      <c r="Q1921">
        <v>11627.73</v>
      </c>
      <c r="R1921">
        <v>0</v>
      </c>
      <c r="S1921">
        <v>0</v>
      </c>
      <c r="T1921">
        <v>0</v>
      </c>
      <c r="U1921">
        <v>0</v>
      </c>
      <c r="V1921">
        <v>11627.73</v>
      </c>
      <c r="W1921">
        <v>0</v>
      </c>
      <c r="X1921">
        <v>1</v>
      </c>
      <c r="Y1921">
        <v>0</v>
      </c>
      <c r="Z1921">
        <v>-36</v>
      </c>
      <c r="AA1921">
        <v>1</v>
      </c>
      <c r="AB1921" s="13" t="s">
        <v>581</v>
      </c>
      <c r="AC1921">
        <v>0</v>
      </c>
      <c r="AD1921">
        <v>0</v>
      </c>
      <c r="AE1921" s="13" t="s">
        <v>61</v>
      </c>
    </row>
    <row r="1922" spans="1:31" x14ac:dyDescent="0.35">
      <c r="A1922" s="13" t="s">
        <v>2736</v>
      </c>
      <c r="B1922" s="13" t="s">
        <v>1992</v>
      </c>
      <c r="C1922" s="13" t="s">
        <v>1993</v>
      </c>
      <c r="D1922" s="13" t="s">
        <v>76</v>
      </c>
      <c r="E1922" s="13" t="s">
        <v>71</v>
      </c>
      <c r="F1922" s="13" t="s">
        <v>214</v>
      </c>
      <c r="G1922" s="13" t="s">
        <v>67</v>
      </c>
      <c r="H1922">
        <v>90000</v>
      </c>
      <c r="I1922" s="13" t="s">
        <v>93</v>
      </c>
      <c r="J1922" s="13" t="s">
        <v>94</v>
      </c>
      <c r="K1922" s="13" t="s">
        <v>81</v>
      </c>
      <c r="L1922" s="13" t="s">
        <v>82</v>
      </c>
      <c r="M1922">
        <v>30</v>
      </c>
      <c r="N1922">
        <v>2</v>
      </c>
      <c r="O1922" s="14">
        <v>46013</v>
      </c>
      <c r="P1922" s="14">
        <v>46043</v>
      </c>
      <c r="Q1922">
        <v>2195.64</v>
      </c>
      <c r="R1922">
        <v>0</v>
      </c>
      <c r="S1922">
        <v>0</v>
      </c>
      <c r="T1922">
        <v>0</v>
      </c>
      <c r="U1922">
        <v>0</v>
      </c>
      <c r="V1922">
        <v>2195.64</v>
      </c>
      <c r="W1922">
        <v>0</v>
      </c>
      <c r="X1922">
        <v>1</v>
      </c>
      <c r="Y1922">
        <v>0</v>
      </c>
      <c r="Z1922">
        <v>-21</v>
      </c>
      <c r="AA1922">
        <v>1</v>
      </c>
      <c r="AB1922" s="13" t="s">
        <v>581</v>
      </c>
      <c r="AC1922">
        <v>0</v>
      </c>
      <c r="AD1922">
        <v>0</v>
      </c>
      <c r="AE1922" s="13" t="s">
        <v>61</v>
      </c>
    </row>
    <row r="1923" spans="1:31" x14ac:dyDescent="0.35">
      <c r="A1923" s="13" t="s">
        <v>2737</v>
      </c>
      <c r="B1923" s="13" t="s">
        <v>1995</v>
      </c>
      <c r="C1923" s="13" t="s">
        <v>1996</v>
      </c>
      <c r="D1923" s="13" t="s">
        <v>76</v>
      </c>
      <c r="E1923" s="13" t="s">
        <v>65</v>
      </c>
      <c r="F1923" s="13" t="s">
        <v>66</v>
      </c>
      <c r="G1923" s="13" t="s">
        <v>55</v>
      </c>
      <c r="H1923">
        <v>75000</v>
      </c>
      <c r="I1923" s="13" t="s">
        <v>79</v>
      </c>
      <c r="J1923" s="13" t="s">
        <v>80</v>
      </c>
      <c r="K1923" s="13" t="s">
        <v>81</v>
      </c>
      <c r="L1923" s="13" t="s">
        <v>82</v>
      </c>
      <c r="M1923">
        <v>30</v>
      </c>
      <c r="N1923">
        <v>2</v>
      </c>
      <c r="O1923" s="14">
        <v>46013</v>
      </c>
      <c r="P1923" s="14">
        <v>46043</v>
      </c>
      <c r="Q1923">
        <v>4467.2700000000004</v>
      </c>
      <c r="R1923">
        <v>0</v>
      </c>
      <c r="S1923">
        <v>0</v>
      </c>
      <c r="T1923">
        <v>0</v>
      </c>
      <c r="U1923">
        <v>0</v>
      </c>
      <c r="V1923">
        <v>4467.2700000000004</v>
      </c>
      <c r="W1923">
        <v>0</v>
      </c>
      <c r="X1923">
        <v>1</v>
      </c>
      <c r="Y1923">
        <v>0</v>
      </c>
      <c r="Z1923">
        <v>-21</v>
      </c>
      <c r="AA1923">
        <v>1</v>
      </c>
      <c r="AB1923" s="13" t="s">
        <v>581</v>
      </c>
      <c r="AC1923">
        <v>0</v>
      </c>
      <c r="AD1923">
        <v>0</v>
      </c>
      <c r="AE1923" s="13" t="s">
        <v>61</v>
      </c>
    </row>
    <row r="1924" spans="1:31" x14ac:dyDescent="0.35">
      <c r="A1924" s="13" t="s">
        <v>2738</v>
      </c>
      <c r="B1924" s="13" t="s">
        <v>1285</v>
      </c>
      <c r="C1924" s="13" t="s">
        <v>1286</v>
      </c>
      <c r="D1924" s="13" t="s">
        <v>76</v>
      </c>
      <c r="E1924" s="13" t="s">
        <v>53</v>
      </c>
      <c r="F1924" s="13" t="s">
        <v>54</v>
      </c>
      <c r="G1924" s="13" t="s">
        <v>55</v>
      </c>
      <c r="H1924">
        <v>105000</v>
      </c>
      <c r="I1924" s="13" t="s">
        <v>79</v>
      </c>
      <c r="J1924" s="13" t="s">
        <v>80</v>
      </c>
      <c r="K1924" s="13" t="s">
        <v>81</v>
      </c>
      <c r="L1924" s="13" t="s">
        <v>95</v>
      </c>
      <c r="M1924">
        <v>30</v>
      </c>
      <c r="N1924">
        <v>0</v>
      </c>
      <c r="O1924" s="14">
        <v>46013</v>
      </c>
      <c r="P1924" s="14">
        <v>46043</v>
      </c>
      <c r="Q1924">
        <v>1035.2</v>
      </c>
      <c r="R1924">
        <v>0</v>
      </c>
      <c r="S1924">
        <v>0</v>
      </c>
      <c r="T1924">
        <v>0</v>
      </c>
      <c r="U1924">
        <v>0</v>
      </c>
      <c r="V1924">
        <v>1035.2</v>
      </c>
      <c r="W1924">
        <v>0</v>
      </c>
      <c r="X1924">
        <v>1</v>
      </c>
      <c r="Y1924">
        <v>0</v>
      </c>
      <c r="Z1924">
        <v>-21</v>
      </c>
      <c r="AA1924">
        <v>1</v>
      </c>
      <c r="AB1924" s="13" t="s">
        <v>581</v>
      </c>
      <c r="AC1924">
        <v>0</v>
      </c>
      <c r="AD1924">
        <v>0</v>
      </c>
      <c r="AE1924" s="13" t="s">
        <v>61</v>
      </c>
    </row>
    <row r="1925" spans="1:31" x14ac:dyDescent="0.35">
      <c r="A1925" s="13" t="s">
        <v>2739</v>
      </c>
      <c r="B1925" s="13" t="s">
        <v>2622</v>
      </c>
      <c r="C1925" s="13" t="s">
        <v>2623</v>
      </c>
      <c r="D1925" s="13" t="s">
        <v>104</v>
      </c>
      <c r="E1925" s="13" t="s">
        <v>65</v>
      </c>
      <c r="F1925" s="13" t="s">
        <v>111</v>
      </c>
      <c r="G1925" s="13" t="s">
        <v>67</v>
      </c>
      <c r="H1925">
        <v>145000</v>
      </c>
      <c r="I1925" s="13" t="s">
        <v>105</v>
      </c>
      <c r="J1925" s="13" t="s">
        <v>106</v>
      </c>
      <c r="K1925" s="13" t="s">
        <v>107</v>
      </c>
      <c r="L1925" s="13" t="s">
        <v>95</v>
      </c>
      <c r="M1925">
        <v>30</v>
      </c>
      <c r="N1925">
        <v>0</v>
      </c>
      <c r="O1925" s="14">
        <v>46013</v>
      </c>
      <c r="P1925" s="14">
        <v>46043</v>
      </c>
      <c r="Q1925">
        <v>4470.59</v>
      </c>
      <c r="R1925">
        <v>0</v>
      </c>
      <c r="S1925">
        <v>0</v>
      </c>
      <c r="T1925">
        <v>0</v>
      </c>
      <c r="U1925">
        <v>0</v>
      </c>
      <c r="V1925">
        <v>4470.59</v>
      </c>
      <c r="W1925">
        <v>0</v>
      </c>
      <c r="X1925">
        <v>1</v>
      </c>
      <c r="Y1925">
        <v>0</v>
      </c>
      <c r="Z1925">
        <v>-21</v>
      </c>
      <c r="AA1925">
        <v>1</v>
      </c>
      <c r="AB1925" s="13" t="s">
        <v>581</v>
      </c>
      <c r="AC1925">
        <v>0</v>
      </c>
      <c r="AD1925">
        <v>0</v>
      </c>
      <c r="AE1925" s="13" t="s">
        <v>61</v>
      </c>
    </row>
    <row r="1926" spans="1:31" x14ac:dyDescent="0.35">
      <c r="A1926" s="13" t="s">
        <v>2740</v>
      </c>
      <c r="B1926" s="13" t="s">
        <v>702</v>
      </c>
      <c r="C1926" s="13" t="s">
        <v>703</v>
      </c>
      <c r="D1926" s="13" t="s">
        <v>52</v>
      </c>
      <c r="E1926" s="13" t="s">
        <v>65</v>
      </c>
      <c r="F1926" s="13" t="s">
        <v>111</v>
      </c>
      <c r="G1926" s="13" t="s">
        <v>67</v>
      </c>
      <c r="H1926">
        <v>435000</v>
      </c>
      <c r="I1926" s="13" t="s">
        <v>86</v>
      </c>
      <c r="J1926" s="13" t="s">
        <v>87</v>
      </c>
      <c r="K1926" s="13" t="s">
        <v>58</v>
      </c>
      <c r="L1926" s="13" t="s">
        <v>59</v>
      </c>
      <c r="M1926">
        <v>45</v>
      </c>
      <c r="N1926">
        <v>0</v>
      </c>
      <c r="O1926" s="14">
        <v>46013</v>
      </c>
      <c r="P1926" s="14">
        <v>46058</v>
      </c>
      <c r="Q1926">
        <v>7964.51</v>
      </c>
      <c r="R1926">
        <v>0</v>
      </c>
      <c r="S1926">
        <v>0</v>
      </c>
      <c r="T1926">
        <v>0</v>
      </c>
      <c r="U1926">
        <v>0</v>
      </c>
      <c r="V1926">
        <v>7964.51</v>
      </c>
      <c r="W1926">
        <v>0</v>
      </c>
      <c r="X1926">
        <v>1</v>
      </c>
      <c r="Y1926">
        <v>0</v>
      </c>
      <c r="Z1926">
        <v>-36</v>
      </c>
      <c r="AA1926">
        <v>1</v>
      </c>
      <c r="AB1926" s="13" t="s">
        <v>581</v>
      </c>
      <c r="AC1926">
        <v>0</v>
      </c>
      <c r="AD1926">
        <v>0</v>
      </c>
      <c r="AE1926" s="13" t="s">
        <v>61</v>
      </c>
    </row>
    <row r="1927" spans="1:31" x14ac:dyDescent="0.35">
      <c r="A1927" s="13" t="s">
        <v>2741</v>
      </c>
      <c r="B1927" s="13" t="s">
        <v>1807</v>
      </c>
      <c r="C1927" s="13" t="s">
        <v>1808</v>
      </c>
      <c r="D1927" s="13" t="s">
        <v>76</v>
      </c>
      <c r="E1927" s="13" t="s">
        <v>65</v>
      </c>
      <c r="F1927" s="13" t="s">
        <v>66</v>
      </c>
      <c r="G1927" s="13" t="s">
        <v>55</v>
      </c>
      <c r="H1927">
        <v>45000</v>
      </c>
      <c r="I1927" s="13" t="s">
        <v>93</v>
      </c>
      <c r="J1927" s="13" t="s">
        <v>94</v>
      </c>
      <c r="K1927" s="13" t="s">
        <v>81</v>
      </c>
      <c r="L1927" s="13" t="s">
        <v>95</v>
      </c>
      <c r="M1927">
        <v>30</v>
      </c>
      <c r="N1927">
        <v>0</v>
      </c>
      <c r="O1927" s="14">
        <v>46013</v>
      </c>
      <c r="P1927" s="14">
        <v>46043</v>
      </c>
      <c r="Q1927">
        <v>1728.48</v>
      </c>
      <c r="R1927">
        <v>0</v>
      </c>
      <c r="S1927">
        <v>0</v>
      </c>
      <c r="T1927">
        <v>0</v>
      </c>
      <c r="U1927">
        <v>0</v>
      </c>
      <c r="V1927">
        <v>1728.48</v>
      </c>
      <c r="W1927">
        <v>0</v>
      </c>
      <c r="X1927">
        <v>1</v>
      </c>
      <c r="Y1927">
        <v>0</v>
      </c>
      <c r="Z1927">
        <v>-21</v>
      </c>
      <c r="AA1927">
        <v>1</v>
      </c>
      <c r="AB1927" s="13" t="s">
        <v>581</v>
      </c>
      <c r="AC1927">
        <v>0</v>
      </c>
      <c r="AD1927">
        <v>0</v>
      </c>
      <c r="AE1927" s="13" t="s">
        <v>61</v>
      </c>
    </row>
    <row r="1928" spans="1:31" x14ac:dyDescent="0.35">
      <c r="A1928" s="13" t="s">
        <v>2742</v>
      </c>
      <c r="B1928" s="13" t="s">
        <v>273</v>
      </c>
      <c r="C1928" s="13" t="s">
        <v>274</v>
      </c>
      <c r="D1928" s="13" t="s">
        <v>104</v>
      </c>
      <c r="E1928" s="13" t="s">
        <v>71</v>
      </c>
      <c r="F1928" s="13" t="s">
        <v>72</v>
      </c>
      <c r="G1928" s="13" t="s">
        <v>92</v>
      </c>
      <c r="H1928">
        <v>120000</v>
      </c>
      <c r="I1928" s="13" t="s">
        <v>105</v>
      </c>
      <c r="J1928" s="13" t="s">
        <v>106</v>
      </c>
      <c r="K1928" s="13" t="s">
        <v>107</v>
      </c>
      <c r="L1928" s="13" t="s">
        <v>88</v>
      </c>
      <c r="M1928">
        <v>60</v>
      </c>
      <c r="N1928">
        <v>0</v>
      </c>
      <c r="O1928" s="14">
        <v>46013</v>
      </c>
      <c r="P1928" s="14">
        <v>46073</v>
      </c>
      <c r="Q1928">
        <v>894.29</v>
      </c>
      <c r="R1928">
        <v>0</v>
      </c>
      <c r="S1928">
        <v>0</v>
      </c>
      <c r="T1928">
        <v>0</v>
      </c>
      <c r="U1928">
        <v>0</v>
      </c>
      <c r="V1928">
        <v>894.29</v>
      </c>
      <c r="W1928">
        <v>0</v>
      </c>
      <c r="X1928">
        <v>1</v>
      </c>
      <c r="Y1928">
        <v>0</v>
      </c>
      <c r="Z1928">
        <v>-51</v>
      </c>
      <c r="AA1928">
        <v>1</v>
      </c>
      <c r="AB1928" s="13" t="s">
        <v>581</v>
      </c>
      <c r="AC1928">
        <v>0</v>
      </c>
      <c r="AD1928">
        <v>0</v>
      </c>
      <c r="AE1928" s="13" t="s">
        <v>61</v>
      </c>
    </row>
    <row r="1929" spans="1:31" x14ac:dyDescent="0.35">
      <c r="A1929" s="13" t="s">
        <v>2743</v>
      </c>
      <c r="B1929" s="13" t="s">
        <v>222</v>
      </c>
      <c r="C1929" s="13" t="s">
        <v>223</v>
      </c>
      <c r="D1929" s="13" t="s">
        <v>52</v>
      </c>
      <c r="E1929" s="13" t="s">
        <v>65</v>
      </c>
      <c r="F1929" s="13" t="s">
        <v>66</v>
      </c>
      <c r="G1929" s="13" t="s">
        <v>92</v>
      </c>
      <c r="H1929">
        <v>430000</v>
      </c>
      <c r="I1929" s="13" t="s">
        <v>56</v>
      </c>
      <c r="J1929" s="13" t="s">
        <v>57</v>
      </c>
      <c r="K1929" s="13" t="s">
        <v>58</v>
      </c>
      <c r="L1929" s="13" t="s">
        <v>59</v>
      </c>
      <c r="M1929">
        <v>45</v>
      </c>
      <c r="N1929">
        <v>0</v>
      </c>
      <c r="O1929" s="14">
        <v>46013</v>
      </c>
      <c r="P1929" s="14">
        <v>46058</v>
      </c>
      <c r="Q1929">
        <v>6667.41</v>
      </c>
      <c r="R1929">
        <v>0</v>
      </c>
      <c r="S1929">
        <v>0</v>
      </c>
      <c r="T1929">
        <v>0</v>
      </c>
      <c r="U1929">
        <v>0</v>
      </c>
      <c r="V1929">
        <v>6667.41</v>
      </c>
      <c r="W1929">
        <v>0</v>
      </c>
      <c r="X1929">
        <v>1</v>
      </c>
      <c r="Y1929">
        <v>0</v>
      </c>
      <c r="Z1929">
        <v>-36</v>
      </c>
      <c r="AA1929">
        <v>1</v>
      </c>
      <c r="AB1929" s="13" t="s">
        <v>581</v>
      </c>
      <c r="AC1929">
        <v>0</v>
      </c>
      <c r="AD1929">
        <v>0</v>
      </c>
      <c r="AE1929" s="13" t="s">
        <v>61</v>
      </c>
    </row>
    <row r="1930" spans="1:31" x14ac:dyDescent="0.35">
      <c r="A1930" s="13" t="s">
        <v>2744</v>
      </c>
      <c r="B1930" s="13" t="s">
        <v>1292</v>
      </c>
      <c r="C1930" s="13" t="s">
        <v>1293</v>
      </c>
      <c r="D1930" s="13" t="s">
        <v>104</v>
      </c>
      <c r="E1930" s="13" t="s">
        <v>53</v>
      </c>
      <c r="F1930" s="13" t="s">
        <v>135</v>
      </c>
      <c r="G1930" s="13" t="s">
        <v>67</v>
      </c>
      <c r="H1930">
        <v>35000</v>
      </c>
      <c r="I1930" s="13" t="s">
        <v>105</v>
      </c>
      <c r="J1930" s="13" t="s">
        <v>106</v>
      </c>
      <c r="K1930" s="13" t="s">
        <v>107</v>
      </c>
      <c r="L1930" s="13" t="s">
        <v>88</v>
      </c>
      <c r="M1930">
        <v>60</v>
      </c>
      <c r="N1930">
        <v>0</v>
      </c>
      <c r="O1930" s="14">
        <v>46013</v>
      </c>
      <c r="P1930" s="14">
        <v>46073</v>
      </c>
      <c r="Q1930">
        <v>819.38</v>
      </c>
      <c r="R1930">
        <v>0</v>
      </c>
      <c r="S1930">
        <v>0</v>
      </c>
      <c r="T1930">
        <v>0</v>
      </c>
      <c r="U1930">
        <v>0</v>
      </c>
      <c r="V1930">
        <v>819.38</v>
      </c>
      <c r="W1930">
        <v>0</v>
      </c>
      <c r="X1930">
        <v>1</v>
      </c>
      <c r="Y1930">
        <v>0</v>
      </c>
      <c r="Z1930">
        <v>-51</v>
      </c>
      <c r="AA1930">
        <v>1</v>
      </c>
      <c r="AB1930" s="13" t="s">
        <v>581</v>
      </c>
      <c r="AC1930">
        <v>0</v>
      </c>
      <c r="AD1930">
        <v>0</v>
      </c>
      <c r="AE1930" s="13" t="s">
        <v>61</v>
      </c>
    </row>
    <row r="1931" spans="1:31" x14ac:dyDescent="0.35">
      <c r="A1931" s="13" t="s">
        <v>2745</v>
      </c>
      <c r="B1931" s="13" t="s">
        <v>267</v>
      </c>
      <c r="C1931" s="13" t="s">
        <v>268</v>
      </c>
      <c r="D1931" s="13" t="s">
        <v>52</v>
      </c>
      <c r="E1931" s="13" t="s">
        <v>99</v>
      </c>
      <c r="F1931" s="13" t="s">
        <v>100</v>
      </c>
      <c r="G1931" s="13" t="s">
        <v>67</v>
      </c>
      <c r="H1931">
        <v>265000</v>
      </c>
      <c r="I1931" s="13" t="s">
        <v>86</v>
      </c>
      <c r="J1931" s="13" t="s">
        <v>87</v>
      </c>
      <c r="K1931" s="13" t="s">
        <v>58</v>
      </c>
      <c r="L1931" s="13" t="s">
        <v>59</v>
      </c>
      <c r="M1931">
        <v>45</v>
      </c>
      <c r="N1931">
        <v>0</v>
      </c>
      <c r="O1931" s="14">
        <v>46013</v>
      </c>
      <c r="P1931" s="14">
        <v>46058</v>
      </c>
      <c r="Q1931">
        <v>8594.0499999999993</v>
      </c>
      <c r="R1931">
        <v>0</v>
      </c>
      <c r="S1931">
        <v>0</v>
      </c>
      <c r="T1931">
        <v>0</v>
      </c>
      <c r="U1931">
        <v>0</v>
      </c>
      <c r="V1931">
        <v>8594.0499999999993</v>
      </c>
      <c r="W1931">
        <v>0</v>
      </c>
      <c r="X1931">
        <v>1</v>
      </c>
      <c r="Y1931">
        <v>0</v>
      </c>
      <c r="Z1931">
        <v>-36</v>
      </c>
      <c r="AA1931">
        <v>1</v>
      </c>
      <c r="AB1931" s="13" t="s">
        <v>581</v>
      </c>
      <c r="AC1931">
        <v>0</v>
      </c>
      <c r="AD1931">
        <v>0</v>
      </c>
      <c r="AE1931" s="13" t="s">
        <v>61</v>
      </c>
    </row>
    <row r="1932" spans="1:31" x14ac:dyDescent="0.35">
      <c r="A1932" s="13" t="s">
        <v>2746</v>
      </c>
      <c r="B1932" s="13" t="s">
        <v>636</v>
      </c>
      <c r="C1932" s="13" t="s">
        <v>637</v>
      </c>
      <c r="D1932" s="13" t="s">
        <v>126</v>
      </c>
      <c r="E1932" s="13" t="s">
        <v>65</v>
      </c>
      <c r="F1932" s="13" t="s">
        <v>111</v>
      </c>
      <c r="G1932" s="13" t="s">
        <v>67</v>
      </c>
      <c r="H1932">
        <v>130000</v>
      </c>
      <c r="I1932" s="13" t="s">
        <v>105</v>
      </c>
      <c r="J1932" s="13" t="s">
        <v>106</v>
      </c>
      <c r="K1932" s="13" t="s">
        <v>107</v>
      </c>
      <c r="L1932" s="13" t="s">
        <v>368</v>
      </c>
      <c r="M1932">
        <v>90</v>
      </c>
      <c r="N1932">
        <v>0</v>
      </c>
      <c r="O1932" s="14">
        <v>46013</v>
      </c>
      <c r="P1932" s="14">
        <v>46103</v>
      </c>
      <c r="Q1932">
        <v>5945.4</v>
      </c>
      <c r="R1932">
        <v>0</v>
      </c>
      <c r="S1932">
        <v>0</v>
      </c>
      <c r="T1932">
        <v>0</v>
      </c>
      <c r="U1932">
        <v>0</v>
      </c>
      <c r="V1932">
        <v>5945.4</v>
      </c>
      <c r="W1932">
        <v>0</v>
      </c>
      <c r="X1932">
        <v>1</v>
      </c>
      <c r="Y1932">
        <v>0</v>
      </c>
      <c r="Z1932">
        <v>-81</v>
      </c>
      <c r="AA1932">
        <v>1</v>
      </c>
      <c r="AB1932" s="13" t="s">
        <v>581</v>
      </c>
      <c r="AC1932">
        <v>0</v>
      </c>
      <c r="AD1932">
        <v>0</v>
      </c>
      <c r="AE1932" s="13" t="s">
        <v>61</v>
      </c>
    </row>
    <row r="1933" spans="1:31" x14ac:dyDescent="0.35">
      <c r="A1933" s="13" t="s">
        <v>2747</v>
      </c>
      <c r="B1933" s="13" t="s">
        <v>994</v>
      </c>
      <c r="C1933" s="13" t="s">
        <v>995</v>
      </c>
      <c r="D1933" s="13" t="s">
        <v>52</v>
      </c>
      <c r="E1933" s="13" t="s">
        <v>71</v>
      </c>
      <c r="F1933" s="13" t="s">
        <v>214</v>
      </c>
      <c r="G1933" s="13" t="s">
        <v>67</v>
      </c>
      <c r="H1933">
        <v>275000</v>
      </c>
      <c r="I1933" s="13" t="s">
        <v>86</v>
      </c>
      <c r="J1933" s="13" t="s">
        <v>87</v>
      </c>
      <c r="K1933" s="13" t="s">
        <v>58</v>
      </c>
      <c r="L1933" s="13" t="s">
        <v>88</v>
      </c>
      <c r="M1933">
        <v>60</v>
      </c>
      <c r="N1933">
        <v>0</v>
      </c>
      <c r="O1933" s="14">
        <v>46013</v>
      </c>
      <c r="P1933" s="14">
        <v>46073</v>
      </c>
      <c r="Q1933">
        <v>7926.3</v>
      </c>
      <c r="R1933">
        <v>0</v>
      </c>
      <c r="S1933">
        <v>0</v>
      </c>
      <c r="T1933">
        <v>0</v>
      </c>
      <c r="U1933">
        <v>0</v>
      </c>
      <c r="V1933">
        <v>7926.3</v>
      </c>
      <c r="W1933">
        <v>0</v>
      </c>
      <c r="X1933">
        <v>1</v>
      </c>
      <c r="Y1933">
        <v>0</v>
      </c>
      <c r="Z1933">
        <v>-51</v>
      </c>
      <c r="AA1933">
        <v>1</v>
      </c>
      <c r="AB1933" s="13" t="s">
        <v>581</v>
      </c>
      <c r="AC1933">
        <v>0</v>
      </c>
      <c r="AD1933">
        <v>0</v>
      </c>
      <c r="AE1933" s="13" t="s">
        <v>61</v>
      </c>
    </row>
    <row r="1934" spans="1:31" x14ac:dyDescent="0.35">
      <c r="A1934" s="13" t="s">
        <v>2748</v>
      </c>
      <c r="B1934" s="13" t="s">
        <v>478</v>
      </c>
      <c r="C1934" s="13" t="s">
        <v>479</v>
      </c>
      <c r="D1934" s="13" t="s">
        <v>52</v>
      </c>
      <c r="E1934" s="13" t="s">
        <v>77</v>
      </c>
      <c r="F1934" s="13" t="s">
        <v>174</v>
      </c>
      <c r="G1934" s="13" t="s">
        <v>55</v>
      </c>
      <c r="H1934">
        <v>385000</v>
      </c>
      <c r="I1934" s="13" t="s">
        <v>86</v>
      </c>
      <c r="J1934" s="13" t="s">
        <v>87</v>
      </c>
      <c r="K1934" s="13" t="s">
        <v>58</v>
      </c>
      <c r="L1934" s="13" t="s">
        <v>88</v>
      </c>
      <c r="M1934">
        <v>60</v>
      </c>
      <c r="N1934">
        <v>0</v>
      </c>
      <c r="O1934" s="14">
        <v>46013</v>
      </c>
      <c r="P1934" s="14">
        <v>46073</v>
      </c>
      <c r="Q1934">
        <v>15993.6</v>
      </c>
      <c r="R1934">
        <v>0</v>
      </c>
      <c r="S1934">
        <v>0</v>
      </c>
      <c r="T1934">
        <v>0</v>
      </c>
      <c r="U1934">
        <v>0</v>
      </c>
      <c r="V1934">
        <v>15993.6</v>
      </c>
      <c r="W1934">
        <v>0</v>
      </c>
      <c r="X1934">
        <v>1</v>
      </c>
      <c r="Y1934">
        <v>0</v>
      </c>
      <c r="Z1934">
        <v>-51</v>
      </c>
      <c r="AA1934">
        <v>1</v>
      </c>
      <c r="AB1934" s="13" t="s">
        <v>581</v>
      </c>
      <c r="AC1934">
        <v>0</v>
      </c>
      <c r="AD1934">
        <v>0</v>
      </c>
      <c r="AE1934" s="13" t="s">
        <v>61</v>
      </c>
    </row>
    <row r="1935" spans="1:31" x14ac:dyDescent="0.35">
      <c r="A1935" s="13" t="s">
        <v>2749</v>
      </c>
      <c r="B1935" s="13" t="s">
        <v>1115</v>
      </c>
      <c r="C1935" s="13" t="s">
        <v>1116</v>
      </c>
      <c r="D1935" s="13" t="s">
        <v>52</v>
      </c>
      <c r="E1935" s="13" t="s">
        <v>65</v>
      </c>
      <c r="F1935" s="13" t="s">
        <v>66</v>
      </c>
      <c r="G1935" s="13" t="s">
        <v>92</v>
      </c>
      <c r="H1935">
        <v>300000</v>
      </c>
      <c r="I1935" s="13" t="s">
        <v>56</v>
      </c>
      <c r="J1935" s="13" t="s">
        <v>57</v>
      </c>
      <c r="K1935" s="13" t="s">
        <v>58</v>
      </c>
      <c r="L1935" s="13" t="s">
        <v>59</v>
      </c>
      <c r="M1935">
        <v>45</v>
      </c>
      <c r="N1935">
        <v>0</v>
      </c>
      <c r="O1935" s="14">
        <v>46013</v>
      </c>
      <c r="P1935" s="14">
        <v>46058</v>
      </c>
      <c r="Q1935">
        <v>5570.76</v>
      </c>
      <c r="R1935">
        <v>0</v>
      </c>
      <c r="S1935">
        <v>0</v>
      </c>
      <c r="T1935">
        <v>0</v>
      </c>
      <c r="U1935">
        <v>0</v>
      </c>
      <c r="V1935">
        <v>5570.76</v>
      </c>
      <c r="W1935">
        <v>0</v>
      </c>
      <c r="X1935">
        <v>1</v>
      </c>
      <c r="Y1935">
        <v>0</v>
      </c>
      <c r="Z1935">
        <v>-36</v>
      </c>
      <c r="AA1935">
        <v>1</v>
      </c>
      <c r="AB1935" s="13" t="s">
        <v>581</v>
      </c>
      <c r="AC1935">
        <v>0</v>
      </c>
      <c r="AD1935">
        <v>0</v>
      </c>
      <c r="AE1935" s="13" t="s">
        <v>61</v>
      </c>
    </row>
    <row r="1936" spans="1:31" x14ac:dyDescent="0.35">
      <c r="A1936" s="13" t="s">
        <v>2750</v>
      </c>
      <c r="B1936" s="13" t="s">
        <v>1424</v>
      </c>
      <c r="C1936" s="13" t="s">
        <v>1425</v>
      </c>
      <c r="D1936" s="13" t="s">
        <v>76</v>
      </c>
      <c r="E1936" s="13" t="s">
        <v>77</v>
      </c>
      <c r="F1936" s="13" t="s">
        <v>174</v>
      </c>
      <c r="G1936" s="13" t="s">
        <v>55</v>
      </c>
      <c r="H1936">
        <v>120000</v>
      </c>
      <c r="I1936" s="13" t="s">
        <v>79</v>
      </c>
      <c r="J1936" s="13" t="s">
        <v>80</v>
      </c>
      <c r="K1936" s="13" t="s">
        <v>81</v>
      </c>
      <c r="L1936" s="13" t="s">
        <v>82</v>
      </c>
      <c r="M1936">
        <v>30</v>
      </c>
      <c r="N1936">
        <v>2</v>
      </c>
      <c r="O1936" s="14">
        <v>46013</v>
      </c>
      <c r="P1936" s="14">
        <v>46043</v>
      </c>
      <c r="Q1936">
        <v>4636.32</v>
      </c>
      <c r="R1936">
        <v>0</v>
      </c>
      <c r="S1936">
        <v>0</v>
      </c>
      <c r="T1936">
        <v>0</v>
      </c>
      <c r="U1936">
        <v>0</v>
      </c>
      <c r="V1936">
        <v>4636.32</v>
      </c>
      <c r="W1936">
        <v>0</v>
      </c>
      <c r="X1936">
        <v>1</v>
      </c>
      <c r="Y1936">
        <v>0</v>
      </c>
      <c r="Z1936">
        <v>-21</v>
      </c>
      <c r="AA1936">
        <v>1</v>
      </c>
      <c r="AB1936" s="13" t="s">
        <v>581</v>
      </c>
      <c r="AC1936">
        <v>0</v>
      </c>
      <c r="AD1936">
        <v>0</v>
      </c>
      <c r="AE1936" s="13" t="s">
        <v>61</v>
      </c>
    </row>
    <row r="1937" spans="1:31" x14ac:dyDescent="0.35">
      <c r="A1937" s="13" t="s">
        <v>2751</v>
      </c>
      <c r="B1937" s="13" t="s">
        <v>2250</v>
      </c>
      <c r="C1937" s="13" t="s">
        <v>2251</v>
      </c>
      <c r="D1937" s="13" t="s">
        <v>104</v>
      </c>
      <c r="E1937" s="13" t="s">
        <v>71</v>
      </c>
      <c r="F1937" s="13" t="s">
        <v>214</v>
      </c>
      <c r="G1937" s="13" t="s">
        <v>55</v>
      </c>
      <c r="H1937">
        <v>75000</v>
      </c>
      <c r="I1937" s="13" t="s">
        <v>105</v>
      </c>
      <c r="J1937" s="13" t="s">
        <v>106</v>
      </c>
      <c r="K1937" s="13" t="s">
        <v>107</v>
      </c>
      <c r="L1937" s="13" t="s">
        <v>82</v>
      </c>
      <c r="M1937">
        <v>30</v>
      </c>
      <c r="N1937">
        <v>2</v>
      </c>
      <c r="O1937" s="14">
        <v>46013</v>
      </c>
      <c r="P1937" s="14">
        <v>46043</v>
      </c>
      <c r="Q1937">
        <v>1162.78</v>
      </c>
      <c r="R1937">
        <v>0</v>
      </c>
      <c r="S1937">
        <v>0</v>
      </c>
      <c r="T1937">
        <v>0</v>
      </c>
      <c r="U1937">
        <v>0</v>
      </c>
      <c r="V1937">
        <v>1162.78</v>
      </c>
      <c r="W1937">
        <v>0</v>
      </c>
      <c r="X1937">
        <v>1</v>
      </c>
      <c r="Y1937">
        <v>0</v>
      </c>
      <c r="Z1937">
        <v>-21</v>
      </c>
      <c r="AA1937">
        <v>1</v>
      </c>
      <c r="AB1937" s="13" t="s">
        <v>581</v>
      </c>
      <c r="AC1937">
        <v>0</v>
      </c>
      <c r="AD1937">
        <v>0</v>
      </c>
      <c r="AE1937" s="13" t="s">
        <v>61</v>
      </c>
    </row>
    <row r="1938" spans="1:31" x14ac:dyDescent="0.35">
      <c r="A1938" s="13" t="s">
        <v>2752</v>
      </c>
      <c r="B1938" s="13" t="s">
        <v>2253</v>
      </c>
      <c r="C1938" s="13" t="s">
        <v>2254</v>
      </c>
      <c r="D1938" s="13" t="s">
        <v>76</v>
      </c>
      <c r="E1938" s="13" t="s">
        <v>53</v>
      </c>
      <c r="F1938" s="13" t="s">
        <v>54</v>
      </c>
      <c r="G1938" s="13" t="s">
        <v>67</v>
      </c>
      <c r="H1938">
        <v>85000</v>
      </c>
      <c r="I1938" s="13" t="s">
        <v>93</v>
      </c>
      <c r="J1938" s="13" t="s">
        <v>94</v>
      </c>
      <c r="K1938" s="13" t="s">
        <v>81</v>
      </c>
      <c r="L1938" s="13" t="s">
        <v>82</v>
      </c>
      <c r="M1938">
        <v>30</v>
      </c>
      <c r="N1938">
        <v>2</v>
      </c>
      <c r="O1938" s="14">
        <v>46013</v>
      </c>
      <c r="P1938" s="14">
        <v>46043</v>
      </c>
      <c r="Q1938">
        <v>2911.47</v>
      </c>
      <c r="R1938">
        <v>0</v>
      </c>
      <c r="S1938">
        <v>0</v>
      </c>
      <c r="T1938">
        <v>0</v>
      </c>
      <c r="U1938">
        <v>0</v>
      </c>
      <c r="V1938">
        <v>2911.47</v>
      </c>
      <c r="W1938">
        <v>0</v>
      </c>
      <c r="X1938">
        <v>1</v>
      </c>
      <c r="Y1938">
        <v>0</v>
      </c>
      <c r="Z1938">
        <v>-21</v>
      </c>
      <c r="AA1938">
        <v>1</v>
      </c>
      <c r="AB1938" s="13" t="s">
        <v>581</v>
      </c>
      <c r="AC1938">
        <v>0</v>
      </c>
      <c r="AD1938">
        <v>0</v>
      </c>
      <c r="AE1938" s="13" t="s">
        <v>61</v>
      </c>
    </row>
    <row r="1939" spans="1:31" x14ac:dyDescent="0.35">
      <c r="A1939" s="13" t="s">
        <v>2753</v>
      </c>
      <c r="B1939" s="13" t="s">
        <v>1470</v>
      </c>
      <c r="C1939" s="13" t="s">
        <v>1471</v>
      </c>
      <c r="D1939" s="13" t="s">
        <v>52</v>
      </c>
      <c r="E1939" s="13" t="s">
        <v>77</v>
      </c>
      <c r="F1939" s="13" t="s">
        <v>78</v>
      </c>
      <c r="G1939" s="13" t="s">
        <v>67</v>
      </c>
      <c r="H1939">
        <v>385000</v>
      </c>
      <c r="I1939" s="13" t="s">
        <v>86</v>
      </c>
      <c r="J1939" s="13" t="s">
        <v>87</v>
      </c>
      <c r="K1939" s="13" t="s">
        <v>58</v>
      </c>
      <c r="L1939" s="13" t="s">
        <v>88</v>
      </c>
      <c r="M1939">
        <v>60</v>
      </c>
      <c r="N1939">
        <v>0</v>
      </c>
      <c r="O1939" s="14">
        <v>46013</v>
      </c>
      <c r="P1939" s="14">
        <v>46073</v>
      </c>
      <c r="Q1939">
        <v>2501.4299999999998</v>
      </c>
      <c r="R1939">
        <v>0</v>
      </c>
      <c r="S1939">
        <v>0</v>
      </c>
      <c r="T1939">
        <v>0</v>
      </c>
      <c r="U1939">
        <v>0</v>
      </c>
      <c r="V1939">
        <v>2501.4299999999998</v>
      </c>
      <c r="W1939">
        <v>0</v>
      </c>
      <c r="X1939">
        <v>1</v>
      </c>
      <c r="Y1939">
        <v>0</v>
      </c>
      <c r="Z1939">
        <v>-51</v>
      </c>
      <c r="AA1939">
        <v>1</v>
      </c>
      <c r="AB1939" s="13" t="s">
        <v>581</v>
      </c>
      <c r="AC1939">
        <v>0</v>
      </c>
      <c r="AD1939">
        <v>0</v>
      </c>
      <c r="AE1939" s="13" t="s">
        <v>61</v>
      </c>
    </row>
    <row r="1940" spans="1:31" x14ac:dyDescent="0.35">
      <c r="A1940" s="13" t="s">
        <v>2754</v>
      </c>
      <c r="B1940" s="13" t="s">
        <v>854</v>
      </c>
      <c r="C1940" s="13" t="s">
        <v>855</v>
      </c>
      <c r="D1940" s="13" t="s">
        <v>52</v>
      </c>
      <c r="E1940" s="13" t="s">
        <v>77</v>
      </c>
      <c r="F1940" s="13" t="s">
        <v>78</v>
      </c>
      <c r="G1940" s="13" t="s">
        <v>67</v>
      </c>
      <c r="H1940">
        <v>385000</v>
      </c>
      <c r="I1940" s="13" t="s">
        <v>86</v>
      </c>
      <c r="J1940" s="13" t="s">
        <v>87</v>
      </c>
      <c r="K1940" s="13" t="s">
        <v>58</v>
      </c>
      <c r="L1940" s="13" t="s">
        <v>88</v>
      </c>
      <c r="M1940">
        <v>60</v>
      </c>
      <c r="N1940">
        <v>0</v>
      </c>
      <c r="O1940" s="14">
        <v>46013</v>
      </c>
      <c r="P1940" s="14">
        <v>46073</v>
      </c>
      <c r="Q1940">
        <v>11156.52</v>
      </c>
      <c r="R1940">
        <v>0</v>
      </c>
      <c r="S1940">
        <v>0</v>
      </c>
      <c r="T1940">
        <v>0</v>
      </c>
      <c r="U1940">
        <v>0</v>
      </c>
      <c r="V1940">
        <v>11156.52</v>
      </c>
      <c r="W1940">
        <v>0</v>
      </c>
      <c r="X1940">
        <v>1</v>
      </c>
      <c r="Y1940">
        <v>0</v>
      </c>
      <c r="Z1940">
        <v>-51</v>
      </c>
      <c r="AA1940">
        <v>1</v>
      </c>
      <c r="AB1940" s="13" t="s">
        <v>581</v>
      </c>
      <c r="AC1940">
        <v>0</v>
      </c>
      <c r="AD1940">
        <v>0</v>
      </c>
      <c r="AE1940" s="13" t="s">
        <v>61</v>
      </c>
    </row>
    <row r="1941" spans="1:31" x14ac:dyDescent="0.35">
      <c r="A1941" s="13" t="s">
        <v>2755</v>
      </c>
      <c r="B1941" s="13" t="s">
        <v>109</v>
      </c>
      <c r="C1941" s="13" t="s">
        <v>110</v>
      </c>
      <c r="D1941" s="13" t="s">
        <v>52</v>
      </c>
      <c r="E1941" s="13" t="s">
        <v>65</v>
      </c>
      <c r="F1941" s="13" t="s">
        <v>111</v>
      </c>
      <c r="G1941" s="13" t="s">
        <v>67</v>
      </c>
      <c r="H1941">
        <v>455000</v>
      </c>
      <c r="I1941" s="13" t="s">
        <v>86</v>
      </c>
      <c r="J1941" s="13" t="s">
        <v>87</v>
      </c>
      <c r="K1941" s="13" t="s">
        <v>58</v>
      </c>
      <c r="L1941" s="13" t="s">
        <v>59</v>
      </c>
      <c r="M1941">
        <v>45</v>
      </c>
      <c r="N1941">
        <v>0</v>
      </c>
      <c r="O1941" s="14">
        <v>46013</v>
      </c>
      <c r="P1941" s="14">
        <v>46058</v>
      </c>
      <c r="Q1941">
        <v>2652.28</v>
      </c>
      <c r="R1941">
        <v>0</v>
      </c>
      <c r="S1941">
        <v>0</v>
      </c>
      <c r="T1941">
        <v>0</v>
      </c>
      <c r="U1941">
        <v>0</v>
      </c>
      <c r="V1941">
        <v>2652.28</v>
      </c>
      <c r="W1941">
        <v>0</v>
      </c>
      <c r="X1941">
        <v>1</v>
      </c>
      <c r="Y1941">
        <v>0</v>
      </c>
      <c r="Z1941">
        <v>-36</v>
      </c>
      <c r="AA1941">
        <v>1</v>
      </c>
      <c r="AB1941" s="13" t="s">
        <v>581</v>
      </c>
      <c r="AC1941">
        <v>0</v>
      </c>
      <c r="AD1941">
        <v>0</v>
      </c>
      <c r="AE1941" s="13" t="s">
        <v>61</v>
      </c>
    </row>
    <row r="1942" spans="1:31" x14ac:dyDescent="0.35">
      <c r="A1942" s="13" t="s">
        <v>2756</v>
      </c>
      <c r="B1942" s="13" t="s">
        <v>746</v>
      </c>
      <c r="C1942" s="13" t="s">
        <v>747</v>
      </c>
      <c r="D1942" s="13" t="s">
        <v>126</v>
      </c>
      <c r="E1942" s="13" t="s">
        <v>99</v>
      </c>
      <c r="F1942" s="13" t="s">
        <v>100</v>
      </c>
      <c r="G1942" s="13" t="s">
        <v>67</v>
      </c>
      <c r="H1942">
        <v>80000</v>
      </c>
      <c r="I1942" s="13" t="s">
        <v>121</v>
      </c>
      <c r="J1942" s="13" t="s">
        <v>122</v>
      </c>
      <c r="K1942" s="13" t="s">
        <v>107</v>
      </c>
      <c r="L1942" s="13" t="s">
        <v>88</v>
      </c>
      <c r="M1942">
        <v>60</v>
      </c>
      <c r="N1942">
        <v>0</v>
      </c>
      <c r="O1942" s="14">
        <v>46013</v>
      </c>
      <c r="P1942" s="14">
        <v>46073</v>
      </c>
      <c r="Q1942">
        <v>1947.91</v>
      </c>
      <c r="R1942">
        <v>0</v>
      </c>
      <c r="S1942">
        <v>0</v>
      </c>
      <c r="T1942">
        <v>0</v>
      </c>
      <c r="U1942">
        <v>0</v>
      </c>
      <c r="V1942">
        <v>1947.91</v>
      </c>
      <c r="W1942">
        <v>0</v>
      </c>
      <c r="X1942">
        <v>1</v>
      </c>
      <c r="Y1942">
        <v>0</v>
      </c>
      <c r="Z1942">
        <v>-51</v>
      </c>
      <c r="AA1942">
        <v>1</v>
      </c>
      <c r="AB1942" s="13" t="s">
        <v>581</v>
      </c>
      <c r="AC1942">
        <v>0</v>
      </c>
      <c r="AD1942">
        <v>0</v>
      </c>
      <c r="AE1942" s="13" t="s">
        <v>61</v>
      </c>
    </row>
    <row r="1943" spans="1:31" x14ac:dyDescent="0.35">
      <c r="A1943" s="13" t="s">
        <v>2757</v>
      </c>
      <c r="B1943" s="13" t="s">
        <v>558</v>
      </c>
      <c r="C1943" s="13" t="s">
        <v>559</v>
      </c>
      <c r="D1943" s="13" t="s">
        <v>52</v>
      </c>
      <c r="E1943" s="13" t="s">
        <v>53</v>
      </c>
      <c r="F1943" s="13" t="s">
        <v>54</v>
      </c>
      <c r="G1943" s="13" t="s">
        <v>55</v>
      </c>
      <c r="H1943">
        <v>240000</v>
      </c>
      <c r="I1943" s="13" t="s">
        <v>56</v>
      </c>
      <c r="J1943" s="13" t="s">
        <v>57</v>
      </c>
      <c r="K1943" s="13" t="s">
        <v>58</v>
      </c>
      <c r="L1943" s="13" t="s">
        <v>59</v>
      </c>
      <c r="M1943">
        <v>45</v>
      </c>
      <c r="N1943">
        <v>0</v>
      </c>
      <c r="O1943" s="14">
        <v>46013</v>
      </c>
      <c r="P1943" s="14">
        <v>46058</v>
      </c>
      <c r="Q1943">
        <v>1676.58</v>
      </c>
      <c r="R1943">
        <v>0</v>
      </c>
      <c r="S1943">
        <v>0</v>
      </c>
      <c r="T1943">
        <v>0</v>
      </c>
      <c r="U1943">
        <v>0</v>
      </c>
      <c r="V1943">
        <v>1676.58</v>
      </c>
      <c r="W1943">
        <v>0</v>
      </c>
      <c r="X1943">
        <v>1</v>
      </c>
      <c r="Y1943">
        <v>0</v>
      </c>
      <c r="Z1943">
        <v>-36</v>
      </c>
      <c r="AA1943">
        <v>1</v>
      </c>
      <c r="AB1943" s="13" t="s">
        <v>581</v>
      </c>
      <c r="AC1943">
        <v>0</v>
      </c>
      <c r="AD1943">
        <v>0</v>
      </c>
      <c r="AE1943" s="13" t="s">
        <v>61</v>
      </c>
    </row>
    <row r="1944" spans="1:31" x14ac:dyDescent="0.35">
      <c r="A1944" s="13" t="s">
        <v>2758</v>
      </c>
      <c r="B1944" s="13" t="s">
        <v>1948</v>
      </c>
      <c r="C1944" s="13" t="s">
        <v>1949</v>
      </c>
      <c r="D1944" s="13" t="s">
        <v>76</v>
      </c>
      <c r="E1944" s="13" t="s">
        <v>99</v>
      </c>
      <c r="F1944" s="13" t="s">
        <v>127</v>
      </c>
      <c r="G1944" s="13" t="s">
        <v>55</v>
      </c>
      <c r="H1944">
        <v>60000</v>
      </c>
      <c r="I1944" s="13" t="s">
        <v>79</v>
      </c>
      <c r="J1944" s="13" t="s">
        <v>80</v>
      </c>
      <c r="K1944" s="13" t="s">
        <v>81</v>
      </c>
      <c r="L1944" s="13" t="s">
        <v>82</v>
      </c>
      <c r="M1944">
        <v>30</v>
      </c>
      <c r="N1944">
        <v>2</v>
      </c>
      <c r="O1944" s="14">
        <v>46013</v>
      </c>
      <c r="P1944" s="14">
        <v>46043</v>
      </c>
      <c r="Q1944">
        <v>451.02</v>
      </c>
      <c r="R1944">
        <v>0</v>
      </c>
      <c r="S1944">
        <v>0</v>
      </c>
      <c r="T1944">
        <v>0</v>
      </c>
      <c r="U1944">
        <v>0</v>
      </c>
      <c r="V1944">
        <v>451.02</v>
      </c>
      <c r="W1944">
        <v>0</v>
      </c>
      <c r="X1944">
        <v>1</v>
      </c>
      <c r="Y1944">
        <v>0</v>
      </c>
      <c r="Z1944">
        <v>-21</v>
      </c>
      <c r="AA1944">
        <v>1</v>
      </c>
      <c r="AB1944" s="13" t="s">
        <v>581</v>
      </c>
      <c r="AC1944">
        <v>0</v>
      </c>
      <c r="AD1944">
        <v>0</v>
      </c>
      <c r="AE1944" s="13" t="s">
        <v>61</v>
      </c>
    </row>
    <row r="1945" spans="1:31" x14ac:dyDescent="0.35">
      <c r="A1945" s="13" t="s">
        <v>2759</v>
      </c>
      <c r="B1945" s="13" t="s">
        <v>238</v>
      </c>
      <c r="C1945" s="13" t="s">
        <v>239</v>
      </c>
      <c r="D1945" s="13" t="s">
        <v>76</v>
      </c>
      <c r="E1945" s="13" t="s">
        <v>71</v>
      </c>
      <c r="F1945" s="13" t="s">
        <v>214</v>
      </c>
      <c r="G1945" s="13" t="s">
        <v>92</v>
      </c>
      <c r="H1945">
        <v>100000</v>
      </c>
      <c r="I1945" s="13" t="s">
        <v>93</v>
      </c>
      <c r="J1945" s="13" t="s">
        <v>94</v>
      </c>
      <c r="K1945" s="13" t="s">
        <v>81</v>
      </c>
      <c r="L1945" s="13" t="s">
        <v>95</v>
      </c>
      <c r="M1945">
        <v>30</v>
      </c>
      <c r="N1945">
        <v>0</v>
      </c>
      <c r="O1945" s="14">
        <v>46013</v>
      </c>
      <c r="P1945" s="14">
        <v>46043</v>
      </c>
      <c r="Q1945">
        <v>986.7</v>
      </c>
      <c r="R1945">
        <v>0</v>
      </c>
      <c r="S1945">
        <v>0</v>
      </c>
      <c r="T1945">
        <v>0</v>
      </c>
      <c r="U1945">
        <v>0</v>
      </c>
      <c r="V1945">
        <v>986.7</v>
      </c>
      <c r="W1945">
        <v>0</v>
      </c>
      <c r="X1945">
        <v>1</v>
      </c>
      <c r="Y1945">
        <v>0</v>
      </c>
      <c r="Z1945">
        <v>-21</v>
      </c>
      <c r="AA1945">
        <v>1</v>
      </c>
      <c r="AB1945" s="13" t="s">
        <v>581</v>
      </c>
      <c r="AC1945">
        <v>0</v>
      </c>
      <c r="AD1945">
        <v>0</v>
      </c>
      <c r="AE1945" s="13" t="s">
        <v>61</v>
      </c>
    </row>
    <row r="1946" spans="1:31" x14ac:dyDescent="0.35">
      <c r="A1946" s="13" t="s">
        <v>2760</v>
      </c>
      <c r="B1946" s="13" t="s">
        <v>2761</v>
      </c>
      <c r="C1946" s="13" t="s">
        <v>2762</v>
      </c>
      <c r="D1946" s="13" t="s">
        <v>76</v>
      </c>
      <c r="E1946" s="13" t="s">
        <v>53</v>
      </c>
      <c r="F1946" s="13" t="s">
        <v>135</v>
      </c>
      <c r="G1946" s="13" t="s">
        <v>55</v>
      </c>
      <c r="H1946">
        <v>55000</v>
      </c>
      <c r="I1946" s="13" t="s">
        <v>93</v>
      </c>
      <c r="J1946" s="13" t="s">
        <v>94</v>
      </c>
      <c r="K1946" s="13" t="s">
        <v>81</v>
      </c>
      <c r="L1946" s="13" t="s">
        <v>82</v>
      </c>
      <c r="M1946">
        <v>30</v>
      </c>
      <c r="N1946">
        <v>2</v>
      </c>
      <c r="O1946" s="14">
        <v>46013</v>
      </c>
      <c r="P1946" s="14">
        <v>46043</v>
      </c>
      <c r="Q1946">
        <v>723.11</v>
      </c>
      <c r="R1946">
        <v>0</v>
      </c>
      <c r="S1946">
        <v>0</v>
      </c>
      <c r="T1946">
        <v>0</v>
      </c>
      <c r="U1946">
        <v>0</v>
      </c>
      <c r="V1946">
        <v>723.11</v>
      </c>
      <c r="W1946">
        <v>0</v>
      </c>
      <c r="X1946">
        <v>1</v>
      </c>
      <c r="Y1946">
        <v>0</v>
      </c>
      <c r="Z1946">
        <v>-21</v>
      </c>
      <c r="AA1946">
        <v>1</v>
      </c>
      <c r="AB1946" s="13" t="s">
        <v>581</v>
      </c>
      <c r="AC1946">
        <v>0</v>
      </c>
      <c r="AD1946">
        <v>0</v>
      </c>
      <c r="AE1946" s="13" t="s">
        <v>61</v>
      </c>
    </row>
    <row r="1947" spans="1:31" x14ac:dyDescent="0.35">
      <c r="A1947" s="13" t="s">
        <v>2763</v>
      </c>
      <c r="B1947" s="13" t="s">
        <v>1523</v>
      </c>
      <c r="C1947" s="13" t="s">
        <v>1524</v>
      </c>
      <c r="D1947" s="13" t="s">
        <v>76</v>
      </c>
      <c r="E1947" s="13" t="s">
        <v>65</v>
      </c>
      <c r="F1947" s="13" t="s">
        <v>111</v>
      </c>
      <c r="G1947" s="13" t="s">
        <v>55</v>
      </c>
      <c r="H1947">
        <v>115000</v>
      </c>
      <c r="I1947" s="13" t="s">
        <v>93</v>
      </c>
      <c r="J1947" s="13" t="s">
        <v>94</v>
      </c>
      <c r="K1947" s="13" t="s">
        <v>81</v>
      </c>
      <c r="L1947" s="13" t="s">
        <v>95</v>
      </c>
      <c r="M1947">
        <v>30</v>
      </c>
      <c r="N1947">
        <v>0</v>
      </c>
      <c r="O1947" s="14">
        <v>46013</v>
      </c>
      <c r="P1947" s="14">
        <v>46043</v>
      </c>
      <c r="Q1947">
        <v>2250.98</v>
      </c>
      <c r="R1947">
        <v>0</v>
      </c>
      <c r="S1947">
        <v>0</v>
      </c>
      <c r="T1947">
        <v>0</v>
      </c>
      <c r="U1947">
        <v>0</v>
      </c>
      <c r="V1947">
        <v>2250.98</v>
      </c>
      <c r="W1947">
        <v>0</v>
      </c>
      <c r="X1947">
        <v>1</v>
      </c>
      <c r="Y1947">
        <v>0</v>
      </c>
      <c r="Z1947">
        <v>-21</v>
      </c>
      <c r="AA1947">
        <v>1</v>
      </c>
      <c r="AB1947" s="13" t="s">
        <v>581</v>
      </c>
      <c r="AC1947">
        <v>0</v>
      </c>
      <c r="AD1947">
        <v>0</v>
      </c>
      <c r="AE1947" s="13" t="s">
        <v>61</v>
      </c>
    </row>
    <row r="1948" spans="1:31" x14ac:dyDescent="0.35">
      <c r="A1948" s="13" t="s">
        <v>2764</v>
      </c>
      <c r="B1948" s="13" t="s">
        <v>601</v>
      </c>
      <c r="C1948" s="13" t="s">
        <v>602</v>
      </c>
      <c r="D1948" s="13" t="s">
        <v>52</v>
      </c>
      <c r="E1948" s="13" t="s">
        <v>53</v>
      </c>
      <c r="F1948" s="13" t="s">
        <v>135</v>
      </c>
      <c r="G1948" s="13" t="s">
        <v>67</v>
      </c>
      <c r="H1948">
        <v>525000</v>
      </c>
      <c r="I1948" s="13" t="s">
        <v>86</v>
      </c>
      <c r="J1948" s="13" t="s">
        <v>87</v>
      </c>
      <c r="K1948" s="13" t="s">
        <v>58</v>
      </c>
      <c r="L1948" s="13" t="s">
        <v>59</v>
      </c>
      <c r="M1948">
        <v>45</v>
      </c>
      <c r="N1948">
        <v>0</v>
      </c>
      <c r="O1948" s="14">
        <v>46013</v>
      </c>
      <c r="P1948" s="14">
        <v>46058</v>
      </c>
      <c r="Q1948">
        <v>3879.78</v>
      </c>
      <c r="R1948">
        <v>0</v>
      </c>
      <c r="S1948">
        <v>0</v>
      </c>
      <c r="T1948">
        <v>0</v>
      </c>
      <c r="U1948">
        <v>0</v>
      </c>
      <c r="V1948">
        <v>3879.78</v>
      </c>
      <c r="W1948">
        <v>0</v>
      </c>
      <c r="X1948">
        <v>1</v>
      </c>
      <c r="Y1948">
        <v>0</v>
      </c>
      <c r="Z1948">
        <v>-36</v>
      </c>
      <c r="AA1948">
        <v>1</v>
      </c>
      <c r="AB1948" s="13" t="s">
        <v>581</v>
      </c>
      <c r="AC1948">
        <v>0</v>
      </c>
      <c r="AD1948">
        <v>0</v>
      </c>
      <c r="AE1948" s="13" t="s">
        <v>61</v>
      </c>
    </row>
    <row r="1949" spans="1:31" x14ac:dyDescent="0.35">
      <c r="A1949" s="13" t="s">
        <v>2765</v>
      </c>
      <c r="B1949" s="13" t="s">
        <v>1179</v>
      </c>
      <c r="C1949" s="13" t="s">
        <v>1180</v>
      </c>
      <c r="D1949" s="13" t="s">
        <v>104</v>
      </c>
      <c r="E1949" s="13" t="s">
        <v>71</v>
      </c>
      <c r="F1949" s="13" t="s">
        <v>72</v>
      </c>
      <c r="G1949" s="13" t="s">
        <v>67</v>
      </c>
      <c r="H1949">
        <v>50000</v>
      </c>
      <c r="I1949" s="13" t="s">
        <v>105</v>
      </c>
      <c r="J1949" s="13" t="s">
        <v>106</v>
      </c>
      <c r="K1949" s="13" t="s">
        <v>107</v>
      </c>
      <c r="L1949" s="13" t="s">
        <v>88</v>
      </c>
      <c r="M1949">
        <v>60</v>
      </c>
      <c r="N1949">
        <v>0</v>
      </c>
      <c r="O1949" s="14">
        <v>46013</v>
      </c>
      <c r="P1949" s="14">
        <v>46073</v>
      </c>
      <c r="Q1949">
        <v>5554.51</v>
      </c>
      <c r="R1949">
        <v>0</v>
      </c>
      <c r="S1949">
        <v>0</v>
      </c>
      <c r="T1949">
        <v>0</v>
      </c>
      <c r="U1949">
        <v>0</v>
      </c>
      <c r="V1949">
        <v>5554.51</v>
      </c>
      <c r="W1949">
        <v>0</v>
      </c>
      <c r="X1949">
        <v>1</v>
      </c>
      <c r="Y1949">
        <v>0</v>
      </c>
      <c r="Z1949">
        <v>-51</v>
      </c>
      <c r="AA1949">
        <v>1</v>
      </c>
      <c r="AB1949" s="13" t="s">
        <v>581</v>
      </c>
      <c r="AC1949">
        <v>0</v>
      </c>
      <c r="AD1949">
        <v>0</v>
      </c>
      <c r="AE1949" s="13" t="s">
        <v>61</v>
      </c>
    </row>
    <row r="1950" spans="1:31" x14ac:dyDescent="0.35">
      <c r="A1950" s="13" t="s">
        <v>2766</v>
      </c>
      <c r="B1950" s="13" t="s">
        <v>2024</v>
      </c>
      <c r="C1950" s="13" t="s">
        <v>2025</v>
      </c>
      <c r="D1950" s="13" t="s">
        <v>104</v>
      </c>
      <c r="E1950" s="13" t="s">
        <v>65</v>
      </c>
      <c r="F1950" s="13" t="s">
        <v>111</v>
      </c>
      <c r="G1950" s="13" t="s">
        <v>55</v>
      </c>
      <c r="H1950">
        <v>130000</v>
      </c>
      <c r="I1950" s="13" t="s">
        <v>121</v>
      </c>
      <c r="J1950" s="13" t="s">
        <v>122</v>
      </c>
      <c r="K1950" s="13" t="s">
        <v>107</v>
      </c>
      <c r="L1950" s="13" t="s">
        <v>95</v>
      </c>
      <c r="M1950">
        <v>30</v>
      </c>
      <c r="N1950">
        <v>0</v>
      </c>
      <c r="O1950" s="14">
        <v>46013</v>
      </c>
      <c r="P1950" s="14">
        <v>46043</v>
      </c>
      <c r="Q1950">
        <v>870.95</v>
      </c>
      <c r="R1950">
        <v>0</v>
      </c>
      <c r="S1950">
        <v>0</v>
      </c>
      <c r="T1950">
        <v>0</v>
      </c>
      <c r="U1950">
        <v>0</v>
      </c>
      <c r="V1950">
        <v>870.95</v>
      </c>
      <c r="W1950">
        <v>0</v>
      </c>
      <c r="X1950">
        <v>1</v>
      </c>
      <c r="Y1950">
        <v>0</v>
      </c>
      <c r="Z1950">
        <v>-21</v>
      </c>
      <c r="AA1950">
        <v>1</v>
      </c>
      <c r="AB1950" s="13" t="s">
        <v>581</v>
      </c>
      <c r="AC1950">
        <v>0</v>
      </c>
      <c r="AD1950">
        <v>0</v>
      </c>
      <c r="AE1950" s="13" t="s">
        <v>61</v>
      </c>
    </row>
    <row r="1951" spans="1:31" x14ac:dyDescent="0.35">
      <c r="A1951" s="13" t="s">
        <v>2767</v>
      </c>
      <c r="B1951" s="13" t="s">
        <v>144</v>
      </c>
      <c r="C1951" s="13" t="s">
        <v>145</v>
      </c>
      <c r="D1951" s="13" t="s">
        <v>52</v>
      </c>
      <c r="E1951" s="13" t="s">
        <v>99</v>
      </c>
      <c r="F1951" s="13" t="s">
        <v>100</v>
      </c>
      <c r="G1951" s="13" t="s">
        <v>55</v>
      </c>
      <c r="H1951">
        <v>590000</v>
      </c>
      <c r="I1951" s="13" t="s">
        <v>56</v>
      </c>
      <c r="J1951" s="13" t="s">
        <v>57</v>
      </c>
      <c r="K1951" s="13" t="s">
        <v>58</v>
      </c>
      <c r="L1951" s="13" t="s">
        <v>88</v>
      </c>
      <c r="M1951">
        <v>60</v>
      </c>
      <c r="N1951">
        <v>0</v>
      </c>
      <c r="O1951" s="14">
        <v>46013</v>
      </c>
      <c r="P1951" s="14">
        <v>46073</v>
      </c>
      <c r="Q1951">
        <v>2940.55</v>
      </c>
      <c r="R1951">
        <v>0</v>
      </c>
      <c r="S1951">
        <v>0</v>
      </c>
      <c r="T1951">
        <v>0</v>
      </c>
      <c r="U1951">
        <v>0</v>
      </c>
      <c r="V1951">
        <v>2940.55</v>
      </c>
      <c r="W1951">
        <v>0</v>
      </c>
      <c r="X1951">
        <v>1</v>
      </c>
      <c r="Y1951">
        <v>0</v>
      </c>
      <c r="Z1951">
        <v>-51</v>
      </c>
      <c r="AA1951">
        <v>1</v>
      </c>
      <c r="AB1951" s="13" t="s">
        <v>581</v>
      </c>
      <c r="AC1951">
        <v>0</v>
      </c>
      <c r="AD1951">
        <v>0</v>
      </c>
      <c r="AE1951" s="13" t="s">
        <v>61</v>
      </c>
    </row>
    <row r="1952" spans="1:31" x14ac:dyDescent="0.35">
      <c r="A1952" s="13" t="s">
        <v>2768</v>
      </c>
      <c r="B1952" s="13" t="s">
        <v>1672</v>
      </c>
      <c r="C1952" s="13" t="s">
        <v>1673</v>
      </c>
      <c r="D1952" s="13" t="s">
        <v>76</v>
      </c>
      <c r="E1952" s="13" t="s">
        <v>77</v>
      </c>
      <c r="F1952" s="13" t="s">
        <v>78</v>
      </c>
      <c r="G1952" s="13" t="s">
        <v>67</v>
      </c>
      <c r="H1952">
        <v>115000</v>
      </c>
      <c r="I1952" s="13" t="s">
        <v>79</v>
      </c>
      <c r="J1952" s="13" t="s">
        <v>80</v>
      </c>
      <c r="K1952" s="13" t="s">
        <v>81</v>
      </c>
      <c r="L1952" s="13" t="s">
        <v>95</v>
      </c>
      <c r="M1952">
        <v>30</v>
      </c>
      <c r="N1952">
        <v>0</v>
      </c>
      <c r="O1952" s="14">
        <v>46013</v>
      </c>
      <c r="P1952" s="14">
        <v>46043</v>
      </c>
      <c r="Q1952">
        <v>1083.83</v>
      </c>
      <c r="R1952">
        <v>0</v>
      </c>
      <c r="S1952">
        <v>0</v>
      </c>
      <c r="T1952">
        <v>0</v>
      </c>
      <c r="U1952">
        <v>0</v>
      </c>
      <c r="V1952">
        <v>1083.83</v>
      </c>
      <c r="W1952">
        <v>0</v>
      </c>
      <c r="X1952">
        <v>1</v>
      </c>
      <c r="Y1952">
        <v>0</v>
      </c>
      <c r="Z1952">
        <v>-21</v>
      </c>
      <c r="AA1952">
        <v>1</v>
      </c>
      <c r="AB1952" s="13" t="s">
        <v>581</v>
      </c>
      <c r="AC1952">
        <v>0</v>
      </c>
      <c r="AD1952">
        <v>0</v>
      </c>
      <c r="AE1952" s="13" t="s">
        <v>61</v>
      </c>
    </row>
    <row r="1953" spans="1:31" x14ac:dyDescent="0.35">
      <c r="A1953" s="13" t="s">
        <v>2769</v>
      </c>
      <c r="B1953" s="13" t="s">
        <v>584</v>
      </c>
      <c r="C1953" s="13" t="s">
        <v>585</v>
      </c>
      <c r="D1953" s="13" t="s">
        <v>104</v>
      </c>
      <c r="E1953" s="13" t="s">
        <v>53</v>
      </c>
      <c r="F1953" s="13" t="s">
        <v>54</v>
      </c>
      <c r="G1953" s="13" t="s">
        <v>67</v>
      </c>
      <c r="H1953">
        <v>115000</v>
      </c>
      <c r="I1953" s="13" t="s">
        <v>121</v>
      </c>
      <c r="J1953" s="13" t="s">
        <v>122</v>
      </c>
      <c r="K1953" s="13" t="s">
        <v>107</v>
      </c>
      <c r="L1953" s="13" t="s">
        <v>88</v>
      </c>
      <c r="M1953">
        <v>60</v>
      </c>
      <c r="N1953">
        <v>0</v>
      </c>
      <c r="O1953" s="14">
        <v>46013</v>
      </c>
      <c r="P1953" s="14">
        <v>46073</v>
      </c>
      <c r="Q1953">
        <v>7243.79</v>
      </c>
      <c r="R1953">
        <v>0</v>
      </c>
      <c r="S1953">
        <v>0</v>
      </c>
      <c r="T1953">
        <v>0</v>
      </c>
      <c r="U1953">
        <v>0</v>
      </c>
      <c r="V1953">
        <v>7243.79</v>
      </c>
      <c r="W1953">
        <v>0</v>
      </c>
      <c r="X1953">
        <v>1</v>
      </c>
      <c r="Y1953">
        <v>0</v>
      </c>
      <c r="Z1953">
        <v>-51</v>
      </c>
      <c r="AA1953">
        <v>1</v>
      </c>
      <c r="AB1953" s="13" t="s">
        <v>581</v>
      </c>
      <c r="AC1953">
        <v>0</v>
      </c>
      <c r="AD1953">
        <v>0</v>
      </c>
      <c r="AE1953" s="13" t="s">
        <v>61</v>
      </c>
    </row>
    <row r="1954" spans="1:31" x14ac:dyDescent="0.35">
      <c r="A1954" s="13" t="s">
        <v>2770</v>
      </c>
      <c r="B1954" s="13" t="s">
        <v>866</v>
      </c>
      <c r="C1954" s="13" t="s">
        <v>867</v>
      </c>
      <c r="D1954" s="13" t="s">
        <v>104</v>
      </c>
      <c r="E1954" s="13" t="s">
        <v>71</v>
      </c>
      <c r="F1954" s="13" t="s">
        <v>214</v>
      </c>
      <c r="G1954" s="13" t="s">
        <v>55</v>
      </c>
      <c r="H1954">
        <v>50000</v>
      </c>
      <c r="I1954" s="13" t="s">
        <v>105</v>
      </c>
      <c r="J1954" s="13" t="s">
        <v>106</v>
      </c>
      <c r="K1954" s="13" t="s">
        <v>107</v>
      </c>
      <c r="L1954" s="13" t="s">
        <v>88</v>
      </c>
      <c r="M1954">
        <v>60</v>
      </c>
      <c r="N1954">
        <v>0</v>
      </c>
      <c r="O1954" s="14">
        <v>46013</v>
      </c>
      <c r="P1954" s="14">
        <v>46073</v>
      </c>
      <c r="Q1954">
        <v>7233.82</v>
      </c>
      <c r="R1954">
        <v>0</v>
      </c>
      <c r="S1954">
        <v>0</v>
      </c>
      <c r="T1954">
        <v>0</v>
      </c>
      <c r="U1954">
        <v>0</v>
      </c>
      <c r="V1954">
        <v>7233.82</v>
      </c>
      <c r="W1954">
        <v>0</v>
      </c>
      <c r="X1954">
        <v>1</v>
      </c>
      <c r="Y1954">
        <v>0</v>
      </c>
      <c r="Z1954">
        <v>-51</v>
      </c>
      <c r="AA1954">
        <v>1</v>
      </c>
      <c r="AB1954" s="13" t="s">
        <v>581</v>
      </c>
      <c r="AC1954">
        <v>0</v>
      </c>
      <c r="AD1954">
        <v>0</v>
      </c>
      <c r="AE1954" s="13" t="s">
        <v>61</v>
      </c>
    </row>
    <row r="1955" spans="1:31" x14ac:dyDescent="0.35">
      <c r="A1955" s="13" t="s">
        <v>2771</v>
      </c>
      <c r="B1955" s="13" t="s">
        <v>1682</v>
      </c>
      <c r="C1955" s="13" t="s">
        <v>1683</v>
      </c>
      <c r="D1955" s="13" t="s">
        <v>76</v>
      </c>
      <c r="E1955" s="13" t="s">
        <v>99</v>
      </c>
      <c r="F1955" s="13" t="s">
        <v>127</v>
      </c>
      <c r="G1955" s="13" t="s">
        <v>67</v>
      </c>
      <c r="H1955">
        <v>120000</v>
      </c>
      <c r="I1955" s="13" t="s">
        <v>79</v>
      </c>
      <c r="J1955" s="13" t="s">
        <v>80</v>
      </c>
      <c r="K1955" s="13" t="s">
        <v>81</v>
      </c>
      <c r="L1955" s="13" t="s">
        <v>95</v>
      </c>
      <c r="M1955">
        <v>30</v>
      </c>
      <c r="N1955">
        <v>0</v>
      </c>
      <c r="O1955" s="14">
        <v>46013</v>
      </c>
      <c r="P1955" s="14">
        <v>46043</v>
      </c>
      <c r="Q1955">
        <v>483.67</v>
      </c>
      <c r="R1955">
        <v>0</v>
      </c>
      <c r="S1955">
        <v>0</v>
      </c>
      <c r="T1955">
        <v>0</v>
      </c>
      <c r="U1955">
        <v>0</v>
      </c>
      <c r="V1955">
        <v>483.67</v>
      </c>
      <c r="W1955">
        <v>0</v>
      </c>
      <c r="X1955">
        <v>1</v>
      </c>
      <c r="Y1955">
        <v>0</v>
      </c>
      <c r="Z1955">
        <v>-21</v>
      </c>
      <c r="AA1955">
        <v>1</v>
      </c>
      <c r="AB1955" s="13" t="s">
        <v>581</v>
      </c>
      <c r="AC1955">
        <v>0</v>
      </c>
      <c r="AD1955">
        <v>0</v>
      </c>
      <c r="AE1955" s="13" t="s">
        <v>61</v>
      </c>
    </row>
    <row r="1956" spans="1:31" x14ac:dyDescent="0.35">
      <c r="A1956" s="13" t="s">
        <v>2772</v>
      </c>
      <c r="B1956" s="13" t="s">
        <v>1155</v>
      </c>
      <c r="C1956" s="13" t="s">
        <v>1156</v>
      </c>
      <c r="D1956" s="13" t="s">
        <v>52</v>
      </c>
      <c r="E1956" s="13" t="s">
        <v>53</v>
      </c>
      <c r="F1956" s="13" t="s">
        <v>54</v>
      </c>
      <c r="G1956" s="13" t="s">
        <v>67</v>
      </c>
      <c r="H1956">
        <v>420000</v>
      </c>
      <c r="I1956" s="13" t="s">
        <v>86</v>
      </c>
      <c r="J1956" s="13" t="s">
        <v>87</v>
      </c>
      <c r="K1956" s="13" t="s">
        <v>58</v>
      </c>
      <c r="L1956" s="13" t="s">
        <v>88</v>
      </c>
      <c r="M1956">
        <v>60</v>
      </c>
      <c r="N1956">
        <v>0</v>
      </c>
      <c r="O1956" s="14">
        <v>46013</v>
      </c>
      <c r="P1956" s="14">
        <v>46073</v>
      </c>
      <c r="Q1956">
        <v>2349.92</v>
      </c>
      <c r="R1956">
        <v>0</v>
      </c>
      <c r="S1956">
        <v>0</v>
      </c>
      <c r="T1956">
        <v>0</v>
      </c>
      <c r="U1956">
        <v>0</v>
      </c>
      <c r="V1956">
        <v>2349.92</v>
      </c>
      <c r="W1956">
        <v>0</v>
      </c>
      <c r="X1956">
        <v>1</v>
      </c>
      <c r="Y1956">
        <v>0</v>
      </c>
      <c r="Z1956">
        <v>-51</v>
      </c>
      <c r="AA1956">
        <v>1</v>
      </c>
      <c r="AB1956" s="13" t="s">
        <v>581</v>
      </c>
      <c r="AC1956">
        <v>0</v>
      </c>
      <c r="AD1956">
        <v>0</v>
      </c>
      <c r="AE1956" s="13" t="s">
        <v>61</v>
      </c>
    </row>
    <row r="1957" spans="1:31" x14ac:dyDescent="0.35">
      <c r="A1957" s="13" t="s">
        <v>2773</v>
      </c>
      <c r="B1957" s="13" t="s">
        <v>870</v>
      </c>
      <c r="C1957" s="13" t="s">
        <v>871</v>
      </c>
      <c r="D1957" s="13" t="s">
        <v>104</v>
      </c>
      <c r="E1957" s="13" t="s">
        <v>71</v>
      </c>
      <c r="F1957" s="13" t="s">
        <v>72</v>
      </c>
      <c r="G1957" s="13" t="s">
        <v>55</v>
      </c>
      <c r="H1957">
        <v>60000</v>
      </c>
      <c r="I1957" s="13" t="s">
        <v>121</v>
      </c>
      <c r="J1957" s="13" t="s">
        <v>122</v>
      </c>
      <c r="K1957" s="13" t="s">
        <v>107</v>
      </c>
      <c r="L1957" s="13" t="s">
        <v>88</v>
      </c>
      <c r="M1957">
        <v>60</v>
      </c>
      <c r="N1957">
        <v>0</v>
      </c>
      <c r="O1957" s="14">
        <v>46013</v>
      </c>
      <c r="P1957" s="14">
        <v>46073</v>
      </c>
      <c r="Q1957">
        <v>3913.17</v>
      </c>
      <c r="R1957">
        <v>0</v>
      </c>
      <c r="S1957">
        <v>0</v>
      </c>
      <c r="T1957">
        <v>0</v>
      </c>
      <c r="U1957">
        <v>0</v>
      </c>
      <c r="V1957">
        <v>3913.17</v>
      </c>
      <c r="W1957">
        <v>0</v>
      </c>
      <c r="X1957">
        <v>1</v>
      </c>
      <c r="Y1957">
        <v>0</v>
      </c>
      <c r="Z1957">
        <v>-51</v>
      </c>
      <c r="AA1957">
        <v>1</v>
      </c>
      <c r="AB1957" s="13" t="s">
        <v>581</v>
      </c>
      <c r="AC1957">
        <v>0</v>
      </c>
      <c r="AD1957">
        <v>1</v>
      </c>
      <c r="AE1957" s="13" t="s">
        <v>377</v>
      </c>
    </row>
    <row r="1958" spans="1:31" x14ac:dyDescent="0.35">
      <c r="A1958" s="13" t="s">
        <v>2774</v>
      </c>
      <c r="B1958" s="13" t="s">
        <v>561</v>
      </c>
      <c r="C1958" s="13" t="s">
        <v>562</v>
      </c>
      <c r="D1958" s="13" t="s">
        <v>126</v>
      </c>
      <c r="E1958" s="13" t="s">
        <v>53</v>
      </c>
      <c r="F1958" s="13" t="s">
        <v>135</v>
      </c>
      <c r="G1958" s="13" t="s">
        <v>67</v>
      </c>
      <c r="H1958">
        <v>155000</v>
      </c>
      <c r="I1958" s="13" t="s">
        <v>86</v>
      </c>
      <c r="J1958" s="13" t="s">
        <v>87</v>
      </c>
      <c r="K1958" s="13" t="s">
        <v>58</v>
      </c>
      <c r="L1958" s="13" t="s">
        <v>368</v>
      </c>
      <c r="M1958">
        <v>90</v>
      </c>
      <c r="N1958">
        <v>0</v>
      </c>
      <c r="O1958" s="14">
        <v>46013</v>
      </c>
      <c r="P1958" s="14">
        <v>46103</v>
      </c>
      <c r="Q1958">
        <v>6448.83</v>
      </c>
      <c r="R1958">
        <v>0</v>
      </c>
      <c r="S1958">
        <v>0</v>
      </c>
      <c r="T1958">
        <v>0</v>
      </c>
      <c r="U1958">
        <v>0</v>
      </c>
      <c r="V1958">
        <v>6448.83</v>
      </c>
      <c r="W1958">
        <v>0</v>
      </c>
      <c r="X1958">
        <v>1</v>
      </c>
      <c r="Y1958">
        <v>0</v>
      </c>
      <c r="Z1958">
        <v>-81</v>
      </c>
      <c r="AA1958">
        <v>1</v>
      </c>
      <c r="AB1958" s="13" t="s">
        <v>581</v>
      </c>
      <c r="AC1958">
        <v>0</v>
      </c>
      <c r="AD1958">
        <v>0</v>
      </c>
      <c r="AE1958" s="13" t="s">
        <v>61</v>
      </c>
    </row>
    <row r="1959" spans="1:31" x14ac:dyDescent="0.35">
      <c r="A1959" s="13" t="s">
        <v>2775</v>
      </c>
      <c r="B1959" s="13" t="s">
        <v>2776</v>
      </c>
      <c r="C1959" s="13" t="s">
        <v>2777</v>
      </c>
      <c r="D1959" s="13" t="s">
        <v>76</v>
      </c>
      <c r="E1959" s="13" t="s">
        <v>77</v>
      </c>
      <c r="F1959" s="13" t="s">
        <v>174</v>
      </c>
      <c r="G1959" s="13" t="s">
        <v>55</v>
      </c>
      <c r="H1959">
        <v>75000</v>
      </c>
      <c r="I1959" s="13" t="s">
        <v>93</v>
      </c>
      <c r="J1959" s="13" t="s">
        <v>94</v>
      </c>
      <c r="K1959" s="13" t="s">
        <v>81</v>
      </c>
      <c r="L1959" s="13" t="s">
        <v>82</v>
      </c>
      <c r="M1959">
        <v>30</v>
      </c>
      <c r="N1959">
        <v>2</v>
      </c>
      <c r="O1959" s="14">
        <v>46013</v>
      </c>
      <c r="P1959" s="14">
        <v>46043</v>
      </c>
      <c r="Q1959">
        <v>3886.43</v>
      </c>
      <c r="R1959">
        <v>0</v>
      </c>
      <c r="S1959">
        <v>0</v>
      </c>
      <c r="T1959">
        <v>0</v>
      </c>
      <c r="U1959">
        <v>0</v>
      </c>
      <c r="V1959">
        <v>3886.43</v>
      </c>
      <c r="W1959">
        <v>0</v>
      </c>
      <c r="X1959">
        <v>1</v>
      </c>
      <c r="Y1959">
        <v>0</v>
      </c>
      <c r="Z1959">
        <v>-21</v>
      </c>
      <c r="AA1959">
        <v>1</v>
      </c>
      <c r="AB1959" s="13" t="s">
        <v>581</v>
      </c>
      <c r="AC1959">
        <v>0</v>
      </c>
      <c r="AD1959">
        <v>0</v>
      </c>
      <c r="AE1959" s="13" t="s">
        <v>61</v>
      </c>
    </row>
    <row r="1960" spans="1:31" x14ac:dyDescent="0.35">
      <c r="A1960" s="13" t="s">
        <v>2778</v>
      </c>
      <c r="B1960" s="13" t="s">
        <v>1220</v>
      </c>
      <c r="C1960" s="13" t="s">
        <v>1221</v>
      </c>
      <c r="D1960" s="13" t="s">
        <v>52</v>
      </c>
      <c r="E1960" s="13" t="s">
        <v>65</v>
      </c>
      <c r="F1960" s="13" t="s">
        <v>111</v>
      </c>
      <c r="G1960" s="13" t="s">
        <v>67</v>
      </c>
      <c r="H1960">
        <v>340000</v>
      </c>
      <c r="I1960" s="13" t="s">
        <v>86</v>
      </c>
      <c r="J1960" s="13" t="s">
        <v>87</v>
      </c>
      <c r="K1960" s="13" t="s">
        <v>58</v>
      </c>
      <c r="L1960" s="13" t="s">
        <v>59</v>
      </c>
      <c r="M1960">
        <v>45</v>
      </c>
      <c r="N1960">
        <v>0</v>
      </c>
      <c r="O1960" s="14">
        <v>46013</v>
      </c>
      <c r="P1960" s="14">
        <v>46058</v>
      </c>
      <c r="Q1960">
        <v>9411.1200000000008</v>
      </c>
      <c r="R1960">
        <v>0</v>
      </c>
      <c r="S1960">
        <v>0</v>
      </c>
      <c r="T1960">
        <v>0</v>
      </c>
      <c r="U1960">
        <v>0</v>
      </c>
      <c r="V1960">
        <v>9411.1200000000008</v>
      </c>
      <c r="W1960">
        <v>0</v>
      </c>
      <c r="X1960">
        <v>1</v>
      </c>
      <c r="Y1960">
        <v>0</v>
      </c>
      <c r="Z1960">
        <v>-36</v>
      </c>
      <c r="AA1960">
        <v>1</v>
      </c>
      <c r="AB1960" s="13" t="s">
        <v>581</v>
      </c>
      <c r="AC1960">
        <v>0</v>
      </c>
      <c r="AD1960">
        <v>0</v>
      </c>
      <c r="AE1960" s="13" t="s">
        <v>61</v>
      </c>
    </row>
    <row r="1961" spans="1:31" x14ac:dyDescent="0.35">
      <c r="A1961" s="13" t="s">
        <v>2779</v>
      </c>
      <c r="B1961" s="13" t="s">
        <v>499</v>
      </c>
      <c r="C1961" s="13" t="s">
        <v>500</v>
      </c>
      <c r="D1961" s="13" t="s">
        <v>104</v>
      </c>
      <c r="E1961" s="13" t="s">
        <v>53</v>
      </c>
      <c r="F1961" s="13" t="s">
        <v>54</v>
      </c>
      <c r="G1961" s="13" t="s">
        <v>67</v>
      </c>
      <c r="H1961">
        <v>90000</v>
      </c>
      <c r="I1961" s="13" t="s">
        <v>105</v>
      </c>
      <c r="J1961" s="13" t="s">
        <v>106</v>
      </c>
      <c r="K1961" s="13" t="s">
        <v>107</v>
      </c>
      <c r="L1961" s="13" t="s">
        <v>88</v>
      </c>
      <c r="M1961">
        <v>60</v>
      </c>
      <c r="N1961">
        <v>0</v>
      </c>
      <c r="O1961" s="14">
        <v>46013</v>
      </c>
      <c r="P1961" s="14">
        <v>46073</v>
      </c>
      <c r="Q1961">
        <v>1086.02</v>
      </c>
      <c r="R1961">
        <v>0</v>
      </c>
      <c r="S1961">
        <v>0</v>
      </c>
      <c r="T1961">
        <v>0</v>
      </c>
      <c r="U1961">
        <v>0</v>
      </c>
      <c r="V1961">
        <v>1086.02</v>
      </c>
      <c r="W1961">
        <v>0</v>
      </c>
      <c r="X1961">
        <v>1</v>
      </c>
      <c r="Y1961">
        <v>0</v>
      </c>
      <c r="Z1961">
        <v>-51</v>
      </c>
      <c r="AA1961">
        <v>1</v>
      </c>
      <c r="AB1961" s="13" t="s">
        <v>581</v>
      </c>
      <c r="AC1961">
        <v>0</v>
      </c>
      <c r="AD1961">
        <v>0</v>
      </c>
      <c r="AE1961" s="13" t="s">
        <v>61</v>
      </c>
    </row>
    <row r="1962" spans="1:31" x14ac:dyDescent="0.35">
      <c r="A1962" s="13" t="s">
        <v>2780</v>
      </c>
      <c r="B1962" s="13" t="s">
        <v>63</v>
      </c>
      <c r="C1962" s="13" t="s">
        <v>64</v>
      </c>
      <c r="D1962" s="13" t="s">
        <v>52</v>
      </c>
      <c r="E1962" s="13" t="s">
        <v>65</v>
      </c>
      <c r="F1962" s="13" t="s">
        <v>66</v>
      </c>
      <c r="G1962" s="13" t="s">
        <v>67</v>
      </c>
      <c r="H1962">
        <v>315000</v>
      </c>
      <c r="I1962" s="13" t="s">
        <v>56</v>
      </c>
      <c r="J1962" s="13" t="s">
        <v>57</v>
      </c>
      <c r="K1962" s="13" t="s">
        <v>58</v>
      </c>
      <c r="L1962" s="13" t="s">
        <v>59</v>
      </c>
      <c r="M1962">
        <v>45</v>
      </c>
      <c r="N1962">
        <v>0</v>
      </c>
      <c r="O1962" s="14">
        <v>46013</v>
      </c>
      <c r="P1962" s="14">
        <v>46058</v>
      </c>
      <c r="Q1962">
        <v>15637.06</v>
      </c>
      <c r="R1962">
        <v>0</v>
      </c>
      <c r="S1962">
        <v>0</v>
      </c>
      <c r="T1962">
        <v>0</v>
      </c>
      <c r="U1962">
        <v>0</v>
      </c>
      <c r="V1962">
        <v>15637.06</v>
      </c>
      <c r="W1962">
        <v>0</v>
      </c>
      <c r="X1962">
        <v>1</v>
      </c>
      <c r="Y1962">
        <v>0</v>
      </c>
      <c r="Z1962">
        <v>-36</v>
      </c>
      <c r="AA1962">
        <v>1</v>
      </c>
      <c r="AB1962" s="13" t="s">
        <v>581</v>
      </c>
      <c r="AC1962">
        <v>0</v>
      </c>
      <c r="AD1962">
        <v>0</v>
      </c>
      <c r="AE1962" s="13" t="s">
        <v>61</v>
      </c>
    </row>
    <row r="1963" spans="1:31" x14ac:dyDescent="0.35">
      <c r="A1963" s="13" t="s">
        <v>2781</v>
      </c>
      <c r="B1963" s="13" t="s">
        <v>206</v>
      </c>
      <c r="C1963" s="13" t="s">
        <v>207</v>
      </c>
      <c r="D1963" s="13" t="s">
        <v>52</v>
      </c>
      <c r="E1963" s="13" t="s">
        <v>65</v>
      </c>
      <c r="F1963" s="13" t="s">
        <v>111</v>
      </c>
      <c r="G1963" s="13" t="s">
        <v>92</v>
      </c>
      <c r="H1963">
        <v>490000</v>
      </c>
      <c r="I1963" s="13" t="s">
        <v>86</v>
      </c>
      <c r="J1963" s="13" t="s">
        <v>87</v>
      </c>
      <c r="K1963" s="13" t="s">
        <v>58</v>
      </c>
      <c r="L1963" s="13" t="s">
        <v>88</v>
      </c>
      <c r="M1963">
        <v>60</v>
      </c>
      <c r="N1963">
        <v>0</v>
      </c>
      <c r="O1963" s="14">
        <v>46013</v>
      </c>
      <c r="P1963" s="14">
        <v>46073</v>
      </c>
      <c r="Q1963">
        <v>8651.64</v>
      </c>
      <c r="R1963">
        <v>0</v>
      </c>
      <c r="S1963">
        <v>0</v>
      </c>
      <c r="T1963">
        <v>0</v>
      </c>
      <c r="U1963">
        <v>0</v>
      </c>
      <c r="V1963">
        <v>8651.64</v>
      </c>
      <c r="W1963">
        <v>0</v>
      </c>
      <c r="X1963">
        <v>1</v>
      </c>
      <c r="Y1963">
        <v>0</v>
      </c>
      <c r="Z1963">
        <v>-51</v>
      </c>
      <c r="AA1963">
        <v>1</v>
      </c>
      <c r="AB1963" s="13" t="s">
        <v>581</v>
      </c>
      <c r="AC1963">
        <v>0</v>
      </c>
      <c r="AD1963">
        <v>0</v>
      </c>
      <c r="AE1963" s="13" t="s">
        <v>61</v>
      </c>
    </row>
    <row r="1964" spans="1:31" x14ac:dyDescent="0.35">
      <c r="A1964" s="13" t="s">
        <v>2782</v>
      </c>
      <c r="B1964" s="13" t="s">
        <v>2232</v>
      </c>
      <c r="C1964" s="13" t="s">
        <v>2233</v>
      </c>
      <c r="D1964" s="13" t="s">
        <v>104</v>
      </c>
      <c r="E1964" s="13" t="s">
        <v>77</v>
      </c>
      <c r="F1964" s="13" t="s">
        <v>174</v>
      </c>
      <c r="G1964" s="13" t="s">
        <v>67</v>
      </c>
      <c r="H1964">
        <v>110000</v>
      </c>
      <c r="I1964" s="13" t="s">
        <v>105</v>
      </c>
      <c r="J1964" s="13" t="s">
        <v>106</v>
      </c>
      <c r="K1964" s="13" t="s">
        <v>107</v>
      </c>
      <c r="L1964" s="13" t="s">
        <v>95</v>
      </c>
      <c r="M1964">
        <v>30</v>
      </c>
      <c r="N1964">
        <v>0</v>
      </c>
      <c r="O1964" s="14">
        <v>46013</v>
      </c>
      <c r="P1964" s="14">
        <v>46043</v>
      </c>
      <c r="Q1964">
        <v>1518.42</v>
      </c>
      <c r="R1964">
        <v>0</v>
      </c>
      <c r="S1964">
        <v>0</v>
      </c>
      <c r="T1964">
        <v>0</v>
      </c>
      <c r="U1964">
        <v>0</v>
      </c>
      <c r="V1964">
        <v>1518.42</v>
      </c>
      <c r="W1964">
        <v>0</v>
      </c>
      <c r="X1964">
        <v>1</v>
      </c>
      <c r="Y1964">
        <v>0</v>
      </c>
      <c r="Z1964">
        <v>-21</v>
      </c>
      <c r="AA1964">
        <v>1</v>
      </c>
      <c r="AB1964" s="13" t="s">
        <v>581</v>
      </c>
      <c r="AC1964">
        <v>0</v>
      </c>
      <c r="AD1964">
        <v>0</v>
      </c>
      <c r="AE1964" s="13" t="s">
        <v>61</v>
      </c>
    </row>
    <row r="1965" spans="1:31" x14ac:dyDescent="0.35">
      <c r="A1965" s="13" t="s">
        <v>2783</v>
      </c>
      <c r="B1965" s="13" t="s">
        <v>1749</v>
      </c>
      <c r="C1965" s="13" t="s">
        <v>1750</v>
      </c>
      <c r="D1965" s="13" t="s">
        <v>76</v>
      </c>
      <c r="E1965" s="13" t="s">
        <v>99</v>
      </c>
      <c r="F1965" s="13" t="s">
        <v>127</v>
      </c>
      <c r="G1965" s="13" t="s">
        <v>92</v>
      </c>
      <c r="H1965">
        <v>25000</v>
      </c>
      <c r="I1965" s="13" t="s">
        <v>93</v>
      </c>
      <c r="J1965" s="13" t="s">
        <v>94</v>
      </c>
      <c r="K1965" s="13" t="s">
        <v>81</v>
      </c>
      <c r="L1965" s="13" t="s">
        <v>82</v>
      </c>
      <c r="M1965">
        <v>30</v>
      </c>
      <c r="N1965">
        <v>2</v>
      </c>
      <c r="O1965" s="14">
        <v>46013</v>
      </c>
      <c r="P1965" s="14">
        <v>46043</v>
      </c>
      <c r="Q1965">
        <v>2362.15</v>
      </c>
      <c r="R1965">
        <v>0</v>
      </c>
      <c r="S1965">
        <v>0</v>
      </c>
      <c r="T1965">
        <v>0</v>
      </c>
      <c r="U1965">
        <v>0</v>
      </c>
      <c r="V1965">
        <v>2362.15</v>
      </c>
      <c r="W1965">
        <v>0</v>
      </c>
      <c r="X1965">
        <v>1</v>
      </c>
      <c r="Y1965">
        <v>0</v>
      </c>
      <c r="Z1965">
        <v>-21</v>
      </c>
      <c r="AA1965">
        <v>1</v>
      </c>
      <c r="AB1965" s="13" t="s">
        <v>581</v>
      </c>
      <c r="AC1965">
        <v>0</v>
      </c>
      <c r="AD1965">
        <v>0</v>
      </c>
      <c r="AE1965" s="13" t="s">
        <v>61</v>
      </c>
    </row>
    <row r="1966" spans="1:31" x14ac:dyDescent="0.35">
      <c r="A1966" s="13" t="s">
        <v>2784</v>
      </c>
      <c r="B1966" s="13" t="s">
        <v>212</v>
      </c>
      <c r="C1966" s="13" t="s">
        <v>213</v>
      </c>
      <c r="D1966" s="13" t="s">
        <v>52</v>
      </c>
      <c r="E1966" s="13" t="s">
        <v>71</v>
      </c>
      <c r="F1966" s="13" t="s">
        <v>214</v>
      </c>
      <c r="G1966" s="13" t="s">
        <v>92</v>
      </c>
      <c r="H1966">
        <v>380000</v>
      </c>
      <c r="I1966" s="13" t="s">
        <v>86</v>
      </c>
      <c r="J1966" s="13" t="s">
        <v>87</v>
      </c>
      <c r="K1966" s="13" t="s">
        <v>58</v>
      </c>
      <c r="L1966" s="13" t="s">
        <v>88</v>
      </c>
      <c r="M1966">
        <v>60</v>
      </c>
      <c r="N1966">
        <v>0</v>
      </c>
      <c r="O1966" s="14">
        <v>46013</v>
      </c>
      <c r="P1966" s="14">
        <v>46073</v>
      </c>
      <c r="Q1966">
        <v>6675.67</v>
      </c>
      <c r="R1966">
        <v>0</v>
      </c>
      <c r="S1966">
        <v>0</v>
      </c>
      <c r="T1966">
        <v>0</v>
      </c>
      <c r="U1966">
        <v>0</v>
      </c>
      <c r="V1966">
        <v>6675.67</v>
      </c>
      <c r="W1966">
        <v>0</v>
      </c>
      <c r="X1966">
        <v>1</v>
      </c>
      <c r="Y1966">
        <v>0</v>
      </c>
      <c r="Z1966">
        <v>-51</v>
      </c>
      <c r="AA1966">
        <v>1</v>
      </c>
      <c r="AB1966" s="13" t="s">
        <v>581</v>
      </c>
      <c r="AC1966">
        <v>0</v>
      </c>
      <c r="AD1966">
        <v>0</v>
      </c>
      <c r="AE1966" s="13" t="s">
        <v>61</v>
      </c>
    </row>
    <row r="1967" spans="1:31" x14ac:dyDescent="0.35">
      <c r="A1967" s="13" t="s">
        <v>2785</v>
      </c>
      <c r="B1967" s="13" t="s">
        <v>605</v>
      </c>
      <c r="C1967" s="13" t="s">
        <v>606</v>
      </c>
      <c r="D1967" s="13" t="s">
        <v>52</v>
      </c>
      <c r="E1967" s="13" t="s">
        <v>65</v>
      </c>
      <c r="F1967" s="13" t="s">
        <v>66</v>
      </c>
      <c r="G1967" s="13" t="s">
        <v>67</v>
      </c>
      <c r="H1967">
        <v>335000</v>
      </c>
      <c r="I1967" s="13" t="s">
        <v>86</v>
      </c>
      <c r="J1967" s="13" t="s">
        <v>87</v>
      </c>
      <c r="K1967" s="13" t="s">
        <v>58</v>
      </c>
      <c r="L1967" s="13" t="s">
        <v>59</v>
      </c>
      <c r="M1967">
        <v>45</v>
      </c>
      <c r="N1967">
        <v>0</v>
      </c>
      <c r="O1967" s="14">
        <v>46013</v>
      </c>
      <c r="P1967" s="14">
        <v>46058</v>
      </c>
      <c r="Q1967">
        <v>1986.89</v>
      </c>
      <c r="R1967">
        <v>0</v>
      </c>
      <c r="S1967">
        <v>0</v>
      </c>
      <c r="T1967">
        <v>0</v>
      </c>
      <c r="U1967">
        <v>0</v>
      </c>
      <c r="V1967">
        <v>1986.89</v>
      </c>
      <c r="W1967">
        <v>0</v>
      </c>
      <c r="X1967">
        <v>1</v>
      </c>
      <c r="Y1967">
        <v>0</v>
      </c>
      <c r="Z1967">
        <v>-36</v>
      </c>
      <c r="AA1967">
        <v>1</v>
      </c>
      <c r="AB1967" s="13" t="s">
        <v>581</v>
      </c>
      <c r="AC1967">
        <v>0</v>
      </c>
      <c r="AD1967">
        <v>0</v>
      </c>
      <c r="AE1967" s="13" t="s">
        <v>61</v>
      </c>
    </row>
    <row r="1968" spans="1:31" x14ac:dyDescent="0.35">
      <c r="A1968" s="13" t="s">
        <v>2786</v>
      </c>
      <c r="B1968" s="13" t="s">
        <v>113</v>
      </c>
      <c r="C1968" s="13" t="s">
        <v>114</v>
      </c>
      <c r="D1968" s="13" t="s">
        <v>52</v>
      </c>
      <c r="E1968" s="13" t="s">
        <v>77</v>
      </c>
      <c r="F1968" s="13" t="s">
        <v>78</v>
      </c>
      <c r="G1968" s="13" t="s">
        <v>92</v>
      </c>
      <c r="H1968">
        <v>545000</v>
      </c>
      <c r="I1968" s="13" t="s">
        <v>86</v>
      </c>
      <c r="J1968" s="13" t="s">
        <v>87</v>
      </c>
      <c r="K1968" s="13" t="s">
        <v>58</v>
      </c>
      <c r="L1968" s="13" t="s">
        <v>88</v>
      </c>
      <c r="M1968">
        <v>60</v>
      </c>
      <c r="N1968">
        <v>0</v>
      </c>
      <c r="O1968" s="14">
        <v>46013</v>
      </c>
      <c r="P1968" s="14">
        <v>46073</v>
      </c>
      <c r="Q1968">
        <v>10946.44</v>
      </c>
      <c r="R1968">
        <v>0</v>
      </c>
      <c r="S1968">
        <v>0</v>
      </c>
      <c r="T1968">
        <v>0</v>
      </c>
      <c r="U1968">
        <v>0</v>
      </c>
      <c r="V1968">
        <v>10946.44</v>
      </c>
      <c r="W1968">
        <v>0</v>
      </c>
      <c r="X1968">
        <v>1</v>
      </c>
      <c r="Y1968">
        <v>0</v>
      </c>
      <c r="Z1968">
        <v>-51</v>
      </c>
      <c r="AA1968">
        <v>1</v>
      </c>
      <c r="AB1968" s="13" t="s">
        <v>581</v>
      </c>
      <c r="AC1968">
        <v>0</v>
      </c>
      <c r="AD1968">
        <v>0</v>
      </c>
      <c r="AE1968" s="13" t="s">
        <v>61</v>
      </c>
    </row>
    <row r="1969" spans="1:31" x14ac:dyDescent="0.35">
      <c r="A1969" s="13" t="s">
        <v>2787</v>
      </c>
      <c r="B1969" s="13" t="s">
        <v>50</v>
      </c>
      <c r="C1969" s="13" t="s">
        <v>51</v>
      </c>
      <c r="D1969" s="13" t="s">
        <v>52</v>
      </c>
      <c r="E1969" s="13" t="s">
        <v>53</v>
      </c>
      <c r="F1969" s="13" t="s">
        <v>54</v>
      </c>
      <c r="G1969" s="13" t="s">
        <v>55</v>
      </c>
      <c r="H1969">
        <v>585000</v>
      </c>
      <c r="I1969" s="13" t="s">
        <v>56</v>
      </c>
      <c r="J1969" s="13" t="s">
        <v>57</v>
      </c>
      <c r="K1969" s="13" t="s">
        <v>58</v>
      </c>
      <c r="L1969" s="13" t="s">
        <v>59</v>
      </c>
      <c r="M1969">
        <v>45</v>
      </c>
      <c r="N1969">
        <v>0</v>
      </c>
      <c r="O1969" s="14">
        <v>46013</v>
      </c>
      <c r="P1969" s="14">
        <v>46058</v>
      </c>
      <c r="Q1969">
        <v>7827.72</v>
      </c>
      <c r="R1969">
        <v>0</v>
      </c>
      <c r="S1969">
        <v>0</v>
      </c>
      <c r="T1969">
        <v>0</v>
      </c>
      <c r="U1969">
        <v>0</v>
      </c>
      <c r="V1969">
        <v>7827.72</v>
      </c>
      <c r="W1969">
        <v>0</v>
      </c>
      <c r="X1969">
        <v>1</v>
      </c>
      <c r="Y1969">
        <v>0</v>
      </c>
      <c r="Z1969">
        <v>-36</v>
      </c>
      <c r="AA1969">
        <v>1</v>
      </c>
      <c r="AB1969" s="13" t="s">
        <v>581</v>
      </c>
      <c r="AC1969">
        <v>0</v>
      </c>
      <c r="AD1969">
        <v>0</v>
      </c>
      <c r="AE1969" s="13" t="s">
        <v>61</v>
      </c>
    </row>
    <row r="1970" spans="1:31" x14ac:dyDescent="0.35">
      <c r="A1970" s="13" t="s">
        <v>2788</v>
      </c>
      <c r="B1970" s="13" t="s">
        <v>2413</v>
      </c>
      <c r="C1970" s="13" t="s">
        <v>2414</v>
      </c>
      <c r="D1970" s="13" t="s">
        <v>76</v>
      </c>
      <c r="E1970" s="13" t="s">
        <v>99</v>
      </c>
      <c r="F1970" s="13" t="s">
        <v>100</v>
      </c>
      <c r="G1970" s="13" t="s">
        <v>55</v>
      </c>
      <c r="H1970">
        <v>80000</v>
      </c>
      <c r="I1970" s="13" t="s">
        <v>79</v>
      </c>
      <c r="J1970" s="13" t="s">
        <v>80</v>
      </c>
      <c r="K1970" s="13" t="s">
        <v>81</v>
      </c>
      <c r="L1970" s="13" t="s">
        <v>95</v>
      </c>
      <c r="M1970">
        <v>30</v>
      </c>
      <c r="N1970">
        <v>0</v>
      </c>
      <c r="O1970" s="14">
        <v>46013</v>
      </c>
      <c r="P1970" s="14">
        <v>46043</v>
      </c>
      <c r="Q1970">
        <v>780.54</v>
      </c>
      <c r="R1970">
        <v>0</v>
      </c>
      <c r="S1970">
        <v>0</v>
      </c>
      <c r="T1970">
        <v>0</v>
      </c>
      <c r="U1970">
        <v>0</v>
      </c>
      <c r="V1970">
        <v>780.54</v>
      </c>
      <c r="W1970">
        <v>0</v>
      </c>
      <c r="X1970">
        <v>1</v>
      </c>
      <c r="Y1970">
        <v>0</v>
      </c>
      <c r="Z1970">
        <v>-21</v>
      </c>
      <c r="AA1970">
        <v>1</v>
      </c>
      <c r="AB1970" s="13" t="s">
        <v>581</v>
      </c>
      <c r="AC1970">
        <v>0</v>
      </c>
      <c r="AD1970">
        <v>0</v>
      </c>
      <c r="AE1970" s="13" t="s">
        <v>61</v>
      </c>
    </row>
    <row r="1971" spans="1:31" x14ac:dyDescent="0.35">
      <c r="A1971" s="13" t="s">
        <v>2789</v>
      </c>
      <c r="B1971" s="13" t="s">
        <v>2790</v>
      </c>
      <c r="C1971" s="13" t="s">
        <v>2791</v>
      </c>
      <c r="D1971" s="13" t="s">
        <v>76</v>
      </c>
      <c r="E1971" s="13" t="s">
        <v>53</v>
      </c>
      <c r="F1971" s="13" t="s">
        <v>54</v>
      </c>
      <c r="G1971" s="13" t="s">
        <v>67</v>
      </c>
      <c r="H1971">
        <v>65000</v>
      </c>
      <c r="I1971" s="13" t="s">
        <v>79</v>
      </c>
      <c r="J1971" s="13" t="s">
        <v>80</v>
      </c>
      <c r="K1971" s="13" t="s">
        <v>81</v>
      </c>
      <c r="L1971" s="13" t="s">
        <v>82</v>
      </c>
      <c r="M1971">
        <v>30</v>
      </c>
      <c r="N1971">
        <v>2</v>
      </c>
      <c r="O1971" s="14">
        <v>46013</v>
      </c>
      <c r="P1971" s="14">
        <v>46043</v>
      </c>
      <c r="Q1971">
        <v>4697.66</v>
      </c>
      <c r="R1971">
        <v>0</v>
      </c>
      <c r="S1971">
        <v>0</v>
      </c>
      <c r="T1971">
        <v>0</v>
      </c>
      <c r="U1971">
        <v>0</v>
      </c>
      <c r="V1971">
        <v>4697.66</v>
      </c>
      <c r="W1971">
        <v>0</v>
      </c>
      <c r="X1971">
        <v>1</v>
      </c>
      <c r="Y1971">
        <v>0</v>
      </c>
      <c r="Z1971">
        <v>-21</v>
      </c>
      <c r="AA1971">
        <v>1</v>
      </c>
      <c r="AB1971" s="13" t="s">
        <v>581</v>
      </c>
      <c r="AC1971">
        <v>0</v>
      </c>
      <c r="AD1971">
        <v>0</v>
      </c>
      <c r="AE1971" s="13" t="s">
        <v>61</v>
      </c>
    </row>
    <row r="1972" spans="1:31" x14ac:dyDescent="0.35">
      <c r="A1972" s="13" t="s">
        <v>2792</v>
      </c>
      <c r="B1972" s="13" t="s">
        <v>1027</v>
      </c>
      <c r="C1972" s="13" t="s">
        <v>1028</v>
      </c>
      <c r="D1972" s="13" t="s">
        <v>104</v>
      </c>
      <c r="E1972" s="13" t="s">
        <v>53</v>
      </c>
      <c r="F1972" s="13" t="s">
        <v>54</v>
      </c>
      <c r="G1972" s="13" t="s">
        <v>67</v>
      </c>
      <c r="H1972">
        <v>40000</v>
      </c>
      <c r="I1972" s="13" t="s">
        <v>121</v>
      </c>
      <c r="J1972" s="13" t="s">
        <v>122</v>
      </c>
      <c r="K1972" s="13" t="s">
        <v>107</v>
      </c>
      <c r="L1972" s="13" t="s">
        <v>88</v>
      </c>
      <c r="M1972">
        <v>60</v>
      </c>
      <c r="N1972">
        <v>0</v>
      </c>
      <c r="O1972" s="14">
        <v>46013</v>
      </c>
      <c r="P1972" s="14">
        <v>46073</v>
      </c>
      <c r="Q1972">
        <v>1584.69</v>
      </c>
      <c r="R1972">
        <v>0</v>
      </c>
      <c r="S1972">
        <v>0</v>
      </c>
      <c r="T1972">
        <v>0</v>
      </c>
      <c r="U1972">
        <v>0</v>
      </c>
      <c r="V1972">
        <v>1584.69</v>
      </c>
      <c r="W1972">
        <v>0</v>
      </c>
      <c r="X1972">
        <v>1</v>
      </c>
      <c r="Y1972">
        <v>0</v>
      </c>
      <c r="Z1972">
        <v>-51</v>
      </c>
      <c r="AA1972">
        <v>1</v>
      </c>
      <c r="AB1972" s="13" t="s">
        <v>581</v>
      </c>
      <c r="AC1972">
        <v>0</v>
      </c>
      <c r="AD1972">
        <v>0</v>
      </c>
      <c r="AE1972" s="13" t="s">
        <v>61</v>
      </c>
    </row>
    <row r="1973" spans="1:31" x14ac:dyDescent="0.35">
      <c r="A1973" s="13" t="s">
        <v>2793</v>
      </c>
      <c r="B1973" s="13" t="s">
        <v>244</v>
      </c>
      <c r="C1973" s="13" t="s">
        <v>245</v>
      </c>
      <c r="D1973" s="13" t="s">
        <v>52</v>
      </c>
      <c r="E1973" s="13" t="s">
        <v>65</v>
      </c>
      <c r="F1973" s="13" t="s">
        <v>111</v>
      </c>
      <c r="G1973" s="13" t="s">
        <v>55</v>
      </c>
      <c r="H1973">
        <v>590000</v>
      </c>
      <c r="I1973" s="13" t="s">
        <v>86</v>
      </c>
      <c r="J1973" s="13" t="s">
        <v>87</v>
      </c>
      <c r="K1973" s="13" t="s">
        <v>58</v>
      </c>
      <c r="L1973" s="13" t="s">
        <v>59</v>
      </c>
      <c r="M1973">
        <v>45</v>
      </c>
      <c r="N1973">
        <v>0</v>
      </c>
      <c r="O1973" s="14">
        <v>46014</v>
      </c>
      <c r="P1973" s="14">
        <v>46059</v>
      </c>
      <c r="Q1973">
        <v>13849.12</v>
      </c>
      <c r="R1973">
        <v>0</v>
      </c>
      <c r="S1973">
        <v>0</v>
      </c>
      <c r="T1973">
        <v>0</v>
      </c>
      <c r="U1973">
        <v>0</v>
      </c>
      <c r="V1973">
        <v>13849.12</v>
      </c>
      <c r="W1973">
        <v>0</v>
      </c>
      <c r="X1973">
        <v>1</v>
      </c>
      <c r="Y1973">
        <v>0</v>
      </c>
      <c r="Z1973">
        <v>-37</v>
      </c>
      <c r="AA1973">
        <v>1</v>
      </c>
      <c r="AB1973" s="13" t="s">
        <v>581</v>
      </c>
      <c r="AC1973">
        <v>0</v>
      </c>
      <c r="AD1973">
        <v>0</v>
      </c>
      <c r="AE1973" s="13" t="s">
        <v>61</v>
      </c>
    </row>
    <row r="1974" spans="1:31" x14ac:dyDescent="0.35">
      <c r="A1974" s="13" t="s">
        <v>2794</v>
      </c>
      <c r="B1974" s="13" t="s">
        <v>1237</v>
      </c>
      <c r="C1974" s="13" t="s">
        <v>1238</v>
      </c>
      <c r="D1974" s="13" t="s">
        <v>104</v>
      </c>
      <c r="E1974" s="13" t="s">
        <v>99</v>
      </c>
      <c r="F1974" s="13" t="s">
        <v>127</v>
      </c>
      <c r="G1974" s="13" t="s">
        <v>67</v>
      </c>
      <c r="H1974">
        <v>125000</v>
      </c>
      <c r="I1974" s="13" t="s">
        <v>121</v>
      </c>
      <c r="J1974" s="13" t="s">
        <v>122</v>
      </c>
      <c r="K1974" s="13" t="s">
        <v>107</v>
      </c>
      <c r="L1974" s="13" t="s">
        <v>95</v>
      </c>
      <c r="M1974">
        <v>30</v>
      </c>
      <c r="N1974">
        <v>0</v>
      </c>
      <c r="O1974" s="14">
        <v>46014</v>
      </c>
      <c r="P1974" s="14">
        <v>46044</v>
      </c>
      <c r="Q1974">
        <v>4608.84</v>
      </c>
      <c r="R1974">
        <v>0</v>
      </c>
      <c r="S1974">
        <v>0</v>
      </c>
      <c r="T1974">
        <v>0</v>
      </c>
      <c r="U1974">
        <v>0</v>
      </c>
      <c r="V1974">
        <v>4608.84</v>
      </c>
      <c r="W1974">
        <v>0</v>
      </c>
      <c r="X1974">
        <v>1</v>
      </c>
      <c r="Y1974">
        <v>0</v>
      </c>
      <c r="Z1974">
        <v>-22</v>
      </c>
      <c r="AA1974">
        <v>1</v>
      </c>
      <c r="AB1974" s="13" t="s">
        <v>581</v>
      </c>
      <c r="AC1974">
        <v>0</v>
      </c>
      <c r="AD1974">
        <v>0</v>
      </c>
      <c r="AE1974" s="13" t="s">
        <v>61</v>
      </c>
    </row>
    <row r="1975" spans="1:31" x14ac:dyDescent="0.35">
      <c r="A1975" s="13" t="s">
        <v>2795</v>
      </c>
      <c r="B1975" s="13" t="s">
        <v>222</v>
      </c>
      <c r="C1975" s="13" t="s">
        <v>223</v>
      </c>
      <c r="D1975" s="13" t="s">
        <v>52</v>
      </c>
      <c r="E1975" s="13" t="s">
        <v>65</v>
      </c>
      <c r="F1975" s="13" t="s">
        <v>66</v>
      </c>
      <c r="G1975" s="13" t="s">
        <v>92</v>
      </c>
      <c r="H1975">
        <v>430000</v>
      </c>
      <c r="I1975" s="13" t="s">
        <v>56</v>
      </c>
      <c r="J1975" s="13" t="s">
        <v>57</v>
      </c>
      <c r="K1975" s="13" t="s">
        <v>58</v>
      </c>
      <c r="L1975" s="13" t="s">
        <v>59</v>
      </c>
      <c r="M1975">
        <v>45</v>
      </c>
      <c r="N1975">
        <v>0</v>
      </c>
      <c r="O1975" s="14">
        <v>46014</v>
      </c>
      <c r="P1975" s="14">
        <v>46059</v>
      </c>
      <c r="Q1975">
        <v>17709.37</v>
      </c>
      <c r="R1975">
        <v>0</v>
      </c>
      <c r="S1975">
        <v>0</v>
      </c>
      <c r="T1975">
        <v>0</v>
      </c>
      <c r="U1975">
        <v>0</v>
      </c>
      <c r="V1975">
        <v>17709.37</v>
      </c>
      <c r="W1975">
        <v>0</v>
      </c>
      <c r="X1975">
        <v>1</v>
      </c>
      <c r="Y1975">
        <v>0</v>
      </c>
      <c r="Z1975">
        <v>-37</v>
      </c>
      <c r="AA1975">
        <v>1</v>
      </c>
      <c r="AB1975" s="13" t="s">
        <v>581</v>
      </c>
      <c r="AC1975">
        <v>0</v>
      </c>
      <c r="AD1975">
        <v>0</v>
      </c>
      <c r="AE1975" s="13" t="s">
        <v>61</v>
      </c>
    </row>
    <row r="1976" spans="1:31" x14ac:dyDescent="0.35">
      <c r="A1976" s="13" t="s">
        <v>2796</v>
      </c>
      <c r="B1976" s="13" t="s">
        <v>452</v>
      </c>
      <c r="C1976" s="13" t="s">
        <v>453</v>
      </c>
      <c r="D1976" s="13" t="s">
        <v>126</v>
      </c>
      <c r="E1976" s="13" t="s">
        <v>71</v>
      </c>
      <c r="F1976" s="13" t="s">
        <v>214</v>
      </c>
      <c r="G1976" s="13" t="s">
        <v>67</v>
      </c>
      <c r="H1976">
        <v>110000</v>
      </c>
      <c r="I1976" s="13" t="s">
        <v>121</v>
      </c>
      <c r="J1976" s="13" t="s">
        <v>122</v>
      </c>
      <c r="K1976" s="13" t="s">
        <v>107</v>
      </c>
      <c r="L1976" s="13" t="s">
        <v>368</v>
      </c>
      <c r="M1976">
        <v>90</v>
      </c>
      <c r="N1976">
        <v>0</v>
      </c>
      <c r="O1976" s="14">
        <v>46014</v>
      </c>
      <c r="P1976" s="14">
        <v>46104</v>
      </c>
      <c r="Q1976">
        <v>10022.370000000001</v>
      </c>
      <c r="R1976">
        <v>0</v>
      </c>
      <c r="S1976">
        <v>0</v>
      </c>
      <c r="T1976">
        <v>0</v>
      </c>
      <c r="U1976">
        <v>0</v>
      </c>
      <c r="V1976">
        <v>10022.370000000001</v>
      </c>
      <c r="W1976">
        <v>0</v>
      </c>
      <c r="X1976">
        <v>1</v>
      </c>
      <c r="Y1976">
        <v>0</v>
      </c>
      <c r="Z1976">
        <v>-82</v>
      </c>
      <c r="AA1976">
        <v>1</v>
      </c>
      <c r="AB1976" s="13" t="s">
        <v>581</v>
      </c>
      <c r="AC1976">
        <v>0</v>
      </c>
      <c r="AD1976">
        <v>0</v>
      </c>
      <c r="AE1976" s="13" t="s">
        <v>61</v>
      </c>
    </row>
    <row r="1977" spans="1:31" x14ac:dyDescent="0.35">
      <c r="A1977" s="13" t="s">
        <v>2797</v>
      </c>
      <c r="B1977" s="13" t="s">
        <v>1115</v>
      </c>
      <c r="C1977" s="13" t="s">
        <v>1116</v>
      </c>
      <c r="D1977" s="13" t="s">
        <v>52</v>
      </c>
      <c r="E1977" s="13" t="s">
        <v>65</v>
      </c>
      <c r="F1977" s="13" t="s">
        <v>66</v>
      </c>
      <c r="G1977" s="13" t="s">
        <v>92</v>
      </c>
      <c r="H1977">
        <v>300000</v>
      </c>
      <c r="I1977" s="13" t="s">
        <v>56</v>
      </c>
      <c r="J1977" s="13" t="s">
        <v>57</v>
      </c>
      <c r="K1977" s="13" t="s">
        <v>58</v>
      </c>
      <c r="L1977" s="13" t="s">
        <v>59</v>
      </c>
      <c r="M1977">
        <v>45</v>
      </c>
      <c r="N1977">
        <v>0</v>
      </c>
      <c r="O1977" s="14">
        <v>46014</v>
      </c>
      <c r="P1977" s="14">
        <v>46059</v>
      </c>
      <c r="Q1977">
        <v>16445.740000000002</v>
      </c>
      <c r="R1977">
        <v>0</v>
      </c>
      <c r="S1977">
        <v>0</v>
      </c>
      <c r="T1977">
        <v>0</v>
      </c>
      <c r="U1977">
        <v>0</v>
      </c>
      <c r="V1977">
        <v>16445.740000000002</v>
      </c>
      <c r="W1977">
        <v>0</v>
      </c>
      <c r="X1977">
        <v>1</v>
      </c>
      <c r="Y1977">
        <v>0</v>
      </c>
      <c r="Z1977">
        <v>-37</v>
      </c>
      <c r="AA1977">
        <v>1</v>
      </c>
      <c r="AB1977" s="13" t="s">
        <v>581</v>
      </c>
      <c r="AC1977">
        <v>0</v>
      </c>
      <c r="AD1977">
        <v>0</v>
      </c>
      <c r="AE1977" s="13" t="s">
        <v>61</v>
      </c>
    </row>
    <row r="1978" spans="1:31" x14ac:dyDescent="0.35">
      <c r="A1978" s="13" t="s">
        <v>2798</v>
      </c>
      <c r="B1978" s="13" t="s">
        <v>1247</v>
      </c>
      <c r="C1978" s="13" t="s">
        <v>1248</v>
      </c>
      <c r="D1978" s="13" t="s">
        <v>52</v>
      </c>
      <c r="E1978" s="13" t="s">
        <v>99</v>
      </c>
      <c r="F1978" s="13" t="s">
        <v>100</v>
      </c>
      <c r="G1978" s="13" t="s">
        <v>55</v>
      </c>
      <c r="H1978">
        <v>600000</v>
      </c>
      <c r="I1978" s="13" t="s">
        <v>56</v>
      </c>
      <c r="J1978" s="13" t="s">
        <v>57</v>
      </c>
      <c r="K1978" s="13" t="s">
        <v>58</v>
      </c>
      <c r="L1978" s="13" t="s">
        <v>59</v>
      </c>
      <c r="M1978">
        <v>45</v>
      </c>
      <c r="N1978">
        <v>0</v>
      </c>
      <c r="O1978" s="14">
        <v>46014</v>
      </c>
      <c r="P1978" s="14">
        <v>46059</v>
      </c>
      <c r="Q1978">
        <v>1774.86</v>
      </c>
      <c r="R1978">
        <v>0</v>
      </c>
      <c r="S1978">
        <v>0</v>
      </c>
      <c r="T1978">
        <v>0</v>
      </c>
      <c r="U1978">
        <v>0</v>
      </c>
      <c r="V1978">
        <v>1774.86</v>
      </c>
      <c r="W1978">
        <v>0</v>
      </c>
      <c r="X1978">
        <v>1</v>
      </c>
      <c r="Y1978">
        <v>0</v>
      </c>
      <c r="Z1978">
        <v>-37</v>
      </c>
      <c r="AA1978">
        <v>1</v>
      </c>
      <c r="AB1978" s="13" t="s">
        <v>581</v>
      </c>
      <c r="AC1978">
        <v>0</v>
      </c>
      <c r="AD1978">
        <v>0</v>
      </c>
      <c r="AE1978" s="13" t="s">
        <v>61</v>
      </c>
    </row>
    <row r="1979" spans="1:31" x14ac:dyDescent="0.35">
      <c r="A1979" s="13" t="s">
        <v>2799</v>
      </c>
      <c r="B1979" s="13" t="s">
        <v>1296</v>
      </c>
      <c r="C1979" s="13" t="s">
        <v>1297</v>
      </c>
      <c r="D1979" s="13" t="s">
        <v>104</v>
      </c>
      <c r="E1979" s="13" t="s">
        <v>99</v>
      </c>
      <c r="F1979" s="13" t="s">
        <v>127</v>
      </c>
      <c r="G1979" s="13" t="s">
        <v>55</v>
      </c>
      <c r="H1979">
        <v>85000</v>
      </c>
      <c r="I1979" s="13" t="s">
        <v>121</v>
      </c>
      <c r="J1979" s="13" t="s">
        <v>122</v>
      </c>
      <c r="K1979" s="13" t="s">
        <v>107</v>
      </c>
      <c r="L1979" s="13" t="s">
        <v>95</v>
      </c>
      <c r="M1979">
        <v>30</v>
      </c>
      <c r="N1979">
        <v>0</v>
      </c>
      <c r="O1979" s="14">
        <v>46014</v>
      </c>
      <c r="P1979" s="14">
        <v>46044</v>
      </c>
      <c r="Q1979">
        <v>8484.9</v>
      </c>
      <c r="R1979">
        <v>0</v>
      </c>
      <c r="S1979">
        <v>0</v>
      </c>
      <c r="T1979">
        <v>0</v>
      </c>
      <c r="U1979">
        <v>0</v>
      </c>
      <c r="V1979">
        <v>8484.9</v>
      </c>
      <c r="W1979">
        <v>0</v>
      </c>
      <c r="X1979">
        <v>1</v>
      </c>
      <c r="Y1979">
        <v>0</v>
      </c>
      <c r="Z1979">
        <v>-22</v>
      </c>
      <c r="AA1979">
        <v>1</v>
      </c>
      <c r="AB1979" s="13" t="s">
        <v>581</v>
      </c>
      <c r="AC1979">
        <v>0</v>
      </c>
      <c r="AD1979">
        <v>0</v>
      </c>
      <c r="AE1979" s="13" t="s">
        <v>61</v>
      </c>
    </row>
    <row r="1980" spans="1:31" x14ac:dyDescent="0.35">
      <c r="A1980" s="13" t="s">
        <v>2800</v>
      </c>
      <c r="B1980" s="13" t="s">
        <v>270</v>
      </c>
      <c r="C1980" s="13" t="s">
        <v>271</v>
      </c>
      <c r="D1980" s="13" t="s">
        <v>52</v>
      </c>
      <c r="E1980" s="13" t="s">
        <v>71</v>
      </c>
      <c r="F1980" s="13" t="s">
        <v>72</v>
      </c>
      <c r="G1980" s="13" t="s">
        <v>67</v>
      </c>
      <c r="H1980">
        <v>555000</v>
      </c>
      <c r="I1980" s="13" t="s">
        <v>56</v>
      </c>
      <c r="J1980" s="13" t="s">
        <v>57</v>
      </c>
      <c r="K1980" s="13" t="s">
        <v>58</v>
      </c>
      <c r="L1980" s="13" t="s">
        <v>88</v>
      </c>
      <c r="M1980">
        <v>60</v>
      </c>
      <c r="N1980">
        <v>0</v>
      </c>
      <c r="O1980" s="14">
        <v>46014</v>
      </c>
      <c r="P1980" s="14">
        <v>46074</v>
      </c>
      <c r="Q1980">
        <v>5753.4</v>
      </c>
      <c r="R1980">
        <v>0</v>
      </c>
      <c r="S1980">
        <v>0</v>
      </c>
      <c r="T1980">
        <v>0</v>
      </c>
      <c r="U1980">
        <v>0</v>
      </c>
      <c r="V1980">
        <v>5753.4</v>
      </c>
      <c r="W1980">
        <v>0</v>
      </c>
      <c r="X1980">
        <v>1</v>
      </c>
      <c r="Y1980">
        <v>0</v>
      </c>
      <c r="Z1980">
        <v>-52</v>
      </c>
      <c r="AA1980">
        <v>1</v>
      </c>
      <c r="AB1980" s="13" t="s">
        <v>581</v>
      </c>
      <c r="AC1980">
        <v>0</v>
      </c>
      <c r="AD1980">
        <v>0</v>
      </c>
      <c r="AE1980" s="13" t="s">
        <v>61</v>
      </c>
    </row>
    <row r="1981" spans="1:31" x14ac:dyDescent="0.35">
      <c r="A1981" s="13" t="s">
        <v>2801</v>
      </c>
      <c r="B1981" s="13" t="s">
        <v>1336</v>
      </c>
      <c r="C1981" s="13" t="s">
        <v>1337</v>
      </c>
      <c r="D1981" s="13" t="s">
        <v>76</v>
      </c>
      <c r="E1981" s="13" t="s">
        <v>99</v>
      </c>
      <c r="F1981" s="13" t="s">
        <v>127</v>
      </c>
      <c r="G1981" s="13" t="s">
        <v>55</v>
      </c>
      <c r="H1981">
        <v>70000</v>
      </c>
      <c r="I1981" s="13" t="s">
        <v>93</v>
      </c>
      <c r="J1981" s="13" t="s">
        <v>94</v>
      </c>
      <c r="K1981" s="13" t="s">
        <v>81</v>
      </c>
      <c r="L1981" s="13" t="s">
        <v>82</v>
      </c>
      <c r="M1981">
        <v>30</v>
      </c>
      <c r="N1981">
        <v>2</v>
      </c>
      <c r="O1981" s="14">
        <v>46014</v>
      </c>
      <c r="P1981" s="14">
        <v>46044</v>
      </c>
      <c r="Q1981">
        <v>456.41</v>
      </c>
      <c r="R1981">
        <v>0</v>
      </c>
      <c r="S1981">
        <v>0</v>
      </c>
      <c r="T1981">
        <v>0</v>
      </c>
      <c r="U1981">
        <v>0</v>
      </c>
      <c r="V1981">
        <v>456.41</v>
      </c>
      <c r="W1981">
        <v>0</v>
      </c>
      <c r="X1981">
        <v>1</v>
      </c>
      <c r="Y1981">
        <v>0</v>
      </c>
      <c r="Z1981">
        <v>-22</v>
      </c>
      <c r="AA1981">
        <v>1</v>
      </c>
      <c r="AB1981" s="13" t="s">
        <v>581</v>
      </c>
      <c r="AC1981">
        <v>0</v>
      </c>
      <c r="AD1981">
        <v>0</v>
      </c>
      <c r="AE1981" s="13" t="s">
        <v>61</v>
      </c>
    </row>
    <row r="1982" spans="1:31" x14ac:dyDescent="0.35">
      <c r="A1982" s="13" t="s">
        <v>2802</v>
      </c>
      <c r="B1982" s="13" t="s">
        <v>1300</v>
      </c>
      <c r="C1982" s="13" t="s">
        <v>1301</v>
      </c>
      <c r="D1982" s="13" t="s">
        <v>126</v>
      </c>
      <c r="E1982" s="13" t="s">
        <v>65</v>
      </c>
      <c r="F1982" s="13" t="s">
        <v>66</v>
      </c>
      <c r="G1982" s="13" t="s">
        <v>67</v>
      </c>
      <c r="H1982">
        <v>95000</v>
      </c>
      <c r="I1982" s="13" t="s">
        <v>121</v>
      </c>
      <c r="J1982" s="13" t="s">
        <v>122</v>
      </c>
      <c r="K1982" s="13" t="s">
        <v>107</v>
      </c>
      <c r="L1982" s="13" t="s">
        <v>88</v>
      </c>
      <c r="M1982">
        <v>60</v>
      </c>
      <c r="N1982">
        <v>0</v>
      </c>
      <c r="O1982" s="14">
        <v>46014</v>
      </c>
      <c r="P1982" s="14">
        <v>46074</v>
      </c>
      <c r="Q1982">
        <v>1634.78</v>
      </c>
      <c r="R1982">
        <v>0</v>
      </c>
      <c r="S1982">
        <v>0</v>
      </c>
      <c r="T1982">
        <v>0</v>
      </c>
      <c r="U1982">
        <v>0</v>
      </c>
      <c r="V1982">
        <v>1634.78</v>
      </c>
      <c r="W1982">
        <v>0</v>
      </c>
      <c r="X1982">
        <v>1</v>
      </c>
      <c r="Y1982">
        <v>0</v>
      </c>
      <c r="Z1982">
        <v>-52</v>
      </c>
      <c r="AA1982">
        <v>1</v>
      </c>
      <c r="AB1982" s="13" t="s">
        <v>581</v>
      </c>
      <c r="AC1982">
        <v>0</v>
      </c>
      <c r="AD1982">
        <v>0</v>
      </c>
      <c r="AE1982" s="13" t="s">
        <v>61</v>
      </c>
    </row>
    <row r="1983" spans="1:31" x14ac:dyDescent="0.35">
      <c r="A1983" s="13" t="s">
        <v>2803</v>
      </c>
      <c r="B1983" s="13" t="s">
        <v>84</v>
      </c>
      <c r="C1983" s="13" t="s">
        <v>85</v>
      </c>
      <c r="D1983" s="13" t="s">
        <v>52</v>
      </c>
      <c r="E1983" s="13" t="s">
        <v>71</v>
      </c>
      <c r="F1983" s="13" t="s">
        <v>72</v>
      </c>
      <c r="G1983" s="13" t="s">
        <v>67</v>
      </c>
      <c r="H1983">
        <v>600000</v>
      </c>
      <c r="I1983" s="13" t="s">
        <v>86</v>
      </c>
      <c r="J1983" s="13" t="s">
        <v>87</v>
      </c>
      <c r="K1983" s="13" t="s">
        <v>58</v>
      </c>
      <c r="L1983" s="13" t="s">
        <v>88</v>
      </c>
      <c r="M1983">
        <v>60</v>
      </c>
      <c r="N1983">
        <v>0</v>
      </c>
      <c r="O1983" s="14">
        <v>46014</v>
      </c>
      <c r="P1983" s="14">
        <v>46074</v>
      </c>
      <c r="Q1983">
        <v>4384.3599999999997</v>
      </c>
      <c r="R1983">
        <v>0</v>
      </c>
      <c r="S1983">
        <v>0</v>
      </c>
      <c r="T1983">
        <v>0</v>
      </c>
      <c r="U1983">
        <v>0</v>
      </c>
      <c r="V1983">
        <v>4384.3599999999997</v>
      </c>
      <c r="W1983">
        <v>0</v>
      </c>
      <c r="X1983">
        <v>1</v>
      </c>
      <c r="Y1983">
        <v>0</v>
      </c>
      <c r="Z1983">
        <v>-52</v>
      </c>
      <c r="AA1983">
        <v>1</v>
      </c>
      <c r="AB1983" s="13" t="s">
        <v>581</v>
      </c>
      <c r="AC1983">
        <v>0</v>
      </c>
      <c r="AD1983">
        <v>0</v>
      </c>
      <c r="AE1983" s="13" t="s">
        <v>61</v>
      </c>
    </row>
    <row r="1984" spans="1:31" x14ac:dyDescent="0.35">
      <c r="A1984" s="13" t="s">
        <v>2804</v>
      </c>
      <c r="B1984" s="13" t="s">
        <v>1120</v>
      </c>
      <c r="C1984" s="13" t="s">
        <v>1121</v>
      </c>
      <c r="D1984" s="13" t="s">
        <v>76</v>
      </c>
      <c r="E1984" s="13" t="s">
        <v>77</v>
      </c>
      <c r="F1984" s="13" t="s">
        <v>174</v>
      </c>
      <c r="G1984" s="13" t="s">
        <v>67</v>
      </c>
      <c r="H1984">
        <v>105000</v>
      </c>
      <c r="I1984" s="13" t="s">
        <v>79</v>
      </c>
      <c r="J1984" s="13" t="s">
        <v>80</v>
      </c>
      <c r="K1984" s="13" t="s">
        <v>81</v>
      </c>
      <c r="L1984" s="13" t="s">
        <v>95</v>
      </c>
      <c r="M1984">
        <v>30</v>
      </c>
      <c r="N1984">
        <v>0</v>
      </c>
      <c r="O1984" s="14">
        <v>46014</v>
      </c>
      <c r="P1984" s="14">
        <v>46044</v>
      </c>
      <c r="Q1984">
        <v>575.44000000000005</v>
      </c>
      <c r="R1984">
        <v>0</v>
      </c>
      <c r="S1984">
        <v>0</v>
      </c>
      <c r="T1984">
        <v>0</v>
      </c>
      <c r="U1984">
        <v>0</v>
      </c>
      <c r="V1984">
        <v>575.44000000000005</v>
      </c>
      <c r="W1984">
        <v>0</v>
      </c>
      <c r="X1984">
        <v>1</v>
      </c>
      <c r="Y1984">
        <v>0</v>
      </c>
      <c r="Z1984">
        <v>-22</v>
      </c>
      <c r="AA1984">
        <v>1</v>
      </c>
      <c r="AB1984" s="13" t="s">
        <v>581</v>
      </c>
      <c r="AC1984">
        <v>0</v>
      </c>
      <c r="AD1984">
        <v>0</v>
      </c>
      <c r="AE1984" s="13" t="s">
        <v>61</v>
      </c>
    </row>
    <row r="1985" spans="1:31" x14ac:dyDescent="0.35">
      <c r="A1985" s="13" t="s">
        <v>2805</v>
      </c>
      <c r="B1985" s="13" t="s">
        <v>997</v>
      </c>
      <c r="C1985" s="13" t="s">
        <v>998</v>
      </c>
      <c r="D1985" s="13" t="s">
        <v>52</v>
      </c>
      <c r="E1985" s="13" t="s">
        <v>71</v>
      </c>
      <c r="F1985" s="13" t="s">
        <v>72</v>
      </c>
      <c r="G1985" s="13" t="s">
        <v>55</v>
      </c>
      <c r="H1985">
        <v>405000</v>
      </c>
      <c r="I1985" s="13" t="s">
        <v>86</v>
      </c>
      <c r="J1985" s="13" t="s">
        <v>87</v>
      </c>
      <c r="K1985" s="13" t="s">
        <v>58</v>
      </c>
      <c r="L1985" s="13" t="s">
        <v>59</v>
      </c>
      <c r="M1985">
        <v>45</v>
      </c>
      <c r="N1985">
        <v>0</v>
      </c>
      <c r="O1985" s="14">
        <v>46014</v>
      </c>
      <c r="P1985" s="14">
        <v>46059</v>
      </c>
      <c r="Q1985">
        <v>3637.51</v>
      </c>
      <c r="R1985">
        <v>0</v>
      </c>
      <c r="S1985">
        <v>0</v>
      </c>
      <c r="T1985">
        <v>0</v>
      </c>
      <c r="U1985">
        <v>0</v>
      </c>
      <c r="V1985">
        <v>3637.51</v>
      </c>
      <c r="W1985">
        <v>0</v>
      </c>
      <c r="X1985">
        <v>1</v>
      </c>
      <c r="Y1985">
        <v>0</v>
      </c>
      <c r="Z1985">
        <v>-37</v>
      </c>
      <c r="AA1985">
        <v>1</v>
      </c>
      <c r="AB1985" s="13" t="s">
        <v>581</v>
      </c>
      <c r="AC1985">
        <v>0</v>
      </c>
      <c r="AD1985">
        <v>0</v>
      </c>
      <c r="AE1985" s="13" t="s">
        <v>61</v>
      </c>
    </row>
    <row r="1986" spans="1:31" x14ac:dyDescent="0.35">
      <c r="A1986" s="13" t="s">
        <v>2806</v>
      </c>
      <c r="B1986" s="13" t="s">
        <v>1563</v>
      </c>
      <c r="C1986" s="13" t="s">
        <v>1564</v>
      </c>
      <c r="D1986" s="13" t="s">
        <v>104</v>
      </c>
      <c r="E1986" s="13" t="s">
        <v>65</v>
      </c>
      <c r="F1986" s="13" t="s">
        <v>66</v>
      </c>
      <c r="G1986" s="13" t="s">
        <v>55</v>
      </c>
      <c r="H1986">
        <v>65000</v>
      </c>
      <c r="I1986" s="13" t="s">
        <v>121</v>
      </c>
      <c r="J1986" s="13" t="s">
        <v>122</v>
      </c>
      <c r="K1986" s="13" t="s">
        <v>107</v>
      </c>
      <c r="L1986" s="13" t="s">
        <v>82</v>
      </c>
      <c r="M1986">
        <v>30</v>
      </c>
      <c r="N1986">
        <v>2</v>
      </c>
      <c r="O1986" s="14">
        <v>46014</v>
      </c>
      <c r="P1986" s="14">
        <v>46044</v>
      </c>
      <c r="Q1986">
        <v>5333.93</v>
      </c>
      <c r="R1986">
        <v>0</v>
      </c>
      <c r="S1986">
        <v>0</v>
      </c>
      <c r="T1986">
        <v>0</v>
      </c>
      <c r="U1986">
        <v>0</v>
      </c>
      <c r="V1986">
        <v>5333.93</v>
      </c>
      <c r="W1986">
        <v>0</v>
      </c>
      <c r="X1986">
        <v>1</v>
      </c>
      <c r="Y1986">
        <v>0</v>
      </c>
      <c r="Z1986">
        <v>-22</v>
      </c>
      <c r="AA1986">
        <v>1</v>
      </c>
      <c r="AB1986" s="13" t="s">
        <v>581</v>
      </c>
      <c r="AC1986">
        <v>0</v>
      </c>
      <c r="AD1986">
        <v>0</v>
      </c>
      <c r="AE1986" s="13" t="s">
        <v>61</v>
      </c>
    </row>
    <row r="1987" spans="1:31" x14ac:dyDescent="0.35">
      <c r="A1987" s="13" t="s">
        <v>2807</v>
      </c>
      <c r="B1987" s="13" t="s">
        <v>150</v>
      </c>
      <c r="C1987" s="13" t="s">
        <v>151</v>
      </c>
      <c r="D1987" s="13" t="s">
        <v>104</v>
      </c>
      <c r="E1987" s="13" t="s">
        <v>65</v>
      </c>
      <c r="F1987" s="13" t="s">
        <v>66</v>
      </c>
      <c r="G1987" s="13" t="s">
        <v>67</v>
      </c>
      <c r="H1987">
        <v>65000</v>
      </c>
      <c r="I1987" s="13" t="s">
        <v>121</v>
      </c>
      <c r="J1987" s="13" t="s">
        <v>122</v>
      </c>
      <c r="K1987" s="13" t="s">
        <v>107</v>
      </c>
      <c r="L1987" s="13" t="s">
        <v>95</v>
      </c>
      <c r="M1987">
        <v>30</v>
      </c>
      <c r="N1987">
        <v>0</v>
      </c>
      <c r="O1987" s="14">
        <v>46014</v>
      </c>
      <c r="P1987" s="14">
        <v>46044</v>
      </c>
      <c r="Q1987">
        <v>2801.14</v>
      </c>
      <c r="R1987">
        <v>0</v>
      </c>
      <c r="S1987">
        <v>0</v>
      </c>
      <c r="T1987">
        <v>0</v>
      </c>
      <c r="U1987">
        <v>0</v>
      </c>
      <c r="V1987">
        <v>2801.14</v>
      </c>
      <c r="W1987">
        <v>0</v>
      </c>
      <c r="X1987">
        <v>1</v>
      </c>
      <c r="Y1987">
        <v>0</v>
      </c>
      <c r="Z1987">
        <v>-22</v>
      </c>
      <c r="AA1987">
        <v>1</v>
      </c>
      <c r="AB1987" s="13" t="s">
        <v>581</v>
      </c>
      <c r="AC1987">
        <v>0</v>
      </c>
      <c r="AD1987">
        <v>0</v>
      </c>
      <c r="AE1987" s="13" t="s">
        <v>61</v>
      </c>
    </row>
    <row r="1988" spans="1:31" x14ac:dyDescent="0.35">
      <c r="A1988" s="13" t="s">
        <v>2808</v>
      </c>
      <c r="B1988" s="13" t="s">
        <v>309</v>
      </c>
      <c r="C1988" s="13" t="s">
        <v>310</v>
      </c>
      <c r="D1988" s="13" t="s">
        <v>104</v>
      </c>
      <c r="E1988" s="13" t="s">
        <v>53</v>
      </c>
      <c r="F1988" s="13" t="s">
        <v>135</v>
      </c>
      <c r="G1988" s="13" t="s">
        <v>67</v>
      </c>
      <c r="H1988">
        <v>125000</v>
      </c>
      <c r="I1988" s="13" t="s">
        <v>121</v>
      </c>
      <c r="J1988" s="13" t="s">
        <v>122</v>
      </c>
      <c r="K1988" s="13" t="s">
        <v>107</v>
      </c>
      <c r="L1988" s="13" t="s">
        <v>88</v>
      </c>
      <c r="M1988">
        <v>60</v>
      </c>
      <c r="N1988">
        <v>0</v>
      </c>
      <c r="O1988" s="14">
        <v>46014</v>
      </c>
      <c r="P1988" s="14">
        <v>46074</v>
      </c>
      <c r="Q1988">
        <v>1102.67</v>
      </c>
      <c r="R1988">
        <v>0</v>
      </c>
      <c r="S1988">
        <v>0</v>
      </c>
      <c r="T1988">
        <v>0</v>
      </c>
      <c r="U1988">
        <v>0</v>
      </c>
      <c r="V1988">
        <v>1102.67</v>
      </c>
      <c r="W1988">
        <v>0</v>
      </c>
      <c r="X1988">
        <v>1</v>
      </c>
      <c r="Y1988">
        <v>0</v>
      </c>
      <c r="Z1988">
        <v>-52</v>
      </c>
      <c r="AA1988">
        <v>1</v>
      </c>
      <c r="AB1988" s="13" t="s">
        <v>581</v>
      </c>
      <c r="AC1988">
        <v>0</v>
      </c>
      <c r="AD1988">
        <v>0</v>
      </c>
      <c r="AE1988" s="13" t="s">
        <v>61</v>
      </c>
    </row>
    <row r="1989" spans="1:31" x14ac:dyDescent="0.35">
      <c r="A1989" s="13" t="s">
        <v>2809</v>
      </c>
      <c r="B1989" s="13" t="s">
        <v>277</v>
      </c>
      <c r="C1989" s="13" t="s">
        <v>278</v>
      </c>
      <c r="D1989" s="13" t="s">
        <v>104</v>
      </c>
      <c r="E1989" s="13" t="s">
        <v>71</v>
      </c>
      <c r="F1989" s="13" t="s">
        <v>214</v>
      </c>
      <c r="G1989" s="13" t="s">
        <v>92</v>
      </c>
      <c r="H1989">
        <v>105000</v>
      </c>
      <c r="I1989" s="13" t="s">
        <v>105</v>
      </c>
      <c r="J1989" s="13" t="s">
        <v>106</v>
      </c>
      <c r="K1989" s="13" t="s">
        <v>107</v>
      </c>
      <c r="L1989" s="13" t="s">
        <v>88</v>
      </c>
      <c r="M1989">
        <v>60</v>
      </c>
      <c r="N1989">
        <v>0</v>
      </c>
      <c r="O1989" s="14">
        <v>46014</v>
      </c>
      <c r="P1989" s="14">
        <v>46074</v>
      </c>
      <c r="Q1989">
        <v>8700.76</v>
      </c>
      <c r="R1989">
        <v>0</v>
      </c>
      <c r="S1989">
        <v>0</v>
      </c>
      <c r="T1989">
        <v>0</v>
      </c>
      <c r="U1989">
        <v>0</v>
      </c>
      <c r="V1989">
        <v>8700.76</v>
      </c>
      <c r="W1989">
        <v>0</v>
      </c>
      <c r="X1989">
        <v>1</v>
      </c>
      <c r="Y1989">
        <v>0</v>
      </c>
      <c r="Z1989">
        <v>-52</v>
      </c>
      <c r="AA1989">
        <v>1</v>
      </c>
      <c r="AB1989" s="13" t="s">
        <v>581</v>
      </c>
      <c r="AC1989">
        <v>0</v>
      </c>
      <c r="AD1989">
        <v>0</v>
      </c>
      <c r="AE1989" s="13" t="s">
        <v>61</v>
      </c>
    </row>
    <row r="1990" spans="1:31" x14ac:dyDescent="0.35">
      <c r="A1990" s="13" t="s">
        <v>2810</v>
      </c>
      <c r="B1990" s="13" t="s">
        <v>225</v>
      </c>
      <c r="C1990" s="13" t="s">
        <v>226</v>
      </c>
      <c r="D1990" s="13" t="s">
        <v>52</v>
      </c>
      <c r="E1990" s="13" t="s">
        <v>77</v>
      </c>
      <c r="F1990" s="13" t="s">
        <v>174</v>
      </c>
      <c r="G1990" s="13" t="s">
        <v>55</v>
      </c>
      <c r="H1990">
        <v>570000</v>
      </c>
      <c r="I1990" s="13" t="s">
        <v>56</v>
      </c>
      <c r="J1990" s="13" t="s">
        <v>57</v>
      </c>
      <c r="K1990" s="13" t="s">
        <v>58</v>
      </c>
      <c r="L1990" s="13" t="s">
        <v>59</v>
      </c>
      <c r="M1990">
        <v>45</v>
      </c>
      <c r="N1990">
        <v>0</v>
      </c>
      <c r="O1990" s="14">
        <v>46014</v>
      </c>
      <c r="P1990" s="14">
        <v>46059</v>
      </c>
      <c r="Q1990">
        <v>2166.8200000000002</v>
      </c>
      <c r="R1990">
        <v>0</v>
      </c>
      <c r="S1990">
        <v>0</v>
      </c>
      <c r="T1990">
        <v>0</v>
      </c>
      <c r="U1990">
        <v>0</v>
      </c>
      <c r="V1990">
        <v>2166.8200000000002</v>
      </c>
      <c r="W1990">
        <v>0</v>
      </c>
      <c r="X1990">
        <v>1</v>
      </c>
      <c r="Y1990">
        <v>0</v>
      </c>
      <c r="Z1990">
        <v>-37</v>
      </c>
      <c r="AA1990">
        <v>1</v>
      </c>
      <c r="AB1990" s="13" t="s">
        <v>581</v>
      </c>
      <c r="AC1990">
        <v>0</v>
      </c>
      <c r="AD1990">
        <v>0</v>
      </c>
      <c r="AE1990" s="13" t="s">
        <v>61</v>
      </c>
    </row>
    <row r="1991" spans="1:31" x14ac:dyDescent="0.35">
      <c r="A1991" s="13" t="s">
        <v>2811</v>
      </c>
      <c r="B1991" s="13" t="s">
        <v>109</v>
      </c>
      <c r="C1991" s="13" t="s">
        <v>110</v>
      </c>
      <c r="D1991" s="13" t="s">
        <v>52</v>
      </c>
      <c r="E1991" s="13" t="s">
        <v>65</v>
      </c>
      <c r="F1991" s="13" t="s">
        <v>111</v>
      </c>
      <c r="G1991" s="13" t="s">
        <v>67</v>
      </c>
      <c r="H1991">
        <v>455000</v>
      </c>
      <c r="I1991" s="13" t="s">
        <v>86</v>
      </c>
      <c r="J1991" s="13" t="s">
        <v>87</v>
      </c>
      <c r="K1991" s="13" t="s">
        <v>58</v>
      </c>
      <c r="L1991" s="13" t="s">
        <v>59</v>
      </c>
      <c r="M1991">
        <v>45</v>
      </c>
      <c r="N1991">
        <v>0</v>
      </c>
      <c r="O1991" s="14">
        <v>46014</v>
      </c>
      <c r="P1991" s="14">
        <v>46059</v>
      </c>
      <c r="Q1991">
        <v>13753.53</v>
      </c>
      <c r="R1991">
        <v>0</v>
      </c>
      <c r="S1991">
        <v>0</v>
      </c>
      <c r="T1991">
        <v>0</v>
      </c>
      <c r="U1991">
        <v>0</v>
      </c>
      <c r="V1991">
        <v>13753.53</v>
      </c>
      <c r="W1991">
        <v>0</v>
      </c>
      <c r="X1991">
        <v>1</v>
      </c>
      <c r="Y1991">
        <v>0</v>
      </c>
      <c r="Z1991">
        <v>-37</v>
      </c>
      <c r="AA1991">
        <v>1</v>
      </c>
      <c r="AB1991" s="13" t="s">
        <v>581</v>
      </c>
      <c r="AC1991">
        <v>0</v>
      </c>
      <c r="AD1991">
        <v>0</v>
      </c>
      <c r="AE1991" s="13" t="s">
        <v>61</v>
      </c>
    </row>
    <row r="1992" spans="1:31" x14ac:dyDescent="0.35">
      <c r="A1992" s="13" t="s">
        <v>2812</v>
      </c>
      <c r="B1992" s="13" t="s">
        <v>458</v>
      </c>
      <c r="C1992" s="13" t="s">
        <v>459</v>
      </c>
      <c r="D1992" s="13" t="s">
        <v>126</v>
      </c>
      <c r="E1992" s="13" t="s">
        <v>71</v>
      </c>
      <c r="F1992" s="13" t="s">
        <v>72</v>
      </c>
      <c r="G1992" s="13" t="s">
        <v>67</v>
      </c>
      <c r="H1992">
        <v>135000</v>
      </c>
      <c r="I1992" s="13" t="s">
        <v>121</v>
      </c>
      <c r="J1992" s="13" t="s">
        <v>122</v>
      </c>
      <c r="K1992" s="13" t="s">
        <v>107</v>
      </c>
      <c r="L1992" s="13" t="s">
        <v>368</v>
      </c>
      <c r="M1992">
        <v>90</v>
      </c>
      <c r="N1992">
        <v>0</v>
      </c>
      <c r="O1992" s="14">
        <v>46014</v>
      </c>
      <c r="P1992" s="14">
        <v>46104</v>
      </c>
      <c r="Q1992">
        <v>8791.1</v>
      </c>
      <c r="R1992">
        <v>0</v>
      </c>
      <c r="S1992">
        <v>0</v>
      </c>
      <c r="T1992">
        <v>0</v>
      </c>
      <c r="U1992">
        <v>0</v>
      </c>
      <c r="V1992">
        <v>8791.1</v>
      </c>
      <c r="W1992">
        <v>0</v>
      </c>
      <c r="X1992">
        <v>1</v>
      </c>
      <c r="Y1992">
        <v>0</v>
      </c>
      <c r="Z1992">
        <v>-82</v>
      </c>
      <c r="AA1992">
        <v>1</v>
      </c>
      <c r="AB1992" s="13" t="s">
        <v>581</v>
      </c>
      <c r="AC1992">
        <v>0</v>
      </c>
      <c r="AD1992">
        <v>0</v>
      </c>
      <c r="AE1992" s="13" t="s">
        <v>61</v>
      </c>
    </row>
    <row r="1993" spans="1:31" x14ac:dyDescent="0.35">
      <c r="A1993" s="13" t="s">
        <v>2813</v>
      </c>
      <c r="B1993" s="13" t="s">
        <v>312</v>
      </c>
      <c r="C1993" s="13" t="s">
        <v>313</v>
      </c>
      <c r="D1993" s="13" t="s">
        <v>52</v>
      </c>
      <c r="E1993" s="13" t="s">
        <v>77</v>
      </c>
      <c r="F1993" s="13" t="s">
        <v>174</v>
      </c>
      <c r="G1993" s="13" t="s">
        <v>55</v>
      </c>
      <c r="H1993">
        <v>600000</v>
      </c>
      <c r="I1993" s="13" t="s">
        <v>56</v>
      </c>
      <c r="J1993" s="13" t="s">
        <v>57</v>
      </c>
      <c r="K1993" s="13" t="s">
        <v>58</v>
      </c>
      <c r="L1993" s="13" t="s">
        <v>88</v>
      </c>
      <c r="M1993">
        <v>60</v>
      </c>
      <c r="N1993">
        <v>0</v>
      </c>
      <c r="O1993" s="14">
        <v>46014</v>
      </c>
      <c r="P1993" s="14">
        <v>46074</v>
      </c>
      <c r="Q1993">
        <v>2843.8</v>
      </c>
      <c r="R1993">
        <v>0</v>
      </c>
      <c r="S1993">
        <v>0</v>
      </c>
      <c r="T1993">
        <v>0</v>
      </c>
      <c r="U1993">
        <v>0</v>
      </c>
      <c r="V1993">
        <v>2843.8</v>
      </c>
      <c r="W1993">
        <v>0</v>
      </c>
      <c r="X1993">
        <v>1</v>
      </c>
      <c r="Y1993">
        <v>0</v>
      </c>
      <c r="Z1993">
        <v>-52</v>
      </c>
      <c r="AA1993">
        <v>1</v>
      </c>
      <c r="AB1993" s="13" t="s">
        <v>581</v>
      </c>
      <c r="AC1993">
        <v>0</v>
      </c>
      <c r="AD1993">
        <v>0</v>
      </c>
      <c r="AE1993" s="13" t="s">
        <v>61</v>
      </c>
    </row>
    <row r="1994" spans="1:31" x14ac:dyDescent="0.35">
      <c r="A1994" s="13" t="s">
        <v>2814</v>
      </c>
      <c r="B1994" s="13" t="s">
        <v>1430</v>
      </c>
      <c r="C1994" s="13" t="s">
        <v>1431</v>
      </c>
      <c r="D1994" s="13" t="s">
        <v>76</v>
      </c>
      <c r="E1994" s="13" t="s">
        <v>65</v>
      </c>
      <c r="F1994" s="13" t="s">
        <v>66</v>
      </c>
      <c r="G1994" s="13" t="s">
        <v>55</v>
      </c>
      <c r="H1994">
        <v>85000</v>
      </c>
      <c r="I1994" s="13" t="s">
        <v>93</v>
      </c>
      <c r="J1994" s="13" t="s">
        <v>94</v>
      </c>
      <c r="K1994" s="13" t="s">
        <v>81</v>
      </c>
      <c r="L1994" s="13" t="s">
        <v>95</v>
      </c>
      <c r="M1994">
        <v>30</v>
      </c>
      <c r="N1994">
        <v>0</v>
      </c>
      <c r="O1994" s="14">
        <v>46014</v>
      </c>
      <c r="P1994" s="14">
        <v>46044</v>
      </c>
      <c r="Q1994">
        <v>880.86</v>
      </c>
      <c r="R1994">
        <v>0</v>
      </c>
      <c r="S1994">
        <v>0</v>
      </c>
      <c r="T1994">
        <v>0</v>
      </c>
      <c r="U1994">
        <v>0</v>
      </c>
      <c r="V1994">
        <v>880.86</v>
      </c>
      <c r="W1994">
        <v>0</v>
      </c>
      <c r="X1994">
        <v>1</v>
      </c>
      <c r="Y1994">
        <v>0</v>
      </c>
      <c r="Z1994">
        <v>-22</v>
      </c>
      <c r="AA1994">
        <v>1</v>
      </c>
      <c r="AB1994" s="13" t="s">
        <v>581</v>
      </c>
      <c r="AC1994">
        <v>0</v>
      </c>
      <c r="AD1994">
        <v>0</v>
      </c>
      <c r="AE1994" s="13" t="s">
        <v>61</v>
      </c>
    </row>
    <row r="1995" spans="1:31" x14ac:dyDescent="0.35">
      <c r="A1995" s="13" t="s">
        <v>2815</v>
      </c>
      <c r="B1995" s="13" t="s">
        <v>168</v>
      </c>
      <c r="C1995" s="13" t="s">
        <v>169</v>
      </c>
      <c r="D1995" s="13" t="s">
        <v>52</v>
      </c>
      <c r="E1995" s="13" t="s">
        <v>65</v>
      </c>
      <c r="F1995" s="13" t="s">
        <v>66</v>
      </c>
      <c r="G1995" s="13" t="s">
        <v>67</v>
      </c>
      <c r="H1995">
        <v>580000</v>
      </c>
      <c r="I1995" s="13" t="s">
        <v>56</v>
      </c>
      <c r="J1995" s="13" t="s">
        <v>57</v>
      </c>
      <c r="K1995" s="13" t="s">
        <v>58</v>
      </c>
      <c r="L1995" s="13" t="s">
        <v>59</v>
      </c>
      <c r="M1995">
        <v>45</v>
      </c>
      <c r="N1995">
        <v>0</v>
      </c>
      <c r="O1995" s="14">
        <v>46014</v>
      </c>
      <c r="P1995" s="14">
        <v>46059</v>
      </c>
      <c r="Q1995">
        <v>15419.74</v>
      </c>
      <c r="R1995">
        <v>0</v>
      </c>
      <c r="S1995">
        <v>0</v>
      </c>
      <c r="T1995">
        <v>0</v>
      </c>
      <c r="U1995">
        <v>0</v>
      </c>
      <c r="V1995">
        <v>15419.74</v>
      </c>
      <c r="W1995">
        <v>0</v>
      </c>
      <c r="X1995">
        <v>1</v>
      </c>
      <c r="Y1995">
        <v>0</v>
      </c>
      <c r="Z1995">
        <v>-37</v>
      </c>
      <c r="AA1995">
        <v>1</v>
      </c>
      <c r="AB1995" s="13" t="s">
        <v>581</v>
      </c>
      <c r="AC1995">
        <v>0</v>
      </c>
      <c r="AD1995">
        <v>0</v>
      </c>
      <c r="AE1995" s="13" t="s">
        <v>61</v>
      </c>
    </row>
    <row r="1996" spans="1:31" x14ac:dyDescent="0.35">
      <c r="A1996" s="13" t="s">
        <v>2816</v>
      </c>
      <c r="B1996" s="13" t="s">
        <v>2443</v>
      </c>
      <c r="C1996" s="13" t="s">
        <v>2444</v>
      </c>
      <c r="D1996" s="13" t="s">
        <v>104</v>
      </c>
      <c r="E1996" s="13" t="s">
        <v>65</v>
      </c>
      <c r="F1996" s="13" t="s">
        <v>66</v>
      </c>
      <c r="G1996" s="13" t="s">
        <v>55</v>
      </c>
      <c r="H1996">
        <v>65000</v>
      </c>
      <c r="I1996" s="13" t="s">
        <v>105</v>
      </c>
      <c r="J1996" s="13" t="s">
        <v>106</v>
      </c>
      <c r="K1996" s="13" t="s">
        <v>107</v>
      </c>
      <c r="L1996" s="13" t="s">
        <v>95</v>
      </c>
      <c r="M1996">
        <v>30</v>
      </c>
      <c r="N1996">
        <v>0</v>
      </c>
      <c r="O1996" s="14">
        <v>46014</v>
      </c>
      <c r="P1996" s="14">
        <v>46044</v>
      </c>
      <c r="Q1996">
        <v>6787.02</v>
      </c>
      <c r="R1996">
        <v>0</v>
      </c>
      <c r="S1996">
        <v>0</v>
      </c>
      <c r="T1996">
        <v>0</v>
      </c>
      <c r="U1996">
        <v>0</v>
      </c>
      <c r="V1996">
        <v>6787.02</v>
      </c>
      <c r="W1996">
        <v>0</v>
      </c>
      <c r="X1996">
        <v>1</v>
      </c>
      <c r="Y1996">
        <v>0</v>
      </c>
      <c r="Z1996">
        <v>-22</v>
      </c>
      <c r="AA1996">
        <v>1</v>
      </c>
      <c r="AB1996" s="13" t="s">
        <v>581</v>
      </c>
      <c r="AC1996">
        <v>0</v>
      </c>
      <c r="AD1996">
        <v>0</v>
      </c>
      <c r="AE1996" s="13" t="s">
        <v>61</v>
      </c>
    </row>
    <row r="1997" spans="1:31" x14ac:dyDescent="0.35">
      <c r="A1997" s="13" t="s">
        <v>2817</v>
      </c>
      <c r="B1997" s="13" t="s">
        <v>1523</v>
      </c>
      <c r="C1997" s="13" t="s">
        <v>1524</v>
      </c>
      <c r="D1997" s="13" t="s">
        <v>76</v>
      </c>
      <c r="E1997" s="13" t="s">
        <v>65</v>
      </c>
      <c r="F1997" s="13" t="s">
        <v>111</v>
      </c>
      <c r="G1997" s="13" t="s">
        <v>55</v>
      </c>
      <c r="H1997">
        <v>115000</v>
      </c>
      <c r="I1997" s="13" t="s">
        <v>93</v>
      </c>
      <c r="J1997" s="13" t="s">
        <v>94</v>
      </c>
      <c r="K1997" s="13" t="s">
        <v>81</v>
      </c>
      <c r="L1997" s="13" t="s">
        <v>95</v>
      </c>
      <c r="M1997">
        <v>30</v>
      </c>
      <c r="N1997">
        <v>0</v>
      </c>
      <c r="O1997" s="14">
        <v>46014</v>
      </c>
      <c r="P1997" s="14">
        <v>46044</v>
      </c>
      <c r="Q1997">
        <v>1817</v>
      </c>
      <c r="R1997">
        <v>0</v>
      </c>
      <c r="S1997">
        <v>0</v>
      </c>
      <c r="T1997">
        <v>0</v>
      </c>
      <c r="U1997">
        <v>0</v>
      </c>
      <c r="V1997">
        <v>1817</v>
      </c>
      <c r="W1997">
        <v>0</v>
      </c>
      <c r="X1997">
        <v>1</v>
      </c>
      <c r="Y1997">
        <v>0</v>
      </c>
      <c r="Z1997">
        <v>-22</v>
      </c>
      <c r="AA1997">
        <v>1</v>
      </c>
      <c r="AB1997" s="13" t="s">
        <v>581</v>
      </c>
      <c r="AC1997">
        <v>0</v>
      </c>
      <c r="AD1997">
        <v>0</v>
      </c>
      <c r="AE1997" s="13" t="s">
        <v>61</v>
      </c>
    </row>
    <row r="1998" spans="1:31" x14ac:dyDescent="0.35">
      <c r="A1998" s="13" t="s">
        <v>2818</v>
      </c>
      <c r="B1998" s="13" t="s">
        <v>692</v>
      </c>
      <c r="C1998" s="13" t="s">
        <v>693</v>
      </c>
      <c r="D1998" s="13" t="s">
        <v>52</v>
      </c>
      <c r="E1998" s="13" t="s">
        <v>53</v>
      </c>
      <c r="F1998" s="13" t="s">
        <v>135</v>
      </c>
      <c r="G1998" s="13" t="s">
        <v>55</v>
      </c>
      <c r="H1998">
        <v>360000</v>
      </c>
      <c r="I1998" s="13" t="s">
        <v>56</v>
      </c>
      <c r="J1998" s="13" t="s">
        <v>57</v>
      </c>
      <c r="K1998" s="13" t="s">
        <v>58</v>
      </c>
      <c r="L1998" s="13" t="s">
        <v>88</v>
      </c>
      <c r="M1998">
        <v>60</v>
      </c>
      <c r="N1998">
        <v>0</v>
      </c>
      <c r="O1998" s="14">
        <v>46014</v>
      </c>
      <c r="P1998" s="14">
        <v>46074</v>
      </c>
      <c r="Q1998">
        <v>4995.5600000000004</v>
      </c>
      <c r="R1998">
        <v>0</v>
      </c>
      <c r="S1998">
        <v>0</v>
      </c>
      <c r="T1998">
        <v>0</v>
      </c>
      <c r="U1998">
        <v>0</v>
      </c>
      <c r="V1998">
        <v>4995.5600000000004</v>
      </c>
      <c r="W1998">
        <v>0</v>
      </c>
      <c r="X1998">
        <v>1</v>
      </c>
      <c r="Y1998">
        <v>0</v>
      </c>
      <c r="Z1998">
        <v>-52</v>
      </c>
      <c r="AA1998">
        <v>1</v>
      </c>
      <c r="AB1998" s="13" t="s">
        <v>581</v>
      </c>
      <c r="AC1998">
        <v>0</v>
      </c>
      <c r="AD1998">
        <v>0</v>
      </c>
      <c r="AE1998" s="13" t="s">
        <v>61</v>
      </c>
    </row>
    <row r="1999" spans="1:31" x14ac:dyDescent="0.35">
      <c r="A1999" s="13" t="s">
        <v>2819</v>
      </c>
      <c r="B1999" s="13" t="s">
        <v>1127</v>
      </c>
      <c r="C1999" s="13" t="s">
        <v>1128</v>
      </c>
      <c r="D1999" s="13" t="s">
        <v>52</v>
      </c>
      <c r="E1999" s="13" t="s">
        <v>53</v>
      </c>
      <c r="F1999" s="13" t="s">
        <v>135</v>
      </c>
      <c r="G1999" s="13" t="s">
        <v>67</v>
      </c>
      <c r="H1999">
        <v>470000</v>
      </c>
      <c r="I1999" s="13" t="s">
        <v>56</v>
      </c>
      <c r="J1999" s="13" t="s">
        <v>57</v>
      </c>
      <c r="K1999" s="13" t="s">
        <v>58</v>
      </c>
      <c r="L1999" s="13" t="s">
        <v>88</v>
      </c>
      <c r="M1999">
        <v>60</v>
      </c>
      <c r="N1999">
        <v>0</v>
      </c>
      <c r="O1999" s="14">
        <v>46014</v>
      </c>
      <c r="P1999" s="14">
        <v>46074</v>
      </c>
      <c r="Q1999">
        <v>8348.65</v>
      </c>
      <c r="R1999">
        <v>0</v>
      </c>
      <c r="S1999">
        <v>0</v>
      </c>
      <c r="T1999">
        <v>0</v>
      </c>
      <c r="U1999">
        <v>0</v>
      </c>
      <c r="V1999">
        <v>8348.65</v>
      </c>
      <c r="W1999">
        <v>0</v>
      </c>
      <c r="X1999">
        <v>1</v>
      </c>
      <c r="Y1999">
        <v>0</v>
      </c>
      <c r="Z1999">
        <v>-52</v>
      </c>
      <c r="AA1999">
        <v>1</v>
      </c>
      <c r="AB1999" s="13" t="s">
        <v>581</v>
      </c>
      <c r="AC1999">
        <v>0</v>
      </c>
      <c r="AD1999">
        <v>0</v>
      </c>
      <c r="AE1999" s="13" t="s">
        <v>61</v>
      </c>
    </row>
    <row r="2000" spans="1:31" x14ac:dyDescent="0.35">
      <c r="A2000" s="13" t="s">
        <v>2820</v>
      </c>
      <c r="B2000" s="13" t="s">
        <v>890</v>
      </c>
      <c r="C2000" s="13" t="s">
        <v>891</v>
      </c>
      <c r="D2000" s="13" t="s">
        <v>76</v>
      </c>
      <c r="E2000" s="13" t="s">
        <v>99</v>
      </c>
      <c r="F2000" s="13" t="s">
        <v>100</v>
      </c>
      <c r="G2000" s="13" t="s">
        <v>67</v>
      </c>
      <c r="H2000">
        <v>110000</v>
      </c>
      <c r="I2000" s="13" t="s">
        <v>79</v>
      </c>
      <c r="J2000" s="13" t="s">
        <v>80</v>
      </c>
      <c r="K2000" s="13" t="s">
        <v>81</v>
      </c>
      <c r="L2000" s="13" t="s">
        <v>95</v>
      </c>
      <c r="M2000">
        <v>30</v>
      </c>
      <c r="N2000">
        <v>0</v>
      </c>
      <c r="O2000" s="14">
        <v>46014</v>
      </c>
      <c r="P2000" s="14">
        <v>46044</v>
      </c>
      <c r="Q2000">
        <v>1227.8599999999999</v>
      </c>
      <c r="R2000">
        <v>0</v>
      </c>
      <c r="S2000">
        <v>0</v>
      </c>
      <c r="T2000">
        <v>0</v>
      </c>
      <c r="U2000">
        <v>0</v>
      </c>
      <c r="V2000">
        <v>1227.8599999999999</v>
      </c>
      <c r="W2000">
        <v>0</v>
      </c>
      <c r="X2000">
        <v>1</v>
      </c>
      <c r="Y2000">
        <v>0</v>
      </c>
      <c r="Z2000">
        <v>-22</v>
      </c>
      <c r="AA2000">
        <v>1</v>
      </c>
      <c r="AB2000" s="13" t="s">
        <v>581</v>
      </c>
      <c r="AC2000">
        <v>0</v>
      </c>
      <c r="AD2000">
        <v>0</v>
      </c>
      <c r="AE2000" s="13" t="s">
        <v>61</v>
      </c>
    </row>
    <row r="2001" spans="1:31" x14ac:dyDescent="0.35">
      <c r="A2001" s="13" t="s">
        <v>2821</v>
      </c>
      <c r="B2001" s="13" t="s">
        <v>2029</v>
      </c>
      <c r="C2001" s="13" t="s">
        <v>2030</v>
      </c>
      <c r="D2001" s="13" t="s">
        <v>76</v>
      </c>
      <c r="E2001" s="13" t="s">
        <v>99</v>
      </c>
      <c r="F2001" s="13" t="s">
        <v>100</v>
      </c>
      <c r="G2001" s="13" t="s">
        <v>67</v>
      </c>
      <c r="H2001">
        <v>55000</v>
      </c>
      <c r="I2001" s="13" t="s">
        <v>79</v>
      </c>
      <c r="J2001" s="13" t="s">
        <v>80</v>
      </c>
      <c r="K2001" s="13" t="s">
        <v>81</v>
      </c>
      <c r="L2001" s="13" t="s">
        <v>95</v>
      </c>
      <c r="M2001">
        <v>30</v>
      </c>
      <c r="N2001">
        <v>0</v>
      </c>
      <c r="O2001" s="14">
        <v>46014</v>
      </c>
      <c r="P2001" s="14">
        <v>46044</v>
      </c>
      <c r="Q2001">
        <v>607.05999999999995</v>
      </c>
      <c r="R2001">
        <v>0</v>
      </c>
      <c r="S2001">
        <v>0</v>
      </c>
      <c r="T2001">
        <v>0</v>
      </c>
      <c r="U2001">
        <v>0</v>
      </c>
      <c r="V2001">
        <v>607.05999999999995</v>
      </c>
      <c r="W2001">
        <v>0</v>
      </c>
      <c r="X2001">
        <v>1</v>
      </c>
      <c r="Y2001">
        <v>0</v>
      </c>
      <c r="Z2001">
        <v>-22</v>
      </c>
      <c r="AA2001">
        <v>1</v>
      </c>
      <c r="AB2001" s="13" t="s">
        <v>581</v>
      </c>
      <c r="AC2001">
        <v>0</v>
      </c>
      <c r="AD2001">
        <v>0</v>
      </c>
      <c r="AE2001" s="13" t="s">
        <v>61</v>
      </c>
    </row>
    <row r="2002" spans="1:31" x14ac:dyDescent="0.35">
      <c r="A2002" s="13" t="s">
        <v>2822</v>
      </c>
      <c r="B2002" s="13" t="s">
        <v>162</v>
      </c>
      <c r="C2002" s="13" t="s">
        <v>163</v>
      </c>
      <c r="D2002" s="13" t="s">
        <v>76</v>
      </c>
      <c r="E2002" s="13" t="s">
        <v>99</v>
      </c>
      <c r="F2002" s="13" t="s">
        <v>127</v>
      </c>
      <c r="G2002" s="13" t="s">
        <v>67</v>
      </c>
      <c r="H2002">
        <v>90000</v>
      </c>
      <c r="I2002" s="13" t="s">
        <v>79</v>
      </c>
      <c r="J2002" s="13" t="s">
        <v>80</v>
      </c>
      <c r="K2002" s="13" t="s">
        <v>81</v>
      </c>
      <c r="L2002" s="13" t="s">
        <v>95</v>
      </c>
      <c r="M2002">
        <v>30</v>
      </c>
      <c r="N2002">
        <v>0</v>
      </c>
      <c r="O2002" s="14">
        <v>46014</v>
      </c>
      <c r="P2002" s="14">
        <v>46044</v>
      </c>
      <c r="Q2002">
        <v>2240.1</v>
      </c>
      <c r="R2002">
        <v>0</v>
      </c>
      <c r="S2002">
        <v>0</v>
      </c>
      <c r="T2002">
        <v>0</v>
      </c>
      <c r="U2002">
        <v>0</v>
      </c>
      <c r="V2002">
        <v>2240.1</v>
      </c>
      <c r="W2002">
        <v>0</v>
      </c>
      <c r="X2002">
        <v>1</v>
      </c>
      <c r="Y2002">
        <v>0</v>
      </c>
      <c r="Z2002">
        <v>-22</v>
      </c>
      <c r="AA2002">
        <v>1</v>
      </c>
      <c r="AB2002" s="13" t="s">
        <v>581</v>
      </c>
      <c r="AC2002">
        <v>0</v>
      </c>
      <c r="AD2002">
        <v>0</v>
      </c>
      <c r="AE2002" s="13" t="s">
        <v>61</v>
      </c>
    </row>
    <row r="2003" spans="1:31" x14ac:dyDescent="0.35">
      <c r="A2003" s="13" t="s">
        <v>2823</v>
      </c>
      <c r="B2003" s="13" t="s">
        <v>2094</v>
      </c>
      <c r="C2003" s="13" t="s">
        <v>2095</v>
      </c>
      <c r="D2003" s="13" t="s">
        <v>104</v>
      </c>
      <c r="E2003" s="13" t="s">
        <v>77</v>
      </c>
      <c r="F2003" s="13" t="s">
        <v>174</v>
      </c>
      <c r="G2003" s="13" t="s">
        <v>55</v>
      </c>
      <c r="H2003">
        <v>120000</v>
      </c>
      <c r="I2003" s="13" t="s">
        <v>105</v>
      </c>
      <c r="J2003" s="13" t="s">
        <v>106</v>
      </c>
      <c r="K2003" s="13" t="s">
        <v>107</v>
      </c>
      <c r="L2003" s="13" t="s">
        <v>95</v>
      </c>
      <c r="M2003">
        <v>30</v>
      </c>
      <c r="N2003">
        <v>0</v>
      </c>
      <c r="O2003" s="14">
        <v>46014</v>
      </c>
      <c r="P2003" s="14">
        <v>46044</v>
      </c>
      <c r="Q2003">
        <v>2119.96</v>
      </c>
      <c r="R2003">
        <v>0</v>
      </c>
      <c r="S2003">
        <v>0</v>
      </c>
      <c r="T2003">
        <v>0</v>
      </c>
      <c r="U2003">
        <v>0</v>
      </c>
      <c r="V2003">
        <v>2119.96</v>
      </c>
      <c r="W2003">
        <v>0</v>
      </c>
      <c r="X2003">
        <v>1</v>
      </c>
      <c r="Y2003">
        <v>0</v>
      </c>
      <c r="Z2003">
        <v>-22</v>
      </c>
      <c r="AA2003">
        <v>1</v>
      </c>
      <c r="AB2003" s="13" t="s">
        <v>581</v>
      </c>
      <c r="AC2003">
        <v>0</v>
      </c>
      <c r="AD2003">
        <v>0</v>
      </c>
      <c r="AE2003" s="13" t="s">
        <v>61</v>
      </c>
    </row>
    <row r="2004" spans="1:31" x14ac:dyDescent="0.35">
      <c r="A2004" s="13" t="s">
        <v>2824</v>
      </c>
      <c r="B2004" s="13" t="s">
        <v>1627</v>
      </c>
      <c r="C2004" s="13" t="s">
        <v>1628</v>
      </c>
      <c r="D2004" s="13" t="s">
        <v>76</v>
      </c>
      <c r="E2004" s="13" t="s">
        <v>99</v>
      </c>
      <c r="F2004" s="13" t="s">
        <v>100</v>
      </c>
      <c r="G2004" s="13" t="s">
        <v>55</v>
      </c>
      <c r="H2004">
        <v>45000</v>
      </c>
      <c r="I2004" s="13" t="s">
        <v>79</v>
      </c>
      <c r="J2004" s="13" t="s">
        <v>80</v>
      </c>
      <c r="K2004" s="13" t="s">
        <v>81</v>
      </c>
      <c r="L2004" s="13" t="s">
        <v>95</v>
      </c>
      <c r="M2004">
        <v>30</v>
      </c>
      <c r="N2004">
        <v>0</v>
      </c>
      <c r="O2004" s="14">
        <v>46014</v>
      </c>
      <c r="P2004" s="14">
        <v>46044</v>
      </c>
      <c r="Q2004">
        <v>886.79</v>
      </c>
      <c r="R2004">
        <v>0</v>
      </c>
      <c r="S2004">
        <v>0</v>
      </c>
      <c r="T2004">
        <v>0</v>
      </c>
      <c r="U2004">
        <v>0</v>
      </c>
      <c r="V2004">
        <v>886.79</v>
      </c>
      <c r="W2004">
        <v>0</v>
      </c>
      <c r="X2004">
        <v>1</v>
      </c>
      <c r="Y2004">
        <v>0</v>
      </c>
      <c r="Z2004">
        <v>-22</v>
      </c>
      <c r="AA2004">
        <v>1</v>
      </c>
      <c r="AB2004" s="13" t="s">
        <v>581</v>
      </c>
      <c r="AC2004">
        <v>0</v>
      </c>
      <c r="AD2004">
        <v>0</v>
      </c>
      <c r="AE2004" s="13" t="s">
        <v>61</v>
      </c>
    </row>
    <row r="2005" spans="1:31" x14ac:dyDescent="0.35">
      <c r="A2005" s="13" t="s">
        <v>2825</v>
      </c>
      <c r="B2005" s="13" t="s">
        <v>1097</v>
      </c>
      <c r="C2005" s="13" t="s">
        <v>1098</v>
      </c>
      <c r="D2005" s="13" t="s">
        <v>52</v>
      </c>
      <c r="E2005" s="13" t="s">
        <v>77</v>
      </c>
      <c r="F2005" s="13" t="s">
        <v>78</v>
      </c>
      <c r="G2005" s="13" t="s">
        <v>67</v>
      </c>
      <c r="H2005">
        <v>510000</v>
      </c>
      <c r="I2005" s="13" t="s">
        <v>86</v>
      </c>
      <c r="J2005" s="13" t="s">
        <v>87</v>
      </c>
      <c r="K2005" s="13" t="s">
        <v>58</v>
      </c>
      <c r="L2005" s="13" t="s">
        <v>88</v>
      </c>
      <c r="M2005">
        <v>60</v>
      </c>
      <c r="N2005">
        <v>0</v>
      </c>
      <c r="O2005" s="14">
        <v>46014</v>
      </c>
      <c r="P2005" s="14">
        <v>46074</v>
      </c>
      <c r="Q2005">
        <v>17221.689999999999</v>
      </c>
      <c r="R2005">
        <v>0</v>
      </c>
      <c r="S2005">
        <v>0</v>
      </c>
      <c r="T2005">
        <v>0</v>
      </c>
      <c r="U2005">
        <v>0</v>
      </c>
      <c r="V2005">
        <v>17221.689999999999</v>
      </c>
      <c r="W2005">
        <v>0</v>
      </c>
      <c r="X2005">
        <v>1</v>
      </c>
      <c r="Y2005">
        <v>0</v>
      </c>
      <c r="Z2005">
        <v>-52</v>
      </c>
      <c r="AA2005">
        <v>1</v>
      </c>
      <c r="AB2005" s="13" t="s">
        <v>581</v>
      </c>
      <c r="AC2005">
        <v>0</v>
      </c>
      <c r="AD2005">
        <v>0</v>
      </c>
      <c r="AE2005" s="13" t="s">
        <v>61</v>
      </c>
    </row>
    <row r="2006" spans="1:31" x14ac:dyDescent="0.35">
      <c r="A2006" s="13" t="s">
        <v>2826</v>
      </c>
      <c r="B2006" s="13" t="s">
        <v>1916</v>
      </c>
      <c r="C2006" s="13" t="s">
        <v>1917</v>
      </c>
      <c r="D2006" s="13" t="s">
        <v>104</v>
      </c>
      <c r="E2006" s="13" t="s">
        <v>99</v>
      </c>
      <c r="F2006" s="13" t="s">
        <v>127</v>
      </c>
      <c r="G2006" s="13" t="s">
        <v>67</v>
      </c>
      <c r="H2006">
        <v>140000</v>
      </c>
      <c r="I2006" s="13" t="s">
        <v>121</v>
      </c>
      <c r="J2006" s="13" t="s">
        <v>122</v>
      </c>
      <c r="K2006" s="13" t="s">
        <v>107</v>
      </c>
      <c r="L2006" s="13" t="s">
        <v>95</v>
      </c>
      <c r="M2006">
        <v>30</v>
      </c>
      <c r="N2006">
        <v>0</v>
      </c>
      <c r="O2006" s="14">
        <v>46014</v>
      </c>
      <c r="P2006" s="14">
        <v>46044</v>
      </c>
      <c r="Q2006">
        <v>4587.22</v>
      </c>
      <c r="R2006">
        <v>0</v>
      </c>
      <c r="S2006">
        <v>0</v>
      </c>
      <c r="T2006">
        <v>0</v>
      </c>
      <c r="U2006">
        <v>0</v>
      </c>
      <c r="V2006">
        <v>4587.22</v>
      </c>
      <c r="W2006">
        <v>0</v>
      </c>
      <c r="X2006">
        <v>1</v>
      </c>
      <c r="Y2006">
        <v>0</v>
      </c>
      <c r="Z2006">
        <v>-22</v>
      </c>
      <c r="AA2006">
        <v>1</v>
      </c>
      <c r="AB2006" s="13" t="s">
        <v>581</v>
      </c>
      <c r="AC2006">
        <v>0</v>
      </c>
      <c r="AD2006">
        <v>0</v>
      </c>
      <c r="AE2006" s="13" t="s">
        <v>61</v>
      </c>
    </row>
    <row r="2007" spans="1:31" x14ac:dyDescent="0.35">
      <c r="A2007" s="13" t="s">
        <v>2827</v>
      </c>
      <c r="B2007" s="13" t="s">
        <v>386</v>
      </c>
      <c r="C2007" s="13" t="s">
        <v>387</v>
      </c>
      <c r="D2007" s="13" t="s">
        <v>52</v>
      </c>
      <c r="E2007" s="13" t="s">
        <v>65</v>
      </c>
      <c r="F2007" s="13" t="s">
        <v>66</v>
      </c>
      <c r="G2007" s="13" t="s">
        <v>67</v>
      </c>
      <c r="H2007">
        <v>215000</v>
      </c>
      <c r="I2007" s="13" t="s">
        <v>56</v>
      </c>
      <c r="J2007" s="13" t="s">
        <v>57</v>
      </c>
      <c r="K2007" s="13" t="s">
        <v>58</v>
      </c>
      <c r="L2007" s="13" t="s">
        <v>88</v>
      </c>
      <c r="M2007">
        <v>60</v>
      </c>
      <c r="N2007">
        <v>0</v>
      </c>
      <c r="O2007" s="14">
        <v>46014</v>
      </c>
      <c r="P2007" s="14">
        <v>46074</v>
      </c>
      <c r="Q2007">
        <v>10753.16</v>
      </c>
      <c r="R2007">
        <v>0</v>
      </c>
      <c r="S2007">
        <v>0</v>
      </c>
      <c r="T2007">
        <v>0</v>
      </c>
      <c r="U2007">
        <v>0</v>
      </c>
      <c r="V2007">
        <v>10753.16</v>
      </c>
      <c r="W2007">
        <v>0</v>
      </c>
      <c r="X2007">
        <v>1</v>
      </c>
      <c r="Y2007">
        <v>0</v>
      </c>
      <c r="Z2007">
        <v>-52</v>
      </c>
      <c r="AA2007">
        <v>1</v>
      </c>
      <c r="AB2007" s="13" t="s">
        <v>581</v>
      </c>
      <c r="AC2007">
        <v>0</v>
      </c>
      <c r="AD2007">
        <v>0</v>
      </c>
      <c r="AE2007" s="13" t="s">
        <v>61</v>
      </c>
    </row>
    <row r="2008" spans="1:31" x14ac:dyDescent="0.35">
      <c r="A2008" s="13" t="s">
        <v>2828</v>
      </c>
      <c r="B2008" s="13" t="s">
        <v>305</v>
      </c>
      <c r="C2008" s="13" t="s">
        <v>306</v>
      </c>
      <c r="D2008" s="13" t="s">
        <v>76</v>
      </c>
      <c r="E2008" s="13" t="s">
        <v>53</v>
      </c>
      <c r="F2008" s="13" t="s">
        <v>135</v>
      </c>
      <c r="G2008" s="13" t="s">
        <v>67</v>
      </c>
      <c r="H2008">
        <v>30000</v>
      </c>
      <c r="I2008" s="13" t="s">
        <v>93</v>
      </c>
      <c r="J2008" s="13" t="s">
        <v>94</v>
      </c>
      <c r="K2008" s="13" t="s">
        <v>81</v>
      </c>
      <c r="L2008" s="13" t="s">
        <v>95</v>
      </c>
      <c r="M2008">
        <v>30</v>
      </c>
      <c r="N2008">
        <v>0</v>
      </c>
      <c r="O2008" s="14">
        <v>46014</v>
      </c>
      <c r="P2008" s="14">
        <v>46044</v>
      </c>
      <c r="Q2008">
        <v>1820.77</v>
      </c>
      <c r="R2008">
        <v>0</v>
      </c>
      <c r="S2008">
        <v>0</v>
      </c>
      <c r="T2008">
        <v>0</v>
      </c>
      <c r="U2008">
        <v>0</v>
      </c>
      <c r="V2008">
        <v>1820.77</v>
      </c>
      <c r="W2008">
        <v>0</v>
      </c>
      <c r="X2008">
        <v>1</v>
      </c>
      <c r="Y2008">
        <v>0</v>
      </c>
      <c r="Z2008">
        <v>-22</v>
      </c>
      <c r="AA2008">
        <v>1</v>
      </c>
      <c r="AB2008" s="13" t="s">
        <v>581</v>
      </c>
      <c r="AC2008">
        <v>0</v>
      </c>
      <c r="AD2008">
        <v>0</v>
      </c>
      <c r="AE2008" s="13" t="s">
        <v>61</v>
      </c>
    </row>
    <row r="2009" spans="1:31" x14ac:dyDescent="0.35">
      <c r="A2009" s="13" t="s">
        <v>2829</v>
      </c>
      <c r="B2009" s="13" t="s">
        <v>172</v>
      </c>
      <c r="C2009" s="13" t="s">
        <v>173</v>
      </c>
      <c r="D2009" s="13" t="s">
        <v>52</v>
      </c>
      <c r="E2009" s="13" t="s">
        <v>77</v>
      </c>
      <c r="F2009" s="13" t="s">
        <v>174</v>
      </c>
      <c r="G2009" s="13" t="s">
        <v>67</v>
      </c>
      <c r="H2009">
        <v>590000</v>
      </c>
      <c r="I2009" s="13" t="s">
        <v>56</v>
      </c>
      <c r="J2009" s="13" t="s">
        <v>57</v>
      </c>
      <c r="K2009" s="13" t="s">
        <v>58</v>
      </c>
      <c r="L2009" s="13" t="s">
        <v>59</v>
      </c>
      <c r="M2009">
        <v>45</v>
      </c>
      <c r="N2009">
        <v>0</v>
      </c>
      <c r="O2009" s="14">
        <v>46014</v>
      </c>
      <c r="P2009" s="14">
        <v>46059</v>
      </c>
      <c r="Q2009">
        <v>6067.95</v>
      </c>
      <c r="R2009">
        <v>0</v>
      </c>
      <c r="S2009">
        <v>0</v>
      </c>
      <c r="T2009">
        <v>0</v>
      </c>
      <c r="U2009">
        <v>0</v>
      </c>
      <c r="V2009">
        <v>6067.95</v>
      </c>
      <c r="W2009">
        <v>0</v>
      </c>
      <c r="X2009">
        <v>1</v>
      </c>
      <c r="Y2009">
        <v>0</v>
      </c>
      <c r="Z2009">
        <v>-37</v>
      </c>
      <c r="AA2009">
        <v>1</v>
      </c>
      <c r="AB2009" s="13" t="s">
        <v>581</v>
      </c>
      <c r="AC2009">
        <v>0</v>
      </c>
      <c r="AD2009">
        <v>0</v>
      </c>
      <c r="AE2009" s="13" t="s">
        <v>61</v>
      </c>
    </row>
    <row r="2010" spans="1:31" x14ac:dyDescent="0.35">
      <c r="A2010" s="13" t="s">
        <v>2830</v>
      </c>
      <c r="B2010" s="13" t="s">
        <v>425</v>
      </c>
      <c r="C2010" s="13" t="s">
        <v>426</v>
      </c>
      <c r="D2010" s="13" t="s">
        <v>126</v>
      </c>
      <c r="E2010" s="13" t="s">
        <v>77</v>
      </c>
      <c r="F2010" s="13" t="s">
        <v>78</v>
      </c>
      <c r="G2010" s="13" t="s">
        <v>67</v>
      </c>
      <c r="H2010">
        <v>230000</v>
      </c>
      <c r="I2010" s="13" t="s">
        <v>56</v>
      </c>
      <c r="J2010" s="13" t="s">
        <v>57</v>
      </c>
      <c r="K2010" s="13" t="s">
        <v>58</v>
      </c>
      <c r="L2010" s="13" t="s">
        <v>368</v>
      </c>
      <c r="M2010">
        <v>90</v>
      </c>
      <c r="N2010">
        <v>0</v>
      </c>
      <c r="O2010" s="14">
        <v>46014</v>
      </c>
      <c r="P2010" s="14">
        <v>46104</v>
      </c>
      <c r="Q2010">
        <v>2427.58</v>
      </c>
      <c r="R2010">
        <v>0</v>
      </c>
      <c r="S2010">
        <v>0</v>
      </c>
      <c r="T2010">
        <v>0</v>
      </c>
      <c r="U2010">
        <v>0</v>
      </c>
      <c r="V2010">
        <v>2427.58</v>
      </c>
      <c r="W2010">
        <v>0</v>
      </c>
      <c r="X2010">
        <v>1</v>
      </c>
      <c r="Y2010">
        <v>0</v>
      </c>
      <c r="Z2010">
        <v>-82</v>
      </c>
      <c r="AA2010">
        <v>1</v>
      </c>
      <c r="AB2010" s="13" t="s">
        <v>581</v>
      </c>
      <c r="AC2010">
        <v>0</v>
      </c>
      <c r="AD2010">
        <v>0</v>
      </c>
      <c r="AE2010" s="13" t="s">
        <v>61</v>
      </c>
    </row>
    <row r="2011" spans="1:31" x14ac:dyDescent="0.35">
      <c r="A2011" s="13" t="s">
        <v>2831</v>
      </c>
      <c r="B2011" s="13" t="s">
        <v>1405</v>
      </c>
      <c r="C2011" s="13" t="s">
        <v>1406</v>
      </c>
      <c r="D2011" s="13" t="s">
        <v>52</v>
      </c>
      <c r="E2011" s="13" t="s">
        <v>53</v>
      </c>
      <c r="F2011" s="13" t="s">
        <v>54</v>
      </c>
      <c r="G2011" s="13" t="s">
        <v>67</v>
      </c>
      <c r="H2011">
        <v>445000</v>
      </c>
      <c r="I2011" s="13" t="s">
        <v>86</v>
      </c>
      <c r="J2011" s="13" t="s">
        <v>87</v>
      </c>
      <c r="K2011" s="13" t="s">
        <v>58</v>
      </c>
      <c r="L2011" s="13" t="s">
        <v>59</v>
      </c>
      <c r="M2011">
        <v>45</v>
      </c>
      <c r="N2011">
        <v>0</v>
      </c>
      <c r="O2011" s="14">
        <v>46014</v>
      </c>
      <c r="P2011" s="14">
        <v>46059</v>
      </c>
      <c r="Q2011">
        <v>1662.78</v>
      </c>
      <c r="R2011">
        <v>0</v>
      </c>
      <c r="S2011">
        <v>0</v>
      </c>
      <c r="T2011">
        <v>0</v>
      </c>
      <c r="U2011">
        <v>0</v>
      </c>
      <c r="V2011">
        <v>1662.78</v>
      </c>
      <c r="W2011">
        <v>0</v>
      </c>
      <c r="X2011">
        <v>1</v>
      </c>
      <c r="Y2011">
        <v>0</v>
      </c>
      <c r="Z2011">
        <v>-37</v>
      </c>
      <c r="AA2011">
        <v>1</v>
      </c>
      <c r="AB2011" s="13" t="s">
        <v>581</v>
      </c>
      <c r="AC2011">
        <v>0</v>
      </c>
      <c r="AD2011">
        <v>0</v>
      </c>
      <c r="AE2011" s="13" t="s">
        <v>61</v>
      </c>
    </row>
    <row r="2012" spans="1:31" x14ac:dyDescent="0.35">
      <c r="A2012" s="13" t="s">
        <v>2832</v>
      </c>
      <c r="B2012" s="13" t="s">
        <v>1227</v>
      </c>
      <c r="C2012" s="13" t="s">
        <v>1228</v>
      </c>
      <c r="D2012" s="13" t="s">
        <v>76</v>
      </c>
      <c r="E2012" s="13" t="s">
        <v>99</v>
      </c>
      <c r="F2012" s="13" t="s">
        <v>100</v>
      </c>
      <c r="G2012" s="13" t="s">
        <v>55</v>
      </c>
      <c r="H2012">
        <v>110000</v>
      </c>
      <c r="I2012" s="13" t="s">
        <v>93</v>
      </c>
      <c r="J2012" s="13" t="s">
        <v>94</v>
      </c>
      <c r="K2012" s="13" t="s">
        <v>81</v>
      </c>
      <c r="L2012" s="13" t="s">
        <v>95</v>
      </c>
      <c r="M2012">
        <v>30</v>
      </c>
      <c r="N2012">
        <v>0</v>
      </c>
      <c r="O2012" s="14">
        <v>46014</v>
      </c>
      <c r="P2012" s="14">
        <v>46044</v>
      </c>
      <c r="Q2012">
        <v>2506.23</v>
      </c>
      <c r="R2012">
        <v>0</v>
      </c>
      <c r="S2012">
        <v>0</v>
      </c>
      <c r="T2012">
        <v>0</v>
      </c>
      <c r="U2012">
        <v>0</v>
      </c>
      <c r="V2012">
        <v>2506.23</v>
      </c>
      <c r="W2012">
        <v>0</v>
      </c>
      <c r="X2012">
        <v>1</v>
      </c>
      <c r="Y2012">
        <v>0</v>
      </c>
      <c r="Z2012">
        <v>-22</v>
      </c>
      <c r="AA2012">
        <v>1</v>
      </c>
      <c r="AB2012" s="13" t="s">
        <v>581</v>
      </c>
      <c r="AC2012">
        <v>0</v>
      </c>
      <c r="AD2012">
        <v>0</v>
      </c>
      <c r="AE2012" s="13" t="s">
        <v>61</v>
      </c>
    </row>
    <row r="2013" spans="1:31" x14ac:dyDescent="0.35">
      <c r="A2013" s="13" t="s">
        <v>2833</v>
      </c>
      <c r="B2013" s="13" t="s">
        <v>379</v>
      </c>
      <c r="C2013" s="13" t="s">
        <v>380</v>
      </c>
      <c r="D2013" s="13" t="s">
        <v>52</v>
      </c>
      <c r="E2013" s="13" t="s">
        <v>77</v>
      </c>
      <c r="F2013" s="13" t="s">
        <v>78</v>
      </c>
      <c r="G2013" s="13" t="s">
        <v>92</v>
      </c>
      <c r="H2013">
        <v>450000</v>
      </c>
      <c r="I2013" s="13" t="s">
        <v>56</v>
      </c>
      <c r="J2013" s="13" t="s">
        <v>57</v>
      </c>
      <c r="K2013" s="13" t="s">
        <v>58</v>
      </c>
      <c r="L2013" s="13" t="s">
        <v>59</v>
      </c>
      <c r="M2013">
        <v>45</v>
      </c>
      <c r="N2013">
        <v>0</v>
      </c>
      <c r="O2013" s="14">
        <v>46014</v>
      </c>
      <c r="P2013" s="14">
        <v>46059</v>
      </c>
      <c r="Q2013">
        <v>1700.74</v>
      </c>
      <c r="R2013">
        <v>0</v>
      </c>
      <c r="S2013">
        <v>0</v>
      </c>
      <c r="T2013">
        <v>0</v>
      </c>
      <c r="U2013">
        <v>0</v>
      </c>
      <c r="V2013">
        <v>1700.74</v>
      </c>
      <c r="W2013">
        <v>0</v>
      </c>
      <c r="X2013">
        <v>1</v>
      </c>
      <c r="Y2013">
        <v>0</v>
      </c>
      <c r="Z2013">
        <v>-37</v>
      </c>
      <c r="AA2013">
        <v>1</v>
      </c>
      <c r="AB2013" s="13" t="s">
        <v>581</v>
      </c>
      <c r="AC2013">
        <v>0</v>
      </c>
      <c r="AD2013">
        <v>0</v>
      </c>
      <c r="AE2013" s="13" t="s">
        <v>61</v>
      </c>
    </row>
    <row r="2014" spans="1:31" x14ac:dyDescent="0.35">
      <c r="A2014" s="13" t="s">
        <v>2834</v>
      </c>
      <c r="B2014" s="13" t="s">
        <v>212</v>
      </c>
      <c r="C2014" s="13" t="s">
        <v>213</v>
      </c>
      <c r="D2014" s="13" t="s">
        <v>52</v>
      </c>
      <c r="E2014" s="13" t="s">
        <v>71</v>
      </c>
      <c r="F2014" s="13" t="s">
        <v>214</v>
      </c>
      <c r="G2014" s="13" t="s">
        <v>92</v>
      </c>
      <c r="H2014">
        <v>380000</v>
      </c>
      <c r="I2014" s="13" t="s">
        <v>86</v>
      </c>
      <c r="J2014" s="13" t="s">
        <v>87</v>
      </c>
      <c r="K2014" s="13" t="s">
        <v>58</v>
      </c>
      <c r="L2014" s="13" t="s">
        <v>88</v>
      </c>
      <c r="M2014">
        <v>60</v>
      </c>
      <c r="N2014">
        <v>0</v>
      </c>
      <c r="O2014" s="14">
        <v>46014</v>
      </c>
      <c r="P2014" s="14">
        <v>46074</v>
      </c>
      <c r="Q2014">
        <v>2370.4899999999998</v>
      </c>
      <c r="R2014">
        <v>0</v>
      </c>
      <c r="S2014">
        <v>0</v>
      </c>
      <c r="T2014">
        <v>0</v>
      </c>
      <c r="U2014">
        <v>0</v>
      </c>
      <c r="V2014">
        <v>2370.4899999999998</v>
      </c>
      <c r="W2014">
        <v>0</v>
      </c>
      <c r="X2014">
        <v>1</v>
      </c>
      <c r="Y2014">
        <v>0</v>
      </c>
      <c r="Z2014">
        <v>-52</v>
      </c>
      <c r="AA2014">
        <v>1</v>
      </c>
      <c r="AB2014" s="13" t="s">
        <v>581</v>
      </c>
      <c r="AC2014">
        <v>0</v>
      </c>
      <c r="AD2014">
        <v>0</v>
      </c>
      <c r="AE2014" s="13" t="s">
        <v>61</v>
      </c>
    </row>
    <row r="2015" spans="1:31" x14ac:dyDescent="0.35">
      <c r="A2015" s="13" t="s">
        <v>2835</v>
      </c>
      <c r="B2015" s="13" t="s">
        <v>113</v>
      </c>
      <c r="C2015" s="13" t="s">
        <v>114</v>
      </c>
      <c r="D2015" s="13" t="s">
        <v>52</v>
      </c>
      <c r="E2015" s="13" t="s">
        <v>77</v>
      </c>
      <c r="F2015" s="13" t="s">
        <v>78</v>
      </c>
      <c r="G2015" s="13" t="s">
        <v>92</v>
      </c>
      <c r="H2015">
        <v>545000</v>
      </c>
      <c r="I2015" s="13" t="s">
        <v>86</v>
      </c>
      <c r="J2015" s="13" t="s">
        <v>87</v>
      </c>
      <c r="K2015" s="13" t="s">
        <v>58</v>
      </c>
      <c r="L2015" s="13" t="s">
        <v>88</v>
      </c>
      <c r="M2015">
        <v>60</v>
      </c>
      <c r="N2015">
        <v>0</v>
      </c>
      <c r="O2015" s="14">
        <v>46014</v>
      </c>
      <c r="P2015" s="14">
        <v>46074</v>
      </c>
      <c r="Q2015">
        <v>10663.08</v>
      </c>
      <c r="R2015">
        <v>0</v>
      </c>
      <c r="S2015">
        <v>0</v>
      </c>
      <c r="T2015">
        <v>0</v>
      </c>
      <c r="U2015">
        <v>0</v>
      </c>
      <c r="V2015">
        <v>10663.08</v>
      </c>
      <c r="W2015">
        <v>0</v>
      </c>
      <c r="X2015">
        <v>1</v>
      </c>
      <c r="Y2015">
        <v>0</v>
      </c>
      <c r="Z2015">
        <v>-52</v>
      </c>
      <c r="AA2015">
        <v>1</v>
      </c>
      <c r="AB2015" s="13" t="s">
        <v>581</v>
      </c>
      <c r="AC2015">
        <v>0</v>
      </c>
      <c r="AD2015">
        <v>0</v>
      </c>
      <c r="AE2015" s="13" t="s">
        <v>61</v>
      </c>
    </row>
    <row r="2016" spans="1:31" x14ac:dyDescent="0.35">
      <c r="A2016" s="13" t="s">
        <v>2836</v>
      </c>
      <c r="B2016" s="13" t="s">
        <v>1165</v>
      </c>
      <c r="C2016" s="13" t="s">
        <v>1166</v>
      </c>
      <c r="D2016" s="13" t="s">
        <v>52</v>
      </c>
      <c r="E2016" s="13" t="s">
        <v>99</v>
      </c>
      <c r="F2016" s="13" t="s">
        <v>127</v>
      </c>
      <c r="G2016" s="13" t="s">
        <v>67</v>
      </c>
      <c r="H2016">
        <v>370000</v>
      </c>
      <c r="I2016" s="13" t="s">
        <v>56</v>
      </c>
      <c r="J2016" s="13" t="s">
        <v>57</v>
      </c>
      <c r="K2016" s="13" t="s">
        <v>58</v>
      </c>
      <c r="L2016" s="13" t="s">
        <v>88</v>
      </c>
      <c r="M2016">
        <v>60</v>
      </c>
      <c r="N2016">
        <v>0</v>
      </c>
      <c r="O2016" s="14">
        <v>46014</v>
      </c>
      <c r="P2016" s="14">
        <v>46074</v>
      </c>
      <c r="Q2016">
        <v>1625.3</v>
      </c>
      <c r="R2016">
        <v>0</v>
      </c>
      <c r="S2016">
        <v>0</v>
      </c>
      <c r="T2016">
        <v>0</v>
      </c>
      <c r="U2016">
        <v>0</v>
      </c>
      <c r="V2016">
        <v>1625.3</v>
      </c>
      <c r="W2016">
        <v>0</v>
      </c>
      <c r="X2016">
        <v>1</v>
      </c>
      <c r="Y2016">
        <v>0</v>
      </c>
      <c r="Z2016">
        <v>-52</v>
      </c>
      <c r="AA2016">
        <v>1</v>
      </c>
      <c r="AB2016" s="13" t="s">
        <v>581</v>
      </c>
      <c r="AC2016">
        <v>0</v>
      </c>
      <c r="AD2016">
        <v>0</v>
      </c>
      <c r="AE2016" s="13" t="s">
        <v>61</v>
      </c>
    </row>
    <row r="2017" spans="1:31" x14ac:dyDescent="0.35">
      <c r="A2017" s="13" t="s">
        <v>2837</v>
      </c>
      <c r="B2017" s="13" t="s">
        <v>1280</v>
      </c>
      <c r="C2017" s="13" t="s">
        <v>1281</v>
      </c>
      <c r="D2017" s="13" t="s">
        <v>104</v>
      </c>
      <c r="E2017" s="13" t="s">
        <v>71</v>
      </c>
      <c r="F2017" s="13" t="s">
        <v>72</v>
      </c>
      <c r="G2017" s="13" t="s">
        <v>67</v>
      </c>
      <c r="H2017">
        <v>135000</v>
      </c>
      <c r="I2017" s="13" t="s">
        <v>121</v>
      </c>
      <c r="J2017" s="13" t="s">
        <v>122</v>
      </c>
      <c r="K2017" s="13" t="s">
        <v>107</v>
      </c>
      <c r="L2017" s="13" t="s">
        <v>88</v>
      </c>
      <c r="M2017">
        <v>60</v>
      </c>
      <c r="N2017">
        <v>0</v>
      </c>
      <c r="O2017" s="14">
        <v>46014</v>
      </c>
      <c r="P2017" s="14">
        <v>46074</v>
      </c>
      <c r="Q2017">
        <v>7790.91</v>
      </c>
      <c r="R2017">
        <v>0</v>
      </c>
      <c r="S2017">
        <v>0</v>
      </c>
      <c r="T2017">
        <v>0</v>
      </c>
      <c r="U2017">
        <v>0</v>
      </c>
      <c r="V2017">
        <v>7790.91</v>
      </c>
      <c r="W2017">
        <v>0</v>
      </c>
      <c r="X2017">
        <v>1</v>
      </c>
      <c r="Y2017">
        <v>0</v>
      </c>
      <c r="Z2017">
        <v>-52</v>
      </c>
      <c r="AA2017">
        <v>1</v>
      </c>
      <c r="AB2017" s="13" t="s">
        <v>581</v>
      </c>
      <c r="AC2017">
        <v>0</v>
      </c>
      <c r="AD2017">
        <v>0</v>
      </c>
      <c r="AE2017" s="13" t="s">
        <v>61</v>
      </c>
    </row>
    <row r="2018" spans="1:31" x14ac:dyDescent="0.35">
      <c r="A2018" s="13" t="s">
        <v>2838</v>
      </c>
      <c r="B2018" s="13" t="s">
        <v>177</v>
      </c>
      <c r="C2018" s="13" t="s">
        <v>178</v>
      </c>
      <c r="D2018" s="13" t="s">
        <v>52</v>
      </c>
      <c r="E2018" s="13" t="s">
        <v>71</v>
      </c>
      <c r="F2018" s="13" t="s">
        <v>72</v>
      </c>
      <c r="G2018" s="13" t="s">
        <v>67</v>
      </c>
      <c r="H2018">
        <v>415000</v>
      </c>
      <c r="I2018" s="13" t="s">
        <v>56</v>
      </c>
      <c r="J2018" s="13" t="s">
        <v>57</v>
      </c>
      <c r="K2018" s="13" t="s">
        <v>58</v>
      </c>
      <c r="L2018" s="13" t="s">
        <v>59</v>
      </c>
      <c r="M2018">
        <v>45</v>
      </c>
      <c r="N2018">
        <v>0</v>
      </c>
      <c r="O2018" s="14">
        <v>46014</v>
      </c>
      <c r="P2018" s="14">
        <v>46059</v>
      </c>
      <c r="Q2018">
        <v>17384.41</v>
      </c>
      <c r="R2018">
        <v>0</v>
      </c>
      <c r="S2018">
        <v>0</v>
      </c>
      <c r="T2018">
        <v>0</v>
      </c>
      <c r="U2018">
        <v>0</v>
      </c>
      <c r="V2018">
        <v>17384.41</v>
      </c>
      <c r="W2018">
        <v>0</v>
      </c>
      <c r="X2018">
        <v>1</v>
      </c>
      <c r="Y2018">
        <v>0</v>
      </c>
      <c r="Z2018">
        <v>-37</v>
      </c>
      <c r="AA2018">
        <v>1</v>
      </c>
      <c r="AB2018" s="13" t="s">
        <v>581</v>
      </c>
      <c r="AC2018">
        <v>0</v>
      </c>
      <c r="AD2018">
        <v>0</v>
      </c>
      <c r="AE2018" s="13" t="s">
        <v>61</v>
      </c>
    </row>
    <row r="2019" spans="1:31" x14ac:dyDescent="0.35">
      <c r="A2019" s="13" t="s">
        <v>2839</v>
      </c>
      <c r="B2019" s="13" t="s">
        <v>1507</v>
      </c>
      <c r="C2019" s="13" t="s">
        <v>1508</v>
      </c>
      <c r="D2019" s="13" t="s">
        <v>104</v>
      </c>
      <c r="E2019" s="13" t="s">
        <v>77</v>
      </c>
      <c r="F2019" s="13" t="s">
        <v>78</v>
      </c>
      <c r="G2019" s="13" t="s">
        <v>67</v>
      </c>
      <c r="H2019">
        <v>140000</v>
      </c>
      <c r="I2019" s="13" t="s">
        <v>121</v>
      </c>
      <c r="J2019" s="13" t="s">
        <v>122</v>
      </c>
      <c r="K2019" s="13" t="s">
        <v>107</v>
      </c>
      <c r="L2019" s="13" t="s">
        <v>82</v>
      </c>
      <c r="M2019">
        <v>30</v>
      </c>
      <c r="N2019">
        <v>2</v>
      </c>
      <c r="O2019" s="14">
        <v>46015</v>
      </c>
      <c r="P2019" s="14">
        <v>46045</v>
      </c>
      <c r="Q2019">
        <v>4056.81</v>
      </c>
      <c r="R2019">
        <v>0</v>
      </c>
      <c r="S2019">
        <v>0</v>
      </c>
      <c r="T2019">
        <v>0</v>
      </c>
      <c r="U2019">
        <v>0</v>
      </c>
      <c r="V2019">
        <v>4056.81</v>
      </c>
      <c r="W2019">
        <v>0</v>
      </c>
      <c r="X2019">
        <v>1</v>
      </c>
      <c r="Y2019">
        <v>0</v>
      </c>
      <c r="Z2019">
        <v>-23</v>
      </c>
      <c r="AA2019">
        <v>1</v>
      </c>
      <c r="AB2019" s="13" t="s">
        <v>581</v>
      </c>
      <c r="AC2019">
        <v>0</v>
      </c>
      <c r="AD2019">
        <v>0</v>
      </c>
      <c r="AE2019" s="13" t="s">
        <v>61</v>
      </c>
    </row>
    <row r="2020" spans="1:31" x14ac:dyDescent="0.35">
      <c r="A2020" s="13" t="s">
        <v>2840</v>
      </c>
      <c r="B2020" s="13" t="s">
        <v>1455</v>
      </c>
      <c r="C2020" s="13" t="s">
        <v>1456</v>
      </c>
      <c r="D2020" s="13" t="s">
        <v>104</v>
      </c>
      <c r="E2020" s="13" t="s">
        <v>65</v>
      </c>
      <c r="F2020" s="13" t="s">
        <v>111</v>
      </c>
      <c r="G2020" s="13" t="s">
        <v>55</v>
      </c>
      <c r="H2020">
        <v>135000</v>
      </c>
      <c r="I2020" s="13" t="s">
        <v>121</v>
      </c>
      <c r="J2020" s="13" t="s">
        <v>122</v>
      </c>
      <c r="K2020" s="13" t="s">
        <v>107</v>
      </c>
      <c r="L2020" s="13" t="s">
        <v>82</v>
      </c>
      <c r="M2020">
        <v>30</v>
      </c>
      <c r="N2020">
        <v>2</v>
      </c>
      <c r="O2020" s="14">
        <v>46015</v>
      </c>
      <c r="P2020" s="14">
        <v>46045</v>
      </c>
      <c r="Q2020">
        <v>888.88</v>
      </c>
      <c r="R2020">
        <v>0</v>
      </c>
      <c r="S2020">
        <v>0</v>
      </c>
      <c r="T2020">
        <v>0</v>
      </c>
      <c r="U2020">
        <v>0</v>
      </c>
      <c r="V2020">
        <v>888.88</v>
      </c>
      <c r="W2020">
        <v>0</v>
      </c>
      <c r="X2020">
        <v>1</v>
      </c>
      <c r="Y2020">
        <v>0</v>
      </c>
      <c r="Z2020">
        <v>-23</v>
      </c>
      <c r="AA2020">
        <v>1</v>
      </c>
      <c r="AB2020" s="13" t="s">
        <v>581</v>
      </c>
      <c r="AC2020">
        <v>0</v>
      </c>
      <c r="AD2020">
        <v>0</v>
      </c>
      <c r="AE2020" s="13" t="s">
        <v>61</v>
      </c>
    </row>
    <row r="2021" spans="1:31" x14ac:dyDescent="0.35">
      <c r="A2021" s="13" t="s">
        <v>2841</v>
      </c>
      <c r="B2021" s="13" t="s">
        <v>197</v>
      </c>
      <c r="C2021" s="13" t="s">
        <v>198</v>
      </c>
      <c r="D2021" s="13" t="s">
        <v>76</v>
      </c>
      <c r="E2021" s="13" t="s">
        <v>53</v>
      </c>
      <c r="F2021" s="13" t="s">
        <v>135</v>
      </c>
      <c r="G2021" s="13" t="s">
        <v>67</v>
      </c>
      <c r="H2021">
        <v>105000</v>
      </c>
      <c r="I2021" s="13" t="s">
        <v>79</v>
      </c>
      <c r="J2021" s="13" t="s">
        <v>80</v>
      </c>
      <c r="K2021" s="13" t="s">
        <v>81</v>
      </c>
      <c r="L2021" s="13" t="s">
        <v>95</v>
      </c>
      <c r="M2021">
        <v>30</v>
      </c>
      <c r="N2021">
        <v>0</v>
      </c>
      <c r="O2021" s="14">
        <v>46015</v>
      </c>
      <c r="P2021" s="14">
        <v>46045</v>
      </c>
      <c r="Q2021">
        <v>1964.23</v>
      </c>
      <c r="R2021">
        <v>0</v>
      </c>
      <c r="S2021">
        <v>0</v>
      </c>
      <c r="T2021">
        <v>0</v>
      </c>
      <c r="U2021">
        <v>0</v>
      </c>
      <c r="V2021">
        <v>1964.23</v>
      </c>
      <c r="W2021">
        <v>0</v>
      </c>
      <c r="X2021">
        <v>1</v>
      </c>
      <c r="Y2021">
        <v>0</v>
      </c>
      <c r="Z2021">
        <v>-23</v>
      </c>
      <c r="AA2021">
        <v>1</v>
      </c>
      <c r="AB2021" s="13" t="s">
        <v>581</v>
      </c>
      <c r="AC2021">
        <v>0</v>
      </c>
      <c r="AD2021">
        <v>0</v>
      </c>
      <c r="AE2021" s="13" t="s">
        <v>61</v>
      </c>
    </row>
    <row r="2022" spans="1:31" x14ac:dyDescent="0.35">
      <c r="A2022" s="13" t="s">
        <v>2842</v>
      </c>
      <c r="B2022" s="13" t="s">
        <v>203</v>
      </c>
      <c r="C2022" s="13" t="s">
        <v>204</v>
      </c>
      <c r="D2022" s="13" t="s">
        <v>52</v>
      </c>
      <c r="E2022" s="13" t="s">
        <v>53</v>
      </c>
      <c r="F2022" s="13" t="s">
        <v>135</v>
      </c>
      <c r="G2022" s="13" t="s">
        <v>67</v>
      </c>
      <c r="H2022">
        <v>500000</v>
      </c>
      <c r="I2022" s="13" t="s">
        <v>56</v>
      </c>
      <c r="J2022" s="13" t="s">
        <v>57</v>
      </c>
      <c r="K2022" s="13" t="s">
        <v>58</v>
      </c>
      <c r="L2022" s="13" t="s">
        <v>59</v>
      </c>
      <c r="M2022">
        <v>45</v>
      </c>
      <c r="N2022">
        <v>0</v>
      </c>
      <c r="O2022" s="14">
        <v>46015</v>
      </c>
      <c r="P2022" s="14">
        <v>46060</v>
      </c>
      <c r="Q2022">
        <v>4875.68</v>
      </c>
      <c r="R2022">
        <v>0</v>
      </c>
      <c r="S2022">
        <v>0</v>
      </c>
      <c r="T2022">
        <v>0</v>
      </c>
      <c r="U2022">
        <v>0</v>
      </c>
      <c r="V2022">
        <v>4875.68</v>
      </c>
      <c r="W2022">
        <v>0</v>
      </c>
      <c r="X2022">
        <v>1</v>
      </c>
      <c r="Y2022">
        <v>0</v>
      </c>
      <c r="Z2022">
        <v>-38</v>
      </c>
      <c r="AA2022">
        <v>1</v>
      </c>
      <c r="AB2022" s="13" t="s">
        <v>581</v>
      </c>
      <c r="AC2022">
        <v>0</v>
      </c>
      <c r="AD2022">
        <v>0</v>
      </c>
      <c r="AE2022" s="13" t="s">
        <v>61</v>
      </c>
    </row>
    <row r="2023" spans="1:31" x14ac:dyDescent="0.35">
      <c r="A2023" s="13" t="s">
        <v>2843</v>
      </c>
      <c r="B2023" s="13" t="s">
        <v>702</v>
      </c>
      <c r="C2023" s="13" t="s">
        <v>703</v>
      </c>
      <c r="D2023" s="13" t="s">
        <v>52</v>
      </c>
      <c r="E2023" s="13" t="s">
        <v>65</v>
      </c>
      <c r="F2023" s="13" t="s">
        <v>111</v>
      </c>
      <c r="G2023" s="13" t="s">
        <v>67</v>
      </c>
      <c r="H2023">
        <v>435000</v>
      </c>
      <c r="I2023" s="13" t="s">
        <v>86</v>
      </c>
      <c r="J2023" s="13" t="s">
        <v>87</v>
      </c>
      <c r="K2023" s="13" t="s">
        <v>58</v>
      </c>
      <c r="L2023" s="13" t="s">
        <v>59</v>
      </c>
      <c r="M2023">
        <v>45</v>
      </c>
      <c r="N2023">
        <v>0</v>
      </c>
      <c r="O2023" s="14">
        <v>46015</v>
      </c>
      <c r="P2023" s="14">
        <v>46060</v>
      </c>
      <c r="Q2023">
        <v>3492.13</v>
      </c>
      <c r="R2023">
        <v>0</v>
      </c>
      <c r="S2023">
        <v>0</v>
      </c>
      <c r="T2023">
        <v>0</v>
      </c>
      <c r="U2023">
        <v>0</v>
      </c>
      <c r="V2023">
        <v>3492.13</v>
      </c>
      <c r="W2023">
        <v>0</v>
      </c>
      <c r="X2023">
        <v>1</v>
      </c>
      <c r="Y2023">
        <v>0</v>
      </c>
      <c r="Z2023">
        <v>-38</v>
      </c>
      <c r="AA2023">
        <v>1</v>
      </c>
      <c r="AB2023" s="13" t="s">
        <v>581</v>
      </c>
      <c r="AC2023">
        <v>0</v>
      </c>
      <c r="AD2023">
        <v>0</v>
      </c>
      <c r="AE2023" s="13" t="s">
        <v>61</v>
      </c>
    </row>
    <row r="2024" spans="1:31" x14ac:dyDescent="0.35">
      <c r="A2024" s="13" t="s">
        <v>2844</v>
      </c>
      <c r="B2024" s="13" t="s">
        <v>1460</v>
      </c>
      <c r="C2024" s="13" t="s">
        <v>1461</v>
      </c>
      <c r="D2024" s="13" t="s">
        <v>104</v>
      </c>
      <c r="E2024" s="13" t="s">
        <v>99</v>
      </c>
      <c r="F2024" s="13" t="s">
        <v>100</v>
      </c>
      <c r="G2024" s="13" t="s">
        <v>55</v>
      </c>
      <c r="H2024">
        <v>65000</v>
      </c>
      <c r="I2024" s="13" t="s">
        <v>121</v>
      </c>
      <c r="J2024" s="13" t="s">
        <v>122</v>
      </c>
      <c r="K2024" s="13" t="s">
        <v>107</v>
      </c>
      <c r="L2024" s="13" t="s">
        <v>82</v>
      </c>
      <c r="M2024">
        <v>30</v>
      </c>
      <c r="N2024">
        <v>2</v>
      </c>
      <c r="O2024" s="14">
        <v>46015</v>
      </c>
      <c r="P2024" s="14">
        <v>46045</v>
      </c>
      <c r="Q2024">
        <v>5431.13</v>
      </c>
      <c r="R2024">
        <v>0</v>
      </c>
      <c r="S2024">
        <v>0</v>
      </c>
      <c r="T2024">
        <v>0</v>
      </c>
      <c r="U2024">
        <v>0</v>
      </c>
      <c r="V2024">
        <v>5431.13</v>
      </c>
      <c r="W2024">
        <v>0</v>
      </c>
      <c r="X2024">
        <v>1</v>
      </c>
      <c r="Y2024">
        <v>0</v>
      </c>
      <c r="Z2024">
        <v>-23</v>
      </c>
      <c r="AA2024">
        <v>1</v>
      </c>
      <c r="AB2024" s="13" t="s">
        <v>581</v>
      </c>
      <c r="AC2024">
        <v>0</v>
      </c>
      <c r="AD2024">
        <v>0</v>
      </c>
      <c r="AE2024" s="13" t="s">
        <v>61</v>
      </c>
    </row>
    <row r="2025" spans="1:31" x14ac:dyDescent="0.35">
      <c r="A2025" s="13" t="s">
        <v>2845</v>
      </c>
      <c r="B2025" s="13" t="s">
        <v>273</v>
      </c>
      <c r="C2025" s="13" t="s">
        <v>274</v>
      </c>
      <c r="D2025" s="13" t="s">
        <v>104</v>
      </c>
      <c r="E2025" s="13" t="s">
        <v>71</v>
      </c>
      <c r="F2025" s="13" t="s">
        <v>72</v>
      </c>
      <c r="G2025" s="13" t="s">
        <v>92</v>
      </c>
      <c r="H2025">
        <v>120000</v>
      </c>
      <c r="I2025" s="13" t="s">
        <v>105</v>
      </c>
      <c r="J2025" s="13" t="s">
        <v>106</v>
      </c>
      <c r="K2025" s="13" t="s">
        <v>107</v>
      </c>
      <c r="L2025" s="13" t="s">
        <v>88</v>
      </c>
      <c r="M2025">
        <v>60</v>
      </c>
      <c r="N2025">
        <v>0</v>
      </c>
      <c r="O2025" s="14">
        <v>46015</v>
      </c>
      <c r="P2025" s="14">
        <v>46075</v>
      </c>
      <c r="Q2025">
        <v>1212.9100000000001</v>
      </c>
      <c r="R2025">
        <v>0</v>
      </c>
      <c r="S2025">
        <v>0</v>
      </c>
      <c r="T2025">
        <v>0</v>
      </c>
      <c r="U2025">
        <v>0</v>
      </c>
      <c r="V2025">
        <v>1212.9100000000001</v>
      </c>
      <c r="W2025">
        <v>0</v>
      </c>
      <c r="X2025">
        <v>1</v>
      </c>
      <c r="Y2025">
        <v>0</v>
      </c>
      <c r="Z2025">
        <v>-53</v>
      </c>
      <c r="AA2025">
        <v>1</v>
      </c>
      <c r="AB2025" s="13" t="s">
        <v>581</v>
      </c>
      <c r="AC2025">
        <v>0</v>
      </c>
      <c r="AD2025">
        <v>0</v>
      </c>
      <c r="AE2025" s="13" t="s">
        <v>61</v>
      </c>
    </row>
    <row r="2026" spans="1:31" x14ac:dyDescent="0.35">
      <c r="A2026" s="13" t="s">
        <v>2846</v>
      </c>
      <c r="B2026" s="13" t="s">
        <v>216</v>
      </c>
      <c r="C2026" s="13" t="s">
        <v>217</v>
      </c>
      <c r="D2026" s="13" t="s">
        <v>52</v>
      </c>
      <c r="E2026" s="13" t="s">
        <v>65</v>
      </c>
      <c r="F2026" s="13" t="s">
        <v>66</v>
      </c>
      <c r="G2026" s="13" t="s">
        <v>67</v>
      </c>
      <c r="H2026">
        <v>515000</v>
      </c>
      <c r="I2026" s="13" t="s">
        <v>86</v>
      </c>
      <c r="J2026" s="13" t="s">
        <v>87</v>
      </c>
      <c r="K2026" s="13" t="s">
        <v>58</v>
      </c>
      <c r="L2026" s="13" t="s">
        <v>88</v>
      </c>
      <c r="M2026">
        <v>60</v>
      </c>
      <c r="N2026">
        <v>0</v>
      </c>
      <c r="O2026" s="14">
        <v>46015</v>
      </c>
      <c r="P2026" s="14">
        <v>46075</v>
      </c>
      <c r="Q2026">
        <v>10759.77</v>
      </c>
      <c r="R2026">
        <v>0</v>
      </c>
      <c r="S2026">
        <v>0</v>
      </c>
      <c r="T2026">
        <v>0</v>
      </c>
      <c r="U2026">
        <v>0</v>
      </c>
      <c r="V2026">
        <v>10759.77</v>
      </c>
      <c r="W2026">
        <v>0</v>
      </c>
      <c r="X2026">
        <v>1</v>
      </c>
      <c r="Y2026">
        <v>0</v>
      </c>
      <c r="Z2026">
        <v>-53</v>
      </c>
      <c r="AA2026">
        <v>1</v>
      </c>
      <c r="AB2026" s="13" t="s">
        <v>581</v>
      </c>
      <c r="AC2026">
        <v>0</v>
      </c>
      <c r="AD2026">
        <v>0</v>
      </c>
      <c r="AE2026" s="13" t="s">
        <v>61</v>
      </c>
    </row>
    <row r="2027" spans="1:31" x14ac:dyDescent="0.35">
      <c r="A2027" s="13" t="s">
        <v>2847</v>
      </c>
      <c r="B2027" s="13" t="s">
        <v>1766</v>
      </c>
      <c r="C2027" s="13" t="s">
        <v>1767</v>
      </c>
      <c r="D2027" s="13" t="s">
        <v>52</v>
      </c>
      <c r="E2027" s="13" t="s">
        <v>77</v>
      </c>
      <c r="F2027" s="13" t="s">
        <v>174</v>
      </c>
      <c r="G2027" s="13" t="s">
        <v>67</v>
      </c>
      <c r="H2027">
        <v>440000</v>
      </c>
      <c r="I2027" s="13" t="s">
        <v>56</v>
      </c>
      <c r="J2027" s="13" t="s">
        <v>57</v>
      </c>
      <c r="K2027" s="13" t="s">
        <v>58</v>
      </c>
      <c r="L2027" s="13" t="s">
        <v>59</v>
      </c>
      <c r="M2027">
        <v>45</v>
      </c>
      <c r="N2027">
        <v>0</v>
      </c>
      <c r="O2027" s="14">
        <v>46015</v>
      </c>
      <c r="P2027" s="14">
        <v>46060</v>
      </c>
      <c r="Q2027">
        <v>3112</v>
      </c>
      <c r="R2027">
        <v>0</v>
      </c>
      <c r="S2027">
        <v>0</v>
      </c>
      <c r="T2027">
        <v>0</v>
      </c>
      <c r="U2027">
        <v>0</v>
      </c>
      <c r="V2027">
        <v>3112</v>
      </c>
      <c r="W2027">
        <v>0</v>
      </c>
      <c r="X2027">
        <v>1</v>
      </c>
      <c r="Y2027">
        <v>0</v>
      </c>
      <c r="Z2027">
        <v>-38</v>
      </c>
      <c r="AA2027">
        <v>1</v>
      </c>
      <c r="AB2027" s="13" t="s">
        <v>581</v>
      </c>
      <c r="AC2027">
        <v>0</v>
      </c>
      <c r="AD2027">
        <v>0</v>
      </c>
      <c r="AE2027" s="13" t="s">
        <v>61</v>
      </c>
    </row>
    <row r="2028" spans="1:31" x14ac:dyDescent="0.35">
      <c r="A2028" s="13" t="s">
        <v>2848</v>
      </c>
      <c r="B2028" s="13" t="s">
        <v>1366</v>
      </c>
      <c r="C2028" s="13" t="s">
        <v>1367</v>
      </c>
      <c r="D2028" s="13" t="s">
        <v>126</v>
      </c>
      <c r="E2028" s="13" t="s">
        <v>65</v>
      </c>
      <c r="F2028" s="13" t="s">
        <v>111</v>
      </c>
      <c r="G2028" s="13" t="s">
        <v>67</v>
      </c>
      <c r="H2028">
        <v>205000</v>
      </c>
      <c r="I2028" s="13" t="s">
        <v>56</v>
      </c>
      <c r="J2028" s="13" t="s">
        <v>57</v>
      </c>
      <c r="K2028" s="13" t="s">
        <v>58</v>
      </c>
      <c r="L2028" s="13" t="s">
        <v>88</v>
      </c>
      <c r="M2028">
        <v>60</v>
      </c>
      <c r="N2028">
        <v>0</v>
      </c>
      <c r="O2028" s="14">
        <v>46015</v>
      </c>
      <c r="P2028" s="14">
        <v>46075</v>
      </c>
      <c r="Q2028">
        <v>2729.87</v>
      </c>
      <c r="R2028">
        <v>0</v>
      </c>
      <c r="S2028">
        <v>0</v>
      </c>
      <c r="T2028">
        <v>0</v>
      </c>
      <c r="U2028">
        <v>0</v>
      </c>
      <c r="V2028">
        <v>2729.87</v>
      </c>
      <c r="W2028">
        <v>0</v>
      </c>
      <c r="X2028">
        <v>1</v>
      </c>
      <c r="Y2028">
        <v>0</v>
      </c>
      <c r="Z2028">
        <v>-53</v>
      </c>
      <c r="AA2028">
        <v>1</v>
      </c>
      <c r="AB2028" s="13" t="s">
        <v>581</v>
      </c>
      <c r="AC2028">
        <v>0</v>
      </c>
      <c r="AD2028">
        <v>0</v>
      </c>
      <c r="AE2028" s="13" t="s">
        <v>61</v>
      </c>
    </row>
    <row r="2029" spans="1:31" x14ac:dyDescent="0.35">
      <c r="A2029" s="13" t="s">
        <v>2849</v>
      </c>
      <c r="B2029" s="13" t="s">
        <v>165</v>
      </c>
      <c r="C2029" s="13" t="s">
        <v>166</v>
      </c>
      <c r="D2029" s="13" t="s">
        <v>104</v>
      </c>
      <c r="E2029" s="13" t="s">
        <v>53</v>
      </c>
      <c r="F2029" s="13" t="s">
        <v>135</v>
      </c>
      <c r="G2029" s="13" t="s">
        <v>67</v>
      </c>
      <c r="H2029">
        <v>55000</v>
      </c>
      <c r="I2029" s="13" t="s">
        <v>121</v>
      </c>
      <c r="J2029" s="13" t="s">
        <v>122</v>
      </c>
      <c r="K2029" s="13" t="s">
        <v>107</v>
      </c>
      <c r="L2029" s="13" t="s">
        <v>88</v>
      </c>
      <c r="M2029">
        <v>60</v>
      </c>
      <c r="N2029">
        <v>0</v>
      </c>
      <c r="O2029" s="14">
        <v>46015</v>
      </c>
      <c r="P2029" s="14">
        <v>46075</v>
      </c>
      <c r="Q2029">
        <v>837.17</v>
      </c>
      <c r="R2029">
        <v>0</v>
      </c>
      <c r="S2029">
        <v>0</v>
      </c>
      <c r="T2029">
        <v>0</v>
      </c>
      <c r="U2029">
        <v>0</v>
      </c>
      <c r="V2029">
        <v>837.17</v>
      </c>
      <c r="W2029">
        <v>0</v>
      </c>
      <c r="X2029">
        <v>1</v>
      </c>
      <c r="Y2029">
        <v>0</v>
      </c>
      <c r="Z2029">
        <v>-53</v>
      </c>
      <c r="AA2029">
        <v>1</v>
      </c>
      <c r="AB2029" s="13" t="s">
        <v>581</v>
      </c>
      <c r="AC2029">
        <v>0</v>
      </c>
      <c r="AD2029">
        <v>0</v>
      </c>
      <c r="AE2029" s="13" t="s">
        <v>61</v>
      </c>
    </row>
    <row r="2030" spans="1:31" x14ac:dyDescent="0.35">
      <c r="A2030" s="13" t="s">
        <v>2850</v>
      </c>
      <c r="B2030" s="13" t="s">
        <v>478</v>
      </c>
      <c r="C2030" s="13" t="s">
        <v>479</v>
      </c>
      <c r="D2030" s="13" t="s">
        <v>52</v>
      </c>
      <c r="E2030" s="13" t="s">
        <v>77</v>
      </c>
      <c r="F2030" s="13" t="s">
        <v>174</v>
      </c>
      <c r="G2030" s="13" t="s">
        <v>55</v>
      </c>
      <c r="H2030">
        <v>385000</v>
      </c>
      <c r="I2030" s="13" t="s">
        <v>86</v>
      </c>
      <c r="J2030" s="13" t="s">
        <v>87</v>
      </c>
      <c r="K2030" s="13" t="s">
        <v>58</v>
      </c>
      <c r="L2030" s="13" t="s">
        <v>88</v>
      </c>
      <c r="M2030">
        <v>60</v>
      </c>
      <c r="N2030">
        <v>0</v>
      </c>
      <c r="O2030" s="14">
        <v>46015</v>
      </c>
      <c r="P2030" s="14">
        <v>46075</v>
      </c>
      <c r="Q2030">
        <v>4639.9799999999996</v>
      </c>
      <c r="R2030">
        <v>0</v>
      </c>
      <c r="S2030">
        <v>0</v>
      </c>
      <c r="T2030">
        <v>0</v>
      </c>
      <c r="U2030">
        <v>0</v>
      </c>
      <c r="V2030">
        <v>4639.9799999999996</v>
      </c>
      <c r="W2030">
        <v>0</v>
      </c>
      <c r="X2030">
        <v>1</v>
      </c>
      <c r="Y2030">
        <v>0</v>
      </c>
      <c r="Z2030">
        <v>-53</v>
      </c>
      <c r="AA2030">
        <v>1</v>
      </c>
      <c r="AB2030" s="13" t="s">
        <v>581</v>
      </c>
      <c r="AC2030">
        <v>0</v>
      </c>
      <c r="AD2030">
        <v>0</v>
      </c>
      <c r="AE2030" s="13" t="s">
        <v>61</v>
      </c>
    </row>
    <row r="2031" spans="1:31" x14ac:dyDescent="0.35">
      <c r="A2031" s="13" t="s">
        <v>2851</v>
      </c>
      <c r="B2031" s="13" t="s">
        <v>156</v>
      </c>
      <c r="C2031" s="13" t="s">
        <v>157</v>
      </c>
      <c r="D2031" s="13" t="s">
        <v>52</v>
      </c>
      <c r="E2031" s="13" t="s">
        <v>53</v>
      </c>
      <c r="F2031" s="13" t="s">
        <v>54</v>
      </c>
      <c r="G2031" s="13" t="s">
        <v>92</v>
      </c>
      <c r="H2031">
        <v>600000</v>
      </c>
      <c r="I2031" s="13" t="s">
        <v>56</v>
      </c>
      <c r="J2031" s="13" t="s">
        <v>57</v>
      </c>
      <c r="K2031" s="13" t="s">
        <v>58</v>
      </c>
      <c r="L2031" s="13" t="s">
        <v>88</v>
      </c>
      <c r="M2031">
        <v>60</v>
      </c>
      <c r="N2031">
        <v>0</v>
      </c>
      <c r="O2031" s="14">
        <v>46015</v>
      </c>
      <c r="P2031" s="14">
        <v>46075</v>
      </c>
      <c r="Q2031">
        <v>8437.84</v>
      </c>
      <c r="R2031">
        <v>0</v>
      </c>
      <c r="S2031">
        <v>0</v>
      </c>
      <c r="T2031">
        <v>0</v>
      </c>
      <c r="U2031">
        <v>0</v>
      </c>
      <c r="V2031">
        <v>8437.84</v>
      </c>
      <c r="W2031">
        <v>0</v>
      </c>
      <c r="X2031">
        <v>1</v>
      </c>
      <c r="Y2031">
        <v>0</v>
      </c>
      <c r="Z2031">
        <v>-53</v>
      </c>
      <c r="AA2031">
        <v>1</v>
      </c>
      <c r="AB2031" s="13" t="s">
        <v>581</v>
      </c>
      <c r="AC2031">
        <v>0</v>
      </c>
      <c r="AD2031">
        <v>0</v>
      </c>
      <c r="AE2031" s="13" t="s">
        <v>61</v>
      </c>
    </row>
    <row r="2032" spans="1:31" x14ac:dyDescent="0.35">
      <c r="A2032" s="13" t="s">
        <v>2852</v>
      </c>
      <c r="B2032" s="13" t="s">
        <v>2012</v>
      </c>
      <c r="C2032" s="13" t="s">
        <v>2013</v>
      </c>
      <c r="D2032" s="13" t="s">
        <v>104</v>
      </c>
      <c r="E2032" s="13" t="s">
        <v>53</v>
      </c>
      <c r="F2032" s="13" t="s">
        <v>54</v>
      </c>
      <c r="G2032" s="13" t="s">
        <v>92</v>
      </c>
      <c r="H2032">
        <v>80000</v>
      </c>
      <c r="I2032" s="13" t="s">
        <v>121</v>
      </c>
      <c r="J2032" s="13" t="s">
        <v>122</v>
      </c>
      <c r="K2032" s="13" t="s">
        <v>107</v>
      </c>
      <c r="L2032" s="13" t="s">
        <v>82</v>
      </c>
      <c r="M2032">
        <v>30</v>
      </c>
      <c r="N2032">
        <v>2</v>
      </c>
      <c r="O2032" s="14">
        <v>46015</v>
      </c>
      <c r="P2032" s="14">
        <v>46045</v>
      </c>
      <c r="Q2032">
        <v>4738.6499999999996</v>
      </c>
      <c r="R2032">
        <v>0</v>
      </c>
      <c r="S2032">
        <v>0</v>
      </c>
      <c r="T2032">
        <v>0</v>
      </c>
      <c r="U2032">
        <v>0</v>
      </c>
      <c r="V2032">
        <v>4738.6499999999996</v>
      </c>
      <c r="W2032">
        <v>0</v>
      </c>
      <c r="X2032">
        <v>1</v>
      </c>
      <c r="Y2032">
        <v>0</v>
      </c>
      <c r="Z2032">
        <v>-23</v>
      </c>
      <c r="AA2032">
        <v>1</v>
      </c>
      <c r="AB2032" s="13" t="s">
        <v>581</v>
      </c>
      <c r="AC2032">
        <v>0</v>
      </c>
      <c r="AD2032">
        <v>0</v>
      </c>
      <c r="AE2032" s="13" t="s">
        <v>61</v>
      </c>
    </row>
    <row r="2033" spans="1:31" x14ac:dyDescent="0.35">
      <c r="A2033" s="13" t="s">
        <v>2853</v>
      </c>
      <c r="B2033" s="13" t="s">
        <v>1296</v>
      </c>
      <c r="C2033" s="13" t="s">
        <v>1297</v>
      </c>
      <c r="D2033" s="13" t="s">
        <v>104</v>
      </c>
      <c r="E2033" s="13" t="s">
        <v>99</v>
      </c>
      <c r="F2033" s="13" t="s">
        <v>127</v>
      </c>
      <c r="G2033" s="13" t="s">
        <v>55</v>
      </c>
      <c r="H2033">
        <v>85000</v>
      </c>
      <c r="I2033" s="13" t="s">
        <v>121</v>
      </c>
      <c r="J2033" s="13" t="s">
        <v>122</v>
      </c>
      <c r="K2033" s="13" t="s">
        <v>107</v>
      </c>
      <c r="L2033" s="13" t="s">
        <v>95</v>
      </c>
      <c r="M2033">
        <v>30</v>
      </c>
      <c r="N2033">
        <v>0</v>
      </c>
      <c r="O2033" s="14">
        <v>46015</v>
      </c>
      <c r="P2033" s="14">
        <v>46045</v>
      </c>
      <c r="Q2033">
        <v>4105.8500000000004</v>
      </c>
      <c r="R2033">
        <v>0</v>
      </c>
      <c r="S2033">
        <v>0</v>
      </c>
      <c r="T2033">
        <v>0</v>
      </c>
      <c r="U2033">
        <v>0</v>
      </c>
      <c r="V2033">
        <v>4105.8500000000004</v>
      </c>
      <c r="W2033">
        <v>0</v>
      </c>
      <c r="X2033">
        <v>1</v>
      </c>
      <c r="Y2033">
        <v>0</v>
      </c>
      <c r="Z2033">
        <v>-23</v>
      </c>
      <c r="AA2033">
        <v>1</v>
      </c>
      <c r="AB2033" s="13" t="s">
        <v>581</v>
      </c>
      <c r="AC2033">
        <v>0</v>
      </c>
      <c r="AD2033">
        <v>0</v>
      </c>
      <c r="AE2033" s="13" t="s">
        <v>61</v>
      </c>
    </row>
    <row r="2034" spans="1:31" x14ac:dyDescent="0.35">
      <c r="A2034" s="13" t="s">
        <v>2854</v>
      </c>
      <c r="B2034" s="13" t="s">
        <v>119</v>
      </c>
      <c r="C2034" s="13" t="s">
        <v>120</v>
      </c>
      <c r="D2034" s="13" t="s">
        <v>104</v>
      </c>
      <c r="E2034" s="13" t="s">
        <v>53</v>
      </c>
      <c r="F2034" s="13" t="s">
        <v>54</v>
      </c>
      <c r="G2034" s="13" t="s">
        <v>55</v>
      </c>
      <c r="H2034">
        <v>145000</v>
      </c>
      <c r="I2034" s="13" t="s">
        <v>121</v>
      </c>
      <c r="J2034" s="13" t="s">
        <v>122</v>
      </c>
      <c r="K2034" s="13" t="s">
        <v>107</v>
      </c>
      <c r="L2034" s="13" t="s">
        <v>82</v>
      </c>
      <c r="M2034">
        <v>30</v>
      </c>
      <c r="N2034">
        <v>2</v>
      </c>
      <c r="O2034" s="14">
        <v>46015</v>
      </c>
      <c r="P2034" s="14">
        <v>46045</v>
      </c>
      <c r="Q2034">
        <v>5295.39</v>
      </c>
      <c r="R2034">
        <v>0</v>
      </c>
      <c r="S2034">
        <v>0</v>
      </c>
      <c r="T2034">
        <v>0</v>
      </c>
      <c r="U2034">
        <v>0</v>
      </c>
      <c r="V2034">
        <v>5295.39</v>
      </c>
      <c r="W2034">
        <v>0</v>
      </c>
      <c r="X2034">
        <v>1</v>
      </c>
      <c r="Y2034">
        <v>0</v>
      </c>
      <c r="Z2034">
        <v>-23</v>
      </c>
      <c r="AA2034">
        <v>1</v>
      </c>
      <c r="AB2034" s="13" t="s">
        <v>581</v>
      </c>
      <c r="AC2034">
        <v>0</v>
      </c>
      <c r="AD2034">
        <v>0</v>
      </c>
      <c r="AE2034" s="13" t="s">
        <v>61</v>
      </c>
    </row>
    <row r="2035" spans="1:31" x14ac:dyDescent="0.35">
      <c r="A2035" s="13" t="s">
        <v>2855</v>
      </c>
      <c r="B2035" s="13" t="s">
        <v>1336</v>
      </c>
      <c r="C2035" s="13" t="s">
        <v>1337</v>
      </c>
      <c r="D2035" s="13" t="s">
        <v>76</v>
      </c>
      <c r="E2035" s="13" t="s">
        <v>99</v>
      </c>
      <c r="F2035" s="13" t="s">
        <v>127</v>
      </c>
      <c r="G2035" s="13" t="s">
        <v>55</v>
      </c>
      <c r="H2035">
        <v>70000</v>
      </c>
      <c r="I2035" s="13" t="s">
        <v>93</v>
      </c>
      <c r="J2035" s="13" t="s">
        <v>94</v>
      </c>
      <c r="K2035" s="13" t="s">
        <v>81</v>
      </c>
      <c r="L2035" s="13" t="s">
        <v>82</v>
      </c>
      <c r="M2035">
        <v>30</v>
      </c>
      <c r="N2035">
        <v>2</v>
      </c>
      <c r="O2035" s="14">
        <v>46015</v>
      </c>
      <c r="P2035" s="14">
        <v>46045</v>
      </c>
      <c r="Q2035">
        <v>1156.6600000000001</v>
      </c>
      <c r="R2035">
        <v>0</v>
      </c>
      <c r="S2035">
        <v>0</v>
      </c>
      <c r="T2035">
        <v>0</v>
      </c>
      <c r="U2035">
        <v>0</v>
      </c>
      <c r="V2035">
        <v>1156.6600000000001</v>
      </c>
      <c r="W2035">
        <v>0</v>
      </c>
      <c r="X2035">
        <v>1</v>
      </c>
      <c r="Y2035">
        <v>0</v>
      </c>
      <c r="Z2035">
        <v>-23</v>
      </c>
      <c r="AA2035">
        <v>1</v>
      </c>
      <c r="AB2035" s="13" t="s">
        <v>581</v>
      </c>
      <c r="AC2035">
        <v>0</v>
      </c>
      <c r="AD2035">
        <v>0</v>
      </c>
      <c r="AE2035" s="13" t="s">
        <v>61</v>
      </c>
    </row>
    <row r="2036" spans="1:31" x14ac:dyDescent="0.35">
      <c r="A2036" s="13" t="s">
        <v>2856</v>
      </c>
      <c r="B2036" s="13" t="s">
        <v>1559</v>
      </c>
      <c r="C2036" s="13" t="s">
        <v>1560</v>
      </c>
      <c r="D2036" s="13" t="s">
        <v>104</v>
      </c>
      <c r="E2036" s="13" t="s">
        <v>99</v>
      </c>
      <c r="F2036" s="13" t="s">
        <v>100</v>
      </c>
      <c r="G2036" s="13" t="s">
        <v>55</v>
      </c>
      <c r="H2036">
        <v>115000</v>
      </c>
      <c r="I2036" s="13" t="s">
        <v>105</v>
      </c>
      <c r="J2036" s="13" t="s">
        <v>106</v>
      </c>
      <c r="K2036" s="13" t="s">
        <v>107</v>
      </c>
      <c r="L2036" s="13" t="s">
        <v>95</v>
      </c>
      <c r="M2036">
        <v>30</v>
      </c>
      <c r="N2036">
        <v>0</v>
      </c>
      <c r="O2036" s="14">
        <v>46015</v>
      </c>
      <c r="P2036" s="14">
        <v>46045</v>
      </c>
      <c r="Q2036">
        <v>2439.36</v>
      </c>
      <c r="R2036">
        <v>0</v>
      </c>
      <c r="S2036">
        <v>0</v>
      </c>
      <c r="T2036">
        <v>0</v>
      </c>
      <c r="U2036">
        <v>0</v>
      </c>
      <c r="V2036">
        <v>2439.36</v>
      </c>
      <c r="W2036">
        <v>0</v>
      </c>
      <c r="X2036">
        <v>1</v>
      </c>
      <c r="Y2036">
        <v>0</v>
      </c>
      <c r="Z2036">
        <v>-23</v>
      </c>
      <c r="AA2036">
        <v>1</v>
      </c>
      <c r="AB2036" s="13" t="s">
        <v>581</v>
      </c>
      <c r="AC2036">
        <v>0</v>
      </c>
      <c r="AD2036">
        <v>0</v>
      </c>
      <c r="AE2036" s="13" t="s">
        <v>61</v>
      </c>
    </row>
    <row r="2037" spans="1:31" x14ac:dyDescent="0.35">
      <c r="A2037" s="13" t="s">
        <v>2857</v>
      </c>
      <c r="B2037" s="13" t="s">
        <v>1467</v>
      </c>
      <c r="C2037" s="13" t="s">
        <v>1468</v>
      </c>
      <c r="D2037" s="13" t="s">
        <v>104</v>
      </c>
      <c r="E2037" s="13" t="s">
        <v>99</v>
      </c>
      <c r="F2037" s="13" t="s">
        <v>127</v>
      </c>
      <c r="G2037" s="13" t="s">
        <v>55</v>
      </c>
      <c r="H2037">
        <v>135000</v>
      </c>
      <c r="I2037" s="13" t="s">
        <v>121</v>
      </c>
      <c r="J2037" s="13" t="s">
        <v>122</v>
      </c>
      <c r="K2037" s="13" t="s">
        <v>107</v>
      </c>
      <c r="L2037" s="13" t="s">
        <v>95</v>
      </c>
      <c r="M2037">
        <v>30</v>
      </c>
      <c r="N2037">
        <v>0</v>
      </c>
      <c r="O2037" s="14">
        <v>46015</v>
      </c>
      <c r="P2037" s="14">
        <v>46045</v>
      </c>
      <c r="Q2037">
        <v>4419.22</v>
      </c>
      <c r="R2037">
        <v>0</v>
      </c>
      <c r="S2037">
        <v>0</v>
      </c>
      <c r="T2037">
        <v>0</v>
      </c>
      <c r="U2037">
        <v>0</v>
      </c>
      <c r="V2037">
        <v>4419.22</v>
      </c>
      <c r="W2037">
        <v>0</v>
      </c>
      <c r="X2037">
        <v>1</v>
      </c>
      <c r="Y2037">
        <v>0</v>
      </c>
      <c r="Z2037">
        <v>-23</v>
      </c>
      <c r="AA2037">
        <v>1</v>
      </c>
      <c r="AB2037" s="13" t="s">
        <v>581</v>
      </c>
      <c r="AC2037">
        <v>0</v>
      </c>
      <c r="AD2037">
        <v>0</v>
      </c>
      <c r="AE2037" s="13" t="s">
        <v>61</v>
      </c>
    </row>
    <row r="2038" spans="1:31" x14ac:dyDescent="0.35">
      <c r="A2038" s="13" t="s">
        <v>2858</v>
      </c>
      <c r="B2038" s="13" t="s">
        <v>1201</v>
      </c>
      <c r="C2038" s="13" t="s">
        <v>1202</v>
      </c>
      <c r="D2038" s="13" t="s">
        <v>126</v>
      </c>
      <c r="E2038" s="13" t="s">
        <v>99</v>
      </c>
      <c r="F2038" s="13" t="s">
        <v>100</v>
      </c>
      <c r="G2038" s="13" t="s">
        <v>67</v>
      </c>
      <c r="H2038">
        <v>175000</v>
      </c>
      <c r="I2038" s="13" t="s">
        <v>86</v>
      </c>
      <c r="J2038" s="13" t="s">
        <v>87</v>
      </c>
      <c r="K2038" s="13" t="s">
        <v>58</v>
      </c>
      <c r="L2038" s="13" t="s">
        <v>88</v>
      </c>
      <c r="M2038">
        <v>60</v>
      </c>
      <c r="N2038">
        <v>0</v>
      </c>
      <c r="O2038" s="14">
        <v>46015</v>
      </c>
      <c r="P2038" s="14">
        <v>46075</v>
      </c>
      <c r="Q2038">
        <v>7473.75</v>
      </c>
      <c r="R2038">
        <v>0</v>
      </c>
      <c r="S2038">
        <v>0</v>
      </c>
      <c r="T2038">
        <v>0</v>
      </c>
      <c r="U2038">
        <v>0</v>
      </c>
      <c r="V2038">
        <v>7473.75</v>
      </c>
      <c r="W2038">
        <v>0</v>
      </c>
      <c r="X2038">
        <v>1</v>
      </c>
      <c r="Y2038">
        <v>0</v>
      </c>
      <c r="Z2038">
        <v>-53</v>
      </c>
      <c r="AA2038">
        <v>1</v>
      </c>
      <c r="AB2038" s="13" t="s">
        <v>581</v>
      </c>
      <c r="AC2038">
        <v>0</v>
      </c>
      <c r="AD2038">
        <v>0</v>
      </c>
      <c r="AE2038" s="13" t="s">
        <v>61</v>
      </c>
    </row>
    <row r="2039" spans="1:31" x14ac:dyDescent="0.35">
      <c r="A2039" s="13" t="s">
        <v>2859</v>
      </c>
      <c r="B2039" s="13" t="s">
        <v>854</v>
      </c>
      <c r="C2039" s="13" t="s">
        <v>855</v>
      </c>
      <c r="D2039" s="13" t="s">
        <v>52</v>
      </c>
      <c r="E2039" s="13" t="s">
        <v>77</v>
      </c>
      <c r="F2039" s="13" t="s">
        <v>78</v>
      </c>
      <c r="G2039" s="13" t="s">
        <v>67</v>
      </c>
      <c r="H2039">
        <v>385000</v>
      </c>
      <c r="I2039" s="13" t="s">
        <v>86</v>
      </c>
      <c r="J2039" s="13" t="s">
        <v>87</v>
      </c>
      <c r="K2039" s="13" t="s">
        <v>58</v>
      </c>
      <c r="L2039" s="13" t="s">
        <v>88</v>
      </c>
      <c r="M2039">
        <v>60</v>
      </c>
      <c r="N2039">
        <v>0</v>
      </c>
      <c r="O2039" s="14">
        <v>46015</v>
      </c>
      <c r="P2039" s="14">
        <v>46075</v>
      </c>
      <c r="Q2039">
        <v>2848.52</v>
      </c>
      <c r="R2039">
        <v>0</v>
      </c>
      <c r="S2039">
        <v>0</v>
      </c>
      <c r="T2039">
        <v>0</v>
      </c>
      <c r="U2039">
        <v>0</v>
      </c>
      <c r="V2039">
        <v>2848.52</v>
      </c>
      <c r="W2039">
        <v>0</v>
      </c>
      <c r="X2039">
        <v>1</v>
      </c>
      <c r="Y2039">
        <v>0</v>
      </c>
      <c r="Z2039">
        <v>-53</v>
      </c>
      <c r="AA2039">
        <v>1</v>
      </c>
      <c r="AB2039" s="13" t="s">
        <v>581</v>
      </c>
      <c r="AC2039">
        <v>0</v>
      </c>
      <c r="AD2039">
        <v>0</v>
      </c>
      <c r="AE2039" s="13" t="s">
        <v>61</v>
      </c>
    </row>
    <row r="2040" spans="1:31" x14ac:dyDescent="0.35">
      <c r="A2040" s="13" t="s">
        <v>2860</v>
      </c>
      <c r="B2040" s="13" t="s">
        <v>539</v>
      </c>
      <c r="C2040" s="13" t="s">
        <v>540</v>
      </c>
      <c r="D2040" s="13" t="s">
        <v>52</v>
      </c>
      <c r="E2040" s="13" t="s">
        <v>65</v>
      </c>
      <c r="F2040" s="13" t="s">
        <v>66</v>
      </c>
      <c r="G2040" s="13" t="s">
        <v>67</v>
      </c>
      <c r="H2040">
        <v>435000</v>
      </c>
      <c r="I2040" s="13" t="s">
        <v>56</v>
      </c>
      <c r="J2040" s="13" t="s">
        <v>57</v>
      </c>
      <c r="K2040" s="13" t="s">
        <v>58</v>
      </c>
      <c r="L2040" s="13" t="s">
        <v>59</v>
      </c>
      <c r="M2040">
        <v>45</v>
      </c>
      <c r="N2040">
        <v>0</v>
      </c>
      <c r="O2040" s="14">
        <v>46015</v>
      </c>
      <c r="P2040" s="14">
        <v>46060</v>
      </c>
      <c r="Q2040">
        <v>14032.59</v>
      </c>
      <c r="R2040">
        <v>0</v>
      </c>
      <c r="S2040">
        <v>0</v>
      </c>
      <c r="T2040">
        <v>0</v>
      </c>
      <c r="U2040">
        <v>0</v>
      </c>
      <c r="V2040">
        <v>14032.59</v>
      </c>
      <c r="W2040">
        <v>0</v>
      </c>
      <c r="X2040">
        <v>1</v>
      </c>
      <c r="Y2040">
        <v>0</v>
      </c>
      <c r="Z2040">
        <v>-38</v>
      </c>
      <c r="AA2040">
        <v>1</v>
      </c>
      <c r="AB2040" s="13" t="s">
        <v>581</v>
      </c>
      <c r="AC2040">
        <v>0</v>
      </c>
      <c r="AD2040">
        <v>0</v>
      </c>
      <c r="AE2040" s="13" t="s">
        <v>61</v>
      </c>
    </row>
    <row r="2041" spans="1:31" x14ac:dyDescent="0.35">
      <c r="A2041" s="13" t="s">
        <v>2861</v>
      </c>
      <c r="B2041" s="13" t="s">
        <v>1251</v>
      </c>
      <c r="C2041" s="13" t="s">
        <v>1252</v>
      </c>
      <c r="D2041" s="13" t="s">
        <v>76</v>
      </c>
      <c r="E2041" s="13" t="s">
        <v>71</v>
      </c>
      <c r="F2041" s="13" t="s">
        <v>72</v>
      </c>
      <c r="G2041" s="13" t="s">
        <v>92</v>
      </c>
      <c r="H2041">
        <v>110000</v>
      </c>
      <c r="I2041" s="13" t="s">
        <v>93</v>
      </c>
      <c r="J2041" s="13" t="s">
        <v>94</v>
      </c>
      <c r="K2041" s="13" t="s">
        <v>81</v>
      </c>
      <c r="L2041" s="13" t="s">
        <v>95</v>
      </c>
      <c r="M2041">
        <v>30</v>
      </c>
      <c r="N2041">
        <v>0</v>
      </c>
      <c r="O2041" s="14">
        <v>46015</v>
      </c>
      <c r="P2041" s="14">
        <v>46045</v>
      </c>
      <c r="Q2041">
        <v>1167.26</v>
      </c>
      <c r="R2041">
        <v>0</v>
      </c>
      <c r="S2041">
        <v>0</v>
      </c>
      <c r="T2041">
        <v>0</v>
      </c>
      <c r="U2041">
        <v>0</v>
      </c>
      <c r="V2041">
        <v>1167.26</v>
      </c>
      <c r="W2041">
        <v>0</v>
      </c>
      <c r="X2041">
        <v>1</v>
      </c>
      <c r="Y2041">
        <v>0</v>
      </c>
      <c r="Z2041">
        <v>-23</v>
      </c>
      <c r="AA2041">
        <v>1</v>
      </c>
      <c r="AB2041" s="13" t="s">
        <v>581</v>
      </c>
      <c r="AC2041">
        <v>0</v>
      </c>
      <c r="AD2041">
        <v>0</v>
      </c>
      <c r="AE2041" s="13" t="s">
        <v>61</v>
      </c>
    </row>
    <row r="2042" spans="1:31" x14ac:dyDescent="0.35">
      <c r="A2042" s="13" t="s">
        <v>2862</v>
      </c>
      <c r="B2042" s="13" t="s">
        <v>521</v>
      </c>
      <c r="C2042" s="13" t="s">
        <v>522</v>
      </c>
      <c r="D2042" s="13" t="s">
        <v>126</v>
      </c>
      <c r="E2042" s="13" t="s">
        <v>77</v>
      </c>
      <c r="F2042" s="13" t="s">
        <v>78</v>
      </c>
      <c r="G2042" s="13" t="s">
        <v>67</v>
      </c>
      <c r="H2042">
        <v>155000</v>
      </c>
      <c r="I2042" s="13" t="s">
        <v>86</v>
      </c>
      <c r="J2042" s="13" t="s">
        <v>87</v>
      </c>
      <c r="K2042" s="13" t="s">
        <v>58</v>
      </c>
      <c r="L2042" s="13" t="s">
        <v>368</v>
      </c>
      <c r="M2042">
        <v>90</v>
      </c>
      <c r="N2042">
        <v>0</v>
      </c>
      <c r="O2042" s="14">
        <v>46015</v>
      </c>
      <c r="P2042" s="14">
        <v>46105</v>
      </c>
      <c r="Q2042">
        <v>3353.3</v>
      </c>
      <c r="R2042">
        <v>0</v>
      </c>
      <c r="S2042">
        <v>0</v>
      </c>
      <c r="T2042">
        <v>0</v>
      </c>
      <c r="U2042">
        <v>0</v>
      </c>
      <c r="V2042">
        <v>3353.3</v>
      </c>
      <c r="W2042">
        <v>0</v>
      </c>
      <c r="X2042">
        <v>1</v>
      </c>
      <c r="Y2042">
        <v>0</v>
      </c>
      <c r="Z2042">
        <v>-83</v>
      </c>
      <c r="AA2042">
        <v>1</v>
      </c>
      <c r="AB2042" s="13" t="s">
        <v>581</v>
      </c>
      <c r="AC2042">
        <v>0</v>
      </c>
      <c r="AD2042">
        <v>0</v>
      </c>
      <c r="AE2042" s="13" t="s">
        <v>61</v>
      </c>
    </row>
    <row r="2043" spans="1:31" x14ac:dyDescent="0.35">
      <c r="A2043" s="13" t="s">
        <v>2863</v>
      </c>
      <c r="B2043" s="13" t="s">
        <v>2138</v>
      </c>
      <c r="C2043" s="13" t="s">
        <v>2139</v>
      </c>
      <c r="D2043" s="13" t="s">
        <v>76</v>
      </c>
      <c r="E2043" s="13" t="s">
        <v>53</v>
      </c>
      <c r="F2043" s="13" t="s">
        <v>135</v>
      </c>
      <c r="G2043" s="13" t="s">
        <v>55</v>
      </c>
      <c r="H2043">
        <v>105000</v>
      </c>
      <c r="I2043" s="13" t="s">
        <v>79</v>
      </c>
      <c r="J2043" s="13" t="s">
        <v>80</v>
      </c>
      <c r="K2043" s="13" t="s">
        <v>81</v>
      </c>
      <c r="L2043" s="13" t="s">
        <v>95</v>
      </c>
      <c r="M2043">
        <v>30</v>
      </c>
      <c r="N2043">
        <v>0</v>
      </c>
      <c r="O2043" s="14">
        <v>46015</v>
      </c>
      <c r="P2043" s="14">
        <v>46045</v>
      </c>
      <c r="Q2043">
        <v>557.86</v>
      </c>
      <c r="R2043">
        <v>0</v>
      </c>
      <c r="S2043">
        <v>0</v>
      </c>
      <c r="T2043">
        <v>0</v>
      </c>
      <c r="U2043">
        <v>0</v>
      </c>
      <c r="V2043">
        <v>557.86</v>
      </c>
      <c r="W2043">
        <v>0</v>
      </c>
      <c r="X2043">
        <v>1</v>
      </c>
      <c r="Y2043">
        <v>0</v>
      </c>
      <c r="Z2043">
        <v>-23</v>
      </c>
      <c r="AA2043">
        <v>1</v>
      </c>
      <c r="AB2043" s="13" t="s">
        <v>581</v>
      </c>
      <c r="AC2043">
        <v>0</v>
      </c>
      <c r="AD2043">
        <v>0</v>
      </c>
      <c r="AE2043" s="13" t="s">
        <v>61</v>
      </c>
    </row>
    <row r="2044" spans="1:31" x14ac:dyDescent="0.35">
      <c r="A2044" s="13" t="s">
        <v>2864</v>
      </c>
      <c r="B2044" s="13" t="s">
        <v>2387</v>
      </c>
      <c r="C2044" s="13" t="s">
        <v>2388</v>
      </c>
      <c r="D2044" s="13" t="s">
        <v>104</v>
      </c>
      <c r="E2044" s="13" t="s">
        <v>65</v>
      </c>
      <c r="F2044" s="13" t="s">
        <v>66</v>
      </c>
      <c r="G2044" s="13" t="s">
        <v>55</v>
      </c>
      <c r="H2044">
        <v>150000</v>
      </c>
      <c r="I2044" s="13" t="s">
        <v>86</v>
      </c>
      <c r="J2044" s="13" t="s">
        <v>87</v>
      </c>
      <c r="K2044" s="13" t="s">
        <v>58</v>
      </c>
      <c r="L2044" s="13" t="s">
        <v>82</v>
      </c>
      <c r="M2044">
        <v>30</v>
      </c>
      <c r="N2044">
        <v>2</v>
      </c>
      <c r="O2044" s="14">
        <v>46015</v>
      </c>
      <c r="P2044" s="14">
        <v>46045</v>
      </c>
      <c r="Q2044">
        <v>6793.77</v>
      </c>
      <c r="R2044">
        <v>0</v>
      </c>
      <c r="S2044">
        <v>0</v>
      </c>
      <c r="T2044">
        <v>0</v>
      </c>
      <c r="U2044">
        <v>0</v>
      </c>
      <c r="V2044">
        <v>6793.77</v>
      </c>
      <c r="W2044">
        <v>0</v>
      </c>
      <c r="X2044">
        <v>1</v>
      </c>
      <c r="Y2044">
        <v>0</v>
      </c>
      <c r="Z2044">
        <v>-23</v>
      </c>
      <c r="AA2044">
        <v>1</v>
      </c>
      <c r="AB2044" s="13" t="s">
        <v>581</v>
      </c>
      <c r="AC2044">
        <v>0</v>
      </c>
      <c r="AD2044">
        <v>0</v>
      </c>
      <c r="AE2044" s="13" t="s">
        <v>61</v>
      </c>
    </row>
    <row r="2045" spans="1:31" x14ac:dyDescent="0.35">
      <c r="A2045" s="13" t="s">
        <v>2865</v>
      </c>
      <c r="B2045" s="13" t="s">
        <v>558</v>
      </c>
      <c r="C2045" s="13" t="s">
        <v>559</v>
      </c>
      <c r="D2045" s="13" t="s">
        <v>52</v>
      </c>
      <c r="E2045" s="13" t="s">
        <v>53</v>
      </c>
      <c r="F2045" s="13" t="s">
        <v>54</v>
      </c>
      <c r="G2045" s="13" t="s">
        <v>55</v>
      </c>
      <c r="H2045">
        <v>240000</v>
      </c>
      <c r="I2045" s="13" t="s">
        <v>56</v>
      </c>
      <c r="J2045" s="13" t="s">
        <v>57</v>
      </c>
      <c r="K2045" s="13" t="s">
        <v>58</v>
      </c>
      <c r="L2045" s="13" t="s">
        <v>59</v>
      </c>
      <c r="M2045">
        <v>45</v>
      </c>
      <c r="N2045">
        <v>0</v>
      </c>
      <c r="O2045" s="14">
        <v>46015</v>
      </c>
      <c r="P2045" s="14">
        <v>46060</v>
      </c>
      <c r="Q2045">
        <v>4039.93</v>
      </c>
      <c r="R2045">
        <v>0</v>
      </c>
      <c r="S2045">
        <v>0</v>
      </c>
      <c r="T2045">
        <v>0</v>
      </c>
      <c r="U2045">
        <v>0</v>
      </c>
      <c r="V2045">
        <v>4039.93</v>
      </c>
      <c r="W2045">
        <v>0</v>
      </c>
      <c r="X2045">
        <v>1</v>
      </c>
      <c r="Y2045">
        <v>0</v>
      </c>
      <c r="Z2045">
        <v>-38</v>
      </c>
      <c r="AA2045">
        <v>1</v>
      </c>
      <c r="AB2045" s="13" t="s">
        <v>581</v>
      </c>
      <c r="AC2045">
        <v>0</v>
      </c>
      <c r="AD2045">
        <v>0</v>
      </c>
      <c r="AE2045" s="13" t="s">
        <v>61</v>
      </c>
    </row>
    <row r="2046" spans="1:31" x14ac:dyDescent="0.35">
      <c r="A2046" s="13" t="s">
        <v>2866</v>
      </c>
      <c r="B2046" s="13" t="s">
        <v>780</v>
      </c>
      <c r="C2046" s="13" t="s">
        <v>781</v>
      </c>
      <c r="D2046" s="13" t="s">
        <v>52</v>
      </c>
      <c r="E2046" s="13" t="s">
        <v>77</v>
      </c>
      <c r="F2046" s="13" t="s">
        <v>174</v>
      </c>
      <c r="G2046" s="13" t="s">
        <v>55</v>
      </c>
      <c r="H2046">
        <v>290000</v>
      </c>
      <c r="I2046" s="13" t="s">
        <v>86</v>
      </c>
      <c r="J2046" s="13" t="s">
        <v>87</v>
      </c>
      <c r="K2046" s="13" t="s">
        <v>58</v>
      </c>
      <c r="L2046" s="13" t="s">
        <v>88</v>
      </c>
      <c r="M2046">
        <v>60</v>
      </c>
      <c r="N2046">
        <v>0</v>
      </c>
      <c r="O2046" s="14">
        <v>46015</v>
      </c>
      <c r="P2046" s="14">
        <v>46075</v>
      </c>
      <c r="Q2046">
        <v>8506.94</v>
      </c>
      <c r="R2046">
        <v>0</v>
      </c>
      <c r="S2046">
        <v>0</v>
      </c>
      <c r="T2046">
        <v>0</v>
      </c>
      <c r="U2046">
        <v>0</v>
      </c>
      <c r="V2046">
        <v>8506.94</v>
      </c>
      <c r="W2046">
        <v>0</v>
      </c>
      <c r="X2046">
        <v>1</v>
      </c>
      <c r="Y2046">
        <v>0</v>
      </c>
      <c r="Z2046">
        <v>-53</v>
      </c>
      <c r="AA2046">
        <v>1</v>
      </c>
      <c r="AB2046" s="13" t="s">
        <v>581</v>
      </c>
      <c r="AC2046">
        <v>0</v>
      </c>
      <c r="AD2046">
        <v>0</v>
      </c>
      <c r="AE2046" s="13" t="s">
        <v>61</v>
      </c>
    </row>
    <row r="2047" spans="1:31" x14ac:dyDescent="0.35">
      <c r="A2047" s="13" t="s">
        <v>2867</v>
      </c>
      <c r="B2047" s="13" t="s">
        <v>168</v>
      </c>
      <c r="C2047" s="13" t="s">
        <v>169</v>
      </c>
      <c r="D2047" s="13" t="s">
        <v>52</v>
      </c>
      <c r="E2047" s="13" t="s">
        <v>65</v>
      </c>
      <c r="F2047" s="13" t="s">
        <v>66</v>
      </c>
      <c r="G2047" s="13" t="s">
        <v>67</v>
      </c>
      <c r="H2047">
        <v>580000</v>
      </c>
      <c r="I2047" s="13" t="s">
        <v>56</v>
      </c>
      <c r="J2047" s="13" t="s">
        <v>57</v>
      </c>
      <c r="K2047" s="13" t="s">
        <v>58</v>
      </c>
      <c r="L2047" s="13" t="s">
        <v>59</v>
      </c>
      <c r="M2047">
        <v>45</v>
      </c>
      <c r="N2047">
        <v>0</v>
      </c>
      <c r="O2047" s="14">
        <v>46015</v>
      </c>
      <c r="P2047" s="14">
        <v>46060</v>
      </c>
      <c r="Q2047">
        <v>1674.39</v>
      </c>
      <c r="R2047">
        <v>0</v>
      </c>
      <c r="S2047">
        <v>0</v>
      </c>
      <c r="T2047">
        <v>0</v>
      </c>
      <c r="U2047">
        <v>0</v>
      </c>
      <c r="V2047">
        <v>1674.39</v>
      </c>
      <c r="W2047">
        <v>0</v>
      </c>
      <c r="X2047">
        <v>1</v>
      </c>
      <c r="Y2047">
        <v>0</v>
      </c>
      <c r="Z2047">
        <v>-38</v>
      </c>
      <c r="AA2047">
        <v>1</v>
      </c>
      <c r="AB2047" s="13" t="s">
        <v>581</v>
      </c>
      <c r="AC2047">
        <v>0</v>
      </c>
      <c r="AD2047">
        <v>0</v>
      </c>
      <c r="AE2047" s="13" t="s">
        <v>61</v>
      </c>
    </row>
    <row r="2048" spans="1:31" x14ac:dyDescent="0.35">
      <c r="A2048" s="13" t="s">
        <v>2868</v>
      </c>
      <c r="B2048" s="13" t="s">
        <v>2869</v>
      </c>
      <c r="C2048" s="13" t="s">
        <v>2870</v>
      </c>
      <c r="D2048" s="13" t="s">
        <v>76</v>
      </c>
      <c r="E2048" s="13" t="s">
        <v>71</v>
      </c>
      <c r="F2048" s="13" t="s">
        <v>214</v>
      </c>
      <c r="G2048" s="13" t="s">
        <v>67</v>
      </c>
      <c r="H2048">
        <v>60000</v>
      </c>
      <c r="I2048" s="13" t="s">
        <v>93</v>
      </c>
      <c r="J2048" s="13" t="s">
        <v>94</v>
      </c>
      <c r="K2048" s="13" t="s">
        <v>81</v>
      </c>
      <c r="L2048" s="13" t="s">
        <v>82</v>
      </c>
      <c r="M2048">
        <v>30</v>
      </c>
      <c r="N2048">
        <v>2</v>
      </c>
      <c r="O2048" s="14">
        <v>46015</v>
      </c>
      <c r="P2048" s="14">
        <v>46045</v>
      </c>
      <c r="Q2048">
        <v>1468.41</v>
      </c>
      <c r="R2048">
        <v>0</v>
      </c>
      <c r="S2048">
        <v>0</v>
      </c>
      <c r="T2048">
        <v>0</v>
      </c>
      <c r="U2048">
        <v>0</v>
      </c>
      <c r="V2048">
        <v>1468.41</v>
      </c>
      <c r="W2048">
        <v>0</v>
      </c>
      <c r="X2048">
        <v>1</v>
      </c>
      <c r="Y2048">
        <v>0</v>
      </c>
      <c r="Z2048">
        <v>-23</v>
      </c>
      <c r="AA2048">
        <v>1</v>
      </c>
      <c r="AB2048" s="13" t="s">
        <v>581</v>
      </c>
      <c r="AC2048">
        <v>0</v>
      </c>
      <c r="AD2048">
        <v>0</v>
      </c>
      <c r="AE2048" s="13" t="s">
        <v>61</v>
      </c>
    </row>
    <row r="2049" spans="1:31" x14ac:dyDescent="0.35">
      <c r="A2049" s="13" t="s">
        <v>2871</v>
      </c>
      <c r="B2049" s="13" t="s">
        <v>241</v>
      </c>
      <c r="C2049" s="13" t="s">
        <v>242</v>
      </c>
      <c r="D2049" s="13" t="s">
        <v>76</v>
      </c>
      <c r="E2049" s="13" t="s">
        <v>65</v>
      </c>
      <c r="F2049" s="13" t="s">
        <v>111</v>
      </c>
      <c r="G2049" s="13" t="s">
        <v>67</v>
      </c>
      <c r="H2049">
        <v>100000</v>
      </c>
      <c r="I2049" s="13" t="s">
        <v>93</v>
      </c>
      <c r="J2049" s="13" t="s">
        <v>94</v>
      </c>
      <c r="K2049" s="13" t="s">
        <v>81</v>
      </c>
      <c r="L2049" s="13" t="s">
        <v>95</v>
      </c>
      <c r="M2049">
        <v>30</v>
      </c>
      <c r="N2049">
        <v>0</v>
      </c>
      <c r="O2049" s="14">
        <v>46015</v>
      </c>
      <c r="P2049" s="14">
        <v>46045</v>
      </c>
      <c r="Q2049">
        <v>453.2</v>
      </c>
      <c r="R2049">
        <v>0</v>
      </c>
      <c r="S2049">
        <v>0</v>
      </c>
      <c r="T2049">
        <v>0</v>
      </c>
      <c r="U2049">
        <v>0</v>
      </c>
      <c r="V2049">
        <v>453.2</v>
      </c>
      <c r="W2049">
        <v>0</v>
      </c>
      <c r="X2049">
        <v>1</v>
      </c>
      <c r="Y2049">
        <v>0</v>
      </c>
      <c r="Z2049">
        <v>-23</v>
      </c>
      <c r="AA2049">
        <v>1</v>
      </c>
      <c r="AB2049" s="13" t="s">
        <v>581</v>
      </c>
      <c r="AC2049">
        <v>0</v>
      </c>
      <c r="AD2049">
        <v>0</v>
      </c>
      <c r="AE2049" s="13" t="s">
        <v>61</v>
      </c>
    </row>
    <row r="2050" spans="1:31" x14ac:dyDescent="0.35">
      <c r="A2050" s="13" t="s">
        <v>2872</v>
      </c>
      <c r="B2050" s="13" t="s">
        <v>69</v>
      </c>
      <c r="C2050" s="13" t="s">
        <v>70</v>
      </c>
      <c r="D2050" s="13" t="s">
        <v>52</v>
      </c>
      <c r="E2050" s="13" t="s">
        <v>71</v>
      </c>
      <c r="F2050" s="13" t="s">
        <v>72</v>
      </c>
      <c r="G2050" s="13" t="s">
        <v>55</v>
      </c>
      <c r="H2050">
        <v>580000</v>
      </c>
      <c r="I2050" s="13" t="s">
        <v>56</v>
      </c>
      <c r="J2050" s="13" t="s">
        <v>57</v>
      </c>
      <c r="K2050" s="13" t="s">
        <v>58</v>
      </c>
      <c r="L2050" s="13" t="s">
        <v>59</v>
      </c>
      <c r="M2050">
        <v>45</v>
      </c>
      <c r="N2050">
        <v>0</v>
      </c>
      <c r="O2050" s="14">
        <v>46015</v>
      </c>
      <c r="P2050" s="14">
        <v>46060</v>
      </c>
      <c r="Q2050">
        <v>9047.0300000000007</v>
      </c>
      <c r="R2050">
        <v>0</v>
      </c>
      <c r="S2050">
        <v>0</v>
      </c>
      <c r="T2050">
        <v>0</v>
      </c>
      <c r="U2050">
        <v>0</v>
      </c>
      <c r="V2050">
        <v>9047.0300000000007</v>
      </c>
      <c r="W2050">
        <v>0</v>
      </c>
      <c r="X2050">
        <v>1</v>
      </c>
      <c r="Y2050">
        <v>0</v>
      </c>
      <c r="Z2050">
        <v>-38</v>
      </c>
      <c r="AA2050">
        <v>1</v>
      </c>
      <c r="AB2050" s="13" t="s">
        <v>581</v>
      </c>
      <c r="AC2050">
        <v>0</v>
      </c>
      <c r="AD2050">
        <v>0</v>
      </c>
      <c r="AE2050" s="13" t="s">
        <v>61</v>
      </c>
    </row>
    <row r="2051" spans="1:31" x14ac:dyDescent="0.35">
      <c r="A2051" s="13" t="s">
        <v>2873</v>
      </c>
      <c r="B2051" s="13" t="s">
        <v>1523</v>
      </c>
      <c r="C2051" s="13" t="s">
        <v>1524</v>
      </c>
      <c r="D2051" s="13" t="s">
        <v>76</v>
      </c>
      <c r="E2051" s="13" t="s">
        <v>65</v>
      </c>
      <c r="F2051" s="13" t="s">
        <v>111</v>
      </c>
      <c r="G2051" s="13" t="s">
        <v>55</v>
      </c>
      <c r="H2051">
        <v>115000</v>
      </c>
      <c r="I2051" s="13" t="s">
        <v>93</v>
      </c>
      <c r="J2051" s="13" t="s">
        <v>94</v>
      </c>
      <c r="K2051" s="13" t="s">
        <v>81</v>
      </c>
      <c r="L2051" s="13" t="s">
        <v>95</v>
      </c>
      <c r="M2051">
        <v>30</v>
      </c>
      <c r="N2051">
        <v>0</v>
      </c>
      <c r="O2051" s="14">
        <v>46015</v>
      </c>
      <c r="P2051" s="14">
        <v>46045</v>
      </c>
      <c r="Q2051">
        <v>2720.15</v>
      </c>
      <c r="R2051">
        <v>0</v>
      </c>
      <c r="S2051">
        <v>0</v>
      </c>
      <c r="T2051">
        <v>0</v>
      </c>
      <c r="U2051">
        <v>0</v>
      </c>
      <c r="V2051">
        <v>2720.15</v>
      </c>
      <c r="W2051">
        <v>0</v>
      </c>
      <c r="X2051">
        <v>1</v>
      </c>
      <c r="Y2051">
        <v>0</v>
      </c>
      <c r="Z2051">
        <v>-23</v>
      </c>
      <c r="AA2051">
        <v>1</v>
      </c>
      <c r="AB2051" s="13" t="s">
        <v>581</v>
      </c>
      <c r="AC2051">
        <v>0</v>
      </c>
      <c r="AD2051">
        <v>0</v>
      </c>
      <c r="AE2051" s="13" t="s">
        <v>61</v>
      </c>
    </row>
    <row r="2052" spans="1:31" x14ac:dyDescent="0.35">
      <c r="A2052" s="13" t="s">
        <v>2874</v>
      </c>
      <c r="B2052" s="13" t="s">
        <v>2084</v>
      </c>
      <c r="C2052" s="13" t="s">
        <v>2085</v>
      </c>
      <c r="D2052" s="13" t="s">
        <v>76</v>
      </c>
      <c r="E2052" s="13" t="s">
        <v>65</v>
      </c>
      <c r="F2052" s="13" t="s">
        <v>66</v>
      </c>
      <c r="G2052" s="13" t="s">
        <v>67</v>
      </c>
      <c r="H2052">
        <v>60000</v>
      </c>
      <c r="I2052" s="13" t="s">
        <v>93</v>
      </c>
      <c r="J2052" s="13" t="s">
        <v>94</v>
      </c>
      <c r="K2052" s="13" t="s">
        <v>81</v>
      </c>
      <c r="L2052" s="13" t="s">
        <v>95</v>
      </c>
      <c r="M2052">
        <v>30</v>
      </c>
      <c r="N2052">
        <v>0</v>
      </c>
      <c r="O2052" s="14">
        <v>46015</v>
      </c>
      <c r="P2052" s="14">
        <v>46045</v>
      </c>
      <c r="Q2052">
        <v>1226.5899999999999</v>
      </c>
      <c r="R2052">
        <v>0</v>
      </c>
      <c r="S2052">
        <v>0</v>
      </c>
      <c r="T2052">
        <v>0</v>
      </c>
      <c r="U2052">
        <v>0</v>
      </c>
      <c r="V2052">
        <v>1226.5899999999999</v>
      </c>
      <c r="W2052">
        <v>0</v>
      </c>
      <c r="X2052">
        <v>1</v>
      </c>
      <c r="Y2052">
        <v>0</v>
      </c>
      <c r="Z2052">
        <v>-23</v>
      </c>
      <c r="AA2052">
        <v>1</v>
      </c>
      <c r="AB2052" s="13" t="s">
        <v>581</v>
      </c>
      <c r="AC2052">
        <v>0</v>
      </c>
      <c r="AD2052">
        <v>0</v>
      </c>
      <c r="AE2052" s="13" t="s">
        <v>61</v>
      </c>
    </row>
    <row r="2053" spans="1:31" x14ac:dyDescent="0.35">
      <c r="A2053" s="13" t="s">
        <v>2875</v>
      </c>
      <c r="B2053" s="13" t="s">
        <v>1179</v>
      </c>
      <c r="C2053" s="13" t="s">
        <v>1180</v>
      </c>
      <c r="D2053" s="13" t="s">
        <v>104</v>
      </c>
      <c r="E2053" s="13" t="s">
        <v>71</v>
      </c>
      <c r="F2053" s="13" t="s">
        <v>72</v>
      </c>
      <c r="G2053" s="13" t="s">
        <v>67</v>
      </c>
      <c r="H2053">
        <v>50000</v>
      </c>
      <c r="I2053" s="13" t="s">
        <v>105</v>
      </c>
      <c r="J2053" s="13" t="s">
        <v>106</v>
      </c>
      <c r="K2053" s="13" t="s">
        <v>107</v>
      </c>
      <c r="L2053" s="13" t="s">
        <v>88</v>
      </c>
      <c r="M2053">
        <v>60</v>
      </c>
      <c r="N2053">
        <v>0</v>
      </c>
      <c r="O2053" s="14">
        <v>46015</v>
      </c>
      <c r="P2053" s="14">
        <v>46075</v>
      </c>
      <c r="Q2053">
        <v>8244.43</v>
      </c>
      <c r="R2053">
        <v>0</v>
      </c>
      <c r="S2053">
        <v>0</v>
      </c>
      <c r="T2053">
        <v>0</v>
      </c>
      <c r="U2053">
        <v>0</v>
      </c>
      <c r="V2053">
        <v>8244.43</v>
      </c>
      <c r="W2053">
        <v>0</v>
      </c>
      <c r="X2053">
        <v>1</v>
      </c>
      <c r="Y2053">
        <v>0</v>
      </c>
      <c r="Z2053">
        <v>-53</v>
      </c>
      <c r="AA2053">
        <v>1</v>
      </c>
      <c r="AB2053" s="13" t="s">
        <v>581</v>
      </c>
      <c r="AC2053">
        <v>0</v>
      </c>
      <c r="AD2053">
        <v>0</v>
      </c>
      <c r="AE2053" s="13" t="s">
        <v>61</v>
      </c>
    </row>
    <row r="2054" spans="1:31" x14ac:dyDescent="0.35">
      <c r="A2054" s="13" t="s">
        <v>2876</v>
      </c>
      <c r="B2054" s="13" t="s">
        <v>837</v>
      </c>
      <c r="C2054" s="13" t="s">
        <v>838</v>
      </c>
      <c r="D2054" s="13" t="s">
        <v>104</v>
      </c>
      <c r="E2054" s="13" t="s">
        <v>99</v>
      </c>
      <c r="F2054" s="13" t="s">
        <v>100</v>
      </c>
      <c r="G2054" s="13" t="s">
        <v>67</v>
      </c>
      <c r="H2054">
        <v>135000</v>
      </c>
      <c r="I2054" s="13" t="s">
        <v>105</v>
      </c>
      <c r="J2054" s="13" t="s">
        <v>106</v>
      </c>
      <c r="K2054" s="13" t="s">
        <v>107</v>
      </c>
      <c r="L2054" s="13" t="s">
        <v>95</v>
      </c>
      <c r="M2054">
        <v>30</v>
      </c>
      <c r="N2054">
        <v>0</v>
      </c>
      <c r="O2054" s="14">
        <v>46015</v>
      </c>
      <c r="P2054" s="14">
        <v>46045</v>
      </c>
      <c r="Q2054">
        <v>6499.77</v>
      </c>
      <c r="R2054">
        <v>0</v>
      </c>
      <c r="S2054">
        <v>0</v>
      </c>
      <c r="T2054">
        <v>0</v>
      </c>
      <c r="U2054">
        <v>0</v>
      </c>
      <c r="V2054">
        <v>6499.77</v>
      </c>
      <c r="W2054">
        <v>0</v>
      </c>
      <c r="X2054">
        <v>1</v>
      </c>
      <c r="Y2054">
        <v>0</v>
      </c>
      <c r="Z2054">
        <v>-23</v>
      </c>
      <c r="AA2054">
        <v>1</v>
      </c>
      <c r="AB2054" s="13" t="s">
        <v>581</v>
      </c>
      <c r="AC2054">
        <v>0</v>
      </c>
      <c r="AD2054">
        <v>0</v>
      </c>
      <c r="AE2054" s="13" t="s">
        <v>61</v>
      </c>
    </row>
    <row r="2055" spans="1:31" x14ac:dyDescent="0.35">
      <c r="A2055" s="13" t="s">
        <v>2877</v>
      </c>
      <c r="B2055" s="13" t="s">
        <v>1672</v>
      </c>
      <c r="C2055" s="13" t="s">
        <v>1673</v>
      </c>
      <c r="D2055" s="13" t="s">
        <v>76</v>
      </c>
      <c r="E2055" s="13" t="s">
        <v>77</v>
      </c>
      <c r="F2055" s="13" t="s">
        <v>78</v>
      </c>
      <c r="G2055" s="13" t="s">
        <v>67</v>
      </c>
      <c r="H2055">
        <v>115000</v>
      </c>
      <c r="I2055" s="13" t="s">
        <v>79</v>
      </c>
      <c r="J2055" s="13" t="s">
        <v>80</v>
      </c>
      <c r="K2055" s="13" t="s">
        <v>81</v>
      </c>
      <c r="L2055" s="13" t="s">
        <v>95</v>
      </c>
      <c r="M2055">
        <v>30</v>
      </c>
      <c r="N2055">
        <v>0</v>
      </c>
      <c r="O2055" s="14">
        <v>46015</v>
      </c>
      <c r="P2055" s="14">
        <v>46045</v>
      </c>
      <c r="Q2055">
        <v>739.5</v>
      </c>
      <c r="R2055">
        <v>0</v>
      </c>
      <c r="S2055">
        <v>0</v>
      </c>
      <c r="T2055">
        <v>0</v>
      </c>
      <c r="U2055">
        <v>0</v>
      </c>
      <c r="V2055">
        <v>739.5</v>
      </c>
      <c r="W2055">
        <v>0</v>
      </c>
      <c r="X2055">
        <v>1</v>
      </c>
      <c r="Y2055">
        <v>0</v>
      </c>
      <c r="Z2055">
        <v>-23</v>
      </c>
      <c r="AA2055">
        <v>1</v>
      </c>
      <c r="AB2055" s="13" t="s">
        <v>581</v>
      </c>
      <c r="AC2055">
        <v>0</v>
      </c>
      <c r="AD2055">
        <v>0</v>
      </c>
      <c r="AE2055" s="13" t="s">
        <v>61</v>
      </c>
    </row>
    <row r="2056" spans="1:31" x14ac:dyDescent="0.35">
      <c r="A2056" s="13" t="s">
        <v>2878</v>
      </c>
      <c r="B2056" s="13" t="s">
        <v>2879</v>
      </c>
      <c r="C2056" s="13" t="s">
        <v>2880</v>
      </c>
      <c r="D2056" s="13" t="s">
        <v>104</v>
      </c>
      <c r="E2056" s="13" t="s">
        <v>65</v>
      </c>
      <c r="F2056" s="13" t="s">
        <v>66</v>
      </c>
      <c r="G2056" s="13" t="s">
        <v>55</v>
      </c>
      <c r="H2056">
        <v>30000</v>
      </c>
      <c r="I2056" s="13" t="s">
        <v>105</v>
      </c>
      <c r="J2056" s="13" t="s">
        <v>106</v>
      </c>
      <c r="K2056" s="13" t="s">
        <v>107</v>
      </c>
      <c r="L2056" s="13" t="s">
        <v>95</v>
      </c>
      <c r="M2056">
        <v>30</v>
      </c>
      <c r="N2056">
        <v>0</v>
      </c>
      <c r="O2056" s="14">
        <v>46015</v>
      </c>
      <c r="P2056" s="14">
        <v>46045</v>
      </c>
      <c r="Q2056">
        <v>2545.94</v>
      </c>
      <c r="R2056">
        <v>0</v>
      </c>
      <c r="S2056">
        <v>0</v>
      </c>
      <c r="T2056">
        <v>0</v>
      </c>
      <c r="U2056">
        <v>0</v>
      </c>
      <c r="V2056">
        <v>2545.94</v>
      </c>
      <c r="W2056">
        <v>0</v>
      </c>
      <c r="X2056">
        <v>1</v>
      </c>
      <c r="Y2056">
        <v>0</v>
      </c>
      <c r="Z2056">
        <v>-23</v>
      </c>
      <c r="AA2056">
        <v>1</v>
      </c>
      <c r="AB2056" s="13" t="s">
        <v>581</v>
      </c>
      <c r="AC2056">
        <v>0</v>
      </c>
      <c r="AD2056">
        <v>0</v>
      </c>
      <c r="AE2056" s="13" t="s">
        <v>61</v>
      </c>
    </row>
    <row r="2057" spans="1:31" x14ac:dyDescent="0.35">
      <c r="A2057" s="13" t="s">
        <v>2881</v>
      </c>
      <c r="B2057" s="13" t="s">
        <v>159</v>
      </c>
      <c r="C2057" s="13" t="s">
        <v>160</v>
      </c>
      <c r="D2057" s="13" t="s">
        <v>104</v>
      </c>
      <c r="E2057" s="13" t="s">
        <v>53</v>
      </c>
      <c r="F2057" s="13" t="s">
        <v>135</v>
      </c>
      <c r="G2057" s="13" t="s">
        <v>67</v>
      </c>
      <c r="H2057">
        <v>140000</v>
      </c>
      <c r="I2057" s="13" t="s">
        <v>105</v>
      </c>
      <c r="J2057" s="13" t="s">
        <v>106</v>
      </c>
      <c r="K2057" s="13" t="s">
        <v>107</v>
      </c>
      <c r="L2057" s="13" t="s">
        <v>88</v>
      </c>
      <c r="M2057">
        <v>60</v>
      </c>
      <c r="N2057">
        <v>0</v>
      </c>
      <c r="O2057" s="14">
        <v>46015</v>
      </c>
      <c r="P2057" s="14">
        <v>46075</v>
      </c>
      <c r="Q2057">
        <v>948.41</v>
      </c>
      <c r="R2057">
        <v>0</v>
      </c>
      <c r="S2057">
        <v>0</v>
      </c>
      <c r="T2057">
        <v>0</v>
      </c>
      <c r="U2057">
        <v>0</v>
      </c>
      <c r="V2057">
        <v>948.41</v>
      </c>
      <c r="W2057">
        <v>0</v>
      </c>
      <c r="X2057">
        <v>1</v>
      </c>
      <c r="Y2057">
        <v>0</v>
      </c>
      <c r="Z2057">
        <v>-53</v>
      </c>
      <c r="AA2057">
        <v>1</v>
      </c>
      <c r="AB2057" s="13" t="s">
        <v>581</v>
      </c>
      <c r="AC2057">
        <v>0</v>
      </c>
      <c r="AD2057">
        <v>0</v>
      </c>
      <c r="AE2057" s="13" t="s">
        <v>61</v>
      </c>
    </row>
    <row r="2058" spans="1:31" x14ac:dyDescent="0.35">
      <c r="A2058" s="13" t="s">
        <v>2882</v>
      </c>
      <c r="B2058" s="13" t="s">
        <v>290</v>
      </c>
      <c r="C2058" s="13" t="s">
        <v>291</v>
      </c>
      <c r="D2058" s="13" t="s">
        <v>104</v>
      </c>
      <c r="E2058" s="13" t="s">
        <v>77</v>
      </c>
      <c r="F2058" s="13" t="s">
        <v>78</v>
      </c>
      <c r="G2058" s="13" t="s">
        <v>92</v>
      </c>
      <c r="H2058">
        <v>140000</v>
      </c>
      <c r="I2058" s="13" t="s">
        <v>121</v>
      </c>
      <c r="J2058" s="13" t="s">
        <v>122</v>
      </c>
      <c r="K2058" s="13" t="s">
        <v>107</v>
      </c>
      <c r="L2058" s="13" t="s">
        <v>82</v>
      </c>
      <c r="M2058">
        <v>30</v>
      </c>
      <c r="N2058">
        <v>2</v>
      </c>
      <c r="O2058" s="14">
        <v>46015</v>
      </c>
      <c r="P2058" s="14">
        <v>46045</v>
      </c>
      <c r="Q2058">
        <v>3908.99</v>
      </c>
      <c r="R2058">
        <v>0</v>
      </c>
      <c r="S2058">
        <v>0</v>
      </c>
      <c r="T2058">
        <v>0</v>
      </c>
      <c r="U2058">
        <v>0</v>
      </c>
      <c r="V2058">
        <v>3908.99</v>
      </c>
      <c r="W2058">
        <v>0</v>
      </c>
      <c r="X2058">
        <v>1</v>
      </c>
      <c r="Y2058">
        <v>0</v>
      </c>
      <c r="Z2058">
        <v>-23</v>
      </c>
      <c r="AA2058">
        <v>1</v>
      </c>
      <c r="AB2058" s="13" t="s">
        <v>581</v>
      </c>
      <c r="AC2058">
        <v>0</v>
      </c>
      <c r="AD2058">
        <v>0</v>
      </c>
      <c r="AE2058" s="13" t="s">
        <v>61</v>
      </c>
    </row>
    <row r="2059" spans="1:31" x14ac:dyDescent="0.35">
      <c r="A2059" s="13" t="s">
        <v>2883</v>
      </c>
      <c r="B2059" s="13" t="s">
        <v>438</v>
      </c>
      <c r="C2059" s="13" t="s">
        <v>439</v>
      </c>
      <c r="D2059" s="13" t="s">
        <v>126</v>
      </c>
      <c r="E2059" s="13" t="s">
        <v>65</v>
      </c>
      <c r="F2059" s="13" t="s">
        <v>111</v>
      </c>
      <c r="G2059" s="13" t="s">
        <v>67</v>
      </c>
      <c r="H2059">
        <v>155000</v>
      </c>
      <c r="I2059" s="13" t="s">
        <v>86</v>
      </c>
      <c r="J2059" s="13" t="s">
        <v>87</v>
      </c>
      <c r="K2059" s="13" t="s">
        <v>58</v>
      </c>
      <c r="L2059" s="13" t="s">
        <v>368</v>
      </c>
      <c r="M2059">
        <v>90</v>
      </c>
      <c r="N2059">
        <v>0</v>
      </c>
      <c r="O2059" s="14">
        <v>46015</v>
      </c>
      <c r="P2059" s="14">
        <v>46105</v>
      </c>
      <c r="Q2059">
        <v>1202.05</v>
      </c>
      <c r="R2059">
        <v>0</v>
      </c>
      <c r="S2059">
        <v>0</v>
      </c>
      <c r="T2059">
        <v>0</v>
      </c>
      <c r="U2059">
        <v>0</v>
      </c>
      <c r="V2059">
        <v>1202.05</v>
      </c>
      <c r="W2059">
        <v>0</v>
      </c>
      <c r="X2059">
        <v>1</v>
      </c>
      <c r="Y2059">
        <v>0</v>
      </c>
      <c r="Z2059">
        <v>-83</v>
      </c>
      <c r="AA2059">
        <v>1</v>
      </c>
      <c r="AB2059" s="13" t="s">
        <v>581</v>
      </c>
      <c r="AC2059">
        <v>0</v>
      </c>
      <c r="AD2059">
        <v>0</v>
      </c>
      <c r="AE2059" s="13" t="s">
        <v>61</v>
      </c>
    </row>
    <row r="2060" spans="1:31" x14ac:dyDescent="0.35">
      <c r="A2060" s="13" t="s">
        <v>2884</v>
      </c>
      <c r="B2060" s="13" t="s">
        <v>930</v>
      </c>
      <c r="C2060" s="13" t="s">
        <v>931</v>
      </c>
      <c r="D2060" s="13" t="s">
        <v>104</v>
      </c>
      <c r="E2060" s="13" t="s">
        <v>71</v>
      </c>
      <c r="F2060" s="13" t="s">
        <v>214</v>
      </c>
      <c r="G2060" s="13" t="s">
        <v>55</v>
      </c>
      <c r="H2060">
        <v>120000</v>
      </c>
      <c r="I2060" s="13" t="s">
        <v>121</v>
      </c>
      <c r="J2060" s="13" t="s">
        <v>122</v>
      </c>
      <c r="K2060" s="13" t="s">
        <v>107</v>
      </c>
      <c r="L2060" s="13" t="s">
        <v>88</v>
      </c>
      <c r="M2060">
        <v>60</v>
      </c>
      <c r="N2060">
        <v>0</v>
      </c>
      <c r="O2060" s="14">
        <v>46015</v>
      </c>
      <c r="P2060" s="14">
        <v>46075</v>
      </c>
      <c r="Q2060">
        <v>6688.94</v>
      </c>
      <c r="R2060">
        <v>0</v>
      </c>
      <c r="S2060">
        <v>0</v>
      </c>
      <c r="T2060">
        <v>0</v>
      </c>
      <c r="U2060">
        <v>0</v>
      </c>
      <c r="V2060">
        <v>6688.94</v>
      </c>
      <c r="W2060">
        <v>0</v>
      </c>
      <c r="X2060">
        <v>1</v>
      </c>
      <c r="Y2060">
        <v>0</v>
      </c>
      <c r="Z2060">
        <v>-53</v>
      </c>
      <c r="AA2060">
        <v>1</v>
      </c>
      <c r="AB2060" s="13" t="s">
        <v>581</v>
      </c>
      <c r="AC2060">
        <v>0</v>
      </c>
      <c r="AD2060">
        <v>0</v>
      </c>
      <c r="AE2060" s="13" t="s">
        <v>61</v>
      </c>
    </row>
    <row r="2061" spans="1:31" x14ac:dyDescent="0.35">
      <c r="A2061" s="13" t="s">
        <v>2885</v>
      </c>
      <c r="B2061" s="13" t="s">
        <v>2886</v>
      </c>
      <c r="C2061" s="13" t="s">
        <v>2887</v>
      </c>
      <c r="D2061" s="13" t="s">
        <v>126</v>
      </c>
      <c r="E2061" s="13" t="s">
        <v>65</v>
      </c>
      <c r="F2061" s="13" t="s">
        <v>66</v>
      </c>
      <c r="G2061" s="13" t="s">
        <v>67</v>
      </c>
      <c r="H2061">
        <v>65000</v>
      </c>
      <c r="I2061" s="13" t="s">
        <v>105</v>
      </c>
      <c r="J2061" s="13" t="s">
        <v>106</v>
      </c>
      <c r="K2061" s="13" t="s">
        <v>107</v>
      </c>
      <c r="L2061" s="13" t="s">
        <v>88</v>
      </c>
      <c r="M2061">
        <v>60</v>
      </c>
      <c r="N2061">
        <v>0</v>
      </c>
      <c r="O2061" s="14">
        <v>46015</v>
      </c>
      <c r="P2061" s="14">
        <v>46075</v>
      </c>
      <c r="Q2061">
        <v>5289.96</v>
      </c>
      <c r="R2061">
        <v>0</v>
      </c>
      <c r="S2061">
        <v>0</v>
      </c>
      <c r="T2061">
        <v>0</v>
      </c>
      <c r="U2061">
        <v>0</v>
      </c>
      <c r="V2061">
        <v>5289.96</v>
      </c>
      <c r="W2061">
        <v>0</v>
      </c>
      <c r="X2061">
        <v>1</v>
      </c>
      <c r="Y2061">
        <v>0</v>
      </c>
      <c r="Z2061">
        <v>-53</v>
      </c>
      <c r="AA2061">
        <v>1</v>
      </c>
      <c r="AB2061" s="13" t="s">
        <v>581</v>
      </c>
      <c r="AC2061">
        <v>0</v>
      </c>
      <c r="AD2061">
        <v>0</v>
      </c>
      <c r="AE2061" s="13" t="s">
        <v>61</v>
      </c>
    </row>
    <row r="2062" spans="1:31" x14ac:dyDescent="0.35">
      <c r="A2062" s="13" t="s">
        <v>2888</v>
      </c>
      <c r="B2062" s="13" t="s">
        <v>2889</v>
      </c>
      <c r="C2062" s="13" t="s">
        <v>2890</v>
      </c>
      <c r="D2062" s="13" t="s">
        <v>104</v>
      </c>
      <c r="E2062" s="13" t="s">
        <v>65</v>
      </c>
      <c r="F2062" s="13" t="s">
        <v>111</v>
      </c>
      <c r="G2062" s="13" t="s">
        <v>55</v>
      </c>
      <c r="H2062">
        <v>70000</v>
      </c>
      <c r="I2062" s="13" t="s">
        <v>105</v>
      </c>
      <c r="J2062" s="13" t="s">
        <v>106</v>
      </c>
      <c r="K2062" s="13" t="s">
        <v>107</v>
      </c>
      <c r="L2062" s="13" t="s">
        <v>95</v>
      </c>
      <c r="M2062">
        <v>30</v>
      </c>
      <c r="N2062">
        <v>0</v>
      </c>
      <c r="O2062" s="14">
        <v>46015</v>
      </c>
      <c r="P2062" s="14">
        <v>46045</v>
      </c>
      <c r="Q2062">
        <v>1552.7</v>
      </c>
      <c r="R2062">
        <v>0</v>
      </c>
      <c r="S2062">
        <v>0</v>
      </c>
      <c r="T2062">
        <v>0</v>
      </c>
      <c r="U2062">
        <v>0</v>
      </c>
      <c r="V2062">
        <v>1552.7</v>
      </c>
      <c r="W2062">
        <v>0</v>
      </c>
      <c r="X2062">
        <v>1</v>
      </c>
      <c r="Y2062">
        <v>0</v>
      </c>
      <c r="Z2062">
        <v>-23</v>
      </c>
      <c r="AA2062">
        <v>1</v>
      </c>
      <c r="AB2062" s="13" t="s">
        <v>581</v>
      </c>
      <c r="AC2062">
        <v>0</v>
      </c>
      <c r="AD2062">
        <v>0</v>
      </c>
      <c r="AE2062" s="13" t="s">
        <v>61</v>
      </c>
    </row>
    <row r="2063" spans="1:31" x14ac:dyDescent="0.35">
      <c r="A2063" s="13" t="s">
        <v>2891</v>
      </c>
      <c r="B2063" s="13" t="s">
        <v>116</v>
      </c>
      <c r="C2063" s="13" t="s">
        <v>117</v>
      </c>
      <c r="D2063" s="13" t="s">
        <v>76</v>
      </c>
      <c r="E2063" s="13" t="s">
        <v>65</v>
      </c>
      <c r="F2063" s="13" t="s">
        <v>111</v>
      </c>
      <c r="G2063" s="13" t="s">
        <v>67</v>
      </c>
      <c r="H2063">
        <v>85000</v>
      </c>
      <c r="I2063" s="13" t="s">
        <v>79</v>
      </c>
      <c r="J2063" s="13" t="s">
        <v>80</v>
      </c>
      <c r="K2063" s="13" t="s">
        <v>81</v>
      </c>
      <c r="L2063" s="13" t="s">
        <v>82</v>
      </c>
      <c r="M2063">
        <v>30</v>
      </c>
      <c r="N2063">
        <v>2</v>
      </c>
      <c r="O2063" s="14">
        <v>46015</v>
      </c>
      <c r="P2063" s="14">
        <v>46045</v>
      </c>
      <c r="Q2063">
        <v>2534.63</v>
      </c>
      <c r="R2063">
        <v>0</v>
      </c>
      <c r="S2063">
        <v>0</v>
      </c>
      <c r="T2063">
        <v>0</v>
      </c>
      <c r="U2063">
        <v>0</v>
      </c>
      <c r="V2063">
        <v>2534.63</v>
      </c>
      <c r="W2063">
        <v>0</v>
      </c>
      <c r="X2063">
        <v>1</v>
      </c>
      <c r="Y2063">
        <v>0</v>
      </c>
      <c r="Z2063">
        <v>-23</v>
      </c>
      <c r="AA2063">
        <v>1</v>
      </c>
      <c r="AB2063" s="13" t="s">
        <v>581</v>
      </c>
      <c r="AC2063">
        <v>0</v>
      </c>
      <c r="AD2063">
        <v>0</v>
      </c>
      <c r="AE2063" s="13" t="s">
        <v>61</v>
      </c>
    </row>
    <row r="2064" spans="1:31" x14ac:dyDescent="0.35">
      <c r="A2064" s="13" t="s">
        <v>2892</v>
      </c>
      <c r="B2064" s="13" t="s">
        <v>726</v>
      </c>
      <c r="C2064" s="13" t="s">
        <v>727</v>
      </c>
      <c r="D2064" s="13" t="s">
        <v>104</v>
      </c>
      <c r="E2064" s="13" t="s">
        <v>65</v>
      </c>
      <c r="F2064" s="13" t="s">
        <v>66</v>
      </c>
      <c r="G2064" s="13" t="s">
        <v>55</v>
      </c>
      <c r="H2064">
        <v>100000</v>
      </c>
      <c r="I2064" s="13" t="s">
        <v>105</v>
      </c>
      <c r="J2064" s="13" t="s">
        <v>106</v>
      </c>
      <c r="K2064" s="13" t="s">
        <v>107</v>
      </c>
      <c r="L2064" s="13" t="s">
        <v>95</v>
      </c>
      <c r="M2064">
        <v>30</v>
      </c>
      <c r="N2064">
        <v>0</v>
      </c>
      <c r="O2064" s="14">
        <v>46015</v>
      </c>
      <c r="P2064" s="14">
        <v>46045</v>
      </c>
      <c r="Q2064">
        <v>8631</v>
      </c>
      <c r="R2064">
        <v>0</v>
      </c>
      <c r="S2064">
        <v>0</v>
      </c>
      <c r="T2064">
        <v>0</v>
      </c>
      <c r="U2064">
        <v>0</v>
      </c>
      <c r="V2064">
        <v>8631</v>
      </c>
      <c r="W2064">
        <v>0</v>
      </c>
      <c r="X2064">
        <v>1</v>
      </c>
      <c r="Y2064">
        <v>0</v>
      </c>
      <c r="Z2064">
        <v>-23</v>
      </c>
      <c r="AA2064">
        <v>1</v>
      </c>
      <c r="AB2064" s="13" t="s">
        <v>581</v>
      </c>
      <c r="AC2064">
        <v>0</v>
      </c>
      <c r="AD2064">
        <v>0</v>
      </c>
      <c r="AE2064" s="13" t="s">
        <v>61</v>
      </c>
    </row>
    <row r="2065" spans="1:31" x14ac:dyDescent="0.35">
      <c r="A2065" s="13" t="s">
        <v>2893</v>
      </c>
      <c r="B2065" s="13" t="s">
        <v>499</v>
      </c>
      <c r="C2065" s="13" t="s">
        <v>500</v>
      </c>
      <c r="D2065" s="13" t="s">
        <v>104</v>
      </c>
      <c r="E2065" s="13" t="s">
        <v>53</v>
      </c>
      <c r="F2065" s="13" t="s">
        <v>54</v>
      </c>
      <c r="G2065" s="13" t="s">
        <v>67</v>
      </c>
      <c r="H2065">
        <v>90000</v>
      </c>
      <c r="I2065" s="13" t="s">
        <v>105</v>
      </c>
      <c r="J2065" s="13" t="s">
        <v>106</v>
      </c>
      <c r="K2065" s="13" t="s">
        <v>107</v>
      </c>
      <c r="L2065" s="13" t="s">
        <v>88</v>
      </c>
      <c r="M2065">
        <v>60</v>
      </c>
      <c r="N2065">
        <v>0</v>
      </c>
      <c r="O2065" s="14">
        <v>46015</v>
      </c>
      <c r="P2065" s="14">
        <v>46075</v>
      </c>
      <c r="Q2065">
        <v>2605.34</v>
      </c>
      <c r="R2065">
        <v>0</v>
      </c>
      <c r="S2065">
        <v>0</v>
      </c>
      <c r="T2065">
        <v>0</v>
      </c>
      <c r="U2065">
        <v>0</v>
      </c>
      <c r="V2065">
        <v>2605.34</v>
      </c>
      <c r="W2065">
        <v>0</v>
      </c>
      <c r="X2065">
        <v>1</v>
      </c>
      <c r="Y2065">
        <v>0</v>
      </c>
      <c r="Z2065">
        <v>-53</v>
      </c>
      <c r="AA2065">
        <v>1</v>
      </c>
      <c r="AB2065" s="13" t="s">
        <v>581</v>
      </c>
      <c r="AC2065">
        <v>0</v>
      </c>
      <c r="AD2065">
        <v>0</v>
      </c>
      <c r="AE2065" s="13" t="s">
        <v>61</v>
      </c>
    </row>
    <row r="2066" spans="1:31" x14ac:dyDescent="0.35">
      <c r="A2066" s="13" t="s">
        <v>2894</v>
      </c>
      <c r="B2066" s="13" t="s">
        <v>293</v>
      </c>
      <c r="C2066" s="13" t="s">
        <v>294</v>
      </c>
      <c r="D2066" s="13" t="s">
        <v>104</v>
      </c>
      <c r="E2066" s="13" t="s">
        <v>99</v>
      </c>
      <c r="F2066" s="13" t="s">
        <v>100</v>
      </c>
      <c r="G2066" s="13" t="s">
        <v>92</v>
      </c>
      <c r="H2066">
        <v>145000</v>
      </c>
      <c r="I2066" s="13" t="s">
        <v>121</v>
      </c>
      <c r="J2066" s="13" t="s">
        <v>122</v>
      </c>
      <c r="K2066" s="13" t="s">
        <v>107</v>
      </c>
      <c r="L2066" s="13" t="s">
        <v>82</v>
      </c>
      <c r="M2066">
        <v>30</v>
      </c>
      <c r="N2066">
        <v>2</v>
      </c>
      <c r="O2066" s="14">
        <v>46015</v>
      </c>
      <c r="P2066" s="14">
        <v>46045</v>
      </c>
      <c r="Q2066">
        <v>7692.27</v>
      </c>
      <c r="R2066">
        <v>0</v>
      </c>
      <c r="S2066">
        <v>0</v>
      </c>
      <c r="T2066">
        <v>0</v>
      </c>
      <c r="U2066">
        <v>0</v>
      </c>
      <c r="V2066">
        <v>7692.27</v>
      </c>
      <c r="W2066">
        <v>0</v>
      </c>
      <c r="X2066">
        <v>1</v>
      </c>
      <c r="Y2066">
        <v>0</v>
      </c>
      <c r="Z2066">
        <v>-23</v>
      </c>
      <c r="AA2066">
        <v>1</v>
      </c>
      <c r="AB2066" s="13" t="s">
        <v>581</v>
      </c>
      <c r="AC2066">
        <v>0</v>
      </c>
      <c r="AD2066">
        <v>1</v>
      </c>
      <c r="AE2066" s="13" t="s">
        <v>465</v>
      </c>
    </row>
    <row r="2067" spans="1:31" x14ac:dyDescent="0.35">
      <c r="A2067" s="13" t="s">
        <v>2895</v>
      </c>
      <c r="B2067" s="13" t="s">
        <v>63</v>
      </c>
      <c r="C2067" s="13" t="s">
        <v>64</v>
      </c>
      <c r="D2067" s="13" t="s">
        <v>52</v>
      </c>
      <c r="E2067" s="13" t="s">
        <v>65</v>
      </c>
      <c r="F2067" s="13" t="s">
        <v>66</v>
      </c>
      <c r="G2067" s="13" t="s">
        <v>67</v>
      </c>
      <c r="H2067">
        <v>315000</v>
      </c>
      <c r="I2067" s="13" t="s">
        <v>56</v>
      </c>
      <c r="J2067" s="13" t="s">
        <v>57</v>
      </c>
      <c r="K2067" s="13" t="s">
        <v>58</v>
      </c>
      <c r="L2067" s="13" t="s">
        <v>59</v>
      </c>
      <c r="M2067">
        <v>45</v>
      </c>
      <c r="N2067">
        <v>0</v>
      </c>
      <c r="O2067" s="14">
        <v>46015</v>
      </c>
      <c r="P2067" s="14">
        <v>46060</v>
      </c>
      <c r="Q2067">
        <v>12016.83</v>
      </c>
      <c r="R2067">
        <v>0</v>
      </c>
      <c r="S2067">
        <v>0</v>
      </c>
      <c r="T2067">
        <v>0</v>
      </c>
      <c r="U2067">
        <v>0</v>
      </c>
      <c r="V2067">
        <v>12016.83</v>
      </c>
      <c r="W2067">
        <v>0</v>
      </c>
      <c r="X2067">
        <v>1</v>
      </c>
      <c r="Y2067">
        <v>0</v>
      </c>
      <c r="Z2067">
        <v>-38</v>
      </c>
      <c r="AA2067">
        <v>1</v>
      </c>
      <c r="AB2067" s="13" t="s">
        <v>581</v>
      </c>
      <c r="AC2067">
        <v>0</v>
      </c>
      <c r="AD2067">
        <v>0</v>
      </c>
      <c r="AE2067" s="13" t="s">
        <v>61</v>
      </c>
    </row>
    <row r="2068" spans="1:31" x14ac:dyDescent="0.35">
      <c r="A2068" s="13" t="s">
        <v>2896</v>
      </c>
      <c r="B2068" s="13" t="s">
        <v>430</v>
      </c>
      <c r="C2068" s="13" t="s">
        <v>431</v>
      </c>
      <c r="D2068" s="13" t="s">
        <v>126</v>
      </c>
      <c r="E2068" s="13" t="s">
        <v>77</v>
      </c>
      <c r="F2068" s="13" t="s">
        <v>174</v>
      </c>
      <c r="G2068" s="13" t="s">
        <v>67</v>
      </c>
      <c r="H2068">
        <v>195000</v>
      </c>
      <c r="I2068" s="13" t="s">
        <v>56</v>
      </c>
      <c r="J2068" s="13" t="s">
        <v>57</v>
      </c>
      <c r="K2068" s="13" t="s">
        <v>58</v>
      </c>
      <c r="L2068" s="13" t="s">
        <v>368</v>
      </c>
      <c r="M2068">
        <v>90</v>
      </c>
      <c r="N2068">
        <v>0</v>
      </c>
      <c r="O2068" s="14">
        <v>46015</v>
      </c>
      <c r="P2068" s="14">
        <v>46105</v>
      </c>
      <c r="Q2068">
        <v>7949.25</v>
      </c>
      <c r="R2068">
        <v>0</v>
      </c>
      <c r="S2068">
        <v>0</v>
      </c>
      <c r="T2068">
        <v>0</v>
      </c>
      <c r="U2068">
        <v>0</v>
      </c>
      <c r="V2068">
        <v>7949.25</v>
      </c>
      <c r="W2068">
        <v>0</v>
      </c>
      <c r="X2068">
        <v>1</v>
      </c>
      <c r="Y2068">
        <v>0</v>
      </c>
      <c r="Z2068">
        <v>-83</v>
      </c>
      <c r="AA2068">
        <v>1</v>
      </c>
      <c r="AB2068" s="13" t="s">
        <v>581</v>
      </c>
      <c r="AC2068">
        <v>0</v>
      </c>
      <c r="AD2068">
        <v>0</v>
      </c>
      <c r="AE2068" s="13" t="s">
        <v>61</v>
      </c>
    </row>
    <row r="2069" spans="1:31" x14ac:dyDescent="0.35">
      <c r="A2069" s="13" t="s">
        <v>2897</v>
      </c>
      <c r="B2069" s="13" t="s">
        <v>263</v>
      </c>
      <c r="C2069" s="13" t="s">
        <v>264</v>
      </c>
      <c r="D2069" s="13" t="s">
        <v>52</v>
      </c>
      <c r="E2069" s="13" t="s">
        <v>99</v>
      </c>
      <c r="F2069" s="13" t="s">
        <v>100</v>
      </c>
      <c r="G2069" s="13" t="s">
        <v>55</v>
      </c>
      <c r="H2069">
        <v>590000</v>
      </c>
      <c r="I2069" s="13" t="s">
        <v>86</v>
      </c>
      <c r="J2069" s="13" t="s">
        <v>87</v>
      </c>
      <c r="K2069" s="13" t="s">
        <v>58</v>
      </c>
      <c r="L2069" s="13" t="s">
        <v>88</v>
      </c>
      <c r="M2069">
        <v>60</v>
      </c>
      <c r="N2069">
        <v>0</v>
      </c>
      <c r="O2069" s="14">
        <v>46015</v>
      </c>
      <c r="P2069" s="14">
        <v>46075</v>
      </c>
      <c r="Q2069">
        <v>8602.8700000000008</v>
      </c>
      <c r="R2069">
        <v>0</v>
      </c>
      <c r="S2069">
        <v>0</v>
      </c>
      <c r="T2069">
        <v>0</v>
      </c>
      <c r="U2069">
        <v>0</v>
      </c>
      <c r="V2069">
        <v>8602.8700000000008</v>
      </c>
      <c r="W2069">
        <v>0</v>
      </c>
      <c r="X2069">
        <v>1</v>
      </c>
      <c r="Y2069">
        <v>0</v>
      </c>
      <c r="Z2069">
        <v>-53</v>
      </c>
      <c r="AA2069">
        <v>1</v>
      </c>
      <c r="AB2069" s="13" t="s">
        <v>581</v>
      </c>
      <c r="AC2069">
        <v>0</v>
      </c>
      <c r="AD2069">
        <v>0</v>
      </c>
      <c r="AE2069" s="13" t="s">
        <v>61</v>
      </c>
    </row>
    <row r="2070" spans="1:31" x14ac:dyDescent="0.35">
      <c r="A2070" s="13" t="s">
        <v>2898</v>
      </c>
      <c r="B2070" s="13" t="s">
        <v>177</v>
      </c>
      <c r="C2070" s="13" t="s">
        <v>178</v>
      </c>
      <c r="D2070" s="13" t="s">
        <v>52</v>
      </c>
      <c r="E2070" s="13" t="s">
        <v>71</v>
      </c>
      <c r="F2070" s="13" t="s">
        <v>72</v>
      </c>
      <c r="G2070" s="13" t="s">
        <v>67</v>
      </c>
      <c r="H2070">
        <v>415000</v>
      </c>
      <c r="I2070" s="13" t="s">
        <v>56</v>
      </c>
      <c r="J2070" s="13" t="s">
        <v>57</v>
      </c>
      <c r="K2070" s="13" t="s">
        <v>58</v>
      </c>
      <c r="L2070" s="13" t="s">
        <v>59</v>
      </c>
      <c r="M2070">
        <v>45</v>
      </c>
      <c r="N2070">
        <v>0</v>
      </c>
      <c r="O2070" s="14">
        <v>46015</v>
      </c>
      <c r="P2070" s="14">
        <v>46060</v>
      </c>
      <c r="Q2070">
        <v>10375.14</v>
      </c>
      <c r="R2070">
        <v>0</v>
      </c>
      <c r="S2070">
        <v>0</v>
      </c>
      <c r="T2070">
        <v>0</v>
      </c>
      <c r="U2070">
        <v>0</v>
      </c>
      <c r="V2070">
        <v>10375.14</v>
      </c>
      <c r="W2070">
        <v>0</v>
      </c>
      <c r="X2070">
        <v>1</v>
      </c>
      <c r="Y2070">
        <v>0</v>
      </c>
      <c r="Z2070">
        <v>-38</v>
      </c>
      <c r="AA2070">
        <v>1</v>
      </c>
      <c r="AB2070" s="13" t="s">
        <v>581</v>
      </c>
      <c r="AC2070">
        <v>0</v>
      </c>
      <c r="AD2070">
        <v>0</v>
      </c>
      <c r="AE2070" s="13" t="s">
        <v>61</v>
      </c>
    </row>
    <row r="2071" spans="1:31" x14ac:dyDescent="0.35">
      <c r="A2071" s="13" t="s">
        <v>2899</v>
      </c>
      <c r="B2071" s="13" t="s">
        <v>186</v>
      </c>
      <c r="C2071" s="13" t="s">
        <v>187</v>
      </c>
      <c r="D2071" s="13" t="s">
        <v>76</v>
      </c>
      <c r="E2071" s="13" t="s">
        <v>65</v>
      </c>
      <c r="F2071" s="13" t="s">
        <v>66</v>
      </c>
      <c r="G2071" s="13" t="s">
        <v>55</v>
      </c>
      <c r="H2071">
        <v>120000</v>
      </c>
      <c r="I2071" s="13" t="s">
        <v>93</v>
      </c>
      <c r="J2071" s="13" t="s">
        <v>94</v>
      </c>
      <c r="K2071" s="13" t="s">
        <v>81</v>
      </c>
      <c r="L2071" s="13" t="s">
        <v>95</v>
      </c>
      <c r="M2071">
        <v>30</v>
      </c>
      <c r="N2071">
        <v>0</v>
      </c>
      <c r="O2071" s="14">
        <v>46016</v>
      </c>
      <c r="P2071" s="14">
        <v>46046</v>
      </c>
      <c r="Q2071">
        <v>638.39</v>
      </c>
      <c r="R2071">
        <v>0</v>
      </c>
      <c r="S2071">
        <v>0</v>
      </c>
      <c r="T2071">
        <v>0</v>
      </c>
      <c r="U2071">
        <v>0</v>
      </c>
      <c r="V2071">
        <v>638.39</v>
      </c>
      <c r="W2071">
        <v>0</v>
      </c>
      <c r="X2071">
        <v>1</v>
      </c>
      <c r="Y2071">
        <v>0</v>
      </c>
      <c r="Z2071">
        <v>-24</v>
      </c>
      <c r="AA2071">
        <v>1</v>
      </c>
      <c r="AB2071" s="13" t="s">
        <v>581</v>
      </c>
      <c r="AC2071">
        <v>0</v>
      </c>
      <c r="AD2071">
        <v>0</v>
      </c>
      <c r="AE2071" s="13" t="s">
        <v>61</v>
      </c>
    </row>
    <row r="2072" spans="1:31" x14ac:dyDescent="0.35">
      <c r="A2072" s="13" t="s">
        <v>2900</v>
      </c>
      <c r="B2072" s="13" t="s">
        <v>244</v>
      </c>
      <c r="C2072" s="13" t="s">
        <v>245</v>
      </c>
      <c r="D2072" s="13" t="s">
        <v>52</v>
      </c>
      <c r="E2072" s="13" t="s">
        <v>65</v>
      </c>
      <c r="F2072" s="13" t="s">
        <v>111</v>
      </c>
      <c r="G2072" s="13" t="s">
        <v>55</v>
      </c>
      <c r="H2072">
        <v>590000</v>
      </c>
      <c r="I2072" s="13" t="s">
        <v>86</v>
      </c>
      <c r="J2072" s="13" t="s">
        <v>87</v>
      </c>
      <c r="K2072" s="13" t="s">
        <v>58</v>
      </c>
      <c r="L2072" s="13" t="s">
        <v>59</v>
      </c>
      <c r="M2072">
        <v>45</v>
      </c>
      <c r="N2072">
        <v>0</v>
      </c>
      <c r="O2072" s="14">
        <v>46016</v>
      </c>
      <c r="P2072" s="14">
        <v>46061</v>
      </c>
      <c r="Q2072">
        <v>15109.14</v>
      </c>
      <c r="R2072">
        <v>0</v>
      </c>
      <c r="S2072">
        <v>0</v>
      </c>
      <c r="T2072">
        <v>0</v>
      </c>
      <c r="U2072">
        <v>0</v>
      </c>
      <c r="V2072">
        <v>15109.14</v>
      </c>
      <c r="W2072">
        <v>0</v>
      </c>
      <c r="X2072">
        <v>1</v>
      </c>
      <c r="Y2072">
        <v>0</v>
      </c>
      <c r="Z2072">
        <v>-39</v>
      </c>
      <c r="AA2072">
        <v>1</v>
      </c>
      <c r="AB2072" s="13" t="s">
        <v>581</v>
      </c>
      <c r="AC2072">
        <v>0</v>
      </c>
      <c r="AD2072">
        <v>0</v>
      </c>
      <c r="AE2072" s="13" t="s">
        <v>61</v>
      </c>
    </row>
    <row r="2073" spans="1:31" x14ac:dyDescent="0.35">
      <c r="A2073" s="13" t="s">
        <v>2901</v>
      </c>
      <c r="B2073" s="13" t="s">
        <v>1237</v>
      </c>
      <c r="C2073" s="13" t="s">
        <v>1238</v>
      </c>
      <c r="D2073" s="13" t="s">
        <v>104</v>
      </c>
      <c r="E2073" s="13" t="s">
        <v>99</v>
      </c>
      <c r="F2073" s="13" t="s">
        <v>127</v>
      </c>
      <c r="G2073" s="13" t="s">
        <v>67</v>
      </c>
      <c r="H2073">
        <v>125000</v>
      </c>
      <c r="I2073" s="13" t="s">
        <v>121</v>
      </c>
      <c r="J2073" s="13" t="s">
        <v>122</v>
      </c>
      <c r="K2073" s="13" t="s">
        <v>107</v>
      </c>
      <c r="L2073" s="13" t="s">
        <v>95</v>
      </c>
      <c r="M2073">
        <v>30</v>
      </c>
      <c r="N2073">
        <v>0</v>
      </c>
      <c r="O2073" s="14">
        <v>46016</v>
      </c>
      <c r="P2073" s="14">
        <v>46046</v>
      </c>
      <c r="Q2073">
        <v>3445.94</v>
      </c>
      <c r="R2073">
        <v>0</v>
      </c>
      <c r="S2073">
        <v>0</v>
      </c>
      <c r="T2073">
        <v>0</v>
      </c>
      <c r="U2073">
        <v>0</v>
      </c>
      <c r="V2073">
        <v>3445.94</v>
      </c>
      <c r="W2073">
        <v>0</v>
      </c>
      <c r="X2073">
        <v>1</v>
      </c>
      <c r="Y2073">
        <v>0</v>
      </c>
      <c r="Z2073">
        <v>-24</v>
      </c>
      <c r="AA2073">
        <v>1</v>
      </c>
      <c r="AB2073" s="13" t="s">
        <v>581</v>
      </c>
      <c r="AC2073">
        <v>0</v>
      </c>
      <c r="AD2073">
        <v>0</v>
      </c>
      <c r="AE2073" s="13" t="s">
        <v>61</v>
      </c>
    </row>
    <row r="2074" spans="1:31" x14ac:dyDescent="0.35">
      <c r="A2074" s="13" t="s">
        <v>2902</v>
      </c>
      <c r="B2074" s="13" t="s">
        <v>1648</v>
      </c>
      <c r="C2074" s="13" t="s">
        <v>1649</v>
      </c>
      <c r="D2074" s="13" t="s">
        <v>52</v>
      </c>
      <c r="E2074" s="13" t="s">
        <v>65</v>
      </c>
      <c r="F2074" s="13" t="s">
        <v>111</v>
      </c>
      <c r="G2074" s="13" t="s">
        <v>67</v>
      </c>
      <c r="H2074">
        <v>230000</v>
      </c>
      <c r="I2074" s="13" t="s">
        <v>86</v>
      </c>
      <c r="J2074" s="13" t="s">
        <v>87</v>
      </c>
      <c r="K2074" s="13" t="s">
        <v>58</v>
      </c>
      <c r="L2074" s="13" t="s">
        <v>59</v>
      </c>
      <c r="M2074">
        <v>45</v>
      </c>
      <c r="N2074">
        <v>0</v>
      </c>
      <c r="O2074" s="14">
        <v>46016</v>
      </c>
      <c r="P2074" s="14">
        <v>46061</v>
      </c>
      <c r="Q2074">
        <v>4698.6899999999996</v>
      </c>
      <c r="R2074">
        <v>0</v>
      </c>
      <c r="S2074">
        <v>0</v>
      </c>
      <c r="T2074">
        <v>0</v>
      </c>
      <c r="U2074">
        <v>0</v>
      </c>
      <c r="V2074">
        <v>4698.6899999999996</v>
      </c>
      <c r="W2074">
        <v>0</v>
      </c>
      <c r="X2074">
        <v>1</v>
      </c>
      <c r="Y2074">
        <v>0</v>
      </c>
      <c r="Z2074">
        <v>-39</v>
      </c>
      <c r="AA2074">
        <v>1</v>
      </c>
      <c r="AB2074" s="13" t="s">
        <v>581</v>
      </c>
      <c r="AC2074">
        <v>0</v>
      </c>
      <c r="AD2074">
        <v>0</v>
      </c>
      <c r="AE2074" s="13" t="s">
        <v>61</v>
      </c>
    </row>
    <row r="2075" spans="1:31" x14ac:dyDescent="0.35">
      <c r="A2075" s="13" t="s">
        <v>2903</v>
      </c>
      <c r="B2075" s="13" t="s">
        <v>2627</v>
      </c>
      <c r="C2075" s="13" t="s">
        <v>2628</v>
      </c>
      <c r="D2075" s="13" t="s">
        <v>104</v>
      </c>
      <c r="E2075" s="13" t="s">
        <v>53</v>
      </c>
      <c r="F2075" s="13" t="s">
        <v>54</v>
      </c>
      <c r="G2075" s="13" t="s">
        <v>55</v>
      </c>
      <c r="H2075">
        <v>135000</v>
      </c>
      <c r="I2075" s="13" t="s">
        <v>105</v>
      </c>
      <c r="J2075" s="13" t="s">
        <v>106</v>
      </c>
      <c r="K2075" s="13" t="s">
        <v>107</v>
      </c>
      <c r="L2075" s="13" t="s">
        <v>82</v>
      </c>
      <c r="M2075">
        <v>30</v>
      </c>
      <c r="N2075">
        <v>2</v>
      </c>
      <c r="O2075" s="14">
        <v>46016</v>
      </c>
      <c r="P2075" s="14">
        <v>46046</v>
      </c>
      <c r="Q2075">
        <v>5198.13</v>
      </c>
      <c r="R2075">
        <v>0</v>
      </c>
      <c r="S2075">
        <v>0</v>
      </c>
      <c r="T2075">
        <v>0</v>
      </c>
      <c r="U2075">
        <v>0</v>
      </c>
      <c r="V2075">
        <v>5198.13</v>
      </c>
      <c r="W2075">
        <v>0</v>
      </c>
      <c r="X2075">
        <v>1</v>
      </c>
      <c r="Y2075">
        <v>0</v>
      </c>
      <c r="Z2075">
        <v>-24</v>
      </c>
      <c r="AA2075">
        <v>1</v>
      </c>
      <c r="AB2075" s="13" t="s">
        <v>581</v>
      </c>
      <c r="AC2075">
        <v>0</v>
      </c>
      <c r="AD2075">
        <v>0</v>
      </c>
      <c r="AE2075" s="13" t="s">
        <v>61</v>
      </c>
    </row>
    <row r="2076" spans="1:31" x14ac:dyDescent="0.35">
      <c r="A2076" s="13" t="s">
        <v>2904</v>
      </c>
      <c r="B2076" s="13" t="s">
        <v>216</v>
      </c>
      <c r="C2076" s="13" t="s">
        <v>217</v>
      </c>
      <c r="D2076" s="13" t="s">
        <v>52</v>
      </c>
      <c r="E2076" s="13" t="s">
        <v>65</v>
      </c>
      <c r="F2076" s="13" t="s">
        <v>66</v>
      </c>
      <c r="G2076" s="13" t="s">
        <v>67</v>
      </c>
      <c r="H2076">
        <v>515000</v>
      </c>
      <c r="I2076" s="13" t="s">
        <v>86</v>
      </c>
      <c r="J2076" s="13" t="s">
        <v>87</v>
      </c>
      <c r="K2076" s="13" t="s">
        <v>58</v>
      </c>
      <c r="L2076" s="13" t="s">
        <v>88</v>
      </c>
      <c r="M2076">
        <v>60</v>
      </c>
      <c r="N2076">
        <v>0</v>
      </c>
      <c r="O2076" s="14">
        <v>46016</v>
      </c>
      <c r="P2076" s="14">
        <v>46076</v>
      </c>
      <c r="Q2076">
        <v>9097.92</v>
      </c>
      <c r="R2076">
        <v>0</v>
      </c>
      <c r="S2076">
        <v>0</v>
      </c>
      <c r="T2076">
        <v>0</v>
      </c>
      <c r="U2076">
        <v>0</v>
      </c>
      <c r="V2076">
        <v>9097.92</v>
      </c>
      <c r="W2076">
        <v>0</v>
      </c>
      <c r="X2076">
        <v>1</v>
      </c>
      <c r="Y2076">
        <v>0</v>
      </c>
      <c r="Z2076">
        <v>-54</v>
      </c>
      <c r="AA2076">
        <v>1</v>
      </c>
      <c r="AB2076" s="13" t="s">
        <v>581</v>
      </c>
      <c r="AC2076">
        <v>0</v>
      </c>
      <c r="AD2076">
        <v>0</v>
      </c>
      <c r="AE2076" s="13" t="s">
        <v>61</v>
      </c>
    </row>
    <row r="2077" spans="1:31" x14ac:dyDescent="0.35">
      <c r="A2077" s="13" t="s">
        <v>2905</v>
      </c>
      <c r="B2077" s="13" t="s">
        <v>761</v>
      </c>
      <c r="C2077" s="13" t="s">
        <v>762</v>
      </c>
      <c r="D2077" s="13" t="s">
        <v>52</v>
      </c>
      <c r="E2077" s="13" t="s">
        <v>71</v>
      </c>
      <c r="F2077" s="13" t="s">
        <v>72</v>
      </c>
      <c r="G2077" s="13" t="s">
        <v>67</v>
      </c>
      <c r="H2077">
        <v>340000</v>
      </c>
      <c r="I2077" s="13" t="s">
        <v>86</v>
      </c>
      <c r="J2077" s="13" t="s">
        <v>87</v>
      </c>
      <c r="K2077" s="13" t="s">
        <v>58</v>
      </c>
      <c r="L2077" s="13" t="s">
        <v>59</v>
      </c>
      <c r="M2077">
        <v>45</v>
      </c>
      <c r="N2077">
        <v>0</v>
      </c>
      <c r="O2077" s="14">
        <v>46016</v>
      </c>
      <c r="P2077" s="14">
        <v>46061</v>
      </c>
      <c r="Q2077">
        <v>3763.19</v>
      </c>
      <c r="R2077">
        <v>0</v>
      </c>
      <c r="S2077">
        <v>0</v>
      </c>
      <c r="T2077">
        <v>0</v>
      </c>
      <c r="U2077">
        <v>0</v>
      </c>
      <c r="V2077">
        <v>3763.19</v>
      </c>
      <c r="W2077">
        <v>0</v>
      </c>
      <c r="X2077">
        <v>1</v>
      </c>
      <c r="Y2077">
        <v>0</v>
      </c>
      <c r="Z2077">
        <v>-39</v>
      </c>
      <c r="AA2077">
        <v>1</v>
      </c>
      <c r="AB2077" s="13" t="s">
        <v>581</v>
      </c>
      <c r="AC2077">
        <v>0</v>
      </c>
      <c r="AD2077">
        <v>0</v>
      </c>
      <c r="AE2077" s="13" t="s">
        <v>61</v>
      </c>
    </row>
    <row r="2078" spans="1:31" x14ac:dyDescent="0.35">
      <c r="A2078" s="13" t="s">
        <v>2906</v>
      </c>
      <c r="B2078" s="13" t="s">
        <v>1875</v>
      </c>
      <c r="C2078" s="13" t="s">
        <v>1876</v>
      </c>
      <c r="D2078" s="13" t="s">
        <v>104</v>
      </c>
      <c r="E2078" s="13" t="s">
        <v>65</v>
      </c>
      <c r="F2078" s="13" t="s">
        <v>66</v>
      </c>
      <c r="G2078" s="13" t="s">
        <v>67</v>
      </c>
      <c r="H2078">
        <v>70000</v>
      </c>
      <c r="I2078" s="13" t="s">
        <v>105</v>
      </c>
      <c r="J2078" s="13" t="s">
        <v>106</v>
      </c>
      <c r="K2078" s="13" t="s">
        <v>107</v>
      </c>
      <c r="L2078" s="13" t="s">
        <v>95</v>
      </c>
      <c r="M2078">
        <v>30</v>
      </c>
      <c r="N2078">
        <v>0</v>
      </c>
      <c r="O2078" s="14">
        <v>46016</v>
      </c>
      <c r="P2078" s="14">
        <v>46046</v>
      </c>
      <c r="Q2078">
        <v>4862.97</v>
      </c>
      <c r="R2078">
        <v>0</v>
      </c>
      <c r="S2078">
        <v>0</v>
      </c>
      <c r="T2078">
        <v>0</v>
      </c>
      <c r="U2078">
        <v>0</v>
      </c>
      <c r="V2078">
        <v>4862.97</v>
      </c>
      <c r="W2078">
        <v>0</v>
      </c>
      <c r="X2078">
        <v>1</v>
      </c>
      <c r="Y2078">
        <v>0</v>
      </c>
      <c r="Z2078">
        <v>-24</v>
      </c>
      <c r="AA2078">
        <v>1</v>
      </c>
      <c r="AB2078" s="13" t="s">
        <v>581</v>
      </c>
      <c r="AC2078">
        <v>0</v>
      </c>
      <c r="AD2078">
        <v>0</v>
      </c>
      <c r="AE2078" s="13" t="s">
        <v>61</v>
      </c>
    </row>
    <row r="2079" spans="1:31" x14ac:dyDescent="0.35">
      <c r="A2079" s="13" t="s">
        <v>2907</v>
      </c>
      <c r="B2079" s="13" t="s">
        <v>267</v>
      </c>
      <c r="C2079" s="13" t="s">
        <v>268</v>
      </c>
      <c r="D2079" s="13" t="s">
        <v>52</v>
      </c>
      <c r="E2079" s="13" t="s">
        <v>99</v>
      </c>
      <c r="F2079" s="13" t="s">
        <v>100</v>
      </c>
      <c r="G2079" s="13" t="s">
        <v>67</v>
      </c>
      <c r="H2079">
        <v>265000</v>
      </c>
      <c r="I2079" s="13" t="s">
        <v>86</v>
      </c>
      <c r="J2079" s="13" t="s">
        <v>87</v>
      </c>
      <c r="K2079" s="13" t="s">
        <v>58</v>
      </c>
      <c r="L2079" s="13" t="s">
        <v>59</v>
      </c>
      <c r="M2079">
        <v>45</v>
      </c>
      <c r="N2079">
        <v>0</v>
      </c>
      <c r="O2079" s="14">
        <v>46016</v>
      </c>
      <c r="P2079" s="14">
        <v>46061</v>
      </c>
      <c r="Q2079">
        <v>13874.01</v>
      </c>
      <c r="R2079">
        <v>0</v>
      </c>
      <c r="S2079">
        <v>0</v>
      </c>
      <c r="T2079">
        <v>0</v>
      </c>
      <c r="U2079">
        <v>0</v>
      </c>
      <c r="V2079">
        <v>13874.01</v>
      </c>
      <c r="W2079">
        <v>0</v>
      </c>
      <c r="X2079">
        <v>1</v>
      </c>
      <c r="Y2079">
        <v>0</v>
      </c>
      <c r="Z2079">
        <v>-39</v>
      </c>
      <c r="AA2079">
        <v>1</v>
      </c>
      <c r="AB2079" s="13" t="s">
        <v>581</v>
      </c>
      <c r="AC2079">
        <v>0</v>
      </c>
      <c r="AD2079">
        <v>0</v>
      </c>
      <c r="AE2079" s="13" t="s">
        <v>61</v>
      </c>
    </row>
    <row r="2080" spans="1:31" x14ac:dyDescent="0.35">
      <c r="A2080" s="13" t="s">
        <v>2908</v>
      </c>
      <c r="B2080" s="13" t="s">
        <v>1813</v>
      </c>
      <c r="C2080" s="13" t="s">
        <v>1814</v>
      </c>
      <c r="D2080" s="13" t="s">
        <v>104</v>
      </c>
      <c r="E2080" s="13" t="s">
        <v>71</v>
      </c>
      <c r="F2080" s="13" t="s">
        <v>214</v>
      </c>
      <c r="G2080" s="13" t="s">
        <v>67</v>
      </c>
      <c r="H2080">
        <v>35000</v>
      </c>
      <c r="I2080" s="13" t="s">
        <v>105</v>
      </c>
      <c r="J2080" s="13" t="s">
        <v>106</v>
      </c>
      <c r="K2080" s="13" t="s">
        <v>107</v>
      </c>
      <c r="L2080" s="13" t="s">
        <v>82</v>
      </c>
      <c r="M2080">
        <v>30</v>
      </c>
      <c r="N2080">
        <v>2</v>
      </c>
      <c r="O2080" s="14">
        <v>46016</v>
      </c>
      <c r="P2080" s="14">
        <v>46046</v>
      </c>
      <c r="Q2080">
        <v>8634.6200000000008</v>
      </c>
      <c r="R2080">
        <v>0</v>
      </c>
      <c r="S2080">
        <v>0</v>
      </c>
      <c r="T2080">
        <v>0</v>
      </c>
      <c r="U2080">
        <v>0</v>
      </c>
      <c r="V2080">
        <v>8634.6200000000008</v>
      </c>
      <c r="W2080">
        <v>0</v>
      </c>
      <c r="X2080">
        <v>1</v>
      </c>
      <c r="Y2080">
        <v>0</v>
      </c>
      <c r="Z2080">
        <v>-24</v>
      </c>
      <c r="AA2080">
        <v>1</v>
      </c>
      <c r="AB2080" s="13" t="s">
        <v>581</v>
      </c>
      <c r="AC2080">
        <v>0</v>
      </c>
      <c r="AD2080">
        <v>0</v>
      </c>
      <c r="AE2080" s="13" t="s">
        <v>61</v>
      </c>
    </row>
    <row r="2081" spans="1:31" x14ac:dyDescent="0.35">
      <c r="A2081" s="13" t="s">
        <v>2909</v>
      </c>
      <c r="B2081" s="13" t="s">
        <v>1766</v>
      </c>
      <c r="C2081" s="13" t="s">
        <v>1767</v>
      </c>
      <c r="D2081" s="13" t="s">
        <v>52</v>
      </c>
      <c r="E2081" s="13" t="s">
        <v>77</v>
      </c>
      <c r="F2081" s="13" t="s">
        <v>174</v>
      </c>
      <c r="G2081" s="13" t="s">
        <v>67</v>
      </c>
      <c r="H2081">
        <v>440000</v>
      </c>
      <c r="I2081" s="13" t="s">
        <v>56</v>
      </c>
      <c r="J2081" s="13" t="s">
        <v>57</v>
      </c>
      <c r="K2081" s="13" t="s">
        <v>58</v>
      </c>
      <c r="L2081" s="13" t="s">
        <v>59</v>
      </c>
      <c r="M2081">
        <v>45</v>
      </c>
      <c r="N2081">
        <v>0</v>
      </c>
      <c r="O2081" s="14">
        <v>46016</v>
      </c>
      <c r="P2081" s="14">
        <v>46061</v>
      </c>
      <c r="Q2081">
        <v>1919.91</v>
      </c>
      <c r="R2081">
        <v>0</v>
      </c>
      <c r="S2081">
        <v>0</v>
      </c>
      <c r="T2081">
        <v>0</v>
      </c>
      <c r="U2081">
        <v>0</v>
      </c>
      <c r="V2081">
        <v>1919.91</v>
      </c>
      <c r="W2081">
        <v>0</v>
      </c>
      <c r="X2081">
        <v>1</v>
      </c>
      <c r="Y2081">
        <v>0</v>
      </c>
      <c r="Z2081">
        <v>-39</v>
      </c>
      <c r="AA2081">
        <v>1</v>
      </c>
      <c r="AB2081" s="13" t="s">
        <v>581</v>
      </c>
      <c r="AC2081">
        <v>0</v>
      </c>
      <c r="AD2081">
        <v>0</v>
      </c>
      <c r="AE2081" s="13" t="s">
        <v>61</v>
      </c>
    </row>
    <row r="2082" spans="1:31" x14ac:dyDescent="0.35">
      <c r="A2082" s="13" t="s">
        <v>2910</v>
      </c>
      <c r="B2082" s="13" t="s">
        <v>2312</v>
      </c>
      <c r="C2082" s="13" t="s">
        <v>2313</v>
      </c>
      <c r="D2082" s="13" t="s">
        <v>76</v>
      </c>
      <c r="E2082" s="13" t="s">
        <v>71</v>
      </c>
      <c r="F2082" s="13" t="s">
        <v>72</v>
      </c>
      <c r="G2082" s="13" t="s">
        <v>67</v>
      </c>
      <c r="H2082">
        <v>90000</v>
      </c>
      <c r="I2082" s="13" t="s">
        <v>79</v>
      </c>
      <c r="J2082" s="13" t="s">
        <v>80</v>
      </c>
      <c r="K2082" s="13" t="s">
        <v>81</v>
      </c>
      <c r="L2082" s="13" t="s">
        <v>95</v>
      </c>
      <c r="M2082">
        <v>30</v>
      </c>
      <c r="N2082">
        <v>0</v>
      </c>
      <c r="O2082" s="14">
        <v>46016</v>
      </c>
      <c r="P2082" s="14">
        <v>46046</v>
      </c>
      <c r="Q2082">
        <v>4729.54</v>
      </c>
      <c r="R2082">
        <v>0</v>
      </c>
      <c r="S2082">
        <v>0</v>
      </c>
      <c r="T2082">
        <v>0</v>
      </c>
      <c r="U2082">
        <v>0</v>
      </c>
      <c r="V2082">
        <v>4729.54</v>
      </c>
      <c r="W2082">
        <v>0</v>
      </c>
      <c r="X2082">
        <v>1</v>
      </c>
      <c r="Y2082">
        <v>0</v>
      </c>
      <c r="Z2082">
        <v>-24</v>
      </c>
      <c r="AA2082">
        <v>1</v>
      </c>
      <c r="AB2082" s="13" t="s">
        <v>581</v>
      </c>
      <c r="AC2082">
        <v>0</v>
      </c>
      <c r="AD2082">
        <v>0</v>
      </c>
      <c r="AE2082" s="13" t="s">
        <v>61</v>
      </c>
    </row>
    <row r="2083" spans="1:31" x14ac:dyDescent="0.35">
      <c r="A2083" s="13" t="s">
        <v>2911</v>
      </c>
      <c r="B2083" s="13" t="s">
        <v>270</v>
      </c>
      <c r="C2083" s="13" t="s">
        <v>271</v>
      </c>
      <c r="D2083" s="13" t="s">
        <v>52</v>
      </c>
      <c r="E2083" s="13" t="s">
        <v>71</v>
      </c>
      <c r="F2083" s="13" t="s">
        <v>72</v>
      </c>
      <c r="G2083" s="13" t="s">
        <v>67</v>
      </c>
      <c r="H2083">
        <v>555000</v>
      </c>
      <c r="I2083" s="13" t="s">
        <v>56</v>
      </c>
      <c r="J2083" s="13" t="s">
        <v>57</v>
      </c>
      <c r="K2083" s="13" t="s">
        <v>58</v>
      </c>
      <c r="L2083" s="13" t="s">
        <v>88</v>
      </c>
      <c r="M2083">
        <v>60</v>
      </c>
      <c r="N2083">
        <v>0</v>
      </c>
      <c r="O2083" s="14">
        <v>46016</v>
      </c>
      <c r="P2083" s="14">
        <v>46076</v>
      </c>
      <c r="Q2083">
        <v>5402.5</v>
      </c>
      <c r="R2083">
        <v>0</v>
      </c>
      <c r="S2083">
        <v>0</v>
      </c>
      <c r="T2083">
        <v>0</v>
      </c>
      <c r="U2083">
        <v>0</v>
      </c>
      <c r="V2083">
        <v>5402.5</v>
      </c>
      <c r="W2083">
        <v>0</v>
      </c>
      <c r="X2083">
        <v>1</v>
      </c>
      <c r="Y2083">
        <v>0</v>
      </c>
      <c r="Z2083">
        <v>-54</v>
      </c>
      <c r="AA2083">
        <v>1</v>
      </c>
      <c r="AB2083" s="13" t="s">
        <v>581</v>
      </c>
      <c r="AC2083">
        <v>0</v>
      </c>
      <c r="AD2083">
        <v>0</v>
      </c>
      <c r="AE2083" s="13" t="s">
        <v>61</v>
      </c>
    </row>
    <row r="2084" spans="1:31" x14ac:dyDescent="0.35">
      <c r="A2084" s="13" t="s">
        <v>2912</v>
      </c>
      <c r="B2084" s="13" t="s">
        <v>914</v>
      </c>
      <c r="C2084" s="13" t="s">
        <v>915</v>
      </c>
      <c r="D2084" s="13" t="s">
        <v>76</v>
      </c>
      <c r="E2084" s="13" t="s">
        <v>99</v>
      </c>
      <c r="F2084" s="13" t="s">
        <v>100</v>
      </c>
      <c r="G2084" s="13" t="s">
        <v>55</v>
      </c>
      <c r="H2084">
        <v>95000</v>
      </c>
      <c r="I2084" s="13" t="s">
        <v>93</v>
      </c>
      <c r="J2084" s="13" t="s">
        <v>94</v>
      </c>
      <c r="K2084" s="13" t="s">
        <v>81</v>
      </c>
      <c r="L2084" s="13" t="s">
        <v>95</v>
      </c>
      <c r="M2084">
        <v>30</v>
      </c>
      <c r="N2084">
        <v>0</v>
      </c>
      <c r="O2084" s="14">
        <v>46016</v>
      </c>
      <c r="P2084" s="14">
        <v>46046</v>
      </c>
      <c r="Q2084">
        <v>2383.44</v>
      </c>
      <c r="R2084">
        <v>0</v>
      </c>
      <c r="S2084">
        <v>0</v>
      </c>
      <c r="T2084">
        <v>0</v>
      </c>
      <c r="U2084">
        <v>0</v>
      </c>
      <c r="V2084">
        <v>2383.44</v>
      </c>
      <c r="W2084">
        <v>0</v>
      </c>
      <c r="X2084">
        <v>1</v>
      </c>
      <c r="Y2084">
        <v>0</v>
      </c>
      <c r="Z2084">
        <v>-24</v>
      </c>
      <c r="AA2084">
        <v>1</v>
      </c>
      <c r="AB2084" s="13" t="s">
        <v>581</v>
      </c>
      <c r="AC2084">
        <v>0</v>
      </c>
      <c r="AD2084">
        <v>0</v>
      </c>
      <c r="AE2084" s="13" t="s">
        <v>61</v>
      </c>
    </row>
    <row r="2085" spans="1:31" x14ac:dyDescent="0.35">
      <c r="A2085" s="13" t="s">
        <v>2913</v>
      </c>
      <c r="B2085" s="13" t="s">
        <v>418</v>
      </c>
      <c r="C2085" s="13" t="s">
        <v>419</v>
      </c>
      <c r="D2085" s="13" t="s">
        <v>52</v>
      </c>
      <c r="E2085" s="13" t="s">
        <v>99</v>
      </c>
      <c r="F2085" s="13" t="s">
        <v>100</v>
      </c>
      <c r="G2085" s="13" t="s">
        <v>67</v>
      </c>
      <c r="H2085">
        <v>535000</v>
      </c>
      <c r="I2085" s="13" t="s">
        <v>86</v>
      </c>
      <c r="J2085" s="13" t="s">
        <v>87</v>
      </c>
      <c r="K2085" s="13" t="s">
        <v>58</v>
      </c>
      <c r="L2085" s="13" t="s">
        <v>59</v>
      </c>
      <c r="M2085">
        <v>45</v>
      </c>
      <c r="N2085">
        <v>0</v>
      </c>
      <c r="O2085" s="14">
        <v>46016</v>
      </c>
      <c r="P2085" s="14">
        <v>46061</v>
      </c>
      <c r="Q2085">
        <v>4366.76</v>
      </c>
      <c r="R2085">
        <v>0</v>
      </c>
      <c r="S2085">
        <v>0</v>
      </c>
      <c r="T2085">
        <v>0</v>
      </c>
      <c r="U2085">
        <v>0</v>
      </c>
      <c r="V2085">
        <v>4366.76</v>
      </c>
      <c r="W2085">
        <v>0</v>
      </c>
      <c r="X2085">
        <v>1</v>
      </c>
      <c r="Y2085">
        <v>0</v>
      </c>
      <c r="Z2085">
        <v>-39</v>
      </c>
      <c r="AA2085">
        <v>1</v>
      </c>
      <c r="AB2085" s="13" t="s">
        <v>581</v>
      </c>
      <c r="AC2085">
        <v>0</v>
      </c>
      <c r="AD2085">
        <v>0</v>
      </c>
      <c r="AE2085" s="13" t="s">
        <v>61</v>
      </c>
    </row>
    <row r="2086" spans="1:31" x14ac:dyDescent="0.35">
      <c r="A2086" s="13" t="s">
        <v>2914</v>
      </c>
      <c r="B2086" s="13" t="s">
        <v>84</v>
      </c>
      <c r="C2086" s="13" t="s">
        <v>85</v>
      </c>
      <c r="D2086" s="13" t="s">
        <v>52</v>
      </c>
      <c r="E2086" s="13" t="s">
        <v>71</v>
      </c>
      <c r="F2086" s="13" t="s">
        <v>72</v>
      </c>
      <c r="G2086" s="13" t="s">
        <v>67</v>
      </c>
      <c r="H2086">
        <v>600000</v>
      </c>
      <c r="I2086" s="13" t="s">
        <v>86</v>
      </c>
      <c r="J2086" s="13" t="s">
        <v>87</v>
      </c>
      <c r="K2086" s="13" t="s">
        <v>58</v>
      </c>
      <c r="L2086" s="13" t="s">
        <v>88</v>
      </c>
      <c r="M2086">
        <v>60</v>
      </c>
      <c r="N2086">
        <v>0</v>
      </c>
      <c r="O2086" s="14">
        <v>46016</v>
      </c>
      <c r="P2086" s="14">
        <v>46076</v>
      </c>
      <c r="Q2086">
        <v>2517.96</v>
      </c>
      <c r="R2086">
        <v>0</v>
      </c>
      <c r="S2086">
        <v>0</v>
      </c>
      <c r="T2086">
        <v>0</v>
      </c>
      <c r="U2086">
        <v>0</v>
      </c>
      <c r="V2086">
        <v>2517.96</v>
      </c>
      <c r="W2086">
        <v>0</v>
      </c>
      <c r="X2086">
        <v>1</v>
      </c>
      <c r="Y2086">
        <v>0</v>
      </c>
      <c r="Z2086">
        <v>-54</v>
      </c>
      <c r="AA2086">
        <v>1</v>
      </c>
      <c r="AB2086" s="13" t="s">
        <v>581</v>
      </c>
      <c r="AC2086">
        <v>0</v>
      </c>
      <c r="AD2086">
        <v>0</v>
      </c>
      <c r="AE2086" s="13" t="s">
        <v>61</v>
      </c>
    </row>
    <row r="2087" spans="1:31" x14ac:dyDescent="0.35">
      <c r="A2087" s="13" t="s">
        <v>2915</v>
      </c>
      <c r="B2087" s="13" t="s">
        <v>2916</v>
      </c>
      <c r="C2087" s="13" t="s">
        <v>2917</v>
      </c>
      <c r="D2087" s="13" t="s">
        <v>76</v>
      </c>
      <c r="E2087" s="13" t="s">
        <v>99</v>
      </c>
      <c r="F2087" s="13" t="s">
        <v>127</v>
      </c>
      <c r="G2087" s="13" t="s">
        <v>67</v>
      </c>
      <c r="H2087">
        <v>85000</v>
      </c>
      <c r="I2087" s="13" t="s">
        <v>93</v>
      </c>
      <c r="J2087" s="13" t="s">
        <v>94</v>
      </c>
      <c r="K2087" s="13" t="s">
        <v>81</v>
      </c>
      <c r="L2087" s="13" t="s">
        <v>82</v>
      </c>
      <c r="M2087">
        <v>30</v>
      </c>
      <c r="N2087">
        <v>2</v>
      </c>
      <c r="O2087" s="14">
        <v>46016</v>
      </c>
      <c r="P2087" s="14">
        <v>46046</v>
      </c>
      <c r="Q2087">
        <v>4400.09</v>
      </c>
      <c r="R2087">
        <v>0</v>
      </c>
      <c r="S2087">
        <v>0</v>
      </c>
      <c r="T2087">
        <v>0</v>
      </c>
      <c r="U2087">
        <v>0</v>
      </c>
      <c r="V2087">
        <v>4400.09</v>
      </c>
      <c r="W2087">
        <v>0</v>
      </c>
      <c r="X2087">
        <v>1</v>
      </c>
      <c r="Y2087">
        <v>0</v>
      </c>
      <c r="Z2087">
        <v>-24</v>
      </c>
      <c r="AA2087">
        <v>1</v>
      </c>
      <c r="AB2087" s="13" t="s">
        <v>581</v>
      </c>
      <c r="AC2087">
        <v>0</v>
      </c>
      <c r="AD2087">
        <v>0</v>
      </c>
      <c r="AE2087" s="13" t="s">
        <v>61</v>
      </c>
    </row>
    <row r="2088" spans="1:31" x14ac:dyDescent="0.35">
      <c r="A2088" s="13" t="s">
        <v>2918</v>
      </c>
      <c r="B2088" s="13" t="s">
        <v>1714</v>
      </c>
      <c r="C2088" s="13" t="s">
        <v>1715</v>
      </c>
      <c r="D2088" s="13" t="s">
        <v>104</v>
      </c>
      <c r="E2088" s="13" t="s">
        <v>99</v>
      </c>
      <c r="F2088" s="13" t="s">
        <v>100</v>
      </c>
      <c r="G2088" s="13" t="s">
        <v>55</v>
      </c>
      <c r="H2088">
        <v>50000</v>
      </c>
      <c r="I2088" s="13" t="s">
        <v>105</v>
      </c>
      <c r="J2088" s="13" t="s">
        <v>106</v>
      </c>
      <c r="K2088" s="13" t="s">
        <v>107</v>
      </c>
      <c r="L2088" s="13" t="s">
        <v>95</v>
      </c>
      <c r="M2088">
        <v>30</v>
      </c>
      <c r="N2088">
        <v>0</v>
      </c>
      <c r="O2088" s="14">
        <v>46016</v>
      </c>
      <c r="P2088" s="14">
        <v>46046</v>
      </c>
      <c r="Q2088">
        <v>1966.61</v>
      </c>
      <c r="R2088">
        <v>0</v>
      </c>
      <c r="S2088">
        <v>0</v>
      </c>
      <c r="T2088">
        <v>0</v>
      </c>
      <c r="U2088">
        <v>0</v>
      </c>
      <c r="V2088">
        <v>1966.61</v>
      </c>
      <c r="W2088">
        <v>0</v>
      </c>
      <c r="X2088">
        <v>1</v>
      </c>
      <c r="Y2088">
        <v>0</v>
      </c>
      <c r="Z2088">
        <v>-24</v>
      </c>
      <c r="AA2088">
        <v>1</v>
      </c>
      <c r="AB2088" s="13" t="s">
        <v>581</v>
      </c>
      <c r="AC2088">
        <v>0</v>
      </c>
      <c r="AD2088">
        <v>0</v>
      </c>
      <c r="AE2088" s="13" t="s">
        <v>61</v>
      </c>
    </row>
    <row r="2089" spans="1:31" x14ac:dyDescent="0.35">
      <c r="A2089" s="13" t="s">
        <v>2919</v>
      </c>
      <c r="B2089" s="13" t="s">
        <v>193</v>
      </c>
      <c r="C2089" s="13" t="s">
        <v>194</v>
      </c>
      <c r="D2089" s="13" t="s">
        <v>104</v>
      </c>
      <c r="E2089" s="13" t="s">
        <v>99</v>
      </c>
      <c r="F2089" s="13" t="s">
        <v>100</v>
      </c>
      <c r="G2089" s="13" t="s">
        <v>67</v>
      </c>
      <c r="H2089">
        <v>145000</v>
      </c>
      <c r="I2089" s="13" t="s">
        <v>121</v>
      </c>
      <c r="J2089" s="13" t="s">
        <v>122</v>
      </c>
      <c r="K2089" s="13" t="s">
        <v>107</v>
      </c>
      <c r="L2089" s="13" t="s">
        <v>82</v>
      </c>
      <c r="M2089">
        <v>30</v>
      </c>
      <c r="N2089">
        <v>2</v>
      </c>
      <c r="O2089" s="14">
        <v>46016</v>
      </c>
      <c r="P2089" s="14">
        <v>46046</v>
      </c>
      <c r="Q2089">
        <v>2660.91</v>
      </c>
      <c r="R2089">
        <v>0</v>
      </c>
      <c r="S2089">
        <v>0</v>
      </c>
      <c r="T2089">
        <v>0</v>
      </c>
      <c r="U2089">
        <v>0</v>
      </c>
      <c r="V2089">
        <v>2660.91</v>
      </c>
      <c r="W2089">
        <v>0</v>
      </c>
      <c r="X2089">
        <v>1</v>
      </c>
      <c r="Y2089">
        <v>0</v>
      </c>
      <c r="Z2089">
        <v>-24</v>
      </c>
      <c r="AA2089">
        <v>1</v>
      </c>
      <c r="AB2089" s="13" t="s">
        <v>581</v>
      </c>
      <c r="AC2089">
        <v>0</v>
      </c>
      <c r="AD2089">
        <v>0</v>
      </c>
      <c r="AE2089" s="13" t="s">
        <v>61</v>
      </c>
    </row>
    <row r="2090" spans="1:31" x14ac:dyDescent="0.35">
      <c r="A2090" s="13" t="s">
        <v>2920</v>
      </c>
      <c r="B2090" s="13" t="s">
        <v>247</v>
      </c>
      <c r="C2090" s="13" t="s">
        <v>248</v>
      </c>
      <c r="D2090" s="13" t="s">
        <v>104</v>
      </c>
      <c r="E2090" s="13" t="s">
        <v>65</v>
      </c>
      <c r="F2090" s="13" t="s">
        <v>111</v>
      </c>
      <c r="G2090" s="13" t="s">
        <v>55</v>
      </c>
      <c r="H2090">
        <v>105000</v>
      </c>
      <c r="I2090" s="13" t="s">
        <v>105</v>
      </c>
      <c r="J2090" s="13" t="s">
        <v>106</v>
      </c>
      <c r="K2090" s="13" t="s">
        <v>107</v>
      </c>
      <c r="L2090" s="13" t="s">
        <v>82</v>
      </c>
      <c r="M2090">
        <v>30</v>
      </c>
      <c r="N2090">
        <v>2</v>
      </c>
      <c r="O2090" s="14">
        <v>46016</v>
      </c>
      <c r="P2090" s="14">
        <v>46046</v>
      </c>
      <c r="Q2090">
        <v>852.37</v>
      </c>
      <c r="R2090">
        <v>0</v>
      </c>
      <c r="S2090">
        <v>0</v>
      </c>
      <c r="T2090">
        <v>0</v>
      </c>
      <c r="U2090">
        <v>0</v>
      </c>
      <c r="V2090">
        <v>852.37</v>
      </c>
      <c r="W2090">
        <v>0</v>
      </c>
      <c r="X2090">
        <v>1</v>
      </c>
      <c r="Y2090">
        <v>0</v>
      </c>
      <c r="Z2090">
        <v>-24</v>
      </c>
      <c r="AA2090">
        <v>1</v>
      </c>
      <c r="AB2090" s="13" t="s">
        <v>581</v>
      </c>
      <c r="AC2090">
        <v>0</v>
      </c>
      <c r="AD2090">
        <v>0</v>
      </c>
      <c r="AE2090" s="13" t="s">
        <v>61</v>
      </c>
    </row>
    <row r="2091" spans="1:31" x14ac:dyDescent="0.35">
      <c r="A2091" s="13" t="s">
        <v>2921</v>
      </c>
      <c r="B2091" s="13" t="s">
        <v>558</v>
      </c>
      <c r="C2091" s="13" t="s">
        <v>559</v>
      </c>
      <c r="D2091" s="13" t="s">
        <v>52</v>
      </c>
      <c r="E2091" s="13" t="s">
        <v>53</v>
      </c>
      <c r="F2091" s="13" t="s">
        <v>54</v>
      </c>
      <c r="G2091" s="13" t="s">
        <v>55</v>
      </c>
      <c r="H2091">
        <v>240000</v>
      </c>
      <c r="I2091" s="13" t="s">
        <v>56</v>
      </c>
      <c r="J2091" s="13" t="s">
        <v>57</v>
      </c>
      <c r="K2091" s="13" t="s">
        <v>58</v>
      </c>
      <c r="L2091" s="13" t="s">
        <v>59</v>
      </c>
      <c r="M2091">
        <v>45</v>
      </c>
      <c r="N2091">
        <v>0</v>
      </c>
      <c r="O2091" s="14">
        <v>46016</v>
      </c>
      <c r="P2091" s="14">
        <v>46061</v>
      </c>
      <c r="Q2091">
        <v>6665.67</v>
      </c>
      <c r="R2091">
        <v>0</v>
      </c>
      <c r="S2091">
        <v>0</v>
      </c>
      <c r="T2091">
        <v>0</v>
      </c>
      <c r="U2091">
        <v>0</v>
      </c>
      <c r="V2091">
        <v>6665.67</v>
      </c>
      <c r="W2091">
        <v>0</v>
      </c>
      <c r="X2091">
        <v>1</v>
      </c>
      <c r="Y2091">
        <v>0</v>
      </c>
      <c r="Z2091">
        <v>-39</v>
      </c>
      <c r="AA2091">
        <v>1</v>
      </c>
      <c r="AB2091" s="13" t="s">
        <v>581</v>
      </c>
      <c r="AC2091">
        <v>0</v>
      </c>
      <c r="AD2091">
        <v>0</v>
      </c>
      <c r="AE2091" s="13" t="s">
        <v>61</v>
      </c>
    </row>
    <row r="2092" spans="1:31" x14ac:dyDescent="0.35">
      <c r="A2092" s="13" t="s">
        <v>2922</v>
      </c>
      <c r="B2092" s="13" t="s">
        <v>1042</v>
      </c>
      <c r="C2092" s="13" t="s">
        <v>1043</v>
      </c>
      <c r="D2092" s="13" t="s">
        <v>104</v>
      </c>
      <c r="E2092" s="13" t="s">
        <v>53</v>
      </c>
      <c r="F2092" s="13" t="s">
        <v>135</v>
      </c>
      <c r="G2092" s="13" t="s">
        <v>67</v>
      </c>
      <c r="H2092">
        <v>85000</v>
      </c>
      <c r="I2092" s="13" t="s">
        <v>121</v>
      </c>
      <c r="J2092" s="13" t="s">
        <v>122</v>
      </c>
      <c r="K2092" s="13" t="s">
        <v>107</v>
      </c>
      <c r="L2092" s="13" t="s">
        <v>88</v>
      </c>
      <c r="M2092">
        <v>60</v>
      </c>
      <c r="N2092">
        <v>0</v>
      </c>
      <c r="O2092" s="14">
        <v>46016</v>
      </c>
      <c r="P2092" s="14">
        <v>46076</v>
      </c>
      <c r="Q2092">
        <v>4068.1</v>
      </c>
      <c r="R2092">
        <v>0</v>
      </c>
      <c r="S2092">
        <v>0</v>
      </c>
      <c r="T2092">
        <v>0</v>
      </c>
      <c r="U2092">
        <v>0</v>
      </c>
      <c r="V2092">
        <v>4068.1</v>
      </c>
      <c r="W2092">
        <v>0</v>
      </c>
      <c r="X2092">
        <v>1</v>
      </c>
      <c r="Y2092">
        <v>0</v>
      </c>
      <c r="Z2092">
        <v>-54</v>
      </c>
      <c r="AA2092">
        <v>1</v>
      </c>
      <c r="AB2092" s="13" t="s">
        <v>581</v>
      </c>
      <c r="AC2092">
        <v>0</v>
      </c>
      <c r="AD2092">
        <v>0</v>
      </c>
      <c r="AE2092" s="13" t="s">
        <v>61</v>
      </c>
    </row>
    <row r="2093" spans="1:31" x14ac:dyDescent="0.35">
      <c r="A2093" s="13" t="s">
        <v>2923</v>
      </c>
      <c r="B2093" s="13" t="s">
        <v>2924</v>
      </c>
      <c r="C2093" s="13" t="s">
        <v>2925</v>
      </c>
      <c r="D2093" s="13" t="s">
        <v>104</v>
      </c>
      <c r="E2093" s="13" t="s">
        <v>71</v>
      </c>
      <c r="F2093" s="13" t="s">
        <v>214</v>
      </c>
      <c r="G2093" s="13" t="s">
        <v>67</v>
      </c>
      <c r="H2093">
        <v>105000</v>
      </c>
      <c r="I2093" s="13" t="s">
        <v>105</v>
      </c>
      <c r="J2093" s="13" t="s">
        <v>106</v>
      </c>
      <c r="K2093" s="13" t="s">
        <v>107</v>
      </c>
      <c r="L2093" s="13" t="s">
        <v>82</v>
      </c>
      <c r="M2093">
        <v>30</v>
      </c>
      <c r="N2093">
        <v>2</v>
      </c>
      <c r="O2093" s="14">
        <v>46016</v>
      </c>
      <c r="P2093" s="14">
        <v>46046</v>
      </c>
      <c r="Q2093">
        <v>1769.09</v>
      </c>
      <c r="R2093">
        <v>0</v>
      </c>
      <c r="S2093">
        <v>0</v>
      </c>
      <c r="T2093">
        <v>0</v>
      </c>
      <c r="U2093">
        <v>0</v>
      </c>
      <c r="V2093">
        <v>1769.09</v>
      </c>
      <c r="W2093">
        <v>0</v>
      </c>
      <c r="X2093">
        <v>1</v>
      </c>
      <c r="Y2093">
        <v>0</v>
      </c>
      <c r="Z2093">
        <v>-24</v>
      </c>
      <c r="AA2093">
        <v>1</v>
      </c>
      <c r="AB2093" s="13" t="s">
        <v>581</v>
      </c>
      <c r="AC2093">
        <v>0</v>
      </c>
      <c r="AD2093">
        <v>0</v>
      </c>
      <c r="AE2093" s="13" t="s">
        <v>61</v>
      </c>
    </row>
    <row r="2094" spans="1:31" x14ac:dyDescent="0.35">
      <c r="A2094" s="13" t="s">
        <v>2926</v>
      </c>
      <c r="B2094" s="13" t="s">
        <v>2927</v>
      </c>
      <c r="C2094" s="13" t="s">
        <v>2928</v>
      </c>
      <c r="D2094" s="13" t="s">
        <v>104</v>
      </c>
      <c r="E2094" s="13" t="s">
        <v>65</v>
      </c>
      <c r="F2094" s="13" t="s">
        <v>66</v>
      </c>
      <c r="G2094" s="13" t="s">
        <v>67</v>
      </c>
      <c r="H2094">
        <v>95000</v>
      </c>
      <c r="I2094" s="13" t="s">
        <v>121</v>
      </c>
      <c r="J2094" s="13" t="s">
        <v>122</v>
      </c>
      <c r="K2094" s="13" t="s">
        <v>107</v>
      </c>
      <c r="L2094" s="13" t="s">
        <v>95</v>
      </c>
      <c r="M2094">
        <v>30</v>
      </c>
      <c r="N2094">
        <v>0</v>
      </c>
      <c r="O2094" s="14">
        <v>46016</v>
      </c>
      <c r="P2094" s="14">
        <v>46046</v>
      </c>
      <c r="Q2094">
        <v>5715.08</v>
      </c>
      <c r="R2094">
        <v>0</v>
      </c>
      <c r="S2094">
        <v>0</v>
      </c>
      <c r="T2094">
        <v>0</v>
      </c>
      <c r="U2094">
        <v>0</v>
      </c>
      <c r="V2094">
        <v>5715.08</v>
      </c>
      <c r="W2094">
        <v>0</v>
      </c>
      <c r="X2094">
        <v>1</v>
      </c>
      <c r="Y2094">
        <v>0</v>
      </c>
      <c r="Z2094">
        <v>-24</v>
      </c>
      <c r="AA2094">
        <v>1</v>
      </c>
      <c r="AB2094" s="13" t="s">
        <v>581</v>
      </c>
      <c r="AC2094">
        <v>0</v>
      </c>
      <c r="AD2094">
        <v>0</v>
      </c>
      <c r="AE2094" s="13" t="s">
        <v>61</v>
      </c>
    </row>
    <row r="2095" spans="1:31" x14ac:dyDescent="0.35">
      <c r="A2095" s="13" t="s">
        <v>2929</v>
      </c>
      <c r="B2095" s="13" t="s">
        <v>69</v>
      </c>
      <c r="C2095" s="13" t="s">
        <v>70</v>
      </c>
      <c r="D2095" s="13" t="s">
        <v>52</v>
      </c>
      <c r="E2095" s="13" t="s">
        <v>71</v>
      </c>
      <c r="F2095" s="13" t="s">
        <v>72</v>
      </c>
      <c r="G2095" s="13" t="s">
        <v>55</v>
      </c>
      <c r="H2095">
        <v>580000</v>
      </c>
      <c r="I2095" s="13" t="s">
        <v>56</v>
      </c>
      <c r="J2095" s="13" t="s">
        <v>57</v>
      </c>
      <c r="K2095" s="13" t="s">
        <v>58</v>
      </c>
      <c r="L2095" s="13" t="s">
        <v>59</v>
      </c>
      <c r="M2095">
        <v>45</v>
      </c>
      <c r="N2095">
        <v>0</v>
      </c>
      <c r="O2095" s="14">
        <v>46016</v>
      </c>
      <c r="P2095" s="14">
        <v>46061</v>
      </c>
      <c r="Q2095">
        <v>3444.84</v>
      </c>
      <c r="R2095">
        <v>0</v>
      </c>
      <c r="S2095">
        <v>0</v>
      </c>
      <c r="T2095">
        <v>0</v>
      </c>
      <c r="U2095">
        <v>0</v>
      </c>
      <c r="V2095">
        <v>3444.84</v>
      </c>
      <c r="W2095">
        <v>0</v>
      </c>
      <c r="X2095">
        <v>1</v>
      </c>
      <c r="Y2095">
        <v>0</v>
      </c>
      <c r="Z2095">
        <v>-39</v>
      </c>
      <c r="AA2095">
        <v>1</v>
      </c>
      <c r="AB2095" s="13" t="s">
        <v>581</v>
      </c>
      <c r="AC2095">
        <v>0</v>
      </c>
      <c r="AD2095">
        <v>0</v>
      </c>
      <c r="AE2095" s="13" t="s">
        <v>61</v>
      </c>
    </row>
    <row r="2096" spans="1:31" x14ac:dyDescent="0.35">
      <c r="A2096" s="13" t="s">
        <v>2930</v>
      </c>
      <c r="B2096" s="13" t="s">
        <v>1665</v>
      </c>
      <c r="C2096" s="13" t="s">
        <v>1666</v>
      </c>
      <c r="D2096" s="13" t="s">
        <v>76</v>
      </c>
      <c r="E2096" s="13" t="s">
        <v>77</v>
      </c>
      <c r="F2096" s="13" t="s">
        <v>78</v>
      </c>
      <c r="G2096" s="13" t="s">
        <v>55</v>
      </c>
      <c r="H2096">
        <v>65000</v>
      </c>
      <c r="I2096" s="13" t="s">
        <v>93</v>
      </c>
      <c r="J2096" s="13" t="s">
        <v>94</v>
      </c>
      <c r="K2096" s="13" t="s">
        <v>81</v>
      </c>
      <c r="L2096" s="13" t="s">
        <v>95</v>
      </c>
      <c r="M2096">
        <v>30</v>
      </c>
      <c r="N2096">
        <v>0</v>
      </c>
      <c r="O2096" s="14">
        <v>46016</v>
      </c>
      <c r="P2096" s="14">
        <v>46046</v>
      </c>
      <c r="Q2096">
        <v>837.55</v>
      </c>
      <c r="R2096">
        <v>0</v>
      </c>
      <c r="S2096">
        <v>0</v>
      </c>
      <c r="T2096">
        <v>0</v>
      </c>
      <c r="U2096">
        <v>0</v>
      </c>
      <c r="V2096">
        <v>837.55</v>
      </c>
      <c r="W2096">
        <v>0</v>
      </c>
      <c r="X2096">
        <v>1</v>
      </c>
      <c r="Y2096">
        <v>0</v>
      </c>
      <c r="Z2096">
        <v>-24</v>
      </c>
      <c r="AA2096">
        <v>1</v>
      </c>
      <c r="AB2096" s="13" t="s">
        <v>581</v>
      </c>
      <c r="AC2096">
        <v>0</v>
      </c>
      <c r="AD2096">
        <v>0</v>
      </c>
      <c r="AE2096" s="13" t="s">
        <v>61</v>
      </c>
    </row>
    <row r="2097" spans="1:31" x14ac:dyDescent="0.35">
      <c r="A2097" s="13" t="s">
        <v>2931</v>
      </c>
      <c r="B2097" s="13" t="s">
        <v>1523</v>
      </c>
      <c r="C2097" s="13" t="s">
        <v>1524</v>
      </c>
      <c r="D2097" s="13" t="s">
        <v>76</v>
      </c>
      <c r="E2097" s="13" t="s">
        <v>65</v>
      </c>
      <c r="F2097" s="13" t="s">
        <v>111</v>
      </c>
      <c r="G2097" s="13" t="s">
        <v>55</v>
      </c>
      <c r="H2097">
        <v>115000</v>
      </c>
      <c r="I2097" s="13" t="s">
        <v>93</v>
      </c>
      <c r="J2097" s="13" t="s">
        <v>94</v>
      </c>
      <c r="K2097" s="13" t="s">
        <v>81</v>
      </c>
      <c r="L2097" s="13" t="s">
        <v>95</v>
      </c>
      <c r="M2097">
        <v>30</v>
      </c>
      <c r="N2097">
        <v>0</v>
      </c>
      <c r="O2097" s="14">
        <v>46016</v>
      </c>
      <c r="P2097" s="14">
        <v>46046</v>
      </c>
      <c r="Q2097">
        <v>4544.25</v>
      </c>
      <c r="R2097">
        <v>0</v>
      </c>
      <c r="S2097">
        <v>0</v>
      </c>
      <c r="T2097">
        <v>0</v>
      </c>
      <c r="U2097">
        <v>0</v>
      </c>
      <c r="V2097">
        <v>4544.25</v>
      </c>
      <c r="W2097">
        <v>0</v>
      </c>
      <c r="X2097">
        <v>1</v>
      </c>
      <c r="Y2097">
        <v>0</v>
      </c>
      <c r="Z2097">
        <v>-24</v>
      </c>
      <c r="AA2097">
        <v>1</v>
      </c>
      <c r="AB2097" s="13" t="s">
        <v>581</v>
      </c>
      <c r="AC2097">
        <v>0</v>
      </c>
      <c r="AD2097">
        <v>0</v>
      </c>
      <c r="AE2097" s="13" t="s">
        <v>61</v>
      </c>
    </row>
    <row r="2098" spans="1:31" x14ac:dyDescent="0.35">
      <c r="A2098" s="13" t="s">
        <v>2932</v>
      </c>
      <c r="B2098" s="13" t="s">
        <v>2084</v>
      </c>
      <c r="C2098" s="13" t="s">
        <v>2085</v>
      </c>
      <c r="D2098" s="13" t="s">
        <v>76</v>
      </c>
      <c r="E2098" s="13" t="s">
        <v>65</v>
      </c>
      <c r="F2098" s="13" t="s">
        <v>66</v>
      </c>
      <c r="G2098" s="13" t="s">
        <v>67</v>
      </c>
      <c r="H2098">
        <v>60000</v>
      </c>
      <c r="I2098" s="13" t="s">
        <v>93</v>
      </c>
      <c r="J2098" s="13" t="s">
        <v>94</v>
      </c>
      <c r="K2098" s="13" t="s">
        <v>81</v>
      </c>
      <c r="L2098" s="13" t="s">
        <v>95</v>
      </c>
      <c r="M2098">
        <v>30</v>
      </c>
      <c r="N2098">
        <v>0</v>
      </c>
      <c r="O2098" s="14">
        <v>46016</v>
      </c>
      <c r="P2098" s="14">
        <v>46046</v>
      </c>
      <c r="Q2098">
        <v>563.20000000000005</v>
      </c>
      <c r="R2098">
        <v>0</v>
      </c>
      <c r="S2098">
        <v>0</v>
      </c>
      <c r="T2098">
        <v>0</v>
      </c>
      <c r="U2098">
        <v>0</v>
      </c>
      <c r="V2098">
        <v>563.20000000000005</v>
      </c>
      <c r="W2098">
        <v>0</v>
      </c>
      <c r="X2098">
        <v>1</v>
      </c>
      <c r="Y2098">
        <v>0</v>
      </c>
      <c r="Z2098">
        <v>-24</v>
      </c>
      <c r="AA2098">
        <v>1</v>
      </c>
      <c r="AB2098" s="13" t="s">
        <v>581</v>
      </c>
      <c r="AC2098">
        <v>0</v>
      </c>
      <c r="AD2098">
        <v>0</v>
      </c>
      <c r="AE2098" s="13" t="s">
        <v>61</v>
      </c>
    </row>
    <row r="2099" spans="1:31" x14ac:dyDescent="0.35">
      <c r="A2099" s="13" t="s">
        <v>2933</v>
      </c>
      <c r="B2099" s="13" t="s">
        <v>2032</v>
      </c>
      <c r="C2099" s="13" t="s">
        <v>2033</v>
      </c>
      <c r="D2099" s="13" t="s">
        <v>76</v>
      </c>
      <c r="E2099" s="13" t="s">
        <v>65</v>
      </c>
      <c r="F2099" s="13" t="s">
        <v>66</v>
      </c>
      <c r="G2099" s="13" t="s">
        <v>67</v>
      </c>
      <c r="H2099">
        <v>110000</v>
      </c>
      <c r="I2099" s="13" t="s">
        <v>79</v>
      </c>
      <c r="J2099" s="13" t="s">
        <v>80</v>
      </c>
      <c r="K2099" s="13" t="s">
        <v>81</v>
      </c>
      <c r="L2099" s="13" t="s">
        <v>82</v>
      </c>
      <c r="M2099">
        <v>30</v>
      </c>
      <c r="N2099">
        <v>2</v>
      </c>
      <c r="O2099" s="14">
        <v>46016</v>
      </c>
      <c r="P2099" s="14">
        <v>46046</v>
      </c>
      <c r="Q2099">
        <v>565.66999999999996</v>
      </c>
      <c r="R2099">
        <v>0</v>
      </c>
      <c r="S2099">
        <v>0</v>
      </c>
      <c r="T2099">
        <v>0</v>
      </c>
      <c r="U2099">
        <v>0</v>
      </c>
      <c r="V2099">
        <v>565.66999999999996</v>
      </c>
      <c r="W2099">
        <v>0</v>
      </c>
      <c r="X2099">
        <v>1</v>
      </c>
      <c r="Y2099">
        <v>0</v>
      </c>
      <c r="Z2099">
        <v>-24</v>
      </c>
      <c r="AA2099">
        <v>1</v>
      </c>
      <c r="AB2099" s="13" t="s">
        <v>581</v>
      </c>
      <c r="AC2099">
        <v>0</v>
      </c>
      <c r="AD2099">
        <v>0</v>
      </c>
      <c r="AE2099" s="13" t="s">
        <v>61</v>
      </c>
    </row>
    <row r="2100" spans="1:31" x14ac:dyDescent="0.35">
      <c r="A2100" s="13" t="s">
        <v>2934</v>
      </c>
      <c r="B2100" s="13" t="s">
        <v>610</v>
      </c>
      <c r="C2100" s="13" t="s">
        <v>611</v>
      </c>
      <c r="D2100" s="13" t="s">
        <v>126</v>
      </c>
      <c r="E2100" s="13" t="s">
        <v>65</v>
      </c>
      <c r="F2100" s="13" t="s">
        <v>111</v>
      </c>
      <c r="G2100" s="13" t="s">
        <v>67</v>
      </c>
      <c r="H2100">
        <v>85000</v>
      </c>
      <c r="I2100" s="13" t="s">
        <v>121</v>
      </c>
      <c r="J2100" s="13" t="s">
        <v>122</v>
      </c>
      <c r="K2100" s="13" t="s">
        <v>107</v>
      </c>
      <c r="L2100" s="13" t="s">
        <v>88</v>
      </c>
      <c r="M2100">
        <v>60</v>
      </c>
      <c r="N2100">
        <v>0</v>
      </c>
      <c r="O2100" s="14">
        <v>46016</v>
      </c>
      <c r="P2100" s="14">
        <v>46076</v>
      </c>
      <c r="Q2100">
        <v>1143.6500000000001</v>
      </c>
      <c r="R2100">
        <v>0</v>
      </c>
      <c r="S2100">
        <v>0</v>
      </c>
      <c r="T2100">
        <v>0</v>
      </c>
      <c r="U2100">
        <v>0</v>
      </c>
      <c r="V2100">
        <v>1143.6500000000001</v>
      </c>
      <c r="W2100">
        <v>0</v>
      </c>
      <c r="X2100">
        <v>1</v>
      </c>
      <c r="Y2100">
        <v>0</v>
      </c>
      <c r="Z2100">
        <v>-54</v>
      </c>
      <c r="AA2100">
        <v>1</v>
      </c>
      <c r="AB2100" s="13" t="s">
        <v>581</v>
      </c>
      <c r="AC2100">
        <v>0</v>
      </c>
      <c r="AD2100">
        <v>0</v>
      </c>
      <c r="AE2100" s="13" t="s">
        <v>61</v>
      </c>
    </row>
    <row r="2101" spans="1:31" x14ac:dyDescent="0.35">
      <c r="A2101" s="13" t="s">
        <v>2935</v>
      </c>
      <c r="B2101" s="13" t="s">
        <v>1682</v>
      </c>
      <c r="C2101" s="13" t="s">
        <v>1683</v>
      </c>
      <c r="D2101" s="13" t="s">
        <v>76</v>
      </c>
      <c r="E2101" s="13" t="s">
        <v>99</v>
      </c>
      <c r="F2101" s="13" t="s">
        <v>127</v>
      </c>
      <c r="G2101" s="13" t="s">
        <v>67</v>
      </c>
      <c r="H2101">
        <v>120000</v>
      </c>
      <c r="I2101" s="13" t="s">
        <v>79</v>
      </c>
      <c r="J2101" s="13" t="s">
        <v>80</v>
      </c>
      <c r="K2101" s="13" t="s">
        <v>81</v>
      </c>
      <c r="L2101" s="13" t="s">
        <v>95</v>
      </c>
      <c r="M2101">
        <v>30</v>
      </c>
      <c r="N2101">
        <v>0</v>
      </c>
      <c r="O2101" s="14">
        <v>46016</v>
      </c>
      <c r="P2101" s="14">
        <v>46046</v>
      </c>
      <c r="Q2101">
        <v>1371.47</v>
      </c>
      <c r="R2101">
        <v>0</v>
      </c>
      <c r="S2101">
        <v>0</v>
      </c>
      <c r="T2101">
        <v>0</v>
      </c>
      <c r="U2101">
        <v>0</v>
      </c>
      <c r="V2101">
        <v>1371.47</v>
      </c>
      <c r="W2101">
        <v>0</v>
      </c>
      <c r="X2101">
        <v>1</v>
      </c>
      <c r="Y2101">
        <v>0</v>
      </c>
      <c r="Z2101">
        <v>-24</v>
      </c>
      <c r="AA2101">
        <v>1</v>
      </c>
      <c r="AB2101" s="13" t="s">
        <v>581</v>
      </c>
      <c r="AC2101">
        <v>0</v>
      </c>
      <c r="AD2101">
        <v>0</v>
      </c>
      <c r="AE2101" s="13" t="s">
        <v>61</v>
      </c>
    </row>
    <row r="2102" spans="1:31" x14ac:dyDescent="0.35">
      <c r="A2102" s="13" t="s">
        <v>2936</v>
      </c>
      <c r="B2102" s="13" t="s">
        <v>2937</v>
      </c>
      <c r="C2102" s="13" t="s">
        <v>2938</v>
      </c>
      <c r="D2102" s="13" t="s">
        <v>76</v>
      </c>
      <c r="E2102" s="13" t="s">
        <v>77</v>
      </c>
      <c r="F2102" s="13" t="s">
        <v>174</v>
      </c>
      <c r="G2102" s="13" t="s">
        <v>67</v>
      </c>
      <c r="H2102">
        <v>85000</v>
      </c>
      <c r="I2102" s="13" t="s">
        <v>93</v>
      </c>
      <c r="J2102" s="13" t="s">
        <v>94</v>
      </c>
      <c r="K2102" s="13" t="s">
        <v>81</v>
      </c>
      <c r="L2102" s="13" t="s">
        <v>82</v>
      </c>
      <c r="M2102">
        <v>30</v>
      </c>
      <c r="N2102">
        <v>2</v>
      </c>
      <c r="O2102" s="14">
        <v>46016</v>
      </c>
      <c r="P2102" s="14">
        <v>46046</v>
      </c>
      <c r="Q2102">
        <v>1438.69</v>
      </c>
      <c r="R2102">
        <v>0</v>
      </c>
      <c r="S2102">
        <v>0</v>
      </c>
      <c r="T2102">
        <v>0</v>
      </c>
      <c r="U2102">
        <v>0</v>
      </c>
      <c r="V2102">
        <v>1438.69</v>
      </c>
      <c r="W2102">
        <v>0</v>
      </c>
      <c r="X2102">
        <v>1</v>
      </c>
      <c r="Y2102">
        <v>0</v>
      </c>
      <c r="Z2102">
        <v>-24</v>
      </c>
      <c r="AA2102">
        <v>1</v>
      </c>
      <c r="AB2102" s="13" t="s">
        <v>581</v>
      </c>
      <c r="AC2102">
        <v>0</v>
      </c>
      <c r="AD2102">
        <v>0</v>
      </c>
      <c r="AE2102" s="13" t="s">
        <v>61</v>
      </c>
    </row>
    <row r="2103" spans="1:31" x14ac:dyDescent="0.35">
      <c r="A2103" s="13" t="s">
        <v>2939</v>
      </c>
      <c r="B2103" s="13" t="s">
        <v>366</v>
      </c>
      <c r="C2103" s="13" t="s">
        <v>367</v>
      </c>
      <c r="D2103" s="13" t="s">
        <v>126</v>
      </c>
      <c r="E2103" s="13" t="s">
        <v>77</v>
      </c>
      <c r="F2103" s="13" t="s">
        <v>78</v>
      </c>
      <c r="G2103" s="13" t="s">
        <v>67</v>
      </c>
      <c r="H2103">
        <v>70000</v>
      </c>
      <c r="I2103" s="13" t="s">
        <v>105</v>
      </c>
      <c r="J2103" s="13" t="s">
        <v>106</v>
      </c>
      <c r="K2103" s="13" t="s">
        <v>107</v>
      </c>
      <c r="L2103" s="13" t="s">
        <v>368</v>
      </c>
      <c r="M2103">
        <v>90</v>
      </c>
      <c r="N2103">
        <v>0</v>
      </c>
      <c r="O2103" s="14">
        <v>46016</v>
      </c>
      <c r="P2103" s="14">
        <v>46106</v>
      </c>
      <c r="Q2103">
        <v>6194.77</v>
      </c>
      <c r="R2103">
        <v>0</v>
      </c>
      <c r="S2103">
        <v>0</v>
      </c>
      <c r="T2103">
        <v>0</v>
      </c>
      <c r="U2103">
        <v>0</v>
      </c>
      <c r="V2103">
        <v>6194.77</v>
      </c>
      <c r="W2103">
        <v>0</v>
      </c>
      <c r="X2103">
        <v>1</v>
      </c>
      <c r="Y2103">
        <v>0</v>
      </c>
      <c r="Z2103">
        <v>-84</v>
      </c>
      <c r="AA2103">
        <v>1</v>
      </c>
      <c r="AB2103" s="13" t="s">
        <v>581</v>
      </c>
      <c r="AC2103">
        <v>0</v>
      </c>
      <c r="AD2103">
        <v>0</v>
      </c>
      <c r="AE2103" s="13" t="s">
        <v>61</v>
      </c>
    </row>
    <row r="2104" spans="1:31" x14ac:dyDescent="0.35">
      <c r="A2104" s="13" t="s">
        <v>2940</v>
      </c>
      <c r="B2104" s="13" t="s">
        <v>1092</v>
      </c>
      <c r="C2104" s="13" t="s">
        <v>1093</v>
      </c>
      <c r="D2104" s="13" t="s">
        <v>76</v>
      </c>
      <c r="E2104" s="13" t="s">
        <v>77</v>
      </c>
      <c r="F2104" s="13" t="s">
        <v>78</v>
      </c>
      <c r="G2104" s="13" t="s">
        <v>55</v>
      </c>
      <c r="H2104">
        <v>110000</v>
      </c>
      <c r="I2104" s="13" t="s">
        <v>93</v>
      </c>
      <c r="J2104" s="13" t="s">
        <v>94</v>
      </c>
      <c r="K2104" s="13" t="s">
        <v>81</v>
      </c>
      <c r="L2104" s="13" t="s">
        <v>95</v>
      </c>
      <c r="M2104">
        <v>30</v>
      </c>
      <c r="N2104">
        <v>0</v>
      </c>
      <c r="O2104" s="14">
        <v>46016</v>
      </c>
      <c r="P2104" s="14">
        <v>46046</v>
      </c>
      <c r="Q2104">
        <v>492.95</v>
      </c>
      <c r="R2104">
        <v>0</v>
      </c>
      <c r="S2104">
        <v>0</v>
      </c>
      <c r="T2104">
        <v>0</v>
      </c>
      <c r="U2104">
        <v>0</v>
      </c>
      <c r="V2104">
        <v>492.95</v>
      </c>
      <c r="W2104">
        <v>0</v>
      </c>
      <c r="X2104">
        <v>1</v>
      </c>
      <c r="Y2104">
        <v>0</v>
      </c>
      <c r="Z2104">
        <v>-24</v>
      </c>
      <c r="AA2104">
        <v>1</v>
      </c>
      <c r="AB2104" s="13" t="s">
        <v>581</v>
      </c>
      <c r="AC2104">
        <v>0</v>
      </c>
      <c r="AD2104">
        <v>0</v>
      </c>
      <c r="AE2104" s="13" t="s">
        <v>61</v>
      </c>
    </row>
    <row r="2105" spans="1:31" x14ac:dyDescent="0.35">
      <c r="A2105" s="13" t="s">
        <v>2941</v>
      </c>
      <c r="B2105" s="13" t="s">
        <v>1970</v>
      </c>
      <c r="C2105" s="13" t="s">
        <v>1971</v>
      </c>
      <c r="D2105" s="13" t="s">
        <v>76</v>
      </c>
      <c r="E2105" s="13" t="s">
        <v>71</v>
      </c>
      <c r="F2105" s="13" t="s">
        <v>72</v>
      </c>
      <c r="G2105" s="13" t="s">
        <v>67</v>
      </c>
      <c r="H2105">
        <v>55000</v>
      </c>
      <c r="I2105" s="13" t="s">
        <v>93</v>
      </c>
      <c r="J2105" s="13" t="s">
        <v>94</v>
      </c>
      <c r="K2105" s="13" t="s">
        <v>81</v>
      </c>
      <c r="L2105" s="13" t="s">
        <v>95</v>
      </c>
      <c r="M2105">
        <v>30</v>
      </c>
      <c r="N2105">
        <v>0</v>
      </c>
      <c r="O2105" s="14">
        <v>46016</v>
      </c>
      <c r="P2105" s="14">
        <v>46046</v>
      </c>
      <c r="Q2105">
        <v>4026.32</v>
      </c>
      <c r="R2105">
        <v>0</v>
      </c>
      <c r="S2105">
        <v>0</v>
      </c>
      <c r="T2105">
        <v>0</v>
      </c>
      <c r="U2105">
        <v>0</v>
      </c>
      <c r="V2105">
        <v>4026.32</v>
      </c>
      <c r="W2105">
        <v>0</v>
      </c>
      <c r="X2105">
        <v>1</v>
      </c>
      <c r="Y2105">
        <v>0</v>
      </c>
      <c r="Z2105">
        <v>-24</v>
      </c>
      <c r="AA2105">
        <v>1</v>
      </c>
      <c r="AB2105" s="13" t="s">
        <v>581</v>
      </c>
      <c r="AC2105">
        <v>0</v>
      </c>
      <c r="AD2105">
        <v>0</v>
      </c>
      <c r="AE2105" s="13" t="s">
        <v>61</v>
      </c>
    </row>
    <row r="2106" spans="1:31" x14ac:dyDescent="0.35">
      <c r="A2106" s="13" t="s">
        <v>2942</v>
      </c>
      <c r="B2106" s="13" t="s">
        <v>695</v>
      </c>
      <c r="C2106" s="13" t="s">
        <v>696</v>
      </c>
      <c r="D2106" s="13" t="s">
        <v>52</v>
      </c>
      <c r="E2106" s="13" t="s">
        <v>53</v>
      </c>
      <c r="F2106" s="13" t="s">
        <v>54</v>
      </c>
      <c r="G2106" s="13" t="s">
        <v>92</v>
      </c>
      <c r="H2106">
        <v>535000</v>
      </c>
      <c r="I2106" s="13" t="s">
        <v>56</v>
      </c>
      <c r="J2106" s="13" t="s">
        <v>57</v>
      </c>
      <c r="K2106" s="13" t="s">
        <v>58</v>
      </c>
      <c r="L2106" s="13" t="s">
        <v>88</v>
      </c>
      <c r="M2106">
        <v>60</v>
      </c>
      <c r="N2106">
        <v>0</v>
      </c>
      <c r="O2106" s="14">
        <v>46016</v>
      </c>
      <c r="P2106" s="14">
        <v>46076</v>
      </c>
      <c r="Q2106">
        <v>10267.26</v>
      </c>
      <c r="R2106">
        <v>0</v>
      </c>
      <c r="S2106">
        <v>0</v>
      </c>
      <c r="T2106">
        <v>0</v>
      </c>
      <c r="U2106">
        <v>0</v>
      </c>
      <c r="V2106">
        <v>10267.26</v>
      </c>
      <c r="W2106">
        <v>0</v>
      </c>
      <c r="X2106">
        <v>1</v>
      </c>
      <c r="Y2106">
        <v>0</v>
      </c>
      <c r="Z2106">
        <v>-54</v>
      </c>
      <c r="AA2106">
        <v>1</v>
      </c>
      <c r="AB2106" s="13" t="s">
        <v>581</v>
      </c>
      <c r="AC2106">
        <v>0</v>
      </c>
      <c r="AD2106">
        <v>0</v>
      </c>
      <c r="AE2106" s="13" t="s">
        <v>61</v>
      </c>
    </row>
    <row r="2107" spans="1:31" x14ac:dyDescent="0.35">
      <c r="A2107" s="13" t="s">
        <v>2943</v>
      </c>
      <c r="B2107" s="13" t="s">
        <v>1097</v>
      </c>
      <c r="C2107" s="13" t="s">
        <v>1098</v>
      </c>
      <c r="D2107" s="13" t="s">
        <v>52</v>
      </c>
      <c r="E2107" s="13" t="s">
        <v>77</v>
      </c>
      <c r="F2107" s="13" t="s">
        <v>78</v>
      </c>
      <c r="G2107" s="13" t="s">
        <v>67</v>
      </c>
      <c r="H2107">
        <v>510000</v>
      </c>
      <c r="I2107" s="13" t="s">
        <v>86</v>
      </c>
      <c r="J2107" s="13" t="s">
        <v>87</v>
      </c>
      <c r="K2107" s="13" t="s">
        <v>58</v>
      </c>
      <c r="L2107" s="13" t="s">
        <v>88</v>
      </c>
      <c r="M2107">
        <v>60</v>
      </c>
      <c r="N2107">
        <v>0</v>
      </c>
      <c r="O2107" s="14">
        <v>46016</v>
      </c>
      <c r="P2107" s="14">
        <v>46076</v>
      </c>
      <c r="Q2107">
        <v>3110.36</v>
      </c>
      <c r="R2107">
        <v>0</v>
      </c>
      <c r="S2107">
        <v>0</v>
      </c>
      <c r="T2107">
        <v>0</v>
      </c>
      <c r="U2107">
        <v>0</v>
      </c>
      <c r="V2107">
        <v>3110.36</v>
      </c>
      <c r="W2107">
        <v>0</v>
      </c>
      <c r="X2107">
        <v>1</v>
      </c>
      <c r="Y2107">
        <v>0</v>
      </c>
      <c r="Z2107">
        <v>-54</v>
      </c>
      <c r="AA2107">
        <v>1</v>
      </c>
      <c r="AB2107" s="13" t="s">
        <v>581</v>
      </c>
      <c r="AC2107">
        <v>0</v>
      </c>
      <c r="AD2107">
        <v>0</v>
      </c>
      <c r="AE2107" s="13" t="s">
        <v>61</v>
      </c>
    </row>
    <row r="2108" spans="1:31" x14ac:dyDescent="0.35">
      <c r="A2108" s="13" t="s">
        <v>2944</v>
      </c>
      <c r="B2108" s="13" t="s">
        <v>2171</v>
      </c>
      <c r="C2108" s="13" t="s">
        <v>2172</v>
      </c>
      <c r="D2108" s="13" t="s">
        <v>76</v>
      </c>
      <c r="E2108" s="13" t="s">
        <v>99</v>
      </c>
      <c r="F2108" s="13" t="s">
        <v>127</v>
      </c>
      <c r="G2108" s="13" t="s">
        <v>55</v>
      </c>
      <c r="H2108">
        <v>85000</v>
      </c>
      <c r="I2108" s="13" t="s">
        <v>93</v>
      </c>
      <c r="J2108" s="13" t="s">
        <v>94</v>
      </c>
      <c r="K2108" s="13" t="s">
        <v>81</v>
      </c>
      <c r="L2108" s="13" t="s">
        <v>95</v>
      </c>
      <c r="M2108">
        <v>30</v>
      </c>
      <c r="N2108">
        <v>0</v>
      </c>
      <c r="O2108" s="14">
        <v>46016</v>
      </c>
      <c r="P2108" s="14">
        <v>46046</v>
      </c>
      <c r="Q2108">
        <v>821.92</v>
      </c>
      <c r="R2108">
        <v>0</v>
      </c>
      <c r="S2108">
        <v>0</v>
      </c>
      <c r="T2108">
        <v>0</v>
      </c>
      <c r="U2108">
        <v>0</v>
      </c>
      <c r="V2108">
        <v>821.92</v>
      </c>
      <c r="W2108">
        <v>0</v>
      </c>
      <c r="X2108">
        <v>1</v>
      </c>
      <c r="Y2108">
        <v>0</v>
      </c>
      <c r="Z2108">
        <v>-24</v>
      </c>
      <c r="AA2108">
        <v>1</v>
      </c>
      <c r="AB2108" s="13" t="s">
        <v>581</v>
      </c>
      <c r="AC2108">
        <v>0</v>
      </c>
      <c r="AD2108">
        <v>0</v>
      </c>
      <c r="AE2108" s="13" t="s">
        <v>61</v>
      </c>
    </row>
    <row r="2109" spans="1:31" x14ac:dyDescent="0.35">
      <c r="A2109" s="13" t="s">
        <v>2945</v>
      </c>
      <c r="B2109" s="13" t="s">
        <v>1015</v>
      </c>
      <c r="C2109" s="13" t="s">
        <v>1016</v>
      </c>
      <c r="D2109" s="13" t="s">
        <v>52</v>
      </c>
      <c r="E2109" s="13" t="s">
        <v>77</v>
      </c>
      <c r="F2109" s="13" t="s">
        <v>174</v>
      </c>
      <c r="G2109" s="13" t="s">
        <v>55</v>
      </c>
      <c r="H2109">
        <v>590000</v>
      </c>
      <c r="I2109" s="13" t="s">
        <v>56</v>
      </c>
      <c r="J2109" s="13" t="s">
        <v>57</v>
      </c>
      <c r="K2109" s="13" t="s">
        <v>58</v>
      </c>
      <c r="L2109" s="13" t="s">
        <v>59</v>
      </c>
      <c r="M2109">
        <v>45</v>
      </c>
      <c r="N2109">
        <v>0</v>
      </c>
      <c r="O2109" s="14">
        <v>46016</v>
      </c>
      <c r="P2109" s="14">
        <v>46061</v>
      </c>
      <c r="Q2109">
        <v>17657.71</v>
      </c>
      <c r="R2109">
        <v>0</v>
      </c>
      <c r="S2109">
        <v>0</v>
      </c>
      <c r="T2109">
        <v>0</v>
      </c>
      <c r="U2109">
        <v>0</v>
      </c>
      <c r="V2109">
        <v>17657.71</v>
      </c>
      <c r="W2109">
        <v>0</v>
      </c>
      <c r="X2109">
        <v>1</v>
      </c>
      <c r="Y2109">
        <v>0</v>
      </c>
      <c r="Z2109">
        <v>-39</v>
      </c>
      <c r="AA2109">
        <v>1</v>
      </c>
      <c r="AB2109" s="13" t="s">
        <v>581</v>
      </c>
      <c r="AC2109">
        <v>0</v>
      </c>
      <c r="AD2109">
        <v>0</v>
      </c>
      <c r="AE2109" s="13" t="s">
        <v>61</v>
      </c>
    </row>
    <row r="2110" spans="1:31" x14ac:dyDescent="0.35">
      <c r="A2110" s="13" t="s">
        <v>2946</v>
      </c>
      <c r="B2110" s="13" t="s">
        <v>300</v>
      </c>
      <c r="C2110" s="13" t="s">
        <v>301</v>
      </c>
      <c r="D2110" s="13" t="s">
        <v>104</v>
      </c>
      <c r="E2110" s="13" t="s">
        <v>99</v>
      </c>
      <c r="F2110" s="13" t="s">
        <v>100</v>
      </c>
      <c r="G2110" s="13" t="s">
        <v>92</v>
      </c>
      <c r="H2110">
        <v>30000</v>
      </c>
      <c r="I2110" s="13" t="s">
        <v>105</v>
      </c>
      <c r="J2110" s="13" t="s">
        <v>106</v>
      </c>
      <c r="K2110" s="13" t="s">
        <v>107</v>
      </c>
      <c r="L2110" s="13" t="s">
        <v>95</v>
      </c>
      <c r="M2110">
        <v>30</v>
      </c>
      <c r="N2110">
        <v>0</v>
      </c>
      <c r="O2110" s="14">
        <v>46016</v>
      </c>
      <c r="P2110" s="14">
        <v>46046</v>
      </c>
      <c r="Q2110">
        <v>3229.41</v>
      </c>
      <c r="R2110">
        <v>0</v>
      </c>
      <c r="S2110">
        <v>0</v>
      </c>
      <c r="T2110">
        <v>0</v>
      </c>
      <c r="U2110">
        <v>0</v>
      </c>
      <c r="V2110">
        <v>3229.41</v>
      </c>
      <c r="W2110">
        <v>0</v>
      </c>
      <c r="X2110">
        <v>1</v>
      </c>
      <c r="Y2110">
        <v>0</v>
      </c>
      <c r="Z2110">
        <v>-24</v>
      </c>
      <c r="AA2110">
        <v>1</v>
      </c>
      <c r="AB2110" s="13" t="s">
        <v>581</v>
      </c>
      <c r="AC2110">
        <v>0</v>
      </c>
      <c r="AD2110">
        <v>0</v>
      </c>
      <c r="AE2110" s="13" t="s">
        <v>61</v>
      </c>
    </row>
    <row r="2111" spans="1:31" x14ac:dyDescent="0.35">
      <c r="A2111" s="13" t="s">
        <v>2947</v>
      </c>
      <c r="B2111" s="13" t="s">
        <v>153</v>
      </c>
      <c r="C2111" s="13" t="s">
        <v>154</v>
      </c>
      <c r="D2111" s="13" t="s">
        <v>104</v>
      </c>
      <c r="E2111" s="13" t="s">
        <v>65</v>
      </c>
      <c r="F2111" s="13" t="s">
        <v>111</v>
      </c>
      <c r="G2111" s="13" t="s">
        <v>67</v>
      </c>
      <c r="H2111">
        <v>150000</v>
      </c>
      <c r="I2111" s="13" t="s">
        <v>56</v>
      </c>
      <c r="J2111" s="13" t="s">
        <v>57</v>
      </c>
      <c r="K2111" s="13" t="s">
        <v>58</v>
      </c>
      <c r="L2111" s="13" t="s">
        <v>95</v>
      </c>
      <c r="M2111">
        <v>30</v>
      </c>
      <c r="N2111">
        <v>0</v>
      </c>
      <c r="O2111" s="14">
        <v>46016</v>
      </c>
      <c r="P2111" s="14">
        <v>46046</v>
      </c>
      <c r="Q2111">
        <v>4747.03</v>
      </c>
      <c r="R2111">
        <v>0</v>
      </c>
      <c r="S2111">
        <v>0</v>
      </c>
      <c r="T2111">
        <v>0</v>
      </c>
      <c r="U2111">
        <v>0</v>
      </c>
      <c r="V2111">
        <v>4747.03</v>
      </c>
      <c r="W2111">
        <v>0</v>
      </c>
      <c r="X2111">
        <v>1</v>
      </c>
      <c r="Y2111">
        <v>0</v>
      </c>
      <c r="Z2111">
        <v>-24</v>
      </c>
      <c r="AA2111">
        <v>1</v>
      </c>
      <c r="AB2111" s="13" t="s">
        <v>581</v>
      </c>
      <c r="AC2111">
        <v>0</v>
      </c>
      <c r="AD2111">
        <v>0</v>
      </c>
      <c r="AE2111" s="13" t="s">
        <v>61</v>
      </c>
    </row>
    <row r="2112" spans="1:31" x14ac:dyDescent="0.35">
      <c r="A2112" s="13" t="s">
        <v>2948</v>
      </c>
      <c r="B2112" s="13" t="s">
        <v>180</v>
      </c>
      <c r="C2112" s="13" t="s">
        <v>181</v>
      </c>
      <c r="D2112" s="13" t="s">
        <v>104</v>
      </c>
      <c r="E2112" s="13" t="s">
        <v>77</v>
      </c>
      <c r="F2112" s="13" t="s">
        <v>174</v>
      </c>
      <c r="G2112" s="13" t="s">
        <v>55</v>
      </c>
      <c r="H2112">
        <v>105000</v>
      </c>
      <c r="I2112" s="13" t="s">
        <v>121</v>
      </c>
      <c r="J2112" s="13" t="s">
        <v>122</v>
      </c>
      <c r="K2112" s="13" t="s">
        <v>107</v>
      </c>
      <c r="L2112" s="13" t="s">
        <v>95</v>
      </c>
      <c r="M2112">
        <v>30</v>
      </c>
      <c r="N2112">
        <v>0</v>
      </c>
      <c r="O2112" s="14">
        <v>46016</v>
      </c>
      <c r="P2112" s="14">
        <v>46046</v>
      </c>
      <c r="Q2112">
        <v>1037.76</v>
      </c>
      <c r="R2112">
        <v>0</v>
      </c>
      <c r="S2112">
        <v>0</v>
      </c>
      <c r="T2112">
        <v>0</v>
      </c>
      <c r="U2112">
        <v>0</v>
      </c>
      <c r="V2112">
        <v>1037.76</v>
      </c>
      <c r="W2112">
        <v>0</v>
      </c>
      <c r="X2112">
        <v>1</v>
      </c>
      <c r="Y2112">
        <v>0</v>
      </c>
      <c r="Z2112">
        <v>-24</v>
      </c>
      <c r="AA2112">
        <v>1</v>
      </c>
      <c r="AB2112" s="13" t="s">
        <v>581</v>
      </c>
      <c r="AC2112">
        <v>0</v>
      </c>
      <c r="AD2112">
        <v>0</v>
      </c>
      <c r="AE2112" s="13" t="s">
        <v>61</v>
      </c>
    </row>
    <row r="2113" spans="1:31" x14ac:dyDescent="0.35">
      <c r="A2113" s="13" t="s">
        <v>2949</v>
      </c>
      <c r="B2113" s="13" t="s">
        <v>1220</v>
      </c>
      <c r="C2113" s="13" t="s">
        <v>1221</v>
      </c>
      <c r="D2113" s="13" t="s">
        <v>52</v>
      </c>
      <c r="E2113" s="13" t="s">
        <v>65</v>
      </c>
      <c r="F2113" s="13" t="s">
        <v>111</v>
      </c>
      <c r="G2113" s="13" t="s">
        <v>67</v>
      </c>
      <c r="H2113">
        <v>340000</v>
      </c>
      <c r="I2113" s="13" t="s">
        <v>86</v>
      </c>
      <c r="J2113" s="13" t="s">
        <v>87</v>
      </c>
      <c r="K2113" s="13" t="s">
        <v>58</v>
      </c>
      <c r="L2113" s="13" t="s">
        <v>59</v>
      </c>
      <c r="M2113">
        <v>45</v>
      </c>
      <c r="N2113">
        <v>0</v>
      </c>
      <c r="O2113" s="14">
        <v>46016</v>
      </c>
      <c r="P2113" s="14">
        <v>46061</v>
      </c>
      <c r="Q2113">
        <v>8398.2800000000007</v>
      </c>
      <c r="R2113">
        <v>0</v>
      </c>
      <c r="S2113">
        <v>0</v>
      </c>
      <c r="T2113">
        <v>0</v>
      </c>
      <c r="U2113">
        <v>0</v>
      </c>
      <c r="V2113">
        <v>8398.2800000000007</v>
      </c>
      <c r="W2113">
        <v>0</v>
      </c>
      <c r="X2113">
        <v>1</v>
      </c>
      <c r="Y2113">
        <v>0</v>
      </c>
      <c r="Z2113">
        <v>-39</v>
      </c>
      <c r="AA2113">
        <v>1</v>
      </c>
      <c r="AB2113" s="13" t="s">
        <v>581</v>
      </c>
      <c r="AC2113">
        <v>0</v>
      </c>
      <c r="AD2113">
        <v>0</v>
      </c>
      <c r="AE2113" s="13" t="s">
        <v>61</v>
      </c>
    </row>
    <row r="2114" spans="1:31" x14ac:dyDescent="0.35">
      <c r="A2114" s="13" t="s">
        <v>2950</v>
      </c>
      <c r="B2114" s="13" t="s">
        <v>499</v>
      </c>
      <c r="C2114" s="13" t="s">
        <v>500</v>
      </c>
      <c r="D2114" s="13" t="s">
        <v>104</v>
      </c>
      <c r="E2114" s="13" t="s">
        <v>53</v>
      </c>
      <c r="F2114" s="13" t="s">
        <v>54</v>
      </c>
      <c r="G2114" s="13" t="s">
        <v>67</v>
      </c>
      <c r="H2114">
        <v>90000</v>
      </c>
      <c r="I2114" s="13" t="s">
        <v>105</v>
      </c>
      <c r="J2114" s="13" t="s">
        <v>106</v>
      </c>
      <c r="K2114" s="13" t="s">
        <v>107</v>
      </c>
      <c r="L2114" s="13" t="s">
        <v>88</v>
      </c>
      <c r="M2114">
        <v>60</v>
      </c>
      <c r="N2114">
        <v>0</v>
      </c>
      <c r="O2114" s="14">
        <v>46016</v>
      </c>
      <c r="P2114" s="14">
        <v>46076</v>
      </c>
      <c r="Q2114">
        <v>3789.23</v>
      </c>
      <c r="R2114">
        <v>0</v>
      </c>
      <c r="S2114">
        <v>0</v>
      </c>
      <c r="T2114">
        <v>0</v>
      </c>
      <c r="U2114">
        <v>0</v>
      </c>
      <c r="V2114">
        <v>3789.23</v>
      </c>
      <c r="W2114">
        <v>0</v>
      </c>
      <c r="X2114">
        <v>1</v>
      </c>
      <c r="Y2114">
        <v>0</v>
      </c>
      <c r="Z2114">
        <v>-54</v>
      </c>
      <c r="AA2114">
        <v>1</v>
      </c>
      <c r="AB2114" s="13" t="s">
        <v>581</v>
      </c>
      <c r="AC2114">
        <v>0</v>
      </c>
      <c r="AD2114">
        <v>0</v>
      </c>
      <c r="AE2114" s="13" t="s">
        <v>61</v>
      </c>
    </row>
    <row r="2115" spans="1:31" x14ac:dyDescent="0.35">
      <c r="A2115" s="13" t="s">
        <v>2951</v>
      </c>
      <c r="B2115" s="13" t="s">
        <v>1577</v>
      </c>
      <c r="C2115" s="13" t="s">
        <v>1578</v>
      </c>
      <c r="D2115" s="13" t="s">
        <v>76</v>
      </c>
      <c r="E2115" s="13" t="s">
        <v>71</v>
      </c>
      <c r="F2115" s="13" t="s">
        <v>72</v>
      </c>
      <c r="G2115" s="13" t="s">
        <v>67</v>
      </c>
      <c r="H2115">
        <v>100000</v>
      </c>
      <c r="I2115" s="13" t="s">
        <v>79</v>
      </c>
      <c r="J2115" s="13" t="s">
        <v>80</v>
      </c>
      <c r="K2115" s="13" t="s">
        <v>81</v>
      </c>
      <c r="L2115" s="13" t="s">
        <v>95</v>
      </c>
      <c r="M2115">
        <v>30</v>
      </c>
      <c r="N2115">
        <v>0</v>
      </c>
      <c r="O2115" s="14">
        <v>46016</v>
      </c>
      <c r="P2115" s="14">
        <v>46046</v>
      </c>
      <c r="Q2115">
        <v>641.38</v>
      </c>
      <c r="R2115">
        <v>0</v>
      </c>
      <c r="S2115">
        <v>0</v>
      </c>
      <c r="T2115">
        <v>0</v>
      </c>
      <c r="U2115">
        <v>0</v>
      </c>
      <c r="V2115">
        <v>641.38</v>
      </c>
      <c r="W2115">
        <v>0</v>
      </c>
      <c r="X2115">
        <v>1</v>
      </c>
      <c r="Y2115">
        <v>0</v>
      </c>
      <c r="Z2115">
        <v>-24</v>
      </c>
      <c r="AA2115">
        <v>1</v>
      </c>
      <c r="AB2115" s="13" t="s">
        <v>581</v>
      </c>
      <c r="AC2115">
        <v>0</v>
      </c>
      <c r="AD2115">
        <v>0</v>
      </c>
      <c r="AE2115" s="13" t="s">
        <v>61</v>
      </c>
    </row>
    <row r="2116" spans="1:31" x14ac:dyDescent="0.35">
      <c r="A2116" s="13" t="s">
        <v>2952</v>
      </c>
      <c r="B2116" s="13" t="s">
        <v>902</v>
      </c>
      <c r="C2116" s="13" t="s">
        <v>903</v>
      </c>
      <c r="D2116" s="13" t="s">
        <v>52</v>
      </c>
      <c r="E2116" s="13" t="s">
        <v>65</v>
      </c>
      <c r="F2116" s="13" t="s">
        <v>111</v>
      </c>
      <c r="G2116" s="13" t="s">
        <v>67</v>
      </c>
      <c r="H2116">
        <v>540000</v>
      </c>
      <c r="I2116" s="13" t="s">
        <v>56</v>
      </c>
      <c r="J2116" s="13" t="s">
        <v>57</v>
      </c>
      <c r="K2116" s="13" t="s">
        <v>58</v>
      </c>
      <c r="L2116" s="13" t="s">
        <v>59</v>
      </c>
      <c r="M2116">
        <v>45</v>
      </c>
      <c r="N2116">
        <v>0</v>
      </c>
      <c r="O2116" s="14">
        <v>46016</v>
      </c>
      <c r="P2116" s="14">
        <v>46061</v>
      </c>
      <c r="Q2116">
        <v>3141.96</v>
      </c>
      <c r="R2116">
        <v>0</v>
      </c>
      <c r="S2116">
        <v>0</v>
      </c>
      <c r="T2116">
        <v>0</v>
      </c>
      <c r="U2116">
        <v>0</v>
      </c>
      <c r="V2116">
        <v>3141.96</v>
      </c>
      <c r="W2116">
        <v>0</v>
      </c>
      <c r="X2116">
        <v>1</v>
      </c>
      <c r="Y2116">
        <v>0</v>
      </c>
      <c r="Z2116">
        <v>-39</v>
      </c>
      <c r="AA2116">
        <v>1</v>
      </c>
      <c r="AB2116" s="13" t="s">
        <v>581</v>
      </c>
      <c r="AC2116">
        <v>0</v>
      </c>
      <c r="AD2116">
        <v>0</v>
      </c>
      <c r="AE2116" s="13" t="s">
        <v>61</v>
      </c>
    </row>
    <row r="2117" spans="1:31" x14ac:dyDescent="0.35">
      <c r="A2117" s="13" t="s">
        <v>2953</v>
      </c>
      <c r="B2117" s="13" t="s">
        <v>933</v>
      </c>
      <c r="C2117" s="13" t="s">
        <v>934</v>
      </c>
      <c r="D2117" s="13" t="s">
        <v>76</v>
      </c>
      <c r="E2117" s="13" t="s">
        <v>71</v>
      </c>
      <c r="F2117" s="13" t="s">
        <v>214</v>
      </c>
      <c r="G2117" s="13" t="s">
        <v>67</v>
      </c>
      <c r="H2117">
        <v>115000</v>
      </c>
      <c r="I2117" s="13" t="s">
        <v>79</v>
      </c>
      <c r="J2117" s="13" t="s">
        <v>80</v>
      </c>
      <c r="K2117" s="13" t="s">
        <v>81</v>
      </c>
      <c r="L2117" s="13" t="s">
        <v>95</v>
      </c>
      <c r="M2117">
        <v>30</v>
      </c>
      <c r="N2117">
        <v>0</v>
      </c>
      <c r="O2117" s="14">
        <v>46016</v>
      </c>
      <c r="P2117" s="14">
        <v>46046</v>
      </c>
      <c r="Q2117">
        <v>3052.1</v>
      </c>
      <c r="R2117">
        <v>0</v>
      </c>
      <c r="S2117">
        <v>0</v>
      </c>
      <c r="T2117">
        <v>0</v>
      </c>
      <c r="U2117">
        <v>0</v>
      </c>
      <c r="V2117">
        <v>3052.1</v>
      </c>
      <c r="W2117">
        <v>0</v>
      </c>
      <c r="X2117">
        <v>1</v>
      </c>
      <c r="Y2117">
        <v>0</v>
      </c>
      <c r="Z2117">
        <v>-24</v>
      </c>
      <c r="AA2117">
        <v>1</v>
      </c>
      <c r="AB2117" s="13" t="s">
        <v>581</v>
      </c>
      <c r="AC2117">
        <v>0</v>
      </c>
      <c r="AD2117">
        <v>0</v>
      </c>
      <c r="AE2117" s="13" t="s">
        <v>61</v>
      </c>
    </row>
    <row r="2118" spans="1:31" x14ac:dyDescent="0.35">
      <c r="A2118" s="13" t="s">
        <v>2954</v>
      </c>
      <c r="B2118" s="13" t="s">
        <v>1059</v>
      </c>
      <c r="C2118" s="13" t="s">
        <v>1060</v>
      </c>
      <c r="D2118" s="13" t="s">
        <v>52</v>
      </c>
      <c r="E2118" s="13" t="s">
        <v>77</v>
      </c>
      <c r="F2118" s="13" t="s">
        <v>174</v>
      </c>
      <c r="G2118" s="13" t="s">
        <v>67</v>
      </c>
      <c r="H2118">
        <v>225000</v>
      </c>
      <c r="I2118" s="13" t="s">
        <v>86</v>
      </c>
      <c r="J2118" s="13" t="s">
        <v>87</v>
      </c>
      <c r="K2118" s="13" t="s">
        <v>58</v>
      </c>
      <c r="L2118" s="13" t="s">
        <v>88</v>
      </c>
      <c r="M2118">
        <v>60</v>
      </c>
      <c r="N2118">
        <v>0</v>
      </c>
      <c r="O2118" s="14">
        <v>46016</v>
      </c>
      <c r="P2118" s="14">
        <v>46076</v>
      </c>
      <c r="Q2118">
        <v>10716.76</v>
      </c>
      <c r="R2118">
        <v>0</v>
      </c>
      <c r="S2118">
        <v>0</v>
      </c>
      <c r="T2118">
        <v>0</v>
      </c>
      <c r="U2118">
        <v>0</v>
      </c>
      <c r="V2118">
        <v>10716.76</v>
      </c>
      <c r="W2118">
        <v>0</v>
      </c>
      <c r="X2118">
        <v>1</v>
      </c>
      <c r="Y2118">
        <v>0</v>
      </c>
      <c r="Z2118">
        <v>-54</v>
      </c>
      <c r="AA2118">
        <v>1</v>
      </c>
      <c r="AB2118" s="13" t="s">
        <v>581</v>
      </c>
      <c r="AC2118">
        <v>0</v>
      </c>
      <c r="AD2118">
        <v>0</v>
      </c>
      <c r="AE2118" s="13" t="s">
        <v>61</v>
      </c>
    </row>
    <row r="2119" spans="1:31" x14ac:dyDescent="0.35">
      <c r="A2119" s="13" t="s">
        <v>2955</v>
      </c>
      <c r="B2119" s="13" t="s">
        <v>1102</v>
      </c>
      <c r="C2119" s="13" t="s">
        <v>1103</v>
      </c>
      <c r="D2119" s="13" t="s">
        <v>52</v>
      </c>
      <c r="E2119" s="13" t="s">
        <v>71</v>
      </c>
      <c r="F2119" s="13" t="s">
        <v>72</v>
      </c>
      <c r="G2119" s="13" t="s">
        <v>67</v>
      </c>
      <c r="H2119">
        <v>335000</v>
      </c>
      <c r="I2119" s="13" t="s">
        <v>86</v>
      </c>
      <c r="J2119" s="13" t="s">
        <v>87</v>
      </c>
      <c r="K2119" s="13" t="s">
        <v>58</v>
      </c>
      <c r="L2119" s="13" t="s">
        <v>59</v>
      </c>
      <c r="M2119">
        <v>45</v>
      </c>
      <c r="N2119">
        <v>0</v>
      </c>
      <c r="O2119" s="14">
        <v>46016</v>
      </c>
      <c r="P2119" s="14">
        <v>46061</v>
      </c>
      <c r="Q2119">
        <v>2429.4699999999998</v>
      </c>
      <c r="R2119">
        <v>0</v>
      </c>
      <c r="S2119">
        <v>0</v>
      </c>
      <c r="T2119">
        <v>0</v>
      </c>
      <c r="U2119">
        <v>0</v>
      </c>
      <c r="V2119">
        <v>2429.4699999999998</v>
      </c>
      <c r="W2119">
        <v>0</v>
      </c>
      <c r="X2119">
        <v>1</v>
      </c>
      <c r="Y2119">
        <v>0</v>
      </c>
      <c r="Z2119">
        <v>-39</v>
      </c>
      <c r="AA2119">
        <v>1</v>
      </c>
      <c r="AB2119" s="13" t="s">
        <v>581</v>
      </c>
      <c r="AC2119">
        <v>0</v>
      </c>
      <c r="AD2119">
        <v>0</v>
      </c>
      <c r="AE2119" s="13" t="s">
        <v>61</v>
      </c>
    </row>
    <row r="2120" spans="1:31" x14ac:dyDescent="0.35">
      <c r="A2120" s="13" t="s">
        <v>2956</v>
      </c>
      <c r="B2120" s="13" t="s">
        <v>605</v>
      </c>
      <c r="C2120" s="13" t="s">
        <v>606</v>
      </c>
      <c r="D2120" s="13" t="s">
        <v>52</v>
      </c>
      <c r="E2120" s="13" t="s">
        <v>65</v>
      </c>
      <c r="F2120" s="13" t="s">
        <v>66</v>
      </c>
      <c r="G2120" s="13" t="s">
        <v>67</v>
      </c>
      <c r="H2120">
        <v>335000</v>
      </c>
      <c r="I2120" s="13" t="s">
        <v>86</v>
      </c>
      <c r="J2120" s="13" t="s">
        <v>87</v>
      </c>
      <c r="K2120" s="13" t="s">
        <v>58</v>
      </c>
      <c r="L2120" s="13" t="s">
        <v>59</v>
      </c>
      <c r="M2120">
        <v>45</v>
      </c>
      <c r="N2120">
        <v>0</v>
      </c>
      <c r="O2120" s="14">
        <v>46016</v>
      </c>
      <c r="P2120" s="14">
        <v>46061</v>
      </c>
      <c r="Q2120">
        <v>5038.13</v>
      </c>
      <c r="R2120">
        <v>0</v>
      </c>
      <c r="S2120">
        <v>0</v>
      </c>
      <c r="T2120">
        <v>0</v>
      </c>
      <c r="U2120">
        <v>0</v>
      </c>
      <c r="V2120">
        <v>5038.13</v>
      </c>
      <c r="W2120">
        <v>0</v>
      </c>
      <c r="X2120">
        <v>1</v>
      </c>
      <c r="Y2120">
        <v>0</v>
      </c>
      <c r="Z2120">
        <v>-39</v>
      </c>
      <c r="AA2120">
        <v>1</v>
      </c>
      <c r="AB2120" s="13" t="s">
        <v>581</v>
      </c>
      <c r="AC2120">
        <v>0</v>
      </c>
      <c r="AD2120">
        <v>0</v>
      </c>
      <c r="AE2120" s="13" t="s">
        <v>61</v>
      </c>
    </row>
    <row r="2121" spans="1:31" x14ac:dyDescent="0.35">
      <c r="A2121" s="13" t="s">
        <v>2957</v>
      </c>
      <c r="B2121" s="13" t="s">
        <v>1105</v>
      </c>
      <c r="C2121" s="13" t="s">
        <v>1106</v>
      </c>
      <c r="D2121" s="13" t="s">
        <v>52</v>
      </c>
      <c r="E2121" s="13" t="s">
        <v>71</v>
      </c>
      <c r="F2121" s="13" t="s">
        <v>72</v>
      </c>
      <c r="G2121" s="13" t="s">
        <v>67</v>
      </c>
      <c r="H2121">
        <v>205000</v>
      </c>
      <c r="I2121" s="13" t="s">
        <v>56</v>
      </c>
      <c r="J2121" s="13" t="s">
        <v>57</v>
      </c>
      <c r="K2121" s="13" t="s">
        <v>58</v>
      </c>
      <c r="L2121" s="13" t="s">
        <v>88</v>
      </c>
      <c r="M2121">
        <v>60</v>
      </c>
      <c r="N2121">
        <v>0</v>
      </c>
      <c r="O2121" s="14">
        <v>46016</v>
      </c>
      <c r="P2121" s="14">
        <v>46076</v>
      </c>
      <c r="Q2121">
        <v>17078.21</v>
      </c>
      <c r="R2121">
        <v>0</v>
      </c>
      <c r="S2121">
        <v>0</v>
      </c>
      <c r="T2121">
        <v>0</v>
      </c>
      <c r="U2121">
        <v>0</v>
      </c>
      <c r="V2121">
        <v>17078.21</v>
      </c>
      <c r="W2121">
        <v>0</v>
      </c>
      <c r="X2121">
        <v>1</v>
      </c>
      <c r="Y2121">
        <v>0</v>
      </c>
      <c r="Z2121">
        <v>-54</v>
      </c>
      <c r="AA2121">
        <v>1</v>
      </c>
      <c r="AB2121" s="13" t="s">
        <v>581</v>
      </c>
      <c r="AC2121">
        <v>0</v>
      </c>
      <c r="AD2121">
        <v>0</v>
      </c>
      <c r="AE2121" s="13" t="s">
        <v>61</v>
      </c>
    </row>
    <row r="2122" spans="1:31" x14ac:dyDescent="0.35">
      <c r="A2122" s="13" t="s">
        <v>2958</v>
      </c>
      <c r="B2122" s="13" t="s">
        <v>113</v>
      </c>
      <c r="C2122" s="13" t="s">
        <v>114</v>
      </c>
      <c r="D2122" s="13" t="s">
        <v>52</v>
      </c>
      <c r="E2122" s="13" t="s">
        <v>77</v>
      </c>
      <c r="F2122" s="13" t="s">
        <v>78</v>
      </c>
      <c r="G2122" s="13" t="s">
        <v>92</v>
      </c>
      <c r="H2122">
        <v>545000</v>
      </c>
      <c r="I2122" s="13" t="s">
        <v>86</v>
      </c>
      <c r="J2122" s="13" t="s">
        <v>87</v>
      </c>
      <c r="K2122" s="13" t="s">
        <v>58</v>
      </c>
      <c r="L2122" s="13" t="s">
        <v>88</v>
      </c>
      <c r="M2122">
        <v>60</v>
      </c>
      <c r="N2122">
        <v>0</v>
      </c>
      <c r="O2122" s="14">
        <v>46016</v>
      </c>
      <c r="P2122" s="14">
        <v>46076</v>
      </c>
      <c r="Q2122">
        <v>7560.17</v>
      </c>
      <c r="R2122">
        <v>0</v>
      </c>
      <c r="S2122">
        <v>0</v>
      </c>
      <c r="T2122">
        <v>0</v>
      </c>
      <c r="U2122">
        <v>0</v>
      </c>
      <c r="V2122">
        <v>7560.17</v>
      </c>
      <c r="W2122">
        <v>0</v>
      </c>
      <c r="X2122">
        <v>1</v>
      </c>
      <c r="Y2122">
        <v>0</v>
      </c>
      <c r="Z2122">
        <v>-54</v>
      </c>
      <c r="AA2122">
        <v>1</v>
      </c>
      <c r="AB2122" s="13" t="s">
        <v>581</v>
      </c>
      <c r="AC2122">
        <v>0</v>
      </c>
      <c r="AD2122">
        <v>0</v>
      </c>
      <c r="AE2122" s="13" t="s">
        <v>61</v>
      </c>
    </row>
    <row r="2123" spans="1:31" x14ac:dyDescent="0.35">
      <c r="A2123" s="13" t="s">
        <v>2959</v>
      </c>
      <c r="B2123" s="13" t="s">
        <v>625</v>
      </c>
      <c r="C2123" s="13" t="s">
        <v>626</v>
      </c>
      <c r="D2123" s="13" t="s">
        <v>104</v>
      </c>
      <c r="E2123" s="13" t="s">
        <v>71</v>
      </c>
      <c r="F2123" s="13" t="s">
        <v>214</v>
      </c>
      <c r="G2123" s="13" t="s">
        <v>67</v>
      </c>
      <c r="H2123">
        <v>85000</v>
      </c>
      <c r="I2123" s="13" t="s">
        <v>105</v>
      </c>
      <c r="J2123" s="13" t="s">
        <v>106</v>
      </c>
      <c r="K2123" s="13" t="s">
        <v>107</v>
      </c>
      <c r="L2123" s="13" t="s">
        <v>88</v>
      </c>
      <c r="M2123">
        <v>60</v>
      </c>
      <c r="N2123">
        <v>0</v>
      </c>
      <c r="O2123" s="14">
        <v>46016</v>
      </c>
      <c r="P2123" s="14">
        <v>46076</v>
      </c>
      <c r="Q2123">
        <v>892.97</v>
      </c>
      <c r="R2123">
        <v>0</v>
      </c>
      <c r="S2123">
        <v>0</v>
      </c>
      <c r="T2123">
        <v>0</v>
      </c>
      <c r="U2123">
        <v>0</v>
      </c>
      <c r="V2123">
        <v>892.97</v>
      </c>
      <c r="W2123">
        <v>0</v>
      </c>
      <c r="X2123">
        <v>1</v>
      </c>
      <c r="Y2123">
        <v>0</v>
      </c>
      <c r="Z2123">
        <v>-54</v>
      </c>
      <c r="AA2123">
        <v>1</v>
      </c>
      <c r="AB2123" s="13" t="s">
        <v>581</v>
      </c>
      <c r="AC2123">
        <v>0</v>
      </c>
      <c r="AD2123">
        <v>0</v>
      </c>
      <c r="AE2123" s="13" t="s">
        <v>61</v>
      </c>
    </row>
    <row r="2124" spans="1:31" x14ac:dyDescent="0.35">
      <c r="A2124" s="13" t="s">
        <v>2960</v>
      </c>
      <c r="B2124" s="13" t="s">
        <v>50</v>
      </c>
      <c r="C2124" s="13" t="s">
        <v>51</v>
      </c>
      <c r="D2124" s="13" t="s">
        <v>52</v>
      </c>
      <c r="E2124" s="13" t="s">
        <v>53</v>
      </c>
      <c r="F2124" s="13" t="s">
        <v>54</v>
      </c>
      <c r="G2124" s="13" t="s">
        <v>55</v>
      </c>
      <c r="H2124">
        <v>585000</v>
      </c>
      <c r="I2124" s="13" t="s">
        <v>56</v>
      </c>
      <c r="J2124" s="13" t="s">
        <v>57</v>
      </c>
      <c r="K2124" s="13" t="s">
        <v>58</v>
      </c>
      <c r="L2124" s="13" t="s">
        <v>59</v>
      </c>
      <c r="M2124">
        <v>45</v>
      </c>
      <c r="N2124">
        <v>0</v>
      </c>
      <c r="O2124" s="14">
        <v>46016</v>
      </c>
      <c r="P2124" s="14">
        <v>46061</v>
      </c>
      <c r="Q2124">
        <v>9167.6</v>
      </c>
      <c r="R2124">
        <v>0</v>
      </c>
      <c r="S2124">
        <v>0</v>
      </c>
      <c r="T2124">
        <v>0</v>
      </c>
      <c r="U2124">
        <v>0</v>
      </c>
      <c r="V2124">
        <v>9167.6</v>
      </c>
      <c r="W2124">
        <v>0</v>
      </c>
      <c r="X2124">
        <v>1</v>
      </c>
      <c r="Y2124">
        <v>0</v>
      </c>
      <c r="Z2124">
        <v>-39</v>
      </c>
      <c r="AA2124">
        <v>1</v>
      </c>
      <c r="AB2124" s="13" t="s">
        <v>581</v>
      </c>
      <c r="AC2124">
        <v>0</v>
      </c>
      <c r="AD2124">
        <v>0</v>
      </c>
      <c r="AE2124" s="13" t="s">
        <v>61</v>
      </c>
    </row>
    <row r="2125" spans="1:31" x14ac:dyDescent="0.35">
      <c r="A2125" s="13" t="s">
        <v>2961</v>
      </c>
      <c r="B2125" s="13" t="s">
        <v>590</v>
      </c>
      <c r="C2125" s="13" t="s">
        <v>591</v>
      </c>
      <c r="D2125" s="13" t="s">
        <v>52</v>
      </c>
      <c r="E2125" s="13" t="s">
        <v>53</v>
      </c>
      <c r="F2125" s="13" t="s">
        <v>135</v>
      </c>
      <c r="G2125" s="13" t="s">
        <v>67</v>
      </c>
      <c r="H2125">
        <v>240000</v>
      </c>
      <c r="I2125" s="13" t="s">
        <v>86</v>
      </c>
      <c r="J2125" s="13" t="s">
        <v>87</v>
      </c>
      <c r="K2125" s="13" t="s">
        <v>58</v>
      </c>
      <c r="L2125" s="13" t="s">
        <v>88</v>
      </c>
      <c r="M2125">
        <v>60</v>
      </c>
      <c r="N2125">
        <v>0</v>
      </c>
      <c r="O2125" s="14">
        <v>46016</v>
      </c>
      <c r="P2125" s="14">
        <v>46076</v>
      </c>
      <c r="Q2125">
        <v>2115.7800000000002</v>
      </c>
      <c r="R2125">
        <v>0</v>
      </c>
      <c r="S2125">
        <v>0</v>
      </c>
      <c r="T2125">
        <v>0</v>
      </c>
      <c r="U2125">
        <v>0</v>
      </c>
      <c r="V2125">
        <v>2115.7800000000002</v>
      </c>
      <c r="W2125">
        <v>0</v>
      </c>
      <c r="X2125">
        <v>1</v>
      </c>
      <c r="Y2125">
        <v>0</v>
      </c>
      <c r="Z2125">
        <v>-54</v>
      </c>
      <c r="AA2125">
        <v>1</v>
      </c>
      <c r="AB2125" s="13" t="s">
        <v>581</v>
      </c>
      <c r="AC2125">
        <v>0</v>
      </c>
      <c r="AD2125">
        <v>0</v>
      </c>
      <c r="AE2125" s="13" t="s">
        <v>61</v>
      </c>
    </row>
    <row r="2126" spans="1:31" x14ac:dyDescent="0.35">
      <c r="A2126" s="13" t="s">
        <v>2962</v>
      </c>
      <c r="B2126" s="13" t="s">
        <v>263</v>
      </c>
      <c r="C2126" s="13" t="s">
        <v>264</v>
      </c>
      <c r="D2126" s="13" t="s">
        <v>52</v>
      </c>
      <c r="E2126" s="13" t="s">
        <v>99</v>
      </c>
      <c r="F2126" s="13" t="s">
        <v>100</v>
      </c>
      <c r="G2126" s="13" t="s">
        <v>55</v>
      </c>
      <c r="H2126">
        <v>590000</v>
      </c>
      <c r="I2126" s="13" t="s">
        <v>86</v>
      </c>
      <c r="J2126" s="13" t="s">
        <v>87</v>
      </c>
      <c r="K2126" s="13" t="s">
        <v>58</v>
      </c>
      <c r="L2126" s="13" t="s">
        <v>88</v>
      </c>
      <c r="M2126">
        <v>60</v>
      </c>
      <c r="N2126">
        <v>0</v>
      </c>
      <c r="O2126" s="14">
        <v>46016</v>
      </c>
      <c r="P2126" s="14">
        <v>46076</v>
      </c>
      <c r="Q2126">
        <v>4411.49</v>
      </c>
      <c r="R2126">
        <v>0</v>
      </c>
      <c r="S2126">
        <v>0</v>
      </c>
      <c r="T2126">
        <v>0</v>
      </c>
      <c r="U2126">
        <v>0</v>
      </c>
      <c r="V2126">
        <v>4411.49</v>
      </c>
      <c r="W2126">
        <v>0</v>
      </c>
      <c r="X2126">
        <v>1</v>
      </c>
      <c r="Y2126">
        <v>0</v>
      </c>
      <c r="Z2126">
        <v>-54</v>
      </c>
      <c r="AA2126">
        <v>1</v>
      </c>
      <c r="AB2126" s="13" t="s">
        <v>581</v>
      </c>
      <c r="AC2126">
        <v>0</v>
      </c>
      <c r="AD2126">
        <v>0</v>
      </c>
      <c r="AE2126" s="13" t="s">
        <v>61</v>
      </c>
    </row>
    <row r="2127" spans="1:31" x14ac:dyDescent="0.35">
      <c r="A2127" s="13" t="s">
        <v>2963</v>
      </c>
      <c r="B2127" s="13" t="s">
        <v>958</v>
      </c>
      <c r="C2127" s="13" t="s">
        <v>959</v>
      </c>
      <c r="D2127" s="13" t="s">
        <v>52</v>
      </c>
      <c r="E2127" s="13" t="s">
        <v>99</v>
      </c>
      <c r="F2127" s="13" t="s">
        <v>100</v>
      </c>
      <c r="G2127" s="13" t="s">
        <v>55</v>
      </c>
      <c r="H2127">
        <v>270000</v>
      </c>
      <c r="I2127" s="13" t="s">
        <v>56</v>
      </c>
      <c r="J2127" s="13" t="s">
        <v>57</v>
      </c>
      <c r="K2127" s="13" t="s">
        <v>58</v>
      </c>
      <c r="L2127" s="13" t="s">
        <v>59</v>
      </c>
      <c r="M2127">
        <v>45</v>
      </c>
      <c r="N2127">
        <v>0</v>
      </c>
      <c r="O2127" s="14">
        <v>46016</v>
      </c>
      <c r="P2127" s="14">
        <v>46061</v>
      </c>
      <c r="Q2127">
        <v>7660.39</v>
      </c>
      <c r="R2127">
        <v>0</v>
      </c>
      <c r="S2127">
        <v>0</v>
      </c>
      <c r="T2127">
        <v>0</v>
      </c>
      <c r="U2127">
        <v>0</v>
      </c>
      <c r="V2127">
        <v>7660.39</v>
      </c>
      <c r="W2127">
        <v>0</v>
      </c>
      <c r="X2127">
        <v>1</v>
      </c>
      <c r="Y2127">
        <v>0</v>
      </c>
      <c r="Z2127">
        <v>-39</v>
      </c>
      <c r="AA2127">
        <v>1</v>
      </c>
      <c r="AB2127" s="13" t="s">
        <v>581</v>
      </c>
      <c r="AC2127">
        <v>0</v>
      </c>
      <c r="AD2127">
        <v>0</v>
      </c>
      <c r="AE2127" s="13" t="s">
        <v>61</v>
      </c>
    </row>
    <row r="2128" spans="1:31" x14ac:dyDescent="0.35">
      <c r="A2128" s="13" t="s">
        <v>2964</v>
      </c>
      <c r="B2128" s="13" t="s">
        <v>1452</v>
      </c>
      <c r="C2128" s="13" t="s">
        <v>1453</v>
      </c>
      <c r="D2128" s="13" t="s">
        <v>76</v>
      </c>
      <c r="E2128" s="13" t="s">
        <v>53</v>
      </c>
      <c r="F2128" s="13" t="s">
        <v>135</v>
      </c>
      <c r="G2128" s="13" t="s">
        <v>92</v>
      </c>
      <c r="H2128">
        <v>40000</v>
      </c>
      <c r="I2128" s="13" t="s">
        <v>93</v>
      </c>
      <c r="J2128" s="13" t="s">
        <v>94</v>
      </c>
      <c r="K2128" s="13" t="s">
        <v>81</v>
      </c>
      <c r="L2128" s="13" t="s">
        <v>95</v>
      </c>
      <c r="M2128">
        <v>30</v>
      </c>
      <c r="N2128">
        <v>0</v>
      </c>
      <c r="O2128" s="14">
        <v>46016</v>
      </c>
      <c r="P2128" s="14">
        <v>46046</v>
      </c>
      <c r="Q2128">
        <v>2223.56</v>
      </c>
      <c r="R2128">
        <v>0</v>
      </c>
      <c r="S2128">
        <v>0</v>
      </c>
      <c r="T2128">
        <v>0</v>
      </c>
      <c r="U2128">
        <v>0</v>
      </c>
      <c r="V2128">
        <v>2223.56</v>
      </c>
      <c r="W2128">
        <v>0</v>
      </c>
      <c r="X2128">
        <v>1</v>
      </c>
      <c r="Y2128">
        <v>0</v>
      </c>
      <c r="Z2128">
        <v>-24</v>
      </c>
      <c r="AA2128">
        <v>1</v>
      </c>
      <c r="AB2128" s="13" t="s">
        <v>581</v>
      </c>
      <c r="AC2128">
        <v>0</v>
      </c>
      <c r="AD2128">
        <v>0</v>
      </c>
      <c r="AE2128" s="13" t="s">
        <v>61</v>
      </c>
    </row>
    <row r="2129" spans="1:31" x14ac:dyDescent="0.35">
      <c r="A2129" s="13" t="s">
        <v>2965</v>
      </c>
      <c r="B2129" s="13" t="s">
        <v>2524</v>
      </c>
      <c r="C2129" s="13" t="s">
        <v>2525</v>
      </c>
      <c r="D2129" s="13" t="s">
        <v>104</v>
      </c>
      <c r="E2129" s="13" t="s">
        <v>65</v>
      </c>
      <c r="F2129" s="13" t="s">
        <v>111</v>
      </c>
      <c r="G2129" s="13" t="s">
        <v>67</v>
      </c>
      <c r="H2129">
        <v>110000</v>
      </c>
      <c r="I2129" s="13" t="s">
        <v>121</v>
      </c>
      <c r="J2129" s="13" t="s">
        <v>122</v>
      </c>
      <c r="K2129" s="13" t="s">
        <v>107</v>
      </c>
      <c r="L2129" s="13" t="s">
        <v>95</v>
      </c>
      <c r="M2129">
        <v>30</v>
      </c>
      <c r="N2129">
        <v>0</v>
      </c>
      <c r="O2129" s="14">
        <v>46017</v>
      </c>
      <c r="P2129" s="14">
        <v>46047</v>
      </c>
      <c r="Q2129">
        <v>1000.07</v>
      </c>
      <c r="R2129">
        <v>0</v>
      </c>
      <c r="S2129">
        <v>0</v>
      </c>
      <c r="T2129">
        <v>0</v>
      </c>
      <c r="U2129">
        <v>0</v>
      </c>
      <c r="V2129">
        <v>1000.07</v>
      </c>
      <c r="W2129">
        <v>0</v>
      </c>
      <c r="X2129">
        <v>1</v>
      </c>
      <c r="Y2129">
        <v>0</v>
      </c>
      <c r="Z2129">
        <v>-25</v>
      </c>
      <c r="AA2129">
        <v>1</v>
      </c>
      <c r="AB2129" s="13" t="s">
        <v>581</v>
      </c>
      <c r="AC2129">
        <v>0</v>
      </c>
      <c r="AD2129">
        <v>0</v>
      </c>
      <c r="AE2129" s="13" t="s">
        <v>61</v>
      </c>
    </row>
    <row r="2130" spans="1:31" x14ac:dyDescent="0.35">
      <c r="A2130" s="13" t="s">
        <v>2966</v>
      </c>
      <c r="B2130" s="13" t="s">
        <v>1455</v>
      </c>
      <c r="C2130" s="13" t="s">
        <v>1456</v>
      </c>
      <c r="D2130" s="13" t="s">
        <v>104</v>
      </c>
      <c r="E2130" s="13" t="s">
        <v>65</v>
      </c>
      <c r="F2130" s="13" t="s">
        <v>111</v>
      </c>
      <c r="G2130" s="13" t="s">
        <v>55</v>
      </c>
      <c r="H2130">
        <v>135000</v>
      </c>
      <c r="I2130" s="13" t="s">
        <v>121</v>
      </c>
      <c r="J2130" s="13" t="s">
        <v>122</v>
      </c>
      <c r="K2130" s="13" t="s">
        <v>107</v>
      </c>
      <c r="L2130" s="13" t="s">
        <v>82</v>
      </c>
      <c r="M2130">
        <v>30</v>
      </c>
      <c r="N2130">
        <v>2</v>
      </c>
      <c r="O2130" s="14">
        <v>46017</v>
      </c>
      <c r="P2130" s="14">
        <v>46047</v>
      </c>
      <c r="Q2130">
        <v>3587.15</v>
      </c>
      <c r="R2130">
        <v>0</v>
      </c>
      <c r="S2130">
        <v>0</v>
      </c>
      <c r="T2130">
        <v>0</v>
      </c>
      <c r="U2130">
        <v>0</v>
      </c>
      <c r="V2130">
        <v>3587.15</v>
      </c>
      <c r="W2130">
        <v>0</v>
      </c>
      <c r="X2130">
        <v>1</v>
      </c>
      <c r="Y2130">
        <v>0</v>
      </c>
      <c r="Z2130">
        <v>-25</v>
      </c>
      <c r="AA2130">
        <v>1</v>
      </c>
      <c r="AB2130" s="13" t="s">
        <v>581</v>
      </c>
      <c r="AC2130">
        <v>0</v>
      </c>
      <c r="AD2130">
        <v>0</v>
      </c>
      <c r="AE2130" s="13" t="s">
        <v>61</v>
      </c>
    </row>
    <row r="2131" spans="1:31" x14ac:dyDescent="0.35">
      <c r="A2131" s="13" t="s">
        <v>2967</v>
      </c>
      <c r="B2131" s="13" t="s">
        <v>1358</v>
      </c>
      <c r="C2131" s="13" t="s">
        <v>1359</v>
      </c>
      <c r="D2131" s="13" t="s">
        <v>76</v>
      </c>
      <c r="E2131" s="13" t="s">
        <v>71</v>
      </c>
      <c r="F2131" s="13" t="s">
        <v>72</v>
      </c>
      <c r="G2131" s="13" t="s">
        <v>92</v>
      </c>
      <c r="H2131">
        <v>105000</v>
      </c>
      <c r="I2131" s="13" t="s">
        <v>79</v>
      </c>
      <c r="J2131" s="13" t="s">
        <v>80</v>
      </c>
      <c r="K2131" s="13" t="s">
        <v>81</v>
      </c>
      <c r="L2131" s="13" t="s">
        <v>95</v>
      </c>
      <c r="M2131">
        <v>30</v>
      </c>
      <c r="N2131">
        <v>0</v>
      </c>
      <c r="O2131" s="14">
        <v>46017</v>
      </c>
      <c r="P2131" s="14">
        <v>46047</v>
      </c>
      <c r="Q2131">
        <v>1649.6</v>
      </c>
      <c r="R2131">
        <v>0</v>
      </c>
      <c r="S2131">
        <v>0</v>
      </c>
      <c r="T2131">
        <v>0</v>
      </c>
      <c r="U2131">
        <v>0</v>
      </c>
      <c r="V2131">
        <v>1649.6</v>
      </c>
      <c r="W2131">
        <v>0</v>
      </c>
      <c r="X2131">
        <v>1</v>
      </c>
      <c r="Y2131">
        <v>0</v>
      </c>
      <c r="Z2131">
        <v>-25</v>
      </c>
      <c r="AA2131">
        <v>1</v>
      </c>
      <c r="AB2131" s="13" t="s">
        <v>581</v>
      </c>
      <c r="AC2131">
        <v>0</v>
      </c>
      <c r="AD2131">
        <v>0</v>
      </c>
      <c r="AE2131" s="13" t="s">
        <v>61</v>
      </c>
    </row>
    <row r="2132" spans="1:31" x14ac:dyDescent="0.35">
      <c r="A2132" s="13" t="s">
        <v>2968</v>
      </c>
      <c r="B2132" s="13" t="s">
        <v>197</v>
      </c>
      <c r="C2132" s="13" t="s">
        <v>198</v>
      </c>
      <c r="D2132" s="13" t="s">
        <v>76</v>
      </c>
      <c r="E2132" s="13" t="s">
        <v>53</v>
      </c>
      <c r="F2132" s="13" t="s">
        <v>135</v>
      </c>
      <c r="G2132" s="13" t="s">
        <v>67</v>
      </c>
      <c r="H2132">
        <v>105000</v>
      </c>
      <c r="I2132" s="13" t="s">
        <v>79</v>
      </c>
      <c r="J2132" s="13" t="s">
        <v>80</v>
      </c>
      <c r="K2132" s="13" t="s">
        <v>81</v>
      </c>
      <c r="L2132" s="13" t="s">
        <v>95</v>
      </c>
      <c r="M2132">
        <v>30</v>
      </c>
      <c r="N2132">
        <v>0</v>
      </c>
      <c r="O2132" s="14">
        <v>46017</v>
      </c>
      <c r="P2132" s="14">
        <v>46047</v>
      </c>
      <c r="Q2132">
        <v>784.99</v>
      </c>
      <c r="R2132">
        <v>0</v>
      </c>
      <c r="S2132">
        <v>0</v>
      </c>
      <c r="T2132">
        <v>0</v>
      </c>
      <c r="U2132">
        <v>0</v>
      </c>
      <c r="V2132">
        <v>784.99</v>
      </c>
      <c r="W2132">
        <v>0</v>
      </c>
      <c r="X2132">
        <v>1</v>
      </c>
      <c r="Y2132">
        <v>0</v>
      </c>
      <c r="Z2132">
        <v>-25</v>
      </c>
      <c r="AA2132">
        <v>1</v>
      </c>
      <c r="AB2132" s="13" t="s">
        <v>581</v>
      </c>
      <c r="AC2132">
        <v>0</v>
      </c>
      <c r="AD2132">
        <v>0</v>
      </c>
      <c r="AE2132" s="13" t="s">
        <v>61</v>
      </c>
    </row>
    <row r="2133" spans="1:31" x14ac:dyDescent="0.35">
      <c r="A2133" s="13" t="s">
        <v>2969</v>
      </c>
      <c r="B2133" s="13" t="s">
        <v>1992</v>
      </c>
      <c r="C2133" s="13" t="s">
        <v>1993</v>
      </c>
      <c r="D2133" s="13" t="s">
        <v>76</v>
      </c>
      <c r="E2133" s="13" t="s">
        <v>71</v>
      </c>
      <c r="F2133" s="13" t="s">
        <v>214</v>
      </c>
      <c r="G2133" s="13" t="s">
        <v>67</v>
      </c>
      <c r="H2133">
        <v>90000</v>
      </c>
      <c r="I2133" s="13" t="s">
        <v>93</v>
      </c>
      <c r="J2133" s="13" t="s">
        <v>94</v>
      </c>
      <c r="K2133" s="13" t="s">
        <v>81</v>
      </c>
      <c r="L2133" s="13" t="s">
        <v>82</v>
      </c>
      <c r="M2133">
        <v>30</v>
      </c>
      <c r="N2133">
        <v>2</v>
      </c>
      <c r="O2133" s="14">
        <v>46017</v>
      </c>
      <c r="P2133" s="14">
        <v>46047</v>
      </c>
      <c r="Q2133">
        <v>1875.75</v>
      </c>
      <c r="R2133">
        <v>0</v>
      </c>
      <c r="S2133">
        <v>0</v>
      </c>
      <c r="T2133">
        <v>0</v>
      </c>
      <c r="U2133">
        <v>0</v>
      </c>
      <c r="V2133">
        <v>1875.75</v>
      </c>
      <c r="W2133">
        <v>0</v>
      </c>
      <c r="X2133">
        <v>1</v>
      </c>
      <c r="Y2133">
        <v>0</v>
      </c>
      <c r="Z2133">
        <v>-25</v>
      </c>
      <c r="AA2133">
        <v>1</v>
      </c>
      <c r="AB2133" s="13" t="s">
        <v>581</v>
      </c>
      <c r="AC2133">
        <v>0</v>
      </c>
      <c r="AD2133">
        <v>0</v>
      </c>
      <c r="AE2133" s="13" t="s">
        <v>61</v>
      </c>
    </row>
    <row r="2134" spans="1:31" x14ac:dyDescent="0.35">
      <c r="A2134" s="13" t="s">
        <v>2970</v>
      </c>
      <c r="B2134" s="13" t="s">
        <v>1995</v>
      </c>
      <c r="C2134" s="13" t="s">
        <v>1996</v>
      </c>
      <c r="D2134" s="13" t="s">
        <v>76</v>
      </c>
      <c r="E2134" s="13" t="s">
        <v>65</v>
      </c>
      <c r="F2134" s="13" t="s">
        <v>66</v>
      </c>
      <c r="G2134" s="13" t="s">
        <v>55</v>
      </c>
      <c r="H2134">
        <v>75000</v>
      </c>
      <c r="I2134" s="13" t="s">
        <v>79</v>
      </c>
      <c r="J2134" s="13" t="s">
        <v>80</v>
      </c>
      <c r="K2134" s="13" t="s">
        <v>81</v>
      </c>
      <c r="L2134" s="13" t="s">
        <v>82</v>
      </c>
      <c r="M2134">
        <v>30</v>
      </c>
      <c r="N2134">
        <v>2</v>
      </c>
      <c r="O2134" s="14">
        <v>46017</v>
      </c>
      <c r="P2134" s="14">
        <v>46047</v>
      </c>
      <c r="Q2134">
        <v>905.44</v>
      </c>
      <c r="R2134">
        <v>0</v>
      </c>
      <c r="S2134">
        <v>0</v>
      </c>
      <c r="T2134">
        <v>0</v>
      </c>
      <c r="U2134">
        <v>0</v>
      </c>
      <c r="V2134">
        <v>905.44</v>
      </c>
      <c r="W2134">
        <v>0</v>
      </c>
      <c r="X2134">
        <v>1</v>
      </c>
      <c r="Y2134">
        <v>0</v>
      </c>
      <c r="Z2134">
        <v>-25</v>
      </c>
      <c r="AA2134">
        <v>1</v>
      </c>
      <c r="AB2134" s="13" t="s">
        <v>581</v>
      </c>
      <c r="AC2134">
        <v>0</v>
      </c>
      <c r="AD2134">
        <v>0</v>
      </c>
      <c r="AE2134" s="13" t="s">
        <v>61</v>
      </c>
    </row>
    <row r="2135" spans="1:31" x14ac:dyDescent="0.35">
      <c r="A2135" s="13" t="s">
        <v>2971</v>
      </c>
      <c r="B2135" s="13" t="s">
        <v>1807</v>
      </c>
      <c r="C2135" s="13" t="s">
        <v>1808</v>
      </c>
      <c r="D2135" s="13" t="s">
        <v>76</v>
      </c>
      <c r="E2135" s="13" t="s">
        <v>65</v>
      </c>
      <c r="F2135" s="13" t="s">
        <v>66</v>
      </c>
      <c r="G2135" s="13" t="s">
        <v>55</v>
      </c>
      <c r="H2135">
        <v>45000</v>
      </c>
      <c r="I2135" s="13" t="s">
        <v>93</v>
      </c>
      <c r="J2135" s="13" t="s">
        <v>94</v>
      </c>
      <c r="K2135" s="13" t="s">
        <v>81</v>
      </c>
      <c r="L2135" s="13" t="s">
        <v>95</v>
      </c>
      <c r="M2135">
        <v>30</v>
      </c>
      <c r="N2135">
        <v>0</v>
      </c>
      <c r="O2135" s="14">
        <v>46017</v>
      </c>
      <c r="P2135" s="14">
        <v>46047</v>
      </c>
      <c r="Q2135">
        <v>3411.26</v>
      </c>
      <c r="R2135">
        <v>0</v>
      </c>
      <c r="S2135">
        <v>0</v>
      </c>
      <c r="T2135">
        <v>0</v>
      </c>
      <c r="U2135">
        <v>0</v>
      </c>
      <c r="V2135">
        <v>3411.26</v>
      </c>
      <c r="W2135">
        <v>0</v>
      </c>
      <c r="X2135">
        <v>1</v>
      </c>
      <c r="Y2135">
        <v>0</v>
      </c>
      <c r="Z2135">
        <v>-25</v>
      </c>
      <c r="AA2135">
        <v>1</v>
      </c>
      <c r="AB2135" s="13" t="s">
        <v>581</v>
      </c>
      <c r="AC2135">
        <v>0</v>
      </c>
      <c r="AD2135">
        <v>0</v>
      </c>
      <c r="AE2135" s="13" t="s">
        <v>61</v>
      </c>
    </row>
    <row r="2136" spans="1:31" x14ac:dyDescent="0.35">
      <c r="A2136" s="13" t="s">
        <v>2972</v>
      </c>
      <c r="B2136" s="13" t="s">
        <v>1460</v>
      </c>
      <c r="C2136" s="13" t="s">
        <v>1461</v>
      </c>
      <c r="D2136" s="13" t="s">
        <v>104</v>
      </c>
      <c r="E2136" s="13" t="s">
        <v>99</v>
      </c>
      <c r="F2136" s="13" t="s">
        <v>100</v>
      </c>
      <c r="G2136" s="13" t="s">
        <v>55</v>
      </c>
      <c r="H2136">
        <v>65000</v>
      </c>
      <c r="I2136" s="13" t="s">
        <v>121</v>
      </c>
      <c r="J2136" s="13" t="s">
        <v>122</v>
      </c>
      <c r="K2136" s="13" t="s">
        <v>107</v>
      </c>
      <c r="L2136" s="13" t="s">
        <v>82</v>
      </c>
      <c r="M2136">
        <v>30</v>
      </c>
      <c r="N2136">
        <v>2</v>
      </c>
      <c r="O2136" s="14">
        <v>46017</v>
      </c>
      <c r="P2136" s="14">
        <v>46047</v>
      </c>
      <c r="Q2136">
        <v>1582.49</v>
      </c>
      <c r="R2136">
        <v>0</v>
      </c>
      <c r="S2136">
        <v>0</v>
      </c>
      <c r="T2136">
        <v>0</v>
      </c>
      <c r="U2136">
        <v>0</v>
      </c>
      <c r="V2136">
        <v>1582.49</v>
      </c>
      <c r="W2136">
        <v>0</v>
      </c>
      <c r="X2136">
        <v>1</v>
      </c>
      <c r="Y2136">
        <v>0</v>
      </c>
      <c r="Z2136">
        <v>-25</v>
      </c>
      <c r="AA2136">
        <v>1</v>
      </c>
      <c r="AB2136" s="13" t="s">
        <v>581</v>
      </c>
      <c r="AC2136">
        <v>0</v>
      </c>
      <c r="AD2136">
        <v>0</v>
      </c>
      <c r="AE2136" s="13" t="s">
        <v>61</v>
      </c>
    </row>
    <row r="2137" spans="1:31" x14ac:dyDescent="0.35">
      <c r="A2137" s="13" t="s">
        <v>2973</v>
      </c>
      <c r="B2137" s="13" t="s">
        <v>222</v>
      </c>
      <c r="C2137" s="13" t="s">
        <v>223</v>
      </c>
      <c r="D2137" s="13" t="s">
        <v>52</v>
      </c>
      <c r="E2137" s="13" t="s">
        <v>65</v>
      </c>
      <c r="F2137" s="13" t="s">
        <v>66</v>
      </c>
      <c r="G2137" s="13" t="s">
        <v>92</v>
      </c>
      <c r="H2137">
        <v>430000</v>
      </c>
      <c r="I2137" s="13" t="s">
        <v>56</v>
      </c>
      <c r="J2137" s="13" t="s">
        <v>57</v>
      </c>
      <c r="K2137" s="13" t="s">
        <v>58</v>
      </c>
      <c r="L2137" s="13" t="s">
        <v>59</v>
      </c>
      <c r="M2137">
        <v>45</v>
      </c>
      <c r="N2137">
        <v>0</v>
      </c>
      <c r="O2137" s="14">
        <v>46017</v>
      </c>
      <c r="P2137" s="14">
        <v>46062</v>
      </c>
      <c r="Q2137">
        <v>9481.59</v>
      </c>
      <c r="R2137">
        <v>0</v>
      </c>
      <c r="S2137">
        <v>0</v>
      </c>
      <c r="T2137">
        <v>0</v>
      </c>
      <c r="U2137">
        <v>0</v>
      </c>
      <c r="V2137">
        <v>9481.59</v>
      </c>
      <c r="W2137">
        <v>0</v>
      </c>
      <c r="X2137">
        <v>1</v>
      </c>
      <c r="Y2137">
        <v>0</v>
      </c>
      <c r="Z2137">
        <v>-40</v>
      </c>
      <c r="AA2137">
        <v>1</v>
      </c>
      <c r="AB2137" s="13" t="s">
        <v>581</v>
      </c>
      <c r="AC2137">
        <v>0</v>
      </c>
      <c r="AD2137">
        <v>0</v>
      </c>
      <c r="AE2137" s="13" t="s">
        <v>61</v>
      </c>
    </row>
    <row r="2138" spans="1:31" x14ac:dyDescent="0.35">
      <c r="A2138" s="13" t="s">
        <v>2974</v>
      </c>
      <c r="B2138" s="13" t="s">
        <v>1766</v>
      </c>
      <c r="C2138" s="13" t="s">
        <v>1767</v>
      </c>
      <c r="D2138" s="13" t="s">
        <v>52</v>
      </c>
      <c r="E2138" s="13" t="s">
        <v>77</v>
      </c>
      <c r="F2138" s="13" t="s">
        <v>174</v>
      </c>
      <c r="G2138" s="13" t="s">
        <v>67</v>
      </c>
      <c r="H2138">
        <v>440000</v>
      </c>
      <c r="I2138" s="13" t="s">
        <v>56</v>
      </c>
      <c r="J2138" s="13" t="s">
        <v>57</v>
      </c>
      <c r="K2138" s="13" t="s">
        <v>58</v>
      </c>
      <c r="L2138" s="13" t="s">
        <v>59</v>
      </c>
      <c r="M2138">
        <v>45</v>
      </c>
      <c r="N2138">
        <v>0</v>
      </c>
      <c r="O2138" s="14">
        <v>46017</v>
      </c>
      <c r="P2138" s="14">
        <v>46062</v>
      </c>
      <c r="Q2138">
        <v>3825.47</v>
      </c>
      <c r="R2138">
        <v>0</v>
      </c>
      <c r="S2138">
        <v>0</v>
      </c>
      <c r="T2138">
        <v>0</v>
      </c>
      <c r="U2138">
        <v>0</v>
      </c>
      <c r="V2138">
        <v>3825.47</v>
      </c>
      <c r="W2138">
        <v>0</v>
      </c>
      <c r="X2138">
        <v>1</v>
      </c>
      <c r="Y2138">
        <v>0</v>
      </c>
      <c r="Z2138">
        <v>-40</v>
      </c>
      <c r="AA2138">
        <v>1</v>
      </c>
      <c r="AB2138" s="13" t="s">
        <v>581</v>
      </c>
      <c r="AC2138">
        <v>0</v>
      </c>
      <c r="AD2138">
        <v>0</v>
      </c>
      <c r="AE2138" s="13" t="s">
        <v>61</v>
      </c>
    </row>
    <row r="2139" spans="1:31" x14ac:dyDescent="0.35">
      <c r="A2139" s="13" t="s">
        <v>2975</v>
      </c>
      <c r="B2139" s="13" t="s">
        <v>286</v>
      </c>
      <c r="C2139" s="13" t="s">
        <v>287</v>
      </c>
      <c r="D2139" s="13" t="s">
        <v>104</v>
      </c>
      <c r="E2139" s="13" t="s">
        <v>77</v>
      </c>
      <c r="F2139" s="13" t="s">
        <v>174</v>
      </c>
      <c r="G2139" s="13" t="s">
        <v>92</v>
      </c>
      <c r="H2139">
        <v>150000</v>
      </c>
      <c r="I2139" s="13" t="s">
        <v>86</v>
      </c>
      <c r="J2139" s="13" t="s">
        <v>87</v>
      </c>
      <c r="K2139" s="13" t="s">
        <v>58</v>
      </c>
      <c r="L2139" s="13" t="s">
        <v>95</v>
      </c>
      <c r="M2139">
        <v>30</v>
      </c>
      <c r="N2139">
        <v>0</v>
      </c>
      <c r="O2139" s="14">
        <v>46017</v>
      </c>
      <c r="P2139" s="14">
        <v>46047</v>
      </c>
      <c r="Q2139">
        <v>864.58</v>
      </c>
      <c r="R2139">
        <v>0</v>
      </c>
      <c r="S2139">
        <v>0</v>
      </c>
      <c r="T2139">
        <v>0</v>
      </c>
      <c r="U2139">
        <v>0</v>
      </c>
      <c r="V2139">
        <v>864.58</v>
      </c>
      <c r="W2139">
        <v>0</v>
      </c>
      <c r="X2139">
        <v>1</v>
      </c>
      <c r="Y2139">
        <v>0</v>
      </c>
      <c r="Z2139">
        <v>-25</v>
      </c>
      <c r="AA2139">
        <v>1</v>
      </c>
      <c r="AB2139" s="13" t="s">
        <v>581</v>
      </c>
      <c r="AC2139">
        <v>0</v>
      </c>
      <c r="AD2139">
        <v>0</v>
      </c>
      <c r="AE2139" s="13" t="s">
        <v>61</v>
      </c>
    </row>
    <row r="2140" spans="1:31" x14ac:dyDescent="0.35">
      <c r="A2140" s="13" t="s">
        <v>2976</v>
      </c>
      <c r="B2140" s="13" t="s">
        <v>1881</v>
      </c>
      <c r="C2140" s="13" t="s">
        <v>1882</v>
      </c>
      <c r="D2140" s="13" t="s">
        <v>76</v>
      </c>
      <c r="E2140" s="13" t="s">
        <v>65</v>
      </c>
      <c r="F2140" s="13" t="s">
        <v>66</v>
      </c>
      <c r="G2140" s="13" t="s">
        <v>67</v>
      </c>
      <c r="H2140">
        <v>80000</v>
      </c>
      <c r="I2140" s="13" t="s">
        <v>93</v>
      </c>
      <c r="J2140" s="13" t="s">
        <v>94</v>
      </c>
      <c r="K2140" s="13" t="s">
        <v>81</v>
      </c>
      <c r="L2140" s="13" t="s">
        <v>95</v>
      </c>
      <c r="M2140">
        <v>30</v>
      </c>
      <c r="N2140">
        <v>0</v>
      </c>
      <c r="O2140" s="14">
        <v>46017</v>
      </c>
      <c r="P2140" s="14">
        <v>46047</v>
      </c>
      <c r="Q2140">
        <v>1162.07</v>
      </c>
      <c r="R2140">
        <v>0</v>
      </c>
      <c r="S2140">
        <v>0</v>
      </c>
      <c r="T2140">
        <v>0</v>
      </c>
      <c r="U2140">
        <v>0</v>
      </c>
      <c r="V2140">
        <v>1162.07</v>
      </c>
      <c r="W2140">
        <v>0</v>
      </c>
      <c r="X2140">
        <v>1</v>
      </c>
      <c r="Y2140">
        <v>0</v>
      </c>
      <c r="Z2140">
        <v>-25</v>
      </c>
      <c r="AA2140">
        <v>1</v>
      </c>
      <c r="AB2140" s="13" t="s">
        <v>581</v>
      </c>
      <c r="AC2140">
        <v>0</v>
      </c>
      <c r="AD2140">
        <v>0</v>
      </c>
      <c r="AE2140" s="13" t="s">
        <v>61</v>
      </c>
    </row>
    <row r="2141" spans="1:31" x14ac:dyDescent="0.35">
      <c r="A2141" s="13" t="s">
        <v>2977</v>
      </c>
      <c r="B2141" s="13" t="s">
        <v>156</v>
      </c>
      <c r="C2141" s="13" t="s">
        <v>157</v>
      </c>
      <c r="D2141" s="13" t="s">
        <v>52</v>
      </c>
      <c r="E2141" s="13" t="s">
        <v>53</v>
      </c>
      <c r="F2141" s="13" t="s">
        <v>54</v>
      </c>
      <c r="G2141" s="13" t="s">
        <v>92</v>
      </c>
      <c r="H2141">
        <v>600000</v>
      </c>
      <c r="I2141" s="13" t="s">
        <v>56</v>
      </c>
      <c r="J2141" s="13" t="s">
        <v>57</v>
      </c>
      <c r="K2141" s="13" t="s">
        <v>58</v>
      </c>
      <c r="L2141" s="13" t="s">
        <v>88</v>
      </c>
      <c r="M2141">
        <v>60</v>
      </c>
      <c r="N2141">
        <v>0</v>
      </c>
      <c r="O2141" s="14">
        <v>46017</v>
      </c>
      <c r="P2141" s="14">
        <v>46077</v>
      </c>
      <c r="Q2141">
        <v>2205.85</v>
      </c>
      <c r="R2141">
        <v>0</v>
      </c>
      <c r="S2141">
        <v>0</v>
      </c>
      <c r="T2141">
        <v>0</v>
      </c>
      <c r="U2141">
        <v>0</v>
      </c>
      <c r="V2141">
        <v>2205.85</v>
      </c>
      <c r="W2141">
        <v>0</v>
      </c>
      <c r="X2141">
        <v>1</v>
      </c>
      <c r="Y2141">
        <v>0</v>
      </c>
      <c r="Z2141">
        <v>-55</v>
      </c>
      <c r="AA2141">
        <v>1</v>
      </c>
      <c r="AB2141" s="13" t="s">
        <v>581</v>
      </c>
      <c r="AC2141">
        <v>0</v>
      </c>
      <c r="AD2141">
        <v>0</v>
      </c>
      <c r="AE2141" s="13" t="s">
        <v>61</v>
      </c>
    </row>
    <row r="2142" spans="1:31" x14ac:dyDescent="0.35">
      <c r="A2142" s="13" t="s">
        <v>2978</v>
      </c>
      <c r="B2142" s="13" t="s">
        <v>2012</v>
      </c>
      <c r="C2142" s="13" t="s">
        <v>2013</v>
      </c>
      <c r="D2142" s="13" t="s">
        <v>104</v>
      </c>
      <c r="E2142" s="13" t="s">
        <v>53</v>
      </c>
      <c r="F2142" s="13" t="s">
        <v>54</v>
      </c>
      <c r="G2142" s="13" t="s">
        <v>92</v>
      </c>
      <c r="H2142">
        <v>80000</v>
      </c>
      <c r="I2142" s="13" t="s">
        <v>121</v>
      </c>
      <c r="J2142" s="13" t="s">
        <v>122</v>
      </c>
      <c r="K2142" s="13" t="s">
        <v>107</v>
      </c>
      <c r="L2142" s="13" t="s">
        <v>82</v>
      </c>
      <c r="M2142">
        <v>30</v>
      </c>
      <c r="N2142">
        <v>2</v>
      </c>
      <c r="O2142" s="14">
        <v>46017</v>
      </c>
      <c r="P2142" s="14">
        <v>46047</v>
      </c>
      <c r="Q2142">
        <v>6612.81</v>
      </c>
      <c r="R2142">
        <v>0</v>
      </c>
      <c r="S2142">
        <v>0</v>
      </c>
      <c r="T2142">
        <v>0</v>
      </c>
      <c r="U2142">
        <v>0</v>
      </c>
      <c r="V2142">
        <v>6612.81</v>
      </c>
      <c r="W2142">
        <v>0</v>
      </c>
      <c r="X2142">
        <v>1</v>
      </c>
      <c r="Y2142">
        <v>0</v>
      </c>
      <c r="Z2142">
        <v>-25</v>
      </c>
      <c r="AA2142">
        <v>1</v>
      </c>
      <c r="AB2142" s="13" t="s">
        <v>581</v>
      </c>
      <c r="AC2142">
        <v>0</v>
      </c>
      <c r="AD2142">
        <v>0</v>
      </c>
      <c r="AE2142" s="13" t="s">
        <v>61</v>
      </c>
    </row>
    <row r="2143" spans="1:31" x14ac:dyDescent="0.35">
      <c r="A2143" s="13" t="s">
        <v>2979</v>
      </c>
      <c r="B2143" s="13" t="s">
        <v>1115</v>
      </c>
      <c r="C2143" s="13" t="s">
        <v>1116</v>
      </c>
      <c r="D2143" s="13" t="s">
        <v>52</v>
      </c>
      <c r="E2143" s="13" t="s">
        <v>65</v>
      </c>
      <c r="F2143" s="13" t="s">
        <v>66</v>
      </c>
      <c r="G2143" s="13" t="s">
        <v>92</v>
      </c>
      <c r="H2143">
        <v>300000</v>
      </c>
      <c r="I2143" s="13" t="s">
        <v>56</v>
      </c>
      <c r="J2143" s="13" t="s">
        <v>57</v>
      </c>
      <c r="K2143" s="13" t="s">
        <v>58</v>
      </c>
      <c r="L2143" s="13" t="s">
        <v>59</v>
      </c>
      <c r="M2143">
        <v>45</v>
      </c>
      <c r="N2143">
        <v>0</v>
      </c>
      <c r="O2143" s="14">
        <v>46017</v>
      </c>
      <c r="P2143" s="14">
        <v>46062</v>
      </c>
      <c r="Q2143">
        <v>1629.53</v>
      </c>
      <c r="R2143">
        <v>0</v>
      </c>
      <c r="S2143">
        <v>0</v>
      </c>
      <c r="T2143">
        <v>0</v>
      </c>
      <c r="U2143">
        <v>0</v>
      </c>
      <c r="V2143">
        <v>1629.53</v>
      </c>
      <c r="W2143">
        <v>0</v>
      </c>
      <c r="X2143">
        <v>1</v>
      </c>
      <c r="Y2143">
        <v>0</v>
      </c>
      <c r="Z2143">
        <v>-40</v>
      </c>
      <c r="AA2143">
        <v>1</v>
      </c>
      <c r="AB2143" s="13" t="s">
        <v>581</v>
      </c>
      <c r="AC2143">
        <v>0</v>
      </c>
      <c r="AD2143">
        <v>0</v>
      </c>
      <c r="AE2143" s="13" t="s">
        <v>61</v>
      </c>
    </row>
    <row r="2144" spans="1:31" x14ac:dyDescent="0.35">
      <c r="A2144" s="13" t="s">
        <v>2980</v>
      </c>
      <c r="B2144" s="13" t="s">
        <v>1247</v>
      </c>
      <c r="C2144" s="13" t="s">
        <v>1248</v>
      </c>
      <c r="D2144" s="13" t="s">
        <v>52</v>
      </c>
      <c r="E2144" s="13" t="s">
        <v>99</v>
      </c>
      <c r="F2144" s="13" t="s">
        <v>100</v>
      </c>
      <c r="G2144" s="13" t="s">
        <v>55</v>
      </c>
      <c r="H2144">
        <v>600000</v>
      </c>
      <c r="I2144" s="13" t="s">
        <v>56</v>
      </c>
      <c r="J2144" s="13" t="s">
        <v>57</v>
      </c>
      <c r="K2144" s="13" t="s">
        <v>58</v>
      </c>
      <c r="L2144" s="13" t="s">
        <v>59</v>
      </c>
      <c r="M2144">
        <v>45</v>
      </c>
      <c r="N2144">
        <v>0</v>
      </c>
      <c r="O2144" s="14">
        <v>46017</v>
      </c>
      <c r="P2144" s="14">
        <v>46062</v>
      </c>
      <c r="Q2144">
        <v>1628.29</v>
      </c>
      <c r="R2144">
        <v>0</v>
      </c>
      <c r="S2144">
        <v>0</v>
      </c>
      <c r="T2144">
        <v>0</v>
      </c>
      <c r="U2144">
        <v>0</v>
      </c>
      <c r="V2144">
        <v>1628.29</v>
      </c>
      <c r="W2144">
        <v>0</v>
      </c>
      <c r="X2144">
        <v>1</v>
      </c>
      <c r="Y2144">
        <v>0</v>
      </c>
      <c r="Z2144">
        <v>-40</v>
      </c>
      <c r="AA2144">
        <v>1</v>
      </c>
      <c r="AB2144" s="13" t="s">
        <v>581</v>
      </c>
      <c r="AC2144">
        <v>0</v>
      </c>
      <c r="AD2144">
        <v>0</v>
      </c>
      <c r="AE2144" s="13" t="s">
        <v>61</v>
      </c>
    </row>
    <row r="2145" spans="1:31" x14ac:dyDescent="0.35">
      <c r="A2145" s="13" t="s">
        <v>2981</v>
      </c>
      <c r="B2145" s="13" t="s">
        <v>270</v>
      </c>
      <c r="C2145" s="13" t="s">
        <v>271</v>
      </c>
      <c r="D2145" s="13" t="s">
        <v>52</v>
      </c>
      <c r="E2145" s="13" t="s">
        <v>71</v>
      </c>
      <c r="F2145" s="13" t="s">
        <v>72</v>
      </c>
      <c r="G2145" s="13" t="s">
        <v>67</v>
      </c>
      <c r="H2145">
        <v>555000</v>
      </c>
      <c r="I2145" s="13" t="s">
        <v>56</v>
      </c>
      <c r="J2145" s="13" t="s">
        <v>57</v>
      </c>
      <c r="K2145" s="13" t="s">
        <v>58</v>
      </c>
      <c r="L2145" s="13" t="s">
        <v>88</v>
      </c>
      <c r="M2145">
        <v>60</v>
      </c>
      <c r="N2145">
        <v>0</v>
      </c>
      <c r="O2145" s="14">
        <v>46017</v>
      </c>
      <c r="P2145" s="14">
        <v>46077</v>
      </c>
      <c r="Q2145">
        <v>5296.47</v>
      </c>
      <c r="R2145">
        <v>0</v>
      </c>
      <c r="S2145">
        <v>0</v>
      </c>
      <c r="T2145">
        <v>0</v>
      </c>
      <c r="U2145">
        <v>0</v>
      </c>
      <c r="V2145">
        <v>5296.47</v>
      </c>
      <c r="W2145">
        <v>0</v>
      </c>
      <c r="X2145">
        <v>1</v>
      </c>
      <c r="Y2145">
        <v>0</v>
      </c>
      <c r="Z2145">
        <v>-55</v>
      </c>
      <c r="AA2145">
        <v>1</v>
      </c>
      <c r="AB2145" s="13" t="s">
        <v>581</v>
      </c>
      <c r="AC2145">
        <v>0</v>
      </c>
      <c r="AD2145">
        <v>0</v>
      </c>
      <c r="AE2145" s="13" t="s">
        <v>61</v>
      </c>
    </row>
    <row r="2146" spans="1:31" x14ac:dyDescent="0.35">
      <c r="A2146" s="13" t="s">
        <v>2982</v>
      </c>
      <c r="B2146" s="13" t="s">
        <v>393</v>
      </c>
      <c r="C2146" s="13" t="s">
        <v>394</v>
      </c>
      <c r="D2146" s="13" t="s">
        <v>76</v>
      </c>
      <c r="E2146" s="13" t="s">
        <v>65</v>
      </c>
      <c r="F2146" s="13" t="s">
        <v>66</v>
      </c>
      <c r="G2146" s="13" t="s">
        <v>55</v>
      </c>
      <c r="H2146">
        <v>50000</v>
      </c>
      <c r="I2146" s="13" t="s">
        <v>93</v>
      </c>
      <c r="J2146" s="13" t="s">
        <v>94</v>
      </c>
      <c r="K2146" s="13" t="s">
        <v>81</v>
      </c>
      <c r="L2146" s="13" t="s">
        <v>95</v>
      </c>
      <c r="M2146">
        <v>30</v>
      </c>
      <c r="N2146">
        <v>0</v>
      </c>
      <c r="O2146" s="14">
        <v>46017</v>
      </c>
      <c r="P2146" s="14">
        <v>46047</v>
      </c>
      <c r="Q2146">
        <v>2783.37</v>
      </c>
      <c r="R2146">
        <v>0</v>
      </c>
      <c r="S2146">
        <v>0</v>
      </c>
      <c r="T2146">
        <v>0</v>
      </c>
      <c r="U2146">
        <v>0</v>
      </c>
      <c r="V2146">
        <v>2783.37</v>
      </c>
      <c r="W2146">
        <v>0</v>
      </c>
      <c r="X2146">
        <v>1</v>
      </c>
      <c r="Y2146">
        <v>0</v>
      </c>
      <c r="Z2146">
        <v>-25</v>
      </c>
      <c r="AA2146">
        <v>1</v>
      </c>
      <c r="AB2146" s="13" t="s">
        <v>581</v>
      </c>
      <c r="AC2146">
        <v>0</v>
      </c>
      <c r="AD2146">
        <v>0</v>
      </c>
      <c r="AE2146" s="13" t="s">
        <v>61</v>
      </c>
    </row>
    <row r="2147" spans="1:31" x14ac:dyDescent="0.35">
      <c r="A2147" s="13" t="s">
        <v>2983</v>
      </c>
      <c r="B2147" s="13" t="s">
        <v>1300</v>
      </c>
      <c r="C2147" s="13" t="s">
        <v>1301</v>
      </c>
      <c r="D2147" s="13" t="s">
        <v>126</v>
      </c>
      <c r="E2147" s="13" t="s">
        <v>65</v>
      </c>
      <c r="F2147" s="13" t="s">
        <v>66</v>
      </c>
      <c r="G2147" s="13" t="s">
        <v>67</v>
      </c>
      <c r="H2147">
        <v>95000</v>
      </c>
      <c r="I2147" s="13" t="s">
        <v>121</v>
      </c>
      <c r="J2147" s="13" t="s">
        <v>122</v>
      </c>
      <c r="K2147" s="13" t="s">
        <v>107</v>
      </c>
      <c r="L2147" s="13" t="s">
        <v>88</v>
      </c>
      <c r="M2147">
        <v>60</v>
      </c>
      <c r="N2147">
        <v>0</v>
      </c>
      <c r="O2147" s="14">
        <v>46017</v>
      </c>
      <c r="P2147" s="14">
        <v>46077</v>
      </c>
      <c r="Q2147">
        <v>1354.41</v>
      </c>
      <c r="R2147">
        <v>0</v>
      </c>
      <c r="S2147">
        <v>0</v>
      </c>
      <c r="T2147">
        <v>0</v>
      </c>
      <c r="U2147">
        <v>0</v>
      </c>
      <c r="V2147">
        <v>1354.41</v>
      </c>
      <c r="W2147">
        <v>0</v>
      </c>
      <c r="X2147">
        <v>1</v>
      </c>
      <c r="Y2147">
        <v>0</v>
      </c>
      <c r="Z2147">
        <v>-55</v>
      </c>
      <c r="AA2147">
        <v>1</v>
      </c>
      <c r="AB2147" s="13" t="s">
        <v>581</v>
      </c>
      <c r="AC2147">
        <v>0</v>
      </c>
      <c r="AD2147">
        <v>0</v>
      </c>
      <c r="AE2147" s="13" t="s">
        <v>61</v>
      </c>
    </row>
    <row r="2148" spans="1:31" x14ac:dyDescent="0.35">
      <c r="A2148" s="13" t="s">
        <v>2984</v>
      </c>
      <c r="B2148" s="13" t="s">
        <v>2985</v>
      </c>
      <c r="C2148" s="13" t="s">
        <v>2986</v>
      </c>
      <c r="D2148" s="13" t="s">
        <v>104</v>
      </c>
      <c r="E2148" s="13" t="s">
        <v>65</v>
      </c>
      <c r="F2148" s="13" t="s">
        <v>111</v>
      </c>
      <c r="G2148" s="13" t="s">
        <v>67</v>
      </c>
      <c r="H2148">
        <v>105000</v>
      </c>
      <c r="I2148" s="13" t="s">
        <v>105</v>
      </c>
      <c r="J2148" s="13" t="s">
        <v>106</v>
      </c>
      <c r="K2148" s="13" t="s">
        <v>107</v>
      </c>
      <c r="L2148" s="13" t="s">
        <v>82</v>
      </c>
      <c r="M2148">
        <v>30</v>
      </c>
      <c r="N2148">
        <v>2</v>
      </c>
      <c r="O2148" s="14">
        <v>46017</v>
      </c>
      <c r="P2148" s="14">
        <v>46047</v>
      </c>
      <c r="Q2148">
        <v>1391.56</v>
      </c>
      <c r="R2148">
        <v>0</v>
      </c>
      <c r="S2148">
        <v>0</v>
      </c>
      <c r="T2148">
        <v>0</v>
      </c>
      <c r="U2148">
        <v>0</v>
      </c>
      <c r="V2148">
        <v>1391.56</v>
      </c>
      <c r="W2148">
        <v>0</v>
      </c>
      <c r="X2148">
        <v>1</v>
      </c>
      <c r="Y2148">
        <v>0</v>
      </c>
      <c r="Z2148">
        <v>-25</v>
      </c>
      <c r="AA2148">
        <v>1</v>
      </c>
      <c r="AB2148" s="13" t="s">
        <v>581</v>
      </c>
      <c r="AC2148">
        <v>0</v>
      </c>
      <c r="AD2148">
        <v>0</v>
      </c>
      <c r="AE2148" s="13" t="s">
        <v>61</v>
      </c>
    </row>
    <row r="2149" spans="1:31" x14ac:dyDescent="0.35">
      <c r="A2149" s="13" t="s">
        <v>2987</v>
      </c>
      <c r="B2149" s="13" t="s">
        <v>418</v>
      </c>
      <c r="C2149" s="13" t="s">
        <v>419</v>
      </c>
      <c r="D2149" s="13" t="s">
        <v>52</v>
      </c>
      <c r="E2149" s="13" t="s">
        <v>99</v>
      </c>
      <c r="F2149" s="13" t="s">
        <v>100</v>
      </c>
      <c r="G2149" s="13" t="s">
        <v>67</v>
      </c>
      <c r="H2149">
        <v>535000</v>
      </c>
      <c r="I2149" s="13" t="s">
        <v>86</v>
      </c>
      <c r="J2149" s="13" t="s">
        <v>87</v>
      </c>
      <c r="K2149" s="13" t="s">
        <v>58</v>
      </c>
      <c r="L2149" s="13" t="s">
        <v>59</v>
      </c>
      <c r="M2149">
        <v>45</v>
      </c>
      <c r="N2149">
        <v>0</v>
      </c>
      <c r="O2149" s="14">
        <v>46017</v>
      </c>
      <c r="P2149" s="14">
        <v>46062</v>
      </c>
      <c r="Q2149">
        <v>2525.36</v>
      </c>
      <c r="R2149">
        <v>0</v>
      </c>
      <c r="S2149">
        <v>0</v>
      </c>
      <c r="T2149">
        <v>0</v>
      </c>
      <c r="U2149">
        <v>0</v>
      </c>
      <c r="V2149">
        <v>2525.36</v>
      </c>
      <c r="W2149">
        <v>0</v>
      </c>
      <c r="X2149">
        <v>1</v>
      </c>
      <c r="Y2149">
        <v>0</v>
      </c>
      <c r="Z2149">
        <v>-40</v>
      </c>
      <c r="AA2149">
        <v>1</v>
      </c>
      <c r="AB2149" s="13" t="s">
        <v>581</v>
      </c>
      <c r="AC2149">
        <v>0</v>
      </c>
      <c r="AD2149">
        <v>0</v>
      </c>
      <c r="AE2149" s="13" t="s">
        <v>61</v>
      </c>
    </row>
    <row r="2150" spans="1:31" x14ac:dyDescent="0.35">
      <c r="A2150" s="13" t="s">
        <v>2988</v>
      </c>
      <c r="B2150" s="13" t="s">
        <v>596</v>
      </c>
      <c r="C2150" s="13" t="s">
        <v>597</v>
      </c>
      <c r="D2150" s="13" t="s">
        <v>126</v>
      </c>
      <c r="E2150" s="13" t="s">
        <v>65</v>
      </c>
      <c r="F2150" s="13" t="s">
        <v>111</v>
      </c>
      <c r="G2150" s="13" t="s">
        <v>67</v>
      </c>
      <c r="H2150">
        <v>165000</v>
      </c>
      <c r="I2150" s="13" t="s">
        <v>56</v>
      </c>
      <c r="J2150" s="13" t="s">
        <v>57</v>
      </c>
      <c r="K2150" s="13" t="s">
        <v>58</v>
      </c>
      <c r="L2150" s="13" t="s">
        <v>88</v>
      </c>
      <c r="M2150">
        <v>60</v>
      </c>
      <c r="N2150">
        <v>0</v>
      </c>
      <c r="O2150" s="14">
        <v>46017</v>
      </c>
      <c r="P2150" s="14">
        <v>46077</v>
      </c>
      <c r="Q2150">
        <v>6250.56</v>
      </c>
      <c r="R2150">
        <v>0</v>
      </c>
      <c r="S2150">
        <v>0</v>
      </c>
      <c r="T2150">
        <v>0</v>
      </c>
      <c r="U2150">
        <v>0</v>
      </c>
      <c r="V2150">
        <v>6250.56</v>
      </c>
      <c r="W2150">
        <v>0</v>
      </c>
      <c r="X2150">
        <v>1</v>
      </c>
      <c r="Y2150">
        <v>0</v>
      </c>
      <c r="Z2150">
        <v>-55</v>
      </c>
      <c r="AA2150">
        <v>1</v>
      </c>
      <c r="AB2150" s="13" t="s">
        <v>581</v>
      </c>
      <c r="AC2150">
        <v>0</v>
      </c>
      <c r="AD2150">
        <v>0</v>
      </c>
      <c r="AE2150" s="13" t="s">
        <v>61</v>
      </c>
    </row>
    <row r="2151" spans="1:31" x14ac:dyDescent="0.35">
      <c r="A2151" s="13" t="s">
        <v>2989</v>
      </c>
      <c r="B2151" s="13" t="s">
        <v>506</v>
      </c>
      <c r="C2151" s="13" t="s">
        <v>507</v>
      </c>
      <c r="D2151" s="13" t="s">
        <v>126</v>
      </c>
      <c r="E2151" s="13" t="s">
        <v>99</v>
      </c>
      <c r="F2151" s="13" t="s">
        <v>100</v>
      </c>
      <c r="G2151" s="13" t="s">
        <v>67</v>
      </c>
      <c r="H2151">
        <v>215000</v>
      </c>
      <c r="I2151" s="13" t="s">
        <v>86</v>
      </c>
      <c r="J2151" s="13" t="s">
        <v>87</v>
      </c>
      <c r="K2151" s="13" t="s">
        <v>58</v>
      </c>
      <c r="L2151" s="13" t="s">
        <v>368</v>
      </c>
      <c r="M2151">
        <v>90</v>
      </c>
      <c r="N2151">
        <v>0</v>
      </c>
      <c r="O2151" s="14">
        <v>46017</v>
      </c>
      <c r="P2151" s="14">
        <v>46107</v>
      </c>
      <c r="Q2151">
        <v>5956.44</v>
      </c>
      <c r="R2151">
        <v>0</v>
      </c>
      <c r="S2151">
        <v>0</v>
      </c>
      <c r="T2151">
        <v>0</v>
      </c>
      <c r="U2151">
        <v>0</v>
      </c>
      <c r="V2151">
        <v>5956.44</v>
      </c>
      <c r="W2151">
        <v>0</v>
      </c>
      <c r="X2151">
        <v>1</v>
      </c>
      <c r="Y2151">
        <v>0</v>
      </c>
      <c r="Z2151">
        <v>-85</v>
      </c>
      <c r="AA2151">
        <v>1</v>
      </c>
      <c r="AB2151" s="13" t="s">
        <v>581</v>
      </c>
      <c r="AC2151">
        <v>0</v>
      </c>
      <c r="AD2151">
        <v>0</v>
      </c>
      <c r="AE2151" s="13" t="s">
        <v>61</v>
      </c>
    </row>
    <row r="2152" spans="1:31" x14ac:dyDescent="0.35">
      <c r="A2152" s="13" t="s">
        <v>2990</v>
      </c>
      <c r="B2152" s="13" t="s">
        <v>2431</v>
      </c>
      <c r="C2152" s="13" t="s">
        <v>2432</v>
      </c>
      <c r="D2152" s="13" t="s">
        <v>76</v>
      </c>
      <c r="E2152" s="13" t="s">
        <v>77</v>
      </c>
      <c r="F2152" s="13" t="s">
        <v>174</v>
      </c>
      <c r="G2152" s="13" t="s">
        <v>55</v>
      </c>
      <c r="H2152">
        <v>90000</v>
      </c>
      <c r="I2152" s="13" t="s">
        <v>93</v>
      </c>
      <c r="J2152" s="13" t="s">
        <v>94</v>
      </c>
      <c r="K2152" s="13" t="s">
        <v>81</v>
      </c>
      <c r="L2152" s="13" t="s">
        <v>82</v>
      </c>
      <c r="M2152">
        <v>30</v>
      </c>
      <c r="N2152">
        <v>2</v>
      </c>
      <c r="O2152" s="14">
        <v>46017</v>
      </c>
      <c r="P2152" s="14">
        <v>46047</v>
      </c>
      <c r="Q2152">
        <v>1819.23</v>
      </c>
      <c r="R2152">
        <v>0</v>
      </c>
      <c r="S2152">
        <v>0</v>
      </c>
      <c r="T2152">
        <v>0</v>
      </c>
      <c r="U2152">
        <v>0</v>
      </c>
      <c r="V2152">
        <v>1819.23</v>
      </c>
      <c r="W2152">
        <v>0</v>
      </c>
      <c r="X2152">
        <v>1</v>
      </c>
      <c r="Y2152">
        <v>0</v>
      </c>
      <c r="Z2152">
        <v>-25</v>
      </c>
      <c r="AA2152">
        <v>1</v>
      </c>
      <c r="AB2152" s="13" t="s">
        <v>581</v>
      </c>
      <c r="AC2152">
        <v>0</v>
      </c>
      <c r="AD2152">
        <v>0</v>
      </c>
      <c r="AE2152" s="13" t="s">
        <v>61</v>
      </c>
    </row>
    <row r="2153" spans="1:31" x14ac:dyDescent="0.35">
      <c r="A2153" s="13" t="s">
        <v>2991</v>
      </c>
      <c r="B2153" s="13" t="s">
        <v>2992</v>
      </c>
      <c r="C2153" s="13" t="s">
        <v>2993</v>
      </c>
      <c r="D2153" s="13" t="s">
        <v>104</v>
      </c>
      <c r="E2153" s="13" t="s">
        <v>71</v>
      </c>
      <c r="F2153" s="13" t="s">
        <v>72</v>
      </c>
      <c r="G2153" s="13" t="s">
        <v>67</v>
      </c>
      <c r="H2153">
        <v>55000</v>
      </c>
      <c r="I2153" s="13" t="s">
        <v>105</v>
      </c>
      <c r="J2153" s="13" t="s">
        <v>106</v>
      </c>
      <c r="K2153" s="13" t="s">
        <v>107</v>
      </c>
      <c r="L2153" s="13" t="s">
        <v>82</v>
      </c>
      <c r="M2153">
        <v>30</v>
      </c>
      <c r="N2153">
        <v>2</v>
      </c>
      <c r="O2153" s="14">
        <v>46017</v>
      </c>
      <c r="P2153" s="14">
        <v>46047</v>
      </c>
      <c r="Q2153">
        <v>849.82</v>
      </c>
      <c r="R2153">
        <v>0</v>
      </c>
      <c r="S2153">
        <v>0</v>
      </c>
      <c r="T2153">
        <v>0</v>
      </c>
      <c r="U2153">
        <v>0</v>
      </c>
      <c r="V2153">
        <v>849.82</v>
      </c>
      <c r="W2153">
        <v>0</v>
      </c>
      <c r="X2153">
        <v>1</v>
      </c>
      <c r="Y2153">
        <v>0</v>
      </c>
      <c r="Z2153">
        <v>-25</v>
      </c>
      <c r="AA2153">
        <v>1</v>
      </c>
      <c r="AB2153" s="13" t="s">
        <v>581</v>
      </c>
      <c r="AC2153">
        <v>0</v>
      </c>
      <c r="AD2153">
        <v>0</v>
      </c>
      <c r="AE2153" s="13" t="s">
        <v>61</v>
      </c>
    </row>
    <row r="2154" spans="1:31" x14ac:dyDescent="0.35">
      <c r="A2154" s="13" t="s">
        <v>2994</v>
      </c>
      <c r="B2154" s="13" t="s">
        <v>1723</v>
      </c>
      <c r="C2154" s="13" t="s">
        <v>1724</v>
      </c>
      <c r="D2154" s="13" t="s">
        <v>76</v>
      </c>
      <c r="E2154" s="13" t="s">
        <v>71</v>
      </c>
      <c r="F2154" s="13" t="s">
        <v>214</v>
      </c>
      <c r="G2154" s="13" t="s">
        <v>92</v>
      </c>
      <c r="H2154">
        <v>65000</v>
      </c>
      <c r="I2154" s="13" t="s">
        <v>93</v>
      </c>
      <c r="J2154" s="13" t="s">
        <v>94</v>
      </c>
      <c r="K2154" s="13" t="s">
        <v>81</v>
      </c>
      <c r="L2154" s="13" t="s">
        <v>95</v>
      </c>
      <c r="M2154">
        <v>30</v>
      </c>
      <c r="N2154">
        <v>0</v>
      </c>
      <c r="O2154" s="14">
        <v>46017</v>
      </c>
      <c r="P2154" s="14">
        <v>46047</v>
      </c>
      <c r="Q2154">
        <v>4700.03</v>
      </c>
      <c r="R2154">
        <v>0</v>
      </c>
      <c r="S2154">
        <v>0</v>
      </c>
      <c r="T2154">
        <v>0</v>
      </c>
      <c r="U2154">
        <v>0</v>
      </c>
      <c r="V2154">
        <v>4700.03</v>
      </c>
      <c r="W2154">
        <v>0</v>
      </c>
      <c r="X2154">
        <v>1</v>
      </c>
      <c r="Y2154">
        <v>0</v>
      </c>
      <c r="Z2154">
        <v>-25</v>
      </c>
      <c r="AA2154">
        <v>1</v>
      </c>
      <c r="AB2154" s="13" t="s">
        <v>581</v>
      </c>
      <c r="AC2154">
        <v>0</v>
      </c>
      <c r="AD2154">
        <v>0</v>
      </c>
      <c r="AE2154" s="13" t="s">
        <v>61</v>
      </c>
    </row>
    <row r="2155" spans="1:31" x14ac:dyDescent="0.35">
      <c r="A2155" s="13" t="s">
        <v>2995</v>
      </c>
      <c r="B2155" s="13" t="s">
        <v>2138</v>
      </c>
      <c r="C2155" s="13" t="s">
        <v>2139</v>
      </c>
      <c r="D2155" s="13" t="s">
        <v>76</v>
      </c>
      <c r="E2155" s="13" t="s">
        <v>53</v>
      </c>
      <c r="F2155" s="13" t="s">
        <v>135</v>
      </c>
      <c r="G2155" s="13" t="s">
        <v>55</v>
      </c>
      <c r="H2155">
        <v>105000</v>
      </c>
      <c r="I2155" s="13" t="s">
        <v>79</v>
      </c>
      <c r="J2155" s="13" t="s">
        <v>80</v>
      </c>
      <c r="K2155" s="13" t="s">
        <v>81</v>
      </c>
      <c r="L2155" s="13" t="s">
        <v>95</v>
      </c>
      <c r="M2155">
        <v>30</v>
      </c>
      <c r="N2155">
        <v>0</v>
      </c>
      <c r="O2155" s="14">
        <v>46017</v>
      </c>
      <c r="P2155" s="14">
        <v>46047</v>
      </c>
      <c r="Q2155">
        <v>1140.21</v>
      </c>
      <c r="R2155">
        <v>0</v>
      </c>
      <c r="S2155">
        <v>0</v>
      </c>
      <c r="T2155">
        <v>0</v>
      </c>
      <c r="U2155">
        <v>0</v>
      </c>
      <c r="V2155">
        <v>1140.21</v>
      </c>
      <c r="W2155">
        <v>0</v>
      </c>
      <c r="X2155">
        <v>1</v>
      </c>
      <c r="Y2155">
        <v>0</v>
      </c>
      <c r="Z2155">
        <v>-25</v>
      </c>
      <c r="AA2155">
        <v>1</v>
      </c>
      <c r="AB2155" s="13" t="s">
        <v>581</v>
      </c>
      <c r="AC2155">
        <v>0</v>
      </c>
      <c r="AD2155">
        <v>0</v>
      </c>
      <c r="AE2155" s="13" t="s">
        <v>61</v>
      </c>
    </row>
    <row r="2156" spans="1:31" x14ac:dyDescent="0.35">
      <c r="A2156" s="13" t="s">
        <v>2996</v>
      </c>
      <c r="B2156" s="13" t="s">
        <v>1038</v>
      </c>
      <c r="C2156" s="13" t="s">
        <v>1039</v>
      </c>
      <c r="D2156" s="13" t="s">
        <v>52</v>
      </c>
      <c r="E2156" s="13" t="s">
        <v>77</v>
      </c>
      <c r="F2156" s="13" t="s">
        <v>78</v>
      </c>
      <c r="G2156" s="13" t="s">
        <v>67</v>
      </c>
      <c r="H2156">
        <v>425000</v>
      </c>
      <c r="I2156" s="13" t="s">
        <v>56</v>
      </c>
      <c r="J2156" s="13" t="s">
        <v>57</v>
      </c>
      <c r="K2156" s="13" t="s">
        <v>58</v>
      </c>
      <c r="L2156" s="13" t="s">
        <v>59</v>
      </c>
      <c r="M2156">
        <v>45</v>
      </c>
      <c r="N2156">
        <v>0</v>
      </c>
      <c r="O2156" s="14">
        <v>46017</v>
      </c>
      <c r="P2156" s="14">
        <v>46062</v>
      </c>
      <c r="Q2156">
        <v>9927.5499999999993</v>
      </c>
      <c r="R2156">
        <v>0</v>
      </c>
      <c r="S2156">
        <v>0</v>
      </c>
      <c r="T2156">
        <v>0</v>
      </c>
      <c r="U2156">
        <v>0</v>
      </c>
      <c r="V2156">
        <v>9927.5499999999993</v>
      </c>
      <c r="W2156">
        <v>0</v>
      </c>
      <c r="X2156">
        <v>1</v>
      </c>
      <c r="Y2156">
        <v>0</v>
      </c>
      <c r="Z2156">
        <v>-40</v>
      </c>
      <c r="AA2156">
        <v>1</v>
      </c>
      <c r="AB2156" s="13" t="s">
        <v>581</v>
      </c>
      <c r="AC2156">
        <v>0</v>
      </c>
      <c r="AD2156">
        <v>0</v>
      </c>
      <c r="AE2156" s="13" t="s">
        <v>61</v>
      </c>
    </row>
    <row r="2157" spans="1:31" x14ac:dyDescent="0.35">
      <c r="A2157" s="13" t="s">
        <v>2997</v>
      </c>
      <c r="B2157" s="13" t="s">
        <v>857</v>
      </c>
      <c r="C2157" s="13" t="s">
        <v>858</v>
      </c>
      <c r="D2157" s="13" t="s">
        <v>126</v>
      </c>
      <c r="E2157" s="13" t="s">
        <v>99</v>
      </c>
      <c r="F2157" s="13" t="s">
        <v>127</v>
      </c>
      <c r="G2157" s="13" t="s">
        <v>55</v>
      </c>
      <c r="H2157">
        <v>160000</v>
      </c>
      <c r="I2157" s="13" t="s">
        <v>56</v>
      </c>
      <c r="J2157" s="13" t="s">
        <v>57</v>
      </c>
      <c r="K2157" s="13" t="s">
        <v>58</v>
      </c>
      <c r="L2157" s="13" t="s">
        <v>88</v>
      </c>
      <c r="M2157">
        <v>60</v>
      </c>
      <c r="N2157">
        <v>0</v>
      </c>
      <c r="O2157" s="14">
        <v>46017</v>
      </c>
      <c r="P2157" s="14">
        <v>46077</v>
      </c>
      <c r="Q2157">
        <v>2210.66</v>
      </c>
      <c r="R2157">
        <v>0</v>
      </c>
      <c r="S2157">
        <v>0</v>
      </c>
      <c r="T2157">
        <v>0</v>
      </c>
      <c r="U2157">
        <v>0</v>
      </c>
      <c r="V2157">
        <v>2210.66</v>
      </c>
      <c r="W2157">
        <v>0</v>
      </c>
      <c r="X2157">
        <v>1</v>
      </c>
      <c r="Y2157">
        <v>0</v>
      </c>
      <c r="Z2157">
        <v>-55</v>
      </c>
      <c r="AA2157">
        <v>1</v>
      </c>
      <c r="AB2157" s="13" t="s">
        <v>581</v>
      </c>
      <c r="AC2157">
        <v>0</v>
      </c>
      <c r="AD2157">
        <v>0</v>
      </c>
      <c r="AE2157" s="13" t="s">
        <v>61</v>
      </c>
    </row>
    <row r="2158" spans="1:31" x14ac:dyDescent="0.35">
      <c r="A2158" s="13" t="s">
        <v>2998</v>
      </c>
      <c r="B2158" s="13" t="s">
        <v>2999</v>
      </c>
      <c r="C2158" s="13" t="s">
        <v>3000</v>
      </c>
      <c r="D2158" s="13" t="s">
        <v>76</v>
      </c>
      <c r="E2158" s="13" t="s">
        <v>65</v>
      </c>
      <c r="F2158" s="13" t="s">
        <v>66</v>
      </c>
      <c r="G2158" s="13" t="s">
        <v>67</v>
      </c>
      <c r="H2158">
        <v>30000</v>
      </c>
      <c r="I2158" s="13" t="s">
        <v>93</v>
      </c>
      <c r="J2158" s="13" t="s">
        <v>94</v>
      </c>
      <c r="K2158" s="13" t="s">
        <v>81</v>
      </c>
      <c r="L2158" s="13" t="s">
        <v>82</v>
      </c>
      <c r="M2158">
        <v>30</v>
      </c>
      <c r="N2158">
        <v>2</v>
      </c>
      <c r="O2158" s="14">
        <v>46017</v>
      </c>
      <c r="P2158" s="14">
        <v>46047</v>
      </c>
      <c r="Q2158">
        <v>3050.89</v>
      </c>
      <c r="R2158">
        <v>0</v>
      </c>
      <c r="S2158">
        <v>0</v>
      </c>
      <c r="T2158">
        <v>0</v>
      </c>
      <c r="U2158">
        <v>0</v>
      </c>
      <c r="V2158">
        <v>3050.89</v>
      </c>
      <c r="W2158">
        <v>0</v>
      </c>
      <c r="X2158">
        <v>1</v>
      </c>
      <c r="Y2158">
        <v>0</v>
      </c>
      <c r="Z2158">
        <v>-25</v>
      </c>
      <c r="AA2158">
        <v>1</v>
      </c>
      <c r="AB2158" s="13" t="s">
        <v>581</v>
      </c>
      <c r="AC2158">
        <v>0</v>
      </c>
      <c r="AD2158">
        <v>0</v>
      </c>
      <c r="AE2158" s="13" t="s">
        <v>61</v>
      </c>
    </row>
    <row r="2159" spans="1:31" x14ac:dyDescent="0.35">
      <c r="A2159" s="13" t="s">
        <v>3001</v>
      </c>
      <c r="B2159" s="13" t="s">
        <v>312</v>
      </c>
      <c r="C2159" s="13" t="s">
        <v>313</v>
      </c>
      <c r="D2159" s="13" t="s">
        <v>52</v>
      </c>
      <c r="E2159" s="13" t="s">
        <v>77</v>
      </c>
      <c r="F2159" s="13" t="s">
        <v>174</v>
      </c>
      <c r="G2159" s="13" t="s">
        <v>55</v>
      </c>
      <c r="H2159">
        <v>600000</v>
      </c>
      <c r="I2159" s="13" t="s">
        <v>56</v>
      </c>
      <c r="J2159" s="13" t="s">
        <v>57</v>
      </c>
      <c r="K2159" s="13" t="s">
        <v>58</v>
      </c>
      <c r="L2159" s="13" t="s">
        <v>88</v>
      </c>
      <c r="M2159">
        <v>60</v>
      </c>
      <c r="N2159">
        <v>0</v>
      </c>
      <c r="O2159" s="14">
        <v>46017</v>
      </c>
      <c r="P2159" s="14">
        <v>46077</v>
      </c>
      <c r="Q2159">
        <v>11027.93</v>
      </c>
      <c r="R2159">
        <v>0</v>
      </c>
      <c r="S2159">
        <v>0</v>
      </c>
      <c r="T2159">
        <v>0</v>
      </c>
      <c r="U2159">
        <v>0</v>
      </c>
      <c r="V2159">
        <v>11027.93</v>
      </c>
      <c r="W2159">
        <v>0</v>
      </c>
      <c r="X2159">
        <v>1</v>
      </c>
      <c r="Y2159">
        <v>0</v>
      </c>
      <c r="Z2159">
        <v>-55</v>
      </c>
      <c r="AA2159">
        <v>1</v>
      </c>
      <c r="AB2159" s="13" t="s">
        <v>581</v>
      </c>
      <c r="AC2159">
        <v>0</v>
      </c>
      <c r="AD2159">
        <v>0</v>
      </c>
      <c r="AE2159" s="13" t="s">
        <v>61</v>
      </c>
    </row>
    <row r="2160" spans="1:31" x14ac:dyDescent="0.35">
      <c r="A2160" s="13" t="s">
        <v>3002</v>
      </c>
      <c r="B2160" s="13" t="s">
        <v>558</v>
      </c>
      <c r="C2160" s="13" t="s">
        <v>559</v>
      </c>
      <c r="D2160" s="13" t="s">
        <v>52</v>
      </c>
      <c r="E2160" s="13" t="s">
        <v>53</v>
      </c>
      <c r="F2160" s="13" t="s">
        <v>54</v>
      </c>
      <c r="G2160" s="13" t="s">
        <v>55</v>
      </c>
      <c r="H2160">
        <v>240000</v>
      </c>
      <c r="I2160" s="13" t="s">
        <v>56</v>
      </c>
      <c r="J2160" s="13" t="s">
        <v>57</v>
      </c>
      <c r="K2160" s="13" t="s">
        <v>58</v>
      </c>
      <c r="L2160" s="13" t="s">
        <v>59</v>
      </c>
      <c r="M2160">
        <v>45</v>
      </c>
      <c r="N2160">
        <v>0</v>
      </c>
      <c r="O2160" s="14">
        <v>46017</v>
      </c>
      <c r="P2160" s="14">
        <v>46062</v>
      </c>
      <c r="Q2160">
        <v>1798.68</v>
      </c>
      <c r="R2160">
        <v>0</v>
      </c>
      <c r="S2160">
        <v>0</v>
      </c>
      <c r="T2160">
        <v>0</v>
      </c>
      <c r="U2160">
        <v>0</v>
      </c>
      <c r="V2160">
        <v>1798.68</v>
      </c>
      <c r="W2160">
        <v>0</v>
      </c>
      <c r="X2160">
        <v>1</v>
      </c>
      <c r="Y2160">
        <v>0</v>
      </c>
      <c r="Z2160">
        <v>-40</v>
      </c>
      <c r="AA2160">
        <v>1</v>
      </c>
      <c r="AB2160" s="13" t="s">
        <v>581</v>
      </c>
      <c r="AC2160">
        <v>0</v>
      </c>
      <c r="AD2160">
        <v>0</v>
      </c>
      <c r="AE2160" s="13" t="s">
        <v>61</v>
      </c>
    </row>
    <row r="2161" spans="1:31" x14ac:dyDescent="0.35">
      <c r="A2161" s="13" t="s">
        <v>3003</v>
      </c>
      <c r="B2161" s="13" t="s">
        <v>168</v>
      </c>
      <c r="C2161" s="13" t="s">
        <v>169</v>
      </c>
      <c r="D2161" s="13" t="s">
        <v>52</v>
      </c>
      <c r="E2161" s="13" t="s">
        <v>65</v>
      </c>
      <c r="F2161" s="13" t="s">
        <v>66</v>
      </c>
      <c r="G2161" s="13" t="s">
        <v>67</v>
      </c>
      <c r="H2161">
        <v>580000</v>
      </c>
      <c r="I2161" s="13" t="s">
        <v>56</v>
      </c>
      <c r="J2161" s="13" t="s">
        <v>57</v>
      </c>
      <c r="K2161" s="13" t="s">
        <v>58</v>
      </c>
      <c r="L2161" s="13" t="s">
        <v>59</v>
      </c>
      <c r="M2161">
        <v>45</v>
      </c>
      <c r="N2161">
        <v>0</v>
      </c>
      <c r="O2161" s="14">
        <v>46017</v>
      </c>
      <c r="P2161" s="14">
        <v>46062</v>
      </c>
      <c r="Q2161">
        <v>2449.56</v>
      </c>
      <c r="R2161">
        <v>0</v>
      </c>
      <c r="S2161">
        <v>0</v>
      </c>
      <c r="T2161">
        <v>0</v>
      </c>
      <c r="U2161">
        <v>0</v>
      </c>
      <c r="V2161">
        <v>2449.56</v>
      </c>
      <c r="W2161">
        <v>0</v>
      </c>
      <c r="X2161">
        <v>1</v>
      </c>
      <c r="Y2161">
        <v>0</v>
      </c>
      <c r="Z2161">
        <v>-40</v>
      </c>
      <c r="AA2161">
        <v>1</v>
      </c>
      <c r="AB2161" s="13" t="s">
        <v>581</v>
      </c>
      <c r="AC2161">
        <v>0</v>
      </c>
      <c r="AD2161">
        <v>0</v>
      </c>
      <c r="AE2161" s="13" t="s">
        <v>61</v>
      </c>
    </row>
    <row r="2162" spans="1:31" x14ac:dyDescent="0.35">
      <c r="A2162" s="13" t="s">
        <v>3004</v>
      </c>
      <c r="B2162" s="13" t="s">
        <v>1042</v>
      </c>
      <c r="C2162" s="13" t="s">
        <v>1043</v>
      </c>
      <c r="D2162" s="13" t="s">
        <v>104</v>
      </c>
      <c r="E2162" s="13" t="s">
        <v>53</v>
      </c>
      <c r="F2162" s="13" t="s">
        <v>135</v>
      </c>
      <c r="G2162" s="13" t="s">
        <v>67</v>
      </c>
      <c r="H2162">
        <v>85000</v>
      </c>
      <c r="I2162" s="13" t="s">
        <v>121</v>
      </c>
      <c r="J2162" s="13" t="s">
        <v>122</v>
      </c>
      <c r="K2162" s="13" t="s">
        <v>107</v>
      </c>
      <c r="L2162" s="13" t="s">
        <v>88</v>
      </c>
      <c r="M2162">
        <v>60</v>
      </c>
      <c r="N2162">
        <v>0</v>
      </c>
      <c r="O2162" s="14">
        <v>46017</v>
      </c>
      <c r="P2162" s="14">
        <v>46077</v>
      </c>
      <c r="Q2162">
        <v>2127.2600000000002</v>
      </c>
      <c r="R2162">
        <v>0</v>
      </c>
      <c r="S2162">
        <v>0</v>
      </c>
      <c r="T2162">
        <v>0</v>
      </c>
      <c r="U2162">
        <v>0</v>
      </c>
      <c r="V2162">
        <v>2127.2600000000002</v>
      </c>
      <c r="W2162">
        <v>0</v>
      </c>
      <c r="X2162">
        <v>1</v>
      </c>
      <c r="Y2162">
        <v>0</v>
      </c>
      <c r="Z2162">
        <v>-55</v>
      </c>
      <c r="AA2162">
        <v>1</v>
      </c>
      <c r="AB2162" s="13" t="s">
        <v>581</v>
      </c>
      <c r="AC2162">
        <v>0</v>
      </c>
      <c r="AD2162">
        <v>0</v>
      </c>
      <c r="AE2162" s="13" t="s">
        <v>61</v>
      </c>
    </row>
    <row r="2163" spans="1:31" x14ac:dyDescent="0.35">
      <c r="A2163" s="13" t="s">
        <v>3005</v>
      </c>
      <c r="B2163" s="13" t="s">
        <v>2924</v>
      </c>
      <c r="C2163" s="13" t="s">
        <v>2925</v>
      </c>
      <c r="D2163" s="13" t="s">
        <v>104</v>
      </c>
      <c r="E2163" s="13" t="s">
        <v>71</v>
      </c>
      <c r="F2163" s="13" t="s">
        <v>214</v>
      </c>
      <c r="G2163" s="13" t="s">
        <v>67</v>
      </c>
      <c r="H2163">
        <v>105000</v>
      </c>
      <c r="I2163" s="13" t="s">
        <v>105</v>
      </c>
      <c r="J2163" s="13" t="s">
        <v>106</v>
      </c>
      <c r="K2163" s="13" t="s">
        <v>107</v>
      </c>
      <c r="L2163" s="13" t="s">
        <v>82</v>
      </c>
      <c r="M2163">
        <v>30</v>
      </c>
      <c r="N2163">
        <v>2</v>
      </c>
      <c r="O2163" s="14">
        <v>46017</v>
      </c>
      <c r="P2163" s="14">
        <v>46047</v>
      </c>
      <c r="Q2163">
        <v>4117.17</v>
      </c>
      <c r="R2163">
        <v>0</v>
      </c>
      <c r="S2163">
        <v>0</v>
      </c>
      <c r="T2163">
        <v>0</v>
      </c>
      <c r="U2163">
        <v>0</v>
      </c>
      <c r="V2163">
        <v>4117.17</v>
      </c>
      <c r="W2163">
        <v>0</v>
      </c>
      <c r="X2163">
        <v>1</v>
      </c>
      <c r="Y2163">
        <v>0</v>
      </c>
      <c r="Z2163">
        <v>-25</v>
      </c>
      <c r="AA2163">
        <v>1</v>
      </c>
      <c r="AB2163" s="13" t="s">
        <v>581</v>
      </c>
      <c r="AC2163">
        <v>0</v>
      </c>
      <c r="AD2163">
        <v>0</v>
      </c>
      <c r="AE2163" s="13" t="s">
        <v>61</v>
      </c>
    </row>
    <row r="2164" spans="1:31" x14ac:dyDescent="0.35">
      <c r="A2164" s="13" t="s">
        <v>3006</v>
      </c>
      <c r="B2164" s="13" t="s">
        <v>69</v>
      </c>
      <c r="C2164" s="13" t="s">
        <v>70</v>
      </c>
      <c r="D2164" s="13" t="s">
        <v>52</v>
      </c>
      <c r="E2164" s="13" t="s">
        <v>71</v>
      </c>
      <c r="F2164" s="13" t="s">
        <v>72</v>
      </c>
      <c r="G2164" s="13" t="s">
        <v>55</v>
      </c>
      <c r="H2164">
        <v>580000</v>
      </c>
      <c r="I2164" s="13" t="s">
        <v>56</v>
      </c>
      <c r="J2164" s="13" t="s">
        <v>57</v>
      </c>
      <c r="K2164" s="13" t="s">
        <v>58</v>
      </c>
      <c r="L2164" s="13" t="s">
        <v>59</v>
      </c>
      <c r="M2164">
        <v>45</v>
      </c>
      <c r="N2164">
        <v>0</v>
      </c>
      <c r="O2164" s="14">
        <v>46017</v>
      </c>
      <c r="P2164" s="14">
        <v>46062</v>
      </c>
      <c r="Q2164">
        <v>2970.15</v>
      </c>
      <c r="R2164">
        <v>0</v>
      </c>
      <c r="S2164">
        <v>0</v>
      </c>
      <c r="T2164">
        <v>0</v>
      </c>
      <c r="U2164">
        <v>0</v>
      </c>
      <c r="V2164">
        <v>2970.15</v>
      </c>
      <c r="W2164">
        <v>0</v>
      </c>
      <c r="X2164">
        <v>1</v>
      </c>
      <c r="Y2164">
        <v>0</v>
      </c>
      <c r="Z2164">
        <v>-40</v>
      </c>
      <c r="AA2164">
        <v>1</v>
      </c>
      <c r="AB2164" s="13" t="s">
        <v>581</v>
      </c>
      <c r="AC2164">
        <v>0</v>
      </c>
      <c r="AD2164">
        <v>0</v>
      </c>
      <c r="AE2164" s="13" t="s">
        <v>61</v>
      </c>
    </row>
    <row r="2165" spans="1:31" x14ac:dyDescent="0.35">
      <c r="A2165" s="13" t="s">
        <v>3007</v>
      </c>
      <c r="B2165" s="13" t="s">
        <v>2080</v>
      </c>
      <c r="C2165" s="13" t="s">
        <v>2081</v>
      </c>
      <c r="D2165" s="13" t="s">
        <v>104</v>
      </c>
      <c r="E2165" s="13" t="s">
        <v>99</v>
      </c>
      <c r="F2165" s="13" t="s">
        <v>100</v>
      </c>
      <c r="G2165" s="13" t="s">
        <v>55</v>
      </c>
      <c r="H2165">
        <v>150000</v>
      </c>
      <c r="I2165" s="13" t="s">
        <v>56</v>
      </c>
      <c r="J2165" s="13" t="s">
        <v>57</v>
      </c>
      <c r="K2165" s="13" t="s">
        <v>58</v>
      </c>
      <c r="L2165" s="13" t="s">
        <v>95</v>
      </c>
      <c r="M2165">
        <v>30</v>
      </c>
      <c r="N2165">
        <v>0</v>
      </c>
      <c r="O2165" s="14">
        <v>46017</v>
      </c>
      <c r="P2165" s="14">
        <v>46047</v>
      </c>
      <c r="Q2165">
        <v>2267.4</v>
      </c>
      <c r="R2165">
        <v>0</v>
      </c>
      <c r="S2165">
        <v>0</v>
      </c>
      <c r="T2165">
        <v>0</v>
      </c>
      <c r="U2165">
        <v>0</v>
      </c>
      <c r="V2165">
        <v>2267.4</v>
      </c>
      <c r="W2165">
        <v>0</v>
      </c>
      <c r="X2165">
        <v>1</v>
      </c>
      <c r="Y2165">
        <v>0</v>
      </c>
      <c r="Z2165">
        <v>-25</v>
      </c>
      <c r="AA2165">
        <v>1</v>
      </c>
      <c r="AB2165" s="13" t="s">
        <v>581</v>
      </c>
      <c r="AC2165">
        <v>0</v>
      </c>
      <c r="AD2165">
        <v>0</v>
      </c>
      <c r="AE2165" s="13" t="s">
        <v>61</v>
      </c>
    </row>
    <row r="2166" spans="1:31" x14ac:dyDescent="0.35">
      <c r="A2166" s="13" t="s">
        <v>3008</v>
      </c>
      <c r="B2166" s="13" t="s">
        <v>766</v>
      </c>
      <c r="C2166" s="13" t="s">
        <v>767</v>
      </c>
      <c r="D2166" s="13" t="s">
        <v>104</v>
      </c>
      <c r="E2166" s="13" t="s">
        <v>53</v>
      </c>
      <c r="F2166" s="13" t="s">
        <v>135</v>
      </c>
      <c r="G2166" s="13" t="s">
        <v>92</v>
      </c>
      <c r="H2166">
        <v>90000</v>
      </c>
      <c r="I2166" s="13" t="s">
        <v>105</v>
      </c>
      <c r="J2166" s="13" t="s">
        <v>106</v>
      </c>
      <c r="K2166" s="13" t="s">
        <v>107</v>
      </c>
      <c r="L2166" s="13" t="s">
        <v>88</v>
      </c>
      <c r="M2166">
        <v>60</v>
      </c>
      <c r="N2166">
        <v>0</v>
      </c>
      <c r="O2166" s="14">
        <v>46017</v>
      </c>
      <c r="P2166" s="14">
        <v>46077</v>
      </c>
      <c r="Q2166">
        <v>922.55</v>
      </c>
      <c r="R2166">
        <v>0</v>
      </c>
      <c r="S2166">
        <v>0</v>
      </c>
      <c r="T2166">
        <v>0</v>
      </c>
      <c r="U2166">
        <v>0</v>
      </c>
      <c r="V2166">
        <v>922.55</v>
      </c>
      <c r="W2166">
        <v>0</v>
      </c>
      <c r="X2166">
        <v>1</v>
      </c>
      <c r="Y2166">
        <v>0</v>
      </c>
      <c r="Z2166">
        <v>-55</v>
      </c>
      <c r="AA2166">
        <v>1</v>
      </c>
      <c r="AB2166" s="13" t="s">
        <v>581</v>
      </c>
      <c r="AC2166">
        <v>0</v>
      </c>
      <c r="AD2166">
        <v>0</v>
      </c>
      <c r="AE2166" s="13" t="s">
        <v>61</v>
      </c>
    </row>
    <row r="2167" spans="1:31" x14ac:dyDescent="0.35">
      <c r="A2167" s="13" t="s">
        <v>3009</v>
      </c>
      <c r="B2167" s="13" t="s">
        <v>601</v>
      </c>
      <c r="C2167" s="13" t="s">
        <v>602</v>
      </c>
      <c r="D2167" s="13" t="s">
        <v>52</v>
      </c>
      <c r="E2167" s="13" t="s">
        <v>53</v>
      </c>
      <c r="F2167" s="13" t="s">
        <v>135</v>
      </c>
      <c r="G2167" s="13" t="s">
        <v>67</v>
      </c>
      <c r="H2167">
        <v>525000</v>
      </c>
      <c r="I2167" s="13" t="s">
        <v>86</v>
      </c>
      <c r="J2167" s="13" t="s">
        <v>87</v>
      </c>
      <c r="K2167" s="13" t="s">
        <v>58</v>
      </c>
      <c r="L2167" s="13" t="s">
        <v>59</v>
      </c>
      <c r="M2167">
        <v>45</v>
      </c>
      <c r="N2167">
        <v>0</v>
      </c>
      <c r="O2167" s="14">
        <v>46017</v>
      </c>
      <c r="P2167" s="14">
        <v>46062</v>
      </c>
      <c r="Q2167">
        <v>6635.53</v>
      </c>
      <c r="R2167">
        <v>0</v>
      </c>
      <c r="S2167">
        <v>0</v>
      </c>
      <c r="T2167">
        <v>0</v>
      </c>
      <c r="U2167">
        <v>0</v>
      </c>
      <c r="V2167">
        <v>6635.53</v>
      </c>
      <c r="W2167">
        <v>0</v>
      </c>
      <c r="X2167">
        <v>1</v>
      </c>
      <c r="Y2167">
        <v>0</v>
      </c>
      <c r="Z2167">
        <v>-40</v>
      </c>
      <c r="AA2167">
        <v>1</v>
      </c>
      <c r="AB2167" s="13" t="s">
        <v>581</v>
      </c>
      <c r="AC2167">
        <v>0</v>
      </c>
      <c r="AD2167">
        <v>0</v>
      </c>
      <c r="AE2167" s="13" t="s">
        <v>61</v>
      </c>
    </row>
    <row r="2168" spans="1:31" x14ac:dyDescent="0.35">
      <c r="A2168" s="13" t="s">
        <v>3010</v>
      </c>
      <c r="B2168" s="13" t="s">
        <v>1179</v>
      </c>
      <c r="C2168" s="13" t="s">
        <v>1180</v>
      </c>
      <c r="D2168" s="13" t="s">
        <v>104</v>
      </c>
      <c r="E2168" s="13" t="s">
        <v>71</v>
      </c>
      <c r="F2168" s="13" t="s">
        <v>72</v>
      </c>
      <c r="G2168" s="13" t="s">
        <v>67</v>
      </c>
      <c r="H2168">
        <v>50000</v>
      </c>
      <c r="I2168" s="13" t="s">
        <v>105</v>
      </c>
      <c r="J2168" s="13" t="s">
        <v>106</v>
      </c>
      <c r="K2168" s="13" t="s">
        <v>107</v>
      </c>
      <c r="L2168" s="13" t="s">
        <v>88</v>
      </c>
      <c r="M2168">
        <v>60</v>
      </c>
      <c r="N2168">
        <v>0</v>
      </c>
      <c r="O2168" s="14">
        <v>46017</v>
      </c>
      <c r="P2168" s="14">
        <v>46077</v>
      </c>
      <c r="Q2168">
        <v>6856.2</v>
      </c>
      <c r="R2168">
        <v>0</v>
      </c>
      <c r="S2168">
        <v>0</v>
      </c>
      <c r="T2168">
        <v>0</v>
      </c>
      <c r="U2168">
        <v>0</v>
      </c>
      <c r="V2168">
        <v>6856.2</v>
      </c>
      <c r="W2168">
        <v>0</v>
      </c>
      <c r="X2168">
        <v>1</v>
      </c>
      <c r="Y2168">
        <v>0</v>
      </c>
      <c r="Z2168">
        <v>-55</v>
      </c>
      <c r="AA2168">
        <v>1</v>
      </c>
      <c r="AB2168" s="13" t="s">
        <v>581</v>
      </c>
      <c r="AC2168">
        <v>0</v>
      </c>
      <c r="AD2168">
        <v>0</v>
      </c>
      <c r="AE2168" s="13" t="s">
        <v>61</v>
      </c>
    </row>
    <row r="2169" spans="1:31" x14ac:dyDescent="0.35">
      <c r="A2169" s="13" t="s">
        <v>3011</v>
      </c>
      <c r="B2169" s="13" t="s">
        <v>2032</v>
      </c>
      <c r="C2169" s="13" t="s">
        <v>2033</v>
      </c>
      <c r="D2169" s="13" t="s">
        <v>76</v>
      </c>
      <c r="E2169" s="13" t="s">
        <v>65</v>
      </c>
      <c r="F2169" s="13" t="s">
        <v>66</v>
      </c>
      <c r="G2169" s="13" t="s">
        <v>67</v>
      </c>
      <c r="H2169">
        <v>110000</v>
      </c>
      <c r="I2169" s="13" t="s">
        <v>79</v>
      </c>
      <c r="J2169" s="13" t="s">
        <v>80</v>
      </c>
      <c r="K2169" s="13" t="s">
        <v>81</v>
      </c>
      <c r="L2169" s="13" t="s">
        <v>82</v>
      </c>
      <c r="M2169">
        <v>30</v>
      </c>
      <c r="N2169">
        <v>2</v>
      </c>
      <c r="O2169" s="14">
        <v>46017</v>
      </c>
      <c r="P2169" s="14">
        <v>46047</v>
      </c>
      <c r="Q2169">
        <v>644.94000000000005</v>
      </c>
      <c r="R2169">
        <v>0</v>
      </c>
      <c r="S2169">
        <v>0</v>
      </c>
      <c r="T2169">
        <v>0</v>
      </c>
      <c r="U2169">
        <v>0</v>
      </c>
      <c r="V2169">
        <v>644.94000000000005</v>
      </c>
      <c r="W2169">
        <v>0</v>
      </c>
      <c r="X2169">
        <v>1</v>
      </c>
      <c r="Y2169">
        <v>0</v>
      </c>
      <c r="Z2169">
        <v>-25</v>
      </c>
      <c r="AA2169">
        <v>1</v>
      </c>
      <c r="AB2169" s="13" t="s">
        <v>581</v>
      </c>
      <c r="AC2169">
        <v>0</v>
      </c>
      <c r="AD2169">
        <v>0</v>
      </c>
      <c r="AE2169" s="13" t="s">
        <v>61</v>
      </c>
    </row>
    <row r="2170" spans="1:31" x14ac:dyDescent="0.35">
      <c r="A2170" s="13" t="s">
        <v>3012</v>
      </c>
      <c r="B2170" s="13" t="s">
        <v>209</v>
      </c>
      <c r="C2170" s="13" t="s">
        <v>210</v>
      </c>
      <c r="D2170" s="13" t="s">
        <v>52</v>
      </c>
      <c r="E2170" s="13" t="s">
        <v>77</v>
      </c>
      <c r="F2170" s="13" t="s">
        <v>78</v>
      </c>
      <c r="G2170" s="13" t="s">
        <v>55</v>
      </c>
      <c r="H2170">
        <v>410000</v>
      </c>
      <c r="I2170" s="13" t="s">
        <v>56</v>
      </c>
      <c r="J2170" s="13" t="s">
        <v>57</v>
      </c>
      <c r="K2170" s="13" t="s">
        <v>58</v>
      </c>
      <c r="L2170" s="13" t="s">
        <v>88</v>
      </c>
      <c r="M2170">
        <v>60</v>
      </c>
      <c r="N2170">
        <v>0</v>
      </c>
      <c r="O2170" s="14">
        <v>46017</v>
      </c>
      <c r="P2170" s="14">
        <v>46077</v>
      </c>
      <c r="Q2170">
        <v>13899.08</v>
      </c>
      <c r="R2170">
        <v>0</v>
      </c>
      <c r="S2170">
        <v>0</v>
      </c>
      <c r="T2170">
        <v>0</v>
      </c>
      <c r="U2170">
        <v>0</v>
      </c>
      <c r="V2170">
        <v>13899.08</v>
      </c>
      <c r="W2170">
        <v>0</v>
      </c>
      <c r="X2170">
        <v>1</v>
      </c>
      <c r="Y2170">
        <v>0</v>
      </c>
      <c r="Z2170">
        <v>-55</v>
      </c>
      <c r="AA2170">
        <v>1</v>
      </c>
      <c r="AB2170" s="13" t="s">
        <v>581</v>
      </c>
      <c r="AC2170">
        <v>0</v>
      </c>
      <c r="AD2170">
        <v>0</v>
      </c>
      <c r="AE2170" s="13" t="s">
        <v>61</v>
      </c>
    </row>
    <row r="2171" spans="1:31" x14ac:dyDescent="0.35">
      <c r="A2171" s="13" t="s">
        <v>3013</v>
      </c>
      <c r="B2171" s="13" t="s">
        <v>343</v>
      </c>
      <c r="C2171" s="13" t="s">
        <v>344</v>
      </c>
      <c r="D2171" s="13" t="s">
        <v>104</v>
      </c>
      <c r="E2171" s="13" t="s">
        <v>77</v>
      </c>
      <c r="F2171" s="13" t="s">
        <v>174</v>
      </c>
      <c r="G2171" s="13" t="s">
        <v>67</v>
      </c>
      <c r="H2171">
        <v>145000</v>
      </c>
      <c r="I2171" s="13" t="s">
        <v>105</v>
      </c>
      <c r="J2171" s="13" t="s">
        <v>106</v>
      </c>
      <c r="K2171" s="13" t="s">
        <v>107</v>
      </c>
      <c r="L2171" s="13" t="s">
        <v>95</v>
      </c>
      <c r="M2171">
        <v>30</v>
      </c>
      <c r="N2171">
        <v>0</v>
      </c>
      <c r="O2171" s="14">
        <v>46017</v>
      </c>
      <c r="P2171" s="14">
        <v>46047</v>
      </c>
      <c r="Q2171">
        <v>1177.08</v>
      </c>
      <c r="R2171">
        <v>0</v>
      </c>
      <c r="S2171">
        <v>0</v>
      </c>
      <c r="T2171">
        <v>0</v>
      </c>
      <c r="U2171">
        <v>0</v>
      </c>
      <c r="V2171">
        <v>1177.08</v>
      </c>
      <c r="W2171">
        <v>0</v>
      </c>
      <c r="X2171">
        <v>1</v>
      </c>
      <c r="Y2171">
        <v>0</v>
      </c>
      <c r="Z2171">
        <v>-25</v>
      </c>
      <c r="AA2171">
        <v>1</v>
      </c>
      <c r="AB2171" s="13" t="s">
        <v>581</v>
      </c>
      <c r="AC2171">
        <v>0</v>
      </c>
      <c r="AD2171">
        <v>0</v>
      </c>
      <c r="AE2171" s="13" t="s">
        <v>61</v>
      </c>
    </row>
    <row r="2172" spans="1:31" x14ac:dyDescent="0.35">
      <c r="A2172" s="13" t="s">
        <v>3014</v>
      </c>
      <c r="B2172" s="13" t="s">
        <v>2163</v>
      </c>
      <c r="C2172" s="13" t="s">
        <v>2164</v>
      </c>
      <c r="D2172" s="13" t="s">
        <v>76</v>
      </c>
      <c r="E2172" s="13" t="s">
        <v>65</v>
      </c>
      <c r="F2172" s="13" t="s">
        <v>66</v>
      </c>
      <c r="G2172" s="13" t="s">
        <v>67</v>
      </c>
      <c r="H2172">
        <v>75000</v>
      </c>
      <c r="I2172" s="13" t="s">
        <v>93</v>
      </c>
      <c r="J2172" s="13" t="s">
        <v>94</v>
      </c>
      <c r="K2172" s="13" t="s">
        <v>81</v>
      </c>
      <c r="L2172" s="13" t="s">
        <v>82</v>
      </c>
      <c r="M2172">
        <v>30</v>
      </c>
      <c r="N2172">
        <v>2</v>
      </c>
      <c r="O2172" s="14">
        <v>46017</v>
      </c>
      <c r="P2172" s="14">
        <v>46047</v>
      </c>
      <c r="Q2172">
        <v>3697.47</v>
      </c>
      <c r="R2172">
        <v>0</v>
      </c>
      <c r="S2172">
        <v>0</v>
      </c>
      <c r="T2172">
        <v>0</v>
      </c>
      <c r="U2172">
        <v>0</v>
      </c>
      <c r="V2172">
        <v>3697.47</v>
      </c>
      <c r="W2172">
        <v>0</v>
      </c>
      <c r="X2172">
        <v>1</v>
      </c>
      <c r="Y2172">
        <v>0</v>
      </c>
      <c r="Z2172">
        <v>-25</v>
      </c>
      <c r="AA2172">
        <v>1</v>
      </c>
      <c r="AB2172" s="13" t="s">
        <v>581</v>
      </c>
      <c r="AC2172">
        <v>0</v>
      </c>
      <c r="AD2172">
        <v>0</v>
      </c>
      <c r="AE2172" s="13" t="s">
        <v>61</v>
      </c>
    </row>
    <row r="2173" spans="1:31" x14ac:dyDescent="0.35">
      <c r="A2173" s="13" t="s">
        <v>3015</v>
      </c>
      <c r="B2173" s="13" t="s">
        <v>2453</v>
      </c>
      <c r="C2173" s="13" t="s">
        <v>2454</v>
      </c>
      <c r="D2173" s="13" t="s">
        <v>104</v>
      </c>
      <c r="E2173" s="13" t="s">
        <v>65</v>
      </c>
      <c r="F2173" s="13" t="s">
        <v>66</v>
      </c>
      <c r="G2173" s="13" t="s">
        <v>67</v>
      </c>
      <c r="H2173">
        <v>25000</v>
      </c>
      <c r="I2173" s="13" t="s">
        <v>121</v>
      </c>
      <c r="J2173" s="13" t="s">
        <v>122</v>
      </c>
      <c r="K2173" s="13" t="s">
        <v>107</v>
      </c>
      <c r="L2173" s="13" t="s">
        <v>95</v>
      </c>
      <c r="M2173">
        <v>30</v>
      </c>
      <c r="N2173">
        <v>0</v>
      </c>
      <c r="O2173" s="14">
        <v>46017</v>
      </c>
      <c r="P2173" s="14">
        <v>46047</v>
      </c>
      <c r="Q2173">
        <v>818.36</v>
      </c>
      <c r="R2173">
        <v>0</v>
      </c>
      <c r="S2173">
        <v>0</v>
      </c>
      <c r="T2173">
        <v>0</v>
      </c>
      <c r="U2173">
        <v>0</v>
      </c>
      <c r="V2173">
        <v>818.36</v>
      </c>
      <c r="W2173">
        <v>0</v>
      </c>
      <c r="X2173">
        <v>1</v>
      </c>
      <c r="Y2173">
        <v>0</v>
      </c>
      <c r="Z2173">
        <v>-25</v>
      </c>
      <c r="AA2173">
        <v>1</v>
      </c>
      <c r="AB2173" s="13" t="s">
        <v>581</v>
      </c>
      <c r="AC2173">
        <v>0</v>
      </c>
      <c r="AD2173">
        <v>0</v>
      </c>
      <c r="AE2173" s="13" t="s">
        <v>61</v>
      </c>
    </row>
    <row r="2174" spans="1:31" x14ac:dyDescent="0.35">
      <c r="A2174" s="13" t="s">
        <v>3016</v>
      </c>
      <c r="B2174" s="13" t="s">
        <v>446</v>
      </c>
      <c r="C2174" s="13" t="s">
        <v>447</v>
      </c>
      <c r="D2174" s="13" t="s">
        <v>52</v>
      </c>
      <c r="E2174" s="13" t="s">
        <v>53</v>
      </c>
      <c r="F2174" s="13" t="s">
        <v>54</v>
      </c>
      <c r="G2174" s="13" t="s">
        <v>67</v>
      </c>
      <c r="H2174">
        <v>245000</v>
      </c>
      <c r="I2174" s="13" t="s">
        <v>86</v>
      </c>
      <c r="J2174" s="13" t="s">
        <v>87</v>
      </c>
      <c r="K2174" s="13" t="s">
        <v>58</v>
      </c>
      <c r="L2174" s="13" t="s">
        <v>88</v>
      </c>
      <c r="M2174">
        <v>60</v>
      </c>
      <c r="N2174">
        <v>0</v>
      </c>
      <c r="O2174" s="14">
        <v>46017</v>
      </c>
      <c r="P2174" s="14">
        <v>46077</v>
      </c>
      <c r="Q2174">
        <v>1725.11</v>
      </c>
      <c r="R2174">
        <v>0</v>
      </c>
      <c r="S2174">
        <v>0</v>
      </c>
      <c r="T2174">
        <v>0</v>
      </c>
      <c r="U2174">
        <v>0</v>
      </c>
      <c r="V2174">
        <v>1725.11</v>
      </c>
      <c r="W2174">
        <v>0</v>
      </c>
      <c r="X2174">
        <v>1</v>
      </c>
      <c r="Y2174">
        <v>0</v>
      </c>
      <c r="Z2174">
        <v>-55</v>
      </c>
      <c r="AA2174">
        <v>1</v>
      </c>
      <c r="AB2174" s="13" t="s">
        <v>581</v>
      </c>
      <c r="AC2174">
        <v>0</v>
      </c>
      <c r="AD2174">
        <v>0</v>
      </c>
      <c r="AE2174" s="13" t="s">
        <v>61</v>
      </c>
    </row>
    <row r="2175" spans="1:31" x14ac:dyDescent="0.35">
      <c r="A2175" s="13" t="s">
        <v>3017</v>
      </c>
      <c r="B2175" s="13" t="s">
        <v>1092</v>
      </c>
      <c r="C2175" s="13" t="s">
        <v>1093</v>
      </c>
      <c r="D2175" s="13" t="s">
        <v>76</v>
      </c>
      <c r="E2175" s="13" t="s">
        <v>77</v>
      </c>
      <c r="F2175" s="13" t="s">
        <v>78</v>
      </c>
      <c r="G2175" s="13" t="s">
        <v>55</v>
      </c>
      <c r="H2175">
        <v>110000</v>
      </c>
      <c r="I2175" s="13" t="s">
        <v>93</v>
      </c>
      <c r="J2175" s="13" t="s">
        <v>94</v>
      </c>
      <c r="K2175" s="13" t="s">
        <v>81</v>
      </c>
      <c r="L2175" s="13" t="s">
        <v>95</v>
      </c>
      <c r="M2175">
        <v>30</v>
      </c>
      <c r="N2175">
        <v>0</v>
      </c>
      <c r="O2175" s="14">
        <v>46017</v>
      </c>
      <c r="P2175" s="14">
        <v>46047</v>
      </c>
      <c r="Q2175">
        <v>472.42</v>
      </c>
      <c r="R2175">
        <v>0</v>
      </c>
      <c r="S2175">
        <v>0</v>
      </c>
      <c r="T2175">
        <v>0</v>
      </c>
      <c r="U2175">
        <v>0</v>
      </c>
      <c r="V2175">
        <v>472.42</v>
      </c>
      <c r="W2175">
        <v>0</v>
      </c>
      <c r="X2175">
        <v>1</v>
      </c>
      <c r="Y2175">
        <v>0</v>
      </c>
      <c r="Z2175">
        <v>-25</v>
      </c>
      <c r="AA2175">
        <v>1</v>
      </c>
      <c r="AB2175" s="13" t="s">
        <v>581</v>
      </c>
      <c r="AC2175">
        <v>0</v>
      </c>
      <c r="AD2175">
        <v>0</v>
      </c>
      <c r="AE2175" s="13" t="s">
        <v>61</v>
      </c>
    </row>
    <row r="2176" spans="1:31" x14ac:dyDescent="0.35">
      <c r="A2176" s="13" t="s">
        <v>3018</v>
      </c>
      <c r="B2176" s="13" t="s">
        <v>250</v>
      </c>
      <c r="C2176" s="13" t="s">
        <v>251</v>
      </c>
      <c r="D2176" s="13" t="s">
        <v>104</v>
      </c>
      <c r="E2176" s="13" t="s">
        <v>53</v>
      </c>
      <c r="F2176" s="13" t="s">
        <v>135</v>
      </c>
      <c r="G2176" s="13" t="s">
        <v>55</v>
      </c>
      <c r="H2176">
        <v>85000</v>
      </c>
      <c r="I2176" s="13" t="s">
        <v>105</v>
      </c>
      <c r="J2176" s="13" t="s">
        <v>106</v>
      </c>
      <c r="K2176" s="13" t="s">
        <v>107</v>
      </c>
      <c r="L2176" s="13" t="s">
        <v>88</v>
      </c>
      <c r="M2176">
        <v>60</v>
      </c>
      <c r="N2176">
        <v>0</v>
      </c>
      <c r="O2176" s="14">
        <v>46017</v>
      </c>
      <c r="P2176" s="14">
        <v>46077</v>
      </c>
      <c r="Q2176">
        <v>1211.04</v>
      </c>
      <c r="R2176">
        <v>0</v>
      </c>
      <c r="S2176">
        <v>0</v>
      </c>
      <c r="T2176">
        <v>0</v>
      </c>
      <c r="U2176">
        <v>0</v>
      </c>
      <c r="V2176">
        <v>1211.04</v>
      </c>
      <c r="W2176">
        <v>0</v>
      </c>
      <c r="X2176">
        <v>1</v>
      </c>
      <c r="Y2176">
        <v>0</v>
      </c>
      <c r="Z2176">
        <v>-55</v>
      </c>
      <c r="AA2176">
        <v>1</v>
      </c>
      <c r="AB2176" s="13" t="s">
        <v>581</v>
      </c>
      <c r="AC2176">
        <v>0</v>
      </c>
      <c r="AD2176">
        <v>0</v>
      </c>
      <c r="AE2176" s="13" t="s">
        <v>61</v>
      </c>
    </row>
    <row r="2177" spans="1:31" x14ac:dyDescent="0.35">
      <c r="A2177" s="13" t="s">
        <v>3019</v>
      </c>
      <c r="B2177" s="13" t="s">
        <v>2171</v>
      </c>
      <c r="C2177" s="13" t="s">
        <v>2172</v>
      </c>
      <c r="D2177" s="13" t="s">
        <v>76</v>
      </c>
      <c r="E2177" s="13" t="s">
        <v>99</v>
      </c>
      <c r="F2177" s="13" t="s">
        <v>127</v>
      </c>
      <c r="G2177" s="13" t="s">
        <v>55</v>
      </c>
      <c r="H2177">
        <v>85000</v>
      </c>
      <c r="I2177" s="13" t="s">
        <v>93</v>
      </c>
      <c r="J2177" s="13" t="s">
        <v>94</v>
      </c>
      <c r="K2177" s="13" t="s">
        <v>81</v>
      </c>
      <c r="L2177" s="13" t="s">
        <v>95</v>
      </c>
      <c r="M2177">
        <v>30</v>
      </c>
      <c r="N2177">
        <v>0</v>
      </c>
      <c r="O2177" s="14">
        <v>46017</v>
      </c>
      <c r="P2177" s="14">
        <v>46047</v>
      </c>
      <c r="Q2177">
        <v>908.62</v>
      </c>
      <c r="R2177">
        <v>0</v>
      </c>
      <c r="S2177">
        <v>0</v>
      </c>
      <c r="T2177">
        <v>0</v>
      </c>
      <c r="U2177">
        <v>0</v>
      </c>
      <c r="V2177">
        <v>908.62</v>
      </c>
      <c r="W2177">
        <v>0</v>
      </c>
      <c r="X2177">
        <v>1</v>
      </c>
      <c r="Y2177">
        <v>0</v>
      </c>
      <c r="Z2177">
        <v>-25</v>
      </c>
      <c r="AA2177">
        <v>1</v>
      </c>
      <c r="AB2177" s="13" t="s">
        <v>581</v>
      </c>
      <c r="AC2177">
        <v>0</v>
      </c>
      <c r="AD2177">
        <v>0</v>
      </c>
      <c r="AE2177" s="13" t="s">
        <v>61</v>
      </c>
    </row>
    <row r="2178" spans="1:31" x14ac:dyDescent="0.35">
      <c r="A2178" s="13" t="s">
        <v>3020</v>
      </c>
      <c r="B2178" s="13" t="s">
        <v>1223</v>
      </c>
      <c r="C2178" s="13" t="s">
        <v>1224</v>
      </c>
      <c r="D2178" s="13" t="s">
        <v>52</v>
      </c>
      <c r="E2178" s="13" t="s">
        <v>99</v>
      </c>
      <c r="F2178" s="13" t="s">
        <v>100</v>
      </c>
      <c r="G2178" s="13" t="s">
        <v>67</v>
      </c>
      <c r="H2178">
        <v>275000</v>
      </c>
      <c r="I2178" s="13" t="s">
        <v>86</v>
      </c>
      <c r="J2178" s="13" t="s">
        <v>87</v>
      </c>
      <c r="K2178" s="13" t="s">
        <v>58</v>
      </c>
      <c r="L2178" s="13" t="s">
        <v>88</v>
      </c>
      <c r="M2178">
        <v>60</v>
      </c>
      <c r="N2178">
        <v>0</v>
      </c>
      <c r="O2178" s="14">
        <v>46017</v>
      </c>
      <c r="P2178" s="14">
        <v>46077</v>
      </c>
      <c r="Q2178">
        <v>16722.3</v>
      </c>
      <c r="R2178">
        <v>0</v>
      </c>
      <c r="S2178">
        <v>0</v>
      </c>
      <c r="T2178">
        <v>0</v>
      </c>
      <c r="U2178">
        <v>0</v>
      </c>
      <c r="V2178">
        <v>16722.3</v>
      </c>
      <c r="W2178">
        <v>0</v>
      </c>
      <c r="X2178">
        <v>1</v>
      </c>
      <c r="Y2178">
        <v>0</v>
      </c>
      <c r="Z2178">
        <v>-55</v>
      </c>
      <c r="AA2178">
        <v>1</v>
      </c>
      <c r="AB2178" s="13" t="s">
        <v>581</v>
      </c>
      <c r="AC2178">
        <v>0</v>
      </c>
      <c r="AD2178">
        <v>0</v>
      </c>
      <c r="AE2178" s="13" t="s">
        <v>61</v>
      </c>
    </row>
    <row r="2179" spans="1:31" x14ac:dyDescent="0.35">
      <c r="A2179" s="13" t="s">
        <v>3021</v>
      </c>
      <c r="B2179" s="13" t="s">
        <v>1577</v>
      </c>
      <c r="C2179" s="13" t="s">
        <v>1578</v>
      </c>
      <c r="D2179" s="13" t="s">
        <v>76</v>
      </c>
      <c r="E2179" s="13" t="s">
        <v>71</v>
      </c>
      <c r="F2179" s="13" t="s">
        <v>72</v>
      </c>
      <c r="G2179" s="13" t="s">
        <v>67</v>
      </c>
      <c r="H2179">
        <v>100000</v>
      </c>
      <c r="I2179" s="13" t="s">
        <v>79</v>
      </c>
      <c r="J2179" s="13" t="s">
        <v>80</v>
      </c>
      <c r="K2179" s="13" t="s">
        <v>81</v>
      </c>
      <c r="L2179" s="13" t="s">
        <v>95</v>
      </c>
      <c r="M2179">
        <v>30</v>
      </c>
      <c r="N2179">
        <v>0</v>
      </c>
      <c r="O2179" s="14">
        <v>46017</v>
      </c>
      <c r="P2179" s="14">
        <v>46047</v>
      </c>
      <c r="Q2179">
        <v>450.38</v>
      </c>
      <c r="R2179">
        <v>0</v>
      </c>
      <c r="S2179">
        <v>0</v>
      </c>
      <c r="T2179">
        <v>0</v>
      </c>
      <c r="U2179">
        <v>0</v>
      </c>
      <c r="V2179">
        <v>450.38</v>
      </c>
      <c r="W2179">
        <v>0</v>
      </c>
      <c r="X2179">
        <v>1</v>
      </c>
      <c r="Y2179">
        <v>0</v>
      </c>
      <c r="Z2179">
        <v>-25</v>
      </c>
      <c r="AA2179">
        <v>1</v>
      </c>
      <c r="AB2179" s="13" t="s">
        <v>581</v>
      </c>
      <c r="AC2179">
        <v>0</v>
      </c>
      <c r="AD2179">
        <v>0</v>
      </c>
      <c r="AE2179" s="13" t="s">
        <v>61</v>
      </c>
    </row>
    <row r="2180" spans="1:31" x14ac:dyDescent="0.35">
      <c r="A2180" s="13" t="s">
        <v>3022</v>
      </c>
      <c r="B2180" s="13" t="s">
        <v>293</v>
      </c>
      <c r="C2180" s="13" t="s">
        <v>294</v>
      </c>
      <c r="D2180" s="13" t="s">
        <v>104</v>
      </c>
      <c r="E2180" s="13" t="s">
        <v>99</v>
      </c>
      <c r="F2180" s="13" t="s">
        <v>100</v>
      </c>
      <c r="G2180" s="13" t="s">
        <v>92</v>
      </c>
      <c r="H2180">
        <v>145000</v>
      </c>
      <c r="I2180" s="13" t="s">
        <v>121</v>
      </c>
      <c r="J2180" s="13" t="s">
        <v>122</v>
      </c>
      <c r="K2180" s="13" t="s">
        <v>107</v>
      </c>
      <c r="L2180" s="13" t="s">
        <v>82</v>
      </c>
      <c r="M2180">
        <v>30</v>
      </c>
      <c r="N2180">
        <v>2</v>
      </c>
      <c r="O2180" s="14">
        <v>46017</v>
      </c>
      <c r="P2180" s="14">
        <v>46047</v>
      </c>
      <c r="Q2180">
        <v>6347.67</v>
      </c>
      <c r="R2180">
        <v>0</v>
      </c>
      <c r="S2180">
        <v>0</v>
      </c>
      <c r="T2180">
        <v>0</v>
      </c>
      <c r="U2180">
        <v>0</v>
      </c>
      <c r="V2180">
        <v>6347.67</v>
      </c>
      <c r="W2180">
        <v>0</v>
      </c>
      <c r="X2180">
        <v>1</v>
      </c>
      <c r="Y2180">
        <v>0</v>
      </c>
      <c r="Z2180">
        <v>-25</v>
      </c>
      <c r="AA2180">
        <v>1</v>
      </c>
      <c r="AB2180" s="13" t="s">
        <v>581</v>
      </c>
      <c r="AC2180">
        <v>0</v>
      </c>
      <c r="AD2180">
        <v>0</v>
      </c>
      <c r="AE2180" s="13" t="s">
        <v>61</v>
      </c>
    </row>
    <row r="2181" spans="1:31" x14ac:dyDescent="0.35">
      <c r="A2181" s="13" t="s">
        <v>3023</v>
      </c>
      <c r="B2181" s="13" t="s">
        <v>206</v>
      </c>
      <c r="C2181" s="13" t="s">
        <v>207</v>
      </c>
      <c r="D2181" s="13" t="s">
        <v>52</v>
      </c>
      <c r="E2181" s="13" t="s">
        <v>65</v>
      </c>
      <c r="F2181" s="13" t="s">
        <v>111</v>
      </c>
      <c r="G2181" s="13" t="s">
        <v>92</v>
      </c>
      <c r="H2181">
        <v>490000</v>
      </c>
      <c r="I2181" s="13" t="s">
        <v>86</v>
      </c>
      <c r="J2181" s="13" t="s">
        <v>87</v>
      </c>
      <c r="K2181" s="13" t="s">
        <v>58</v>
      </c>
      <c r="L2181" s="13" t="s">
        <v>88</v>
      </c>
      <c r="M2181">
        <v>60</v>
      </c>
      <c r="N2181">
        <v>0</v>
      </c>
      <c r="O2181" s="14">
        <v>46017</v>
      </c>
      <c r="P2181" s="14">
        <v>46077</v>
      </c>
      <c r="Q2181">
        <v>6047.52</v>
      </c>
      <c r="R2181">
        <v>0</v>
      </c>
      <c r="S2181">
        <v>0</v>
      </c>
      <c r="T2181">
        <v>0</v>
      </c>
      <c r="U2181">
        <v>0</v>
      </c>
      <c r="V2181">
        <v>6047.52</v>
      </c>
      <c r="W2181">
        <v>0</v>
      </c>
      <c r="X2181">
        <v>1</v>
      </c>
      <c r="Y2181">
        <v>0</v>
      </c>
      <c r="Z2181">
        <v>-55</v>
      </c>
      <c r="AA2181">
        <v>1</v>
      </c>
      <c r="AB2181" s="13" t="s">
        <v>581</v>
      </c>
      <c r="AC2181">
        <v>0</v>
      </c>
      <c r="AD2181">
        <v>0</v>
      </c>
      <c r="AE2181" s="13" t="s">
        <v>61</v>
      </c>
    </row>
    <row r="2182" spans="1:31" x14ac:dyDescent="0.35">
      <c r="A2182" s="13" t="s">
        <v>3024</v>
      </c>
      <c r="B2182" s="13" t="s">
        <v>1541</v>
      </c>
      <c r="C2182" s="13" t="s">
        <v>1542</v>
      </c>
      <c r="D2182" s="13" t="s">
        <v>104</v>
      </c>
      <c r="E2182" s="13" t="s">
        <v>53</v>
      </c>
      <c r="F2182" s="13" t="s">
        <v>54</v>
      </c>
      <c r="G2182" s="13" t="s">
        <v>92</v>
      </c>
      <c r="H2182">
        <v>150000</v>
      </c>
      <c r="I2182" s="13" t="s">
        <v>56</v>
      </c>
      <c r="J2182" s="13" t="s">
        <v>57</v>
      </c>
      <c r="K2182" s="13" t="s">
        <v>58</v>
      </c>
      <c r="L2182" s="13" t="s">
        <v>82</v>
      </c>
      <c r="M2182">
        <v>30</v>
      </c>
      <c r="N2182">
        <v>2</v>
      </c>
      <c r="O2182" s="14">
        <v>46017</v>
      </c>
      <c r="P2182" s="14">
        <v>46047</v>
      </c>
      <c r="Q2182">
        <v>2673.28</v>
      </c>
      <c r="R2182">
        <v>0</v>
      </c>
      <c r="S2182">
        <v>0</v>
      </c>
      <c r="T2182">
        <v>0</v>
      </c>
      <c r="U2182">
        <v>0</v>
      </c>
      <c r="V2182">
        <v>2673.28</v>
      </c>
      <c r="W2182">
        <v>0</v>
      </c>
      <c r="X2182">
        <v>1</v>
      </c>
      <c r="Y2182">
        <v>0</v>
      </c>
      <c r="Z2182">
        <v>-25</v>
      </c>
      <c r="AA2182">
        <v>1</v>
      </c>
      <c r="AB2182" s="13" t="s">
        <v>581</v>
      </c>
      <c r="AC2182">
        <v>0</v>
      </c>
      <c r="AD2182">
        <v>0</v>
      </c>
      <c r="AE2182" s="13" t="s">
        <v>61</v>
      </c>
    </row>
    <row r="2183" spans="1:31" x14ac:dyDescent="0.35">
      <c r="A2183" s="13" t="s">
        <v>3025</v>
      </c>
      <c r="B2183" s="13" t="s">
        <v>605</v>
      </c>
      <c r="C2183" s="13" t="s">
        <v>606</v>
      </c>
      <c r="D2183" s="13" t="s">
        <v>52</v>
      </c>
      <c r="E2183" s="13" t="s">
        <v>65</v>
      </c>
      <c r="F2183" s="13" t="s">
        <v>66</v>
      </c>
      <c r="G2183" s="13" t="s">
        <v>67</v>
      </c>
      <c r="H2183">
        <v>335000</v>
      </c>
      <c r="I2183" s="13" t="s">
        <v>86</v>
      </c>
      <c r="J2183" s="13" t="s">
        <v>87</v>
      </c>
      <c r="K2183" s="13" t="s">
        <v>58</v>
      </c>
      <c r="L2183" s="13" t="s">
        <v>59</v>
      </c>
      <c r="M2183">
        <v>45</v>
      </c>
      <c r="N2183">
        <v>0</v>
      </c>
      <c r="O2183" s="14">
        <v>46017</v>
      </c>
      <c r="P2183" s="14">
        <v>46062</v>
      </c>
      <c r="Q2183">
        <v>12976.69</v>
      </c>
      <c r="R2183">
        <v>0</v>
      </c>
      <c r="S2183">
        <v>0</v>
      </c>
      <c r="T2183">
        <v>0</v>
      </c>
      <c r="U2183">
        <v>0</v>
      </c>
      <c r="V2183">
        <v>12976.69</v>
      </c>
      <c r="W2183">
        <v>0</v>
      </c>
      <c r="X2183">
        <v>1</v>
      </c>
      <c r="Y2183">
        <v>0</v>
      </c>
      <c r="Z2183">
        <v>-40</v>
      </c>
      <c r="AA2183">
        <v>1</v>
      </c>
      <c r="AB2183" s="13" t="s">
        <v>581</v>
      </c>
      <c r="AC2183">
        <v>0</v>
      </c>
      <c r="AD2183">
        <v>0</v>
      </c>
      <c r="AE2183" s="13" t="s">
        <v>61</v>
      </c>
    </row>
    <row r="2184" spans="1:31" x14ac:dyDescent="0.35">
      <c r="A2184" s="13" t="s">
        <v>3026</v>
      </c>
      <c r="B2184" s="13" t="s">
        <v>113</v>
      </c>
      <c r="C2184" s="13" t="s">
        <v>114</v>
      </c>
      <c r="D2184" s="13" t="s">
        <v>52</v>
      </c>
      <c r="E2184" s="13" t="s">
        <v>77</v>
      </c>
      <c r="F2184" s="13" t="s">
        <v>78</v>
      </c>
      <c r="G2184" s="13" t="s">
        <v>92</v>
      </c>
      <c r="H2184">
        <v>545000</v>
      </c>
      <c r="I2184" s="13" t="s">
        <v>86</v>
      </c>
      <c r="J2184" s="13" t="s">
        <v>87</v>
      </c>
      <c r="K2184" s="13" t="s">
        <v>58</v>
      </c>
      <c r="L2184" s="13" t="s">
        <v>88</v>
      </c>
      <c r="M2184">
        <v>60</v>
      </c>
      <c r="N2184">
        <v>0</v>
      </c>
      <c r="O2184" s="14">
        <v>46017</v>
      </c>
      <c r="P2184" s="14">
        <v>46077</v>
      </c>
      <c r="Q2184">
        <v>6165.49</v>
      </c>
      <c r="R2184">
        <v>0</v>
      </c>
      <c r="S2184">
        <v>0</v>
      </c>
      <c r="T2184">
        <v>0</v>
      </c>
      <c r="U2184">
        <v>0</v>
      </c>
      <c r="V2184">
        <v>6165.49</v>
      </c>
      <c r="W2184">
        <v>0</v>
      </c>
      <c r="X2184">
        <v>1</v>
      </c>
      <c r="Y2184">
        <v>0</v>
      </c>
      <c r="Z2184">
        <v>-55</v>
      </c>
      <c r="AA2184">
        <v>1</v>
      </c>
      <c r="AB2184" s="13" t="s">
        <v>581</v>
      </c>
      <c r="AC2184">
        <v>0</v>
      </c>
      <c r="AD2184">
        <v>0</v>
      </c>
      <c r="AE2184" s="13" t="s">
        <v>61</v>
      </c>
    </row>
    <row r="2185" spans="1:31" x14ac:dyDescent="0.35">
      <c r="A2185" s="13" t="s">
        <v>3027</v>
      </c>
      <c r="B2185" s="13" t="s">
        <v>547</v>
      </c>
      <c r="C2185" s="13" t="s">
        <v>548</v>
      </c>
      <c r="D2185" s="13" t="s">
        <v>52</v>
      </c>
      <c r="E2185" s="13" t="s">
        <v>71</v>
      </c>
      <c r="F2185" s="13" t="s">
        <v>72</v>
      </c>
      <c r="G2185" s="13" t="s">
        <v>92</v>
      </c>
      <c r="H2185">
        <v>160000</v>
      </c>
      <c r="I2185" s="13" t="s">
        <v>86</v>
      </c>
      <c r="J2185" s="13" t="s">
        <v>87</v>
      </c>
      <c r="K2185" s="13" t="s">
        <v>58</v>
      </c>
      <c r="L2185" s="13" t="s">
        <v>88</v>
      </c>
      <c r="M2185">
        <v>60</v>
      </c>
      <c r="N2185">
        <v>0</v>
      </c>
      <c r="O2185" s="14">
        <v>46017</v>
      </c>
      <c r="P2185" s="14">
        <v>46077</v>
      </c>
      <c r="Q2185">
        <v>1953.74</v>
      </c>
      <c r="R2185">
        <v>0</v>
      </c>
      <c r="S2185">
        <v>0</v>
      </c>
      <c r="T2185">
        <v>0</v>
      </c>
      <c r="U2185">
        <v>0</v>
      </c>
      <c r="V2185">
        <v>1953.74</v>
      </c>
      <c r="W2185">
        <v>0</v>
      </c>
      <c r="X2185">
        <v>1</v>
      </c>
      <c r="Y2185">
        <v>0</v>
      </c>
      <c r="Z2185">
        <v>-55</v>
      </c>
      <c r="AA2185">
        <v>1</v>
      </c>
      <c r="AB2185" s="13" t="s">
        <v>581</v>
      </c>
      <c r="AC2185">
        <v>0</v>
      </c>
      <c r="AD2185">
        <v>0</v>
      </c>
      <c r="AE2185" s="13" t="s">
        <v>61</v>
      </c>
    </row>
    <row r="2186" spans="1:31" x14ac:dyDescent="0.35">
      <c r="A2186" s="13" t="s">
        <v>3028</v>
      </c>
      <c r="B2186" s="13" t="s">
        <v>1165</v>
      </c>
      <c r="C2186" s="13" t="s">
        <v>1166</v>
      </c>
      <c r="D2186" s="13" t="s">
        <v>52</v>
      </c>
      <c r="E2186" s="13" t="s">
        <v>99</v>
      </c>
      <c r="F2186" s="13" t="s">
        <v>127</v>
      </c>
      <c r="G2186" s="13" t="s">
        <v>67</v>
      </c>
      <c r="H2186">
        <v>370000</v>
      </c>
      <c r="I2186" s="13" t="s">
        <v>56</v>
      </c>
      <c r="J2186" s="13" t="s">
        <v>57</v>
      </c>
      <c r="K2186" s="13" t="s">
        <v>58</v>
      </c>
      <c r="L2186" s="13" t="s">
        <v>88</v>
      </c>
      <c r="M2186">
        <v>60</v>
      </c>
      <c r="N2186">
        <v>0</v>
      </c>
      <c r="O2186" s="14">
        <v>46017</v>
      </c>
      <c r="P2186" s="14">
        <v>46077</v>
      </c>
      <c r="Q2186">
        <v>2800.71</v>
      </c>
      <c r="R2186">
        <v>0</v>
      </c>
      <c r="S2186">
        <v>0</v>
      </c>
      <c r="T2186">
        <v>0</v>
      </c>
      <c r="U2186">
        <v>0</v>
      </c>
      <c r="V2186">
        <v>2800.71</v>
      </c>
      <c r="W2186">
        <v>0</v>
      </c>
      <c r="X2186">
        <v>1</v>
      </c>
      <c r="Y2186">
        <v>0</v>
      </c>
      <c r="Z2186">
        <v>-55</v>
      </c>
      <c r="AA2186">
        <v>1</v>
      </c>
      <c r="AB2186" s="13" t="s">
        <v>581</v>
      </c>
      <c r="AC2186">
        <v>0</v>
      </c>
      <c r="AD2186">
        <v>0</v>
      </c>
      <c r="AE2186" s="13" t="s">
        <v>61</v>
      </c>
    </row>
    <row r="2187" spans="1:31" x14ac:dyDescent="0.35">
      <c r="A2187" s="13" t="s">
        <v>3029</v>
      </c>
      <c r="B2187" s="13" t="s">
        <v>2413</v>
      </c>
      <c r="C2187" s="13" t="s">
        <v>2414</v>
      </c>
      <c r="D2187" s="13" t="s">
        <v>76</v>
      </c>
      <c r="E2187" s="13" t="s">
        <v>99</v>
      </c>
      <c r="F2187" s="13" t="s">
        <v>100</v>
      </c>
      <c r="G2187" s="13" t="s">
        <v>55</v>
      </c>
      <c r="H2187">
        <v>80000</v>
      </c>
      <c r="I2187" s="13" t="s">
        <v>79</v>
      </c>
      <c r="J2187" s="13" t="s">
        <v>80</v>
      </c>
      <c r="K2187" s="13" t="s">
        <v>81</v>
      </c>
      <c r="L2187" s="13" t="s">
        <v>95</v>
      </c>
      <c r="M2187">
        <v>30</v>
      </c>
      <c r="N2187">
        <v>0</v>
      </c>
      <c r="O2187" s="14">
        <v>46017</v>
      </c>
      <c r="P2187" s="14">
        <v>46047</v>
      </c>
      <c r="Q2187">
        <v>4602.16</v>
      </c>
      <c r="R2187">
        <v>0</v>
      </c>
      <c r="S2187">
        <v>0</v>
      </c>
      <c r="T2187">
        <v>0</v>
      </c>
      <c r="U2187">
        <v>0</v>
      </c>
      <c r="V2187">
        <v>4602.16</v>
      </c>
      <c r="W2187">
        <v>0</v>
      </c>
      <c r="X2187">
        <v>1</v>
      </c>
      <c r="Y2187">
        <v>0</v>
      </c>
      <c r="Z2187">
        <v>-25</v>
      </c>
      <c r="AA2187">
        <v>1</v>
      </c>
      <c r="AB2187" s="13" t="s">
        <v>581</v>
      </c>
      <c r="AC2187">
        <v>0</v>
      </c>
      <c r="AD2187">
        <v>0</v>
      </c>
      <c r="AE2187" s="13" t="s">
        <v>61</v>
      </c>
    </row>
    <row r="2188" spans="1:31" x14ac:dyDescent="0.35">
      <c r="A2188" s="13" t="s">
        <v>3030</v>
      </c>
      <c r="B2188" s="13" t="s">
        <v>958</v>
      </c>
      <c r="C2188" s="13" t="s">
        <v>959</v>
      </c>
      <c r="D2188" s="13" t="s">
        <v>52</v>
      </c>
      <c r="E2188" s="13" t="s">
        <v>99</v>
      </c>
      <c r="F2188" s="13" t="s">
        <v>100</v>
      </c>
      <c r="G2188" s="13" t="s">
        <v>55</v>
      </c>
      <c r="H2188">
        <v>270000</v>
      </c>
      <c r="I2188" s="13" t="s">
        <v>56</v>
      </c>
      <c r="J2188" s="13" t="s">
        <v>57</v>
      </c>
      <c r="K2188" s="13" t="s">
        <v>58</v>
      </c>
      <c r="L2188" s="13" t="s">
        <v>59</v>
      </c>
      <c r="M2188">
        <v>45</v>
      </c>
      <c r="N2188">
        <v>0</v>
      </c>
      <c r="O2188" s="14">
        <v>46017</v>
      </c>
      <c r="P2188" s="14">
        <v>46062</v>
      </c>
      <c r="Q2188">
        <v>2654.72</v>
      </c>
      <c r="R2188">
        <v>0</v>
      </c>
      <c r="S2188">
        <v>0</v>
      </c>
      <c r="T2188">
        <v>0</v>
      </c>
      <c r="U2188">
        <v>0</v>
      </c>
      <c r="V2188">
        <v>2654.72</v>
      </c>
      <c r="W2188">
        <v>0</v>
      </c>
      <c r="X2188">
        <v>1</v>
      </c>
      <c r="Y2188">
        <v>0</v>
      </c>
      <c r="Z2188">
        <v>-40</v>
      </c>
      <c r="AA2188">
        <v>1</v>
      </c>
      <c r="AB2188" s="13" t="s">
        <v>581</v>
      </c>
      <c r="AC2188">
        <v>0</v>
      </c>
      <c r="AD2188">
        <v>0</v>
      </c>
      <c r="AE2188" s="13" t="s">
        <v>61</v>
      </c>
    </row>
    <row r="2189" spans="1:31" x14ac:dyDescent="0.35">
      <c r="A2189" s="13" t="s">
        <v>3031</v>
      </c>
      <c r="B2189" s="13" t="s">
        <v>186</v>
      </c>
      <c r="C2189" s="13" t="s">
        <v>187</v>
      </c>
      <c r="D2189" s="13" t="s">
        <v>76</v>
      </c>
      <c r="E2189" s="13" t="s">
        <v>65</v>
      </c>
      <c r="F2189" s="13" t="s">
        <v>66</v>
      </c>
      <c r="G2189" s="13" t="s">
        <v>55</v>
      </c>
      <c r="H2189">
        <v>120000</v>
      </c>
      <c r="I2189" s="13" t="s">
        <v>93</v>
      </c>
      <c r="J2189" s="13" t="s">
        <v>94</v>
      </c>
      <c r="K2189" s="13" t="s">
        <v>81</v>
      </c>
      <c r="L2189" s="13" t="s">
        <v>95</v>
      </c>
      <c r="M2189">
        <v>30</v>
      </c>
      <c r="N2189">
        <v>0</v>
      </c>
      <c r="O2189" s="14">
        <v>46020</v>
      </c>
      <c r="P2189" s="14">
        <v>46050</v>
      </c>
      <c r="Q2189">
        <v>944.18</v>
      </c>
      <c r="R2189">
        <v>0</v>
      </c>
      <c r="S2189">
        <v>0</v>
      </c>
      <c r="T2189">
        <v>0</v>
      </c>
      <c r="U2189">
        <v>0</v>
      </c>
      <c r="V2189">
        <v>944.18</v>
      </c>
      <c r="W2189">
        <v>0</v>
      </c>
      <c r="X2189">
        <v>1</v>
      </c>
      <c r="Y2189">
        <v>0</v>
      </c>
      <c r="Z2189">
        <v>-28</v>
      </c>
      <c r="AA2189">
        <v>1</v>
      </c>
      <c r="AB2189" s="13" t="s">
        <v>581</v>
      </c>
      <c r="AC2189">
        <v>0</v>
      </c>
      <c r="AD2189">
        <v>0</v>
      </c>
      <c r="AE2189" s="13" t="s">
        <v>61</v>
      </c>
    </row>
    <row r="2190" spans="1:31" x14ac:dyDescent="0.35">
      <c r="A2190" s="13" t="s">
        <v>3032</v>
      </c>
      <c r="B2190" s="13" t="s">
        <v>1455</v>
      </c>
      <c r="C2190" s="13" t="s">
        <v>1456</v>
      </c>
      <c r="D2190" s="13" t="s">
        <v>104</v>
      </c>
      <c r="E2190" s="13" t="s">
        <v>65</v>
      </c>
      <c r="F2190" s="13" t="s">
        <v>111</v>
      </c>
      <c r="G2190" s="13" t="s">
        <v>55</v>
      </c>
      <c r="H2190">
        <v>135000</v>
      </c>
      <c r="I2190" s="13" t="s">
        <v>121</v>
      </c>
      <c r="J2190" s="13" t="s">
        <v>122</v>
      </c>
      <c r="K2190" s="13" t="s">
        <v>107</v>
      </c>
      <c r="L2190" s="13" t="s">
        <v>82</v>
      </c>
      <c r="M2190">
        <v>30</v>
      </c>
      <c r="N2190">
        <v>2</v>
      </c>
      <c r="O2190" s="14">
        <v>46020</v>
      </c>
      <c r="P2190" s="14">
        <v>46050</v>
      </c>
      <c r="Q2190">
        <v>1275.0999999999999</v>
      </c>
      <c r="R2190">
        <v>0</v>
      </c>
      <c r="S2190">
        <v>0</v>
      </c>
      <c r="T2190">
        <v>0</v>
      </c>
      <c r="U2190">
        <v>0</v>
      </c>
      <c r="V2190">
        <v>1275.0999999999999</v>
      </c>
      <c r="W2190">
        <v>0</v>
      </c>
      <c r="X2190">
        <v>1</v>
      </c>
      <c r="Y2190">
        <v>0</v>
      </c>
      <c r="Z2190">
        <v>-28</v>
      </c>
      <c r="AA2190">
        <v>1</v>
      </c>
      <c r="AB2190" s="13" t="s">
        <v>581</v>
      </c>
      <c r="AC2190">
        <v>0</v>
      </c>
      <c r="AD2190">
        <v>0</v>
      </c>
      <c r="AE2190" s="13" t="s">
        <v>61</v>
      </c>
    </row>
    <row r="2191" spans="1:31" x14ac:dyDescent="0.35">
      <c r="A2191" s="13" t="s">
        <v>3033</v>
      </c>
      <c r="B2191" s="13" t="s">
        <v>1358</v>
      </c>
      <c r="C2191" s="13" t="s">
        <v>1359</v>
      </c>
      <c r="D2191" s="13" t="s">
        <v>76</v>
      </c>
      <c r="E2191" s="13" t="s">
        <v>71</v>
      </c>
      <c r="F2191" s="13" t="s">
        <v>72</v>
      </c>
      <c r="G2191" s="13" t="s">
        <v>92</v>
      </c>
      <c r="H2191">
        <v>105000</v>
      </c>
      <c r="I2191" s="13" t="s">
        <v>79</v>
      </c>
      <c r="J2191" s="13" t="s">
        <v>80</v>
      </c>
      <c r="K2191" s="13" t="s">
        <v>81</v>
      </c>
      <c r="L2191" s="13" t="s">
        <v>95</v>
      </c>
      <c r="M2191">
        <v>30</v>
      </c>
      <c r="N2191">
        <v>0</v>
      </c>
      <c r="O2191" s="14">
        <v>46020</v>
      </c>
      <c r="P2191" s="14">
        <v>46050</v>
      </c>
      <c r="Q2191">
        <v>4011.63</v>
      </c>
      <c r="R2191">
        <v>0</v>
      </c>
      <c r="S2191">
        <v>0</v>
      </c>
      <c r="T2191">
        <v>0</v>
      </c>
      <c r="U2191">
        <v>0</v>
      </c>
      <c r="V2191">
        <v>4011.63</v>
      </c>
      <c r="W2191">
        <v>0</v>
      </c>
      <c r="X2191">
        <v>1</v>
      </c>
      <c r="Y2191">
        <v>0</v>
      </c>
      <c r="Z2191">
        <v>-28</v>
      </c>
      <c r="AA2191">
        <v>1</v>
      </c>
      <c r="AB2191" s="13" t="s">
        <v>581</v>
      </c>
      <c r="AC2191">
        <v>0</v>
      </c>
      <c r="AD2191">
        <v>0</v>
      </c>
      <c r="AE2191" s="13" t="s">
        <v>61</v>
      </c>
    </row>
    <row r="2192" spans="1:31" x14ac:dyDescent="0.35">
      <c r="A2192" s="13" t="s">
        <v>3034</v>
      </c>
      <c r="B2192" s="13" t="s">
        <v>1992</v>
      </c>
      <c r="C2192" s="13" t="s">
        <v>1993</v>
      </c>
      <c r="D2192" s="13" t="s">
        <v>76</v>
      </c>
      <c r="E2192" s="13" t="s">
        <v>71</v>
      </c>
      <c r="F2192" s="13" t="s">
        <v>214</v>
      </c>
      <c r="G2192" s="13" t="s">
        <v>67</v>
      </c>
      <c r="H2192">
        <v>90000</v>
      </c>
      <c r="I2192" s="13" t="s">
        <v>93</v>
      </c>
      <c r="J2192" s="13" t="s">
        <v>94</v>
      </c>
      <c r="K2192" s="13" t="s">
        <v>81</v>
      </c>
      <c r="L2192" s="13" t="s">
        <v>82</v>
      </c>
      <c r="M2192">
        <v>30</v>
      </c>
      <c r="N2192">
        <v>2</v>
      </c>
      <c r="O2192" s="14">
        <v>46020</v>
      </c>
      <c r="P2192" s="14">
        <v>46050</v>
      </c>
      <c r="Q2192">
        <v>516.45000000000005</v>
      </c>
      <c r="R2192">
        <v>0</v>
      </c>
      <c r="S2192">
        <v>0</v>
      </c>
      <c r="T2192">
        <v>0</v>
      </c>
      <c r="U2192">
        <v>0</v>
      </c>
      <c r="V2192">
        <v>516.45000000000005</v>
      </c>
      <c r="W2192">
        <v>0</v>
      </c>
      <c r="X2192">
        <v>1</v>
      </c>
      <c r="Y2192">
        <v>0</v>
      </c>
      <c r="Z2192">
        <v>-28</v>
      </c>
      <c r="AA2192">
        <v>1</v>
      </c>
      <c r="AB2192" s="13" t="s">
        <v>581</v>
      </c>
      <c r="AC2192">
        <v>0</v>
      </c>
      <c r="AD2192">
        <v>0</v>
      </c>
      <c r="AE2192" s="13" t="s">
        <v>61</v>
      </c>
    </row>
    <row r="2193" spans="1:31" x14ac:dyDescent="0.35">
      <c r="A2193" s="13" t="s">
        <v>3035</v>
      </c>
      <c r="B2193" s="13" t="s">
        <v>1995</v>
      </c>
      <c r="C2193" s="13" t="s">
        <v>1996</v>
      </c>
      <c r="D2193" s="13" t="s">
        <v>76</v>
      </c>
      <c r="E2193" s="13" t="s">
        <v>65</v>
      </c>
      <c r="F2193" s="13" t="s">
        <v>66</v>
      </c>
      <c r="G2193" s="13" t="s">
        <v>55</v>
      </c>
      <c r="H2193">
        <v>75000</v>
      </c>
      <c r="I2193" s="13" t="s">
        <v>79</v>
      </c>
      <c r="J2193" s="13" t="s">
        <v>80</v>
      </c>
      <c r="K2193" s="13" t="s">
        <v>81</v>
      </c>
      <c r="L2193" s="13" t="s">
        <v>82</v>
      </c>
      <c r="M2193">
        <v>30</v>
      </c>
      <c r="N2193">
        <v>2</v>
      </c>
      <c r="O2193" s="14">
        <v>46020</v>
      </c>
      <c r="P2193" s="14">
        <v>46050</v>
      </c>
      <c r="Q2193">
        <v>851.58</v>
      </c>
      <c r="R2193">
        <v>0</v>
      </c>
      <c r="S2193">
        <v>0</v>
      </c>
      <c r="T2193">
        <v>0</v>
      </c>
      <c r="U2193">
        <v>0</v>
      </c>
      <c r="V2193">
        <v>851.58</v>
      </c>
      <c r="W2193">
        <v>0</v>
      </c>
      <c r="X2193">
        <v>1</v>
      </c>
      <c r="Y2193">
        <v>0</v>
      </c>
      <c r="Z2193">
        <v>-28</v>
      </c>
      <c r="AA2193">
        <v>1</v>
      </c>
      <c r="AB2193" s="13" t="s">
        <v>581</v>
      </c>
      <c r="AC2193">
        <v>0</v>
      </c>
      <c r="AD2193">
        <v>0</v>
      </c>
      <c r="AE2193" s="13" t="s">
        <v>61</v>
      </c>
    </row>
    <row r="2194" spans="1:31" x14ac:dyDescent="0.35">
      <c r="A2194" s="13" t="s">
        <v>3036</v>
      </c>
      <c r="B2194" s="13" t="s">
        <v>203</v>
      </c>
      <c r="C2194" s="13" t="s">
        <v>204</v>
      </c>
      <c r="D2194" s="13" t="s">
        <v>52</v>
      </c>
      <c r="E2194" s="13" t="s">
        <v>53</v>
      </c>
      <c r="F2194" s="13" t="s">
        <v>135</v>
      </c>
      <c r="G2194" s="13" t="s">
        <v>67</v>
      </c>
      <c r="H2194">
        <v>500000</v>
      </c>
      <c r="I2194" s="13" t="s">
        <v>56</v>
      </c>
      <c r="J2194" s="13" t="s">
        <v>57</v>
      </c>
      <c r="K2194" s="13" t="s">
        <v>58</v>
      </c>
      <c r="L2194" s="13" t="s">
        <v>59</v>
      </c>
      <c r="M2194">
        <v>45</v>
      </c>
      <c r="N2194">
        <v>0</v>
      </c>
      <c r="O2194" s="14">
        <v>46020</v>
      </c>
      <c r="P2194" s="14">
        <v>46065</v>
      </c>
      <c r="Q2194">
        <v>1860.14</v>
      </c>
      <c r="R2194">
        <v>0</v>
      </c>
      <c r="S2194">
        <v>0</v>
      </c>
      <c r="T2194">
        <v>0</v>
      </c>
      <c r="U2194">
        <v>0</v>
      </c>
      <c r="V2194">
        <v>1860.14</v>
      </c>
      <c r="W2194">
        <v>0</v>
      </c>
      <c r="X2194">
        <v>1</v>
      </c>
      <c r="Y2194">
        <v>0</v>
      </c>
      <c r="Z2194">
        <v>-43</v>
      </c>
      <c r="AA2194">
        <v>1</v>
      </c>
      <c r="AB2194" s="13" t="s">
        <v>581</v>
      </c>
      <c r="AC2194">
        <v>0</v>
      </c>
      <c r="AD2194">
        <v>0</v>
      </c>
      <c r="AE2194" s="13" t="s">
        <v>61</v>
      </c>
    </row>
    <row r="2195" spans="1:31" x14ac:dyDescent="0.35">
      <c r="A2195" s="13" t="s">
        <v>3037</v>
      </c>
      <c r="B2195" s="13" t="s">
        <v>702</v>
      </c>
      <c r="C2195" s="13" t="s">
        <v>703</v>
      </c>
      <c r="D2195" s="13" t="s">
        <v>52</v>
      </c>
      <c r="E2195" s="13" t="s">
        <v>65</v>
      </c>
      <c r="F2195" s="13" t="s">
        <v>111</v>
      </c>
      <c r="G2195" s="13" t="s">
        <v>67</v>
      </c>
      <c r="H2195">
        <v>435000</v>
      </c>
      <c r="I2195" s="13" t="s">
        <v>86</v>
      </c>
      <c r="J2195" s="13" t="s">
        <v>87</v>
      </c>
      <c r="K2195" s="13" t="s">
        <v>58</v>
      </c>
      <c r="L2195" s="13" t="s">
        <v>59</v>
      </c>
      <c r="M2195">
        <v>45</v>
      </c>
      <c r="N2195">
        <v>0</v>
      </c>
      <c r="O2195" s="14">
        <v>46020</v>
      </c>
      <c r="P2195" s="14">
        <v>46065</v>
      </c>
      <c r="Q2195">
        <v>12604.83</v>
      </c>
      <c r="R2195">
        <v>0</v>
      </c>
      <c r="S2195">
        <v>0</v>
      </c>
      <c r="T2195">
        <v>0</v>
      </c>
      <c r="U2195">
        <v>0</v>
      </c>
      <c r="V2195">
        <v>12604.83</v>
      </c>
      <c r="W2195">
        <v>0</v>
      </c>
      <c r="X2195">
        <v>1</v>
      </c>
      <c r="Y2195">
        <v>0</v>
      </c>
      <c r="Z2195">
        <v>-43</v>
      </c>
      <c r="AA2195">
        <v>1</v>
      </c>
      <c r="AB2195" s="13" t="s">
        <v>581</v>
      </c>
      <c r="AC2195">
        <v>0</v>
      </c>
      <c r="AD2195">
        <v>0</v>
      </c>
      <c r="AE2195" s="13" t="s">
        <v>61</v>
      </c>
    </row>
    <row r="2196" spans="1:31" x14ac:dyDescent="0.35">
      <c r="A2196" s="13" t="s">
        <v>3038</v>
      </c>
      <c r="B2196" s="13" t="s">
        <v>1648</v>
      </c>
      <c r="C2196" s="13" t="s">
        <v>1649</v>
      </c>
      <c r="D2196" s="13" t="s">
        <v>52</v>
      </c>
      <c r="E2196" s="13" t="s">
        <v>65</v>
      </c>
      <c r="F2196" s="13" t="s">
        <v>111</v>
      </c>
      <c r="G2196" s="13" t="s">
        <v>67</v>
      </c>
      <c r="H2196">
        <v>230000</v>
      </c>
      <c r="I2196" s="13" t="s">
        <v>86</v>
      </c>
      <c r="J2196" s="13" t="s">
        <v>87</v>
      </c>
      <c r="K2196" s="13" t="s">
        <v>58</v>
      </c>
      <c r="L2196" s="13" t="s">
        <v>59</v>
      </c>
      <c r="M2196">
        <v>45</v>
      </c>
      <c r="N2196">
        <v>0</v>
      </c>
      <c r="O2196" s="14">
        <v>46020</v>
      </c>
      <c r="P2196" s="14">
        <v>46065</v>
      </c>
      <c r="Q2196">
        <v>5297.42</v>
      </c>
      <c r="R2196">
        <v>0</v>
      </c>
      <c r="S2196">
        <v>0</v>
      </c>
      <c r="T2196">
        <v>0</v>
      </c>
      <c r="U2196">
        <v>0</v>
      </c>
      <c r="V2196">
        <v>5297.42</v>
      </c>
      <c r="W2196">
        <v>0</v>
      </c>
      <c r="X2196">
        <v>1</v>
      </c>
      <c r="Y2196">
        <v>0</v>
      </c>
      <c r="Z2196">
        <v>-43</v>
      </c>
      <c r="AA2196">
        <v>1</v>
      </c>
      <c r="AB2196" s="13" t="s">
        <v>581</v>
      </c>
      <c r="AC2196">
        <v>0</v>
      </c>
      <c r="AD2196">
        <v>0</v>
      </c>
      <c r="AE2196" s="13" t="s">
        <v>61</v>
      </c>
    </row>
    <row r="2197" spans="1:31" x14ac:dyDescent="0.35">
      <c r="A2197" s="13" t="s">
        <v>3039</v>
      </c>
      <c r="B2197" s="13" t="s">
        <v>761</v>
      </c>
      <c r="C2197" s="13" t="s">
        <v>762</v>
      </c>
      <c r="D2197" s="13" t="s">
        <v>52</v>
      </c>
      <c r="E2197" s="13" t="s">
        <v>71</v>
      </c>
      <c r="F2197" s="13" t="s">
        <v>72</v>
      </c>
      <c r="G2197" s="13" t="s">
        <v>67</v>
      </c>
      <c r="H2197">
        <v>340000</v>
      </c>
      <c r="I2197" s="13" t="s">
        <v>86</v>
      </c>
      <c r="J2197" s="13" t="s">
        <v>87</v>
      </c>
      <c r="K2197" s="13" t="s">
        <v>58</v>
      </c>
      <c r="L2197" s="13" t="s">
        <v>59</v>
      </c>
      <c r="M2197">
        <v>45</v>
      </c>
      <c r="N2197">
        <v>0</v>
      </c>
      <c r="O2197" s="14">
        <v>46020</v>
      </c>
      <c r="P2197" s="14">
        <v>46065</v>
      </c>
      <c r="Q2197">
        <v>14161.8</v>
      </c>
      <c r="R2197">
        <v>0</v>
      </c>
      <c r="S2197">
        <v>0</v>
      </c>
      <c r="T2197">
        <v>0</v>
      </c>
      <c r="U2197">
        <v>0</v>
      </c>
      <c r="V2197">
        <v>14161.8</v>
      </c>
      <c r="W2197">
        <v>0</v>
      </c>
      <c r="X2197">
        <v>1</v>
      </c>
      <c r="Y2197">
        <v>0</v>
      </c>
      <c r="Z2197">
        <v>-43</v>
      </c>
      <c r="AA2197">
        <v>1</v>
      </c>
      <c r="AB2197" s="13" t="s">
        <v>581</v>
      </c>
      <c r="AC2197">
        <v>0</v>
      </c>
      <c r="AD2197">
        <v>0</v>
      </c>
      <c r="AE2197" s="13" t="s">
        <v>61</v>
      </c>
    </row>
    <row r="2198" spans="1:31" x14ac:dyDescent="0.35">
      <c r="A2198" s="13" t="s">
        <v>3040</v>
      </c>
      <c r="B2198" s="13" t="s">
        <v>1292</v>
      </c>
      <c r="C2198" s="13" t="s">
        <v>1293</v>
      </c>
      <c r="D2198" s="13" t="s">
        <v>104</v>
      </c>
      <c r="E2198" s="13" t="s">
        <v>53</v>
      </c>
      <c r="F2198" s="13" t="s">
        <v>135</v>
      </c>
      <c r="G2198" s="13" t="s">
        <v>67</v>
      </c>
      <c r="H2198">
        <v>35000</v>
      </c>
      <c r="I2198" s="13" t="s">
        <v>105</v>
      </c>
      <c r="J2198" s="13" t="s">
        <v>106</v>
      </c>
      <c r="K2198" s="13" t="s">
        <v>107</v>
      </c>
      <c r="L2198" s="13" t="s">
        <v>88</v>
      </c>
      <c r="M2198">
        <v>60</v>
      </c>
      <c r="N2198">
        <v>0</v>
      </c>
      <c r="O2198" s="14">
        <v>46020</v>
      </c>
      <c r="P2198" s="14">
        <v>46080</v>
      </c>
      <c r="Q2198">
        <v>6112.57</v>
      </c>
      <c r="R2198">
        <v>0</v>
      </c>
      <c r="S2198">
        <v>0</v>
      </c>
      <c r="T2198">
        <v>0</v>
      </c>
      <c r="U2198">
        <v>0</v>
      </c>
      <c r="V2198">
        <v>6112.57</v>
      </c>
      <c r="W2198">
        <v>0</v>
      </c>
      <c r="X2198">
        <v>1</v>
      </c>
      <c r="Y2198">
        <v>0</v>
      </c>
      <c r="Z2198">
        <v>-58</v>
      </c>
      <c r="AA2198">
        <v>1</v>
      </c>
      <c r="AB2198" s="13" t="s">
        <v>581</v>
      </c>
      <c r="AC2198">
        <v>0</v>
      </c>
      <c r="AD2198">
        <v>0</v>
      </c>
      <c r="AE2198" s="13" t="s">
        <v>61</v>
      </c>
    </row>
    <row r="2199" spans="1:31" x14ac:dyDescent="0.35">
      <c r="A2199" s="13" t="s">
        <v>3041</v>
      </c>
      <c r="B2199" s="13" t="s">
        <v>3042</v>
      </c>
      <c r="C2199" s="13" t="s">
        <v>3043</v>
      </c>
      <c r="D2199" s="13" t="s">
        <v>76</v>
      </c>
      <c r="E2199" s="13" t="s">
        <v>53</v>
      </c>
      <c r="F2199" s="13" t="s">
        <v>135</v>
      </c>
      <c r="G2199" s="13" t="s">
        <v>67</v>
      </c>
      <c r="H2199">
        <v>35000</v>
      </c>
      <c r="I2199" s="13" t="s">
        <v>79</v>
      </c>
      <c r="J2199" s="13" t="s">
        <v>80</v>
      </c>
      <c r="K2199" s="13" t="s">
        <v>81</v>
      </c>
      <c r="L2199" s="13" t="s">
        <v>95</v>
      </c>
      <c r="M2199">
        <v>30</v>
      </c>
      <c r="N2199">
        <v>0</v>
      </c>
      <c r="O2199" s="14">
        <v>46020</v>
      </c>
      <c r="P2199" s="14">
        <v>46050</v>
      </c>
      <c r="Q2199">
        <v>598.88</v>
      </c>
      <c r="R2199">
        <v>0</v>
      </c>
      <c r="S2199">
        <v>0</v>
      </c>
      <c r="T2199">
        <v>0</v>
      </c>
      <c r="U2199">
        <v>0</v>
      </c>
      <c r="V2199">
        <v>598.88</v>
      </c>
      <c r="W2199">
        <v>0</v>
      </c>
      <c r="X2199">
        <v>1</v>
      </c>
      <c r="Y2199">
        <v>0</v>
      </c>
      <c r="Z2199">
        <v>-28</v>
      </c>
      <c r="AA2199">
        <v>1</v>
      </c>
      <c r="AB2199" s="13" t="s">
        <v>581</v>
      </c>
      <c r="AC2199">
        <v>0</v>
      </c>
      <c r="AD2199">
        <v>0</v>
      </c>
      <c r="AE2199" s="13" t="s">
        <v>61</v>
      </c>
    </row>
    <row r="2200" spans="1:31" x14ac:dyDescent="0.35">
      <c r="A2200" s="13" t="s">
        <v>3044</v>
      </c>
      <c r="B2200" s="13" t="s">
        <v>1766</v>
      </c>
      <c r="C2200" s="13" t="s">
        <v>1767</v>
      </c>
      <c r="D2200" s="13" t="s">
        <v>52</v>
      </c>
      <c r="E2200" s="13" t="s">
        <v>77</v>
      </c>
      <c r="F2200" s="13" t="s">
        <v>174</v>
      </c>
      <c r="G2200" s="13" t="s">
        <v>67</v>
      </c>
      <c r="H2200">
        <v>440000</v>
      </c>
      <c r="I2200" s="13" t="s">
        <v>56</v>
      </c>
      <c r="J2200" s="13" t="s">
        <v>57</v>
      </c>
      <c r="K2200" s="13" t="s">
        <v>58</v>
      </c>
      <c r="L2200" s="13" t="s">
        <v>59</v>
      </c>
      <c r="M2200">
        <v>45</v>
      </c>
      <c r="N2200">
        <v>0</v>
      </c>
      <c r="O2200" s="14">
        <v>46020</v>
      </c>
      <c r="P2200" s="14">
        <v>46065</v>
      </c>
      <c r="Q2200">
        <v>5036.88</v>
      </c>
      <c r="R2200">
        <v>0</v>
      </c>
      <c r="S2200">
        <v>0</v>
      </c>
      <c r="T2200">
        <v>0</v>
      </c>
      <c r="U2200">
        <v>0</v>
      </c>
      <c r="V2200">
        <v>5036.88</v>
      </c>
      <c r="W2200">
        <v>0</v>
      </c>
      <c r="X2200">
        <v>1</v>
      </c>
      <c r="Y2200">
        <v>0</v>
      </c>
      <c r="Z2200">
        <v>-43</v>
      </c>
      <c r="AA2200">
        <v>1</v>
      </c>
      <c r="AB2200" s="13" t="s">
        <v>581</v>
      </c>
      <c r="AC2200">
        <v>0</v>
      </c>
      <c r="AD2200">
        <v>0</v>
      </c>
      <c r="AE2200" s="13" t="s">
        <v>61</v>
      </c>
    </row>
    <row r="2201" spans="1:31" x14ac:dyDescent="0.35">
      <c r="A2201" s="13" t="s">
        <v>3045</v>
      </c>
      <c r="B2201" s="13" t="s">
        <v>286</v>
      </c>
      <c r="C2201" s="13" t="s">
        <v>287</v>
      </c>
      <c r="D2201" s="13" t="s">
        <v>104</v>
      </c>
      <c r="E2201" s="13" t="s">
        <v>77</v>
      </c>
      <c r="F2201" s="13" t="s">
        <v>174</v>
      </c>
      <c r="G2201" s="13" t="s">
        <v>92</v>
      </c>
      <c r="H2201">
        <v>150000</v>
      </c>
      <c r="I2201" s="13" t="s">
        <v>86</v>
      </c>
      <c r="J2201" s="13" t="s">
        <v>87</v>
      </c>
      <c r="K2201" s="13" t="s">
        <v>58</v>
      </c>
      <c r="L2201" s="13" t="s">
        <v>95</v>
      </c>
      <c r="M2201">
        <v>30</v>
      </c>
      <c r="N2201">
        <v>0</v>
      </c>
      <c r="O2201" s="14">
        <v>46020</v>
      </c>
      <c r="P2201" s="14">
        <v>46050</v>
      </c>
      <c r="Q2201">
        <v>6847.73</v>
      </c>
      <c r="R2201">
        <v>0</v>
      </c>
      <c r="S2201">
        <v>0</v>
      </c>
      <c r="T2201">
        <v>0</v>
      </c>
      <c r="U2201">
        <v>0</v>
      </c>
      <c r="V2201">
        <v>6847.73</v>
      </c>
      <c r="W2201">
        <v>0</v>
      </c>
      <c r="X2201">
        <v>1</v>
      </c>
      <c r="Y2201">
        <v>0</v>
      </c>
      <c r="Z2201">
        <v>-28</v>
      </c>
      <c r="AA2201">
        <v>1</v>
      </c>
      <c r="AB2201" s="13" t="s">
        <v>581</v>
      </c>
      <c r="AC2201">
        <v>0</v>
      </c>
      <c r="AD2201">
        <v>0</v>
      </c>
      <c r="AE2201" s="13" t="s">
        <v>61</v>
      </c>
    </row>
    <row r="2202" spans="1:31" x14ac:dyDescent="0.35">
      <c r="A2202" s="13" t="s">
        <v>3046</v>
      </c>
      <c r="B2202" s="13" t="s">
        <v>393</v>
      </c>
      <c r="C2202" s="13" t="s">
        <v>394</v>
      </c>
      <c r="D2202" s="13" t="s">
        <v>76</v>
      </c>
      <c r="E2202" s="13" t="s">
        <v>65</v>
      </c>
      <c r="F2202" s="13" t="s">
        <v>66</v>
      </c>
      <c r="G2202" s="13" t="s">
        <v>55</v>
      </c>
      <c r="H2202">
        <v>50000</v>
      </c>
      <c r="I2202" s="13" t="s">
        <v>93</v>
      </c>
      <c r="J2202" s="13" t="s">
        <v>94</v>
      </c>
      <c r="K2202" s="13" t="s">
        <v>81</v>
      </c>
      <c r="L2202" s="13" t="s">
        <v>95</v>
      </c>
      <c r="M2202">
        <v>30</v>
      </c>
      <c r="N2202">
        <v>0</v>
      </c>
      <c r="O2202" s="14">
        <v>46020</v>
      </c>
      <c r="P2202" s="14">
        <v>46050</v>
      </c>
      <c r="Q2202">
        <v>1460</v>
      </c>
      <c r="R2202">
        <v>0</v>
      </c>
      <c r="S2202">
        <v>0</v>
      </c>
      <c r="T2202">
        <v>0</v>
      </c>
      <c r="U2202">
        <v>0</v>
      </c>
      <c r="V2202">
        <v>1460</v>
      </c>
      <c r="W2202">
        <v>0</v>
      </c>
      <c r="X2202">
        <v>1</v>
      </c>
      <c r="Y2202">
        <v>0</v>
      </c>
      <c r="Z2202">
        <v>-28</v>
      </c>
      <c r="AA2202">
        <v>1</v>
      </c>
      <c r="AB2202" s="13" t="s">
        <v>581</v>
      </c>
      <c r="AC2202">
        <v>0</v>
      </c>
      <c r="AD2202">
        <v>0</v>
      </c>
      <c r="AE2202" s="13" t="s">
        <v>61</v>
      </c>
    </row>
    <row r="2203" spans="1:31" x14ac:dyDescent="0.35">
      <c r="A2203" s="13" t="s">
        <v>3047</v>
      </c>
      <c r="B2203" s="13" t="s">
        <v>1195</v>
      </c>
      <c r="C2203" s="13" t="s">
        <v>1196</v>
      </c>
      <c r="D2203" s="13" t="s">
        <v>104</v>
      </c>
      <c r="E2203" s="13" t="s">
        <v>99</v>
      </c>
      <c r="F2203" s="13" t="s">
        <v>100</v>
      </c>
      <c r="G2203" s="13" t="s">
        <v>67</v>
      </c>
      <c r="H2203">
        <v>30000</v>
      </c>
      <c r="I2203" s="13" t="s">
        <v>105</v>
      </c>
      <c r="J2203" s="13" t="s">
        <v>106</v>
      </c>
      <c r="K2203" s="13" t="s">
        <v>107</v>
      </c>
      <c r="L2203" s="13" t="s">
        <v>95</v>
      </c>
      <c r="M2203">
        <v>30</v>
      </c>
      <c r="N2203">
        <v>0</v>
      </c>
      <c r="O2203" s="14">
        <v>46020</v>
      </c>
      <c r="P2203" s="14">
        <v>46050</v>
      </c>
      <c r="Q2203">
        <v>5829.88</v>
      </c>
      <c r="R2203">
        <v>0</v>
      </c>
      <c r="S2203">
        <v>0</v>
      </c>
      <c r="T2203">
        <v>0</v>
      </c>
      <c r="U2203">
        <v>0</v>
      </c>
      <c r="V2203">
        <v>5829.88</v>
      </c>
      <c r="W2203">
        <v>0</v>
      </c>
      <c r="X2203">
        <v>1</v>
      </c>
      <c r="Y2203">
        <v>0</v>
      </c>
      <c r="Z2203">
        <v>-28</v>
      </c>
      <c r="AA2203">
        <v>1</v>
      </c>
      <c r="AB2203" s="13" t="s">
        <v>581</v>
      </c>
      <c r="AC2203">
        <v>0</v>
      </c>
      <c r="AD2203">
        <v>0</v>
      </c>
      <c r="AE2203" s="13" t="s">
        <v>61</v>
      </c>
    </row>
    <row r="2204" spans="1:31" x14ac:dyDescent="0.35">
      <c r="A2204" s="13" t="s">
        <v>3048</v>
      </c>
      <c r="B2204" s="13" t="s">
        <v>997</v>
      </c>
      <c r="C2204" s="13" t="s">
        <v>998</v>
      </c>
      <c r="D2204" s="13" t="s">
        <v>52</v>
      </c>
      <c r="E2204" s="13" t="s">
        <v>71</v>
      </c>
      <c r="F2204" s="13" t="s">
        <v>72</v>
      </c>
      <c r="G2204" s="13" t="s">
        <v>55</v>
      </c>
      <c r="H2204">
        <v>405000</v>
      </c>
      <c r="I2204" s="13" t="s">
        <v>86</v>
      </c>
      <c r="J2204" s="13" t="s">
        <v>87</v>
      </c>
      <c r="K2204" s="13" t="s">
        <v>58</v>
      </c>
      <c r="L2204" s="13" t="s">
        <v>59</v>
      </c>
      <c r="M2204">
        <v>45</v>
      </c>
      <c r="N2204">
        <v>0</v>
      </c>
      <c r="O2204" s="14">
        <v>46020</v>
      </c>
      <c r="P2204" s="14">
        <v>46065</v>
      </c>
      <c r="Q2204">
        <v>1928.46</v>
      </c>
      <c r="R2204">
        <v>0</v>
      </c>
      <c r="S2204">
        <v>0</v>
      </c>
      <c r="T2204">
        <v>0</v>
      </c>
      <c r="U2204">
        <v>0</v>
      </c>
      <c r="V2204">
        <v>1928.46</v>
      </c>
      <c r="W2204">
        <v>0</v>
      </c>
      <c r="X2204">
        <v>1</v>
      </c>
      <c r="Y2204">
        <v>0</v>
      </c>
      <c r="Z2204">
        <v>-43</v>
      </c>
      <c r="AA2204">
        <v>1</v>
      </c>
      <c r="AB2204" s="13" t="s">
        <v>581</v>
      </c>
      <c r="AC2204">
        <v>0</v>
      </c>
      <c r="AD2204">
        <v>0</v>
      </c>
      <c r="AE2204" s="13" t="s">
        <v>61</v>
      </c>
    </row>
    <row r="2205" spans="1:31" x14ac:dyDescent="0.35">
      <c r="A2205" s="13" t="s">
        <v>3049</v>
      </c>
      <c r="B2205" s="13" t="s">
        <v>219</v>
      </c>
      <c r="C2205" s="13" t="s">
        <v>220</v>
      </c>
      <c r="D2205" s="13" t="s">
        <v>76</v>
      </c>
      <c r="E2205" s="13" t="s">
        <v>71</v>
      </c>
      <c r="F2205" s="13" t="s">
        <v>72</v>
      </c>
      <c r="G2205" s="13" t="s">
        <v>55</v>
      </c>
      <c r="H2205">
        <v>65000</v>
      </c>
      <c r="I2205" s="13" t="s">
        <v>79</v>
      </c>
      <c r="J2205" s="13" t="s">
        <v>80</v>
      </c>
      <c r="K2205" s="13" t="s">
        <v>81</v>
      </c>
      <c r="L2205" s="13" t="s">
        <v>95</v>
      </c>
      <c r="M2205">
        <v>30</v>
      </c>
      <c r="N2205">
        <v>0</v>
      </c>
      <c r="O2205" s="14">
        <v>46020</v>
      </c>
      <c r="P2205" s="14">
        <v>46050</v>
      </c>
      <c r="Q2205">
        <v>4718.8999999999996</v>
      </c>
      <c r="R2205">
        <v>0</v>
      </c>
      <c r="S2205">
        <v>0</v>
      </c>
      <c r="T2205">
        <v>0</v>
      </c>
      <c r="U2205">
        <v>0</v>
      </c>
      <c r="V2205">
        <v>4718.8999999999996</v>
      </c>
      <c r="W2205">
        <v>0</v>
      </c>
      <c r="X2205">
        <v>1</v>
      </c>
      <c r="Y2205">
        <v>0</v>
      </c>
      <c r="Z2205">
        <v>-28</v>
      </c>
      <c r="AA2205">
        <v>1</v>
      </c>
      <c r="AB2205" s="13" t="s">
        <v>581</v>
      </c>
      <c r="AC2205">
        <v>0</v>
      </c>
      <c r="AD2205">
        <v>0</v>
      </c>
      <c r="AE2205" s="13" t="s">
        <v>61</v>
      </c>
    </row>
    <row r="2206" spans="1:31" x14ac:dyDescent="0.35">
      <c r="A2206" s="13" t="s">
        <v>3050</v>
      </c>
      <c r="B2206" s="13" t="s">
        <v>277</v>
      </c>
      <c r="C2206" s="13" t="s">
        <v>278</v>
      </c>
      <c r="D2206" s="13" t="s">
        <v>104</v>
      </c>
      <c r="E2206" s="13" t="s">
        <v>71</v>
      </c>
      <c r="F2206" s="13" t="s">
        <v>214</v>
      </c>
      <c r="G2206" s="13" t="s">
        <v>92</v>
      </c>
      <c r="H2206">
        <v>105000</v>
      </c>
      <c r="I2206" s="13" t="s">
        <v>105</v>
      </c>
      <c r="J2206" s="13" t="s">
        <v>106</v>
      </c>
      <c r="K2206" s="13" t="s">
        <v>107</v>
      </c>
      <c r="L2206" s="13" t="s">
        <v>88</v>
      </c>
      <c r="M2206">
        <v>60</v>
      </c>
      <c r="N2206">
        <v>0</v>
      </c>
      <c r="O2206" s="14">
        <v>46020</v>
      </c>
      <c r="P2206" s="14">
        <v>46080</v>
      </c>
      <c r="Q2206">
        <v>2068.46</v>
      </c>
      <c r="R2206">
        <v>0</v>
      </c>
      <c r="S2206">
        <v>0</v>
      </c>
      <c r="T2206">
        <v>0</v>
      </c>
      <c r="U2206">
        <v>0</v>
      </c>
      <c r="V2206">
        <v>2068.46</v>
      </c>
      <c r="W2206">
        <v>0</v>
      </c>
      <c r="X2206">
        <v>1</v>
      </c>
      <c r="Y2206">
        <v>0</v>
      </c>
      <c r="Z2206">
        <v>-58</v>
      </c>
      <c r="AA2206">
        <v>1</v>
      </c>
      <c r="AB2206" s="13" t="s">
        <v>581</v>
      </c>
      <c r="AC2206">
        <v>0</v>
      </c>
      <c r="AD2206">
        <v>0</v>
      </c>
      <c r="AE2206" s="13" t="s">
        <v>61</v>
      </c>
    </row>
    <row r="2207" spans="1:31" x14ac:dyDescent="0.35">
      <c r="A2207" s="13" t="s">
        <v>3051</v>
      </c>
      <c r="B2207" s="13" t="s">
        <v>1081</v>
      </c>
      <c r="C2207" s="13" t="s">
        <v>1082</v>
      </c>
      <c r="D2207" s="13" t="s">
        <v>104</v>
      </c>
      <c r="E2207" s="13" t="s">
        <v>65</v>
      </c>
      <c r="F2207" s="13" t="s">
        <v>111</v>
      </c>
      <c r="G2207" s="13" t="s">
        <v>55</v>
      </c>
      <c r="H2207">
        <v>110000</v>
      </c>
      <c r="I2207" s="13" t="s">
        <v>105</v>
      </c>
      <c r="J2207" s="13" t="s">
        <v>106</v>
      </c>
      <c r="K2207" s="13" t="s">
        <v>107</v>
      </c>
      <c r="L2207" s="13" t="s">
        <v>95</v>
      </c>
      <c r="M2207">
        <v>30</v>
      </c>
      <c r="N2207">
        <v>0</v>
      </c>
      <c r="O2207" s="14">
        <v>46020</v>
      </c>
      <c r="P2207" s="14">
        <v>46050</v>
      </c>
      <c r="Q2207">
        <v>1185.8800000000001</v>
      </c>
      <c r="R2207">
        <v>0</v>
      </c>
      <c r="S2207">
        <v>0</v>
      </c>
      <c r="T2207">
        <v>0</v>
      </c>
      <c r="U2207">
        <v>0</v>
      </c>
      <c r="V2207">
        <v>1185.8800000000001</v>
      </c>
      <c r="W2207">
        <v>0</v>
      </c>
      <c r="X2207">
        <v>1</v>
      </c>
      <c r="Y2207">
        <v>0</v>
      </c>
      <c r="Z2207">
        <v>-28</v>
      </c>
      <c r="AA2207">
        <v>1</v>
      </c>
      <c r="AB2207" s="13" t="s">
        <v>581</v>
      </c>
      <c r="AC2207">
        <v>0</v>
      </c>
      <c r="AD2207">
        <v>0</v>
      </c>
      <c r="AE2207" s="13" t="s">
        <v>61</v>
      </c>
    </row>
    <row r="2208" spans="1:31" x14ac:dyDescent="0.35">
      <c r="A2208" s="13" t="s">
        <v>3052</v>
      </c>
      <c r="B2208" s="13" t="s">
        <v>2384</v>
      </c>
      <c r="C2208" s="13" t="s">
        <v>2385</v>
      </c>
      <c r="D2208" s="13" t="s">
        <v>76</v>
      </c>
      <c r="E2208" s="13" t="s">
        <v>77</v>
      </c>
      <c r="F2208" s="13" t="s">
        <v>174</v>
      </c>
      <c r="G2208" s="13" t="s">
        <v>55</v>
      </c>
      <c r="H2208">
        <v>60000</v>
      </c>
      <c r="I2208" s="13" t="s">
        <v>93</v>
      </c>
      <c r="J2208" s="13" t="s">
        <v>94</v>
      </c>
      <c r="K2208" s="13" t="s">
        <v>81</v>
      </c>
      <c r="L2208" s="13" t="s">
        <v>82</v>
      </c>
      <c r="M2208">
        <v>30</v>
      </c>
      <c r="N2208">
        <v>2</v>
      </c>
      <c r="O2208" s="14">
        <v>46020</v>
      </c>
      <c r="P2208" s="14">
        <v>46050</v>
      </c>
      <c r="Q2208">
        <v>3273.48</v>
      </c>
      <c r="R2208">
        <v>0</v>
      </c>
      <c r="S2208">
        <v>0</v>
      </c>
      <c r="T2208">
        <v>0</v>
      </c>
      <c r="U2208">
        <v>0</v>
      </c>
      <c r="V2208">
        <v>3273.48</v>
      </c>
      <c r="W2208">
        <v>0</v>
      </c>
      <c r="X2208">
        <v>1</v>
      </c>
      <c r="Y2208">
        <v>0</v>
      </c>
      <c r="Z2208">
        <v>-28</v>
      </c>
      <c r="AA2208">
        <v>1</v>
      </c>
      <c r="AB2208" s="13" t="s">
        <v>581</v>
      </c>
      <c r="AC2208">
        <v>0</v>
      </c>
      <c r="AD2208">
        <v>0</v>
      </c>
      <c r="AE2208" s="13" t="s">
        <v>61</v>
      </c>
    </row>
    <row r="2209" spans="1:31" x14ac:dyDescent="0.35">
      <c r="A2209" s="13" t="s">
        <v>3053</v>
      </c>
      <c r="B2209" s="13" t="s">
        <v>1826</v>
      </c>
      <c r="C2209" s="13" t="s">
        <v>1827</v>
      </c>
      <c r="D2209" s="13" t="s">
        <v>104</v>
      </c>
      <c r="E2209" s="13" t="s">
        <v>65</v>
      </c>
      <c r="F2209" s="13" t="s">
        <v>111</v>
      </c>
      <c r="G2209" s="13" t="s">
        <v>67</v>
      </c>
      <c r="H2209">
        <v>120000</v>
      </c>
      <c r="I2209" s="13" t="s">
        <v>121</v>
      </c>
      <c r="J2209" s="13" t="s">
        <v>122</v>
      </c>
      <c r="K2209" s="13" t="s">
        <v>107</v>
      </c>
      <c r="L2209" s="13" t="s">
        <v>95</v>
      </c>
      <c r="M2209">
        <v>30</v>
      </c>
      <c r="N2209">
        <v>0</v>
      </c>
      <c r="O2209" s="14">
        <v>46020</v>
      </c>
      <c r="P2209" s="14">
        <v>46050</v>
      </c>
      <c r="Q2209">
        <v>3946.84</v>
      </c>
      <c r="R2209">
        <v>0</v>
      </c>
      <c r="S2209">
        <v>0</v>
      </c>
      <c r="T2209">
        <v>0</v>
      </c>
      <c r="U2209">
        <v>0</v>
      </c>
      <c r="V2209">
        <v>3946.84</v>
      </c>
      <c r="W2209">
        <v>0</v>
      </c>
      <c r="X2209">
        <v>1</v>
      </c>
      <c r="Y2209">
        <v>0</v>
      </c>
      <c r="Z2209">
        <v>-28</v>
      </c>
      <c r="AA2209">
        <v>1</v>
      </c>
      <c r="AB2209" s="13" t="s">
        <v>581</v>
      </c>
      <c r="AC2209">
        <v>0</v>
      </c>
      <c r="AD2209">
        <v>0</v>
      </c>
      <c r="AE2209" s="13" t="s">
        <v>61</v>
      </c>
    </row>
    <row r="2210" spans="1:31" x14ac:dyDescent="0.35">
      <c r="A2210" s="13" t="s">
        <v>3054</v>
      </c>
      <c r="B2210" s="13" t="s">
        <v>312</v>
      </c>
      <c r="C2210" s="13" t="s">
        <v>313</v>
      </c>
      <c r="D2210" s="13" t="s">
        <v>52</v>
      </c>
      <c r="E2210" s="13" t="s">
        <v>77</v>
      </c>
      <c r="F2210" s="13" t="s">
        <v>174</v>
      </c>
      <c r="G2210" s="13" t="s">
        <v>55</v>
      </c>
      <c r="H2210">
        <v>600000</v>
      </c>
      <c r="I2210" s="13" t="s">
        <v>56</v>
      </c>
      <c r="J2210" s="13" t="s">
        <v>57</v>
      </c>
      <c r="K2210" s="13" t="s">
        <v>58</v>
      </c>
      <c r="L2210" s="13" t="s">
        <v>88</v>
      </c>
      <c r="M2210">
        <v>60</v>
      </c>
      <c r="N2210">
        <v>0</v>
      </c>
      <c r="O2210" s="14">
        <v>46020</v>
      </c>
      <c r="P2210" s="14">
        <v>46080</v>
      </c>
      <c r="Q2210">
        <v>11612.26</v>
      </c>
      <c r="R2210">
        <v>0</v>
      </c>
      <c r="S2210">
        <v>0</v>
      </c>
      <c r="T2210">
        <v>0</v>
      </c>
      <c r="U2210">
        <v>0</v>
      </c>
      <c r="V2210">
        <v>11612.26</v>
      </c>
      <c r="W2210">
        <v>0</v>
      </c>
      <c r="X2210">
        <v>1</v>
      </c>
      <c r="Y2210">
        <v>0</v>
      </c>
      <c r="Z2210">
        <v>-58</v>
      </c>
      <c r="AA2210">
        <v>1</v>
      </c>
      <c r="AB2210" s="13" t="s">
        <v>581</v>
      </c>
      <c r="AC2210">
        <v>0</v>
      </c>
      <c r="AD2210">
        <v>0</v>
      </c>
      <c r="AE2210" s="13" t="s">
        <v>61</v>
      </c>
    </row>
    <row r="2211" spans="1:31" x14ac:dyDescent="0.35">
      <c r="A2211" s="13" t="s">
        <v>3055</v>
      </c>
      <c r="B2211" s="13" t="s">
        <v>558</v>
      </c>
      <c r="C2211" s="13" t="s">
        <v>559</v>
      </c>
      <c r="D2211" s="13" t="s">
        <v>52</v>
      </c>
      <c r="E2211" s="13" t="s">
        <v>53</v>
      </c>
      <c r="F2211" s="13" t="s">
        <v>54</v>
      </c>
      <c r="G2211" s="13" t="s">
        <v>55</v>
      </c>
      <c r="H2211">
        <v>240000</v>
      </c>
      <c r="I2211" s="13" t="s">
        <v>56</v>
      </c>
      <c r="J2211" s="13" t="s">
        <v>57</v>
      </c>
      <c r="K2211" s="13" t="s">
        <v>58</v>
      </c>
      <c r="L2211" s="13" t="s">
        <v>59</v>
      </c>
      <c r="M2211">
        <v>45</v>
      </c>
      <c r="N2211">
        <v>0</v>
      </c>
      <c r="O2211" s="14">
        <v>46020</v>
      </c>
      <c r="P2211" s="14">
        <v>46065</v>
      </c>
      <c r="Q2211">
        <v>3177.64</v>
      </c>
      <c r="R2211">
        <v>0</v>
      </c>
      <c r="S2211">
        <v>0</v>
      </c>
      <c r="T2211">
        <v>0</v>
      </c>
      <c r="U2211">
        <v>0</v>
      </c>
      <c r="V2211">
        <v>3177.64</v>
      </c>
      <c r="W2211">
        <v>0</v>
      </c>
      <c r="X2211">
        <v>1</v>
      </c>
      <c r="Y2211">
        <v>0</v>
      </c>
      <c r="Z2211">
        <v>-43</v>
      </c>
      <c r="AA2211">
        <v>1</v>
      </c>
      <c r="AB2211" s="13" t="s">
        <v>581</v>
      </c>
      <c r="AC2211">
        <v>0</v>
      </c>
      <c r="AD2211">
        <v>0</v>
      </c>
      <c r="AE2211" s="13" t="s">
        <v>61</v>
      </c>
    </row>
    <row r="2212" spans="1:31" x14ac:dyDescent="0.35">
      <c r="A2212" s="13" t="s">
        <v>3056</v>
      </c>
      <c r="B2212" s="13" t="s">
        <v>1520</v>
      </c>
      <c r="C2212" s="13" t="s">
        <v>1521</v>
      </c>
      <c r="D2212" s="13" t="s">
        <v>76</v>
      </c>
      <c r="E2212" s="13" t="s">
        <v>53</v>
      </c>
      <c r="F2212" s="13" t="s">
        <v>135</v>
      </c>
      <c r="G2212" s="13" t="s">
        <v>55</v>
      </c>
      <c r="H2212">
        <v>110000</v>
      </c>
      <c r="I2212" s="13" t="s">
        <v>79</v>
      </c>
      <c r="J2212" s="13" t="s">
        <v>80</v>
      </c>
      <c r="K2212" s="13" t="s">
        <v>81</v>
      </c>
      <c r="L2212" s="13" t="s">
        <v>95</v>
      </c>
      <c r="M2212">
        <v>30</v>
      </c>
      <c r="N2212">
        <v>0</v>
      </c>
      <c r="O2212" s="14">
        <v>46020</v>
      </c>
      <c r="P2212" s="14">
        <v>46050</v>
      </c>
      <c r="Q2212">
        <v>4917.18</v>
      </c>
      <c r="R2212">
        <v>0</v>
      </c>
      <c r="S2212">
        <v>0</v>
      </c>
      <c r="T2212">
        <v>0</v>
      </c>
      <c r="U2212">
        <v>0</v>
      </c>
      <c r="V2212">
        <v>4917.18</v>
      </c>
      <c r="W2212">
        <v>0</v>
      </c>
      <c r="X2212">
        <v>1</v>
      </c>
      <c r="Y2212">
        <v>0</v>
      </c>
      <c r="Z2212">
        <v>-28</v>
      </c>
      <c r="AA2212">
        <v>1</v>
      </c>
      <c r="AB2212" s="13" t="s">
        <v>581</v>
      </c>
      <c r="AC2212">
        <v>0</v>
      </c>
      <c r="AD2212">
        <v>0</v>
      </c>
      <c r="AE2212" s="13" t="s">
        <v>61</v>
      </c>
    </row>
    <row r="2213" spans="1:31" x14ac:dyDescent="0.35">
      <c r="A2213" s="13" t="s">
        <v>3057</v>
      </c>
      <c r="B2213" s="13" t="s">
        <v>1042</v>
      </c>
      <c r="C2213" s="13" t="s">
        <v>1043</v>
      </c>
      <c r="D2213" s="13" t="s">
        <v>104</v>
      </c>
      <c r="E2213" s="13" t="s">
        <v>53</v>
      </c>
      <c r="F2213" s="13" t="s">
        <v>135</v>
      </c>
      <c r="G2213" s="13" t="s">
        <v>67</v>
      </c>
      <c r="H2213">
        <v>85000</v>
      </c>
      <c r="I2213" s="13" t="s">
        <v>121</v>
      </c>
      <c r="J2213" s="13" t="s">
        <v>122</v>
      </c>
      <c r="K2213" s="13" t="s">
        <v>107</v>
      </c>
      <c r="L2213" s="13" t="s">
        <v>88</v>
      </c>
      <c r="M2213">
        <v>60</v>
      </c>
      <c r="N2213">
        <v>0</v>
      </c>
      <c r="O2213" s="14">
        <v>46020</v>
      </c>
      <c r="P2213" s="14">
        <v>46080</v>
      </c>
      <c r="Q2213">
        <v>4139.12</v>
      </c>
      <c r="R2213">
        <v>0</v>
      </c>
      <c r="S2213">
        <v>0</v>
      </c>
      <c r="T2213">
        <v>0</v>
      </c>
      <c r="U2213">
        <v>0</v>
      </c>
      <c r="V2213">
        <v>4139.12</v>
      </c>
      <c r="W2213">
        <v>0</v>
      </c>
      <c r="X2213">
        <v>1</v>
      </c>
      <c r="Y2213">
        <v>0</v>
      </c>
      <c r="Z2213">
        <v>-58</v>
      </c>
      <c r="AA2213">
        <v>1</v>
      </c>
      <c r="AB2213" s="13" t="s">
        <v>581</v>
      </c>
      <c r="AC2213">
        <v>0</v>
      </c>
      <c r="AD2213">
        <v>0</v>
      </c>
      <c r="AE2213" s="13" t="s">
        <v>61</v>
      </c>
    </row>
    <row r="2214" spans="1:31" x14ac:dyDescent="0.35">
      <c r="A2214" s="13" t="s">
        <v>3058</v>
      </c>
      <c r="B2214" s="13" t="s">
        <v>241</v>
      </c>
      <c r="C2214" s="13" t="s">
        <v>242</v>
      </c>
      <c r="D2214" s="13" t="s">
        <v>76</v>
      </c>
      <c r="E2214" s="13" t="s">
        <v>65</v>
      </c>
      <c r="F2214" s="13" t="s">
        <v>111</v>
      </c>
      <c r="G2214" s="13" t="s">
        <v>67</v>
      </c>
      <c r="H2214">
        <v>100000</v>
      </c>
      <c r="I2214" s="13" t="s">
        <v>93</v>
      </c>
      <c r="J2214" s="13" t="s">
        <v>94</v>
      </c>
      <c r="K2214" s="13" t="s">
        <v>81</v>
      </c>
      <c r="L2214" s="13" t="s">
        <v>95</v>
      </c>
      <c r="M2214">
        <v>30</v>
      </c>
      <c r="N2214">
        <v>0</v>
      </c>
      <c r="O2214" s="14">
        <v>46020</v>
      </c>
      <c r="P2214" s="14">
        <v>46050</v>
      </c>
      <c r="Q2214">
        <v>3797.79</v>
      </c>
      <c r="R2214">
        <v>0</v>
      </c>
      <c r="S2214">
        <v>0</v>
      </c>
      <c r="T2214">
        <v>0</v>
      </c>
      <c r="U2214">
        <v>0</v>
      </c>
      <c r="V2214">
        <v>3797.79</v>
      </c>
      <c r="W2214">
        <v>0</v>
      </c>
      <c r="X2214">
        <v>1</v>
      </c>
      <c r="Y2214">
        <v>0</v>
      </c>
      <c r="Z2214">
        <v>-28</v>
      </c>
      <c r="AA2214">
        <v>1</v>
      </c>
      <c r="AB2214" s="13" t="s">
        <v>581</v>
      </c>
      <c r="AC2214">
        <v>0</v>
      </c>
      <c r="AD2214">
        <v>0</v>
      </c>
      <c r="AE2214" s="13" t="s">
        <v>61</v>
      </c>
    </row>
    <row r="2215" spans="1:31" x14ac:dyDescent="0.35">
      <c r="A2215" s="13" t="s">
        <v>3059</v>
      </c>
      <c r="B2215" s="13" t="s">
        <v>1127</v>
      </c>
      <c r="C2215" s="13" t="s">
        <v>1128</v>
      </c>
      <c r="D2215" s="13" t="s">
        <v>52</v>
      </c>
      <c r="E2215" s="13" t="s">
        <v>53</v>
      </c>
      <c r="F2215" s="13" t="s">
        <v>135</v>
      </c>
      <c r="G2215" s="13" t="s">
        <v>67</v>
      </c>
      <c r="H2215">
        <v>470000</v>
      </c>
      <c r="I2215" s="13" t="s">
        <v>56</v>
      </c>
      <c r="J2215" s="13" t="s">
        <v>57</v>
      </c>
      <c r="K2215" s="13" t="s">
        <v>58</v>
      </c>
      <c r="L2215" s="13" t="s">
        <v>88</v>
      </c>
      <c r="M2215">
        <v>60</v>
      </c>
      <c r="N2215">
        <v>0</v>
      </c>
      <c r="O2215" s="14">
        <v>46020</v>
      </c>
      <c r="P2215" s="14">
        <v>46080</v>
      </c>
      <c r="Q2215">
        <v>2592.14</v>
      </c>
      <c r="R2215">
        <v>0</v>
      </c>
      <c r="S2215">
        <v>0</v>
      </c>
      <c r="T2215">
        <v>0</v>
      </c>
      <c r="U2215">
        <v>0</v>
      </c>
      <c r="V2215">
        <v>2592.14</v>
      </c>
      <c r="W2215">
        <v>0</v>
      </c>
      <c r="X2215">
        <v>1</v>
      </c>
      <c r="Y2215">
        <v>0</v>
      </c>
      <c r="Z2215">
        <v>-58</v>
      </c>
      <c r="AA2215">
        <v>1</v>
      </c>
      <c r="AB2215" s="13" t="s">
        <v>581</v>
      </c>
      <c r="AC2215">
        <v>0</v>
      </c>
      <c r="AD2215">
        <v>0</v>
      </c>
      <c r="AE2215" s="13" t="s">
        <v>61</v>
      </c>
    </row>
    <row r="2216" spans="1:31" x14ac:dyDescent="0.35">
      <c r="A2216" s="13" t="s">
        <v>3060</v>
      </c>
      <c r="B2216" s="13" t="s">
        <v>601</v>
      </c>
      <c r="C2216" s="13" t="s">
        <v>602</v>
      </c>
      <c r="D2216" s="13" t="s">
        <v>52</v>
      </c>
      <c r="E2216" s="13" t="s">
        <v>53</v>
      </c>
      <c r="F2216" s="13" t="s">
        <v>135</v>
      </c>
      <c r="G2216" s="13" t="s">
        <v>67</v>
      </c>
      <c r="H2216">
        <v>525000</v>
      </c>
      <c r="I2216" s="13" t="s">
        <v>86</v>
      </c>
      <c r="J2216" s="13" t="s">
        <v>87</v>
      </c>
      <c r="K2216" s="13" t="s">
        <v>58</v>
      </c>
      <c r="L2216" s="13" t="s">
        <v>59</v>
      </c>
      <c r="M2216">
        <v>45</v>
      </c>
      <c r="N2216">
        <v>0</v>
      </c>
      <c r="O2216" s="14">
        <v>46020</v>
      </c>
      <c r="P2216" s="14">
        <v>46065</v>
      </c>
      <c r="Q2216">
        <v>2663.66</v>
      </c>
      <c r="R2216">
        <v>0</v>
      </c>
      <c r="S2216">
        <v>0</v>
      </c>
      <c r="T2216">
        <v>0</v>
      </c>
      <c r="U2216">
        <v>0</v>
      </c>
      <c r="V2216">
        <v>2663.66</v>
      </c>
      <c r="W2216">
        <v>0</v>
      </c>
      <c r="X2216">
        <v>1</v>
      </c>
      <c r="Y2216">
        <v>0</v>
      </c>
      <c r="Z2216">
        <v>-43</v>
      </c>
      <c r="AA2216">
        <v>1</v>
      </c>
      <c r="AB2216" s="13" t="s">
        <v>581</v>
      </c>
      <c r="AC2216">
        <v>0</v>
      </c>
      <c r="AD2216">
        <v>0</v>
      </c>
      <c r="AE2216" s="13" t="s">
        <v>61</v>
      </c>
    </row>
    <row r="2217" spans="1:31" x14ac:dyDescent="0.35">
      <c r="A2217" s="13" t="s">
        <v>3061</v>
      </c>
      <c r="B2217" s="13" t="s">
        <v>2155</v>
      </c>
      <c r="C2217" s="13" t="s">
        <v>2156</v>
      </c>
      <c r="D2217" s="13" t="s">
        <v>76</v>
      </c>
      <c r="E2217" s="13" t="s">
        <v>53</v>
      </c>
      <c r="F2217" s="13" t="s">
        <v>135</v>
      </c>
      <c r="G2217" s="13" t="s">
        <v>67</v>
      </c>
      <c r="H2217">
        <v>120000</v>
      </c>
      <c r="I2217" s="13" t="s">
        <v>79</v>
      </c>
      <c r="J2217" s="13" t="s">
        <v>80</v>
      </c>
      <c r="K2217" s="13" t="s">
        <v>81</v>
      </c>
      <c r="L2217" s="13" t="s">
        <v>95</v>
      </c>
      <c r="M2217">
        <v>30</v>
      </c>
      <c r="N2217">
        <v>0</v>
      </c>
      <c r="O2217" s="14">
        <v>46020</v>
      </c>
      <c r="P2217" s="14">
        <v>46050</v>
      </c>
      <c r="Q2217">
        <v>3095.44</v>
      </c>
      <c r="R2217">
        <v>0</v>
      </c>
      <c r="S2217">
        <v>0</v>
      </c>
      <c r="T2217">
        <v>0</v>
      </c>
      <c r="U2217">
        <v>0</v>
      </c>
      <c r="V2217">
        <v>3095.44</v>
      </c>
      <c r="W2217">
        <v>0</v>
      </c>
      <c r="X2217">
        <v>1</v>
      </c>
      <c r="Y2217">
        <v>0</v>
      </c>
      <c r="Z2217">
        <v>-28</v>
      </c>
      <c r="AA2217">
        <v>1</v>
      </c>
      <c r="AB2217" s="13" t="s">
        <v>581</v>
      </c>
      <c r="AC2217">
        <v>0</v>
      </c>
      <c r="AD2217">
        <v>0</v>
      </c>
      <c r="AE2217" s="13" t="s">
        <v>61</v>
      </c>
    </row>
    <row r="2218" spans="1:31" x14ac:dyDescent="0.35">
      <c r="A2218" s="13" t="s">
        <v>3062</v>
      </c>
      <c r="B2218" s="13" t="s">
        <v>1672</v>
      </c>
      <c r="C2218" s="13" t="s">
        <v>1673</v>
      </c>
      <c r="D2218" s="13" t="s">
        <v>76</v>
      </c>
      <c r="E2218" s="13" t="s">
        <v>77</v>
      </c>
      <c r="F2218" s="13" t="s">
        <v>78</v>
      </c>
      <c r="G2218" s="13" t="s">
        <v>67</v>
      </c>
      <c r="H2218">
        <v>115000</v>
      </c>
      <c r="I2218" s="13" t="s">
        <v>79</v>
      </c>
      <c r="J2218" s="13" t="s">
        <v>80</v>
      </c>
      <c r="K2218" s="13" t="s">
        <v>81</v>
      </c>
      <c r="L2218" s="13" t="s">
        <v>95</v>
      </c>
      <c r="M2218">
        <v>30</v>
      </c>
      <c r="N2218">
        <v>0</v>
      </c>
      <c r="O2218" s="14">
        <v>46020</v>
      </c>
      <c r="P2218" s="14">
        <v>46050</v>
      </c>
      <c r="Q2218">
        <v>4024.21</v>
      </c>
      <c r="R2218">
        <v>0</v>
      </c>
      <c r="S2218">
        <v>0</v>
      </c>
      <c r="T2218">
        <v>0</v>
      </c>
      <c r="U2218">
        <v>0</v>
      </c>
      <c r="V2218">
        <v>4024.21</v>
      </c>
      <c r="W2218">
        <v>0</v>
      </c>
      <c r="X2218">
        <v>1</v>
      </c>
      <c r="Y2218">
        <v>0</v>
      </c>
      <c r="Z2218">
        <v>-28</v>
      </c>
      <c r="AA2218">
        <v>1</v>
      </c>
      <c r="AB2218" s="13" t="s">
        <v>581</v>
      </c>
      <c r="AC2218">
        <v>0</v>
      </c>
      <c r="AD2218">
        <v>0</v>
      </c>
      <c r="AE2218" s="13" t="s">
        <v>61</v>
      </c>
    </row>
    <row r="2219" spans="1:31" x14ac:dyDescent="0.35">
      <c r="A2219" s="13" t="s">
        <v>3063</v>
      </c>
      <c r="B2219" s="13" t="s">
        <v>1150</v>
      </c>
      <c r="C2219" s="13" t="s">
        <v>1151</v>
      </c>
      <c r="D2219" s="13" t="s">
        <v>76</v>
      </c>
      <c r="E2219" s="13" t="s">
        <v>77</v>
      </c>
      <c r="F2219" s="13" t="s">
        <v>174</v>
      </c>
      <c r="G2219" s="13" t="s">
        <v>92</v>
      </c>
      <c r="H2219">
        <v>50000</v>
      </c>
      <c r="I2219" s="13" t="s">
        <v>79</v>
      </c>
      <c r="J2219" s="13" t="s">
        <v>80</v>
      </c>
      <c r="K2219" s="13" t="s">
        <v>81</v>
      </c>
      <c r="L2219" s="13" t="s">
        <v>82</v>
      </c>
      <c r="M2219">
        <v>30</v>
      </c>
      <c r="N2219">
        <v>2</v>
      </c>
      <c r="O2219" s="14">
        <v>46020</v>
      </c>
      <c r="P2219" s="14">
        <v>46050</v>
      </c>
      <c r="Q2219">
        <v>1811.97</v>
      </c>
      <c r="R2219">
        <v>0</v>
      </c>
      <c r="S2219">
        <v>0</v>
      </c>
      <c r="T2219">
        <v>0</v>
      </c>
      <c r="U2219">
        <v>0</v>
      </c>
      <c r="V2219">
        <v>1811.97</v>
      </c>
      <c r="W2219">
        <v>0</v>
      </c>
      <c r="X2219">
        <v>1</v>
      </c>
      <c r="Y2219">
        <v>0</v>
      </c>
      <c r="Z2219">
        <v>-28</v>
      </c>
      <c r="AA2219">
        <v>1</v>
      </c>
      <c r="AB2219" s="13" t="s">
        <v>581</v>
      </c>
      <c r="AC2219">
        <v>0</v>
      </c>
      <c r="AD2219">
        <v>0</v>
      </c>
      <c r="AE2219" s="13" t="s">
        <v>61</v>
      </c>
    </row>
    <row r="2220" spans="1:31" x14ac:dyDescent="0.35">
      <c r="A2220" s="13" t="s">
        <v>3064</v>
      </c>
      <c r="B2220" s="13" t="s">
        <v>343</v>
      </c>
      <c r="C2220" s="13" t="s">
        <v>344</v>
      </c>
      <c r="D2220" s="13" t="s">
        <v>104</v>
      </c>
      <c r="E2220" s="13" t="s">
        <v>77</v>
      </c>
      <c r="F2220" s="13" t="s">
        <v>174</v>
      </c>
      <c r="G2220" s="13" t="s">
        <v>67</v>
      </c>
      <c r="H2220">
        <v>145000</v>
      </c>
      <c r="I2220" s="13" t="s">
        <v>105</v>
      </c>
      <c r="J2220" s="13" t="s">
        <v>106</v>
      </c>
      <c r="K2220" s="13" t="s">
        <v>107</v>
      </c>
      <c r="L2220" s="13" t="s">
        <v>95</v>
      </c>
      <c r="M2220">
        <v>30</v>
      </c>
      <c r="N2220">
        <v>0</v>
      </c>
      <c r="O2220" s="14">
        <v>46020</v>
      </c>
      <c r="P2220" s="14">
        <v>46050</v>
      </c>
      <c r="Q2220">
        <v>8436.56</v>
      </c>
      <c r="R2220">
        <v>0</v>
      </c>
      <c r="S2220">
        <v>0</v>
      </c>
      <c r="T2220">
        <v>0</v>
      </c>
      <c r="U2220">
        <v>0</v>
      </c>
      <c r="V2220">
        <v>8436.56</v>
      </c>
      <c r="W2220">
        <v>0</v>
      </c>
      <c r="X2220">
        <v>1</v>
      </c>
      <c r="Y2220">
        <v>0</v>
      </c>
      <c r="Z2220">
        <v>-28</v>
      </c>
      <c r="AA2220">
        <v>1</v>
      </c>
      <c r="AB2220" s="13" t="s">
        <v>581</v>
      </c>
      <c r="AC2220">
        <v>0</v>
      </c>
      <c r="AD2220">
        <v>0</v>
      </c>
      <c r="AE2220" s="13" t="s">
        <v>61</v>
      </c>
    </row>
    <row r="2221" spans="1:31" x14ac:dyDescent="0.35">
      <c r="A2221" s="13" t="s">
        <v>3065</v>
      </c>
      <c r="B2221" s="13" t="s">
        <v>250</v>
      </c>
      <c r="C2221" s="13" t="s">
        <v>251</v>
      </c>
      <c r="D2221" s="13" t="s">
        <v>104</v>
      </c>
      <c r="E2221" s="13" t="s">
        <v>53</v>
      </c>
      <c r="F2221" s="13" t="s">
        <v>135</v>
      </c>
      <c r="G2221" s="13" t="s">
        <v>55</v>
      </c>
      <c r="H2221">
        <v>85000</v>
      </c>
      <c r="I2221" s="13" t="s">
        <v>105</v>
      </c>
      <c r="J2221" s="13" t="s">
        <v>106</v>
      </c>
      <c r="K2221" s="13" t="s">
        <v>107</v>
      </c>
      <c r="L2221" s="13" t="s">
        <v>88</v>
      </c>
      <c r="M2221">
        <v>60</v>
      </c>
      <c r="N2221">
        <v>0</v>
      </c>
      <c r="O2221" s="14">
        <v>46020</v>
      </c>
      <c r="P2221" s="14">
        <v>46080</v>
      </c>
      <c r="Q2221">
        <v>2511.0700000000002</v>
      </c>
      <c r="R2221">
        <v>0</v>
      </c>
      <c r="S2221">
        <v>0</v>
      </c>
      <c r="T2221">
        <v>0</v>
      </c>
      <c r="U2221">
        <v>0</v>
      </c>
      <c r="V2221">
        <v>2511.0700000000002</v>
      </c>
      <c r="W2221">
        <v>0</v>
      </c>
      <c r="X2221">
        <v>1</v>
      </c>
      <c r="Y2221">
        <v>0</v>
      </c>
      <c r="Z2221">
        <v>-58</v>
      </c>
      <c r="AA2221">
        <v>1</v>
      </c>
      <c r="AB2221" s="13" t="s">
        <v>581</v>
      </c>
      <c r="AC2221">
        <v>0</v>
      </c>
      <c r="AD2221">
        <v>0</v>
      </c>
      <c r="AE2221" s="13" t="s">
        <v>61</v>
      </c>
    </row>
    <row r="2222" spans="1:31" x14ac:dyDescent="0.35">
      <c r="A2222" s="13" t="s">
        <v>3066</v>
      </c>
      <c r="B2222" s="13" t="s">
        <v>290</v>
      </c>
      <c r="C2222" s="13" t="s">
        <v>291</v>
      </c>
      <c r="D2222" s="13" t="s">
        <v>104</v>
      </c>
      <c r="E2222" s="13" t="s">
        <v>77</v>
      </c>
      <c r="F2222" s="13" t="s">
        <v>78</v>
      </c>
      <c r="G2222" s="13" t="s">
        <v>92</v>
      </c>
      <c r="H2222">
        <v>140000</v>
      </c>
      <c r="I2222" s="13" t="s">
        <v>121</v>
      </c>
      <c r="J2222" s="13" t="s">
        <v>122</v>
      </c>
      <c r="K2222" s="13" t="s">
        <v>107</v>
      </c>
      <c r="L2222" s="13" t="s">
        <v>82</v>
      </c>
      <c r="M2222">
        <v>30</v>
      </c>
      <c r="N2222">
        <v>2</v>
      </c>
      <c r="O2222" s="14">
        <v>46020</v>
      </c>
      <c r="P2222" s="14">
        <v>46050</v>
      </c>
      <c r="Q2222">
        <v>5909.32</v>
      </c>
      <c r="R2222">
        <v>0</v>
      </c>
      <c r="S2222">
        <v>0</v>
      </c>
      <c r="T2222">
        <v>0</v>
      </c>
      <c r="U2222">
        <v>0</v>
      </c>
      <c r="V2222">
        <v>5909.32</v>
      </c>
      <c r="W2222">
        <v>0</v>
      </c>
      <c r="X2222">
        <v>1</v>
      </c>
      <c r="Y2222">
        <v>0</v>
      </c>
      <c r="Z2222">
        <v>-28</v>
      </c>
      <c r="AA2222">
        <v>1</v>
      </c>
      <c r="AB2222" s="13" t="s">
        <v>581</v>
      </c>
      <c r="AC2222">
        <v>0</v>
      </c>
      <c r="AD2222">
        <v>0</v>
      </c>
      <c r="AE2222" s="13" t="s">
        <v>61</v>
      </c>
    </row>
    <row r="2223" spans="1:31" x14ac:dyDescent="0.35">
      <c r="A2223" s="13" t="s">
        <v>3067</v>
      </c>
      <c r="B2223" s="13" t="s">
        <v>1842</v>
      </c>
      <c r="C2223" s="13" t="s">
        <v>1843</v>
      </c>
      <c r="D2223" s="13" t="s">
        <v>104</v>
      </c>
      <c r="E2223" s="13" t="s">
        <v>99</v>
      </c>
      <c r="F2223" s="13" t="s">
        <v>127</v>
      </c>
      <c r="G2223" s="13" t="s">
        <v>67</v>
      </c>
      <c r="H2223">
        <v>75000</v>
      </c>
      <c r="I2223" s="13" t="s">
        <v>105</v>
      </c>
      <c r="J2223" s="13" t="s">
        <v>106</v>
      </c>
      <c r="K2223" s="13" t="s">
        <v>107</v>
      </c>
      <c r="L2223" s="13" t="s">
        <v>95</v>
      </c>
      <c r="M2223">
        <v>30</v>
      </c>
      <c r="N2223">
        <v>0</v>
      </c>
      <c r="O2223" s="14">
        <v>46020</v>
      </c>
      <c r="P2223" s="14">
        <v>46050</v>
      </c>
      <c r="Q2223">
        <v>2203.7199999999998</v>
      </c>
      <c r="R2223">
        <v>0</v>
      </c>
      <c r="S2223">
        <v>0</v>
      </c>
      <c r="T2223">
        <v>0</v>
      </c>
      <c r="U2223">
        <v>0</v>
      </c>
      <c r="V2223">
        <v>2203.7199999999998</v>
      </c>
      <c r="W2223">
        <v>0</v>
      </c>
      <c r="X2223">
        <v>1</v>
      </c>
      <c r="Y2223">
        <v>0</v>
      </c>
      <c r="Z2223">
        <v>-28</v>
      </c>
      <c r="AA2223">
        <v>1</v>
      </c>
      <c r="AB2223" s="13" t="s">
        <v>581</v>
      </c>
      <c r="AC2223">
        <v>0</v>
      </c>
      <c r="AD2223">
        <v>0</v>
      </c>
      <c r="AE2223" s="13" t="s">
        <v>61</v>
      </c>
    </row>
    <row r="2224" spans="1:31" x14ac:dyDescent="0.35">
      <c r="A2224" s="13" t="s">
        <v>3068</v>
      </c>
      <c r="B2224" s="13" t="s">
        <v>788</v>
      </c>
      <c r="C2224" s="13" t="s">
        <v>789</v>
      </c>
      <c r="D2224" s="13" t="s">
        <v>52</v>
      </c>
      <c r="E2224" s="13" t="s">
        <v>53</v>
      </c>
      <c r="F2224" s="13" t="s">
        <v>54</v>
      </c>
      <c r="G2224" s="13" t="s">
        <v>67</v>
      </c>
      <c r="H2224">
        <v>405000</v>
      </c>
      <c r="I2224" s="13" t="s">
        <v>86</v>
      </c>
      <c r="J2224" s="13" t="s">
        <v>87</v>
      </c>
      <c r="K2224" s="13" t="s">
        <v>58</v>
      </c>
      <c r="L2224" s="13" t="s">
        <v>88</v>
      </c>
      <c r="M2224">
        <v>60</v>
      </c>
      <c r="N2224">
        <v>0</v>
      </c>
      <c r="O2224" s="14">
        <v>46020</v>
      </c>
      <c r="P2224" s="14">
        <v>46080</v>
      </c>
      <c r="Q2224">
        <v>3283.89</v>
      </c>
      <c r="R2224">
        <v>0</v>
      </c>
      <c r="S2224">
        <v>0</v>
      </c>
      <c r="T2224">
        <v>0</v>
      </c>
      <c r="U2224">
        <v>0</v>
      </c>
      <c r="V2224">
        <v>3283.89</v>
      </c>
      <c r="W2224">
        <v>0</v>
      </c>
      <c r="X2224">
        <v>1</v>
      </c>
      <c r="Y2224">
        <v>0</v>
      </c>
      <c r="Z2224">
        <v>-58</v>
      </c>
      <c r="AA2224">
        <v>1</v>
      </c>
      <c r="AB2224" s="13" t="s">
        <v>581</v>
      </c>
      <c r="AC2224">
        <v>0</v>
      </c>
      <c r="AD2224">
        <v>0</v>
      </c>
      <c r="AE2224" s="13" t="s">
        <v>61</v>
      </c>
    </row>
    <row r="2225" spans="1:31" x14ac:dyDescent="0.35">
      <c r="A2225" s="13" t="s">
        <v>3069</v>
      </c>
      <c r="B2225" s="13" t="s">
        <v>1577</v>
      </c>
      <c r="C2225" s="13" t="s">
        <v>1578</v>
      </c>
      <c r="D2225" s="13" t="s">
        <v>76</v>
      </c>
      <c r="E2225" s="13" t="s">
        <v>71</v>
      </c>
      <c r="F2225" s="13" t="s">
        <v>72</v>
      </c>
      <c r="G2225" s="13" t="s">
        <v>67</v>
      </c>
      <c r="H2225">
        <v>100000</v>
      </c>
      <c r="I2225" s="13" t="s">
        <v>79</v>
      </c>
      <c r="J2225" s="13" t="s">
        <v>80</v>
      </c>
      <c r="K2225" s="13" t="s">
        <v>81</v>
      </c>
      <c r="L2225" s="13" t="s">
        <v>95</v>
      </c>
      <c r="M2225">
        <v>30</v>
      </c>
      <c r="N2225">
        <v>0</v>
      </c>
      <c r="O2225" s="14">
        <v>46020</v>
      </c>
      <c r="P2225" s="14">
        <v>46050</v>
      </c>
      <c r="Q2225">
        <v>496.68</v>
      </c>
      <c r="R2225">
        <v>0</v>
      </c>
      <c r="S2225">
        <v>0</v>
      </c>
      <c r="T2225">
        <v>0</v>
      </c>
      <c r="U2225">
        <v>0</v>
      </c>
      <c r="V2225">
        <v>496.68</v>
      </c>
      <c r="W2225">
        <v>0</v>
      </c>
      <c r="X2225">
        <v>1</v>
      </c>
      <c r="Y2225">
        <v>0</v>
      </c>
      <c r="Z2225">
        <v>-28</v>
      </c>
      <c r="AA2225">
        <v>1</v>
      </c>
      <c r="AB2225" s="13" t="s">
        <v>581</v>
      </c>
      <c r="AC2225">
        <v>0</v>
      </c>
      <c r="AD2225">
        <v>0</v>
      </c>
      <c r="AE2225" s="13" t="s">
        <v>61</v>
      </c>
    </row>
    <row r="2226" spans="1:31" x14ac:dyDescent="0.35">
      <c r="A2226" s="13" t="s">
        <v>3070</v>
      </c>
      <c r="B2226" s="13" t="s">
        <v>172</v>
      </c>
      <c r="C2226" s="13" t="s">
        <v>173</v>
      </c>
      <c r="D2226" s="13" t="s">
        <v>52</v>
      </c>
      <c r="E2226" s="13" t="s">
        <v>77</v>
      </c>
      <c r="F2226" s="13" t="s">
        <v>174</v>
      </c>
      <c r="G2226" s="13" t="s">
        <v>67</v>
      </c>
      <c r="H2226">
        <v>590000</v>
      </c>
      <c r="I2226" s="13" t="s">
        <v>56</v>
      </c>
      <c r="J2226" s="13" t="s">
        <v>57</v>
      </c>
      <c r="K2226" s="13" t="s">
        <v>58</v>
      </c>
      <c r="L2226" s="13" t="s">
        <v>59</v>
      </c>
      <c r="M2226">
        <v>45</v>
      </c>
      <c r="N2226">
        <v>0</v>
      </c>
      <c r="O2226" s="14">
        <v>46020</v>
      </c>
      <c r="P2226" s="14">
        <v>46065</v>
      </c>
      <c r="Q2226">
        <v>1647.88</v>
      </c>
      <c r="R2226">
        <v>0</v>
      </c>
      <c r="S2226">
        <v>0</v>
      </c>
      <c r="T2226">
        <v>0</v>
      </c>
      <c r="U2226">
        <v>0</v>
      </c>
      <c r="V2226">
        <v>1647.88</v>
      </c>
      <c r="W2226">
        <v>0</v>
      </c>
      <c r="X2226">
        <v>1</v>
      </c>
      <c r="Y2226">
        <v>0</v>
      </c>
      <c r="Z2226">
        <v>-43</v>
      </c>
      <c r="AA2226">
        <v>1</v>
      </c>
      <c r="AB2226" s="13" t="s">
        <v>581</v>
      </c>
      <c r="AC2226">
        <v>0</v>
      </c>
      <c r="AD2226">
        <v>0</v>
      </c>
      <c r="AE2226" s="13" t="s">
        <v>61</v>
      </c>
    </row>
    <row r="2227" spans="1:31" x14ac:dyDescent="0.35">
      <c r="A2227" s="13" t="s">
        <v>3071</v>
      </c>
      <c r="B2227" s="13" t="s">
        <v>1055</v>
      </c>
      <c r="C2227" s="13" t="s">
        <v>1056</v>
      </c>
      <c r="D2227" s="13" t="s">
        <v>104</v>
      </c>
      <c r="E2227" s="13" t="s">
        <v>71</v>
      </c>
      <c r="F2227" s="13" t="s">
        <v>72</v>
      </c>
      <c r="G2227" s="13" t="s">
        <v>55</v>
      </c>
      <c r="H2227">
        <v>75000</v>
      </c>
      <c r="I2227" s="13" t="s">
        <v>105</v>
      </c>
      <c r="J2227" s="13" t="s">
        <v>106</v>
      </c>
      <c r="K2227" s="13" t="s">
        <v>107</v>
      </c>
      <c r="L2227" s="13" t="s">
        <v>82</v>
      </c>
      <c r="M2227">
        <v>30</v>
      </c>
      <c r="N2227">
        <v>2</v>
      </c>
      <c r="O2227" s="14">
        <v>46020</v>
      </c>
      <c r="P2227" s="14">
        <v>46050</v>
      </c>
      <c r="Q2227">
        <v>5631.88</v>
      </c>
      <c r="R2227">
        <v>0</v>
      </c>
      <c r="S2227">
        <v>0</v>
      </c>
      <c r="T2227">
        <v>0</v>
      </c>
      <c r="U2227">
        <v>0</v>
      </c>
      <c r="V2227">
        <v>5631.88</v>
      </c>
      <c r="W2227">
        <v>0</v>
      </c>
      <c r="X2227">
        <v>1</v>
      </c>
      <c r="Y2227">
        <v>0</v>
      </c>
      <c r="Z2227">
        <v>-28</v>
      </c>
      <c r="AA2227">
        <v>1</v>
      </c>
      <c r="AB2227" s="13" t="s">
        <v>581</v>
      </c>
      <c r="AC2227">
        <v>0</v>
      </c>
      <c r="AD2227">
        <v>0</v>
      </c>
      <c r="AE2227" s="13" t="s">
        <v>61</v>
      </c>
    </row>
    <row r="2228" spans="1:31" x14ac:dyDescent="0.35">
      <c r="A2228" s="13" t="s">
        <v>3072</v>
      </c>
      <c r="B2228" s="13" t="s">
        <v>1581</v>
      </c>
      <c r="C2228" s="13" t="s">
        <v>1582</v>
      </c>
      <c r="D2228" s="13" t="s">
        <v>76</v>
      </c>
      <c r="E2228" s="13" t="s">
        <v>53</v>
      </c>
      <c r="F2228" s="13" t="s">
        <v>54</v>
      </c>
      <c r="G2228" s="13" t="s">
        <v>55</v>
      </c>
      <c r="H2228">
        <v>65000</v>
      </c>
      <c r="I2228" s="13" t="s">
        <v>79</v>
      </c>
      <c r="J2228" s="13" t="s">
        <v>80</v>
      </c>
      <c r="K2228" s="13" t="s">
        <v>81</v>
      </c>
      <c r="L2228" s="13" t="s">
        <v>95</v>
      </c>
      <c r="M2228">
        <v>30</v>
      </c>
      <c r="N2228">
        <v>0</v>
      </c>
      <c r="O2228" s="14">
        <v>46020</v>
      </c>
      <c r="P2228" s="14">
        <v>46050</v>
      </c>
      <c r="Q2228">
        <v>782.18</v>
      </c>
      <c r="R2228">
        <v>0</v>
      </c>
      <c r="S2228">
        <v>0</v>
      </c>
      <c r="T2228">
        <v>0</v>
      </c>
      <c r="U2228">
        <v>0</v>
      </c>
      <c r="V2228">
        <v>782.18</v>
      </c>
      <c r="W2228">
        <v>0</v>
      </c>
      <c r="X2228">
        <v>1</v>
      </c>
      <c r="Y2228">
        <v>0</v>
      </c>
      <c r="Z2228">
        <v>-28</v>
      </c>
      <c r="AA2228">
        <v>1</v>
      </c>
      <c r="AB2228" s="13" t="s">
        <v>581</v>
      </c>
      <c r="AC2228">
        <v>0</v>
      </c>
      <c r="AD2228">
        <v>0</v>
      </c>
      <c r="AE2228" s="13" t="s">
        <v>61</v>
      </c>
    </row>
    <row r="2229" spans="1:31" x14ac:dyDescent="0.35">
      <c r="A2229" s="13" t="s">
        <v>3073</v>
      </c>
      <c r="B2229" s="13" t="s">
        <v>1536</v>
      </c>
      <c r="C2229" s="13" t="s">
        <v>1537</v>
      </c>
      <c r="D2229" s="13" t="s">
        <v>76</v>
      </c>
      <c r="E2229" s="13" t="s">
        <v>99</v>
      </c>
      <c r="F2229" s="13" t="s">
        <v>127</v>
      </c>
      <c r="G2229" s="13" t="s">
        <v>55</v>
      </c>
      <c r="H2229">
        <v>50000</v>
      </c>
      <c r="I2229" s="13" t="s">
        <v>93</v>
      </c>
      <c r="J2229" s="13" t="s">
        <v>94</v>
      </c>
      <c r="K2229" s="13" t="s">
        <v>81</v>
      </c>
      <c r="L2229" s="13" t="s">
        <v>95</v>
      </c>
      <c r="M2229">
        <v>30</v>
      </c>
      <c r="N2229">
        <v>0</v>
      </c>
      <c r="O2229" s="14">
        <v>46020</v>
      </c>
      <c r="P2229" s="14">
        <v>46050</v>
      </c>
      <c r="Q2229">
        <v>1322.02</v>
      </c>
      <c r="R2229">
        <v>0</v>
      </c>
      <c r="S2229">
        <v>0</v>
      </c>
      <c r="T2229">
        <v>0</v>
      </c>
      <c r="U2229">
        <v>0</v>
      </c>
      <c r="V2229">
        <v>1322.02</v>
      </c>
      <c r="W2229">
        <v>0</v>
      </c>
      <c r="X2229">
        <v>1</v>
      </c>
      <c r="Y2229">
        <v>0</v>
      </c>
      <c r="Z2229">
        <v>-28</v>
      </c>
      <c r="AA2229">
        <v>1</v>
      </c>
      <c r="AB2229" s="13" t="s">
        <v>581</v>
      </c>
      <c r="AC2229">
        <v>0</v>
      </c>
      <c r="AD2229">
        <v>0</v>
      </c>
      <c r="AE2229" s="13" t="s">
        <v>61</v>
      </c>
    </row>
    <row r="2230" spans="1:31" x14ac:dyDescent="0.35">
      <c r="A2230" s="13" t="s">
        <v>3074</v>
      </c>
      <c r="B2230" s="13" t="s">
        <v>1105</v>
      </c>
      <c r="C2230" s="13" t="s">
        <v>1106</v>
      </c>
      <c r="D2230" s="13" t="s">
        <v>52</v>
      </c>
      <c r="E2230" s="13" t="s">
        <v>71</v>
      </c>
      <c r="F2230" s="13" t="s">
        <v>72</v>
      </c>
      <c r="G2230" s="13" t="s">
        <v>67</v>
      </c>
      <c r="H2230">
        <v>205000</v>
      </c>
      <c r="I2230" s="13" t="s">
        <v>56</v>
      </c>
      <c r="J2230" s="13" t="s">
        <v>57</v>
      </c>
      <c r="K2230" s="13" t="s">
        <v>58</v>
      </c>
      <c r="L2230" s="13" t="s">
        <v>88</v>
      </c>
      <c r="M2230">
        <v>60</v>
      </c>
      <c r="N2230">
        <v>0</v>
      </c>
      <c r="O2230" s="14">
        <v>46020</v>
      </c>
      <c r="P2230" s="14">
        <v>46080</v>
      </c>
      <c r="Q2230">
        <v>1708.05</v>
      </c>
      <c r="R2230">
        <v>0</v>
      </c>
      <c r="S2230">
        <v>0</v>
      </c>
      <c r="T2230">
        <v>0</v>
      </c>
      <c r="U2230">
        <v>0</v>
      </c>
      <c r="V2230">
        <v>1708.05</v>
      </c>
      <c r="W2230">
        <v>0</v>
      </c>
      <c r="X2230">
        <v>1</v>
      </c>
      <c r="Y2230">
        <v>0</v>
      </c>
      <c r="Z2230">
        <v>-58</v>
      </c>
      <c r="AA2230">
        <v>1</v>
      </c>
      <c r="AB2230" s="13" t="s">
        <v>581</v>
      </c>
      <c r="AC2230">
        <v>0</v>
      </c>
      <c r="AD2230">
        <v>0</v>
      </c>
      <c r="AE2230" s="13" t="s">
        <v>61</v>
      </c>
    </row>
    <row r="2231" spans="1:31" x14ac:dyDescent="0.35">
      <c r="A2231" s="13" t="s">
        <v>3075</v>
      </c>
      <c r="B2231" s="13" t="s">
        <v>340</v>
      </c>
      <c r="C2231" s="13" t="s">
        <v>341</v>
      </c>
      <c r="D2231" s="13" t="s">
        <v>52</v>
      </c>
      <c r="E2231" s="13" t="s">
        <v>77</v>
      </c>
      <c r="F2231" s="13" t="s">
        <v>78</v>
      </c>
      <c r="G2231" s="13" t="s">
        <v>92</v>
      </c>
      <c r="H2231">
        <v>565000</v>
      </c>
      <c r="I2231" s="13" t="s">
        <v>56</v>
      </c>
      <c r="J2231" s="13" t="s">
        <v>57</v>
      </c>
      <c r="K2231" s="13" t="s">
        <v>58</v>
      </c>
      <c r="L2231" s="13" t="s">
        <v>59</v>
      </c>
      <c r="M2231">
        <v>45</v>
      </c>
      <c r="N2231">
        <v>0</v>
      </c>
      <c r="O2231" s="14">
        <v>46020</v>
      </c>
      <c r="P2231" s="14">
        <v>46065</v>
      </c>
      <c r="Q2231">
        <v>4317.37</v>
      </c>
      <c r="R2231">
        <v>0</v>
      </c>
      <c r="S2231">
        <v>0</v>
      </c>
      <c r="T2231">
        <v>0</v>
      </c>
      <c r="U2231">
        <v>0</v>
      </c>
      <c r="V2231">
        <v>4317.37</v>
      </c>
      <c r="W2231">
        <v>0</v>
      </c>
      <c r="X2231">
        <v>1</v>
      </c>
      <c r="Y2231">
        <v>0</v>
      </c>
      <c r="Z2231">
        <v>-43</v>
      </c>
      <c r="AA2231">
        <v>1</v>
      </c>
      <c r="AB2231" s="13" t="s">
        <v>581</v>
      </c>
      <c r="AC2231">
        <v>0</v>
      </c>
      <c r="AD2231">
        <v>0</v>
      </c>
      <c r="AE2231" s="13" t="s">
        <v>61</v>
      </c>
    </row>
    <row r="2232" spans="1:31" x14ac:dyDescent="0.35">
      <c r="A2232" s="13" t="s">
        <v>3076</v>
      </c>
      <c r="B2232" s="13" t="s">
        <v>177</v>
      </c>
      <c r="C2232" s="13" t="s">
        <v>178</v>
      </c>
      <c r="D2232" s="13" t="s">
        <v>52</v>
      </c>
      <c r="E2232" s="13" t="s">
        <v>71</v>
      </c>
      <c r="F2232" s="13" t="s">
        <v>72</v>
      </c>
      <c r="G2232" s="13" t="s">
        <v>67</v>
      </c>
      <c r="H2232">
        <v>415000</v>
      </c>
      <c r="I2232" s="13" t="s">
        <v>56</v>
      </c>
      <c r="J2232" s="13" t="s">
        <v>57</v>
      </c>
      <c r="K2232" s="13" t="s">
        <v>58</v>
      </c>
      <c r="L2232" s="13" t="s">
        <v>59</v>
      </c>
      <c r="M2232">
        <v>45</v>
      </c>
      <c r="N2232">
        <v>0</v>
      </c>
      <c r="O2232" s="14">
        <v>46020</v>
      </c>
      <c r="P2232" s="14">
        <v>46065</v>
      </c>
      <c r="Q2232">
        <v>2413.8000000000002</v>
      </c>
      <c r="R2232">
        <v>0</v>
      </c>
      <c r="S2232">
        <v>0</v>
      </c>
      <c r="T2232">
        <v>0</v>
      </c>
      <c r="U2232">
        <v>0</v>
      </c>
      <c r="V2232">
        <v>2413.8000000000002</v>
      </c>
      <c r="W2232">
        <v>0</v>
      </c>
      <c r="X2232">
        <v>1</v>
      </c>
      <c r="Y2232">
        <v>0</v>
      </c>
      <c r="Z2232">
        <v>-43</v>
      </c>
      <c r="AA2232">
        <v>1</v>
      </c>
      <c r="AB2232" s="13" t="s">
        <v>581</v>
      </c>
      <c r="AC2232">
        <v>0</v>
      </c>
      <c r="AD2232">
        <v>0</v>
      </c>
      <c r="AE2232" s="13" t="s">
        <v>61</v>
      </c>
    </row>
    <row r="2233" spans="1:31" x14ac:dyDescent="0.35">
      <c r="A2233" s="13" t="s">
        <v>3077</v>
      </c>
      <c r="B2233" s="13" t="s">
        <v>1455</v>
      </c>
      <c r="C2233" s="13" t="s">
        <v>1456</v>
      </c>
      <c r="D2233" s="13" t="s">
        <v>104</v>
      </c>
      <c r="E2233" s="13" t="s">
        <v>65</v>
      </c>
      <c r="F2233" s="13" t="s">
        <v>111</v>
      </c>
      <c r="G2233" s="13" t="s">
        <v>55</v>
      </c>
      <c r="H2233">
        <v>135000</v>
      </c>
      <c r="I2233" s="13" t="s">
        <v>121</v>
      </c>
      <c r="J2233" s="13" t="s">
        <v>122</v>
      </c>
      <c r="K2233" s="13" t="s">
        <v>107</v>
      </c>
      <c r="L2233" s="13" t="s">
        <v>82</v>
      </c>
      <c r="M2233">
        <v>30</v>
      </c>
      <c r="N2233">
        <v>2</v>
      </c>
      <c r="O2233" s="14">
        <v>46021</v>
      </c>
      <c r="P2233" s="14">
        <v>46051</v>
      </c>
      <c r="Q2233">
        <v>7396.75</v>
      </c>
      <c r="R2233">
        <v>0</v>
      </c>
      <c r="S2233">
        <v>0</v>
      </c>
      <c r="T2233">
        <v>0</v>
      </c>
      <c r="U2233">
        <v>0</v>
      </c>
      <c r="V2233">
        <v>7396.75</v>
      </c>
      <c r="W2233">
        <v>0</v>
      </c>
      <c r="X2233">
        <v>1</v>
      </c>
      <c r="Y2233">
        <v>0</v>
      </c>
      <c r="Z2233">
        <v>-29</v>
      </c>
      <c r="AA2233">
        <v>1</v>
      </c>
      <c r="AB2233" s="13" t="s">
        <v>581</v>
      </c>
      <c r="AC2233">
        <v>0</v>
      </c>
      <c r="AD2233">
        <v>0</v>
      </c>
      <c r="AE2233" s="13" t="s">
        <v>61</v>
      </c>
    </row>
    <row r="2234" spans="1:31" x14ac:dyDescent="0.35">
      <c r="A2234" s="13" t="s">
        <v>3078</v>
      </c>
      <c r="B2234" s="13" t="s">
        <v>2622</v>
      </c>
      <c r="C2234" s="13" t="s">
        <v>2623</v>
      </c>
      <c r="D2234" s="13" t="s">
        <v>104</v>
      </c>
      <c r="E2234" s="13" t="s">
        <v>65</v>
      </c>
      <c r="F2234" s="13" t="s">
        <v>111</v>
      </c>
      <c r="G2234" s="13" t="s">
        <v>67</v>
      </c>
      <c r="H2234">
        <v>145000</v>
      </c>
      <c r="I2234" s="13" t="s">
        <v>105</v>
      </c>
      <c r="J2234" s="13" t="s">
        <v>106</v>
      </c>
      <c r="K2234" s="13" t="s">
        <v>107</v>
      </c>
      <c r="L2234" s="13" t="s">
        <v>95</v>
      </c>
      <c r="M2234">
        <v>30</v>
      </c>
      <c r="N2234">
        <v>0</v>
      </c>
      <c r="O2234" s="14">
        <v>46021</v>
      </c>
      <c r="P2234" s="14">
        <v>46051</v>
      </c>
      <c r="Q2234">
        <v>1070.72</v>
      </c>
      <c r="R2234">
        <v>0</v>
      </c>
      <c r="S2234">
        <v>0</v>
      </c>
      <c r="T2234">
        <v>0</v>
      </c>
      <c r="U2234">
        <v>0</v>
      </c>
      <c r="V2234">
        <v>1070.72</v>
      </c>
      <c r="W2234">
        <v>0</v>
      </c>
      <c r="X2234">
        <v>1</v>
      </c>
      <c r="Y2234">
        <v>0</v>
      </c>
      <c r="Z2234">
        <v>-29</v>
      </c>
      <c r="AA2234">
        <v>1</v>
      </c>
      <c r="AB2234" s="13" t="s">
        <v>581</v>
      </c>
      <c r="AC2234">
        <v>0</v>
      </c>
      <c r="AD2234">
        <v>0</v>
      </c>
      <c r="AE2234" s="13" t="s">
        <v>61</v>
      </c>
    </row>
    <row r="2235" spans="1:31" x14ac:dyDescent="0.35">
      <c r="A2235" s="13" t="s">
        <v>3079</v>
      </c>
      <c r="B2235" s="13" t="s">
        <v>1999</v>
      </c>
      <c r="C2235" s="13" t="s">
        <v>2000</v>
      </c>
      <c r="D2235" s="13" t="s">
        <v>76</v>
      </c>
      <c r="E2235" s="13" t="s">
        <v>71</v>
      </c>
      <c r="F2235" s="13" t="s">
        <v>214</v>
      </c>
      <c r="G2235" s="13" t="s">
        <v>67</v>
      </c>
      <c r="H2235">
        <v>30000</v>
      </c>
      <c r="I2235" s="13" t="s">
        <v>79</v>
      </c>
      <c r="J2235" s="13" t="s">
        <v>80</v>
      </c>
      <c r="K2235" s="13" t="s">
        <v>81</v>
      </c>
      <c r="L2235" s="13" t="s">
        <v>95</v>
      </c>
      <c r="M2235">
        <v>30</v>
      </c>
      <c r="N2235">
        <v>0</v>
      </c>
      <c r="O2235" s="14">
        <v>46021</v>
      </c>
      <c r="P2235" s="14">
        <v>46051</v>
      </c>
      <c r="Q2235">
        <v>3376.81</v>
      </c>
      <c r="R2235">
        <v>0</v>
      </c>
      <c r="S2235">
        <v>0</v>
      </c>
      <c r="T2235">
        <v>0</v>
      </c>
      <c r="U2235">
        <v>0</v>
      </c>
      <c r="V2235">
        <v>3376.81</v>
      </c>
      <c r="W2235">
        <v>0</v>
      </c>
      <c r="X2235">
        <v>1</v>
      </c>
      <c r="Y2235">
        <v>0</v>
      </c>
      <c r="Z2235">
        <v>-29</v>
      </c>
      <c r="AA2235">
        <v>1</v>
      </c>
      <c r="AB2235" s="13" t="s">
        <v>581</v>
      </c>
      <c r="AC2235">
        <v>0</v>
      </c>
      <c r="AD2235">
        <v>0</v>
      </c>
      <c r="AE2235" s="13" t="s">
        <v>61</v>
      </c>
    </row>
    <row r="2236" spans="1:31" x14ac:dyDescent="0.35">
      <c r="A2236" s="13" t="s">
        <v>3080</v>
      </c>
      <c r="B2236" s="13" t="s">
        <v>1807</v>
      </c>
      <c r="C2236" s="13" t="s">
        <v>1808</v>
      </c>
      <c r="D2236" s="13" t="s">
        <v>76</v>
      </c>
      <c r="E2236" s="13" t="s">
        <v>65</v>
      </c>
      <c r="F2236" s="13" t="s">
        <v>66</v>
      </c>
      <c r="G2236" s="13" t="s">
        <v>55</v>
      </c>
      <c r="H2236">
        <v>45000</v>
      </c>
      <c r="I2236" s="13" t="s">
        <v>93</v>
      </c>
      <c r="J2236" s="13" t="s">
        <v>94</v>
      </c>
      <c r="K2236" s="13" t="s">
        <v>81</v>
      </c>
      <c r="L2236" s="13" t="s">
        <v>95</v>
      </c>
      <c r="M2236">
        <v>30</v>
      </c>
      <c r="N2236">
        <v>0</v>
      </c>
      <c r="O2236" s="14">
        <v>46021</v>
      </c>
      <c r="P2236" s="14">
        <v>46051</v>
      </c>
      <c r="Q2236">
        <v>450.36</v>
      </c>
      <c r="R2236">
        <v>0</v>
      </c>
      <c r="S2236">
        <v>0</v>
      </c>
      <c r="T2236">
        <v>0</v>
      </c>
      <c r="U2236">
        <v>0</v>
      </c>
      <c r="V2236">
        <v>450.36</v>
      </c>
      <c r="W2236">
        <v>0</v>
      </c>
      <c r="X2236">
        <v>1</v>
      </c>
      <c r="Y2236">
        <v>0</v>
      </c>
      <c r="Z2236">
        <v>-29</v>
      </c>
      <c r="AA2236">
        <v>1</v>
      </c>
      <c r="AB2236" s="13" t="s">
        <v>581</v>
      </c>
      <c r="AC2236">
        <v>0</v>
      </c>
      <c r="AD2236">
        <v>0</v>
      </c>
      <c r="AE2236" s="13" t="s">
        <v>61</v>
      </c>
    </row>
    <row r="2237" spans="1:31" x14ac:dyDescent="0.35">
      <c r="A2237" s="13" t="s">
        <v>3081</v>
      </c>
      <c r="B2237" s="13" t="s">
        <v>256</v>
      </c>
      <c r="C2237" s="13" t="s">
        <v>257</v>
      </c>
      <c r="D2237" s="13" t="s">
        <v>76</v>
      </c>
      <c r="E2237" s="13" t="s">
        <v>99</v>
      </c>
      <c r="F2237" s="13" t="s">
        <v>100</v>
      </c>
      <c r="G2237" s="13" t="s">
        <v>55</v>
      </c>
      <c r="H2237">
        <v>25000</v>
      </c>
      <c r="I2237" s="13" t="s">
        <v>79</v>
      </c>
      <c r="J2237" s="13" t="s">
        <v>80</v>
      </c>
      <c r="K2237" s="13" t="s">
        <v>81</v>
      </c>
      <c r="L2237" s="13" t="s">
        <v>95</v>
      </c>
      <c r="M2237">
        <v>30</v>
      </c>
      <c r="N2237">
        <v>0</v>
      </c>
      <c r="O2237" s="14">
        <v>46021</v>
      </c>
      <c r="P2237" s="14">
        <v>46051</v>
      </c>
      <c r="Q2237">
        <v>452.76</v>
      </c>
      <c r="R2237">
        <v>0</v>
      </c>
      <c r="S2237">
        <v>0</v>
      </c>
      <c r="T2237">
        <v>0</v>
      </c>
      <c r="U2237">
        <v>0</v>
      </c>
      <c r="V2237">
        <v>452.76</v>
      </c>
      <c r="W2237">
        <v>0</v>
      </c>
      <c r="X2237">
        <v>1</v>
      </c>
      <c r="Y2237">
        <v>0</v>
      </c>
      <c r="Z2237">
        <v>-29</v>
      </c>
      <c r="AA2237">
        <v>1</v>
      </c>
      <c r="AB2237" s="13" t="s">
        <v>581</v>
      </c>
      <c r="AC2237">
        <v>0</v>
      </c>
      <c r="AD2237">
        <v>0</v>
      </c>
      <c r="AE2237" s="13" t="s">
        <v>61</v>
      </c>
    </row>
    <row r="2238" spans="1:31" x14ac:dyDescent="0.35">
      <c r="A2238" s="13" t="s">
        <v>3082</v>
      </c>
      <c r="B2238" s="13" t="s">
        <v>216</v>
      </c>
      <c r="C2238" s="13" t="s">
        <v>217</v>
      </c>
      <c r="D2238" s="13" t="s">
        <v>52</v>
      </c>
      <c r="E2238" s="13" t="s">
        <v>65</v>
      </c>
      <c r="F2238" s="13" t="s">
        <v>66</v>
      </c>
      <c r="G2238" s="13" t="s">
        <v>67</v>
      </c>
      <c r="H2238">
        <v>515000</v>
      </c>
      <c r="I2238" s="13" t="s">
        <v>86</v>
      </c>
      <c r="J2238" s="13" t="s">
        <v>87</v>
      </c>
      <c r="K2238" s="13" t="s">
        <v>58</v>
      </c>
      <c r="L2238" s="13" t="s">
        <v>88</v>
      </c>
      <c r="M2238">
        <v>60</v>
      </c>
      <c r="N2238">
        <v>0</v>
      </c>
      <c r="O2238" s="14">
        <v>46021</v>
      </c>
      <c r="P2238" s="14">
        <v>46081</v>
      </c>
      <c r="Q2238">
        <v>4961.3599999999997</v>
      </c>
      <c r="R2238">
        <v>0</v>
      </c>
      <c r="S2238">
        <v>0</v>
      </c>
      <c r="T2238">
        <v>0</v>
      </c>
      <c r="U2238">
        <v>0</v>
      </c>
      <c r="V2238">
        <v>4961.3599999999997</v>
      </c>
      <c r="W2238">
        <v>0</v>
      </c>
      <c r="X2238">
        <v>1</v>
      </c>
      <c r="Y2238">
        <v>0</v>
      </c>
      <c r="Z2238">
        <v>-59</v>
      </c>
      <c r="AA2238">
        <v>1</v>
      </c>
      <c r="AB2238" s="13" t="s">
        <v>581</v>
      </c>
      <c r="AC2238">
        <v>0</v>
      </c>
      <c r="AD2238">
        <v>0</v>
      </c>
      <c r="AE2238" s="13" t="s">
        <v>61</v>
      </c>
    </row>
    <row r="2239" spans="1:31" x14ac:dyDescent="0.35">
      <c r="A2239" s="13" t="s">
        <v>3083</v>
      </c>
      <c r="B2239" s="13" t="s">
        <v>1763</v>
      </c>
      <c r="C2239" s="13" t="s">
        <v>1764</v>
      </c>
      <c r="D2239" s="13" t="s">
        <v>104</v>
      </c>
      <c r="E2239" s="13" t="s">
        <v>99</v>
      </c>
      <c r="F2239" s="13" t="s">
        <v>127</v>
      </c>
      <c r="G2239" s="13" t="s">
        <v>92</v>
      </c>
      <c r="H2239">
        <v>40000</v>
      </c>
      <c r="I2239" s="13" t="s">
        <v>105</v>
      </c>
      <c r="J2239" s="13" t="s">
        <v>106</v>
      </c>
      <c r="K2239" s="13" t="s">
        <v>107</v>
      </c>
      <c r="L2239" s="13" t="s">
        <v>82</v>
      </c>
      <c r="M2239">
        <v>30</v>
      </c>
      <c r="N2239">
        <v>2</v>
      </c>
      <c r="O2239" s="14">
        <v>46021</v>
      </c>
      <c r="P2239" s="14">
        <v>46051</v>
      </c>
      <c r="Q2239">
        <v>7545.53</v>
      </c>
      <c r="R2239">
        <v>0</v>
      </c>
      <c r="S2239">
        <v>0</v>
      </c>
      <c r="T2239">
        <v>0</v>
      </c>
      <c r="U2239">
        <v>0</v>
      </c>
      <c r="V2239">
        <v>7545.53</v>
      </c>
      <c r="W2239">
        <v>0</v>
      </c>
      <c r="X2239">
        <v>1</v>
      </c>
      <c r="Y2239">
        <v>0</v>
      </c>
      <c r="Z2239">
        <v>-29</v>
      </c>
      <c r="AA2239">
        <v>1</v>
      </c>
      <c r="AB2239" s="13" t="s">
        <v>581</v>
      </c>
      <c r="AC2239">
        <v>0</v>
      </c>
      <c r="AD2239">
        <v>0</v>
      </c>
      <c r="AE2239" s="13" t="s">
        <v>61</v>
      </c>
    </row>
    <row r="2240" spans="1:31" x14ac:dyDescent="0.35">
      <c r="A2240" s="13" t="s">
        <v>3084</v>
      </c>
      <c r="B2240" s="13" t="s">
        <v>222</v>
      </c>
      <c r="C2240" s="13" t="s">
        <v>223</v>
      </c>
      <c r="D2240" s="13" t="s">
        <v>52</v>
      </c>
      <c r="E2240" s="13" t="s">
        <v>65</v>
      </c>
      <c r="F2240" s="13" t="s">
        <v>66</v>
      </c>
      <c r="G2240" s="13" t="s">
        <v>92</v>
      </c>
      <c r="H2240">
        <v>430000</v>
      </c>
      <c r="I2240" s="13" t="s">
        <v>56</v>
      </c>
      <c r="J2240" s="13" t="s">
        <v>57</v>
      </c>
      <c r="K2240" s="13" t="s">
        <v>58</v>
      </c>
      <c r="L2240" s="13" t="s">
        <v>59</v>
      </c>
      <c r="M2240">
        <v>45</v>
      </c>
      <c r="N2240">
        <v>0</v>
      </c>
      <c r="O2240" s="14">
        <v>46021</v>
      </c>
      <c r="P2240" s="14">
        <v>46066</v>
      </c>
      <c r="Q2240">
        <v>6496.88</v>
      </c>
      <c r="R2240">
        <v>0</v>
      </c>
      <c r="S2240">
        <v>0</v>
      </c>
      <c r="T2240">
        <v>0</v>
      </c>
      <c r="U2240">
        <v>0</v>
      </c>
      <c r="V2240">
        <v>6496.88</v>
      </c>
      <c r="W2240">
        <v>0</v>
      </c>
      <c r="X2240">
        <v>1</v>
      </c>
      <c r="Y2240">
        <v>0</v>
      </c>
      <c r="Z2240">
        <v>-44</v>
      </c>
      <c r="AA2240">
        <v>1</v>
      </c>
      <c r="AB2240" s="13" t="s">
        <v>581</v>
      </c>
      <c r="AC2240">
        <v>0</v>
      </c>
      <c r="AD2240">
        <v>0</v>
      </c>
      <c r="AE2240" s="13" t="s">
        <v>61</v>
      </c>
    </row>
    <row r="2241" spans="1:31" x14ac:dyDescent="0.35">
      <c r="A2241" s="13" t="s">
        <v>3085</v>
      </c>
      <c r="B2241" s="13" t="s">
        <v>1241</v>
      </c>
      <c r="C2241" s="13" t="s">
        <v>1242</v>
      </c>
      <c r="D2241" s="13" t="s">
        <v>76</v>
      </c>
      <c r="E2241" s="13" t="s">
        <v>65</v>
      </c>
      <c r="F2241" s="13" t="s">
        <v>111</v>
      </c>
      <c r="G2241" s="13" t="s">
        <v>55</v>
      </c>
      <c r="H2241">
        <v>45000</v>
      </c>
      <c r="I2241" s="13" t="s">
        <v>93</v>
      </c>
      <c r="J2241" s="13" t="s">
        <v>94</v>
      </c>
      <c r="K2241" s="13" t="s">
        <v>81</v>
      </c>
      <c r="L2241" s="13" t="s">
        <v>95</v>
      </c>
      <c r="M2241">
        <v>30</v>
      </c>
      <c r="N2241">
        <v>0</v>
      </c>
      <c r="O2241" s="14">
        <v>46021</v>
      </c>
      <c r="P2241" s="14">
        <v>46051</v>
      </c>
      <c r="Q2241">
        <v>1237.78</v>
      </c>
      <c r="R2241">
        <v>0</v>
      </c>
      <c r="S2241">
        <v>0</v>
      </c>
      <c r="T2241">
        <v>0</v>
      </c>
      <c r="U2241">
        <v>0</v>
      </c>
      <c r="V2241">
        <v>1237.78</v>
      </c>
      <c r="W2241">
        <v>0</v>
      </c>
      <c r="X2241">
        <v>1</v>
      </c>
      <c r="Y2241">
        <v>0</v>
      </c>
      <c r="Z2241">
        <v>-29</v>
      </c>
      <c r="AA2241">
        <v>1</v>
      </c>
      <c r="AB2241" s="13" t="s">
        <v>581</v>
      </c>
      <c r="AC2241">
        <v>0</v>
      </c>
      <c r="AD2241">
        <v>0</v>
      </c>
      <c r="AE2241" s="13" t="s">
        <v>61</v>
      </c>
    </row>
    <row r="2242" spans="1:31" x14ac:dyDescent="0.35">
      <c r="A2242" s="13" t="s">
        <v>3086</v>
      </c>
      <c r="B2242" s="13" t="s">
        <v>156</v>
      </c>
      <c r="C2242" s="13" t="s">
        <v>157</v>
      </c>
      <c r="D2242" s="13" t="s">
        <v>52</v>
      </c>
      <c r="E2242" s="13" t="s">
        <v>53</v>
      </c>
      <c r="F2242" s="13" t="s">
        <v>54</v>
      </c>
      <c r="G2242" s="13" t="s">
        <v>92</v>
      </c>
      <c r="H2242">
        <v>600000</v>
      </c>
      <c r="I2242" s="13" t="s">
        <v>56</v>
      </c>
      <c r="J2242" s="13" t="s">
        <v>57</v>
      </c>
      <c r="K2242" s="13" t="s">
        <v>58</v>
      </c>
      <c r="L2242" s="13" t="s">
        <v>88</v>
      </c>
      <c r="M2242">
        <v>60</v>
      </c>
      <c r="N2242">
        <v>0</v>
      </c>
      <c r="O2242" s="14">
        <v>46021</v>
      </c>
      <c r="P2242" s="14">
        <v>46081</v>
      </c>
      <c r="Q2242">
        <v>4106.47</v>
      </c>
      <c r="R2242">
        <v>0</v>
      </c>
      <c r="S2242">
        <v>0</v>
      </c>
      <c r="T2242">
        <v>0</v>
      </c>
      <c r="U2242">
        <v>0</v>
      </c>
      <c r="V2242">
        <v>4106.47</v>
      </c>
      <c r="W2242">
        <v>0</v>
      </c>
      <c r="X2242">
        <v>1</v>
      </c>
      <c r="Y2242">
        <v>0</v>
      </c>
      <c r="Z2242">
        <v>-59</v>
      </c>
      <c r="AA2242">
        <v>1</v>
      </c>
      <c r="AB2242" s="13" t="s">
        <v>581</v>
      </c>
      <c r="AC2242">
        <v>0</v>
      </c>
      <c r="AD2242">
        <v>0</v>
      </c>
      <c r="AE2242" s="13" t="s">
        <v>61</v>
      </c>
    </row>
    <row r="2243" spans="1:31" x14ac:dyDescent="0.35">
      <c r="A2243" s="13" t="s">
        <v>3087</v>
      </c>
      <c r="B2243" s="13" t="s">
        <v>1296</v>
      </c>
      <c r="C2243" s="13" t="s">
        <v>1297</v>
      </c>
      <c r="D2243" s="13" t="s">
        <v>104</v>
      </c>
      <c r="E2243" s="13" t="s">
        <v>99</v>
      </c>
      <c r="F2243" s="13" t="s">
        <v>127</v>
      </c>
      <c r="G2243" s="13" t="s">
        <v>55</v>
      </c>
      <c r="H2243">
        <v>85000</v>
      </c>
      <c r="I2243" s="13" t="s">
        <v>121</v>
      </c>
      <c r="J2243" s="13" t="s">
        <v>122</v>
      </c>
      <c r="K2243" s="13" t="s">
        <v>107</v>
      </c>
      <c r="L2243" s="13" t="s">
        <v>95</v>
      </c>
      <c r="M2243">
        <v>30</v>
      </c>
      <c r="N2243">
        <v>0</v>
      </c>
      <c r="O2243" s="14">
        <v>46021</v>
      </c>
      <c r="P2243" s="14">
        <v>46051</v>
      </c>
      <c r="Q2243">
        <v>1014.02</v>
      </c>
      <c r="R2243">
        <v>0</v>
      </c>
      <c r="S2243">
        <v>0</v>
      </c>
      <c r="T2243">
        <v>0</v>
      </c>
      <c r="U2243">
        <v>0</v>
      </c>
      <c r="V2243">
        <v>1014.02</v>
      </c>
      <c r="W2243">
        <v>0</v>
      </c>
      <c r="X2243">
        <v>1</v>
      </c>
      <c r="Y2243">
        <v>0</v>
      </c>
      <c r="Z2243">
        <v>-29</v>
      </c>
      <c r="AA2243">
        <v>1</v>
      </c>
      <c r="AB2243" s="13" t="s">
        <v>581</v>
      </c>
      <c r="AC2243">
        <v>0</v>
      </c>
      <c r="AD2243">
        <v>0</v>
      </c>
      <c r="AE2243" s="13" t="s">
        <v>61</v>
      </c>
    </row>
    <row r="2244" spans="1:31" x14ac:dyDescent="0.35">
      <c r="A2244" s="13" t="s">
        <v>3088</v>
      </c>
      <c r="B2244" s="13" t="s">
        <v>1336</v>
      </c>
      <c r="C2244" s="13" t="s">
        <v>1337</v>
      </c>
      <c r="D2244" s="13" t="s">
        <v>76</v>
      </c>
      <c r="E2244" s="13" t="s">
        <v>99</v>
      </c>
      <c r="F2244" s="13" t="s">
        <v>127</v>
      </c>
      <c r="G2244" s="13" t="s">
        <v>55</v>
      </c>
      <c r="H2244">
        <v>70000</v>
      </c>
      <c r="I2244" s="13" t="s">
        <v>93</v>
      </c>
      <c r="J2244" s="13" t="s">
        <v>94</v>
      </c>
      <c r="K2244" s="13" t="s">
        <v>81</v>
      </c>
      <c r="L2244" s="13" t="s">
        <v>82</v>
      </c>
      <c r="M2244">
        <v>30</v>
      </c>
      <c r="N2244">
        <v>2</v>
      </c>
      <c r="O2244" s="14">
        <v>46021</v>
      </c>
      <c r="P2244" s="14">
        <v>46051</v>
      </c>
      <c r="Q2244">
        <v>831.45</v>
      </c>
      <c r="R2244">
        <v>0</v>
      </c>
      <c r="S2244">
        <v>0</v>
      </c>
      <c r="T2244">
        <v>0</v>
      </c>
      <c r="U2244">
        <v>0</v>
      </c>
      <c r="V2244">
        <v>831.45</v>
      </c>
      <c r="W2244">
        <v>0</v>
      </c>
      <c r="X2244">
        <v>1</v>
      </c>
      <c r="Y2244">
        <v>0</v>
      </c>
      <c r="Z2244">
        <v>-29</v>
      </c>
      <c r="AA2244">
        <v>1</v>
      </c>
      <c r="AB2244" s="13" t="s">
        <v>581</v>
      </c>
      <c r="AC2244">
        <v>0</v>
      </c>
      <c r="AD2244">
        <v>0</v>
      </c>
      <c r="AE2244" s="13" t="s">
        <v>61</v>
      </c>
    </row>
    <row r="2245" spans="1:31" x14ac:dyDescent="0.35">
      <c r="A2245" s="13" t="s">
        <v>3089</v>
      </c>
      <c r="B2245" s="13" t="s">
        <v>2985</v>
      </c>
      <c r="C2245" s="13" t="s">
        <v>2986</v>
      </c>
      <c r="D2245" s="13" t="s">
        <v>104</v>
      </c>
      <c r="E2245" s="13" t="s">
        <v>65</v>
      </c>
      <c r="F2245" s="13" t="s">
        <v>111</v>
      </c>
      <c r="G2245" s="13" t="s">
        <v>67</v>
      </c>
      <c r="H2245">
        <v>105000</v>
      </c>
      <c r="I2245" s="13" t="s">
        <v>105</v>
      </c>
      <c r="J2245" s="13" t="s">
        <v>106</v>
      </c>
      <c r="K2245" s="13" t="s">
        <v>107</v>
      </c>
      <c r="L2245" s="13" t="s">
        <v>82</v>
      </c>
      <c r="M2245">
        <v>30</v>
      </c>
      <c r="N2245">
        <v>2</v>
      </c>
      <c r="O2245" s="14">
        <v>46021</v>
      </c>
      <c r="P2245" s="14">
        <v>46051</v>
      </c>
      <c r="Q2245">
        <v>3073.03</v>
      </c>
      <c r="R2245">
        <v>0</v>
      </c>
      <c r="S2245">
        <v>0</v>
      </c>
      <c r="T2245">
        <v>0</v>
      </c>
      <c r="U2245">
        <v>0</v>
      </c>
      <c r="V2245">
        <v>3073.03</v>
      </c>
      <c r="W2245">
        <v>0</v>
      </c>
      <c r="X2245">
        <v>1</v>
      </c>
      <c r="Y2245">
        <v>0</v>
      </c>
      <c r="Z2245">
        <v>-29</v>
      </c>
      <c r="AA2245">
        <v>1</v>
      </c>
      <c r="AB2245" s="13" t="s">
        <v>581</v>
      </c>
      <c r="AC2245">
        <v>0</v>
      </c>
      <c r="AD2245">
        <v>0</v>
      </c>
      <c r="AE2245" s="13" t="s">
        <v>61</v>
      </c>
    </row>
    <row r="2246" spans="1:31" x14ac:dyDescent="0.35">
      <c r="A2246" s="13" t="s">
        <v>3090</v>
      </c>
      <c r="B2246" s="13" t="s">
        <v>1120</v>
      </c>
      <c r="C2246" s="13" t="s">
        <v>1121</v>
      </c>
      <c r="D2246" s="13" t="s">
        <v>76</v>
      </c>
      <c r="E2246" s="13" t="s">
        <v>77</v>
      </c>
      <c r="F2246" s="13" t="s">
        <v>174</v>
      </c>
      <c r="G2246" s="13" t="s">
        <v>67</v>
      </c>
      <c r="H2246">
        <v>105000</v>
      </c>
      <c r="I2246" s="13" t="s">
        <v>79</v>
      </c>
      <c r="J2246" s="13" t="s">
        <v>80</v>
      </c>
      <c r="K2246" s="13" t="s">
        <v>81</v>
      </c>
      <c r="L2246" s="13" t="s">
        <v>95</v>
      </c>
      <c r="M2246">
        <v>30</v>
      </c>
      <c r="N2246">
        <v>0</v>
      </c>
      <c r="O2246" s="14">
        <v>46021</v>
      </c>
      <c r="P2246" s="14">
        <v>46051</v>
      </c>
      <c r="Q2246">
        <v>904.34</v>
      </c>
      <c r="R2246">
        <v>0</v>
      </c>
      <c r="S2246">
        <v>0</v>
      </c>
      <c r="T2246">
        <v>0</v>
      </c>
      <c r="U2246">
        <v>0</v>
      </c>
      <c r="V2246">
        <v>904.34</v>
      </c>
      <c r="W2246">
        <v>0</v>
      </c>
      <c r="X2246">
        <v>1</v>
      </c>
      <c r="Y2246">
        <v>0</v>
      </c>
      <c r="Z2246">
        <v>-29</v>
      </c>
      <c r="AA2246">
        <v>1</v>
      </c>
      <c r="AB2246" s="13" t="s">
        <v>581</v>
      </c>
      <c r="AC2246">
        <v>0</v>
      </c>
      <c r="AD2246">
        <v>0</v>
      </c>
      <c r="AE2246" s="13" t="s">
        <v>61</v>
      </c>
    </row>
    <row r="2247" spans="1:31" x14ac:dyDescent="0.35">
      <c r="A2247" s="13" t="s">
        <v>3091</v>
      </c>
      <c r="B2247" s="13" t="s">
        <v>997</v>
      </c>
      <c r="C2247" s="13" t="s">
        <v>998</v>
      </c>
      <c r="D2247" s="13" t="s">
        <v>52</v>
      </c>
      <c r="E2247" s="13" t="s">
        <v>71</v>
      </c>
      <c r="F2247" s="13" t="s">
        <v>72</v>
      </c>
      <c r="G2247" s="13" t="s">
        <v>55</v>
      </c>
      <c r="H2247">
        <v>405000</v>
      </c>
      <c r="I2247" s="13" t="s">
        <v>86</v>
      </c>
      <c r="J2247" s="13" t="s">
        <v>87</v>
      </c>
      <c r="K2247" s="13" t="s">
        <v>58</v>
      </c>
      <c r="L2247" s="13" t="s">
        <v>59</v>
      </c>
      <c r="M2247">
        <v>45</v>
      </c>
      <c r="N2247">
        <v>0</v>
      </c>
      <c r="O2247" s="14">
        <v>46021</v>
      </c>
      <c r="P2247" s="14">
        <v>46066</v>
      </c>
      <c r="Q2247">
        <v>7722.57</v>
      </c>
      <c r="R2247">
        <v>0</v>
      </c>
      <c r="S2247">
        <v>0</v>
      </c>
      <c r="T2247">
        <v>0</v>
      </c>
      <c r="U2247">
        <v>0</v>
      </c>
      <c r="V2247">
        <v>7722.57</v>
      </c>
      <c r="W2247">
        <v>0</v>
      </c>
      <c r="X2247">
        <v>1</v>
      </c>
      <c r="Y2247">
        <v>0</v>
      </c>
      <c r="Z2247">
        <v>-44</v>
      </c>
      <c r="AA2247">
        <v>1</v>
      </c>
      <c r="AB2247" s="13" t="s">
        <v>581</v>
      </c>
      <c r="AC2247">
        <v>0</v>
      </c>
      <c r="AD2247">
        <v>0</v>
      </c>
      <c r="AE2247" s="13" t="s">
        <v>61</v>
      </c>
    </row>
    <row r="2248" spans="1:31" x14ac:dyDescent="0.35">
      <c r="A2248" s="13" t="s">
        <v>3092</v>
      </c>
      <c r="B2248" s="13" t="s">
        <v>1077</v>
      </c>
      <c r="C2248" s="13" t="s">
        <v>1078</v>
      </c>
      <c r="D2248" s="13" t="s">
        <v>104</v>
      </c>
      <c r="E2248" s="13" t="s">
        <v>65</v>
      </c>
      <c r="F2248" s="13" t="s">
        <v>66</v>
      </c>
      <c r="G2248" s="13" t="s">
        <v>92</v>
      </c>
      <c r="H2248">
        <v>45000</v>
      </c>
      <c r="I2248" s="13" t="s">
        <v>105</v>
      </c>
      <c r="J2248" s="13" t="s">
        <v>106</v>
      </c>
      <c r="K2248" s="13" t="s">
        <v>107</v>
      </c>
      <c r="L2248" s="13" t="s">
        <v>82</v>
      </c>
      <c r="M2248">
        <v>30</v>
      </c>
      <c r="N2248">
        <v>2</v>
      </c>
      <c r="O2248" s="14">
        <v>46021</v>
      </c>
      <c r="P2248" s="14">
        <v>46051</v>
      </c>
      <c r="Q2248">
        <v>4520.38</v>
      </c>
      <c r="R2248">
        <v>0</v>
      </c>
      <c r="S2248">
        <v>0</v>
      </c>
      <c r="T2248">
        <v>0</v>
      </c>
      <c r="U2248">
        <v>0</v>
      </c>
      <c r="V2248">
        <v>4520.38</v>
      </c>
      <c r="W2248">
        <v>0</v>
      </c>
      <c r="X2248">
        <v>1</v>
      </c>
      <c r="Y2248">
        <v>0</v>
      </c>
      <c r="Z2248">
        <v>-29</v>
      </c>
      <c r="AA2248">
        <v>1</v>
      </c>
      <c r="AB2248" s="13" t="s">
        <v>581</v>
      </c>
      <c r="AC2248">
        <v>0</v>
      </c>
      <c r="AD2248">
        <v>0</v>
      </c>
      <c r="AE2248" s="13" t="s">
        <v>61</v>
      </c>
    </row>
    <row r="2249" spans="1:31" x14ac:dyDescent="0.35">
      <c r="A2249" s="13" t="s">
        <v>3093</v>
      </c>
      <c r="B2249" s="13" t="s">
        <v>1723</v>
      </c>
      <c r="C2249" s="13" t="s">
        <v>1724</v>
      </c>
      <c r="D2249" s="13" t="s">
        <v>76</v>
      </c>
      <c r="E2249" s="13" t="s">
        <v>71</v>
      </c>
      <c r="F2249" s="13" t="s">
        <v>214</v>
      </c>
      <c r="G2249" s="13" t="s">
        <v>92</v>
      </c>
      <c r="H2249">
        <v>65000</v>
      </c>
      <c r="I2249" s="13" t="s">
        <v>93</v>
      </c>
      <c r="J2249" s="13" t="s">
        <v>94</v>
      </c>
      <c r="K2249" s="13" t="s">
        <v>81</v>
      </c>
      <c r="L2249" s="13" t="s">
        <v>95</v>
      </c>
      <c r="M2249">
        <v>30</v>
      </c>
      <c r="N2249">
        <v>0</v>
      </c>
      <c r="O2249" s="14">
        <v>46021</v>
      </c>
      <c r="P2249" s="14">
        <v>46051</v>
      </c>
      <c r="Q2249">
        <v>565.20000000000005</v>
      </c>
      <c r="R2249">
        <v>0</v>
      </c>
      <c r="S2249">
        <v>0</v>
      </c>
      <c r="T2249">
        <v>0</v>
      </c>
      <c r="U2249">
        <v>0</v>
      </c>
      <c r="V2249">
        <v>565.20000000000005</v>
      </c>
      <c r="W2249">
        <v>0</v>
      </c>
      <c r="X2249">
        <v>1</v>
      </c>
      <c r="Y2249">
        <v>0</v>
      </c>
      <c r="Z2249">
        <v>-29</v>
      </c>
      <c r="AA2249">
        <v>1</v>
      </c>
      <c r="AB2249" s="13" t="s">
        <v>581</v>
      </c>
      <c r="AC2249">
        <v>0</v>
      </c>
      <c r="AD2249">
        <v>0</v>
      </c>
      <c r="AE2249" s="13" t="s">
        <v>61</v>
      </c>
    </row>
    <row r="2250" spans="1:31" x14ac:dyDescent="0.35">
      <c r="A2250" s="13" t="s">
        <v>3094</v>
      </c>
      <c r="B2250" s="13" t="s">
        <v>2384</v>
      </c>
      <c r="C2250" s="13" t="s">
        <v>2385</v>
      </c>
      <c r="D2250" s="13" t="s">
        <v>76</v>
      </c>
      <c r="E2250" s="13" t="s">
        <v>77</v>
      </c>
      <c r="F2250" s="13" t="s">
        <v>174</v>
      </c>
      <c r="G2250" s="13" t="s">
        <v>55</v>
      </c>
      <c r="H2250">
        <v>60000</v>
      </c>
      <c r="I2250" s="13" t="s">
        <v>93</v>
      </c>
      <c r="J2250" s="13" t="s">
        <v>94</v>
      </c>
      <c r="K2250" s="13" t="s">
        <v>81</v>
      </c>
      <c r="L2250" s="13" t="s">
        <v>82</v>
      </c>
      <c r="M2250">
        <v>30</v>
      </c>
      <c r="N2250">
        <v>2</v>
      </c>
      <c r="O2250" s="14">
        <v>46021</v>
      </c>
      <c r="P2250" s="14">
        <v>46051</v>
      </c>
      <c r="Q2250">
        <v>4501.8900000000003</v>
      </c>
      <c r="R2250">
        <v>0</v>
      </c>
      <c r="S2250">
        <v>0</v>
      </c>
      <c r="T2250">
        <v>0</v>
      </c>
      <c r="U2250">
        <v>0</v>
      </c>
      <c r="V2250">
        <v>4501.8900000000003</v>
      </c>
      <c r="W2250">
        <v>0</v>
      </c>
      <c r="X2250">
        <v>1</v>
      </c>
      <c r="Y2250">
        <v>0</v>
      </c>
      <c r="Z2250">
        <v>-29</v>
      </c>
      <c r="AA2250">
        <v>1</v>
      </c>
      <c r="AB2250" s="13" t="s">
        <v>581</v>
      </c>
      <c r="AC2250">
        <v>0</v>
      </c>
      <c r="AD2250">
        <v>0</v>
      </c>
      <c r="AE2250" s="13" t="s">
        <v>61</v>
      </c>
    </row>
    <row r="2251" spans="1:31" x14ac:dyDescent="0.35">
      <c r="A2251" s="13" t="s">
        <v>3095</v>
      </c>
      <c r="B2251" s="13" t="s">
        <v>2387</v>
      </c>
      <c r="C2251" s="13" t="s">
        <v>2388</v>
      </c>
      <c r="D2251" s="13" t="s">
        <v>104</v>
      </c>
      <c r="E2251" s="13" t="s">
        <v>65</v>
      </c>
      <c r="F2251" s="13" t="s">
        <v>66</v>
      </c>
      <c r="G2251" s="13" t="s">
        <v>55</v>
      </c>
      <c r="H2251">
        <v>150000</v>
      </c>
      <c r="I2251" s="13" t="s">
        <v>86</v>
      </c>
      <c r="J2251" s="13" t="s">
        <v>87</v>
      </c>
      <c r="K2251" s="13" t="s">
        <v>58</v>
      </c>
      <c r="L2251" s="13" t="s">
        <v>82</v>
      </c>
      <c r="M2251">
        <v>30</v>
      </c>
      <c r="N2251">
        <v>2</v>
      </c>
      <c r="O2251" s="14">
        <v>46021</v>
      </c>
      <c r="P2251" s="14">
        <v>46051</v>
      </c>
      <c r="Q2251">
        <v>3919.38</v>
      </c>
      <c r="R2251">
        <v>0</v>
      </c>
      <c r="S2251">
        <v>0</v>
      </c>
      <c r="T2251">
        <v>0</v>
      </c>
      <c r="U2251">
        <v>0</v>
      </c>
      <c r="V2251">
        <v>3919.38</v>
      </c>
      <c r="W2251">
        <v>0</v>
      </c>
      <c r="X2251">
        <v>1</v>
      </c>
      <c r="Y2251">
        <v>0</v>
      </c>
      <c r="Z2251">
        <v>-29</v>
      </c>
      <c r="AA2251">
        <v>1</v>
      </c>
      <c r="AB2251" s="13" t="s">
        <v>581</v>
      </c>
      <c r="AC2251">
        <v>0</v>
      </c>
      <c r="AD2251">
        <v>0</v>
      </c>
      <c r="AE2251" s="13" t="s">
        <v>61</v>
      </c>
    </row>
    <row r="2252" spans="1:31" x14ac:dyDescent="0.35">
      <c r="A2252" s="13" t="s">
        <v>3096</v>
      </c>
      <c r="B2252" s="13" t="s">
        <v>1826</v>
      </c>
      <c r="C2252" s="13" t="s">
        <v>1827</v>
      </c>
      <c r="D2252" s="13" t="s">
        <v>104</v>
      </c>
      <c r="E2252" s="13" t="s">
        <v>65</v>
      </c>
      <c r="F2252" s="13" t="s">
        <v>111</v>
      </c>
      <c r="G2252" s="13" t="s">
        <v>67</v>
      </c>
      <c r="H2252">
        <v>120000</v>
      </c>
      <c r="I2252" s="13" t="s">
        <v>121</v>
      </c>
      <c r="J2252" s="13" t="s">
        <v>122</v>
      </c>
      <c r="K2252" s="13" t="s">
        <v>107</v>
      </c>
      <c r="L2252" s="13" t="s">
        <v>95</v>
      </c>
      <c r="M2252">
        <v>30</v>
      </c>
      <c r="N2252">
        <v>0</v>
      </c>
      <c r="O2252" s="14">
        <v>46021</v>
      </c>
      <c r="P2252" s="14">
        <v>46051</v>
      </c>
      <c r="Q2252">
        <v>1233.42</v>
      </c>
      <c r="R2252">
        <v>0</v>
      </c>
      <c r="S2252">
        <v>0</v>
      </c>
      <c r="T2252">
        <v>0</v>
      </c>
      <c r="U2252">
        <v>0</v>
      </c>
      <c r="V2252">
        <v>1233.42</v>
      </c>
      <c r="W2252">
        <v>0</v>
      </c>
      <c r="X2252">
        <v>1</v>
      </c>
      <c r="Y2252">
        <v>0</v>
      </c>
      <c r="Z2252">
        <v>-29</v>
      </c>
      <c r="AA2252">
        <v>1</v>
      </c>
      <c r="AB2252" s="13" t="s">
        <v>581</v>
      </c>
      <c r="AC2252">
        <v>0</v>
      </c>
      <c r="AD2252">
        <v>0</v>
      </c>
      <c r="AE2252" s="13" t="s">
        <v>61</v>
      </c>
    </row>
    <row r="2253" spans="1:31" x14ac:dyDescent="0.35">
      <c r="A2253" s="13" t="s">
        <v>3097</v>
      </c>
      <c r="B2253" s="13" t="s">
        <v>1004</v>
      </c>
      <c r="C2253" s="13" t="s">
        <v>1005</v>
      </c>
      <c r="D2253" s="13" t="s">
        <v>104</v>
      </c>
      <c r="E2253" s="13" t="s">
        <v>53</v>
      </c>
      <c r="F2253" s="13" t="s">
        <v>135</v>
      </c>
      <c r="G2253" s="13" t="s">
        <v>55</v>
      </c>
      <c r="H2253">
        <v>55000</v>
      </c>
      <c r="I2253" s="13" t="s">
        <v>121</v>
      </c>
      <c r="J2253" s="13" t="s">
        <v>122</v>
      </c>
      <c r="K2253" s="13" t="s">
        <v>107</v>
      </c>
      <c r="L2253" s="13" t="s">
        <v>88</v>
      </c>
      <c r="M2253">
        <v>60</v>
      </c>
      <c r="N2253">
        <v>0</v>
      </c>
      <c r="O2253" s="14">
        <v>46021</v>
      </c>
      <c r="P2253" s="14">
        <v>46081</v>
      </c>
      <c r="Q2253">
        <v>1952.83</v>
      </c>
      <c r="R2253">
        <v>0</v>
      </c>
      <c r="S2253">
        <v>0</v>
      </c>
      <c r="T2253">
        <v>0</v>
      </c>
      <c r="U2253">
        <v>0</v>
      </c>
      <c r="V2253">
        <v>1952.83</v>
      </c>
      <c r="W2253">
        <v>0</v>
      </c>
      <c r="X2253">
        <v>1</v>
      </c>
      <c r="Y2253">
        <v>0</v>
      </c>
      <c r="Z2253">
        <v>-59</v>
      </c>
      <c r="AA2253">
        <v>1</v>
      </c>
      <c r="AB2253" s="13" t="s">
        <v>581</v>
      </c>
      <c r="AC2253">
        <v>0</v>
      </c>
      <c r="AD2253">
        <v>0</v>
      </c>
      <c r="AE2253" s="13" t="s">
        <v>61</v>
      </c>
    </row>
    <row r="2254" spans="1:31" x14ac:dyDescent="0.35">
      <c r="A2254" s="13" t="s">
        <v>3098</v>
      </c>
      <c r="B2254" s="13" t="s">
        <v>3099</v>
      </c>
      <c r="C2254" s="13" t="s">
        <v>3100</v>
      </c>
      <c r="D2254" s="13" t="s">
        <v>104</v>
      </c>
      <c r="E2254" s="13" t="s">
        <v>77</v>
      </c>
      <c r="F2254" s="13" t="s">
        <v>78</v>
      </c>
      <c r="G2254" s="13" t="s">
        <v>67</v>
      </c>
      <c r="H2254">
        <v>25000</v>
      </c>
      <c r="I2254" s="13" t="s">
        <v>121</v>
      </c>
      <c r="J2254" s="13" t="s">
        <v>122</v>
      </c>
      <c r="K2254" s="13" t="s">
        <v>107</v>
      </c>
      <c r="L2254" s="13" t="s">
        <v>95</v>
      </c>
      <c r="M2254">
        <v>30</v>
      </c>
      <c r="N2254">
        <v>0</v>
      </c>
      <c r="O2254" s="14">
        <v>46021</v>
      </c>
      <c r="P2254" s="14">
        <v>46051</v>
      </c>
      <c r="Q2254">
        <v>6709.51</v>
      </c>
      <c r="R2254">
        <v>0</v>
      </c>
      <c r="S2254">
        <v>0</v>
      </c>
      <c r="T2254">
        <v>0</v>
      </c>
      <c r="U2254">
        <v>0</v>
      </c>
      <c r="V2254">
        <v>6709.51</v>
      </c>
      <c r="W2254">
        <v>0</v>
      </c>
      <c r="X2254">
        <v>1</v>
      </c>
      <c r="Y2254">
        <v>0</v>
      </c>
      <c r="Z2254">
        <v>-29</v>
      </c>
      <c r="AA2254">
        <v>1</v>
      </c>
      <c r="AB2254" s="13" t="s">
        <v>581</v>
      </c>
      <c r="AC2254">
        <v>0</v>
      </c>
      <c r="AD2254">
        <v>0</v>
      </c>
      <c r="AE2254" s="13" t="s">
        <v>61</v>
      </c>
    </row>
    <row r="2255" spans="1:31" x14ac:dyDescent="0.35">
      <c r="A2255" s="13" t="s">
        <v>3101</v>
      </c>
      <c r="B2255" s="13" t="s">
        <v>1042</v>
      </c>
      <c r="C2255" s="13" t="s">
        <v>1043</v>
      </c>
      <c r="D2255" s="13" t="s">
        <v>104</v>
      </c>
      <c r="E2255" s="13" t="s">
        <v>53</v>
      </c>
      <c r="F2255" s="13" t="s">
        <v>135</v>
      </c>
      <c r="G2255" s="13" t="s">
        <v>67</v>
      </c>
      <c r="H2255">
        <v>85000</v>
      </c>
      <c r="I2255" s="13" t="s">
        <v>121</v>
      </c>
      <c r="J2255" s="13" t="s">
        <v>122</v>
      </c>
      <c r="K2255" s="13" t="s">
        <v>107</v>
      </c>
      <c r="L2255" s="13" t="s">
        <v>88</v>
      </c>
      <c r="M2255">
        <v>60</v>
      </c>
      <c r="N2255">
        <v>0</v>
      </c>
      <c r="O2255" s="14">
        <v>46021</v>
      </c>
      <c r="P2255" s="14">
        <v>46081</v>
      </c>
      <c r="Q2255">
        <v>7899.67</v>
      </c>
      <c r="R2255">
        <v>0</v>
      </c>
      <c r="S2255">
        <v>0</v>
      </c>
      <c r="T2255">
        <v>0</v>
      </c>
      <c r="U2255">
        <v>0</v>
      </c>
      <c r="V2255">
        <v>7899.67</v>
      </c>
      <c r="W2255">
        <v>0</v>
      </c>
      <c r="X2255">
        <v>1</v>
      </c>
      <c r="Y2255">
        <v>0</v>
      </c>
      <c r="Z2255">
        <v>-59</v>
      </c>
      <c r="AA2255">
        <v>1</v>
      </c>
      <c r="AB2255" s="13" t="s">
        <v>581</v>
      </c>
      <c r="AC2255">
        <v>0</v>
      </c>
      <c r="AD2255">
        <v>0</v>
      </c>
      <c r="AE2255" s="13" t="s">
        <v>61</v>
      </c>
    </row>
    <row r="2256" spans="1:31" x14ac:dyDescent="0.35">
      <c r="A2256" s="13" t="s">
        <v>3102</v>
      </c>
      <c r="B2256" s="13" t="s">
        <v>1948</v>
      </c>
      <c r="C2256" s="13" t="s">
        <v>1949</v>
      </c>
      <c r="D2256" s="13" t="s">
        <v>76</v>
      </c>
      <c r="E2256" s="13" t="s">
        <v>99</v>
      </c>
      <c r="F2256" s="13" t="s">
        <v>127</v>
      </c>
      <c r="G2256" s="13" t="s">
        <v>55</v>
      </c>
      <c r="H2256">
        <v>60000</v>
      </c>
      <c r="I2256" s="13" t="s">
        <v>79</v>
      </c>
      <c r="J2256" s="13" t="s">
        <v>80</v>
      </c>
      <c r="K2256" s="13" t="s">
        <v>81</v>
      </c>
      <c r="L2256" s="13" t="s">
        <v>82</v>
      </c>
      <c r="M2256">
        <v>30</v>
      </c>
      <c r="N2256">
        <v>2</v>
      </c>
      <c r="O2256" s="14">
        <v>46021</v>
      </c>
      <c r="P2256" s="14">
        <v>46051</v>
      </c>
      <c r="Q2256">
        <v>695.16</v>
      </c>
      <c r="R2256">
        <v>0</v>
      </c>
      <c r="S2256">
        <v>0</v>
      </c>
      <c r="T2256">
        <v>0</v>
      </c>
      <c r="U2256">
        <v>0</v>
      </c>
      <c r="V2256">
        <v>695.16</v>
      </c>
      <c r="W2256">
        <v>0</v>
      </c>
      <c r="X2256">
        <v>1</v>
      </c>
      <c r="Y2256">
        <v>0</v>
      </c>
      <c r="Z2256">
        <v>-29</v>
      </c>
      <c r="AA2256">
        <v>1</v>
      </c>
      <c r="AB2256" s="13" t="s">
        <v>581</v>
      </c>
      <c r="AC2256">
        <v>0</v>
      </c>
      <c r="AD2256">
        <v>0</v>
      </c>
      <c r="AE2256" s="13" t="s">
        <v>61</v>
      </c>
    </row>
    <row r="2257" spans="1:31" x14ac:dyDescent="0.35">
      <c r="A2257" s="13" t="s">
        <v>3103</v>
      </c>
      <c r="B2257" s="13" t="s">
        <v>1727</v>
      </c>
      <c r="C2257" s="13" t="s">
        <v>1728</v>
      </c>
      <c r="D2257" s="13" t="s">
        <v>76</v>
      </c>
      <c r="E2257" s="13" t="s">
        <v>77</v>
      </c>
      <c r="F2257" s="13" t="s">
        <v>78</v>
      </c>
      <c r="G2257" s="13" t="s">
        <v>55</v>
      </c>
      <c r="H2257">
        <v>75000</v>
      </c>
      <c r="I2257" s="13" t="s">
        <v>79</v>
      </c>
      <c r="J2257" s="13" t="s">
        <v>80</v>
      </c>
      <c r="K2257" s="13" t="s">
        <v>81</v>
      </c>
      <c r="L2257" s="13" t="s">
        <v>82</v>
      </c>
      <c r="M2257">
        <v>30</v>
      </c>
      <c r="N2257">
        <v>2</v>
      </c>
      <c r="O2257" s="14">
        <v>46021</v>
      </c>
      <c r="P2257" s="14">
        <v>46051</v>
      </c>
      <c r="Q2257">
        <v>522.83000000000004</v>
      </c>
      <c r="R2257">
        <v>0</v>
      </c>
      <c r="S2257">
        <v>0</v>
      </c>
      <c r="T2257">
        <v>0</v>
      </c>
      <c r="U2257">
        <v>0</v>
      </c>
      <c r="V2257">
        <v>522.83000000000004</v>
      </c>
      <c r="W2257">
        <v>0</v>
      </c>
      <c r="X2257">
        <v>1</v>
      </c>
      <c r="Y2257">
        <v>0</v>
      </c>
      <c r="Z2257">
        <v>-29</v>
      </c>
      <c r="AA2257">
        <v>1</v>
      </c>
      <c r="AB2257" s="13" t="s">
        <v>581</v>
      </c>
      <c r="AC2257">
        <v>0</v>
      </c>
      <c r="AD2257">
        <v>0</v>
      </c>
      <c r="AE2257" s="13" t="s">
        <v>61</v>
      </c>
    </row>
    <row r="2258" spans="1:31" x14ac:dyDescent="0.35">
      <c r="A2258" s="13" t="s">
        <v>3104</v>
      </c>
      <c r="B2258" s="13" t="s">
        <v>692</v>
      </c>
      <c r="C2258" s="13" t="s">
        <v>693</v>
      </c>
      <c r="D2258" s="13" t="s">
        <v>52</v>
      </c>
      <c r="E2258" s="13" t="s">
        <v>53</v>
      </c>
      <c r="F2258" s="13" t="s">
        <v>135</v>
      </c>
      <c r="G2258" s="13" t="s">
        <v>55</v>
      </c>
      <c r="H2258">
        <v>360000</v>
      </c>
      <c r="I2258" s="13" t="s">
        <v>56</v>
      </c>
      <c r="J2258" s="13" t="s">
        <v>57</v>
      </c>
      <c r="K2258" s="13" t="s">
        <v>58</v>
      </c>
      <c r="L2258" s="13" t="s">
        <v>88</v>
      </c>
      <c r="M2258">
        <v>60</v>
      </c>
      <c r="N2258">
        <v>0</v>
      </c>
      <c r="O2258" s="14">
        <v>46021</v>
      </c>
      <c r="P2258" s="14">
        <v>46081</v>
      </c>
      <c r="Q2258">
        <v>12595.96</v>
      </c>
      <c r="R2258">
        <v>0</v>
      </c>
      <c r="S2258">
        <v>0</v>
      </c>
      <c r="T2258">
        <v>0</v>
      </c>
      <c r="U2258">
        <v>0</v>
      </c>
      <c r="V2258">
        <v>12595.96</v>
      </c>
      <c r="W2258">
        <v>0</v>
      </c>
      <c r="X2258">
        <v>1</v>
      </c>
      <c r="Y2258">
        <v>0</v>
      </c>
      <c r="Z2258">
        <v>-59</v>
      </c>
      <c r="AA2258">
        <v>1</v>
      </c>
      <c r="AB2258" s="13" t="s">
        <v>581</v>
      </c>
      <c r="AC2258">
        <v>0</v>
      </c>
      <c r="AD2258">
        <v>0</v>
      </c>
      <c r="AE2258" s="13" t="s">
        <v>61</v>
      </c>
    </row>
    <row r="2259" spans="1:31" x14ac:dyDescent="0.35">
      <c r="A2259" s="13" t="s">
        <v>3105</v>
      </c>
      <c r="B2259" s="13" t="s">
        <v>766</v>
      </c>
      <c r="C2259" s="13" t="s">
        <v>767</v>
      </c>
      <c r="D2259" s="13" t="s">
        <v>104</v>
      </c>
      <c r="E2259" s="13" t="s">
        <v>53</v>
      </c>
      <c r="F2259" s="13" t="s">
        <v>135</v>
      </c>
      <c r="G2259" s="13" t="s">
        <v>92</v>
      </c>
      <c r="H2259">
        <v>90000</v>
      </c>
      <c r="I2259" s="13" t="s">
        <v>105</v>
      </c>
      <c r="J2259" s="13" t="s">
        <v>106</v>
      </c>
      <c r="K2259" s="13" t="s">
        <v>107</v>
      </c>
      <c r="L2259" s="13" t="s">
        <v>88</v>
      </c>
      <c r="M2259">
        <v>60</v>
      </c>
      <c r="N2259">
        <v>0</v>
      </c>
      <c r="O2259" s="14">
        <v>46021</v>
      </c>
      <c r="P2259" s="14">
        <v>46081</v>
      </c>
      <c r="Q2259">
        <v>1310.1600000000001</v>
      </c>
      <c r="R2259">
        <v>0</v>
      </c>
      <c r="S2259">
        <v>0</v>
      </c>
      <c r="T2259">
        <v>0</v>
      </c>
      <c r="U2259">
        <v>0</v>
      </c>
      <c r="V2259">
        <v>1310.1600000000001</v>
      </c>
      <c r="W2259">
        <v>0</v>
      </c>
      <c r="X2259">
        <v>1</v>
      </c>
      <c r="Y2259">
        <v>0</v>
      </c>
      <c r="Z2259">
        <v>-59</v>
      </c>
      <c r="AA2259">
        <v>1</v>
      </c>
      <c r="AB2259" s="13" t="s">
        <v>581</v>
      </c>
      <c r="AC2259">
        <v>0</v>
      </c>
      <c r="AD2259">
        <v>0</v>
      </c>
      <c r="AE2259" s="13" t="s">
        <v>61</v>
      </c>
    </row>
    <row r="2260" spans="1:31" x14ac:dyDescent="0.35">
      <c r="A2260" s="13" t="s">
        <v>3106</v>
      </c>
      <c r="B2260" s="13" t="s">
        <v>1150</v>
      </c>
      <c r="C2260" s="13" t="s">
        <v>1151</v>
      </c>
      <c r="D2260" s="13" t="s">
        <v>76</v>
      </c>
      <c r="E2260" s="13" t="s">
        <v>77</v>
      </c>
      <c r="F2260" s="13" t="s">
        <v>174</v>
      </c>
      <c r="G2260" s="13" t="s">
        <v>92</v>
      </c>
      <c r="H2260">
        <v>50000</v>
      </c>
      <c r="I2260" s="13" t="s">
        <v>79</v>
      </c>
      <c r="J2260" s="13" t="s">
        <v>80</v>
      </c>
      <c r="K2260" s="13" t="s">
        <v>81</v>
      </c>
      <c r="L2260" s="13" t="s">
        <v>82</v>
      </c>
      <c r="M2260">
        <v>30</v>
      </c>
      <c r="N2260">
        <v>2</v>
      </c>
      <c r="O2260" s="14">
        <v>46021</v>
      </c>
      <c r="P2260" s="14">
        <v>46051</v>
      </c>
      <c r="Q2260">
        <v>582.35</v>
      </c>
      <c r="R2260">
        <v>0</v>
      </c>
      <c r="S2260">
        <v>0</v>
      </c>
      <c r="T2260">
        <v>0</v>
      </c>
      <c r="U2260">
        <v>0</v>
      </c>
      <c r="V2260">
        <v>582.35</v>
      </c>
      <c r="W2260">
        <v>0</v>
      </c>
      <c r="X2260">
        <v>1</v>
      </c>
      <c r="Y2260">
        <v>0</v>
      </c>
      <c r="Z2260">
        <v>-29</v>
      </c>
      <c r="AA2260">
        <v>1</v>
      </c>
      <c r="AB2260" s="13" t="s">
        <v>581</v>
      </c>
      <c r="AC2260">
        <v>0</v>
      </c>
      <c r="AD2260">
        <v>0</v>
      </c>
      <c r="AE2260" s="13" t="s">
        <v>61</v>
      </c>
    </row>
    <row r="2261" spans="1:31" x14ac:dyDescent="0.35">
      <c r="A2261" s="13" t="s">
        <v>3107</v>
      </c>
      <c r="B2261" s="13" t="s">
        <v>283</v>
      </c>
      <c r="C2261" s="13" t="s">
        <v>284</v>
      </c>
      <c r="D2261" s="13" t="s">
        <v>104</v>
      </c>
      <c r="E2261" s="13" t="s">
        <v>53</v>
      </c>
      <c r="F2261" s="13" t="s">
        <v>135</v>
      </c>
      <c r="G2261" s="13" t="s">
        <v>92</v>
      </c>
      <c r="H2261">
        <v>105000</v>
      </c>
      <c r="I2261" s="13" t="s">
        <v>105</v>
      </c>
      <c r="J2261" s="13" t="s">
        <v>106</v>
      </c>
      <c r="K2261" s="13" t="s">
        <v>107</v>
      </c>
      <c r="L2261" s="13" t="s">
        <v>82</v>
      </c>
      <c r="M2261">
        <v>30</v>
      </c>
      <c r="N2261">
        <v>2</v>
      </c>
      <c r="O2261" s="14">
        <v>46021</v>
      </c>
      <c r="P2261" s="14">
        <v>46051</v>
      </c>
      <c r="Q2261">
        <v>1515.42</v>
      </c>
      <c r="R2261">
        <v>0</v>
      </c>
      <c r="S2261">
        <v>0</v>
      </c>
      <c r="T2261">
        <v>0</v>
      </c>
      <c r="U2261">
        <v>0</v>
      </c>
      <c r="V2261">
        <v>1515.42</v>
      </c>
      <c r="W2261">
        <v>0</v>
      </c>
      <c r="X2261">
        <v>1</v>
      </c>
      <c r="Y2261">
        <v>0</v>
      </c>
      <c r="Z2261">
        <v>-29</v>
      </c>
      <c r="AA2261">
        <v>1</v>
      </c>
      <c r="AB2261" s="13" t="s">
        <v>581</v>
      </c>
      <c r="AC2261">
        <v>0</v>
      </c>
      <c r="AD2261">
        <v>0</v>
      </c>
      <c r="AE2261" s="13" t="s">
        <v>61</v>
      </c>
    </row>
    <row r="2262" spans="1:31" x14ac:dyDescent="0.35">
      <c r="A2262" s="13" t="s">
        <v>3108</v>
      </c>
      <c r="B2262" s="13" t="s">
        <v>343</v>
      </c>
      <c r="C2262" s="13" t="s">
        <v>344</v>
      </c>
      <c r="D2262" s="13" t="s">
        <v>104</v>
      </c>
      <c r="E2262" s="13" t="s">
        <v>77</v>
      </c>
      <c r="F2262" s="13" t="s">
        <v>174</v>
      </c>
      <c r="G2262" s="13" t="s">
        <v>67</v>
      </c>
      <c r="H2262">
        <v>145000</v>
      </c>
      <c r="I2262" s="13" t="s">
        <v>105</v>
      </c>
      <c r="J2262" s="13" t="s">
        <v>106</v>
      </c>
      <c r="K2262" s="13" t="s">
        <v>107</v>
      </c>
      <c r="L2262" s="13" t="s">
        <v>95</v>
      </c>
      <c r="M2262">
        <v>30</v>
      </c>
      <c r="N2262">
        <v>0</v>
      </c>
      <c r="O2262" s="14">
        <v>46021</v>
      </c>
      <c r="P2262" s="14">
        <v>46051</v>
      </c>
      <c r="Q2262">
        <v>4417.5200000000004</v>
      </c>
      <c r="R2262">
        <v>0</v>
      </c>
      <c r="S2262">
        <v>0</v>
      </c>
      <c r="T2262">
        <v>0</v>
      </c>
      <c r="U2262">
        <v>0</v>
      </c>
      <c r="V2262">
        <v>4417.5200000000004</v>
      </c>
      <c r="W2262">
        <v>0</v>
      </c>
      <c r="X2262">
        <v>1</v>
      </c>
      <c r="Y2262">
        <v>0</v>
      </c>
      <c r="Z2262">
        <v>-29</v>
      </c>
      <c r="AA2262">
        <v>1</v>
      </c>
      <c r="AB2262" s="13" t="s">
        <v>581</v>
      </c>
      <c r="AC2262">
        <v>0</v>
      </c>
      <c r="AD2262">
        <v>0</v>
      </c>
      <c r="AE2262" s="13" t="s">
        <v>61</v>
      </c>
    </row>
    <row r="2263" spans="1:31" x14ac:dyDescent="0.35">
      <c r="A2263" s="13" t="s">
        <v>3109</v>
      </c>
      <c r="B2263" s="13" t="s">
        <v>866</v>
      </c>
      <c r="C2263" s="13" t="s">
        <v>867</v>
      </c>
      <c r="D2263" s="13" t="s">
        <v>104</v>
      </c>
      <c r="E2263" s="13" t="s">
        <v>71</v>
      </c>
      <c r="F2263" s="13" t="s">
        <v>214</v>
      </c>
      <c r="G2263" s="13" t="s">
        <v>55</v>
      </c>
      <c r="H2263">
        <v>50000</v>
      </c>
      <c r="I2263" s="13" t="s">
        <v>105</v>
      </c>
      <c r="J2263" s="13" t="s">
        <v>106</v>
      </c>
      <c r="K2263" s="13" t="s">
        <v>107</v>
      </c>
      <c r="L2263" s="13" t="s">
        <v>88</v>
      </c>
      <c r="M2263">
        <v>60</v>
      </c>
      <c r="N2263">
        <v>0</v>
      </c>
      <c r="O2263" s="14">
        <v>46021</v>
      </c>
      <c r="P2263" s="14">
        <v>46081</v>
      </c>
      <c r="Q2263">
        <v>3298.11</v>
      </c>
      <c r="R2263">
        <v>0</v>
      </c>
      <c r="S2263">
        <v>0</v>
      </c>
      <c r="T2263">
        <v>0</v>
      </c>
      <c r="U2263">
        <v>0</v>
      </c>
      <c r="V2263">
        <v>3298.11</v>
      </c>
      <c r="W2263">
        <v>0</v>
      </c>
      <c r="X2263">
        <v>1</v>
      </c>
      <c r="Y2263">
        <v>0</v>
      </c>
      <c r="Z2263">
        <v>-59</v>
      </c>
      <c r="AA2263">
        <v>1</v>
      </c>
      <c r="AB2263" s="13" t="s">
        <v>581</v>
      </c>
      <c r="AC2263">
        <v>0</v>
      </c>
      <c r="AD2263">
        <v>0</v>
      </c>
      <c r="AE2263" s="13" t="s">
        <v>61</v>
      </c>
    </row>
    <row r="2264" spans="1:31" x14ac:dyDescent="0.35">
      <c r="A2264" s="13" t="s">
        <v>3110</v>
      </c>
      <c r="B2264" s="13" t="s">
        <v>162</v>
      </c>
      <c r="C2264" s="13" t="s">
        <v>163</v>
      </c>
      <c r="D2264" s="13" t="s">
        <v>76</v>
      </c>
      <c r="E2264" s="13" t="s">
        <v>99</v>
      </c>
      <c r="F2264" s="13" t="s">
        <v>127</v>
      </c>
      <c r="G2264" s="13" t="s">
        <v>67</v>
      </c>
      <c r="H2264">
        <v>90000</v>
      </c>
      <c r="I2264" s="13" t="s">
        <v>79</v>
      </c>
      <c r="J2264" s="13" t="s">
        <v>80</v>
      </c>
      <c r="K2264" s="13" t="s">
        <v>81</v>
      </c>
      <c r="L2264" s="13" t="s">
        <v>95</v>
      </c>
      <c r="M2264">
        <v>30</v>
      </c>
      <c r="N2264">
        <v>0</v>
      </c>
      <c r="O2264" s="14">
        <v>46021</v>
      </c>
      <c r="P2264" s="14">
        <v>46051</v>
      </c>
      <c r="Q2264">
        <v>1515.05</v>
      </c>
      <c r="R2264">
        <v>0</v>
      </c>
      <c r="S2264">
        <v>0</v>
      </c>
      <c r="T2264">
        <v>0</v>
      </c>
      <c r="U2264">
        <v>0</v>
      </c>
      <c r="V2264">
        <v>1515.05</v>
      </c>
      <c r="W2264">
        <v>0</v>
      </c>
      <c r="X2264">
        <v>1</v>
      </c>
      <c r="Y2264">
        <v>0</v>
      </c>
      <c r="Z2264">
        <v>-29</v>
      </c>
      <c r="AA2264">
        <v>1</v>
      </c>
      <c r="AB2264" s="13" t="s">
        <v>581</v>
      </c>
      <c r="AC2264">
        <v>0</v>
      </c>
      <c r="AD2264">
        <v>0</v>
      </c>
      <c r="AE2264" s="13" t="s">
        <v>61</v>
      </c>
    </row>
    <row r="2265" spans="1:31" x14ac:dyDescent="0.35">
      <c r="A2265" s="13" t="s">
        <v>3111</v>
      </c>
      <c r="B2265" s="13" t="s">
        <v>2879</v>
      </c>
      <c r="C2265" s="13" t="s">
        <v>2880</v>
      </c>
      <c r="D2265" s="13" t="s">
        <v>104</v>
      </c>
      <c r="E2265" s="13" t="s">
        <v>65</v>
      </c>
      <c r="F2265" s="13" t="s">
        <v>66</v>
      </c>
      <c r="G2265" s="13" t="s">
        <v>55</v>
      </c>
      <c r="H2265">
        <v>30000</v>
      </c>
      <c r="I2265" s="13" t="s">
        <v>105</v>
      </c>
      <c r="J2265" s="13" t="s">
        <v>106</v>
      </c>
      <c r="K2265" s="13" t="s">
        <v>107</v>
      </c>
      <c r="L2265" s="13" t="s">
        <v>95</v>
      </c>
      <c r="M2265">
        <v>30</v>
      </c>
      <c r="N2265">
        <v>0</v>
      </c>
      <c r="O2265" s="14">
        <v>46021</v>
      </c>
      <c r="P2265" s="14">
        <v>46051</v>
      </c>
      <c r="Q2265">
        <v>2344.96</v>
      </c>
      <c r="R2265">
        <v>0</v>
      </c>
      <c r="S2265">
        <v>0</v>
      </c>
      <c r="T2265">
        <v>0</v>
      </c>
      <c r="U2265">
        <v>0</v>
      </c>
      <c r="V2265">
        <v>2344.96</v>
      </c>
      <c r="W2265">
        <v>0</v>
      </c>
      <c r="X2265">
        <v>1</v>
      </c>
      <c r="Y2265">
        <v>0</v>
      </c>
      <c r="Z2265">
        <v>-29</v>
      </c>
      <c r="AA2265">
        <v>1</v>
      </c>
      <c r="AB2265" s="13" t="s">
        <v>581</v>
      </c>
      <c r="AC2265">
        <v>0</v>
      </c>
      <c r="AD2265">
        <v>0</v>
      </c>
      <c r="AE2265" s="13" t="s">
        <v>61</v>
      </c>
    </row>
    <row r="2266" spans="1:31" x14ac:dyDescent="0.35">
      <c r="A2266" s="13" t="s">
        <v>3112</v>
      </c>
      <c r="B2266" s="13" t="s">
        <v>235</v>
      </c>
      <c r="C2266" s="13" t="s">
        <v>236</v>
      </c>
      <c r="D2266" s="13" t="s">
        <v>76</v>
      </c>
      <c r="E2266" s="13" t="s">
        <v>71</v>
      </c>
      <c r="F2266" s="13" t="s">
        <v>72</v>
      </c>
      <c r="G2266" s="13" t="s">
        <v>55</v>
      </c>
      <c r="H2266">
        <v>40000</v>
      </c>
      <c r="I2266" s="13" t="s">
        <v>79</v>
      </c>
      <c r="J2266" s="13" t="s">
        <v>80</v>
      </c>
      <c r="K2266" s="13" t="s">
        <v>81</v>
      </c>
      <c r="L2266" s="13" t="s">
        <v>95</v>
      </c>
      <c r="M2266">
        <v>30</v>
      </c>
      <c r="N2266">
        <v>0</v>
      </c>
      <c r="O2266" s="14">
        <v>46021</v>
      </c>
      <c r="P2266" s="14">
        <v>46051</v>
      </c>
      <c r="Q2266">
        <v>565.72</v>
      </c>
      <c r="R2266">
        <v>0</v>
      </c>
      <c r="S2266">
        <v>0</v>
      </c>
      <c r="T2266">
        <v>0</v>
      </c>
      <c r="U2266">
        <v>0</v>
      </c>
      <c r="V2266">
        <v>565.72</v>
      </c>
      <c r="W2266">
        <v>0</v>
      </c>
      <c r="X2266">
        <v>1</v>
      </c>
      <c r="Y2266">
        <v>0</v>
      </c>
      <c r="Z2266">
        <v>-29</v>
      </c>
      <c r="AA2266">
        <v>1</v>
      </c>
      <c r="AB2266" s="13" t="s">
        <v>581</v>
      </c>
      <c r="AC2266">
        <v>0</v>
      </c>
      <c r="AD2266">
        <v>0</v>
      </c>
      <c r="AE2266" s="13" t="s">
        <v>61</v>
      </c>
    </row>
    <row r="2267" spans="1:31" x14ac:dyDescent="0.35">
      <c r="A2267" s="13" t="s">
        <v>3113</v>
      </c>
      <c r="B2267" s="13" t="s">
        <v>1482</v>
      </c>
      <c r="C2267" s="13" t="s">
        <v>1483</v>
      </c>
      <c r="D2267" s="13" t="s">
        <v>76</v>
      </c>
      <c r="E2267" s="13" t="s">
        <v>65</v>
      </c>
      <c r="F2267" s="13" t="s">
        <v>66</v>
      </c>
      <c r="G2267" s="13" t="s">
        <v>92</v>
      </c>
      <c r="H2267">
        <v>55000</v>
      </c>
      <c r="I2267" s="13" t="s">
        <v>93</v>
      </c>
      <c r="J2267" s="13" t="s">
        <v>94</v>
      </c>
      <c r="K2267" s="13" t="s">
        <v>81</v>
      </c>
      <c r="L2267" s="13" t="s">
        <v>82</v>
      </c>
      <c r="M2267">
        <v>30</v>
      </c>
      <c r="N2267">
        <v>2</v>
      </c>
      <c r="O2267" s="14">
        <v>46021</v>
      </c>
      <c r="P2267" s="14">
        <v>46051</v>
      </c>
      <c r="Q2267">
        <v>1892.79</v>
      </c>
      <c r="R2267">
        <v>0</v>
      </c>
      <c r="S2267">
        <v>0</v>
      </c>
      <c r="T2267">
        <v>0</v>
      </c>
      <c r="U2267">
        <v>0</v>
      </c>
      <c r="V2267">
        <v>1892.79</v>
      </c>
      <c r="W2267">
        <v>0</v>
      </c>
      <c r="X2267">
        <v>1</v>
      </c>
      <c r="Y2267">
        <v>0</v>
      </c>
      <c r="Z2267">
        <v>-29</v>
      </c>
      <c r="AA2267">
        <v>1</v>
      </c>
      <c r="AB2267" s="13" t="s">
        <v>581</v>
      </c>
      <c r="AC2267">
        <v>0</v>
      </c>
      <c r="AD2267">
        <v>0</v>
      </c>
      <c r="AE2267" s="13" t="s">
        <v>61</v>
      </c>
    </row>
    <row r="2268" spans="1:31" x14ac:dyDescent="0.35">
      <c r="A2268" s="13" t="s">
        <v>3114</v>
      </c>
      <c r="B2268" s="13" t="s">
        <v>3115</v>
      </c>
      <c r="C2268" s="13" t="s">
        <v>3116</v>
      </c>
      <c r="D2268" s="13" t="s">
        <v>104</v>
      </c>
      <c r="E2268" s="13" t="s">
        <v>71</v>
      </c>
      <c r="F2268" s="13" t="s">
        <v>72</v>
      </c>
      <c r="G2268" s="13" t="s">
        <v>67</v>
      </c>
      <c r="H2268">
        <v>135000</v>
      </c>
      <c r="I2268" s="13" t="s">
        <v>105</v>
      </c>
      <c r="J2268" s="13" t="s">
        <v>106</v>
      </c>
      <c r="K2268" s="13" t="s">
        <v>107</v>
      </c>
      <c r="L2268" s="13" t="s">
        <v>82</v>
      </c>
      <c r="M2268">
        <v>30</v>
      </c>
      <c r="N2268">
        <v>2</v>
      </c>
      <c r="O2268" s="14">
        <v>46021</v>
      </c>
      <c r="P2268" s="14">
        <v>46051</v>
      </c>
      <c r="Q2268">
        <v>8447.61</v>
      </c>
      <c r="R2268">
        <v>0</v>
      </c>
      <c r="S2268">
        <v>0</v>
      </c>
      <c r="T2268">
        <v>0</v>
      </c>
      <c r="U2268">
        <v>0</v>
      </c>
      <c r="V2268">
        <v>8447.61</v>
      </c>
      <c r="W2268">
        <v>0</v>
      </c>
      <c r="X2268">
        <v>1</v>
      </c>
      <c r="Y2268">
        <v>0</v>
      </c>
      <c r="Z2268">
        <v>-29</v>
      </c>
      <c r="AA2268">
        <v>1</v>
      </c>
      <c r="AB2268" s="13" t="s">
        <v>581</v>
      </c>
      <c r="AC2268">
        <v>0</v>
      </c>
      <c r="AD2268">
        <v>0</v>
      </c>
      <c r="AE2268" s="13" t="s">
        <v>61</v>
      </c>
    </row>
    <row r="2269" spans="1:31" x14ac:dyDescent="0.35">
      <c r="A2269" s="13" t="s">
        <v>3117</v>
      </c>
      <c r="B2269" s="13" t="s">
        <v>1155</v>
      </c>
      <c r="C2269" s="13" t="s">
        <v>1156</v>
      </c>
      <c r="D2269" s="13" t="s">
        <v>52</v>
      </c>
      <c r="E2269" s="13" t="s">
        <v>53</v>
      </c>
      <c r="F2269" s="13" t="s">
        <v>54</v>
      </c>
      <c r="G2269" s="13" t="s">
        <v>67</v>
      </c>
      <c r="H2269">
        <v>420000</v>
      </c>
      <c r="I2269" s="13" t="s">
        <v>86</v>
      </c>
      <c r="J2269" s="13" t="s">
        <v>87</v>
      </c>
      <c r="K2269" s="13" t="s">
        <v>58</v>
      </c>
      <c r="L2269" s="13" t="s">
        <v>88</v>
      </c>
      <c r="M2269">
        <v>60</v>
      </c>
      <c r="N2269">
        <v>0</v>
      </c>
      <c r="O2269" s="14">
        <v>46021</v>
      </c>
      <c r="P2269" s="14">
        <v>46081</v>
      </c>
      <c r="Q2269">
        <v>17427.830000000002</v>
      </c>
      <c r="R2269">
        <v>0</v>
      </c>
      <c r="S2269">
        <v>0</v>
      </c>
      <c r="T2269">
        <v>0</v>
      </c>
      <c r="U2269">
        <v>0</v>
      </c>
      <c r="V2269">
        <v>17427.830000000002</v>
      </c>
      <c r="W2269">
        <v>0</v>
      </c>
      <c r="X2269">
        <v>1</v>
      </c>
      <c r="Y2269">
        <v>0</v>
      </c>
      <c r="Z2269">
        <v>-59</v>
      </c>
      <c r="AA2269">
        <v>1</v>
      </c>
      <c r="AB2269" s="13" t="s">
        <v>581</v>
      </c>
      <c r="AC2269">
        <v>0</v>
      </c>
      <c r="AD2269">
        <v>0</v>
      </c>
      <c r="AE2269" s="13" t="s">
        <v>61</v>
      </c>
    </row>
    <row r="2270" spans="1:31" x14ac:dyDescent="0.35">
      <c r="A2270" s="13" t="s">
        <v>3118</v>
      </c>
      <c r="B2270" s="13" t="s">
        <v>695</v>
      </c>
      <c r="C2270" s="13" t="s">
        <v>696</v>
      </c>
      <c r="D2270" s="13" t="s">
        <v>52</v>
      </c>
      <c r="E2270" s="13" t="s">
        <v>53</v>
      </c>
      <c r="F2270" s="13" t="s">
        <v>54</v>
      </c>
      <c r="G2270" s="13" t="s">
        <v>92</v>
      </c>
      <c r="H2270">
        <v>535000</v>
      </c>
      <c r="I2270" s="13" t="s">
        <v>56</v>
      </c>
      <c r="J2270" s="13" t="s">
        <v>57</v>
      </c>
      <c r="K2270" s="13" t="s">
        <v>58</v>
      </c>
      <c r="L2270" s="13" t="s">
        <v>88</v>
      </c>
      <c r="M2270">
        <v>60</v>
      </c>
      <c r="N2270">
        <v>0</v>
      </c>
      <c r="O2270" s="14">
        <v>46021</v>
      </c>
      <c r="P2270" s="14">
        <v>46081</v>
      </c>
      <c r="Q2270">
        <v>10666.16</v>
      </c>
      <c r="R2270">
        <v>0</v>
      </c>
      <c r="S2270">
        <v>0</v>
      </c>
      <c r="T2270">
        <v>0</v>
      </c>
      <c r="U2270">
        <v>0</v>
      </c>
      <c r="V2270">
        <v>10666.16</v>
      </c>
      <c r="W2270">
        <v>0</v>
      </c>
      <c r="X2270">
        <v>1</v>
      </c>
      <c r="Y2270">
        <v>0</v>
      </c>
      <c r="Z2270">
        <v>-59</v>
      </c>
      <c r="AA2270">
        <v>1</v>
      </c>
      <c r="AB2270" s="13" t="s">
        <v>581</v>
      </c>
      <c r="AC2270">
        <v>0</v>
      </c>
      <c r="AD2270">
        <v>0</v>
      </c>
      <c r="AE2270" s="13" t="s">
        <v>61</v>
      </c>
    </row>
    <row r="2271" spans="1:31" x14ac:dyDescent="0.35">
      <c r="A2271" s="13" t="s">
        <v>3119</v>
      </c>
      <c r="B2271" s="13" t="s">
        <v>357</v>
      </c>
      <c r="C2271" s="13" t="s">
        <v>358</v>
      </c>
      <c r="D2271" s="13" t="s">
        <v>104</v>
      </c>
      <c r="E2271" s="13" t="s">
        <v>71</v>
      </c>
      <c r="F2271" s="13" t="s">
        <v>214</v>
      </c>
      <c r="G2271" s="13" t="s">
        <v>92</v>
      </c>
      <c r="H2271">
        <v>25000</v>
      </c>
      <c r="I2271" s="13" t="s">
        <v>105</v>
      </c>
      <c r="J2271" s="13" t="s">
        <v>106</v>
      </c>
      <c r="K2271" s="13" t="s">
        <v>107</v>
      </c>
      <c r="L2271" s="13" t="s">
        <v>82</v>
      </c>
      <c r="M2271">
        <v>30</v>
      </c>
      <c r="N2271">
        <v>2</v>
      </c>
      <c r="O2271" s="14">
        <v>46021</v>
      </c>
      <c r="P2271" s="14">
        <v>46051</v>
      </c>
      <c r="Q2271">
        <v>840.73</v>
      </c>
      <c r="R2271">
        <v>0</v>
      </c>
      <c r="S2271">
        <v>0</v>
      </c>
      <c r="T2271">
        <v>0</v>
      </c>
      <c r="U2271">
        <v>0</v>
      </c>
      <c r="V2271">
        <v>840.73</v>
      </c>
      <c r="W2271">
        <v>0</v>
      </c>
      <c r="X2271">
        <v>1</v>
      </c>
      <c r="Y2271">
        <v>0</v>
      </c>
      <c r="Z2271">
        <v>-29</v>
      </c>
      <c r="AA2271">
        <v>1</v>
      </c>
      <c r="AB2271" s="13" t="s">
        <v>581</v>
      </c>
      <c r="AC2271">
        <v>0</v>
      </c>
      <c r="AD2271">
        <v>0</v>
      </c>
      <c r="AE2271" s="13" t="s">
        <v>61</v>
      </c>
    </row>
    <row r="2272" spans="1:31" x14ac:dyDescent="0.35">
      <c r="A2272" s="13" t="s">
        <v>3120</v>
      </c>
      <c r="B2272" s="13" t="s">
        <v>317</v>
      </c>
      <c r="C2272" s="13" t="s">
        <v>318</v>
      </c>
      <c r="D2272" s="13" t="s">
        <v>52</v>
      </c>
      <c r="E2272" s="13" t="s">
        <v>77</v>
      </c>
      <c r="F2272" s="13" t="s">
        <v>78</v>
      </c>
      <c r="G2272" s="13" t="s">
        <v>67</v>
      </c>
      <c r="H2272">
        <v>390000</v>
      </c>
      <c r="I2272" s="13" t="s">
        <v>56</v>
      </c>
      <c r="J2272" s="13" t="s">
        <v>57</v>
      </c>
      <c r="K2272" s="13" t="s">
        <v>58</v>
      </c>
      <c r="L2272" s="13" t="s">
        <v>88</v>
      </c>
      <c r="M2272">
        <v>60</v>
      </c>
      <c r="N2272">
        <v>0</v>
      </c>
      <c r="O2272" s="14">
        <v>46021</v>
      </c>
      <c r="P2272" s="14">
        <v>46081</v>
      </c>
      <c r="Q2272">
        <v>2096.7600000000002</v>
      </c>
      <c r="R2272">
        <v>0</v>
      </c>
      <c r="S2272">
        <v>0</v>
      </c>
      <c r="T2272">
        <v>0</v>
      </c>
      <c r="U2272">
        <v>0</v>
      </c>
      <c r="V2272">
        <v>2096.7600000000002</v>
      </c>
      <c r="W2272">
        <v>0</v>
      </c>
      <c r="X2272">
        <v>1</v>
      </c>
      <c r="Y2272">
        <v>0</v>
      </c>
      <c r="Z2272">
        <v>-59</v>
      </c>
      <c r="AA2272">
        <v>1</v>
      </c>
      <c r="AB2272" s="13" t="s">
        <v>581</v>
      </c>
      <c r="AC2272">
        <v>0</v>
      </c>
      <c r="AD2272">
        <v>0</v>
      </c>
      <c r="AE2272" s="13" t="s">
        <v>61</v>
      </c>
    </row>
    <row r="2273" spans="1:31" x14ac:dyDescent="0.35">
      <c r="A2273" s="13" t="s">
        <v>3121</v>
      </c>
      <c r="B2273" s="13" t="s">
        <v>981</v>
      </c>
      <c r="C2273" s="13" t="s">
        <v>982</v>
      </c>
      <c r="D2273" s="13" t="s">
        <v>52</v>
      </c>
      <c r="E2273" s="13" t="s">
        <v>53</v>
      </c>
      <c r="F2273" s="13" t="s">
        <v>54</v>
      </c>
      <c r="G2273" s="13" t="s">
        <v>67</v>
      </c>
      <c r="H2273">
        <v>275000</v>
      </c>
      <c r="I2273" s="13" t="s">
        <v>86</v>
      </c>
      <c r="J2273" s="13" t="s">
        <v>87</v>
      </c>
      <c r="K2273" s="13" t="s">
        <v>58</v>
      </c>
      <c r="L2273" s="13" t="s">
        <v>88</v>
      </c>
      <c r="M2273">
        <v>60</v>
      </c>
      <c r="N2273">
        <v>0</v>
      </c>
      <c r="O2273" s="14">
        <v>46021</v>
      </c>
      <c r="P2273" s="14">
        <v>46081</v>
      </c>
      <c r="Q2273">
        <v>2342.4899999999998</v>
      </c>
      <c r="R2273">
        <v>0</v>
      </c>
      <c r="S2273">
        <v>0</v>
      </c>
      <c r="T2273">
        <v>0</v>
      </c>
      <c r="U2273">
        <v>0</v>
      </c>
      <c r="V2273">
        <v>2342.4899999999998</v>
      </c>
      <c r="W2273">
        <v>0</v>
      </c>
      <c r="X2273">
        <v>1</v>
      </c>
      <c r="Y2273">
        <v>0</v>
      </c>
      <c r="Z2273">
        <v>-59</v>
      </c>
      <c r="AA2273">
        <v>1</v>
      </c>
      <c r="AB2273" s="13" t="s">
        <v>581</v>
      </c>
      <c r="AC2273">
        <v>0</v>
      </c>
      <c r="AD2273">
        <v>0</v>
      </c>
      <c r="AE2273" s="13" t="s">
        <v>61</v>
      </c>
    </row>
    <row r="2274" spans="1:31" x14ac:dyDescent="0.35">
      <c r="A2274" s="13" t="s">
        <v>3122</v>
      </c>
      <c r="B2274" s="13" t="s">
        <v>2171</v>
      </c>
      <c r="C2274" s="13" t="s">
        <v>2172</v>
      </c>
      <c r="D2274" s="13" t="s">
        <v>76</v>
      </c>
      <c r="E2274" s="13" t="s">
        <v>99</v>
      </c>
      <c r="F2274" s="13" t="s">
        <v>127</v>
      </c>
      <c r="G2274" s="13" t="s">
        <v>55</v>
      </c>
      <c r="H2274">
        <v>85000</v>
      </c>
      <c r="I2274" s="13" t="s">
        <v>93</v>
      </c>
      <c r="J2274" s="13" t="s">
        <v>94</v>
      </c>
      <c r="K2274" s="13" t="s">
        <v>81</v>
      </c>
      <c r="L2274" s="13" t="s">
        <v>95</v>
      </c>
      <c r="M2274">
        <v>30</v>
      </c>
      <c r="N2274">
        <v>0</v>
      </c>
      <c r="O2274" s="14">
        <v>46021</v>
      </c>
      <c r="P2274" s="14">
        <v>46051</v>
      </c>
      <c r="Q2274">
        <v>1083.53</v>
      </c>
      <c r="R2274">
        <v>0</v>
      </c>
      <c r="S2274">
        <v>0</v>
      </c>
      <c r="T2274">
        <v>0</v>
      </c>
      <c r="U2274">
        <v>0</v>
      </c>
      <c r="V2274">
        <v>1083.53</v>
      </c>
      <c r="W2274">
        <v>0</v>
      </c>
      <c r="X2274">
        <v>1</v>
      </c>
      <c r="Y2274">
        <v>0</v>
      </c>
      <c r="Z2274">
        <v>-29</v>
      </c>
      <c r="AA2274">
        <v>1</v>
      </c>
      <c r="AB2274" s="13" t="s">
        <v>581</v>
      </c>
      <c r="AC2274">
        <v>0</v>
      </c>
      <c r="AD2274">
        <v>0</v>
      </c>
      <c r="AE2274" s="13" t="s">
        <v>61</v>
      </c>
    </row>
    <row r="2275" spans="1:31" x14ac:dyDescent="0.35">
      <c r="A2275" s="13" t="s">
        <v>3123</v>
      </c>
      <c r="B2275" s="13" t="s">
        <v>1015</v>
      </c>
      <c r="C2275" s="13" t="s">
        <v>1016</v>
      </c>
      <c r="D2275" s="13" t="s">
        <v>52</v>
      </c>
      <c r="E2275" s="13" t="s">
        <v>77</v>
      </c>
      <c r="F2275" s="13" t="s">
        <v>174</v>
      </c>
      <c r="G2275" s="13" t="s">
        <v>55</v>
      </c>
      <c r="H2275">
        <v>590000</v>
      </c>
      <c r="I2275" s="13" t="s">
        <v>56</v>
      </c>
      <c r="J2275" s="13" t="s">
        <v>57</v>
      </c>
      <c r="K2275" s="13" t="s">
        <v>58</v>
      </c>
      <c r="L2275" s="13" t="s">
        <v>59</v>
      </c>
      <c r="M2275">
        <v>45</v>
      </c>
      <c r="N2275">
        <v>0</v>
      </c>
      <c r="O2275" s="14">
        <v>46021</v>
      </c>
      <c r="P2275" s="14">
        <v>46066</v>
      </c>
      <c r="Q2275">
        <v>4666.07</v>
      </c>
      <c r="R2275">
        <v>0</v>
      </c>
      <c r="S2275">
        <v>0</v>
      </c>
      <c r="T2275">
        <v>0</v>
      </c>
      <c r="U2275">
        <v>0</v>
      </c>
      <c r="V2275">
        <v>4666.07</v>
      </c>
      <c r="W2275">
        <v>0</v>
      </c>
      <c r="X2275">
        <v>1</v>
      </c>
      <c r="Y2275">
        <v>0</v>
      </c>
      <c r="Z2275">
        <v>-44</v>
      </c>
      <c r="AA2275">
        <v>1</v>
      </c>
      <c r="AB2275" s="13" t="s">
        <v>581</v>
      </c>
      <c r="AC2275">
        <v>0</v>
      </c>
      <c r="AD2275">
        <v>0</v>
      </c>
      <c r="AE2275" s="13" t="s">
        <v>61</v>
      </c>
    </row>
    <row r="2276" spans="1:31" x14ac:dyDescent="0.35">
      <c r="A2276" s="13" t="s">
        <v>3124</v>
      </c>
      <c r="B2276" s="13" t="s">
        <v>2043</v>
      </c>
      <c r="C2276" s="13" t="s">
        <v>2044</v>
      </c>
      <c r="D2276" s="13" t="s">
        <v>76</v>
      </c>
      <c r="E2276" s="13" t="s">
        <v>65</v>
      </c>
      <c r="F2276" s="13" t="s">
        <v>111</v>
      </c>
      <c r="G2276" s="13" t="s">
        <v>55</v>
      </c>
      <c r="H2276">
        <v>40000</v>
      </c>
      <c r="I2276" s="13" t="s">
        <v>93</v>
      </c>
      <c r="J2276" s="13" t="s">
        <v>94</v>
      </c>
      <c r="K2276" s="13" t="s">
        <v>81</v>
      </c>
      <c r="L2276" s="13" t="s">
        <v>82</v>
      </c>
      <c r="M2276">
        <v>30</v>
      </c>
      <c r="N2276">
        <v>2</v>
      </c>
      <c r="O2276" s="14">
        <v>46021</v>
      </c>
      <c r="P2276" s="14">
        <v>46051</v>
      </c>
      <c r="Q2276">
        <v>3353.88</v>
      </c>
      <c r="R2276">
        <v>0</v>
      </c>
      <c r="S2276">
        <v>0</v>
      </c>
      <c r="T2276">
        <v>0</v>
      </c>
      <c r="U2276">
        <v>0</v>
      </c>
      <c r="V2276">
        <v>3353.88</v>
      </c>
      <c r="W2276">
        <v>0</v>
      </c>
      <c r="X2276">
        <v>1</v>
      </c>
      <c r="Y2276">
        <v>0</v>
      </c>
      <c r="Z2276">
        <v>-29</v>
      </c>
      <c r="AA2276">
        <v>1</v>
      </c>
      <c r="AB2276" s="13" t="s">
        <v>581</v>
      </c>
      <c r="AC2276">
        <v>0</v>
      </c>
      <c r="AD2276">
        <v>0</v>
      </c>
      <c r="AE2276" s="13" t="s">
        <v>61</v>
      </c>
    </row>
    <row r="2277" spans="1:31" x14ac:dyDescent="0.35">
      <c r="A2277" s="13" t="s">
        <v>3125</v>
      </c>
      <c r="B2277" s="13" t="s">
        <v>1397</v>
      </c>
      <c r="C2277" s="13" t="s">
        <v>1398</v>
      </c>
      <c r="D2277" s="13" t="s">
        <v>76</v>
      </c>
      <c r="E2277" s="13" t="s">
        <v>77</v>
      </c>
      <c r="F2277" s="13" t="s">
        <v>78</v>
      </c>
      <c r="G2277" s="13" t="s">
        <v>55</v>
      </c>
      <c r="H2277">
        <v>75000</v>
      </c>
      <c r="I2277" s="13" t="s">
        <v>79</v>
      </c>
      <c r="J2277" s="13" t="s">
        <v>80</v>
      </c>
      <c r="K2277" s="13" t="s">
        <v>81</v>
      </c>
      <c r="L2277" s="13" t="s">
        <v>95</v>
      </c>
      <c r="M2277">
        <v>30</v>
      </c>
      <c r="N2277">
        <v>0</v>
      </c>
      <c r="O2277" s="14">
        <v>46021</v>
      </c>
      <c r="P2277" s="14">
        <v>46051</v>
      </c>
      <c r="Q2277">
        <v>1992.15</v>
      </c>
      <c r="R2277">
        <v>0</v>
      </c>
      <c r="S2277">
        <v>0</v>
      </c>
      <c r="T2277">
        <v>0</v>
      </c>
      <c r="U2277">
        <v>0</v>
      </c>
      <c r="V2277">
        <v>1992.15</v>
      </c>
      <c r="W2277">
        <v>0</v>
      </c>
      <c r="X2277">
        <v>1</v>
      </c>
      <c r="Y2277">
        <v>0</v>
      </c>
      <c r="Z2277">
        <v>-29</v>
      </c>
      <c r="AA2277">
        <v>1</v>
      </c>
      <c r="AB2277" s="13" t="s">
        <v>581</v>
      </c>
      <c r="AC2277">
        <v>0</v>
      </c>
      <c r="AD2277">
        <v>0</v>
      </c>
      <c r="AE2277" s="13" t="s">
        <v>61</v>
      </c>
    </row>
    <row r="2278" spans="1:31" x14ac:dyDescent="0.35">
      <c r="A2278" s="13" t="s">
        <v>3126</v>
      </c>
      <c r="B2278" s="13" t="s">
        <v>63</v>
      </c>
      <c r="C2278" s="13" t="s">
        <v>64</v>
      </c>
      <c r="D2278" s="13" t="s">
        <v>52</v>
      </c>
      <c r="E2278" s="13" t="s">
        <v>65</v>
      </c>
      <c r="F2278" s="13" t="s">
        <v>66</v>
      </c>
      <c r="G2278" s="13" t="s">
        <v>67</v>
      </c>
      <c r="H2278">
        <v>315000</v>
      </c>
      <c r="I2278" s="13" t="s">
        <v>56</v>
      </c>
      <c r="J2278" s="13" t="s">
        <v>57</v>
      </c>
      <c r="K2278" s="13" t="s">
        <v>58</v>
      </c>
      <c r="L2278" s="13" t="s">
        <v>59</v>
      </c>
      <c r="M2278">
        <v>45</v>
      </c>
      <c r="N2278">
        <v>0</v>
      </c>
      <c r="O2278" s="14">
        <v>46021</v>
      </c>
      <c r="P2278" s="14">
        <v>46066</v>
      </c>
      <c r="Q2278">
        <v>6019.27</v>
      </c>
      <c r="R2278">
        <v>0</v>
      </c>
      <c r="S2278">
        <v>0</v>
      </c>
      <c r="T2278">
        <v>0</v>
      </c>
      <c r="U2278">
        <v>0</v>
      </c>
      <c r="V2278">
        <v>6019.27</v>
      </c>
      <c r="W2278">
        <v>0</v>
      </c>
      <c r="X2278">
        <v>1</v>
      </c>
      <c r="Y2278">
        <v>0</v>
      </c>
      <c r="Z2278">
        <v>-44</v>
      </c>
      <c r="AA2278">
        <v>1</v>
      </c>
      <c r="AB2278" s="13" t="s">
        <v>581</v>
      </c>
      <c r="AC2278">
        <v>0</v>
      </c>
      <c r="AD2278">
        <v>0</v>
      </c>
      <c r="AE2278" s="13" t="s">
        <v>61</v>
      </c>
    </row>
    <row r="2279" spans="1:31" x14ac:dyDescent="0.35">
      <c r="A2279" s="13" t="s">
        <v>3127</v>
      </c>
      <c r="B2279" s="13" t="s">
        <v>791</v>
      </c>
      <c r="C2279" s="13" t="s">
        <v>792</v>
      </c>
      <c r="D2279" s="13" t="s">
        <v>104</v>
      </c>
      <c r="E2279" s="13" t="s">
        <v>53</v>
      </c>
      <c r="F2279" s="13" t="s">
        <v>54</v>
      </c>
      <c r="G2279" s="13" t="s">
        <v>67</v>
      </c>
      <c r="H2279">
        <v>95000</v>
      </c>
      <c r="I2279" s="13" t="s">
        <v>121</v>
      </c>
      <c r="J2279" s="13" t="s">
        <v>122</v>
      </c>
      <c r="K2279" s="13" t="s">
        <v>107</v>
      </c>
      <c r="L2279" s="13" t="s">
        <v>88</v>
      </c>
      <c r="M2279">
        <v>60</v>
      </c>
      <c r="N2279">
        <v>0</v>
      </c>
      <c r="O2279" s="14">
        <v>46021</v>
      </c>
      <c r="P2279" s="14">
        <v>46081</v>
      </c>
      <c r="Q2279">
        <v>7739.57</v>
      </c>
      <c r="R2279">
        <v>0</v>
      </c>
      <c r="S2279">
        <v>0</v>
      </c>
      <c r="T2279">
        <v>0</v>
      </c>
      <c r="U2279">
        <v>0</v>
      </c>
      <c r="V2279">
        <v>7739.57</v>
      </c>
      <c r="W2279">
        <v>0</v>
      </c>
      <c r="X2279">
        <v>1</v>
      </c>
      <c r="Y2279">
        <v>0</v>
      </c>
      <c r="Z2279">
        <v>-59</v>
      </c>
      <c r="AA2279">
        <v>1</v>
      </c>
      <c r="AB2279" s="13" t="s">
        <v>581</v>
      </c>
      <c r="AC2279">
        <v>0</v>
      </c>
      <c r="AD2279">
        <v>0</v>
      </c>
      <c r="AE2279" s="13" t="s">
        <v>61</v>
      </c>
    </row>
    <row r="2280" spans="1:31" x14ac:dyDescent="0.35">
      <c r="A2280" s="13" t="s">
        <v>3128</v>
      </c>
      <c r="B2280" s="13" t="s">
        <v>902</v>
      </c>
      <c r="C2280" s="13" t="s">
        <v>903</v>
      </c>
      <c r="D2280" s="13" t="s">
        <v>52</v>
      </c>
      <c r="E2280" s="13" t="s">
        <v>65</v>
      </c>
      <c r="F2280" s="13" t="s">
        <v>111</v>
      </c>
      <c r="G2280" s="13" t="s">
        <v>67</v>
      </c>
      <c r="H2280">
        <v>540000</v>
      </c>
      <c r="I2280" s="13" t="s">
        <v>56</v>
      </c>
      <c r="J2280" s="13" t="s">
        <v>57</v>
      </c>
      <c r="K2280" s="13" t="s">
        <v>58</v>
      </c>
      <c r="L2280" s="13" t="s">
        <v>59</v>
      </c>
      <c r="M2280">
        <v>45</v>
      </c>
      <c r="N2280">
        <v>0</v>
      </c>
      <c r="O2280" s="14">
        <v>46021</v>
      </c>
      <c r="P2280" s="14">
        <v>46066</v>
      </c>
      <c r="Q2280">
        <v>5017.7700000000004</v>
      </c>
      <c r="R2280">
        <v>0</v>
      </c>
      <c r="S2280">
        <v>0</v>
      </c>
      <c r="T2280">
        <v>0</v>
      </c>
      <c r="U2280">
        <v>0</v>
      </c>
      <c r="V2280">
        <v>5017.7700000000004</v>
      </c>
      <c r="W2280">
        <v>0</v>
      </c>
      <c r="X2280">
        <v>1</v>
      </c>
      <c r="Y2280">
        <v>0</v>
      </c>
      <c r="Z2280">
        <v>-44</v>
      </c>
      <c r="AA2280">
        <v>1</v>
      </c>
      <c r="AB2280" s="13" t="s">
        <v>581</v>
      </c>
      <c r="AC2280">
        <v>0</v>
      </c>
      <c r="AD2280">
        <v>0</v>
      </c>
      <c r="AE2280" s="13" t="s">
        <v>61</v>
      </c>
    </row>
    <row r="2281" spans="1:31" x14ac:dyDescent="0.35">
      <c r="A2281" s="13" t="s">
        <v>3129</v>
      </c>
      <c r="B2281" s="13" t="s">
        <v>1405</v>
      </c>
      <c r="C2281" s="13" t="s">
        <v>1406</v>
      </c>
      <c r="D2281" s="13" t="s">
        <v>52</v>
      </c>
      <c r="E2281" s="13" t="s">
        <v>53</v>
      </c>
      <c r="F2281" s="13" t="s">
        <v>54</v>
      </c>
      <c r="G2281" s="13" t="s">
        <v>67</v>
      </c>
      <c r="H2281">
        <v>445000</v>
      </c>
      <c r="I2281" s="13" t="s">
        <v>86</v>
      </c>
      <c r="J2281" s="13" t="s">
        <v>87</v>
      </c>
      <c r="K2281" s="13" t="s">
        <v>58</v>
      </c>
      <c r="L2281" s="13" t="s">
        <v>59</v>
      </c>
      <c r="M2281">
        <v>45</v>
      </c>
      <c r="N2281">
        <v>0</v>
      </c>
      <c r="O2281" s="14">
        <v>46021</v>
      </c>
      <c r="P2281" s="14">
        <v>46066</v>
      </c>
      <c r="Q2281">
        <v>4926.07</v>
      </c>
      <c r="R2281">
        <v>0</v>
      </c>
      <c r="S2281">
        <v>0</v>
      </c>
      <c r="T2281">
        <v>0</v>
      </c>
      <c r="U2281">
        <v>0</v>
      </c>
      <c r="V2281">
        <v>4926.07</v>
      </c>
      <c r="W2281">
        <v>0</v>
      </c>
      <c r="X2281">
        <v>1</v>
      </c>
      <c r="Y2281">
        <v>0</v>
      </c>
      <c r="Z2281">
        <v>-44</v>
      </c>
      <c r="AA2281">
        <v>1</v>
      </c>
      <c r="AB2281" s="13" t="s">
        <v>581</v>
      </c>
      <c r="AC2281">
        <v>0</v>
      </c>
      <c r="AD2281">
        <v>0</v>
      </c>
      <c r="AE2281" s="13" t="s">
        <v>61</v>
      </c>
    </row>
    <row r="2282" spans="1:31" x14ac:dyDescent="0.35">
      <c r="A2282" s="13" t="s">
        <v>3130</v>
      </c>
      <c r="B2282" s="13" t="s">
        <v>1022</v>
      </c>
      <c r="C2282" s="13" t="s">
        <v>1023</v>
      </c>
      <c r="D2282" s="13" t="s">
        <v>126</v>
      </c>
      <c r="E2282" s="13" t="s">
        <v>77</v>
      </c>
      <c r="F2282" s="13" t="s">
        <v>174</v>
      </c>
      <c r="G2282" s="13" t="s">
        <v>55</v>
      </c>
      <c r="H2282">
        <v>160000</v>
      </c>
      <c r="I2282" s="13" t="s">
        <v>56</v>
      </c>
      <c r="J2282" s="13" t="s">
        <v>57</v>
      </c>
      <c r="K2282" s="13" t="s">
        <v>58</v>
      </c>
      <c r="L2282" s="13" t="s">
        <v>88</v>
      </c>
      <c r="M2282">
        <v>60</v>
      </c>
      <c r="N2282">
        <v>0</v>
      </c>
      <c r="O2282" s="14">
        <v>46021</v>
      </c>
      <c r="P2282" s="14">
        <v>46081</v>
      </c>
      <c r="Q2282">
        <v>6299.49</v>
      </c>
      <c r="R2282">
        <v>0</v>
      </c>
      <c r="S2282">
        <v>0</v>
      </c>
      <c r="T2282">
        <v>0</v>
      </c>
      <c r="U2282">
        <v>0</v>
      </c>
      <c r="V2282">
        <v>6299.49</v>
      </c>
      <c r="W2282">
        <v>0</v>
      </c>
      <c r="X2282">
        <v>1</v>
      </c>
      <c r="Y2282">
        <v>0</v>
      </c>
      <c r="Z2282">
        <v>-59</v>
      </c>
      <c r="AA2282">
        <v>1</v>
      </c>
      <c r="AB2282" s="13" t="s">
        <v>581</v>
      </c>
      <c r="AC2282">
        <v>0</v>
      </c>
      <c r="AD2282">
        <v>0</v>
      </c>
      <c r="AE2282" s="13" t="s">
        <v>61</v>
      </c>
    </row>
    <row r="2283" spans="1:31" x14ac:dyDescent="0.35">
      <c r="A2283" s="13" t="s">
        <v>3131</v>
      </c>
      <c r="B2283" s="13" t="s">
        <v>2107</v>
      </c>
      <c r="C2283" s="13" t="s">
        <v>2108</v>
      </c>
      <c r="D2283" s="13" t="s">
        <v>76</v>
      </c>
      <c r="E2283" s="13" t="s">
        <v>65</v>
      </c>
      <c r="F2283" s="13" t="s">
        <v>111</v>
      </c>
      <c r="G2283" s="13" t="s">
        <v>67</v>
      </c>
      <c r="H2283">
        <v>55000</v>
      </c>
      <c r="I2283" s="13" t="s">
        <v>93</v>
      </c>
      <c r="J2283" s="13" t="s">
        <v>94</v>
      </c>
      <c r="K2283" s="13" t="s">
        <v>81</v>
      </c>
      <c r="L2283" s="13" t="s">
        <v>82</v>
      </c>
      <c r="M2283">
        <v>30</v>
      </c>
      <c r="N2283">
        <v>2</v>
      </c>
      <c r="O2283" s="14">
        <v>46021</v>
      </c>
      <c r="P2283" s="14">
        <v>46051</v>
      </c>
      <c r="Q2283">
        <v>3440.49</v>
      </c>
      <c r="R2283">
        <v>0</v>
      </c>
      <c r="S2283">
        <v>0</v>
      </c>
      <c r="T2283">
        <v>0</v>
      </c>
      <c r="U2283">
        <v>0</v>
      </c>
      <c r="V2283">
        <v>3440.49</v>
      </c>
      <c r="W2283">
        <v>0</v>
      </c>
      <c r="X2283">
        <v>1</v>
      </c>
      <c r="Y2283">
        <v>0</v>
      </c>
      <c r="Z2283">
        <v>-29</v>
      </c>
      <c r="AA2283">
        <v>1</v>
      </c>
      <c r="AB2283" s="13" t="s">
        <v>581</v>
      </c>
      <c r="AC2283">
        <v>0</v>
      </c>
      <c r="AD2283">
        <v>0</v>
      </c>
      <c r="AE2283" s="13" t="s">
        <v>61</v>
      </c>
    </row>
    <row r="2284" spans="1:31" x14ac:dyDescent="0.35">
      <c r="A2284" s="13" t="s">
        <v>3132</v>
      </c>
      <c r="B2284" s="13" t="s">
        <v>379</v>
      </c>
      <c r="C2284" s="13" t="s">
        <v>380</v>
      </c>
      <c r="D2284" s="13" t="s">
        <v>52</v>
      </c>
      <c r="E2284" s="13" t="s">
        <v>77</v>
      </c>
      <c r="F2284" s="13" t="s">
        <v>78</v>
      </c>
      <c r="G2284" s="13" t="s">
        <v>92</v>
      </c>
      <c r="H2284">
        <v>450000</v>
      </c>
      <c r="I2284" s="13" t="s">
        <v>56</v>
      </c>
      <c r="J2284" s="13" t="s">
        <v>57</v>
      </c>
      <c r="K2284" s="13" t="s">
        <v>58</v>
      </c>
      <c r="L2284" s="13" t="s">
        <v>59</v>
      </c>
      <c r="M2284">
        <v>45</v>
      </c>
      <c r="N2284">
        <v>0</v>
      </c>
      <c r="O2284" s="14">
        <v>46021</v>
      </c>
      <c r="P2284" s="14">
        <v>46066</v>
      </c>
      <c r="Q2284">
        <v>2904.81</v>
      </c>
      <c r="R2284">
        <v>0</v>
      </c>
      <c r="S2284">
        <v>0</v>
      </c>
      <c r="T2284">
        <v>0</v>
      </c>
      <c r="U2284">
        <v>0</v>
      </c>
      <c r="V2284">
        <v>2904.81</v>
      </c>
      <c r="W2284">
        <v>0</v>
      </c>
      <c r="X2284">
        <v>1</v>
      </c>
      <c r="Y2284">
        <v>0</v>
      </c>
      <c r="Z2284">
        <v>-44</v>
      </c>
      <c r="AA2284">
        <v>1</v>
      </c>
      <c r="AB2284" s="13" t="s">
        <v>581</v>
      </c>
      <c r="AC2284">
        <v>0</v>
      </c>
      <c r="AD2284">
        <v>0</v>
      </c>
      <c r="AE2284" s="13" t="s">
        <v>61</v>
      </c>
    </row>
    <row r="2285" spans="1:31" x14ac:dyDescent="0.35">
      <c r="A2285" s="13" t="s">
        <v>3133</v>
      </c>
      <c r="B2285" s="13" t="s">
        <v>605</v>
      </c>
      <c r="C2285" s="13" t="s">
        <v>606</v>
      </c>
      <c r="D2285" s="13" t="s">
        <v>52</v>
      </c>
      <c r="E2285" s="13" t="s">
        <v>65</v>
      </c>
      <c r="F2285" s="13" t="s">
        <v>66</v>
      </c>
      <c r="G2285" s="13" t="s">
        <v>67</v>
      </c>
      <c r="H2285">
        <v>335000</v>
      </c>
      <c r="I2285" s="13" t="s">
        <v>86</v>
      </c>
      <c r="J2285" s="13" t="s">
        <v>87</v>
      </c>
      <c r="K2285" s="13" t="s">
        <v>58</v>
      </c>
      <c r="L2285" s="13" t="s">
        <v>59</v>
      </c>
      <c r="M2285">
        <v>45</v>
      </c>
      <c r="N2285">
        <v>0</v>
      </c>
      <c r="O2285" s="14">
        <v>46021</v>
      </c>
      <c r="P2285" s="14">
        <v>46066</v>
      </c>
      <c r="Q2285">
        <v>13724.62</v>
      </c>
      <c r="R2285">
        <v>0</v>
      </c>
      <c r="S2285">
        <v>0</v>
      </c>
      <c r="T2285">
        <v>0</v>
      </c>
      <c r="U2285">
        <v>0</v>
      </c>
      <c r="V2285">
        <v>13724.62</v>
      </c>
      <c r="W2285">
        <v>0</v>
      </c>
      <c r="X2285">
        <v>1</v>
      </c>
      <c r="Y2285">
        <v>0</v>
      </c>
      <c r="Z2285">
        <v>-44</v>
      </c>
      <c r="AA2285">
        <v>1</v>
      </c>
      <c r="AB2285" s="13" t="s">
        <v>581</v>
      </c>
      <c r="AC2285">
        <v>0</v>
      </c>
      <c r="AD2285">
        <v>0</v>
      </c>
      <c r="AE2285" s="13" t="s">
        <v>61</v>
      </c>
    </row>
    <row r="2286" spans="1:31" x14ac:dyDescent="0.35">
      <c r="A2286" s="13" t="s">
        <v>3134</v>
      </c>
      <c r="B2286" s="13" t="s">
        <v>1105</v>
      </c>
      <c r="C2286" s="13" t="s">
        <v>1106</v>
      </c>
      <c r="D2286" s="13" t="s">
        <v>52</v>
      </c>
      <c r="E2286" s="13" t="s">
        <v>71</v>
      </c>
      <c r="F2286" s="13" t="s">
        <v>72</v>
      </c>
      <c r="G2286" s="13" t="s">
        <v>67</v>
      </c>
      <c r="H2286">
        <v>205000</v>
      </c>
      <c r="I2286" s="13" t="s">
        <v>56</v>
      </c>
      <c r="J2286" s="13" t="s">
        <v>57</v>
      </c>
      <c r="K2286" s="13" t="s">
        <v>58</v>
      </c>
      <c r="L2286" s="13" t="s">
        <v>88</v>
      </c>
      <c r="M2286">
        <v>60</v>
      </c>
      <c r="N2286">
        <v>0</v>
      </c>
      <c r="O2286" s="14">
        <v>46021</v>
      </c>
      <c r="P2286" s="14">
        <v>46081</v>
      </c>
      <c r="Q2286">
        <v>7929.47</v>
      </c>
      <c r="R2286">
        <v>0</v>
      </c>
      <c r="S2286">
        <v>0</v>
      </c>
      <c r="T2286">
        <v>0</v>
      </c>
      <c r="U2286">
        <v>0</v>
      </c>
      <c r="V2286">
        <v>7929.47</v>
      </c>
      <c r="W2286">
        <v>0</v>
      </c>
      <c r="X2286">
        <v>1</v>
      </c>
      <c r="Y2286">
        <v>0</v>
      </c>
      <c r="Z2286">
        <v>-59</v>
      </c>
      <c r="AA2286">
        <v>1</v>
      </c>
      <c r="AB2286" s="13" t="s">
        <v>581</v>
      </c>
      <c r="AC2286">
        <v>0</v>
      </c>
      <c r="AD2286">
        <v>0</v>
      </c>
      <c r="AE2286" s="13" t="s">
        <v>61</v>
      </c>
    </row>
    <row r="2287" spans="1:31" x14ac:dyDescent="0.35">
      <c r="A2287" s="13" t="s">
        <v>3135</v>
      </c>
      <c r="B2287" s="13" t="s">
        <v>113</v>
      </c>
      <c r="C2287" s="13" t="s">
        <v>114</v>
      </c>
      <c r="D2287" s="13" t="s">
        <v>52</v>
      </c>
      <c r="E2287" s="13" t="s">
        <v>77</v>
      </c>
      <c r="F2287" s="13" t="s">
        <v>78</v>
      </c>
      <c r="G2287" s="13" t="s">
        <v>92</v>
      </c>
      <c r="H2287">
        <v>545000</v>
      </c>
      <c r="I2287" s="13" t="s">
        <v>86</v>
      </c>
      <c r="J2287" s="13" t="s">
        <v>87</v>
      </c>
      <c r="K2287" s="13" t="s">
        <v>58</v>
      </c>
      <c r="L2287" s="13" t="s">
        <v>88</v>
      </c>
      <c r="M2287">
        <v>60</v>
      </c>
      <c r="N2287">
        <v>0</v>
      </c>
      <c r="O2287" s="14">
        <v>46021</v>
      </c>
      <c r="P2287" s="14">
        <v>46081</v>
      </c>
      <c r="Q2287">
        <v>11845.61</v>
      </c>
      <c r="R2287">
        <v>0</v>
      </c>
      <c r="S2287">
        <v>0</v>
      </c>
      <c r="T2287">
        <v>0</v>
      </c>
      <c r="U2287">
        <v>0</v>
      </c>
      <c r="V2287">
        <v>11845.61</v>
      </c>
      <c r="W2287">
        <v>0</v>
      </c>
      <c r="X2287">
        <v>1</v>
      </c>
      <c r="Y2287">
        <v>0</v>
      </c>
      <c r="Z2287">
        <v>-59</v>
      </c>
      <c r="AA2287">
        <v>1</v>
      </c>
      <c r="AB2287" s="13" t="s">
        <v>581</v>
      </c>
      <c r="AC2287">
        <v>0</v>
      </c>
      <c r="AD2287">
        <v>0</v>
      </c>
      <c r="AE2287" s="13" t="s">
        <v>61</v>
      </c>
    </row>
    <row r="2288" spans="1:31" x14ac:dyDescent="0.35">
      <c r="A2288" s="13" t="s">
        <v>3136</v>
      </c>
      <c r="B2288" s="13" t="s">
        <v>50</v>
      </c>
      <c r="C2288" s="13" t="s">
        <v>51</v>
      </c>
      <c r="D2288" s="13" t="s">
        <v>52</v>
      </c>
      <c r="E2288" s="13" t="s">
        <v>53</v>
      </c>
      <c r="F2288" s="13" t="s">
        <v>54</v>
      </c>
      <c r="G2288" s="13" t="s">
        <v>55</v>
      </c>
      <c r="H2288">
        <v>585000</v>
      </c>
      <c r="I2288" s="13" t="s">
        <v>56</v>
      </c>
      <c r="J2288" s="13" t="s">
        <v>57</v>
      </c>
      <c r="K2288" s="13" t="s">
        <v>58</v>
      </c>
      <c r="L2288" s="13" t="s">
        <v>59</v>
      </c>
      <c r="M2288">
        <v>45</v>
      </c>
      <c r="N2288">
        <v>0</v>
      </c>
      <c r="O2288" s="14">
        <v>46021</v>
      </c>
      <c r="P2288" s="14">
        <v>46066</v>
      </c>
      <c r="Q2288">
        <v>8015.46</v>
      </c>
      <c r="R2288">
        <v>0</v>
      </c>
      <c r="S2288">
        <v>0</v>
      </c>
      <c r="T2288">
        <v>0</v>
      </c>
      <c r="U2288">
        <v>0</v>
      </c>
      <c r="V2288">
        <v>8015.46</v>
      </c>
      <c r="W2288">
        <v>0</v>
      </c>
      <c r="X2288">
        <v>1</v>
      </c>
      <c r="Y2288">
        <v>0</v>
      </c>
      <c r="Z2288">
        <v>-44</v>
      </c>
      <c r="AA2288">
        <v>1</v>
      </c>
      <c r="AB2288" s="13" t="s">
        <v>581</v>
      </c>
      <c r="AC2288">
        <v>0</v>
      </c>
      <c r="AD2288">
        <v>0</v>
      </c>
      <c r="AE2288" s="13" t="s">
        <v>61</v>
      </c>
    </row>
    <row r="2289" spans="1:31" x14ac:dyDescent="0.35">
      <c r="A2289" s="13" t="s">
        <v>3137</v>
      </c>
      <c r="B2289" s="13" t="s">
        <v>1165</v>
      </c>
      <c r="C2289" s="13" t="s">
        <v>1166</v>
      </c>
      <c r="D2289" s="13" t="s">
        <v>52</v>
      </c>
      <c r="E2289" s="13" t="s">
        <v>99</v>
      </c>
      <c r="F2289" s="13" t="s">
        <v>127</v>
      </c>
      <c r="G2289" s="13" t="s">
        <v>67</v>
      </c>
      <c r="H2289">
        <v>370000</v>
      </c>
      <c r="I2289" s="13" t="s">
        <v>56</v>
      </c>
      <c r="J2289" s="13" t="s">
        <v>57</v>
      </c>
      <c r="K2289" s="13" t="s">
        <v>58</v>
      </c>
      <c r="L2289" s="13" t="s">
        <v>88</v>
      </c>
      <c r="M2289">
        <v>60</v>
      </c>
      <c r="N2289">
        <v>0</v>
      </c>
      <c r="O2289" s="14">
        <v>46021</v>
      </c>
      <c r="P2289" s="14">
        <v>46081</v>
      </c>
      <c r="Q2289">
        <v>4604.8100000000004</v>
      </c>
      <c r="R2289">
        <v>0</v>
      </c>
      <c r="S2289">
        <v>0</v>
      </c>
      <c r="T2289">
        <v>0</v>
      </c>
      <c r="U2289">
        <v>0</v>
      </c>
      <c r="V2289">
        <v>4604.8100000000004</v>
      </c>
      <c r="W2289">
        <v>0</v>
      </c>
      <c r="X2289">
        <v>1</v>
      </c>
      <c r="Y2289">
        <v>0</v>
      </c>
      <c r="Z2289">
        <v>-59</v>
      </c>
      <c r="AA2289">
        <v>1</v>
      </c>
      <c r="AB2289" s="13" t="s">
        <v>581</v>
      </c>
      <c r="AC2289">
        <v>0</v>
      </c>
      <c r="AD2289">
        <v>0</v>
      </c>
      <c r="AE2289" s="13" t="s">
        <v>61</v>
      </c>
    </row>
    <row r="2290" spans="1:31" x14ac:dyDescent="0.35">
      <c r="A2290" s="13" t="s">
        <v>3138</v>
      </c>
      <c r="B2290" s="13" t="s">
        <v>177</v>
      </c>
      <c r="C2290" s="13" t="s">
        <v>178</v>
      </c>
      <c r="D2290" s="13" t="s">
        <v>52</v>
      </c>
      <c r="E2290" s="13" t="s">
        <v>71</v>
      </c>
      <c r="F2290" s="13" t="s">
        <v>72</v>
      </c>
      <c r="G2290" s="13" t="s">
        <v>67</v>
      </c>
      <c r="H2290">
        <v>415000</v>
      </c>
      <c r="I2290" s="13" t="s">
        <v>56</v>
      </c>
      <c r="J2290" s="13" t="s">
        <v>57</v>
      </c>
      <c r="K2290" s="13" t="s">
        <v>58</v>
      </c>
      <c r="L2290" s="13" t="s">
        <v>59</v>
      </c>
      <c r="M2290">
        <v>45</v>
      </c>
      <c r="N2290">
        <v>0</v>
      </c>
      <c r="O2290" s="14">
        <v>46021</v>
      </c>
      <c r="P2290" s="14">
        <v>46066</v>
      </c>
      <c r="Q2290">
        <v>2357.3000000000002</v>
      </c>
      <c r="R2290">
        <v>0</v>
      </c>
      <c r="S2290">
        <v>0</v>
      </c>
      <c r="T2290">
        <v>0</v>
      </c>
      <c r="U2290">
        <v>0</v>
      </c>
      <c r="V2290">
        <v>2357.3000000000002</v>
      </c>
      <c r="W2290">
        <v>0</v>
      </c>
      <c r="X2290">
        <v>1</v>
      </c>
      <c r="Y2290">
        <v>0</v>
      </c>
      <c r="Z2290">
        <v>-44</v>
      </c>
      <c r="AA2290">
        <v>1</v>
      </c>
      <c r="AB2290" s="13" t="s">
        <v>581</v>
      </c>
      <c r="AC2290">
        <v>0</v>
      </c>
      <c r="AD2290">
        <v>0</v>
      </c>
      <c r="AE2290" s="13" t="s">
        <v>61</v>
      </c>
    </row>
    <row r="2291" spans="1:31" x14ac:dyDescent="0.35">
      <c r="A2291" s="13" t="s">
        <v>3139</v>
      </c>
      <c r="B2291" s="13" t="s">
        <v>2416</v>
      </c>
      <c r="C2291" s="13" t="s">
        <v>2417</v>
      </c>
      <c r="D2291" s="13" t="s">
        <v>104</v>
      </c>
      <c r="E2291" s="13" t="s">
        <v>65</v>
      </c>
      <c r="F2291" s="13" t="s">
        <v>111</v>
      </c>
      <c r="G2291" s="13" t="s">
        <v>67</v>
      </c>
      <c r="H2291">
        <v>35000</v>
      </c>
      <c r="I2291" s="13" t="s">
        <v>105</v>
      </c>
      <c r="J2291" s="13" t="s">
        <v>106</v>
      </c>
      <c r="K2291" s="13" t="s">
        <v>107</v>
      </c>
      <c r="L2291" s="13" t="s">
        <v>95</v>
      </c>
      <c r="M2291">
        <v>30</v>
      </c>
      <c r="N2291">
        <v>0</v>
      </c>
      <c r="O2291" s="14">
        <v>46021</v>
      </c>
      <c r="P2291" s="14">
        <v>46051</v>
      </c>
      <c r="Q2291">
        <v>1122.21</v>
      </c>
      <c r="R2291">
        <v>0</v>
      </c>
      <c r="S2291">
        <v>0</v>
      </c>
      <c r="T2291">
        <v>0</v>
      </c>
      <c r="U2291">
        <v>0</v>
      </c>
      <c r="V2291">
        <v>1122.21</v>
      </c>
      <c r="W2291">
        <v>0</v>
      </c>
      <c r="X2291">
        <v>1</v>
      </c>
      <c r="Y2291">
        <v>0</v>
      </c>
      <c r="Z2291">
        <v>-29</v>
      </c>
      <c r="AA2291">
        <v>1</v>
      </c>
      <c r="AB2291" s="13" t="s">
        <v>581</v>
      </c>
      <c r="AC2291">
        <v>0</v>
      </c>
      <c r="AD2291">
        <v>0</v>
      </c>
      <c r="AE2291" s="13" t="s">
        <v>61</v>
      </c>
    </row>
    <row r="2292" spans="1:31" x14ac:dyDescent="0.35">
      <c r="A2292" s="13" t="s">
        <v>3140</v>
      </c>
      <c r="B2292" s="13" t="s">
        <v>1358</v>
      </c>
      <c r="C2292" s="13" t="s">
        <v>1359</v>
      </c>
      <c r="D2292" s="13" t="s">
        <v>76</v>
      </c>
      <c r="E2292" s="13" t="s">
        <v>71</v>
      </c>
      <c r="F2292" s="13" t="s">
        <v>72</v>
      </c>
      <c r="G2292" s="13" t="s">
        <v>92</v>
      </c>
      <c r="H2292">
        <v>105000</v>
      </c>
      <c r="I2292" s="13" t="s">
        <v>79</v>
      </c>
      <c r="J2292" s="13" t="s">
        <v>80</v>
      </c>
      <c r="K2292" s="13" t="s">
        <v>81</v>
      </c>
      <c r="L2292" s="13" t="s">
        <v>95</v>
      </c>
      <c r="M2292">
        <v>30</v>
      </c>
      <c r="N2292">
        <v>0</v>
      </c>
      <c r="O2292" s="14">
        <v>46022</v>
      </c>
      <c r="P2292" s="14">
        <v>46052</v>
      </c>
      <c r="Q2292">
        <v>608.62</v>
      </c>
      <c r="R2292">
        <v>0</v>
      </c>
      <c r="S2292">
        <v>0</v>
      </c>
      <c r="T2292">
        <v>0</v>
      </c>
      <c r="U2292">
        <v>0</v>
      </c>
      <c r="V2292">
        <v>608.62</v>
      </c>
      <c r="W2292">
        <v>0</v>
      </c>
      <c r="X2292">
        <v>1</v>
      </c>
      <c r="Y2292">
        <v>0</v>
      </c>
      <c r="Z2292">
        <v>-30</v>
      </c>
      <c r="AA2292">
        <v>1</v>
      </c>
      <c r="AB2292" s="13" t="s">
        <v>581</v>
      </c>
      <c r="AC2292">
        <v>0</v>
      </c>
      <c r="AD2292">
        <v>0</v>
      </c>
      <c r="AE2292" s="13" t="s">
        <v>61</v>
      </c>
    </row>
    <row r="2293" spans="1:31" x14ac:dyDescent="0.35">
      <c r="A2293" s="13" t="s">
        <v>3141</v>
      </c>
      <c r="B2293" s="13" t="s">
        <v>197</v>
      </c>
      <c r="C2293" s="13" t="s">
        <v>198</v>
      </c>
      <c r="D2293" s="13" t="s">
        <v>76</v>
      </c>
      <c r="E2293" s="13" t="s">
        <v>53</v>
      </c>
      <c r="F2293" s="13" t="s">
        <v>135</v>
      </c>
      <c r="G2293" s="13" t="s">
        <v>67</v>
      </c>
      <c r="H2293">
        <v>105000</v>
      </c>
      <c r="I2293" s="13" t="s">
        <v>79</v>
      </c>
      <c r="J2293" s="13" t="s">
        <v>80</v>
      </c>
      <c r="K2293" s="13" t="s">
        <v>81</v>
      </c>
      <c r="L2293" s="13" t="s">
        <v>95</v>
      </c>
      <c r="M2293">
        <v>30</v>
      </c>
      <c r="N2293">
        <v>0</v>
      </c>
      <c r="O2293" s="14">
        <v>46022</v>
      </c>
      <c r="P2293" s="14">
        <v>46052</v>
      </c>
      <c r="Q2293">
        <v>1071.73</v>
      </c>
      <c r="R2293">
        <v>0</v>
      </c>
      <c r="S2293">
        <v>0</v>
      </c>
      <c r="T2293">
        <v>0</v>
      </c>
      <c r="U2293">
        <v>0</v>
      </c>
      <c r="V2293">
        <v>1071.73</v>
      </c>
      <c r="W2293">
        <v>0</v>
      </c>
      <c r="X2293">
        <v>1</v>
      </c>
      <c r="Y2293">
        <v>0</v>
      </c>
      <c r="Z2293">
        <v>-30</v>
      </c>
      <c r="AA2293">
        <v>1</v>
      </c>
      <c r="AB2293" s="13" t="s">
        <v>581</v>
      </c>
      <c r="AC2293">
        <v>0</v>
      </c>
      <c r="AD2293">
        <v>0</v>
      </c>
      <c r="AE2293" s="13" t="s">
        <v>61</v>
      </c>
    </row>
    <row r="2294" spans="1:31" x14ac:dyDescent="0.35">
      <c r="A2294" s="13" t="s">
        <v>3142</v>
      </c>
      <c r="B2294" s="13" t="s">
        <v>203</v>
      </c>
      <c r="C2294" s="13" t="s">
        <v>204</v>
      </c>
      <c r="D2294" s="13" t="s">
        <v>52</v>
      </c>
      <c r="E2294" s="13" t="s">
        <v>53</v>
      </c>
      <c r="F2294" s="13" t="s">
        <v>135</v>
      </c>
      <c r="G2294" s="13" t="s">
        <v>67</v>
      </c>
      <c r="H2294">
        <v>500000</v>
      </c>
      <c r="I2294" s="13" t="s">
        <v>56</v>
      </c>
      <c r="J2294" s="13" t="s">
        <v>57</v>
      </c>
      <c r="K2294" s="13" t="s">
        <v>58</v>
      </c>
      <c r="L2294" s="13" t="s">
        <v>59</v>
      </c>
      <c r="M2294">
        <v>45</v>
      </c>
      <c r="N2294">
        <v>0</v>
      </c>
      <c r="O2294" s="14">
        <v>46022</v>
      </c>
      <c r="P2294" s="14">
        <v>46067</v>
      </c>
      <c r="Q2294">
        <v>8171.96</v>
      </c>
      <c r="R2294">
        <v>0</v>
      </c>
      <c r="S2294">
        <v>0</v>
      </c>
      <c r="T2294">
        <v>0</v>
      </c>
      <c r="U2294">
        <v>0</v>
      </c>
      <c r="V2294">
        <v>8171.96</v>
      </c>
      <c r="W2294">
        <v>0</v>
      </c>
      <c r="X2294">
        <v>1</v>
      </c>
      <c r="Y2294">
        <v>0</v>
      </c>
      <c r="Z2294">
        <v>-45</v>
      </c>
      <c r="AA2294">
        <v>1</v>
      </c>
      <c r="AB2294" s="13" t="s">
        <v>581</v>
      </c>
      <c r="AC2294">
        <v>0</v>
      </c>
      <c r="AD2294">
        <v>0</v>
      </c>
      <c r="AE2294" s="13" t="s">
        <v>61</v>
      </c>
    </row>
    <row r="2295" spans="1:31" x14ac:dyDescent="0.35">
      <c r="A2295" s="13" t="s">
        <v>3143</v>
      </c>
      <c r="B2295" s="13" t="s">
        <v>1807</v>
      </c>
      <c r="C2295" s="13" t="s">
        <v>1808</v>
      </c>
      <c r="D2295" s="13" t="s">
        <v>76</v>
      </c>
      <c r="E2295" s="13" t="s">
        <v>65</v>
      </c>
      <c r="F2295" s="13" t="s">
        <v>66</v>
      </c>
      <c r="G2295" s="13" t="s">
        <v>55</v>
      </c>
      <c r="H2295">
        <v>45000</v>
      </c>
      <c r="I2295" s="13" t="s">
        <v>93</v>
      </c>
      <c r="J2295" s="13" t="s">
        <v>94</v>
      </c>
      <c r="K2295" s="13" t="s">
        <v>81</v>
      </c>
      <c r="L2295" s="13" t="s">
        <v>95</v>
      </c>
      <c r="M2295">
        <v>30</v>
      </c>
      <c r="N2295">
        <v>0</v>
      </c>
      <c r="O2295" s="14">
        <v>46022</v>
      </c>
      <c r="P2295" s="14">
        <v>46052</v>
      </c>
      <c r="Q2295">
        <v>561.5</v>
      </c>
      <c r="R2295">
        <v>0</v>
      </c>
      <c r="S2295">
        <v>0</v>
      </c>
      <c r="T2295">
        <v>0</v>
      </c>
      <c r="U2295">
        <v>0</v>
      </c>
      <c r="V2295">
        <v>561.5</v>
      </c>
      <c r="W2295">
        <v>0</v>
      </c>
      <c r="X2295">
        <v>1</v>
      </c>
      <c r="Y2295">
        <v>0</v>
      </c>
      <c r="Z2295">
        <v>-30</v>
      </c>
      <c r="AA2295">
        <v>1</v>
      </c>
      <c r="AB2295" s="13" t="s">
        <v>581</v>
      </c>
      <c r="AC2295">
        <v>0</v>
      </c>
      <c r="AD2295">
        <v>0</v>
      </c>
      <c r="AE2295" s="13" t="s">
        <v>61</v>
      </c>
    </row>
    <row r="2296" spans="1:31" x14ac:dyDescent="0.35">
      <c r="A2296" s="13" t="s">
        <v>3144</v>
      </c>
      <c r="B2296" s="13" t="s">
        <v>449</v>
      </c>
      <c r="C2296" s="13" t="s">
        <v>450</v>
      </c>
      <c r="D2296" s="13" t="s">
        <v>126</v>
      </c>
      <c r="E2296" s="13" t="s">
        <v>71</v>
      </c>
      <c r="F2296" s="13" t="s">
        <v>72</v>
      </c>
      <c r="G2296" s="13" t="s">
        <v>67</v>
      </c>
      <c r="H2296">
        <v>65000</v>
      </c>
      <c r="I2296" s="13" t="s">
        <v>121</v>
      </c>
      <c r="J2296" s="13" t="s">
        <v>122</v>
      </c>
      <c r="K2296" s="13" t="s">
        <v>107</v>
      </c>
      <c r="L2296" s="13" t="s">
        <v>368</v>
      </c>
      <c r="M2296">
        <v>90</v>
      </c>
      <c r="N2296">
        <v>0</v>
      </c>
      <c r="O2296" s="14">
        <v>46022</v>
      </c>
      <c r="P2296" s="14">
        <v>46112</v>
      </c>
      <c r="Q2296">
        <v>1895.36</v>
      </c>
      <c r="R2296">
        <v>0</v>
      </c>
      <c r="S2296">
        <v>0</v>
      </c>
      <c r="T2296">
        <v>0</v>
      </c>
      <c r="U2296">
        <v>0</v>
      </c>
      <c r="V2296">
        <v>1895.36</v>
      </c>
      <c r="W2296">
        <v>0</v>
      </c>
      <c r="X2296">
        <v>1</v>
      </c>
      <c r="Y2296">
        <v>0</v>
      </c>
      <c r="Z2296">
        <v>-90</v>
      </c>
      <c r="AA2296">
        <v>1</v>
      </c>
      <c r="AB2296" s="13" t="s">
        <v>581</v>
      </c>
      <c r="AC2296">
        <v>0</v>
      </c>
      <c r="AD2296">
        <v>0</v>
      </c>
      <c r="AE2296" s="13" t="s">
        <v>61</v>
      </c>
    </row>
    <row r="2297" spans="1:31" x14ac:dyDescent="0.35">
      <c r="A2297" s="13" t="s">
        <v>3145</v>
      </c>
      <c r="B2297" s="13" t="s">
        <v>222</v>
      </c>
      <c r="C2297" s="13" t="s">
        <v>223</v>
      </c>
      <c r="D2297" s="13" t="s">
        <v>52</v>
      </c>
      <c r="E2297" s="13" t="s">
        <v>65</v>
      </c>
      <c r="F2297" s="13" t="s">
        <v>66</v>
      </c>
      <c r="G2297" s="13" t="s">
        <v>92</v>
      </c>
      <c r="H2297">
        <v>430000</v>
      </c>
      <c r="I2297" s="13" t="s">
        <v>56</v>
      </c>
      <c r="J2297" s="13" t="s">
        <v>57</v>
      </c>
      <c r="K2297" s="13" t="s">
        <v>58</v>
      </c>
      <c r="L2297" s="13" t="s">
        <v>59</v>
      </c>
      <c r="M2297">
        <v>45</v>
      </c>
      <c r="N2297">
        <v>0</v>
      </c>
      <c r="O2297" s="14">
        <v>46022</v>
      </c>
      <c r="P2297" s="14">
        <v>46067</v>
      </c>
      <c r="Q2297">
        <v>10721.58</v>
      </c>
      <c r="R2297">
        <v>0</v>
      </c>
      <c r="S2297">
        <v>0</v>
      </c>
      <c r="T2297">
        <v>0</v>
      </c>
      <c r="U2297">
        <v>0</v>
      </c>
      <c r="V2297">
        <v>10721.58</v>
      </c>
      <c r="W2297">
        <v>0</v>
      </c>
      <c r="X2297">
        <v>1</v>
      </c>
      <c r="Y2297">
        <v>0</v>
      </c>
      <c r="Z2297">
        <v>-45</v>
      </c>
      <c r="AA2297">
        <v>1</v>
      </c>
      <c r="AB2297" s="13" t="s">
        <v>581</v>
      </c>
      <c r="AC2297">
        <v>0</v>
      </c>
      <c r="AD2297">
        <v>0</v>
      </c>
      <c r="AE2297" s="13" t="s">
        <v>61</v>
      </c>
    </row>
    <row r="2298" spans="1:31" x14ac:dyDescent="0.35">
      <c r="A2298" s="13" t="s">
        <v>3146</v>
      </c>
      <c r="B2298" s="13" t="s">
        <v>1241</v>
      </c>
      <c r="C2298" s="13" t="s">
        <v>1242</v>
      </c>
      <c r="D2298" s="13" t="s">
        <v>76</v>
      </c>
      <c r="E2298" s="13" t="s">
        <v>65</v>
      </c>
      <c r="F2298" s="13" t="s">
        <v>111</v>
      </c>
      <c r="G2298" s="13" t="s">
        <v>55</v>
      </c>
      <c r="H2298">
        <v>45000</v>
      </c>
      <c r="I2298" s="13" t="s">
        <v>93</v>
      </c>
      <c r="J2298" s="13" t="s">
        <v>94</v>
      </c>
      <c r="K2298" s="13" t="s">
        <v>81</v>
      </c>
      <c r="L2298" s="13" t="s">
        <v>95</v>
      </c>
      <c r="M2298">
        <v>30</v>
      </c>
      <c r="N2298">
        <v>0</v>
      </c>
      <c r="O2298" s="14">
        <v>46022</v>
      </c>
      <c r="P2298" s="14">
        <v>46052</v>
      </c>
      <c r="Q2298">
        <v>531.23</v>
      </c>
      <c r="R2298">
        <v>0</v>
      </c>
      <c r="S2298">
        <v>0</v>
      </c>
      <c r="T2298">
        <v>0</v>
      </c>
      <c r="U2298">
        <v>0</v>
      </c>
      <c r="V2298">
        <v>531.23</v>
      </c>
      <c r="W2298">
        <v>0</v>
      </c>
      <c r="X2298">
        <v>1</v>
      </c>
      <c r="Y2298">
        <v>0</v>
      </c>
      <c r="Z2298">
        <v>-30</v>
      </c>
      <c r="AA2298">
        <v>1</v>
      </c>
      <c r="AB2298" s="13" t="s">
        <v>581</v>
      </c>
      <c r="AC2298">
        <v>0</v>
      </c>
      <c r="AD2298">
        <v>0</v>
      </c>
      <c r="AE2298" s="13" t="s">
        <v>61</v>
      </c>
    </row>
    <row r="2299" spans="1:31" x14ac:dyDescent="0.35">
      <c r="A2299" s="13" t="s">
        <v>3147</v>
      </c>
      <c r="B2299" s="13" t="s">
        <v>3148</v>
      </c>
      <c r="C2299" s="13" t="s">
        <v>3149</v>
      </c>
      <c r="D2299" s="13" t="s">
        <v>76</v>
      </c>
      <c r="E2299" s="13" t="s">
        <v>77</v>
      </c>
      <c r="F2299" s="13" t="s">
        <v>174</v>
      </c>
      <c r="G2299" s="13" t="s">
        <v>67</v>
      </c>
      <c r="H2299">
        <v>105000</v>
      </c>
      <c r="I2299" s="13" t="s">
        <v>93</v>
      </c>
      <c r="J2299" s="13" t="s">
        <v>94</v>
      </c>
      <c r="K2299" s="13" t="s">
        <v>81</v>
      </c>
      <c r="L2299" s="13" t="s">
        <v>82</v>
      </c>
      <c r="M2299">
        <v>30</v>
      </c>
      <c r="N2299">
        <v>2</v>
      </c>
      <c r="O2299" s="14">
        <v>46022</v>
      </c>
      <c r="P2299" s="14">
        <v>46052</v>
      </c>
      <c r="Q2299">
        <v>3373.76</v>
      </c>
      <c r="R2299">
        <v>0</v>
      </c>
      <c r="S2299">
        <v>0</v>
      </c>
      <c r="T2299">
        <v>0</v>
      </c>
      <c r="U2299">
        <v>0</v>
      </c>
      <c r="V2299">
        <v>3373.76</v>
      </c>
      <c r="W2299">
        <v>0</v>
      </c>
      <c r="X2299">
        <v>1</v>
      </c>
      <c r="Y2299">
        <v>0</v>
      </c>
      <c r="Z2299">
        <v>-30</v>
      </c>
      <c r="AA2299">
        <v>1</v>
      </c>
      <c r="AB2299" s="13" t="s">
        <v>581</v>
      </c>
      <c r="AC2299">
        <v>0</v>
      </c>
      <c r="AD2299">
        <v>0</v>
      </c>
      <c r="AE2299" s="13" t="s">
        <v>61</v>
      </c>
    </row>
    <row r="2300" spans="1:31" x14ac:dyDescent="0.35">
      <c r="A2300" s="13" t="s">
        <v>3150</v>
      </c>
      <c r="B2300" s="13" t="s">
        <v>636</v>
      </c>
      <c r="C2300" s="13" t="s">
        <v>637</v>
      </c>
      <c r="D2300" s="13" t="s">
        <v>126</v>
      </c>
      <c r="E2300" s="13" t="s">
        <v>65</v>
      </c>
      <c r="F2300" s="13" t="s">
        <v>111</v>
      </c>
      <c r="G2300" s="13" t="s">
        <v>67</v>
      </c>
      <c r="H2300">
        <v>130000</v>
      </c>
      <c r="I2300" s="13" t="s">
        <v>105</v>
      </c>
      <c r="J2300" s="13" t="s">
        <v>106</v>
      </c>
      <c r="K2300" s="13" t="s">
        <v>107</v>
      </c>
      <c r="L2300" s="13" t="s">
        <v>368</v>
      </c>
      <c r="M2300">
        <v>90</v>
      </c>
      <c r="N2300">
        <v>0</v>
      </c>
      <c r="O2300" s="14">
        <v>46022</v>
      </c>
      <c r="P2300" s="14">
        <v>46112</v>
      </c>
      <c r="Q2300">
        <v>8627.27</v>
      </c>
      <c r="R2300">
        <v>0</v>
      </c>
      <c r="S2300">
        <v>0</v>
      </c>
      <c r="T2300">
        <v>0</v>
      </c>
      <c r="U2300">
        <v>0</v>
      </c>
      <c r="V2300">
        <v>8627.27</v>
      </c>
      <c r="W2300">
        <v>0</v>
      </c>
      <c r="X2300">
        <v>1</v>
      </c>
      <c r="Y2300">
        <v>0</v>
      </c>
      <c r="Z2300">
        <v>-90</v>
      </c>
      <c r="AA2300">
        <v>1</v>
      </c>
      <c r="AB2300" s="13" t="s">
        <v>581</v>
      </c>
      <c r="AC2300">
        <v>0</v>
      </c>
      <c r="AD2300">
        <v>0</v>
      </c>
      <c r="AE2300" s="13" t="s">
        <v>61</v>
      </c>
    </row>
    <row r="2301" spans="1:31" x14ac:dyDescent="0.35">
      <c r="A2301" s="13" t="s">
        <v>3151</v>
      </c>
      <c r="B2301" s="13" t="s">
        <v>910</v>
      </c>
      <c r="C2301" s="13" t="s">
        <v>911</v>
      </c>
      <c r="D2301" s="13" t="s">
        <v>52</v>
      </c>
      <c r="E2301" s="13" t="s">
        <v>53</v>
      </c>
      <c r="F2301" s="13" t="s">
        <v>135</v>
      </c>
      <c r="G2301" s="13" t="s">
        <v>55</v>
      </c>
      <c r="H2301">
        <v>240000</v>
      </c>
      <c r="I2301" s="13" t="s">
        <v>56</v>
      </c>
      <c r="J2301" s="13" t="s">
        <v>57</v>
      </c>
      <c r="K2301" s="13" t="s">
        <v>58</v>
      </c>
      <c r="L2301" s="13" t="s">
        <v>88</v>
      </c>
      <c r="M2301">
        <v>60</v>
      </c>
      <c r="N2301">
        <v>0</v>
      </c>
      <c r="O2301" s="14">
        <v>46022</v>
      </c>
      <c r="P2301" s="14">
        <v>46082</v>
      </c>
      <c r="Q2301">
        <v>12945.4</v>
      </c>
      <c r="R2301">
        <v>0</v>
      </c>
      <c r="S2301">
        <v>0</v>
      </c>
      <c r="T2301">
        <v>0</v>
      </c>
      <c r="U2301">
        <v>0</v>
      </c>
      <c r="V2301">
        <v>12945.4</v>
      </c>
      <c r="W2301">
        <v>0</v>
      </c>
      <c r="X2301">
        <v>1</v>
      </c>
      <c r="Y2301">
        <v>0</v>
      </c>
      <c r="Z2301">
        <v>-60</v>
      </c>
      <c r="AA2301">
        <v>1</v>
      </c>
      <c r="AB2301" s="13" t="s">
        <v>581</v>
      </c>
      <c r="AC2301">
        <v>0</v>
      </c>
      <c r="AD2301">
        <v>0</v>
      </c>
      <c r="AE2301" s="13" t="s">
        <v>61</v>
      </c>
    </row>
    <row r="2302" spans="1:31" x14ac:dyDescent="0.35">
      <c r="A2302" s="13" t="s">
        <v>3152</v>
      </c>
      <c r="B2302" s="13" t="s">
        <v>478</v>
      </c>
      <c r="C2302" s="13" t="s">
        <v>479</v>
      </c>
      <c r="D2302" s="13" t="s">
        <v>52</v>
      </c>
      <c r="E2302" s="13" t="s">
        <v>77</v>
      </c>
      <c r="F2302" s="13" t="s">
        <v>174</v>
      </c>
      <c r="G2302" s="13" t="s">
        <v>55</v>
      </c>
      <c r="H2302">
        <v>385000</v>
      </c>
      <c r="I2302" s="13" t="s">
        <v>86</v>
      </c>
      <c r="J2302" s="13" t="s">
        <v>87</v>
      </c>
      <c r="K2302" s="13" t="s">
        <v>58</v>
      </c>
      <c r="L2302" s="13" t="s">
        <v>88</v>
      </c>
      <c r="M2302">
        <v>60</v>
      </c>
      <c r="N2302">
        <v>0</v>
      </c>
      <c r="O2302" s="14">
        <v>46022</v>
      </c>
      <c r="P2302" s="14">
        <v>46082</v>
      </c>
      <c r="Q2302">
        <v>9225.02</v>
      </c>
      <c r="R2302">
        <v>0</v>
      </c>
      <c r="S2302">
        <v>0</v>
      </c>
      <c r="T2302">
        <v>0</v>
      </c>
      <c r="U2302">
        <v>0</v>
      </c>
      <c r="V2302">
        <v>9225.02</v>
      </c>
      <c r="W2302">
        <v>0</v>
      </c>
      <c r="X2302">
        <v>1</v>
      </c>
      <c r="Y2302">
        <v>0</v>
      </c>
      <c r="Z2302">
        <v>-60</v>
      </c>
      <c r="AA2302">
        <v>1</v>
      </c>
      <c r="AB2302" s="13" t="s">
        <v>581</v>
      </c>
      <c r="AC2302">
        <v>0</v>
      </c>
      <c r="AD2302">
        <v>0</v>
      </c>
      <c r="AE2302" s="13" t="s">
        <v>61</v>
      </c>
    </row>
    <row r="2303" spans="1:31" x14ac:dyDescent="0.35">
      <c r="A2303" s="13" t="s">
        <v>3153</v>
      </c>
      <c r="B2303" s="13" t="s">
        <v>3154</v>
      </c>
      <c r="C2303" s="13" t="s">
        <v>3155</v>
      </c>
      <c r="D2303" s="13" t="s">
        <v>104</v>
      </c>
      <c r="E2303" s="13" t="s">
        <v>71</v>
      </c>
      <c r="F2303" s="13" t="s">
        <v>214</v>
      </c>
      <c r="G2303" s="13" t="s">
        <v>67</v>
      </c>
      <c r="H2303">
        <v>95000</v>
      </c>
      <c r="I2303" s="13" t="s">
        <v>105</v>
      </c>
      <c r="J2303" s="13" t="s">
        <v>106</v>
      </c>
      <c r="K2303" s="13" t="s">
        <v>107</v>
      </c>
      <c r="L2303" s="13" t="s">
        <v>82</v>
      </c>
      <c r="M2303">
        <v>30</v>
      </c>
      <c r="N2303">
        <v>2</v>
      </c>
      <c r="O2303" s="14">
        <v>46022</v>
      </c>
      <c r="P2303" s="14">
        <v>46052</v>
      </c>
      <c r="Q2303">
        <v>1289.1600000000001</v>
      </c>
      <c r="R2303">
        <v>0</v>
      </c>
      <c r="S2303">
        <v>0</v>
      </c>
      <c r="T2303">
        <v>0</v>
      </c>
      <c r="U2303">
        <v>0</v>
      </c>
      <c r="V2303">
        <v>1289.1600000000001</v>
      </c>
      <c r="W2303">
        <v>0</v>
      </c>
      <c r="X2303">
        <v>1</v>
      </c>
      <c r="Y2303">
        <v>0</v>
      </c>
      <c r="Z2303">
        <v>-30</v>
      </c>
      <c r="AA2303">
        <v>1</v>
      </c>
      <c r="AB2303" s="13" t="s">
        <v>581</v>
      </c>
      <c r="AC2303">
        <v>0</v>
      </c>
      <c r="AD2303">
        <v>0</v>
      </c>
      <c r="AE2303" s="13" t="s">
        <v>61</v>
      </c>
    </row>
    <row r="2304" spans="1:31" x14ac:dyDescent="0.35">
      <c r="A2304" s="13" t="s">
        <v>3156</v>
      </c>
      <c r="B2304" s="13" t="s">
        <v>393</v>
      </c>
      <c r="C2304" s="13" t="s">
        <v>394</v>
      </c>
      <c r="D2304" s="13" t="s">
        <v>76</v>
      </c>
      <c r="E2304" s="13" t="s">
        <v>65</v>
      </c>
      <c r="F2304" s="13" t="s">
        <v>66</v>
      </c>
      <c r="G2304" s="13" t="s">
        <v>55</v>
      </c>
      <c r="H2304">
        <v>50000</v>
      </c>
      <c r="I2304" s="13" t="s">
        <v>93</v>
      </c>
      <c r="J2304" s="13" t="s">
        <v>94</v>
      </c>
      <c r="K2304" s="13" t="s">
        <v>81</v>
      </c>
      <c r="L2304" s="13" t="s">
        <v>95</v>
      </c>
      <c r="M2304">
        <v>30</v>
      </c>
      <c r="N2304">
        <v>0</v>
      </c>
      <c r="O2304" s="14">
        <v>46022</v>
      </c>
      <c r="P2304" s="14">
        <v>46052</v>
      </c>
      <c r="Q2304">
        <v>3565.03</v>
      </c>
      <c r="R2304">
        <v>0</v>
      </c>
      <c r="S2304">
        <v>0</v>
      </c>
      <c r="T2304">
        <v>0</v>
      </c>
      <c r="U2304">
        <v>0</v>
      </c>
      <c r="V2304">
        <v>3565.03</v>
      </c>
      <c r="W2304">
        <v>0</v>
      </c>
      <c r="X2304">
        <v>1</v>
      </c>
      <c r="Y2304">
        <v>0</v>
      </c>
      <c r="Z2304">
        <v>-30</v>
      </c>
      <c r="AA2304">
        <v>1</v>
      </c>
      <c r="AB2304" s="13" t="s">
        <v>581</v>
      </c>
      <c r="AC2304">
        <v>0</v>
      </c>
      <c r="AD2304">
        <v>0</v>
      </c>
      <c r="AE2304" s="13" t="s">
        <v>61</v>
      </c>
    </row>
    <row r="2305" spans="1:31" x14ac:dyDescent="0.35">
      <c r="A2305" s="13" t="s">
        <v>3157</v>
      </c>
      <c r="B2305" s="13" t="s">
        <v>119</v>
      </c>
      <c r="C2305" s="13" t="s">
        <v>120</v>
      </c>
      <c r="D2305" s="13" t="s">
        <v>104</v>
      </c>
      <c r="E2305" s="13" t="s">
        <v>53</v>
      </c>
      <c r="F2305" s="13" t="s">
        <v>54</v>
      </c>
      <c r="G2305" s="13" t="s">
        <v>55</v>
      </c>
      <c r="H2305">
        <v>145000</v>
      </c>
      <c r="I2305" s="13" t="s">
        <v>121</v>
      </c>
      <c r="J2305" s="13" t="s">
        <v>122</v>
      </c>
      <c r="K2305" s="13" t="s">
        <v>107</v>
      </c>
      <c r="L2305" s="13" t="s">
        <v>82</v>
      </c>
      <c r="M2305">
        <v>30</v>
      </c>
      <c r="N2305">
        <v>2</v>
      </c>
      <c r="O2305" s="14">
        <v>46022</v>
      </c>
      <c r="P2305" s="14">
        <v>46052</v>
      </c>
      <c r="Q2305">
        <v>1105.43</v>
      </c>
      <c r="R2305">
        <v>0</v>
      </c>
      <c r="S2305">
        <v>0</v>
      </c>
      <c r="T2305">
        <v>0</v>
      </c>
      <c r="U2305">
        <v>0</v>
      </c>
      <c r="V2305">
        <v>1105.43</v>
      </c>
      <c r="W2305">
        <v>0</v>
      </c>
      <c r="X2305">
        <v>1</v>
      </c>
      <c r="Y2305">
        <v>0</v>
      </c>
      <c r="Z2305">
        <v>-30</v>
      </c>
      <c r="AA2305">
        <v>1</v>
      </c>
      <c r="AB2305" s="13" t="s">
        <v>581</v>
      </c>
      <c r="AC2305">
        <v>0</v>
      </c>
      <c r="AD2305">
        <v>0</v>
      </c>
      <c r="AE2305" s="13" t="s">
        <v>61</v>
      </c>
    </row>
    <row r="2306" spans="1:31" x14ac:dyDescent="0.35">
      <c r="A2306" s="13" t="s">
        <v>3158</v>
      </c>
      <c r="B2306" s="13" t="s">
        <v>3159</v>
      </c>
      <c r="C2306" s="13" t="s">
        <v>3160</v>
      </c>
      <c r="D2306" s="13" t="s">
        <v>76</v>
      </c>
      <c r="E2306" s="13" t="s">
        <v>53</v>
      </c>
      <c r="F2306" s="13" t="s">
        <v>54</v>
      </c>
      <c r="G2306" s="13" t="s">
        <v>67</v>
      </c>
      <c r="H2306">
        <v>75000</v>
      </c>
      <c r="I2306" s="13" t="s">
        <v>93</v>
      </c>
      <c r="J2306" s="13" t="s">
        <v>94</v>
      </c>
      <c r="K2306" s="13" t="s">
        <v>81</v>
      </c>
      <c r="L2306" s="13" t="s">
        <v>82</v>
      </c>
      <c r="M2306">
        <v>30</v>
      </c>
      <c r="N2306">
        <v>2</v>
      </c>
      <c r="O2306" s="14">
        <v>46022</v>
      </c>
      <c r="P2306" s="14">
        <v>46052</v>
      </c>
      <c r="Q2306">
        <v>1849.68</v>
      </c>
      <c r="R2306">
        <v>0</v>
      </c>
      <c r="S2306">
        <v>0</v>
      </c>
      <c r="T2306">
        <v>0</v>
      </c>
      <c r="U2306">
        <v>0</v>
      </c>
      <c r="V2306">
        <v>1849.68</v>
      </c>
      <c r="W2306">
        <v>0</v>
      </c>
      <c r="X2306">
        <v>1</v>
      </c>
      <c r="Y2306">
        <v>0</v>
      </c>
      <c r="Z2306">
        <v>-30</v>
      </c>
      <c r="AA2306">
        <v>1</v>
      </c>
      <c r="AB2306" s="13" t="s">
        <v>581</v>
      </c>
      <c r="AC2306">
        <v>0</v>
      </c>
      <c r="AD2306">
        <v>0</v>
      </c>
      <c r="AE2306" s="13" t="s">
        <v>61</v>
      </c>
    </row>
    <row r="2307" spans="1:31" x14ac:dyDescent="0.35">
      <c r="A2307" s="13" t="s">
        <v>3161</v>
      </c>
      <c r="B2307" s="13" t="s">
        <v>442</v>
      </c>
      <c r="C2307" s="13" t="s">
        <v>443</v>
      </c>
      <c r="D2307" s="13" t="s">
        <v>104</v>
      </c>
      <c r="E2307" s="13" t="s">
        <v>71</v>
      </c>
      <c r="F2307" s="13" t="s">
        <v>214</v>
      </c>
      <c r="G2307" s="13" t="s">
        <v>92</v>
      </c>
      <c r="H2307">
        <v>145000</v>
      </c>
      <c r="I2307" s="13" t="s">
        <v>121</v>
      </c>
      <c r="J2307" s="13" t="s">
        <v>122</v>
      </c>
      <c r="K2307" s="13" t="s">
        <v>107</v>
      </c>
      <c r="L2307" s="13" t="s">
        <v>88</v>
      </c>
      <c r="M2307">
        <v>60</v>
      </c>
      <c r="N2307">
        <v>0</v>
      </c>
      <c r="O2307" s="14">
        <v>46022</v>
      </c>
      <c r="P2307" s="14">
        <v>46082</v>
      </c>
      <c r="Q2307">
        <v>8174.87</v>
      </c>
      <c r="R2307">
        <v>0</v>
      </c>
      <c r="S2307">
        <v>0</v>
      </c>
      <c r="T2307">
        <v>0</v>
      </c>
      <c r="U2307">
        <v>0</v>
      </c>
      <c r="V2307">
        <v>8174.87</v>
      </c>
      <c r="W2307">
        <v>0</v>
      </c>
      <c r="X2307">
        <v>1</v>
      </c>
      <c r="Y2307">
        <v>0</v>
      </c>
      <c r="Z2307">
        <v>-60</v>
      </c>
      <c r="AA2307">
        <v>1</v>
      </c>
      <c r="AB2307" s="13" t="s">
        <v>581</v>
      </c>
      <c r="AC2307">
        <v>0</v>
      </c>
      <c r="AD2307">
        <v>0</v>
      </c>
      <c r="AE2307" s="13" t="s">
        <v>61</v>
      </c>
    </row>
    <row r="2308" spans="1:31" x14ac:dyDescent="0.35">
      <c r="A2308" s="13" t="s">
        <v>3162</v>
      </c>
      <c r="B2308" s="13" t="s">
        <v>2985</v>
      </c>
      <c r="C2308" s="13" t="s">
        <v>2986</v>
      </c>
      <c r="D2308" s="13" t="s">
        <v>104</v>
      </c>
      <c r="E2308" s="13" t="s">
        <v>65</v>
      </c>
      <c r="F2308" s="13" t="s">
        <v>111</v>
      </c>
      <c r="G2308" s="13" t="s">
        <v>67</v>
      </c>
      <c r="H2308">
        <v>105000</v>
      </c>
      <c r="I2308" s="13" t="s">
        <v>105</v>
      </c>
      <c r="J2308" s="13" t="s">
        <v>106</v>
      </c>
      <c r="K2308" s="13" t="s">
        <v>107</v>
      </c>
      <c r="L2308" s="13" t="s">
        <v>82</v>
      </c>
      <c r="M2308">
        <v>30</v>
      </c>
      <c r="N2308">
        <v>2</v>
      </c>
      <c r="O2308" s="14">
        <v>46022</v>
      </c>
      <c r="P2308" s="14">
        <v>46052</v>
      </c>
      <c r="Q2308">
        <v>5228.5600000000004</v>
      </c>
      <c r="R2308">
        <v>0</v>
      </c>
      <c r="S2308">
        <v>0</v>
      </c>
      <c r="T2308">
        <v>0</v>
      </c>
      <c r="U2308">
        <v>0</v>
      </c>
      <c r="V2308">
        <v>5228.5600000000004</v>
      </c>
      <c r="W2308">
        <v>0</v>
      </c>
      <c r="X2308">
        <v>1</v>
      </c>
      <c r="Y2308">
        <v>0</v>
      </c>
      <c r="Z2308">
        <v>-30</v>
      </c>
      <c r="AA2308">
        <v>1</v>
      </c>
      <c r="AB2308" s="13" t="s">
        <v>581</v>
      </c>
      <c r="AC2308">
        <v>0</v>
      </c>
      <c r="AD2308">
        <v>0</v>
      </c>
      <c r="AE2308" s="13" t="s">
        <v>61</v>
      </c>
    </row>
    <row r="2309" spans="1:31" x14ac:dyDescent="0.35">
      <c r="A2309" s="13" t="s">
        <v>3163</v>
      </c>
      <c r="B2309" s="13" t="s">
        <v>2916</v>
      </c>
      <c r="C2309" s="13" t="s">
        <v>2917</v>
      </c>
      <c r="D2309" s="13" t="s">
        <v>76</v>
      </c>
      <c r="E2309" s="13" t="s">
        <v>99</v>
      </c>
      <c r="F2309" s="13" t="s">
        <v>127</v>
      </c>
      <c r="G2309" s="13" t="s">
        <v>67</v>
      </c>
      <c r="H2309">
        <v>85000</v>
      </c>
      <c r="I2309" s="13" t="s">
        <v>93</v>
      </c>
      <c r="J2309" s="13" t="s">
        <v>94</v>
      </c>
      <c r="K2309" s="13" t="s">
        <v>81</v>
      </c>
      <c r="L2309" s="13" t="s">
        <v>82</v>
      </c>
      <c r="M2309">
        <v>30</v>
      </c>
      <c r="N2309">
        <v>2</v>
      </c>
      <c r="O2309" s="14">
        <v>46022</v>
      </c>
      <c r="P2309" s="14">
        <v>46052</v>
      </c>
      <c r="Q2309">
        <v>503.4</v>
      </c>
      <c r="R2309">
        <v>0</v>
      </c>
      <c r="S2309">
        <v>0</v>
      </c>
      <c r="T2309">
        <v>0</v>
      </c>
      <c r="U2309">
        <v>0</v>
      </c>
      <c r="V2309">
        <v>503.4</v>
      </c>
      <c r="W2309">
        <v>0</v>
      </c>
      <c r="X2309">
        <v>1</v>
      </c>
      <c r="Y2309">
        <v>0</v>
      </c>
      <c r="Z2309">
        <v>-30</v>
      </c>
      <c r="AA2309">
        <v>1</v>
      </c>
      <c r="AB2309" s="13" t="s">
        <v>581</v>
      </c>
      <c r="AC2309">
        <v>0</v>
      </c>
      <c r="AD2309">
        <v>0</v>
      </c>
      <c r="AE2309" s="13" t="s">
        <v>61</v>
      </c>
    </row>
    <row r="2310" spans="1:31" x14ac:dyDescent="0.35">
      <c r="A2310" s="13" t="s">
        <v>3164</v>
      </c>
      <c r="B2310" s="13" t="s">
        <v>596</v>
      </c>
      <c r="C2310" s="13" t="s">
        <v>597</v>
      </c>
      <c r="D2310" s="13" t="s">
        <v>126</v>
      </c>
      <c r="E2310" s="13" t="s">
        <v>65</v>
      </c>
      <c r="F2310" s="13" t="s">
        <v>111</v>
      </c>
      <c r="G2310" s="13" t="s">
        <v>67</v>
      </c>
      <c r="H2310">
        <v>165000</v>
      </c>
      <c r="I2310" s="13" t="s">
        <v>56</v>
      </c>
      <c r="J2310" s="13" t="s">
        <v>57</v>
      </c>
      <c r="K2310" s="13" t="s">
        <v>58</v>
      </c>
      <c r="L2310" s="13" t="s">
        <v>88</v>
      </c>
      <c r="M2310">
        <v>60</v>
      </c>
      <c r="N2310">
        <v>0</v>
      </c>
      <c r="O2310" s="14">
        <v>46022</v>
      </c>
      <c r="P2310" s="14">
        <v>46082</v>
      </c>
      <c r="Q2310">
        <v>1114.52</v>
      </c>
      <c r="R2310">
        <v>0</v>
      </c>
      <c r="S2310">
        <v>0</v>
      </c>
      <c r="T2310">
        <v>0</v>
      </c>
      <c r="U2310">
        <v>0</v>
      </c>
      <c r="V2310">
        <v>1114.52</v>
      </c>
      <c r="W2310">
        <v>0</v>
      </c>
      <c r="X2310">
        <v>1</v>
      </c>
      <c r="Y2310">
        <v>0</v>
      </c>
      <c r="Z2310">
        <v>-60</v>
      </c>
      <c r="AA2310">
        <v>1</v>
      </c>
      <c r="AB2310" s="13" t="s">
        <v>581</v>
      </c>
      <c r="AC2310">
        <v>0</v>
      </c>
      <c r="AD2310">
        <v>0</v>
      </c>
      <c r="AE2310" s="13" t="s">
        <v>61</v>
      </c>
    </row>
    <row r="2311" spans="1:31" x14ac:dyDescent="0.35">
      <c r="A2311" s="13" t="s">
        <v>3165</v>
      </c>
      <c r="B2311" s="13" t="s">
        <v>247</v>
      </c>
      <c r="C2311" s="13" t="s">
        <v>248</v>
      </c>
      <c r="D2311" s="13" t="s">
        <v>104</v>
      </c>
      <c r="E2311" s="13" t="s">
        <v>65</v>
      </c>
      <c r="F2311" s="13" t="s">
        <v>111</v>
      </c>
      <c r="G2311" s="13" t="s">
        <v>55</v>
      </c>
      <c r="H2311">
        <v>105000</v>
      </c>
      <c r="I2311" s="13" t="s">
        <v>105</v>
      </c>
      <c r="J2311" s="13" t="s">
        <v>106</v>
      </c>
      <c r="K2311" s="13" t="s">
        <v>107</v>
      </c>
      <c r="L2311" s="13" t="s">
        <v>82</v>
      </c>
      <c r="M2311">
        <v>30</v>
      </c>
      <c r="N2311">
        <v>2</v>
      </c>
      <c r="O2311" s="14">
        <v>46022</v>
      </c>
      <c r="P2311" s="14">
        <v>46052</v>
      </c>
      <c r="Q2311">
        <v>2058.54</v>
      </c>
      <c r="R2311">
        <v>0</v>
      </c>
      <c r="S2311">
        <v>0</v>
      </c>
      <c r="T2311">
        <v>0</v>
      </c>
      <c r="U2311">
        <v>0</v>
      </c>
      <c r="V2311">
        <v>2058.54</v>
      </c>
      <c r="W2311">
        <v>0</v>
      </c>
      <c r="X2311">
        <v>1</v>
      </c>
      <c r="Y2311">
        <v>0</v>
      </c>
      <c r="Z2311">
        <v>-30</v>
      </c>
      <c r="AA2311">
        <v>1</v>
      </c>
      <c r="AB2311" s="13" t="s">
        <v>581</v>
      </c>
      <c r="AC2311">
        <v>0</v>
      </c>
      <c r="AD2311">
        <v>0</v>
      </c>
      <c r="AE2311" s="13" t="s">
        <v>61</v>
      </c>
    </row>
    <row r="2312" spans="1:31" x14ac:dyDescent="0.35">
      <c r="A2312" s="13" t="s">
        <v>3166</v>
      </c>
      <c r="B2312" s="13" t="s">
        <v>1201</v>
      </c>
      <c r="C2312" s="13" t="s">
        <v>1202</v>
      </c>
      <c r="D2312" s="13" t="s">
        <v>126</v>
      </c>
      <c r="E2312" s="13" t="s">
        <v>99</v>
      </c>
      <c r="F2312" s="13" t="s">
        <v>100</v>
      </c>
      <c r="G2312" s="13" t="s">
        <v>67</v>
      </c>
      <c r="H2312">
        <v>175000</v>
      </c>
      <c r="I2312" s="13" t="s">
        <v>86</v>
      </c>
      <c r="J2312" s="13" t="s">
        <v>87</v>
      </c>
      <c r="K2312" s="13" t="s">
        <v>58</v>
      </c>
      <c r="L2312" s="13" t="s">
        <v>88</v>
      </c>
      <c r="M2312">
        <v>60</v>
      </c>
      <c r="N2312">
        <v>0</v>
      </c>
      <c r="O2312" s="14">
        <v>46022</v>
      </c>
      <c r="P2312" s="14">
        <v>46082</v>
      </c>
      <c r="Q2312">
        <v>7626.28</v>
      </c>
      <c r="R2312">
        <v>0</v>
      </c>
      <c r="S2312">
        <v>0</v>
      </c>
      <c r="T2312">
        <v>0</v>
      </c>
      <c r="U2312">
        <v>0</v>
      </c>
      <c r="V2312">
        <v>7626.28</v>
      </c>
      <c r="W2312">
        <v>0</v>
      </c>
      <c r="X2312">
        <v>1</v>
      </c>
      <c r="Y2312">
        <v>0</v>
      </c>
      <c r="Z2312">
        <v>-60</v>
      </c>
      <c r="AA2312">
        <v>1</v>
      </c>
      <c r="AB2312" s="13" t="s">
        <v>581</v>
      </c>
      <c r="AC2312">
        <v>0</v>
      </c>
      <c r="AD2312">
        <v>0</v>
      </c>
      <c r="AE2312" s="13" t="s">
        <v>61</v>
      </c>
    </row>
    <row r="2313" spans="1:31" x14ac:dyDescent="0.35">
      <c r="A2313" s="13" t="s">
        <v>3167</v>
      </c>
      <c r="B2313" s="13" t="s">
        <v>539</v>
      </c>
      <c r="C2313" s="13" t="s">
        <v>540</v>
      </c>
      <c r="D2313" s="13" t="s">
        <v>52</v>
      </c>
      <c r="E2313" s="13" t="s">
        <v>65</v>
      </c>
      <c r="F2313" s="13" t="s">
        <v>66</v>
      </c>
      <c r="G2313" s="13" t="s">
        <v>67</v>
      </c>
      <c r="H2313">
        <v>435000</v>
      </c>
      <c r="I2313" s="13" t="s">
        <v>56</v>
      </c>
      <c r="J2313" s="13" t="s">
        <v>57</v>
      </c>
      <c r="K2313" s="13" t="s">
        <v>58</v>
      </c>
      <c r="L2313" s="13" t="s">
        <v>59</v>
      </c>
      <c r="M2313">
        <v>45</v>
      </c>
      <c r="N2313">
        <v>0</v>
      </c>
      <c r="O2313" s="14">
        <v>46022</v>
      </c>
      <c r="P2313" s="14">
        <v>46067</v>
      </c>
      <c r="Q2313">
        <v>8119.06</v>
      </c>
      <c r="R2313">
        <v>0</v>
      </c>
      <c r="S2313">
        <v>0</v>
      </c>
      <c r="T2313">
        <v>0</v>
      </c>
      <c r="U2313">
        <v>0</v>
      </c>
      <c r="V2313">
        <v>8119.06</v>
      </c>
      <c r="W2313">
        <v>0</v>
      </c>
      <c r="X2313">
        <v>1</v>
      </c>
      <c r="Y2313">
        <v>0</v>
      </c>
      <c r="Z2313">
        <v>-45</v>
      </c>
      <c r="AA2313">
        <v>1</v>
      </c>
      <c r="AB2313" s="13" t="s">
        <v>581</v>
      </c>
      <c r="AC2313">
        <v>0</v>
      </c>
      <c r="AD2313">
        <v>0</v>
      </c>
      <c r="AE2313" s="13" t="s">
        <v>61</v>
      </c>
    </row>
    <row r="2314" spans="1:31" x14ac:dyDescent="0.35">
      <c r="A2314" s="13" t="s">
        <v>3168</v>
      </c>
      <c r="B2314" s="13" t="s">
        <v>1251</v>
      </c>
      <c r="C2314" s="13" t="s">
        <v>1252</v>
      </c>
      <c r="D2314" s="13" t="s">
        <v>76</v>
      </c>
      <c r="E2314" s="13" t="s">
        <v>71</v>
      </c>
      <c r="F2314" s="13" t="s">
        <v>72</v>
      </c>
      <c r="G2314" s="13" t="s">
        <v>92</v>
      </c>
      <c r="H2314">
        <v>110000</v>
      </c>
      <c r="I2314" s="13" t="s">
        <v>93</v>
      </c>
      <c r="J2314" s="13" t="s">
        <v>94</v>
      </c>
      <c r="K2314" s="13" t="s">
        <v>81</v>
      </c>
      <c r="L2314" s="13" t="s">
        <v>95</v>
      </c>
      <c r="M2314">
        <v>30</v>
      </c>
      <c r="N2314">
        <v>0</v>
      </c>
      <c r="O2314" s="14">
        <v>46022</v>
      </c>
      <c r="P2314" s="14">
        <v>46052</v>
      </c>
      <c r="Q2314">
        <v>2830.42</v>
      </c>
      <c r="R2314">
        <v>0</v>
      </c>
      <c r="S2314">
        <v>0</v>
      </c>
      <c r="T2314">
        <v>0</v>
      </c>
      <c r="U2314">
        <v>0</v>
      </c>
      <c r="V2314">
        <v>2830.42</v>
      </c>
      <c r="W2314">
        <v>0</v>
      </c>
      <c r="X2314">
        <v>1</v>
      </c>
      <c r="Y2314">
        <v>0</v>
      </c>
      <c r="Z2314">
        <v>-30</v>
      </c>
      <c r="AA2314">
        <v>1</v>
      </c>
      <c r="AB2314" s="13" t="s">
        <v>581</v>
      </c>
      <c r="AC2314">
        <v>0</v>
      </c>
      <c r="AD2314">
        <v>0</v>
      </c>
      <c r="AE2314" s="13" t="s">
        <v>61</v>
      </c>
    </row>
    <row r="2315" spans="1:31" x14ac:dyDescent="0.35">
      <c r="A2315" s="13" t="s">
        <v>3169</v>
      </c>
      <c r="B2315" s="13" t="s">
        <v>2642</v>
      </c>
      <c r="C2315" s="13" t="s">
        <v>2643</v>
      </c>
      <c r="D2315" s="13" t="s">
        <v>76</v>
      </c>
      <c r="E2315" s="13" t="s">
        <v>71</v>
      </c>
      <c r="F2315" s="13" t="s">
        <v>214</v>
      </c>
      <c r="G2315" s="13" t="s">
        <v>92</v>
      </c>
      <c r="H2315">
        <v>45000</v>
      </c>
      <c r="I2315" s="13" t="s">
        <v>93</v>
      </c>
      <c r="J2315" s="13" t="s">
        <v>94</v>
      </c>
      <c r="K2315" s="13" t="s">
        <v>81</v>
      </c>
      <c r="L2315" s="13" t="s">
        <v>95</v>
      </c>
      <c r="M2315">
        <v>30</v>
      </c>
      <c r="N2315">
        <v>0</v>
      </c>
      <c r="O2315" s="14">
        <v>46022</v>
      </c>
      <c r="P2315" s="14">
        <v>46052</v>
      </c>
      <c r="Q2315">
        <v>1701.67</v>
      </c>
      <c r="R2315">
        <v>0</v>
      </c>
      <c r="S2315">
        <v>0</v>
      </c>
      <c r="T2315">
        <v>0</v>
      </c>
      <c r="U2315">
        <v>0</v>
      </c>
      <c r="V2315">
        <v>1701.67</v>
      </c>
      <c r="W2315">
        <v>0</v>
      </c>
      <c r="X2315">
        <v>1</v>
      </c>
      <c r="Y2315">
        <v>0</v>
      </c>
      <c r="Z2315">
        <v>-30</v>
      </c>
      <c r="AA2315">
        <v>1</v>
      </c>
      <c r="AB2315" s="13" t="s">
        <v>581</v>
      </c>
      <c r="AC2315">
        <v>0</v>
      </c>
      <c r="AD2315">
        <v>0</v>
      </c>
      <c r="AE2315" s="13" t="s">
        <v>61</v>
      </c>
    </row>
    <row r="2316" spans="1:31" x14ac:dyDescent="0.35">
      <c r="A2316" s="13" t="s">
        <v>3170</v>
      </c>
      <c r="B2316" s="13" t="s">
        <v>1001</v>
      </c>
      <c r="C2316" s="13" t="s">
        <v>1002</v>
      </c>
      <c r="D2316" s="13" t="s">
        <v>76</v>
      </c>
      <c r="E2316" s="13" t="s">
        <v>99</v>
      </c>
      <c r="F2316" s="13" t="s">
        <v>127</v>
      </c>
      <c r="G2316" s="13" t="s">
        <v>55</v>
      </c>
      <c r="H2316">
        <v>90000</v>
      </c>
      <c r="I2316" s="13" t="s">
        <v>93</v>
      </c>
      <c r="J2316" s="13" t="s">
        <v>94</v>
      </c>
      <c r="K2316" s="13" t="s">
        <v>81</v>
      </c>
      <c r="L2316" s="13" t="s">
        <v>95</v>
      </c>
      <c r="M2316">
        <v>30</v>
      </c>
      <c r="N2316">
        <v>0</v>
      </c>
      <c r="O2316" s="14">
        <v>46022</v>
      </c>
      <c r="P2316" s="14">
        <v>46052</v>
      </c>
      <c r="Q2316">
        <v>478.58</v>
      </c>
      <c r="R2316">
        <v>0</v>
      </c>
      <c r="S2316">
        <v>0</v>
      </c>
      <c r="T2316">
        <v>0</v>
      </c>
      <c r="U2316">
        <v>0</v>
      </c>
      <c r="V2316">
        <v>478.58</v>
      </c>
      <c r="W2316">
        <v>0</v>
      </c>
      <c r="X2316">
        <v>1</v>
      </c>
      <c r="Y2316">
        <v>0</v>
      </c>
      <c r="Z2316">
        <v>-30</v>
      </c>
      <c r="AA2316">
        <v>1</v>
      </c>
      <c r="AB2316" s="13" t="s">
        <v>581</v>
      </c>
      <c r="AC2316">
        <v>0</v>
      </c>
      <c r="AD2316">
        <v>0</v>
      </c>
      <c r="AE2316" s="13" t="s">
        <v>61</v>
      </c>
    </row>
    <row r="2317" spans="1:31" x14ac:dyDescent="0.35">
      <c r="A2317" s="13" t="s">
        <v>3171</v>
      </c>
      <c r="B2317" s="13" t="s">
        <v>2138</v>
      </c>
      <c r="C2317" s="13" t="s">
        <v>2139</v>
      </c>
      <c r="D2317" s="13" t="s">
        <v>76</v>
      </c>
      <c r="E2317" s="13" t="s">
        <v>53</v>
      </c>
      <c r="F2317" s="13" t="s">
        <v>135</v>
      </c>
      <c r="G2317" s="13" t="s">
        <v>55</v>
      </c>
      <c r="H2317">
        <v>105000</v>
      </c>
      <c r="I2317" s="13" t="s">
        <v>79</v>
      </c>
      <c r="J2317" s="13" t="s">
        <v>80</v>
      </c>
      <c r="K2317" s="13" t="s">
        <v>81</v>
      </c>
      <c r="L2317" s="13" t="s">
        <v>95</v>
      </c>
      <c r="M2317">
        <v>30</v>
      </c>
      <c r="N2317">
        <v>0</v>
      </c>
      <c r="O2317" s="14">
        <v>46022</v>
      </c>
      <c r="P2317" s="14">
        <v>46052</v>
      </c>
      <c r="Q2317">
        <v>1222.5999999999999</v>
      </c>
      <c r="R2317">
        <v>0</v>
      </c>
      <c r="S2317">
        <v>0</v>
      </c>
      <c r="T2317">
        <v>0</v>
      </c>
      <c r="U2317">
        <v>0</v>
      </c>
      <c r="V2317">
        <v>1222.5999999999999</v>
      </c>
      <c r="W2317">
        <v>0</v>
      </c>
      <c r="X2317">
        <v>1</v>
      </c>
      <c r="Y2317">
        <v>0</v>
      </c>
      <c r="Z2317">
        <v>-30</v>
      </c>
      <c r="AA2317">
        <v>1</v>
      </c>
      <c r="AB2317" s="13" t="s">
        <v>581</v>
      </c>
      <c r="AC2317">
        <v>0</v>
      </c>
      <c r="AD2317">
        <v>0</v>
      </c>
      <c r="AE2317" s="13" t="s">
        <v>61</v>
      </c>
    </row>
    <row r="2318" spans="1:31" x14ac:dyDescent="0.35">
      <c r="A2318" s="13" t="s">
        <v>3172</v>
      </c>
      <c r="B2318" s="13" t="s">
        <v>1430</v>
      </c>
      <c r="C2318" s="13" t="s">
        <v>1431</v>
      </c>
      <c r="D2318" s="13" t="s">
        <v>76</v>
      </c>
      <c r="E2318" s="13" t="s">
        <v>65</v>
      </c>
      <c r="F2318" s="13" t="s">
        <v>66</v>
      </c>
      <c r="G2318" s="13" t="s">
        <v>55</v>
      </c>
      <c r="H2318">
        <v>85000</v>
      </c>
      <c r="I2318" s="13" t="s">
        <v>93</v>
      </c>
      <c r="J2318" s="13" t="s">
        <v>94</v>
      </c>
      <c r="K2318" s="13" t="s">
        <v>81</v>
      </c>
      <c r="L2318" s="13" t="s">
        <v>95</v>
      </c>
      <c r="M2318">
        <v>30</v>
      </c>
      <c r="N2318">
        <v>0</v>
      </c>
      <c r="O2318" s="14">
        <v>46022</v>
      </c>
      <c r="P2318" s="14">
        <v>46052</v>
      </c>
      <c r="Q2318">
        <v>1633.14</v>
      </c>
      <c r="R2318">
        <v>0</v>
      </c>
      <c r="S2318">
        <v>0</v>
      </c>
      <c r="T2318">
        <v>0</v>
      </c>
      <c r="U2318">
        <v>0</v>
      </c>
      <c r="V2318">
        <v>1633.14</v>
      </c>
      <c r="W2318">
        <v>0</v>
      </c>
      <c r="X2318">
        <v>1</v>
      </c>
      <c r="Y2318">
        <v>0</v>
      </c>
      <c r="Z2318">
        <v>-30</v>
      </c>
      <c r="AA2318">
        <v>1</v>
      </c>
      <c r="AB2318" s="13" t="s">
        <v>581</v>
      </c>
      <c r="AC2318">
        <v>0</v>
      </c>
      <c r="AD2318">
        <v>0</v>
      </c>
      <c r="AE2318" s="13" t="s">
        <v>61</v>
      </c>
    </row>
    <row r="2319" spans="1:31" x14ac:dyDescent="0.35">
      <c r="A2319" s="13" t="s">
        <v>3173</v>
      </c>
      <c r="B2319" s="13" t="s">
        <v>238</v>
      </c>
      <c r="C2319" s="13" t="s">
        <v>239</v>
      </c>
      <c r="D2319" s="13" t="s">
        <v>76</v>
      </c>
      <c r="E2319" s="13" t="s">
        <v>71</v>
      </c>
      <c r="F2319" s="13" t="s">
        <v>214</v>
      </c>
      <c r="G2319" s="13" t="s">
        <v>92</v>
      </c>
      <c r="H2319">
        <v>100000</v>
      </c>
      <c r="I2319" s="13" t="s">
        <v>93</v>
      </c>
      <c r="J2319" s="13" t="s">
        <v>94</v>
      </c>
      <c r="K2319" s="13" t="s">
        <v>81</v>
      </c>
      <c r="L2319" s="13" t="s">
        <v>95</v>
      </c>
      <c r="M2319">
        <v>30</v>
      </c>
      <c r="N2319">
        <v>0</v>
      </c>
      <c r="O2319" s="14">
        <v>46022</v>
      </c>
      <c r="P2319" s="14">
        <v>46052</v>
      </c>
      <c r="Q2319">
        <v>675.52</v>
      </c>
      <c r="R2319">
        <v>0</v>
      </c>
      <c r="S2319">
        <v>0</v>
      </c>
      <c r="T2319">
        <v>0</v>
      </c>
      <c r="U2319">
        <v>0</v>
      </c>
      <c r="V2319">
        <v>675.52</v>
      </c>
      <c r="W2319">
        <v>0</v>
      </c>
      <c r="X2319">
        <v>1</v>
      </c>
      <c r="Y2319">
        <v>0</v>
      </c>
      <c r="Z2319">
        <v>-30</v>
      </c>
      <c r="AA2319">
        <v>1</v>
      </c>
      <c r="AB2319" s="13" t="s">
        <v>581</v>
      </c>
      <c r="AC2319">
        <v>0</v>
      </c>
      <c r="AD2319">
        <v>0</v>
      </c>
      <c r="AE2319" s="13" t="s">
        <v>61</v>
      </c>
    </row>
    <row r="2320" spans="1:31" x14ac:dyDescent="0.35">
      <c r="A2320" s="13" t="s">
        <v>3174</v>
      </c>
      <c r="B2320" s="13" t="s">
        <v>481</v>
      </c>
      <c r="C2320" s="13" t="s">
        <v>482</v>
      </c>
      <c r="D2320" s="13" t="s">
        <v>76</v>
      </c>
      <c r="E2320" s="13" t="s">
        <v>53</v>
      </c>
      <c r="F2320" s="13" t="s">
        <v>54</v>
      </c>
      <c r="G2320" s="13" t="s">
        <v>67</v>
      </c>
      <c r="H2320">
        <v>60000</v>
      </c>
      <c r="I2320" s="13" t="s">
        <v>79</v>
      </c>
      <c r="J2320" s="13" t="s">
        <v>80</v>
      </c>
      <c r="K2320" s="13" t="s">
        <v>81</v>
      </c>
      <c r="L2320" s="13" t="s">
        <v>95</v>
      </c>
      <c r="M2320">
        <v>30</v>
      </c>
      <c r="N2320">
        <v>0</v>
      </c>
      <c r="O2320" s="14">
        <v>46022</v>
      </c>
      <c r="P2320" s="14">
        <v>46052</v>
      </c>
      <c r="Q2320">
        <v>518.16999999999996</v>
      </c>
      <c r="R2320">
        <v>0</v>
      </c>
      <c r="S2320">
        <v>0</v>
      </c>
      <c r="T2320">
        <v>0</v>
      </c>
      <c r="U2320">
        <v>0</v>
      </c>
      <c r="V2320">
        <v>518.16999999999996</v>
      </c>
      <c r="W2320">
        <v>0</v>
      </c>
      <c r="X2320">
        <v>1</v>
      </c>
      <c r="Y2320">
        <v>0</v>
      </c>
      <c r="Z2320">
        <v>-30</v>
      </c>
      <c r="AA2320">
        <v>1</v>
      </c>
      <c r="AB2320" s="13" t="s">
        <v>581</v>
      </c>
      <c r="AC2320">
        <v>0</v>
      </c>
      <c r="AD2320">
        <v>0</v>
      </c>
      <c r="AE2320" s="13" t="s">
        <v>61</v>
      </c>
    </row>
    <row r="2321" spans="1:31" x14ac:dyDescent="0.35">
      <c r="A2321" s="13" t="s">
        <v>3175</v>
      </c>
      <c r="B2321" s="13" t="s">
        <v>1665</v>
      </c>
      <c r="C2321" s="13" t="s">
        <v>1666</v>
      </c>
      <c r="D2321" s="13" t="s">
        <v>76</v>
      </c>
      <c r="E2321" s="13" t="s">
        <v>77</v>
      </c>
      <c r="F2321" s="13" t="s">
        <v>78</v>
      </c>
      <c r="G2321" s="13" t="s">
        <v>55</v>
      </c>
      <c r="H2321">
        <v>65000</v>
      </c>
      <c r="I2321" s="13" t="s">
        <v>93</v>
      </c>
      <c r="J2321" s="13" t="s">
        <v>94</v>
      </c>
      <c r="K2321" s="13" t="s">
        <v>81</v>
      </c>
      <c r="L2321" s="13" t="s">
        <v>95</v>
      </c>
      <c r="M2321">
        <v>30</v>
      </c>
      <c r="N2321">
        <v>0</v>
      </c>
      <c r="O2321" s="14">
        <v>46022</v>
      </c>
      <c r="P2321" s="14">
        <v>46052</v>
      </c>
      <c r="Q2321">
        <v>450.06</v>
      </c>
      <c r="R2321">
        <v>0</v>
      </c>
      <c r="S2321">
        <v>0</v>
      </c>
      <c r="T2321">
        <v>0</v>
      </c>
      <c r="U2321">
        <v>0</v>
      </c>
      <c r="V2321">
        <v>450.06</v>
      </c>
      <c r="W2321">
        <v>0</v>
      </c>
      <c r="X2321">
        <v>1</v>
      </c>
      <c r="Y2321">
        <v>0</v>
      </c>
      <c r="Z2321">
        <v>-30</v>
      </c>
      <c r="AA2321">
        <v>1</v>
      </c>
      <c r="AB2321" s="13" t="s">
        <v>581</v>
      </c>
      <c r="AC2321">
        <v>0</v>
      </c>
      <c r="AD2321">
        <v>0</v>
      </c>
      <c r="AE2321" s="13" t="s">
        <v>61</v>
      </c>
    </row>
    <row r="2322" spans="1:31" x14ac:dyDescent="0.35">
      <c r="A2322" s="13" t="s">
        <v>3176</v>
      </c>
      <c r="B2322" s="13" t="s">
        <v>2084</v>
      </c>
      <c r="C2322" s="13" t="s">
        <v>2085</v>
      </c>
      <c r="D2322" s="13" t="s">
        <v>76</v>
      </c>
      <c r="E2322" s="13" t="s">
        <v>65</v>
      </c>
      <c r="F2322" s="13" t="s">
        <v>66</v>
      </c>
      <c r="G2322" s="13" t="s">
        <v>67</v>
      </c>
      <c r="H2322">
        <v>60000</v>
      </c>
      <c r="I2322" s="13" t="s">
        <v>93</v>
      </c>
      <c r="J2322" s="13" t="s">
        <v>94</v>
      </c>
      <c r="K2322" s="13" t="s">
        <v>81</v>
      </c>
      <c r="L2322" s="13" t="s">
        <v>95</v>
      </c>
      <c r="M2322">
        <v>30</v>
      </c>
      <c r="N2322">
        <v>0</v>
      </c>
      <c r="O2322" s="14">
        <v>46022</v>
      </c>
      <c r="P2322" s="14">
        <v>46052</v>
      </c>
      <c r="Q2322">
        <v>875.41</v>
      </c>
      <c r="R2322">
        <v>0</v>
      </c>
      <c r="S2322">
        <v>0</v>
      </c>
      <c r="T2322">
        <v>0</v>
      </c>
      <c r="U2322">
        <v>0</v>
      </c>
      <c r="V2322">
        <v>875.41</v>
      </c>
      <c r="W2322">
        <v>0</v>
      </c>
      <c r="X2322">
        <v>1</v>
      </c>
      <c r="Y2322">
        <v>0</v>
      </c>
      <c r="Z2322">
        <v>-30</v>
      </c>
      <c r="AA2322">
        <v>1</v>
      </c>
      <c r="AB2322" s="13" t="s">
        <v>581</v>
      </c>
      <c r="AC2322">
        <v>0</v>
      </c>
      <c r="AD2322">
        <v>0</v>
      </c>
      <c r="AE2322" s="13" t="s">
        <v>61</v>
      </c>
    </row>
    <row r="2323" spans="1:31" x14ac:dyDescent="0.35">
      <c r="A2323" s="13" t="s">
        <v>3177</v>
      </c>
      <c r="B2323" s="13" t="s">
        <v>601</v>
      </c>
      <c r="C2323" s="13" t="s">
        <v>602</v>
      </c>
      <c r="D2323" s="13" t="s">
        <v>52</v>
      </c>
      <c r="E2323" s="13" t="s">
        <v>53</v>
      </c>
      <c r="F2323" s="13" t="s">
        <v>135</v>
      </c>
      <c r="G2323" s="13" t="s">
        <v>67</v>
      </c>
      <c r="H2323">
        <v>525000</v>
      </c>
      <c r="I2323" s="13" t="s">
        <v>86</v>
      </c>
      <c r="J2323" s="13" t="s">
        <v>87</v>
      </c>
      <c r="K2323" s="13" t="s">
        <v>58</v>
      </c>
      <c r="L2323" s="13" t="s">
        <v>59</v>
      </c>
      <c r="M2323">
        <v>45</v>
      </c>
      <c r="N2323">
        <v>0</v>
      </c>
      <c r="O2323" s="14">
        <v>46022</v>
      </c>
      <c r="P2323" s="14">
        <v>46067</v>
      </c>
      <c r="Q2323">
        <v>9088.01</v>
      </c>
      <c r="R2323">
        <v>0</v>
      </c>
      <c r="S2323">
        <v>0</v>
      </c>
      <c r="T2323">
        <v>0</v>
      </c>
      <c r="U2323">
        <v>0</v>
      </c>
      <c r="V2323">
        <v>9088.01</v>
      </c>
      <c r="W2323">
        <v>0</v>
      </c>
      <c r="X2323">
        <v>1</v>
      </c>
      <c r="Y2323">
        <v>0</v>
      </c>
      <c r="Z2323">
        <v>-45</v>
      </c>
      <c r="AA2323">
        <v>1</v>
      </c>
      <c r="AB2323" s="13" t="s">
        <v>581</v>
      </c>
      <c r="AC2323">
        <v>0</v>
      </c>
      <c r="AD2323">
        <v>0</v>
      </c>
      <c r="AE2323" s="13" t="s">
        <v>61</v>
      </c>
    </row>
    <row r="2324" spans="1:31" x14ac:dyDescent="0.35">
      <c r="A2324" s="13" t="s">
        <v>3178</v>
      </c>
      <c r="B2324" s="13" t="s">
        <v>890</v>
      </c>
      <c r="C2324" s="13" t="s">
        <v>891</v>
      </c>
      <c r="D2324" s="13" t="s">
        <v>76</v>
      </c>
      <c r="E2324" s="13" t="s">
        <v>99</v>
      </c>
      <c r="F2324" s="13" t="s">
        <v>100</v>
      </c>
      <c r="G2324" s="13" t="s">
        <v>67</v>
      </c>
      <c r="H2324">
        <v>110000</v>
      </c>
      <c r="I2324" s="13" t="s">
        <v>79</v>
      </c>
      <c r="J2324" s="13" t="s">
        <v>80</v>
      </c>
      <c r="K2324" s="13" t="s">
        <v>81</v>
      </c>
      <c r="L2324" s="13" t="s">
        <v>95</v>
      </c>
      <c r="M2324">
        <v>30</v>
      </c>
      <c r="N2324">
        <v>0</v>
      </c>
      <c r="O2324" s="14">
        <v>46022</v>
      </c>
      <c r="P2324" s="14">
        <v>46052</v>
      </c>
      <c r="Q2324">
        <v>2404.8200000000002</v>
      </c>
      <c r="R2324">
        <v>0</v>
      </c>
      <c r="S2324">
        <v>0</v>
      </c>
      <c r="T2324">
        <v>0</v>
      </c>
      <c r="U2324">
        <v>0</v>
      </c>
      <c r="V2324">
        <v>2404.8200000000002</v>
      </c>
      <c r="W2324">
        <v>0</v>
      </c>
      <c r="X2324">
        <v>1</v>
      </c>
      <c r="Y2324">
        <v>0</v>
      </c>
      <c r="Z2324">
        <v>-30</v>
      </c>
      <c r="AA2324">
        <v>1</v>
      </c>
      <c r="AB2324" s="13" t="s">
        <v>581</v>
      </c>
      <c r="AC2324">
        <v>0</v>
      </c>
      <c r="AD2324">
        <v>0</v>
      </c>
      <c r="AE2324" s="13" t="s">
        <v>61</v>
      </c>
    </row>
    <row r="2325" spans="1:31" x14ac:dyDescent="0.35">
      <c r="A2325" s="13" t="s">
        <v>3179</v>
      </c>
      <c r="B2325" s="13" t="s">
        <v>144</v>
      </c>
      <c r="C2325" s="13" t="s">
        <v>145</v>
      </c>
      <c r="D2325" s="13" t="s">
        <v>52</v>
      </c>
      <c r="E2325" s="13" t="s">
        <v>99</v>
      </c>
      <c r="F2325" s="13" t="s">
        <v>100</v>
      </c>
      <c r="G2325" s="13" t="s">
        <v>55</v>
      </c>
      <c r="H2325">
        <v>590000</v>
      </c>
      <c r="I2325" s="13" t="s">
        <v>56</v>
      </c>
      <c r="J2325" s="13" t="s">
        <v>57</v>
      </c>
      <c r="K2325" s="13" t="s">
        <v>58</v>
      </c>
      <c r="L2325" s="13" t="s">
        <v>88</v>
      </c>
      <c r="M2325">
        <v>60</v>
      </c>
      <c r="N2325">
        <v>0</v>
      </c>
      <c r="O2325" s="14">
        <v>46022</v>
      </c>
      <c r="P2325" s="14">
        <v>46082</v>
      </c>
      <c r="Q2325">
        <v>1920.2</v>
      </c>
      <c r="R2325">
        <v>0</v>
      </c>
      <c r="S2325">
        <v>0</v>
      </c>
      <c r="T2325">
        <v>0</v>
      </c>
      <c r="U2325">
        <v>0</v>
      </c>
      <c r="V2325">
        <v>1920.2</v>
      </c>
      <c r="W2325">
        <v>0</v>
      </c>
      <c r="X2325">
        <v>1</v>
      </c>
      <c r="Y2325">
        <v>0</v>
      </c>
      <c r="Z2325">
        <v>-60</v>
      </c>
      <c r="AA2325">
        <v>1</v>
      </c>
      <c r="AB2325" s="13" t="s">
        <v>581</v>
      </c>
      <c r="AC2325">
        <v>0</v>
      </c>
      <c r="AD2325">
        <v>0</v>
      </c>
      <c r="AE2325" s="13" t="s">
        <v>61</v>
      </c>
    </row>
    <row r="2326" spans="1:31" x14ac:dyDescent="0.35">
      <c r="A2326" s="13" t="s">
        <v>3180</v>
      </c>
      <c r="B2326" s="13" t="s">
        <v>2087</v>
      </c>
      <c r="C2326" s="13" t="s">
        <v>2088</v>
      </c>
      <c r="D2326" s="13" t="s">
        <v>104</v>
      </c>
      <c r="E2326" s="13" t="s">
        <v>53</v>
      </c>
      <c r="F2326" s="13" t="s">
        <v>135</v>
      </c>
      <c r="G2326" s="13" t="s">
        <v>55</v>
      </c>
      <c r="H2326">
        <v>75000</v>
      </c>
      <c r="I2326" s="13" t="s">
        <v>105</v>
      </c>
      <c r="J2326" s="13" t="s">
        <v>106</v>
      </c>
      <c r="K2326" s="13" t="s">
        <v>107</v>
      </c>
      <c r="L2326" s="13" t="s">
        <v>82</v>
      </c>
      <c r="M2326">
        <v>30</v>
      </c>
      <c r="N2326">
        <v>2</v>
      </c>
      <c r="O2326" s="14">
        <v>46022</v>
      </c>
      <c r="P2326" s="14">
        <v>46052</v>
      </c>
      <c r="Q2326">
        <v>2320.5100000000002</v>
      </c>
      <c r="R2326">
        <v>0</v>
      </c>
      <c r="S2326">
        <v>0</v>
      </c>
      <c r="T2326">
        <v>0</v>
      </c>
      <c r="U2326">
        <v>0</v>
      </c>
      <c r="V2326">
        <v>2320.5100000000002</v>
      </c>
      <c r="W2326">
        <v>0</v>
      </c>
      <c r="X2326">
        <v>1</v>
      </c>
      <c r="Y2326">
        <v>0</v>
      </c>
      <c r="Z2326">
        <v>-30</v>
      </c>
      <c r="AA2326">
        <v>1</v>
      </c>
      <c r="AB2326" s="13" t="s">
        <v>581</v>
      </c>
      <c r="AC2326">
        <v>0</v>
      </c>
      <c r="AD2326">
        <v>0</v>
      </c>
      <c r="AE2326" s="13" t="s">
        <v>61</v>
      </c>
    </row>
    <row r="2327" spans="1:31" x14ac:dyDescent="0.35">
      <c r="A2327" s="13" t="s">
        <v>3181</v>
      </c>
      <c r="B2327" s="13" t="s">
        <v>147</v>
      </c>
      <c r="C2327" s="13" t="s">
        <v>148</v>
      </c>
      <c r="D2327" s="13" t="s">
        <v>104</v>
      </c>
      <c r="E2327" s="13" t="s">
        <v>53</v>
      </c>
      <c r="F2327" s="13" t="s">
        <v>54</v>
      </c>
      <c r="G2327" s="13" t="s">
        <v>67</v>
      </c>
      <c r="H2327">
        <v>80000</v>
      </c>
      <c r="I2327" s="13" t="s">
        <v>105</v>
      </c>
      <c r="J2327" s="13" t="s">
        <v>106</v>
      </c>
      <c r="K2327" s="13" t="s">
        <v>107</v>
      </c>
      <c r="L2327" s="13" t="s">
        <v>88</v>
      </c>
      <c r="M2327">
        <v>60</v>
      </c>
      <c r="N2327">
        <v>0</v>
      </c>
      <c r="O2327" s="14">
        <v>46022</v>
      </c>
      <c r="P2327" s="14">
        <v>46082</v>
      </c>
      <c r="Q2327">
        <v>3454.45</v>
      </c>
      <c r="R2327">
        <v>0</v>
      </c>
      <c r="S2327">
        <v>0</v>
      </c>
      <c r="T2327">
        <v>0</v>
      </c>
      <c r="U2327">
        <v>0</v>
      </c>
      <c r="V2327">
        <v>3454.45</v>
      </c>
      <c r="W2327">
        <v>0</v>
      </c>
      <c r="X2327">
        <v>1</v>
      </c>
      <c r="Y2327">
        <v>0</v>
      </c>
      <c r="Z2327">
        <v>-60</v>
      </c>
      <c r="AA2327">
        <v>1</v>
      </c>
      <c r="AB2327" s="13" t="s">
        <v>581</v>
      </c>
      <c r="AC2327">
        <v>0</v>
      </c>
      <c r="AD2327">
        <v>0</v>
      </c>
      <c r="AE2327" s="13" t="s">
        <v>61</v>
      </c>
    </row>
    <row r="2328" spans="1:31" x14ac:dyDescent="0.35">
      <c r="A2328" s="13" t="s">
        <v>3182</v>
      </c>
      <c r="B2328" s="13" t="s">
        <v>784</v>
      </c>
      <c r="C2328" s="13" t="s">
        <v>785</v>
      </c>
      <c r="D2328" s="13" t="s">
        <v>104</v>
      </c>
      <c r="E2328" s="13" t="s">
        <v>65</v>
      </c>
      <c r="F2328" s="13" t="s">
        <v>66</v>
      </c>
      <c r="G2328" s="13" t="s">
        <v>55</v>
      </c>
      <c r="H2328">
        <v>110000</v>
      </c>
      <c r="I2328" s="13" t="s">
        <v>121</v>
      </c>
      <c r="J2328" s="13" t="s">
        <v>122</v>
      </c>
      <c r="K2328" s="13" t="s">
        <v>107</v>
      </c>
      <c r="L2328" s="13" t="s">
        <v>82</v>
      </c>
      <c r="M2328">
        <v>30</v>
      </c>
      <c r="N2328">
        <v>2</v>
      </c>
      <c r="O2328" s="14">
        <v>46022</v>
      </c>
      <c r="P2328" s="14">
        <v>46052</v>
      </c>
      <c r="Q2328">
        <v>5729.23</v>
      </c>
      <c r="R2328">
        <v>0</v>
      </c>
      <c r="S2328">
        <v>0</v>
      </c>
      <c r="T2328">
        <v>0</v>
      </c>
      <c r="U2328">
        <v>0</v>
      </c>
      <c r="V2328">
        <v>5729.23</v>
      </c>
      <c r="W2328">
        <v>0</v>
      </c>
      <c r="X2328">
        <v>1</v>
      </c>
      <c r="Y2328">
        <v>0</v>
      </c>
      <c r="Z2328">
        <v>-30</v>
      </c>
      <c r="AA2328">
        <v>1</v>
      </c>
      <c r="AB2328" s="13" t="s">
        <v>581</v>
      </c>
      <c r="AC2328">
        <v>0</v>
      </c>
      <c r="AD2328">
        <v>0</v>
      </c>
      <c r="AE2328" s="13" t="s">
        <v>61</v>
      </c>
    </row>
    <row r="2329" spans="1:31" x14ac:dyDescent="0.35">
      <c r="A2329" s="13" t="s">
        <v>3183</v>
      </c>
      <c r="B2329" s="13" t="s">
        <v>283</v>
      </c>
      <c r="C2329" s="13" t="s">
        <v>284</v>
      </c>
      <c r="D2329" s="13" t="s">
        <v>104</v>
      </c>
      <c r="E2329" s="13" t="s">
        <v>53</v>
      </c>
      <c r="F2329" s="13" t="s">
        <v>135</v>
      </c>
      <c r="G2329" s="13" t="s">
        <v>92</v>
      </c>
      <c r="H2329">
        <v>105000</v>
      </c>
      <c r="I2329" s="13" t="s">
        <v>105</v>
      </c>
      <c r="J2329" s="13" t="s">
        <v>106</v>
      </c>
      <c r="K2329" s="13" t="s">
        <v>107</v>
      </c>
      <c r="L2329" s="13" t="s">
        <v>82</v>
      </c>
      <c r="M2329">
        <v>30</v>
      </c>
      <c r="N2329">
        <v>2</v>
      </c>
      <c r="O2329" s="14">
        <v>46022</v>
      </c>
      <c r="P2329" s="14">
        <v>46052</v>
      </c>
      <c r="Q2329">
        <v>2115.38</v>
      </c>
      <c r="R2329">
        <v>0</v>
      </c>
      <c r="S2329">
        <v>0</v>
      </c>
      <c r="T2329">
        <v>0</v>
      </c>
      <c r="U2329">
        <v>0</v>
      </c>
      <c r="V2329">
        <v>2115.38</v>
      </c>
      <c r="W2329">
        <v>0</v>
      </c>
      <c r="X2329">
        <v>1</v>
      </c>
      <c r="Y2329">
        <v>0</v>
      </c>
      <c r="Z2329">
        <v>-30</v>
      </c>
      <c r="AA2329">
        <v>1</v>
      </c>
      <c r="AB2329" s="13" t="s">
        <v>581</v>
      </c>
      <c r="AC2329">
        <v>0</v>
      </c>
      <c r="AD2329">
        <v>0</v>
      </c>
      <c r="AE2329" s="13" t="s">
        <v>61</v>
      </c>
    </row>
    <row r="2330" spans="1:31" x14ac:dyDescent="0.35">
      <c r="A2330" s="13" t="s">
        <v>3184</v>
      </c>
      <c r="B2330" s="13" t="s">
        <v>1957</v>
      </c>
      <c r="C2330" s="13" t="s">
        <v>1958</v>
      </c>
      <c r="D2330" s="13" t="s">
        <v>76</v>
      </c>
      <c r="E2330" s="13" t="s">
        <v>77</v>
      </c>
      <c r="F2330" s="13" t="s">
        <v>174</v>
      </c>
      <c r="G2330" s="13" t="s">
        <v>55</v>
      </c>
      <c r="H2330">
        <v>70000</v>
      </c>
      <c r="I2330" s="13" t="s">
        <v>93</v>
      </c>
      <c r="J2330" s="13" t="s">
        <v>94</v>
      </c>
      <c r="K2330" s="13" t="s">
        <v>81</v>
      </c>
      <c r="L2330" s="13" t="s">
        <v>95</v>
      </c>
      <c r="M2330">
        <v>30</v>
      </c>
      <c r="N2330">
        <v>0</v>
      </c>
      <c r="O2330" s="14">
        <v>46022</v>
      </c>
      <c r="P2330" s="14">
        <v>46052</v>
      </c>
      <c r="Q2330">
        <v>3848.76</v>
      </c>
      <c r="R2330">
        <v>0</v>
      </c>
      <c r="S2330">
        <v>0</v>
      </c>
      <c r="T2330">
        <v>0</v>
      </c>
      <c r="U2330">
        <v>0</v>
      </c>
      <c r="V2330">
        <v>3848.76</v>
      </c>
      <c r="W2330">
        <v>0</v>
      </c>
      <c r="X2330">
        <v>1</v>
      </c>
      <c r="Y2330">
        <v>0</v>
      </c>
      <c r="Z2330">
        <v>-30</v>
      </c>
      <c r="AA2330">
        <v>1</v>
      </c>
      <c r="AB2330" s="13" t="s">
        <v>581</v>
      </c>
      <c r="AC2330">
        <v>0</v>
      </c>
      <c r="AD2330">
        <v>0</v>
      </c>
      <c r="AE2330" s="13" t="s">
        <v>61</v>
      </c>
    </row>
    <row r="2331" spans="1:31" x14ac:dyDescent="0.35">
      <c r="A2331" s="13" t="s">
        <v>3185</v>
      </c>
      <c r="B2331" s="13" t="s">
        <v>343</v>
      </c>
      <c r="C2331" s="13" t="s">
        <v>344</v>
      </c>
      <c r="D2331" s="13" t="s">
        <v>104</v>
      </c>
      <c r="E2331" s="13" t="s">
        <v>77</v>
      </c>
      <c r="F2331" s="13" t="s">
        <v>174</v>
      </c>
      <c r="G2331" s="13" t="s">
        <v>67</v>
      </c>
      <c r="H2331">
        <v>145000</v>
      </c>
      <c r="I2331" s="13" t="s">
        <v>105</v>
      </c>
      <c r="J2331" s="13" t="s">
        <v>106</v>
      </c>
      <c r="K2331" s="13" t="s">
        <v>107</v>
      </c>
      <c r="L2331" s="13" t="s">
        <v>95</v>
      </c>
      <c r="M2331">
        <v>30</v>
      </c>
      <c r="N2331">
        <v>0</v>
      </c>
      <c r="O2331" s="14">
        <v>46022</v>
      </c>
      <c r="P2331" s="14">
        <v>46052</v>
      </c>
      <c r="Q2331">
        <v>4093.9</v>
      </c>
      <c r="R2331">
        <v>0</v>
      </c>
      <c r="S2331">
        <v>0</v>
      </c>
      <c r="T2331">
        <v>0</v>
      </c>
      <c r="U2331">
        <v>0</v>
      </c>
      <c r="V2331">
        <v>4093.9</v>
      </c>
      <c r="W2331">
        <v>0</v>
      </c>
      <c r="X2331">
        <v>1</v>
      </c>
      <c r="Y2331">
        <v>0</v>
      </c>
      <c r="Z2331">
        <v>-30</v>
      </c>
      <c r="AA2331">
        <v>1</v>
      </c>
      <c r="AB2331" s="13" t="s">
        <v>581</v>
      </c>
      <c r="AC2331">
        <v>0</v>
      </c>
      <c r="AD2331">
        <v>0</v>
      </c>
      <c r="AE2331" s="13" t="s">
        <v>61</v>
      </c>
    </row>
    <row r="2332" spans="1:31" x14ac:dyDescent="0.35">
      <c r="A2332" s="13" t="s">
        <v>3186</v>
      </c>
      <c r="B2332" s="13" t="s">
        <v>1682</v>
      </c>
      <c r="C2332" s="13" t="s">
        <v>1683</v>
      </c>
      <c r="D2332" s="13" t="s">
        <v>76</v>
      </c>
      <c r="E2332" s="13" t="s">
        <v>99</v>
      </c>
      <c r="F2332" s="13" t="s">
        <v>127</v>
      </c>
      <c r="G2332" s="13" t="s">
        <v>67</v>
      </c>
      <c r="H2332">
        <v>120000</v>
      </c>
      <c r="I2332" s="13" t="s">
        <v>79</v>
      </c>
      <c r="J2332" s="13" t="s">
        <v>80</v>
      </c>
      <c r="K2332" s="13" t="s">
        <v>81</v>
      </c>
      <c r="L2332" s="13" t="s">
        <v>95</v>
      </c>
      <c r="M2332">
        <v>30</v>
      </c>
      <c r="N2332">
        <v>0</v>
      </c>
      <c r="O2332" s="14">
        <v>46022</v>
      </c>
      <c r="P2332" s="14">
        <v>46052</v>
      </c>
      <c r="Q2332">
        <v>489.53</v>
      </c>
      <c r="R2332">
        <v>0</v>
      </c>
      <c r="S2332">
        <v>0</v>
      </c>
      <c r="T2332">
        <v>0</v>
      </c>
      <c r="U2332">
        <v>0</v>
      </c>
      <c r="V2332">
        <v>489.53</v>
      </c>
      <c r="W2332">
        <v>0</v>
      </c>
      <c r="X2332">
        <v>1</v>
      </c>
      <c r="Y2332">
        <v>0</v>
      </c>
      <c r="Z2332">
        <v>-30</v>
      </c>
      <c r="AA2332">
        <v>1</v>
      </c>
      <c r="AB2332" s="13" t="s">
        <v>581</v>
      </c>
      <c r="AC2332">
        <v>0</v>
      </c>
      <c r="AD2332">
        <v>0</v>
      </c>
      <c r="AE2332" s="13" t="s">
        <v>61</v>
      </c>
    </row>
    <row r="2333" spans="1:31" x14ac:dyDescent="0.35">
      <c r="A2333" s="13" t="s">
        <v>3187</v>
      </c>
      <c r="B2333" s="13" t="s">
        <v>235</v>
      </c>
      <c r="C2333" s="13" t="s">
        <v>236</v>
      </c>
      <c r="D2333" s="13" t="s">
        <v>76</v>
      </c>
      <c r="E2333" s="13" t="s">
        <v>71</v>
      </c>
      <c r="F2333" s="13" t="s">
        <v>72</v>
      </c>
      <c r="G2333" s="13" t="s">
        <v>55</v>
      </c>
      <c r="H2333">
        <v>40000</v>
      </c>
      <c r="I2333" s="13" t="s">
        <v>79</v>
      </c>
      <c r="J2333" s="13" t="s">
        <v>80</v>
      </c>
      <c r="K2333" s="13" t="s">
        <v>81</v>
      </c>
      <c r="L2333" s="13" t="s">
        <v>95</v>
      </c>
      <c r="M2333">
        <v>30</v>
      </c>
      <c r="N2333">
        <v>0</v>
      </c>
      <c r="O2333" s="14">
        <v>46022</v>
      </c>
      <c r="P2333" s="14">
        <v>46052</v>
      </c>
      <c r="Q2333">
        <v>2319</v>
      </c>
      <c r="R2333">
        <v>0</v>
      </c>
      <c r="S2333">
        <v>0</v>
      </c>
      <c r="T2333">
        <v>0</v>
      </c>
      <c r="U2333">
        <v>0</v>
      </c>
      <c r="V2333">
        <v>2319</v>
      </c>
      <c r="W2333">
        <v>0</v>
      </c>
      <c r="X2333">
        <v>1</v>
      </c>
      <c r="Y2333">
        <v>0</v>
      </c>
      <c r="Z2333">
        <v>-30</v>
      </c>
      <c r="AA2333">
        <v>1</v>
      </c>
      <c r="AB2333" s="13" t="s">
        <v>581</v>
      </c>
      <c r="AC2333">
        <v>0</v>
      </c>
      <c r="AD2333">
        <v>0</v>
      </c>
      <c r="AE2333" s="13" t="s">
        <v>61</v>
      </c>
    </row>
    <row r="2334" spans="1:31" x14ac:dyDescent="0.35">
      <c r="A2334" s="13" t="s">
        <v>3188</v>
      </c>
      <c r="B2334" s="13" t="s">
        <v>3189</v>
      </c>
      <c r="C2334" s="13" t="s">
        <v>3190</v>
      </c>
      <c r="D2334" s="13" t="s">
        <v>104</v>
      </c>
      <c r="E2334" s="13" t="s">
        <v>53</v>
      </c>
      <c r="F2334" s="13" t="s">
        <v>135</v>
      </c>
      <c r="G2334" s="13" t="s">
        <v>55</v>
      </c>
      <c r="H2334">
        <v>95000</v>
      </c>
      <c r="I2334" s="13" t="s">
        <v>121</v>
      </c>
      <c r="J2334" s="13" t="s">
        <v>122</v>
      </c>
      <c r="K2334" s="13" t="s">
        <v>107</v>
      </c>
      <c r="L2334" s="13" t="s">
        <v>82</v>
      </c>
      <c r="M2334">
        <v>30</v>
      </c>
      <c r="N2334">
        <v>2</v>
      </c>
      <c r="O2334" s="14">
        <v>46022</v>
      </c>
      <c r="P2334" s="14">
        <v>46052</v>
      </c>
      <c r="Q2334">
        <v>4145.97</v>
      </c>
      <c r="R2334">
        <v>0</v>
      </c>
      <c r="S2334">
        <v>0</v>
      </c>
      <c r="T2334">
        <v>0</v>
      </c>
      <c r="U2334">
        <v>0</v>
      </c>
      <c r="V2334">
        <v>4145.97</v>
      </c>
      <c r="W2334">
        <v>0</v>
      </c>
      <c r="X2334">
        <v>1</v>
      </c>
      <c r="Y2334">
        <v>0</v>
      </c>
      <c r="Z2334">
        <v>-30</v>
      </c>
      <c r="AA2334">
        <v>1</v>
      </c>
      <c r="AB2334" s="13" t="s">
        <v>581</v>
      </c>
      <c r="AC2334">
        <v>0</v>
      </c>
      <c r="AD2334">
        <v>0</v>
      </c>
      <c r="AE2334" s="13" t="s">
        <v>61</v>
      </c>
    </row>
    <row r="2335" spans="1:31" x14ac:dyDescent="0.35">
      <c r="A2335" s="13" t="s">
        <v>3191</v>
      </c>
      <c r="B2335" s="13" t="s">
        <v>1092</v>
      </c>
      <c r="C2335" s="13" t="s">
        <v>1093</v>
      </c>
      <c r="D2335" s="13" t="s">
        <v>76</v>
      </c>
      <c r="E2335" s="13" t="s">
        <v>77</v>
      </c>
      <c r="F2335" s="13" t="s">
        <v>78</v>
      </c>
      <c r="G2335" s="13" t="s">
        <v>55</v>
      </c>
      <c r="H2335">
        <v>110000</v>
      </c>
      <c r="I2335" s="13" t="s">
        <v>93</v>
      </c>
      <c r="J2335" s="13" t="s">
        <v>94</v>
      </c>
      <c r="K2335" s="13" t="s">
        <v>81</v>
      </c>
      <c r="L2335" s="13" t="s">
        <v>95</v>
      </c>
      <c r="M2335">
        <v>30</v>
      </c>
      <c r="N2335">
        <v>0</v>
      </c>
      <c r="O2335" s="14">
        <v>46022</v>
      </c>
      <c r="P2335" s="14">
        <v>46052</v>
      </c>
      <c r="Q2335">
        <v>4359.45</v>
      </c>
      <c r="R2335">
        <v>0</v>
      </c>
      <c r="S2335">
        <v>0</v>
      </c>
      <c r="T2335">
        <v>0</v>
      </c>
      <c r="U2335">
        <v>0</v>
      </c>
      <c r="V2335">
        <v>4359.45</v>
      </c>
      <c r="W2335">
        <v>0</v>
      </c>
      <c r="X2335">
        <v>1</v>
      </c>
      <c r="Y2335">
        <v>0</v>
      </c>
      <c r="Z2335">
        <v>-30</v>
      </c>
      <c r="AA2335">
        <v>1</v>
      </c>
      <c r="AB2335" s="13" t="s">
        <v>581</v>
      </c>
      <c r="AC2335">
        <v>0</v>
      </c>
      <c r="AD2335">
        <v>0</v>
      </c>
      <c r="AE2335" s="13" t="s">
        <v>61</v>
      </c>
    </row>
    <row r="2336" spans="1:31" x14ac:dyDescent="0.35">
      <c r="A2336" s="13" t="s">
        <v>3192</v>
      </c>
      <c r="B2336" s="13" t="s">
        <v>250</v>
      </c>
      <c r="C2336" s="13" t="s">
        <v>251</v>
      </c>
      <c r="D2336" s="13" t="s">
        <v>104</v>
      </c>
      <c r="E2336" s="13" t="s">
        <v>53</v>
      </c>
      <c r="F2336" s="13" t="s">
        <v>135</v>
      </c>
      <c r="G2336" s="13" t="s">
        <v>55</v>
      </c>
      <c r="H2336">
        <v>85000</v>
      </c>
      <c r="I2336" s="13" t="s">
        <v>105</v>
      </c>
      <c r="J2336" s="13" t="s">
        <v>106</v>
      </c>
      <c r="K2336" s="13" t="s">
        <v>107</v>
      </c>
      <c r="L2336" s="13" t="s">
        <v>88</v>
      </c>
      <c r="M2336">
        <v>60</v>
      </c>
      <c r="N2336">
        <v>0</v>
      </c>
      <c r="O2336" s="14">
        <v>46022</v>
      </c>
      <c r="P2336" s="14">
        <v>46082</v>
      </c>
      <c r="Q2336">
        <v>1439.09</v>
      </c>
      <c r="R2336">
        <v>0</v>
      </c>
      <c r="S2336">
        <v>0</v>
      </c>
      <c r="T2336">
        <v>0</v>
      </c>
      <c r="U2336">
        <v>0</v>
      </c>
      <c r="V2336">
        <v>1439.09</v>
      </c>
      <c r="W2336">
        <v>0</v>
      </c>
      <c r="X2336">
        <v>1</v>
      </c>
      <c r="Y2336">
        <v>0</v>
      </c>
      <c r="Z2336">
        <v>-60</v>
      </c>
      <c r="AA2336">
        <v>1</v>
      </c>
      <c r="AB2336" s="13" t="s">
        <v>581</v>
      </c>
      <c r="AC2336">
        <v>0</v>
      </c>
      <c r="AD2336">
        <v>0</v>
      </c>
      <c r="AE2336" s="13" t="s">
        <v>61</v>
      </c>
    </row>
    <row r="2337" spans="1:31" x14ac:dyDescent="0.35">
      <c r="A2337" s="13" t="s">
        <v>3193</v>
      </c>
      <c r="B2337" s="13" t="s">
        <v>2511</v>
      </c>
      <c r="C2337" s="13" t="s">
        <v>2512</v>
      </c>
      <c r="D2337" s="13" t="s">
        <v>104</v>
      </c>
      <c r="E2337" s="13" t="s">
        <v>99</v>
      </c>
      <c r="F2337" s="13" t="s">
        <v>127</v>
      </c>
      <c r="G2337" s="13" t="s">
        <v>92</v>
      </c>
      <c r="H2337">
        <v>60000</v>
      </c>
      <c r="I2337" s="13" t="s">
        <v>121</v>
      </c>
      <c r="J2337" s="13" t="s">
        <v>122</v>
      </c>
      <c r="K2337" s="13" t="s">
        <v>107</v>
      </c>
      <c r="L2337" s="13" t="s">
        <v>95</v>
      </c>
      <c r="M2337">
        <v>30</v>
      </c>
      <c r="N2337">
        <v>0</v>
      </c>
      <c r="O2337" s="14">
        <v>46022</v>
      </c>
      <c r="P2337" s="14">
        <v>46052</v>
      </c>
      <c r="Q2337">
        <v>829.73</v>
      </c>
      <c r="R2337">
        <v>0</v>
      </c>
      <c r="S2337">
        <v>0</v>
      </c>
      <c r="T2337">
        <v>0</v>
      </c>
      <c r="U2337">
        <v>0</v>
      </c>
      <c r="V2337">
        <v>829.73</v>
      </c>
      <c r="W2337">
        <v>0</v>
      </c>
      <c r="X2337">
        <v>1</v>
      </c>
      <c r="Y2337">
        <v>0</v>
      </c>
      <c r="Z2337">
        <v>-30</v>
      </c>
      <c r="AA2337">
        <v>1</v>
      </c>
      <c r="AB2337" s="13" t="s">
        <v>581</v>
      </c>
      <c r="AC2337">
        <v>0</v>
      </c>
      <c r="AD2337">
        <v>0</v>
      </c>
      <c r="AE2337" s="13" t="s">
        <v>61</v>
      </c>
    </row>
    <row r="2338" spans="1:31" x14ac:dyDescent="0.35">
      <c r="A2338" s="13" t="s">
        <v>3194</v>
      </c>
      <c r="B2338" s="13" t="s">
        <v>1097</v>
      </c>
      <c r="C2338" s="13" t="s">
        <v>1098</v>
      </c>
      <c r="D2338" s="13" t="s">
        <v>52</v>
      </c>
      <c r="E2338" s="13" t="s">
        <v>77</v>
      </c>
      <c r="F2338" s="13" t="s">
        <v>78</v>
      </c>
      <c r="G2338" s="13" t="s">
        <v>67</v>
      </c>
      <c r="H2338">
        <v>510000</v>
      </c>
      <c r="I2338" s="13" t="s">
        <v>86</v>
      </c>
      <c r="J2338" s="13" t="s">
        <v>87</v>
      </c>
      <c r="K2338" s="13" t="s">
        <v>58</v>
      </c>
      <c r="L2338" s="13" t="s">
        <v>88</v>
      </c>
      <c r="M2338">
        <v>60</v>
      </c>
      <c r="N2338">
        <v>0</v>
      </c>
      <c r="O2338" s="14">
        <v>46022</v>
      </c>
      <c r="P2338" s="14">
        <v>46082</v>
      </c>
      <c r="Q2338">
        <v>16112.92</v>
      </c>
      <c r="R2338">
        <v>0</v>
      </c>
      <c r="S2338">
        <v>0</v>
      </c>
      <c r="T2338">
        <v>0</v>
      </c>
      <c r="U2338">
        <v>0</v>
      </c>
      <c r="V2338">
        <v>16112.92</v>
      </c>
      <c r="W2338">
        <v>0</v>
      </c>
      <c r="X2338">
        <v>1</v>
      </c>
      <c r="Y2338">
        <v>0</v>
      </c>
      <c r="Z2338">
        <v>-60</v>
      </c>
      <c r="AA2338">
        <v>1</v>
      </c>
      <c r="AB2338" s="13" t="s">
        <v>581</v>
      </c>
      <c r="AC2338">
        <v>0</v>
      </c>
      <c r="AD2338">
        <v>0</v>
      </c>
      <c r="AE2338" s="13" t="s">
        <v>61</v>
      </c>
    </row>
    <row r="2339" spans="1:31" x14ac:dyDescent="0.35">
      <c r="A2339" s="13" t="s">
        <v>3195</v>
      </c>
      <c r="B2339" s="13" t="s">
        <v>2171</v>
      </c>
      <c r="C2339" s="13" t="s">
        <v>2172</v>
      </c>
      <c r="D2339" s="13" t="s">
        <v>76</v>
      </c>
      <c r="E2339" s="13" t="s">
        <v>99</v>
      </c>
      <c r="F2339" s="13" t="s">
        <v>127</v>
      </c>
      <c r="G2339" s="13" t="s">
        <v>55</v>
      </c>
      <c r="H2339">
        <v>85000</v>
      </c>
      <c r="I2339" s="13" t="s">
        <v>93</v>
      </c>
      <c r="J2339" s="13" t="s">
        <v>94</v>
      </c>
      <c r="K2339" s="13" t="s">
        <v>81</v>
      </c>
      <c r="L2339" s="13" t="s">
        <v>95</v>
      </c>
      <c r="M2339">
        <v>30</v>
      </c>
      <c r="N2339">
        <v>0</v>
      </c>
      <c r="O2339" s="14">
        <v>46022</v>
      </c>
      <c r="P2339" s="14">
        <v>46052</v>
      </c>
      <c r="Q2339">
        <v>2188.8200000000002</v>
      </c>
      <c r="R2339">
        <v>0</v>
      </c>
      <c r="S2339">
        <v>0</v>
      </c>
      <c r="T2339">
        <v>0</v>
      </c>
      <c r="U2339">
        <v>0</v>
      </c>
      <c r="V2339">
        <v>2188.8200000000002</v>
      </c>
      <c r="W2339">
        <v>0</v>
      </c>
      <c r="X2339">
        <v>1</v>
      </c>
      <c r="Y2339">
        <v>0</v>
      </c>
      <c r="Z2339">
        <v>-30</v>
      </c>
      <c r="AA2339">
        <v>1</v>
      </c>
      <c r="AB2339" s="13" t="s">
        <v>581</v>
      </c>
      <c r="AC2339">
        <v>0</v>
      </c>
      <c r="AD2339">
        <v>0</v>
      </c>
      <c r="AE2339" s="13" t="s">
        <v>61</v>
      </c>
    </row>
    <row r="2340" spans="1:31" x14ac:dyDescent="0.35">
      <c r="A2340" s="13" t="s">
        <v>3196</v>
      </c>
      <c r="B2340" s="13" t="s">
        <v>1220</v>
      </c>
      <c r="C2340" s="13" t="s">
        <v>1221</v>
      </c>
      <c r="D2340" s="13" t="s">
        <v>52</v>
      </c>
      <c r="E2340" s="13" t="s">
        <v>65</v>
      </c>
      <c r="F2340" s="13" t="s">
        <v>111</v>
      </c>
      <c r="G2340" s="13" t="s">
        <v>67</v>
      </c>
      <c r="H2340">
        <v>340000</v>
      </c>
      <c r="I2340" s="13" t="s">
        <v>86</v>
      </c>
      <c r="J2340" s="13" t="s">
        <v>87</v>
      </c>
      <c r="K2340" s="13" t="s">
        <v>58</v>
      </c>
      <c r="L2340" s="13" t="s">
        <v>59</v>
      </c>
      <c r="M2340">
        <v>45</v>
      </c>
      <c r="N2340">
        <v>0</v>
      </c>
      <c r="O2340" s="14">
        <v>46022</v>
      </c>
      <c r="P2340" s="14">
        <v>46067</v>
      </c>
      <c r="Q2340">
        <v>1626.31</v>
      </c>
      <c r="R2340">
        <v>0</v>
      </c>
      <c r="S2340">
        <v>0</v>
      </c>
      <c r="T2340">
        <v>0</v>
      </c>
      <c r="U2340">
        <v>0</v>
      </c>
      <c r="V2340">
        <v>1626.31</v>
      </c>
      <c r="W2340">
        <v>0</v>
      </c>
      <c r="X2340">
        <v>1</v>
      </c>
      <c r="Y2340">
        <v>0</v>
      </c>
      <c r="Z2340">
        <v>-45</v>
      </c>
      <c r="AA2340">
        <v>1</v>
      </c>
      <c r="AB2340" s="13" t="s">
        <v>581</v>
      </c>
      <c r="AC2340">
        <v>0</v>
      </c>
      <c r="AD2340">
        <v>0</v>
      </c>
      <c r="AE2340" s="13" t="s">
        <v>61</v>
      </c>
    </row>
    <row r="2341" spans="1:31" x14ac:dyDescent="0.35">
      <c r="A2341" s="13" t="s">
        <v>3197</v>
      </c>
      <c r="B2341" s="13" t="s">
        <v>3198</v>
      </c>
      <c r="C2341" s="13" t="s">
        <v>3199</v>
      </c>
      <c r="D2341" s="13" t="s">
        <v>76</v>
      </c>
      <c r="E2341" s="13" t="s">
        <v>71</v>
      </c>
      <c r="F2341" s="13" t="s">
        <v>72</v>
      </c>
      <c r="G2341" s="13" t="s">
        <v>67</v>
      </c>
      <c r="H2341">
        <v>55000</v>
      </c>
      <c r="I2341" s="13" t="s">
        <v>79</v>
      </c>
      <c r="J2341" s="13" t="s">
        <v>80</v>
      </c>
      <c r="K2341" s="13" t="s">
        <v>81</v>
      </c>
      <c r="L2341" s="13" t="s">
        <v>82</v>
      </c>
      <c r="M2341">
        <v>30</v>
      </c>
      <c r="N2341">
        <v>2</v>
      </c>
      <c r="O2341" s="14">
        <v>46022</v>
      </c>
      <c r="P2341" s="14">
        <v>46052</v>
      </c>
      <c r="Q2341">
        <v>1022.7</v>
      </c>
      <c r="R2341">
        <v>0</v>
      </c>
      <c r="S2341">
        <v>0</v>
      </c>
      <c r="T2341">
        <v>0</v>
      </c>
      <c r="U2341">
        <v>0</v>
      </c>
      <c r="V2341">
        <v>1022.7</v>
      </c>
      <c r="W2341">
        <v>0</v>
      </c>
      <c r="X2341">
        <v>1</v>
      </c>
      <c r="Y2341">
        <v>0</v>
      </c>
      <c r="Z2341">
        <v>-30</v>
      </c>
      <c r="AA2341">
        <v>1</v>
      </c>
      <c r="AB2341" s="13" t="s">
        <v>581</v>
      </c>
      <c r="AC2341">
        <v>0</v>
      </c>
      <c r="AD2341">
        <v>0</v>
      </c>
      <c r="AE2341" s="13" t="s">
        <v>61</v>
      </c>
    </row>
    <row r="2342" spans="1:31" x14ac:dyDescent="0.35">
      <c r="A2342" s="13" t="s">
        <v>3200</v>
      </c>
      <c r="B2342" s="13" t="s">
        <v>3201</v>
      </c>
      <c r="C2342" s="13" t="s">
        <v>3202</v>
      </c>
      <c r="D2342" s="13" t="s">
        <v>76</v>
      </c>
      <c r="E2342" s="13" t="s">
        <v>65</v>
      </c>
      <c r="F2342" s="13" t="s">
        <v>111</v>
      </c>
      <c r="G2342" s="13" t="s">
        <v>55</v>
      </c>
      <c r="H2342">
        <v>40000</v>
      </c>
      <c r="I2342" s="13" t="s">
        <v>79</v>
      </c>
      <c r="J2342" s="13" t="s">
        <v>80</v>
      </c>
      <c r="K2342" s="13" t="s">
        <v>81</v>
      </c>
      <c r="L2342" s="13" t="s">
        <v>82</v>
      </c>
      <c r="M2342">
        <v>30</v>
      </c>
      <c r="N2342">
        <v>2</v>
      </c>
      <c r="O2342" s="14">
        <v>46022</v>
      </c>
      <c r="P2342" s="14">
        <v>46052</v>
      </c>
      <c r="Q2342">
        <v>3782.98</v>
      </c>
      <c r="R2342">
        <v>0</v>
      </c>
      <c r="S2342">
        <v>0</v>
      </c>
      <c r="T2342">
        <v>0</v>
      </c>
      <c r="U2342">
        <v>0</v>
      </c>
      <c r="V2342">
        <v>3782.98</v>
      </c>
      <c r="W2342">
        <v>0</v>
      </c>
      <c r="X2342">
        <v>1</v>
      </c>
      <c r="Y2342">
        <v>0</v>
      </c>
      <c r="Z2342">
        <v>-30</v>
      </c>
      <c r="AA2342">
        <v>1</v>
      </c>
      <c r="AB2342" s="13" t="s">
        <v>581</v>
      </c>
      <c r="AC2342">
        <v>0</v>
      </c>
      <c r="AD2342">
        <v>0</v>
      </c>
      <c r="AE2342" s="13" t="s">
        <v>61</v>
      </c>
    </row>
    <row r="2343" spans="1:31" x14ac:dyDescent="0.35">
      <c r="A2343" s="13" t="s">
        <v>3203</v>
      </c>
      <c r="B2343" s="13" t="s">
        <v>1227</v>
      </c>
      <c r="C2343" s="13" t="s">
        <v>1228</v>
      </c>
      <c r="D2343" s="13" t="s">
        <v>76</v>
      </c>
      <c r="E2343" s="13" t="s">
        <v>99</v>
      </c>
      <c r="F2343" s="13" t="s">
        <v>100</v>
      </c>
      <c r="G2343" s="13" t="s">
        <v>55</v>
      </c>
      <c r="H2343">
        <v>110000</v>
      </c>
      <c r="I2343" s="13" t="s">
        <v>93</v>
      </c>
      <c r="J2343" s="13" t="s">
        <v>94</v>
      </c>
      <c r="K2343" s="13" t="s">
        <v>81</v>
      </c>
      <c r="L2343" s="13" t="s">
        <v>95</v>
      </c>
      <c r="M2343">
        <v>30</v>
      </c>
      <c r="N2343">
        <v>0</v>
      </c>
      <c r="O2343" s="14">
        <v>46022</v>
      </c>
      <c r="P2343" s="14">
        <v>46052</v>
      </c>
      <c r="Q2343">
        <v>2129.56</v>
      </c>
      <c r="R2343">
        <v>0</v>
      </c>
      <c r="S2343">
        <v>0</v>
      </c>
      <c r="T2343">
        <v>0</v>
      </c>
      <c r="U2343">
        <v>0</v>
      </c>
      <c r="V2343">
        <v>2129.56</v>
      </c>
      <c r="W2343">
        <v>0</v>
      </c>
      <c r="X2343">
        <v>1</v>
      </c>
      <c r="Y2343">
        <v>0</v>
      </c>
      <c r="Z2343">
        <v>-30</v>
      </c>
      <c r="AA2343">
        <v>1</v>
      </c>
      <c r="AB2343" s="13" t="s">
        <v>581</v>
      </c>
      <c r="AC2343">
        <v>0</v>
      </c>
      <c r="AD2343">
        <v>0</v>
      </c>
      <c r="AE2343" s="13" t="s">
        <v>61</v>
      </c>
    </row>
    <row r="2344" spans="1:31" x14ac:dyDescent="0.35">
      <c r="A2344" s="13" t="s">
        <v>3204</v>
      </c>
      <c r="B2344" s="13" t="s">
        <v>1102</v>
      </c>
      <c r="C2344" s="13" t="s">
        <v>1103</v>
      </c>
      <c r="D2344" s="13" t="s">
        <v>52</v>
      </c>
      <c r="E2344" s="13" t="s">
        <v>71</v>
      </c>
      <c r="F2344" s="13" t="s">
        <v>72</v>
      </c>
      <c r="G2344" s="13" t="s">
        <v>67</v>
      </c>
      <c r="H2344">
        <v>335000</v>
      </c>
      <c r="I2344" s="13" t="s">
        <v>86</v>
      </c>
      <c r="J2344" s="13" t="s">
        <v>87</v>
      </c>
      <c r="K2344" s="13" t="s">
        <v>58</v>
      </c>
      <c r="L2344" s="13" t="s">
        <v>59</v>
      </c>
      <c r="M2344">
        <v>45</v>
      </c>
      <c r="N2344">
        <v>0</v>
      </c>
      <c r="O2344" s="14">
        <v>46022</v>
      </c>
      <c r="P2344" s="14">
        <v>46067</v>
      </c>
      <c r="Q2344">
        <v>8281.73</v>
      </c>
      <c r="R2344">
        <v>0</v>
      </c>
      <c r="S2344">
        <v>0</v>
      </c>
      <c r="T2344">
        <v>0</v>
      </c>
      <c r="U2344">
        <v>0</v>
      </c>
      <c r="V2344">
        <v>8281.73</v>
      </c>
      <c r="W2344">
        <v>0</v>
      </c>
      <c r="X2344">
        <v>1</v>
      </c>
      <c r="Y2344">
        <v>0</v>
      </c>
      <c r="Z2344">
        <v>-45</v>
      </c>
      <c r="AA2344">
        <v>1</v>
      </c>
      <c r="AB2344" s="13" t="s">
        <v>581</v>
      </c>
      <c r="AC2344">
        <v>0</v>
      </c>
      <c r="AD2344">
        <v>0</v>
      </c>
      <c r="AE2344" s="13" t="s">
        <v>61</v>
      </c>
    </row>
    <row r="2345" spans="1:31" x14ac:dyDescent="0.35">
      <c r="A2345" s="13" t="s">
        <v>3205</v>
      </c>
      <c r="B2345" s="13" t="s">
        <v>575</v>
      </c>
      <c r="C2345" s="13" t="s">
        <v>576</v>
      </c>
      <c r="D2345" s="13" t="s">
        <v>126</v>
      </c>
      <c r="E2345" s="13" t="s">
        <v>65</v>
      </c>
      <c r="F2345" s="13" t="s">
        <v>111</v>
      </c>
      <c r="G2345" s="13" t="s">
        <v>55</v>
      </c>
      <c r="H2345">
        <v>160000</v>
      </c>
      <c r="I2345" s="13" t="s">
        <v>86</v>
      </c>
      <c r="J2345" s="13" t="s">
        <v>87</v>
      </c>
      <c r="K2345" s="13" t="s">
        <v>58</v>
      </c>
      <c r="L2345" s="13" t="s">
        <v>368</v>
      </c>
      <c r="M2345">
        <v>90</v>
      </c>
      <c r="N2345">
        <v>0</v>
      </c>
      <c r="O2345" s="14">
        <v>46022</v>
      </c>
      <c r="P2345" s="14">
        <v>46112</v>
      </c>
      <c r="Q2345">
        <v>3814.3</v>
      </c>
      <c r="R2345">
        <v>0</v>
      </c>
      <c r="S2345">
        <v>0</v>
      </c>
      <c r="T2345">
        <v>0</v>
      </c>
      <c r="U2345">
        <v>0</v>
      </c>
      <c r="V2345">
        <v>3814.3</v>
      </c>
      <c r="W2345">
        <v>0</v>
      </c>
      <c r="X2345">
        <v>1</v>
      </c>
      <c r="Y2345">
        <v>0</v>
      </c>
      <c r="Z2345">
        <v>-90</v>
      </c>
      <c r="AA2345">
        <v>1</v>
      </c>
      <c r="AB2345" s="13" t="s">
        <v>581</v>
      </c>
      <c r="AC2345">
        <v>0</v>
      </c>
      <c r="AD2345">
        <v>0</v>
      </c>
      <c r="AE2345" s="13" t="s">
        <v>61</v>
      </c>
    </row>
    <row r="2346" spans="1:31" x14ac:dyDescent="0.35">
      <c r="A2346" s="13" t="s">
        <v>3206</v>
      </c>
      <c r="B2346" s="13" t="s">
        <v>772</v>
      </c>
      <c r="C2346" s="13" t="s">
        <v>773</v>
      </c>
      <c r="D2346" s="13" t="s">
        <v>76</v>
      </c>
      <c r="E2346" s="13" t="s">
        <v>99</v>
      </c>
      <c r="F2346" s="13" t="s">
        <v>100</v>
      </c>
      <c r="G2346" s="13" t="s">
        <v>55</v>
      </c>
      <c r="H2346">
        <v>105000</v>
      </c>
      <c r="I2346" s="13" t="s">
        <v>79</v>
      </c>
      <c r="J2346" s="13" t="s">
        <v>80</v>
      </c>
      <c r="K2346" s="13" t="s">
        <v>81</v>
      </c>
      <c r="L2346" s="13" t="s">
        <v>82</v>
      </c>
      <c r="M2346">
        <v>30</v>
      </c>
      <c r="N2346">
        <v>2</v>
      </c>
      <c r="O2346" s="14">
        <v>46022</v>
      </c>
      <c r="P2346" s="14">
        <v>46052</v>
      </c>
      <c r="Q2346">
        <v>513.22</v>
      </c>
      <c r="R2346">
        <v>0</v>
      </c>
      <c r="S2346">
        <v>0</v>
      </c>
      <c r="T2346">
        <v>0</v>
      </c>
      <c r="U2346">
        <v>0</v>
      </c>
      <c r="V2346">
        <v>513.22</v>
      </c>
      <c r="W2346">
        <v>0</v>
      </c>
      <c r="X2346">
        <v>1</v>
      </c>
      <c r="Y2346">
        <v>0</v>
      </c>
      <c r="Z2346">
        <v>-30</v>
      </c>
      <c r="AA2346">
        <v>1</v>
      </c>
      <c r="AB2346" s="13" t="s">
        <v>581</v>
      </c>
      <c r="AC2346">
        <v>0</v>
      </c>
      <c r="AD2346">
        <v>0</v>
      </c>
      <c r="AE2346" s="13" t="s">
        <v>61</v>
      </c>
    </row>
    <row r="2347" spans="1:31" x14ac:dyDescent="0.35">
      <c r="A2347" s="13" t="s">
        <v>3207</v>
      </c>
      <c r="B2347" s="13" t="s">
        <v>90</v>
      </c>
      <c r="C2347" s="13" t="s">
        <v>91</v>
      </c>
      <c r="D2347" s="13" t="s">
        <v>76</v>
      </c>
      <c r="E2347" s="13" t="s">
        <v>53</v>
      </c>
      <c r="F2347" s="13" t="s">
        <v>54</v>
      </c>
      <c r="G2347" s="13" t="s">
        <v>92</v>
      </c>
      <c r="H2347">
        <v>95000</v>
      </c>
      <c r="I2347" s="13" t="s">
        <v>93</v>
      </c>
      <c r="J2347" s="13" t="s">
        <v>94</v>
      </c>
      <c r="K2347" s="13" t="s">
        <v>81</v>
      </c>
      <c r="L2347" s="13" t="s">
        <v>95</v>
      </c>
      <c r="M2347">
        <v>30</v>
      </c>
      <c r="N2347">
        <v>0</v>
      </c>
      <c r="O2347" s="14">
        <v>46022</v>
      </c>
      <c r="P2347" s="14">
        <v>46052</v>
      </c>
      <c r="Q2347">
        <v>1770.51</v>
      </c>
      <c r="R2347">
        <v>0</v>
      </c>
      <c r="S2347">
        <v>0</v>
      </c>
      <c r="T2347">
        <v>0</v>
      </c>
      <c r="U2347">
        <v>0</v>
      </c>
      <c r="V2347">
        <v>1770.51</v>
      </c>
      <c r="W2347">
        <v>0</v>
      </c>
      <c r="X2347">
        <v>1</v>
      </c>
      <c r="Y2347">
        <v>0</v>
      </c>
      <c r="Z2347">
        <v>-30</v>
      </c>
      <c r="AA2347">
        <v>1</v>
      </c>
      <c r="AB2347" s="13" t="s">
        <v>581</v>
      </c>
      <c r="AC2347">
        <v>0</v>
      </c>
      <c r="AD2347">
        <v>0</v>
      </c>
      <c r="AE2347" s="13" t="s">
        <v>61</v>
      </c>
    </row>
  </sheetData>
  <phoneticPr fontId="6"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17E6-8F88-42C0-955D-544DD00698D9}">
  <dimension ref="A1:AD273"/>
  <sheetViews>
    <sheetView workbookViewId="0"/>
  </sheetViews>
  <sheetFormatPr defaultRowHeight="14.5" x14ac:dyDescent="0.35"/>
  <cols>
    <col min="1" max="1" width="13.36328125" bestFit="1" customWidth="1"/>
    <col min="2" max="2" width="15" bestFit="1" customWidth="1"/>
    <col min="3" max="3" width="13.08984375" bestFit="1" customWidth="1"/>
    <col min="4" max="4" width="37.1796875" bestFit="1" customWidth="1"/>
    <col min="5" max="5" width="16" bestFit="1" customWidth="1"/>
    <col min="6" max="6" width="9.26953125" bestFit="1" customWidth="1"/>
    <col min="7" max="7" width="9.81640625" bestFit="1" customWidth="1"/>
    <col min="8" max="8" width="12.54296875" bestFit="1" customWidth="1"/>
    <col min="9" max="9" width="15.7265625" bestFit="1" customWidth="1"/>
    <col min="10" max="10" width="16.1796875" bestFit="1" customWidth="1"/>
    <col min="11" max="11" width="12.54296875" bestFit="1" customWidth="1"/>
    <col min="12" max="12" width="14.26953125" bestFit="1" customWidth="1"/>
    <col min="13" max="13" width="16.90625" bestFit="1" customWidth="1"/>
    <col min="14" max="14" width="15.54296875" bestFit="1" customWidth="1"/>
    <col min="15" max="15" width="17.54296875" bestFit="1" customWidth="1"/>
    <col min="16" max="16" width="18.7265625" bestFit="1" customWidth="1"/>
    <col min="17" max="17" width="26.54296875" bestFit="1" customWidth="1"/>
    <col min="18" max="18" width="20.54296875" bestFit="1" customWidth="1"/>
    <col min="19" max="19" width="22.6328125" bestFit="1" customWidth="1"/>
    <col min="20" max="20" width="20.1796875" bestFit="1" customWidth="1"/>
    <col min="21" max="22" width="19.81640625" bestFit="1" customWidth="1"/>
    <col min="23" max="23" width="20.36328125" bestFit="1" customWidth="1"/>
    <col min="24" max="24" width="16.1796875" bestFit="1" customWidth="1"/>
    <col min="25" max="25" width="13.6328125" bestFit="1" customWidth="1"/>
    <col min="26" max="26" width="19.90625" bestFit="1" customWidth="1"/>
    <col min="27" max="27" width="19.36328125" bestFit="1" customWidth="1"/>
    <col min="28" max="28" width="15.7265625" bestFit="1" customWidth="1"/>
    <col min="29" max="29" width="17.36328125" bestFit="1" customWidth="1"/>
    <col min="30" max="30" width="80.7265625" bestFit="1" customWidth="1"/>
  </cols>
  <sheetData>
    <row r="1" spans="1:30" s="3" customFormat="1" x14ac:dyDescent="0.35">
      <c r="A1" s="3" t="s">
        <v>3208</v>
      </c>
      <c r="B1" s="3" t="s">
        <v>3209</v>
      </c>
      <c r="C1" s="3" t="s">
        <v>19</v>
      </c>
      <c r="D1" s="3" t="s">
        <v>20</v>
      </c>
      <c r="E1" s="3" t="s">
        <v>21</v>
      </c>
      <c r="F1" s="3" t="s">
        <v>22</v>
      </c>
      <c r="G1" s="3" t="s">
        <v>24</v>
      </c>
      <c r="H1" s="3" t="s">
        <v>26</v>
      </c>
      <c r="I1" s="3" t="s">
        <v>27</v>
      </c>
      <c r="J1" s="3" t="s">
        <v>28</v>
      </c>
      <c r="K1" s="3" t="s">
        <v>29</v>
      </c>
      <c r="L1" s="3" t="s">
        <v>39</v>
      </c>
      <c r="M1" s="3" t="s">
        <v>3210</v>
      </c>
      <c r="N1" s="3" t="s">
        <v>3211</v>
      </c>
      <c r="O1" s="3" t="s">
        <v>3212</v>
      </c>
      <c r="P1" s="3" t="s">
        <v>3213</v>
      </c>
      <c r="Q1" s="3" t="s">
        <v>3214</v>
      </c>
      <c r="R1" s="3" t="s">
        <v>3215</v>
      </c>
      <c r="S1" s="3" t="s">
        <v>3216</v>
      </c>
      <c r="T1" s="3" t="s">
        <v>3217</v>
      </c>
      <c r="U1" s="3" t="s">
        <v>3218</v>
      </c>
      <c r="V1" s="3" t="s">
        <v>3219</v>
      </c>
      <c r="W1" s="3" t="s">
        <v>3220</v>
      </c>
      <c r="X1" s="3" t="s">
        <v>3221</v>
      </c>
      <c r="Y1" s="3" t="s">
        <v>3222</v>
      </c>
      <c r="Z1" s="3" t="s">
        <v>3223</v>
      </c>
      <c r="AA1" s="3" t="s">
        <v>3224</v>
      </c>
      <c r="AB1" s="3" t="s">
        <v>3225</v>
      </c>
      <c r="AC1" s="3" t="s">
        <v>3226</v>
      </c>
      <c r="AD1" s="3" t="s">
        <v>3227</v>
      </c>
    </row>
    <row r="2" spans="1:30" x14ac:dyDescent="0.35">
      <c r="A2">
        <v>1</v>
      </c>
      <c r="B2">
        <v>1</v>
      </c>
      <c r="C2" s="13" t="s">
        <v>379</v>
      </c>
      <c r="D2" s="13" t="s">
        <v>380</v>
      </c>
      <c r="E2" s="13" t="s">
        <v>52</v>
      </c>
      <c r="F2" s="13" t="s">
        <v>77</v>
      </c>
      <c r="G2" s="13" t="s">
        <v>92</v>
      </c>
      <c r="H2" s="13" t="s">
        <v>56</v>
      </c>
      <c r="I2" s="13" t="s">
        <v>57</v>
      </c>
      <c r="J2" s="13" t="s">
        <v>58</v>
      </c>
      <c r="K2" s="13" t="s">
        <v>59</v>
      </c>
      <c r="L2">
        <v>171140.07</v>
      </c>
      <c r="M2">
        <v>132293.14000000001</v>
      </c>
      <c r="N2">
        <v>0</v>
      </c>
      <c r="O2">
        <v>15640.04</v>
      </c>
      <c r="P2">
        <v>64535.33</v>
      </c>
      <c r="Q2">
        <v>606.04</v>
      </c>
      <c r="R2">
        <v>57024.44</v>
      </c>
      <c r="S2">
        <v>57024.44</v>
      </c>
      <c r="T2">
        <v>0</v>
      </c>
      <c r="U2">
        <v>90</v>
      </c>
      <c r="V2">
        <v>38.03</v>
      </c>
      <c r="W2">
        <v>79.400000000000006</v>
      </c>
      <c r="X2">
        <v>7056.36</v>
      </c>
      <c r="Y2">
        <v>164083.71</v>
      </c>
      <c r="Z2">
        <v>2</v>
      </c>
      <c r="AA2" s="13" t="s">
        <v>3228</v>
      </c>
      <c r="AB2">
        <v>0</v>
      </c>
      <c r="AC2">
        <v>1</v>
      </c>
      <c r="AD2" s="13" t="s">
        <v>3229</v>
      </c>
    </row>
    <row r="3" spans="1:30" x14ac:dyDescent="0.35">
      <c r="A3">
        <v>2</v>
      </c>
      <c r="B3">
        <v>1</v>
      </c>
      <c r="C3" s="13" t="s">
        <v>390</v>
      </c>
      <c r="D3" s="13" t="s">
        <v>391</v>
      </c>
      <c r="E3" s="13" t="s">
        <v>52</v>
      </c>
      <c r="F3" s="13" t="s">
        <v>71</v>
      </c>
      <c r="G3" s="13" t="s">
        <v>55</v>
      </c>
      <c r="H3" s="13" t="s">
        <v>86</v>
      </c>
      <c r="I3" s="13" t="s">
        <v>87</v>
      </c>
      <c r="J3" s="13" t="s">
        <v>58</v>
      </c>
      <c r="K3" s="13" t="s">
        <v>88</v>
      </c>
      <c r="L3">
        <v>122327.81</v>
      </c>
      <c r="M3">
        <v>82857.53</v>
      </c>
      <c r="N3">
        <v>0</v>
      </c>
      <c r="O3">
        <v>0</v>
      </c>
      <c r="P3">
        <v>37750.080000000002</v>
      </c>
      <c r="Q3">
        <v>0</v>
      </c>
      <c r="R3">
        <v>37750.080000000002</v>
      </c>
      <c r="S3">
        <v>37750.080000000002</v>
      </c>
      <c r="T3">
        <v>0</v>
      </c>
      <c r="U3">
        <v>68</v>
      </c>
      <c r="V3">
        <v>38.229999999999997</v>
      </c>
      <c r="W3">
        <v>65.099999999999994</v>
      </c>
      <c r="X3">
        <v>0</v>
      </c>
      <c r="Y3">
        <v>122327.81</v>
      </c>
      <c r="Z3">
        <v>0</v>
      </c>
      <c r="AA3" s="13" t="s">
        <v>3230</v>
      </c>
      <c r="AB3">
        <v>0</v>
      </c>
      <c r="AC3">
        <v>1</v>
      </c>
      <c r="AD3" s="13" t="s">
        <v>3231</v>
      </c>
    </row>
    <row r="4" spans="1:30" x14ac:dyDescent="0.35">
      <c r="A4">
        <v>3</v>
      </c>
      <c r="B4">
        <v>1</v>
      </c>
      <c r="C4" s="13" t="s">
        <v>296</v>
      </c>
      <c r="D4" s="13" t="s">
        <v>297</v>
      </c>
      <c r="E4" s="13" t="s">
        <v>104</v>
      </c>
      <c r="F4" s="13" t="s">
        <v>65</v>
      </c>
      <c r="G4" s="13" t="s">
        <v>92</v>
      </c>
      <c r="H4" s="13" t="s">
        <v>105</v>
      </c>
      <c r="I4" s="13" t="s">
        <v>106</v>
      </c>
      <c r="J4" s="13" t="s">
        <v>107</v>
      </c>
      <c r="K4" s="13" t="s">
        <v>82</v>
      </c>
      <c r="L4">
        <v>60651.51</v>
      </c>
      <c r="M4">
        <v>52023.360000000001</v>
      </c>
      <c r="N4">
        <v>19027.82</v>
      </c>
      <c r="O4">
        <v>0</v>
      </c>
      <c r="P4">
        <v>37672.1</v>
      </c>
      <c r="Q4">
        <v>0</v>
      </c>
      <c r="R4">
        <v>37672.1</v>
      </c>
      <c r="S4">
        <v>37672.1</v>
      </c>
      <c r="T4">
        <v>0</v>
      </c>
      <c r="U4">
        <v>139</v>
      </c>
      <c r="V4">
        <v>48.52</v>
      </c>
      <c r="W4">
        <v>8.1999999999999993</v>
      </c>
      <c r="X4">
        <v>0</v>
      </c>
      <c r="Y4">
        <v>60651.51</v>
      </c>
      <c r="Z4">
        <v>8</v>
      </c>
      <c r="AA4" s="13" t="s">
        <v>3228</v>
      </c>
      <c r="AB4">
        <v>0</v>
      </c>
      <c r="AC4">
        <v>1</v>
      </c>
      <c r="AD4" s="13" t="s">
        <v>3229</v>
      </c>
    </row>
    <row r="5" spans="1:30" x14ac:dyDescent="0.35">
      <c r="A5">
        <v>4</v>
      </c>
      <c r="B5">
        <v>2</v>
      </c>
      <c r="C5" s="13" t="s">
        <v>283</v>
      </c>
      <c r="D5" s="13" t="s">
        <v>284</v>
      </c>
      <c r="E5" s="13" t="s">
        <v>104</v>
      </c>
      <c r="F5" s="13" t="s">
        <v>53</v>
      </c>
      <c r="G5" s="13" t="s">
        <v>92</v>
      </c>
      <c r="H5" s="13" t="s">
        <v>105</v>
      </c>
      <c r="I5" s="13" t="s">
        <v>106</v>
      </c>
      <c r="J5" s="13" t="s">
        <v>107</v>
      </c>
      <c r="K5" s="13" t="s">
        <v>82</v>
      </c>
      <c r="L5">
        <v>60280.9</v>
      </c>
      <c r="M5">
        <v>48278</v>
      </c>
      <c r="N5">
        <v>24426.9</v>
      </c>
      <c r="O5">
        <v>0</v>
      </c>
      <c r="P5">
        <v>35663.129999999997</v>
      </c>
      <c r="Q5">
        <v>0</v>
      </c>
      <c r="R5">
        <v>35663.129999999997</v>
      </c>
      <c r="S5">
        <v>35663.129999999997</v>
      </c>
      <c r="T5">
        <v>0</v>
      </c>
      <c r="U5">
        <v>147</v>
      </c>
      <c r="V5">
        <v>57.41</v>
      </c>
      <c r="W5">
        <v>8.4</v>
      </c>
      <c r="X5">
        <v>0</v>
      </c>
      <c r="Y5">
        <v>60280.9</v>
      </c>
      <c r="Z5">
        <v>7</v>
      </c>
      <c r="AA5" s="13" t="s">
        <v>3228</v>
      </c>
      <c r="AB5">
        <v>0</v>
      </c>
      <c r="AC5">
        <v>1</v>
      </c>
      <c r="AD5" s="13" t="s">
        <v>3229</v>
      </c>
    </row>
    <row r="6" spans="1:30" x14ac:dyDescent="0.35">
      <c r="A6">
        <v>5</v>
      </c>
      <c r="B6">
        <v>1</v>
      </c>
      <c r="C6" s="13" t="s">
        <v>280</v>
      </c>
      <c r="D6" s="13" t="s">
        <v>281</v>
      </c>
      <c r="E6" s="13" t="s">
        <v>104</v>
      </c>
      <c r="F6" s="13" t="s">
        <v>71</v>
      </c>
      <c r="G6" s="13" t="s">
        <v>92</v>
      </c>
      <c r="H6" s="13" t="s">
        <v>121</v>
      </c>
      <c r="I6" s="13" t="s">
        <v>122</v>
      </c>
      <c r="J6" s="13" t="s">
        <v>107</v>
      </c>
      <c r="K6" s="13" t="s">
        <v>88</v>
      </c>
      <c r="L6">
        <v>76941.41</v>
      </c>
      <c r="M6">
        <v>46413.57</v>
      </c>
      <c r="N6">
        <v>10287.08</v>
      </c>
      <c r="O6">
        <v>0</v>
      </c>
      <c r="P6">
        <v>32793.730000000003</v>
      </c>
      <c r="Q6">
        <v>0</v>
      </c>
      <c r="R6">
        <v>32793.730000000003</v>
      </c>
      <c r="S6">
        <v>32793.730000000003</v>
      </c>
      <c r="T6">
        <v>0</v>
      </c>
      <c r="U6">
        <v>120</v>
      </c>
      <c r="V6">
        <v>76.94</v>
      </c>
      <c r="W6">
        <v>27.5</v>
      </c>
      <c r="X6">
        <v>0</v>
      </c>
      <c r="Y6">
        <v>76941.41</v>
      </c>
      <c r="Z6">
        <v>8</v>
      </c>
      <c r="AA6" s="13" t="s">
        <v>3228</v>
      </c>
      <c r="AB6">
        <v>0</v>
      </c>
      <c r="AC6">
        <v>1</v>
      </c>
      <c r="AD6" s="13" t="s">
        <v>3229</v>
      </c>
    </row>
    <row r="7" spans="1:30" x14ac:dyDescent="0.35">
      <c r="A7">
        <v>6</v>
      </c>
      <c r="B7">
        <v>2</v>
      </c>
      <c r="C7" s="13" t="s">
        <v>293</v>
      </c>
      <c r="D7" s="13" t="s">
        <v>294</v>
      </c>
      <c r="E7" s="13" t="s">
        <v>104</v>
      </c>
      <c r="F7" s="13" t="s">
        <v>99</v>
      </c>
      <c r="G7" s="13" t="s">
        <v>92</v>
      </c>
      <c r="H7" s="13" t="s">
        <v>121</v>
      </c>
      <c r="I7" s="13" t="s">
        <v>122</v>
      </c>
      <c r="J7" s="13" t="s">
        <v>107</v>
      </c>
      <c r="K7" s="13" t="s">
        <v>82</v>
      </c>
      <c r="L7">
        <v>65460.37</v>
      </c>
      <c r="M7">
        <v>51420.43</v>
      </c>
      <c r="N7">
        <v>18333.73</v>
      </c>
      <c r="O7">
        <v>7692.27</v>
      </c>
      <c r="P7">
        <v>32505.02</v>
      </c>
      <c r="Q7">
        <v>0</v>
      </c>
      <c r="R7">
        <v>32505.02</v>
      </c>
      <c r="S7">
        <v>32505.02</v>
      </c>
      <c r="T7">
        <v>0</v>
      </c>
      <c r="U7">
        <v>140</v>
      </c>
      <c r="V7">
        <v>45.15</v>
      </c>
      <c r="W7">
        <v>17.100000000000001</v>
      </c>
      <c r="X7">
        <v>0</v>
      </c>
      <c r="Y7">
        <v>65460.37</v>
      </c>
      <c r="Z7">
        <v>7</v>
      </c>
      <c r="AA7" s="13" t="s">
        <v>3228</v>
      </c>
      <c r="AB7">
        <v>0</v>
      </c>
      <c r="AC7">
        <v>1</v>
      </c>
      <c r="AD7" s="13" t="s">
        <v>3229</v>
      </c>
    </row>
    <row r="8" spans="1:30" x14ac:dyDescent="0.35">
      <c r="A8">
        <v>7</v>
      </c>
      <c r="B8">
        <v>2</v>
      </c>
      <c r="C8" s="13" t="s">
        <v>286</v>
      </c>
      <c r="D8" s="13" t="s">
        <v>287</v>
      </c>
      <c r="E8" s="13" t="s">
        <v>104</v>
      </c>
      <c r="F8" s="13" t="s">
        <v>77</v>
      </c>
      <c r="G8" s="13" t="s">
        <v>92</v>
      </c>
      <c r="H8" s="13" t="s">
        <v>86</v>
      </c>
      <c r="I8" s="13" t="s">
        <v>87</v>
      </c>
      <c r="J8" s="13" t="s">
        <v>58</v>
      </c>
      <c r="K8" s="13" t="s">
        <v>95</v>
      </c>
      <c r="L8">
        <v>53593.68</v>
      </c>
      <c r="M8">
        <v>45881.37</v>
      </c>
      <c r="N8">
        <v>16968.16</v>
      </c>
      <c r="O8">
        <v>0</v>
      </c>
      <c r="P8">
        <v>31940.25</v>
      </c>
      <c r="Q8">
        <v>0</v>
      </c>
      <c r="R8">
        <v>31940.25</v>
      </c>
      <c r="S8">
        <v>31940.25</v>
      </c>
      <c r="T8">
        <v>0</v>
      </c>
      <c r="U8">
        <v>143</v>
      </c>
      <c r="V8">
        <v>35.729999999999997</v>
      </c>
      <c r="W8">
        <v>26</v>
      </c>
      <c r="X8">
        <v>0</v>
      </c>
      <c r="Y8">
        <v>53593.68</v>
      </c>
      <c r="Z8">
        <v>8</v>
      </c>
      <c r="AA8" s="13" t="s">
        <v>3228</v>
      </c>
      <c r="AB8">
        <v>0</v>
      </c>
      <c r="AC8">
        <v>1</v>
      </c>
      <c r="AD8" s="13" t="s">
        <v>3229</v>
      </c>
    </row>
    <row r="9" spans="1:30" x14ac:dyDescent="0.35">
      <c r="A9">
        <v>8</v>
      </c>
      <c r="B9">
        <v>3</v>
      </c>
      <c r="C9" s="13" t="s">
        <v>216</v>
      </c>
      <c r="D9" s="13" t="s">
        <v>217</v>
      </c>
      <c r="E9" s="13" t="s">
        <v>52</v>
      </c>
      <c r="F9" s="13" t="s">
        <v>65</v>
      </c>
      <c r="G9" s="13" t="s">
        <v>67</v>
      </c>
      <c r="H9" s="13" t="s">
        <v>86</v>
      </c>
      <c r="I9" s="13" t="s">
        <v>87</v>
      </c>
      <c r="J9" s="13" t="s">
        <v>58</v>
      </c>
      <c r="K9" s="13" t="s">
        <v>88</v>
      </c>
      <c r="L9">
        <v>150926.78</v>
      </c>
      <c r="M9">
        <v>85720.95</v>
      </c>
      <c r="N9">
        <v>1675.15</v>
      </c>
      <c r="O9">
        <v>0</v>
      </c>
      <c r="P9">
        <v>33193.06</v>
      </c>
      <c r="Q9">
        <v>0</v>
      </c>
      <c r="R9">
        <v>31517.91</v>
      </c>
      <c r="S9">
        <v>31517.91</v>
      </c>
      <c r="T9">
        <v>0</v>
      </c>
      <c r="U9">
        <v>274</v>
      </c>
      <c r="V9">
        <v>29.31</v>
      </c>
      <c r="W9">
        <v>59.3</v>
      </c>
      <c r="X9">
        <v>1675.15</v>
      </c>
      <c r="Y9">
        <v>149251.63</v>
      </c>
      <c r="Z9">
        <v>0</v>
      </c>
      <c r="AA9" s="13" t="s">
        <v>3232</v>
      </c>
      <c r="AB9">
        <v>0</v>
      </c>
      <c r="AC9">
        <v>1</v>
      </c>
      <c r="AD9" s="13" t="s">
        <v>3233</v>
      </c>
    </row>
    <row r="10" spans="1:30" x14ac:dyDescent="0.35">
      <c r="A10">
        <v>9</v>
      </c>
      <c r="B10">
        <v>3</v>
      </c>
      <c r="C10" s="13" t="s">
        <v>290</v>
      </c>
      <c r="D10" s="13" t="s">
        <v>291</v>
      </c>
      <c r="E10" s="13" t="s">
        <v>104</v>
      </c>
      <c r="F10" s="13" t="s">
        <v>77</v>
      </c>
      <c r="G10" s="13" t="s">
        <v>92</v>
      </c>
      <c r="H10" s="13" t="s">
        <v>121</v>
      </c>
      <c r="I10" s="13" t="s">
        <v>122</v>
      </c>
      <c r="J10" s="13" t="s">
        <v>107</v>
      </c>
      <c r="K10" s="13" t="s">
        <v>82</v>
      </c>
      <c r="L10">
        <v>59342.1</v>
      </c>
      <c r="M10">
        <v>46818.720000000001</v>
      </c>
      <c r="N10">
        <v>14609.63</v>
      </c>
      <c r="O10">
        <v>0</v>
      </c>
      <c r="P10">
        <v>27084.27</v>
      </c>
      <c r="Q10">
        <v>0</v>
      </c>
      <c r="R10">
        <v>27084.27</v>
      </c>
      <c r="S10">
        <v>27084.27</v>
      </c>
      <c r="T10">
        <v>0</v>
      </c>
      <c r="U10">
        <v>140</v>
      </c>
      <c r="V10">
        <v>42.39</v>
      </c>
      <c r="W10">
        <v>10.9</v>
      </c>
      <c r="X10">
        <v>0</v>
      </c>
      <c r="Y10">
        <v>59342.1</v>
      </c>
      <c r="Z10">
        <v>7</v>
      </c>
      <c r="AA10" s="13" t="s">
        <v>3228</v>
      </c>
      <c r="AB10">
        <v>0</v>
      </c>
      <c r="AC10">
        <v>1</v>
      </c>
      <c r="AD10" s="13" t="s">
        <v>3229</v>
      </c>
    </row>
    <row r="11" spans="1:30" x14ac:dyDescent="0.35">
      <c r="A11">
        <v>10</v>
      </c>
      <c r="B11">
        <v>3</v>
      </c>
      <c r="C11" s="13" t="s">
        <v>300</v>
      </c>
      <c r="D11" s="13" t="s">
        <v>301</v>
      </c>
      <c r="E11" s="13" t="s">
        <v>104</v>
      </c>
      <c r="F11" s="13" t="s">
        <v>99</v>
      </c>
      <c r="G11" s="13" t="s">
        <v>92</v>
      </c>
      <c r="H11" s="13" t="s">
        <v>105</v>
      </c>
      <c r="I11" s="13" t="s">
        <v>106</v>
      </c>
      <c r="J11" s="13" t="s">
        <v>107</v>
      </c>
      <c r="K11" s="13" t="s">
        <v>95</v>
      </c>
      <c r="L11">
        <v>31830.69</v>
      </c>
      <c r="M11">
        <v>28601.279999999999</v>
      </c>
      <c r="N11">
        <v>26001.78</v>
      </c>
      <c r="O11">
        <v>0</v>
      </c>
      <c r="P11">
        <v>27073.54</v>
      </c>
      <c r="Q11">
        <v>0</v>
      </c>
      <c r="R11">
        <v>27073.54</v>
      </c>
      <c r="S11">
        <v>27073.54</v>
      </c>
      <c r="T11">
        <v>0</v>
      </c>
      <c r="U11">
        <v>138</v>
      </c>
      <c r="V11">
        <v>106.1</v>
      </c>
      <c r="W11">
        <v>32.299999999999997</v>
      </c>
      <c r="X11">
        <v>0</v>
      </c>
      <c r="Y11">
        <v>31830.69</v>
      </c>
      <c r="Z11">
        <v>5</v>
      </c>
      <c r="AA11" s="13" t="s">
        <v>3228</v>
      </c>
      <c r="AB11">
        <v>1</v>
      </c>
      <c r="AC11">
        <v>1</v>
      </c>
      <c r="AD11" s="13" t="s">
        <v>3234</v>
      </c>
    </row>
    <row r="12" spans="1:30" x14ac:dyDescent="0.35">
      <c r="A12">
        <v>11</v>
      </c>
      <c r="B12">
        <v>4</v>
      </c>
      <c r="C12" s="13" t="s">
        <v>277</v>
      </c>
      <c r="D12" s="13" t="s">
        <v>278</v>
      </c>
      <c r="E12" s="13" t="s">
        <v>104</v>
      </c>
      <c r="F12" s="13" t="s">
        <v>71</v>
      </c>
      <c r="G12" s="13" t="s">
        <v>92</v>
      </c>
      <c r="H12" s="13" t="s">
        <v>105</v>
      </c>
      <c r="I12" s="13" t="s">
        <v>106</v>
      </c>
      <c r="J12" s="13" t="s">
        <v>107</v>
      </c>
      <c r="K12" s="13" t="s">
        <v>88</v>
      </c>
      <c r="L12">
        <v>84970.22</v>
      </c>
      <c r="M12">
        <v>41199.26</v>
      </c>
      <c r="N12">
        <v>9337.5300000000007</v>
      </c>
      <c r="O12">
        <v>0</v>
      </c>
      <c r="P12">
        <v>25099.35</v>
      </c>
      <c r="Q12">
        <v>0</v>
      </c>
      <c r="R12">
        <v>25099.35</v>
      </c>
      <c r="S12">
        <v>25099.35</v>
      </c>
      <c r="T12">
        <v>0</v>
      </c>
      <c r="U12">
        <v>122</v>
      </c>
      <c r="V12">
        <v>80.92</v>
      </c>
      <c r="W12">
        <v>24.2</v>
      </c>
      <c r="X12">
        <v>0</v>
      </c>
      <c r="Y12">
        <v>84970.22</v>
      </c>
      <c r="Z12">
        <v>10</v>
      </c>
      <c r="AA12" s="13" t="s">
        <v>3228</v>
      </c>
      <c r="AB12">
        <v>0</v>
      </c>
      <c r="AC12">
        <v>1</v>
      </c>
      <c r="AD12" s="13" t="s">
        <v>3229</v>
      </c>
    </row>
    <row r="13" spans="1:30" x14ac:dyDescent="0.35">
      <c r="A13">
        <v>12</v>
      </c>
      <c r="B13">
        <v>4</v>
      </c>
      <c r="C13" s="13" t="s">
        <v>418</v>
      </c>
      <c r="D13" s="13" t="s">
        <v>419</v>
      </c>
      <c r="E13" s="13" t="s">
        <v>52</v>
      </c>
      <c r="F13" s="13" t="s">
        <v>99</v>
      </c>
      <c r="G13" s="13" t="s">
        <v>67</v>
      </c>
      <c r="H13" s="13" t="s">
        <v>86</v>
      </c>
      <c r="I13" s="13" t="s">
        <v>87</v>
      </c>
      <c r="J13" s="13" t="s">
        <v>58</v>
      </c>
      <c r="K13" s="13" t="s">
        <v>59</v>
      </c>
      <c r="L13">
        <v>125485.34</v>
      </c>
      <c r="M13">
        <v>87648.639999999999</v>
      </c>
      <c r="N13">
        <v>0</v>
      </c>
      <c r="O13">
        <v>17811.560000000001</v>
      </c>
      <c r="P13">
        <v>27862.93</v>
      </c>
      <c r="Q13">
        <v>4216.6499999999996</v>
      </c>
      <c r="R13">
        <v>24700.44</v>
      </c>
      <c r="S13">
        <v>24700.44</v>
      </c>
      <c r="T13">
        <v>0</v>
      </c>
      <c r="U13">
        <v>69</v>
      </c>
      <c r="V13">
        <v>23.46</v>
      </c>
      <c r="W13">
        <v>58.6</v>
      </c>
      <c r="X13">
        <v>0</v>
      </c>
      <c r="Y13">
        <v>125485.34</v>
      </c>
      <c r="Z13">
        <v>0</v>
      </c>
      <c r="AA13" s="13" t="s">
        <v>3230</v>
      </c>
      <c r="AB13">
        <v>0</v>
      </c>
      <c r="AC13">
        <v>1</v>
      </c>
      <c r="AD13" s="13" t="s">
        <v>3231</v>
      </c>
    </row>
    <row r="14" spans="1:30" x14ac:dyDescent="0.35">
      <c r="A14">
        <v>13</v>
      </c>
      <c r="B14">
        <v>5</v>
      </c>
      <c r="C14" s="13" t="s">
        <v>605</v>
      </c>
      <c r="D14" s="13" t="s">
        <v>606</v>
      </c>
      <c r="E14" s="13" t="s">
        <v>52</v>
      </c>
      <c r="F14" s="13" t="s">
        <v>65</v>
      </c>
      <c r="G14" s="13" t="s">
        <v>67</v>
      </c>
      <c r="H14" s="13" t="s">
        <v>86</v>
      </c>
      <c r="I14" s="13" t="s">
        <v>87</v>
      </c>
      <c r="J14" s="13" t="s">
        <v>58</v>
      </c>
      <c r="K14" s="13" t="s">
        <v>59</v>
      </c>
      <c r="L14">
        <v>152726.53</v>
      </c>
      <c r="M14">
        <v>58576.86</v>
      </c>
      <c r="N14">
        <v>0</v>
      </c>
      <c r="O14">
        <v>0</v>
      </c>
      <c r="P14">
        <v>21504.84</v>
      </c>
      <c r="Q14">
        <v>0</v>
      </c>
      <c r="R14">
        <v>21504.84</v>
      </c>
      <c r="S14">
        <v>21504.84</v>
      </c>
      <c r="T14">
        <v>0</v>
      </c>
      <c r="U14">
        <v>44</v>
      </c>
      <c r="V14">
        <v>45.59</v>
      </c>
      <c r="W14">
        <v>55.7</v>
      </c>
      <c r="X14">
        <v>0</v>
      </c>
      <c r="Y14">
        <v>152726.53</v>
      </c>
      <c r="Z14">
        <v>0</v>
      </c>
      <c r="AA14" s="13" t="s">
        <v>3230</v>
      </c>
      <c r="AB14">
        <v>0</v>
      </c>
      <c r="AC14">
        <v>1</v>
      </c>
      <c r="AD14" s="13" t="s">
        <v>3231</v>
      </c>
    </row>
    <row r="15" spans="1:30" x14ac:dyDescent="0.35">
      <c r="A15">
        <v>14</v>
      </c>
      <c r="B15">
        <v>2</v>
      </c>
      <c r="C15" s="13" t="s">
        <v>558</v>
      </c>
      <c r="D15" s="13" t="s">
        <v>559</v>
      </c>
      <c r="E15" s="13" t="s">
        <v>52</v>
      </c>
      <c r="F15" s="13" t="s">
        <v>53</v>
      </c>
      <c r="G15" s="13" t="s">
        <v>55</v>
      </c>
      <c r="H15" s="13" t="s">
        <v>56</v>
      </c>
      <c r="I15" s="13" t="s">
        <v>57</v>
      </c>
      <c r="J15" s="13" t="s">
        <v>58</v>
      </c>
      <c r="K15" s="13" t="s">
        <v>59</v>
      </c>
      <c r="L15">
        <v>127031.86</v>
      </c>
      <c r="M15">
        <v>51164.87</v>
      </c>
      <c r="N15">
        <v>0</v>
      </c>
      <c r="O15">
        <v>15908.3</v>
      </c>
      <c r="P15">
        <v>20707.5</v>
      </c>
      <c r="Q15">
        <v>0</v>
      </c>
      <c r="R15">
        <v>20707.5</v>
      </c>
      <c r="S15">
        <v>20707.5</v>
      </c>
      <c r="T15">
        <v>0</v>
      </c>
      <c r="U15">
        <v>47</v>
      </c>
      <c r="V15">
        <v>52.93</v>
      </c>
      <c r="W15">
        <v>67.8</v>
      </c>
      <c r="X15">
        <v>0</v>
      </c>
      <c r="Y15">
        <v>127031.86</v>
      </c>
      <c r="Z15">
        <v>0</v>
      </c>
      <c r="AA15" s="13" t="s">
        <v>3230</v>
      </c>
      <c r="AB15">
        <v>0</v>
      </c>
      <c r="AC15">
        <v>1</v>
      </c>
      <c r="AD15" s="13" t="s">
        <v>3231</v>
      </c>
    </row>
    <row r="16" spans="1:30" x14ac:dyDescent="0.35">
      <c r="A16">
        <v>15</v>
      </c>
      <c r="B16">
        <v>6</v>
      </c>
      <c r="C16" s="13" t="s">
        <v>446</v>
      </c>
      <c r="D16" s="13" t="s">
        <v>447</v>
      </c>
      <c r="E16" s="13" t="s">
        <v>52</v>
      </c>
      <c r="F16" s="13" t="s">
        <v>53</v>
      </c>
      <c r="G16" s="13" t="s">
        <v>67</v>
      </c>
      <c r="H16" s="13" t="s">
        <v>86</v>
      </c>
      <c r="I16" s="13" t="s">
        <v>87</v>
      </c>
      <c r="J16" s="13" t="s">
        <v>58</v>
      </c>
      <c r="K16" s="13" t="s">
        <v>88</v>
      </c>
      <c r="L16">
        <v>90154.01</v>
      </c>
      <c r="M16">
        <v>52664.06</v>
      </c>
      <c r="N16">
        <v>0</v>
      </c>
      <c r="O16">
        <v>9987.4</v>
      </c>
      <c r="P16">
        <v>15834.62</v>
      </c>
      <c r="Q16">
        <v>2496.85</v>
      </c>
      <c r="R16">
        <v>13961.98</v>
      </c>
      <c r="S16">
        <v>13961.98</v>
      </c>
      <c r="T16">
        <v>0</v>
      </c>
      <c r="U16">
        <v>47</v>
      </c>
      <c r="V16">
        <v>36.799999999999997</v>
      </c>
      <c r="W16">
        <v>59.9</v>
      </c>
      <c r="X16">
        <v>0</v>
      </c>
      <c r="Y16">
        <v>90154.01</v>
      </c>
      <c r="Z16">
        <v>0</v>
      </c>
      <c r="AA16" s="13" t="s">
        <v>3230</v>
      </c>
      <c r="AB16">
        <v>0</v>
      </c>
      <c r="AC16">
        <v>1</v>
      </c>
      <c r="AD16" s="13" t="s">
        <v>3231</v>
      </c>
    </row>
    <row r="17" spans="1:30" x14ac:dyDescent="0.35">
      <c r="A17">
        <v>16</v>
      </c>
      <c r="B17">
        <v>3</v>
      </c>
      <c r="C17" s="13" t="s">
        <v>695</v>
      </c>
      <c r="D17" s="13" t="s">
        <v>696</v>
      </c>
      <c r="E17" s="13" t="s">
        <v>52</v>
      </c>
      <c r="F17" s="13" t="s">
        <v>53</v>
      </c>
      <c r="G17" s="13" t="s">
        <v>92</v>
      </c>
      <c r="H17" s="13" t="s">
        <v>56</v>
      </c>
      <c r="I17" s="13" t="s">
        <v>57</v>
      </c>
      <c r="J17" s="13" t="s">
        <v>58</v>
      </c>
      <c r="K17" s="13" t="s">
        <v>88</v>
      </c>
      <c r="L17">
        <v>159690.79999999999</v>
      </c>
      <c r="M17">
        <v>50936.25</v>
      </c>
      <c r="N17">
        <v>0</v>
      </c>
      <c r="O17">
        <v>0</v>
      </c>
      <c r="P17">
        <v>12734.06</v>
      </c>
      <c r="Q17">
        <v>0</v>
      </c>
      <c r="R17">
        <v>12734.06</v>
      </c>
      <c r="S17">
        <v>12734.06</v>
      </c>
      <c r="T17">
        <v>0</v>
      </c>
      <c r="U17">
        <v>18</v>
      </c>
      <c r="V17">
        <v>29.85</v>
      </c>
      <c r="W17">
        <v>24.1</v>
      </c>
      <c r="X17">
        <v>0</v>
      </c>
      <c r="Y17">
        <v>159690.79999999999</v>
      </c>
      <c r="Z17">
        <v>0</v>
      </c>
      <c r="AA17" s="13" t="s">
        <v>3235</v>
      </c>
      <c r="AB17">
        <v>0</v>
      </c>
      <c r="AC17">
        <v>1</v>
      </c>
      <c r="AD17" s="13" t="s">
        <v>3236</v>
      </c>
    </row>
    <row r="18" spans="1:30" x14ac:dyDescent="0.35">
      <c r="A18">
        <v>17</v>
      </c>
      <c r="B18">
        <v>5</v>
      </c>
      <c r="C18" s="13" t="s">
        <v>357</v>
      </c>
      <c r="D18" s="13" t="s">
        <v>358</v>
      </c>
      <c r="E18" s="13" t="s">
        <v>104</v>
      </c>
      <c r="F18" s="13" t="s">
        <v>71</v>
      </c>
      <c r="G18" s="13" t="s">
        <v>92</v>
      </c>
      <c r="H18" s="13" t="s">
        <v>105</v>
      </c>
      <c r="I18" s="13" t="s">
        <v>106</v>
      </c>
      <c r="J18" s="13" t="s">
        <v>107</v>
      </c>
      <c r="K18" s="13" t="s">
        <v>82</v>
      </c>
      <c r="L18">
        <v>24570.62</v>
      </c>
      <c r="M18">
        <v>16849.82</v>
      </c>
      <c r="N18">
        <v>8126.02</v>
      </c>
      <c r="O18">
        <v>0</v>
      </c>
      <c r="P18">
        <v>12487.92</v>
      </c>
      <c r="Q18">
        <v>0</v>
      </c>
      <c r="R18">
        <v>12487.92</v>
      </c>
      <c r="S18">
        <v>12487.92</v>
      </c>
      <c r="T18">
        <v>0</v>
      </c>
      <c r="U18">
        <v>111</v>
      </c>
      <c r="V18">
        <v>98.28</v>
      </c>
      <c r="W18">
        <v>9.1999999999999993</v>
      </c>
      <c r="X18">
        <v>0</v>
      </c>
      <c r="Y18">
        <v>24570.62</v>
      </c>
      <c r="Z18">
        <v>1</v>
      </c>
      <c r="AA18" s="13" t="s">
        <v>3228</v>
      </c>
      <c r="AB18">
        <v>0</v>
      </c>
      <c r="AC18">
        <v>1</v>
      </c>
      <c r="AD18" s="13" t="s">
        <v>3229</v>
      </c>
    </row>
    <row r="19" spans="1:30" x14ac:dyDescent="0.35">
      <c r="A19">
        <v>18</v>
      </c>
      <c r="B19">
        <v>4</v>
      </c>
      <c r="C19" s="13" t="s">
        <v>137</v>
      </c>
      <c r="D19" s="13" t="s">
        <v>138</v>
      </c>
      <c r="E19" s="13" t="s">
        <v>52</v>
      </c>
      <c r="F19" s="13" t="s">
        <v>53</v>
      </c>
      <c r="G19" s="13" t="s">
        <v>92</v>
      </c>
      <c r="H19" s="13" t="s">
        <v>56</v>
      </c>
      <c r="I19" s="13" t="s">
        <v>57</v>
      </c>
      <c r="J19" s="13" t="s">
        <v>58</v>
      </c>
      <c r="K19" s="13" t="s">
        <v>88</v>
      </c>
      <c r="L19">
        <v>93887.29</v>
      </c>
      <c r="M19">
        <v>53541.39</v>
      </c>
      <c r="N19">
        <v>3658.04</v>
      </c>
      <c r="O19">
        <v>0</v>
      </c>
      <c r="P19">
        <v>16128.88</v>
      </c>
      <c r="Q19">
        <v>0</v>
      </c>
      <c r="R19">
        <v>12470.84</v>
      </c>
      <c r="S19">
        <v>12470.84</v>
      </c>
      <c r="T19">
        <v>0</v>
      </c>
      <c r="U19">
        <v>502</v>
      </c>
      <c r="V19">
        <v>26.45</v>
      </c>
      <c r="W19">
        <v>24.4</v>
      </c>
      <c r="X19">
        <v>3658.04</v>
      </c>
      <c r="Y19">
        <v>90229.25</v>
      </c>
      <c r="Z19">
        <v>0</v>
      </c>
      <c r="AA19" s="13" t="s">
        <v>3228</v>
      </c>
      <c r="AB19">
        <v>0</v>
      </c>
      <c r="AC19">
        <v>1</v>
      </c>
      <c r="AD19" s="13" t="s">
        <v>3229</v>
      </c>
    </row>
    <row r="20" spans="1:30" x14ac:dyDescent="0.35">
      <c r="A20">
        <v>19</v>
      </c>
      <c r="B20">
        <v>5</v>
      </c>
      <c r="C20" s="13" t="s">
        <v>1247</v>
      </c>
      <c r="D20" s="13" t="s">
        <v>1248</v>
      </c>
      <c r="E20" s="13" t="s">
        <v>52</v>
      </c>
      <c r="F20" s="13" t="s">
        <v>99</v>
      </c>
      <c r="G20" s="13" t="s">
        <v>55</v>
      </c>
      <c r="H20" s="13" t="s">
        <v>56</v>
      </c>
      <c r="I20" s="13" t="s">
        <v>57</v>
      </c>
      <c r="J20" s="13" t="s">
        <v>58</v>
      </c>
      <c r="K20" s="13" t="s">
        <v>59</v>
      </c>
      <c r="L20">
        <v>116620.23</v>
      </c>
      <c r="M20">
        <v>44023.4</v>
      </c>
      <c r="N20">
        <v>0</v>
      </c>
      <c r="O20">
        <v>11224.6</v>
      </c>
      <c r="P20">
        <v>11005.85</v>
      </c>
      <c r="Q20">
        <v>0</v>
      </c>
      <c r="R20">
        <v>11005.85</v>
      </c>
      <c r="S20">
        <v>11005.85</v>
      </c>
      <c r="T20">
        <v>0</v>
      </c>
      <c r="U20">
        <v>4</v>
      </c>
      <c r="V20">
        <v>19.440000000000001</v>
      </c>
      <c r="W20">
        <v>15.5</v>
      </c>
      <c r="X20">
        <v>0</v>
      </c>
      <c r="Y20">
        <v>116620.23</v>
      </c>
      <c r="Z20">
        <v>0</v>
      </c>
      <c r="AA20" s="13" t="s">
        <v>3235</v>
      </c>
      <c r="AB20">
        <v>0</v>
      </c>
      <c r="AC20">
        <v>1</v>
      </c>
      <c r="AD20" s="13" t="s">
        <v>3236</v>
      </c>
    </row>
    <row r="21" spans="1:30" x14ac:dyDescent="0.35">
      <c r="A21">
        <v>20</v>
      </c>
      <c r="B21">
        <v>7</v>
      </c>
      <c r="C21" s="13" t="s">
        <v>212</v>
      </c>
      <c r="D21" s="13" t="s">
        <v>213</v>
      </c>
      <c r="E21" s="13" t="s">
        <v>52</v>
      </c>
      <c r="F21" s="13" t="s">
        <v>71</v>
      </c>
      <c r="G21" s="13" t="s">
        <v>92</v>
      </c>
      <c r="H21" s="13" t="s">
        <v>86</v>
      </c>
      <c r="I21" s="13" t="s">
        <v>87</v>
      </c>
      <c r="J21" s="13" t="s">
        <v>58</v>
      </c>
      <c r="K21" s="13" t="s">
        <v>88</v>
      </c>
      <c r="L21">
        <v>75601.210000000006</v>
      </c>
      <c r="M21">
        <v>47161.13</v>
      </c>
      <c r="N21">
        <v>3522.98</v>
      </c>
      <c r="O21">
        <v>0</v>
      </c>
      <c r="P21">
        <v>14432.52</v>
      </c>
      <c r="Q21">
        <v>0</v>
      </c>
      <c r="R21">
        <v>10909.54</v>
      </c>
      <c r="S21">
        <v>10909.54</v>
      </c>
      <c r="T21">
        <v>0</v>
      </c>
      <c r="U21">
        <v>277</v>
      </c>
      <c r="V21">
        <v>19.899999999999999</v>
      </c>
      <c r="W21">
        <v>21.6</v>
      </c>
      <c r="X21">
        <v>3522.98</v>
      </c>
      <c r="Y21">
        <v>72078.23</v>
      </c>
      <c r="Z21">
        <v>0</v>
      </c>
      <c r="AA21" s="13" t="s">
        <v>3228</v>
      </c>
      <c r="AB21">
        <v>0</v>
      </c>
      <c r="AC21">
        <v>1</v>
      </c>
      <c r="AD21" s="13" t="s">
        <v>3229</v>
      </c>
    </row>
    <row r="22" spans="1:30" x14ac:dyDescent="0.35">
      <c r="A22">
        <v>21</v>
      </c>
      <c r="B22">
        <v>6</v>
      </c>
      <c r="C22" s="13" t="s">
        <v>425</v>
      </c>
      <c r="D22" s="13" t="s">
        <v>426</v>
      </c>
      <c r="E22" s="13" t="s">
        <v>126</v>
      </c>
      <c r="F22" s="13" t="s">
        <v>77</v>
      </c>
      <c r="G22" s="13" t="s">
        <v>67</v>
      </c>
      <c r="H22" s="13" t="s">
        <v>56</v>
      </c>
      <c r="I22" s="13" t="s">
        <v>57</v>
      </c>
      <c r="J22" s="13" t="s">
        <v>58</v>
      </c>
      <c r="K22" s="13" t="s">
        <v>368</v>
      </c>
      <c r="L22">
        <v>65440.55</v>
      </c>
      <c r="M22">
        <v>31983.14</v>
      </c>
      <c r="N22">
        <v>0</v>
      </c>
      <c r="O22">
        <v>0</v>
      </c>
      <c r="P22">
        <v>7995.79</v>
      </c>
      <c r="Q22">
        <v>0</v>
      </c>
      <c r="R22">
        <v>7995.79</v>
      </c>
      <c r="S22">
        <v>7995.79</v>
      </c>
      <c r="T22">
        <v>0</v>
      </c>
      <c r="U22">
        <v>24</v>
      </c>
      <c r="V22">
        <v>28.45</v>
      </c>
      <c r="W22">
        <v>19.399999999999999</v>
      </c>
      <c r="X22">
        <v>0</v>
      </c>
      <c r="Y22">
        <v>65440.55</v>
      </c>
      <c r="Z22">
        <v>0</v>
      </c>
      <c r="AA22" s="13" t="s">
        <v>3235</v>
      </c>
      <c r="AB22">
        <v>0</v>
      </c>
      <c r="AC22">
        <v>1</v>
      </c>
      <c r="AD22" s="13" t="s">
        <v>3236</v>
      </c>
    </row>
    <row r="23" spans="1:30" x14ac:dyDescent="0.35">
      <c r="A23">
        <v>22</v>
      </c>
      <c r="B23">
        <v>7</v>
      </c>
      <c r="C23" s="13" t="s">
        <v>312</v>
      </c>
      <c r="D23" s="13" t="s">
        <v>313</v>
      </c>
      <c r="E23" s="13" t="s">
        <v>52</v>
      </c>
      <c r="F23" s="13" t="s">
        <v>77</v>
      </c>
      <c r="G23" s="13" t="s">
        <v>55</v>
      </c>
      <c r="H23" s="13" t="s">
        <v>56</v>
      </c>
      <c r="I23" s="13" t="s">
        <v>57</v>
      </c>
      <c r="J23" s="13" t="s">
        <v>58</v>
      </c>
      <c r="K23" s="13" t="s">
        <v>88</v>
      </c>
      <c r="L23">
        <v>93975.84</v>
      </c>
      <c r="M23">
        <v>36293.49</v>
      </c>
      <c r="N23">
        <v>6170.49</v>
      </c>
      <c r="O23">
        <v>9126.86</v>
      </c>
      <c r="P23">
        <v>13701.24</v>
      </c>
      <c r="Q23">
        <v>0</v>
      </c>
      <c r="R23">
        <v>7530.75</v>
      </c>
      <c r="S23">
        <v>7530.75</v>
      </c>
      <c r="T23">
        <v>0</v>
      </c>
      <c r="U23">
        <v>102</v>
      </c>
      <c r="V23">
        <v>15.66</v>
      </c>
      <c r="W23">
        <v>12.5</v>
      </c>
      <c r="X23">
        <v>6170.49</v>
      </c>
      <c r="Y23">
        <v>87805.35</v>
      </c>
      <c r="Z23">
        <v>1</v>
      </c>
      <c r="AA23" s="13" t="s">
        <v>3232</v>
      </c>
      <c r="AB23">
        <v>0</v>
      </c>
      <c r="AC23">
        <v>1</v>
      </c>
      <c r="AD23" s="13" t="s">
        <v>3233</v>
      </c>
    </row>
    <row r="24" spans="1:30" x14ac:dyDescent="0.35">
      <c r="A24">
        <v>23</v>
      </c>
      <c r="B24">
        <v>8</v>
      </c>
      <c r="C24" s="13" t="s">
        <v>253</v>
      </c>
      <c r="D24" s="13" t="s">
        <v>254</v>
      </c>
      <c r="E24" s="13" t="s">
        <v>52</v>
      </c>
      <c r="F24" s="13" t="s">
        <v>65</v>
      </c>
      <c r="G24" s="13" t="s">
        <v>55</v>
      </c>
      <c r="H24" s="13" t="s">
        <v>56</v>
      </c>
      <c r="I24" s="13" t="s">
        <v>57</v>
      </c>
      <c r="J24" s="13" t="s">
        <v>58</v>
      </c>
      <c r="K24" s="13" t="s">
        <v>59</v>
      </c>
      <c r="L24">
        <v>78932.509999999995</v>
      </c>
      <c r="M24">
        <v>29973.52</v>
      </c>
      <c r="N24">
        <v>1838.06</v>
      </c>
      <c r="O24">
        <v>0</v>
      </c>
      <c r="P24">
        <v>8871.93</v>
      </c>
      <c r="Q24">
        <v>0</v>
      </c>
      <c r="R24">
        <v>7033.87</v>
      </c>
      <c r="S24">
        <v>7033.87</v>
      </c>
      <c r="T24">
        <v>0</v>
      </c>
      <c r="U24">
        <v>185</v>
      </c>
      <c r="V24">
        <v>19.02</v>
      </c>
      <c r="W24">
        <v>14.5</v>
      </c>
      <c r="X24">
        <v>1838.06</v>
      </c>
      <c r="Y24">
        <v>77094.45</v>
      </c>
      <c r="Z24">
        <v>0</v>
      </c>
      <c r="AA24" s="13" t="s">
        <v>3232</v>
      </c>
      <c r="AB24">
        <v>0</v>
      </c>
      <c r="AC24">
        <v>1</v>
      </c>
      <c r="AD24" s="13" t="s">
        <v>3233</v>
      </c>
    </row>
    <row r="25" spans="1:30" x14ac:dyDescent="0.35">
      <c r="A25">
        <v>24</v>
      </c>
      <c r="B25">
        <v>8</v>
      </c>
      <c r="C25" s="13" t="s">
        <v>547</v>
      </c>
      <c r="D25" s="13" t="s">
        <v>548</v>
      </c>
      <c r="E25" s="13" t="s">
        <v>52</v>
      </c>
      <c r="F25" s="13" t="s">
        <v>71</v>
      </c>
      <c r="G25" s="13" t="s">
        <v>92</v>
      </c>
      <c r="H25" s="13" t="s">
        <v>86</v>
      </c>
      <c r="I25" s="13" t="s">
        <v>87</v>
      </c>
      <c r="J25" s="13" t="s">
        <v>58</v>
      </c>
      <c r="K25" s="13" t="s">
        <v>88</v>
      </c>
      <c r="L25">
        <v>50863.839999999997</v>
      </c>
      <c r="M25">
        <v>21628.98</v>
      </c>
      <c r="N25">
        <v>0</v>
      </c>
      <c r="O25">
        <v>16359.42</v>
      </c>
      <c r="P25">
        <v>6762.21</v>
      </c>
      <c r="Q25">
        <v>0</v>
      </c>
      <c r="R25">
        <v>6762.21</v>
      </c>
      <c r="S25">
        <v>6762.21</v>
      </c>
      <c r="T25">
        <v>0</v>
      </c>
      <c r="U25">
        <v>33</v>
      </c>
      <c r="V25">
        <v>31.79</v>
      </c>
      <c r="W25">
        <v>23.6</v>
      </c>
      <c r="X25">
        <v>0</v>
      </c>
      <c r="Y25">
        <v>50863.839999999997</v>
      </c>
      <c r="Z25">
        <v>0</v>
      </c>
      <c r="AA25" s="13" t="s">
        <v>3237</v>
      </c>
      <c r="AB25">
        <v>0</v>
      </c>
      <c r="AC25">
        <v>1</v>
      </c>
      <c r="AD25" s="13" t="s">
        <v>3238</v>
      </c>
    </row>
    <row r="26" spans="1:30" x14ac:dyDescent="0.35">
      <c r="A26">
        <v>25</v>
      </c>
      <c r="B26">
        <v>9</v>
      </c>
      <c r="C26" s="13" t="s">
        <v>438</v>
      </c>
      <c r="D26" s="13" t="s">
        <v>439</v>
      </c>
      <c r="E26" s="13" t="s">
        <v>126</v>
      </c>
      <c r="F26" s="13" t="s">
        <v>65</v>
      </c>
      <c r="G26" s="13" t="s">
        <v>67</v>
      </c>
      <c r="H26" s="13" t="s">
        <v>86</v>
      </c>
      <c r="I26" s="13" t="s">
        <v>87</v>
      </c>
      <c r="J26" s="13" t="s">
        <v>58</v>
      </c>
      <c r="K26" s="13" t="s">
        <v>368</v>
      </c>
      <c r="L26">
        <v>44688.480000000003</v>
      </c>
      <c r="M26">
        <v>25939.03</v>
      </c>
      <c r="N26">
        <v>0</v>
      </c>
      <c r="O26">
        <v>0</v>
      </c>
      <c r="P26">
        <v>6484.76</v>
      </c>
      <c r="Q26">
        <v>0</v>
      </c>
      <c r="R26">
        <v>6484.76</v>
      </c>
      <c r="S26">
        <v>6484.76</v>
      </c>
      <c r="T26">
        <v>0</v>
      </c>
      <c r="U26">
        <v>20</v>
      </c>
      <c r="V26">
        <v>28.83</v>
      </c>
      <c r="W26">
        <v>20</v>
      </c>
      <c r="X26">
        <v>0</v>
      </c>
      <c r="Y26">
        <v>44688.480000000003</v>
      </c>
      <c r="Z26">
        <v>0</v>
      </c>
      <c r="AA26" s="13" t="s">
        <v>3235</v>
      </c>
      <c r="AB26">
        <v>0</v>
      </c>
      <c r="AC26">
        <v>1</v>
      </c>
      <c r="AD26" s="13" t="s">
        <v>3236</v>
      </c>
    </row>
    <row r="27" spans="1:30" x14ac:dyDescent="0.35">
      <c r="A27">
        <v>26</v>
      </c>
      <c r="B27">
        <v>9</v>
      </c>
      <c r="C27" s="13" t="s">
        <v>209</v>
      </c>
      <c r="D27" s="13" t="s">
        <v>210</v>
      </c>
      <c r="E27" s="13" t="s">
        <v>52</v>
      </c>
      <c r="F27" s="13" t="s">
        <v>77</v>
      </c>
      <c r="G27" s="13" t="s">
        <v>55</v>
      </c>
      <c r="H27" s="13" t="s">
        <v>56</v>
      </c>
      <c r="I27" s="13" t="s">
        <v>57</v>
      </c>
      <c r="J27" s="13" t="s">
        <v>58</v>
      </c>
      <c r="K27" s="13" t="s">
        <v>88</v>
      </c>
      <c r="L27">
        <v>72568.38</v>
      </c>
      <c r="M27">
        <v>26820.84</v>
      </c>
      <c r="N27">
        <v>4228.5600000000004</v>
      </c>
      <c r="O27">
        <v>1692.77</v>
      </c>
      <c r="P27">
        <v>10043.11</v>
      </c>
      <c r="Q27">
        <v>0</v>
      </c>
      <c r="R27">
        <v>5814.55</v>
      </c>
      <c r="S27">
        <v>5814.55</v>
      </c>
      <c r="T27">
        <v>0</v>
      </c>
      <c r="U27">
        <v>278</v>
      </c>
      <c r="V27">
        <v>17.7</v>
      </c>
      <c r="W27">
        <v>12.9</v>
      </c>
      <c r="X27">
        <v>4228.5600000000004</v>
      </c>
      <c r="Y27">
        <v>68339.820000000007</v>
      </c>
      <c r="Z27">
        <v>0</v>
      </c>
      <c r="AA27" s="13" t="s">
        <v>3232</v>
      </c>
      <c r="AB27">
        <v>0</v>
      </c>
      <c r="AC27">
        <v>1</v>
      </c>
      <c r="AD27" s="13" t="s">
        <v>3233</v>
      </c>
    </row>
    <row r="28" spans="1:30" x14ac:dyDescent="0.35">
      <c r="A28">
        <v>27</v>
      </c>
      <c r="B28">
        <v>10</v>
      </c>
      <c r="C28" s="13" t="s">
        <v>516</v>
      </c>
      <c r="D28" s="13" t="s">
        <v>517</v>
      </c>
      <c r="E28" s="13" t="s">
        <v>52</v>
      </c>
      <c r="F28" s="13" t="s">
        <v>65</v>
      </c>
      <c r="G28" s="13" t="s">
        <v>55</v>
      </c>
      <c r="H28" s="13" t="s">
        <v>56</v>
      </c>
      <c r="I28" s="13" t="s">
        <v>57</v>
      </c>
      <c r="J28" s="13" t="s">
        <v>58</v>
      </c>
      <c r="K28" s="13" t="s">
        <v>88</v>
      </c>
      <c r="L28">
        <v>61259.17</v>
      </c>
      <c r="M28">
        <v>19774.86</v>
      </c>
      <c r="N28">
        <v>0</v>
      </c>
      <c r="O28">
        <v>0</v>
      </c>
      <c r="P28">
        <v>5618.91</v>
      </c>
      <c r="Q28">
        <v>0</v>
      </c>
      <c r="R28">
        <v>5618.91</v>
      </c>
      <c r="S28">
        <v>5618.91</v>
      </c>
      <c r="T28">
        <v>0</v>
      </c>
      <c r="U28">
        <v>37</v>
      </c>
      <c r="V28">
        <v>20.079999999999998</v>
      </c>
      <c r="W28">
        <v>11.8</v>
      </c>
      <c r="X28">
        <v>0</v>
      </c>
      <c r="Y28">
        <v>61259.17</v>
      </c>
      <c r="Z28">
        <v>0</v>
      </c>
      <c r="AA28" s="13" t="s">
        <v>3230</v>
      </c>
      <c r="AB28">
        <v>0</v>
      </c>
      <c r="AC28">
        <v>1</v>
      </c>
      <c r="AD28" s="13" t="s">
        <v>3231</v>
      </c>
    </row>
    <row r="29" spans="1:30" x14ac:dyDescent="0.35">
      <c r="A29">
        <v>28</v>
      </c>
      <c r="B29">
        <v>11</v>
      </c>
      <c r="C29" s="13" t="s">
        <v>69</v>
      </c>
      <c r="D29" s="13" t="s">
        <v>70</v>
      </c>
      <c r="E29" s="13" t="s">
        <v>52</v>
      </c>
      <c r="F29" s="13" t="s">
        <v>71</v>
      </c>
      <c r="G29" s="13" t="s">
        <v>55</v>
      </c>
      <c r="H29" s="13" t="s">
        <v>56</v>
      </c>
      <c r="I29" s="13" t="s">
        <v>57</v>
      </c>
      <c r="J29" s="13" t="s">
        <v>58</v>
      </c>
      <c r="K29" s="13" t="s">
        <v>59</v>
      </c>
      <c r="L29">
        <v>103438.85</v>
      </c>
      <c r="M29">
        <v>34815.870000000003</v>
      </c>
      <c r="N29">
        <v>12428.36</v>
      </c>
      <c r="O29">
        <v>0</v>
      </c>
      <c r="P29">
        <v>18025.240000000002</v>
      </c>
      <c r="Q29">
        <v>0</v>
      </c>
      <c r="R29">
        <v>5596.88</v>
      </c>
      <c r="S29">
        <v>5596.88</v>
      </c>
      <c r="T29">
        <v>0</v>
      </c>
      <c r="U29">
        <v>656</v>
      </c>
      <c r="V29">
        <v>17.829999999999998</v>
      </c>
      <c r="W29">
        <v>11.8</v>
      </c>
      <c r="X29">
        <v>12428.36</v>
      </c>
      <c r="Y29">
        <v>91010.49</v>
      </c>
      <c r="Z29">
        <v>0</v>
      </c>
      <c r="AA29" s="13" t="s">
        <v>3232</v>
      </c>
      <c r="AB29">
        <v>0</v>
      </c>
      <c r="AC29">
        <v>0</v>
      </c>
      <c r="AD29" s="13" t="s">
        <v>3233</v>
      </c>
    </row>
    <row r="30" spans="1:30" x14ac:dyDescent="0.35">
      <c r="A30">
        <v>29</v>
      </c>
      <c r="B30">
        <v>10</v>
      </c>
      <c r="C30" s="13" t="s">
        <v>206</v>
      </c>
      <c r="D30" s="13" t="s">
        <v>207</v>
      </c>
      <c r="E30" s="13" t="s">
        <v>52</v>
      </c>
      <c r="F30" s="13" t="s">
        <v>65</v>
      </c>
      <c r="G30" s="13" t="s">
        <v>92</v>
      </c>
      <c r="H30" s="13" t="s">
        <v>86</v>
      </c>
      <c r="I30" s="13" t="s">
        <v>87</v>
      </c>
      <c r="J30" s="13" t="s">
        <v>58</v>
      </c>
      <c r="K30" s="13" t="s">
        <v>88</v>
      </c>
      <c r="L30">
        <v>125695.79</v>
      </c>
      <c r="M30">
        <v>49623.92</v>
      </c>
      <c r="N30">
        <v>13478.79</v>
      </c>
      <c r="O30">
        <v>11376.55</v>
      </c>
      <c r="P30">
        <v>22763.21</v>
      </c>
      <c r="Q30">
        <v>0</v>
      </c>
      <c r="R30">
        <v>5487.97</v>
      </c>
      <c r="S30">
        <v>5487.97</v>
      </c>
      <c r="T30">
        <v>0</v>
      </c>
      <c r="U30">
        <v>289</v>
      </c>
      <c r="V30">
        <v>25.65</v>
      </c>
      <c r="W30">
        <v>22.8</v>
      </c>
      <c r="X30">
        <v>17275.240000000002</v>
      </c>
      <c r="Y30">
        <v>108420.55</v>
      </c>
      <c r="Z30">
        <v>0</v>
      </c>
      <c r="AA30" s="13" t="s">
        <v>3228</v>
      </c>
      <c r="AB30">
        <v>0</v>
      </c>
      <c r="AC30">
        <v>1</v>
      </c>
      <c r="AD30" s="13" t="s">
        <v>3229</v>
      </c>
    </row>
    <row r="31" spans="1:30" x14ac:dyDescent="0.35">
      <c r="A31">
        <v>30</v>
      </c>
      <c r="B31">
        <v>12</v>
      </c>
      <c r="C31" s="13" t="s">
        <v>270</v>
      </c>
      <c r="D31" s="13" t="s">
        <v>271</v>
      </c>
      <c r="E31" s="13" t="s">
        <v>52</v>
      </c>
      <c r="F31" s="13" t="s">
        <v>71</v>
      </c>
      <c r="G31" s="13" t="s">
        <v>67</v>
      </c>
      <c r="H31" s="13" t="s">
        <v>56</v>
      </c>
      <c r="I31" s="13" t="s">
        <v>57</v>
      </c>
      <c r="J31" s="13" t="s">
        <v>58</v>
      </c>
      <c r="K31" s="13" t="s">
        <v>88</v>
      </c>
      <c r="L31">
        <v>85429.68</v>
      </c>
      <c r="M31">
        <v>20528.43</v>
      </c>
      <c r="N31">
        <v>5393.12</v>
      </c>
      <c r="O31">
        <v>0</v>
      </c>
      <c r="P31">
        <v>10177.450000000001</v>
      </c>
      <c r="Q31">
        <v>0</v>
      </c>
      <c r="R31">
        <v>4784.33</v>
      </c>
      <c r="S31">
        <v>4784.33</v>
      </c>
      <c r="T31">
        <v>0</v>
      </c>
      <c r="U31">
        <v>128</v>
      </c>
      <c r="V31">
        <v>15.39</v>
      </c>
      <c r="W31">
        <v>4.5999999999999996</v>
      </c>
      <c r="X31">
        <v>5393.12</v>
      </c>
      <c r="Y31">
        <v>80036.56</v>
      </c>
      <c r="Z31">
        <v>0</v>
      </c>
      <c r="AA31" s="13" t="s">
        <v>3232</v>
      </c>
      <c r="AB31">
        <v>0</v>
      </c>
      <c r="AC31">
        <v>0</v>
      </c>
      <c r="AD31" s="13" t="s">
        <v>3233</v>
      </c>
    </row>
    <row r="32" spans="1:30" x14ac:dyDescent="0.35">
      <c r="A32">
        <v>31</v>
      </c>
      <c r="B32">
        <v>4</v>
      </c>
      <c r="C32" s="13" t="s">
        <v>442</v>
      </c>
      <c r="D32" s="13" t="s">
        <v>443</v>
      </c>
      <c r="E32" s="13" t="s">
        <v>104</v>
      </c>
      <c r="F32" s="13" t="s">
        <v>71</v>
      </c>
      <c r="G32" s="13" t="s">
        <v>92</v>
      </c>
      <c r="H32" s="13" t="s">
        <v>121</v>
      </c>
      <c r="I32" s="13" t="s">
        <v>122</v>
      </c>
      <c r="J32" s="13" t="s">
        <v>107</v>
      </c>
      <c r="K32" s="13" t="s">
        <v>88</v>
      </c>
      <c r="L32">
        <v>41775.730000000003</v>
      </c>
      <c r="M32">
        <v>14282.11</v>
      </c>
      <c r="N32">
        <v>0</v>
      </c>
      <c r="O32">
        <v>0</v>
      </c>
      <c r="P32">
        <v>4395.41</v>
      </c>
      <c r="Q32">
        <v>0</v>
      </c>
      <c r="R32">
        <v>4395.41</v>
      </c>
      <c r="S32">
        <v>4395.41</v>
      </c>
      <c r="T32">
        <v>0</v>
      </c>
      <c r="U32">
        <v>47</v>
      </c>
      <c r="V32">
        <v>28.81</v>
      </c>
      <c r="W32">
        <v>22.7</v>
      </c>
      <c r="X32">
        <v>0</v>
      </c>
      <c r="Y32">
        <v>41775.730000000003</v>
      </c>
      <c r="Z32">
        <v>0</v>
      </c>
      <c r="AA32" s="13" t="s">
        <v>3230</v>
      </c>
      <c r="AB32">
        <v>0</v>
      </c>
      <c r="AC32">
        <v>1</v>
      </c>
      <c r="AD32" s="13" t="s">
        <v>3231</v>
      </c>
    </row>
    <row r="33" spans="1:30" x14ac:dyDescent="0.35">
      <c r="A33">
        <v>32</v>
      </c>
      <c r="B33">
        <v>13</v>
      </c>
      <c r="C33" s="13" t="s">
        <v>156</v>
      </c>
      <c r="D33" s="13" t="s">
        <v>157</v>
      </c>
      <c r="E33" s="13" t="s">
        <v>52</v>
      </c>
      <c r="F33" s="13" t="s">
        <v>53</v>
      </c>
      <c r="G33" s="13" t="s">
        <v>92</v>
      </c>
      <c r="H33" s="13" t="s">
        <v>56</v>
      </c>
      <c r="I33" s="13" t="s">
        <v>57</v>
      </c>
      <c r="J33" s="13" t="s">
        <v>58</v>
      </c>
      <c r="K33" s="13" t="s">
        <v>88</v>
      </c>
      <c r="L33">
        <v>150420.44</v>
      </c>
      <c r="M33">
        <v>32505.919999999998</v>
      </c>
      <c r="N33">
        <v>8694.91</v>
      </c>
      <c r="O33">
        <v>6072.76</v>
      </c>
      <c r="P33">
        <v>15517.17</v>
      </c>
      <c r="Q33">
        <v>0</v>
      </c>
      <c r="R33">
        <v>4212.18</v>
      </c>
      <c r="S33">
        <v>4212.18</v>
      </c>
      <c r="T33">
        <v>0</v>
      </c>
      <c r="U33">
        <v>471</v>
      </c>
      <c r="V33">
        <v>25.07</v>
      </c>
      <c r="W33">
        <v>22.5</v>
      </c>
      <c r="X33">
        <v>11304.99</v>
      </c>
      <c r="Y33">
        <v>139115.45000000001</v>
      </c>
      <c r="Z33">
        <v>0</v>
      </c>
      <c r="AA33" s="13" t="s">
        <v>3228</v>
      </c>
      <c r="AB33">
        <v>0</v>
      </c>
      <c r="AC33">
        <v>1</v>
      </c>
      <c r="AD33" s="13" t="s">
        <v>3229</v>
      </c>
    </row>
    <row r="34" spans="1:30" x14ac:dyDescent="0.35">
      <c r="A34">
        <v>33</v>
      </c>
      <c r="B34">
        <v>11</v>
      </c>
      <c r="C34" s="13" t="s">
        <v>854</v>
      </c>
      <c r="D34" s="13" t="s">
        <v>855</v>
      </c>
      <c r="E34" s="13" t="s">
        <v>52</v>
      </c>
      <c r="F34" s="13" t="s">
        <v>77</v>
      </c>
      <c r="G34" s="13" t="s">
        <v>67</v>
      </c>
      <c r="H34" s="13" t="s">
        <v>86</v>
      </c>
      <c r="I34" s="13" t="s">
        <v>87</v>
      </c>
      <c r="J34" s="13" t="s">
        <v>58</v>
      </c>
      <c r="K34" s="13" t="s">
        <v>88</v>
      </c>
      <c r="L34">
        <v>68171.58</v>
      </c>
      <c r="M34">
        <v>15767.53</v>
      </c>
      <c r="N34">
        <v>0</v>
      </c>
      <c r="O34">
        <v>0</v>
      </c>
      <c r="P34">
        <v>3941.88</v>
      </c>
      <c r="Q34">
        <v>0</v>
      </c>
      <c r="R34">
        <v>3941.88</v>
      </c>
      <c r="S34">
        <v>3941.88</v>
      </c>
      <c r="T34">
        <v>0</v>
      </c>
      <c r="U34">
        <v>5</v>
      </c>
      <c r="V34">
        <v>17.71</v>
      </c>
      <c r="W34">
        <v>7.3</v>
      </c>
      <c r="X34">
        <v>0</v>
      </c>
      <c r="Y34">
        <v>68171.58</v>
      </c>
      <c r="Z34">
        <v>0</v>
      </c>
      <c r="AA34" s="13" t="s">
        <v>3235</v>
      </c>
      <c r="AB34">
        <v>0</v>
      </c>
      <c r="AC34">
        <v>0</v>
      </c>
      <c r="AD34" s="13" t="s">
        <v>3236</v>
      </c>
    </row>
    <row r="35" spans="1:30" x14ac:dyDescent="0.35">
      <c r="A35">
        <v>34</v>
      </c>
      <c r="B35">
        <v>12</v>
      </c>
      <c r="C35" s="13" t="s">
        <v>601</v>
      </c>
      <c r="D35" s="13" t="s">
        <v>602</v>
      </c>
      <c r="E35" s="13" t="s">
        <v>52</v>
      </c>
      <c r="F35" s="13" t="s">
        <v>53</v>
      </c>
      <c r="G35" s="13" t="s">
        <v>67</v>
      </c>
      <c r="H35" s="13" t="s">
        <v>86</v>
      </c>
      <c r="I35" s="13" t="s">
        <v>87</v>
      </c>
      <c r="J35" s="13" t="s">
        <v>58</v>
      </c>
      <c r="K35" s="13" t="s">
        <v>59</v>
      </c>
      <c r="L35">
        <v>98989.55</v>
      </c>
      <c r="M35">
        <v>19830.900000000001</v>
      </c>
      <c r="N35">
        <v>0</v>
      </c>
      <c r="O35">
        <v>12695.1</v>
      </c>
      <c r="P35">
        <v>6176.09</v>
      </c>
      <c r="Q35">
        <v>3173.78</v>
      </c>
      <c r="R35">
        <v>3795.76</v>
      </c>
      <c r="S35">
        <v>3795.76</v>
      </c>
      <c r="T35">
        <v>0</v>
      </c>
      <c r="U35">
        <v>44</v>
      </c>
      <c r="V35">
        <v>18.86</v>
      </c>
      <c r="W35">
        <v>6.9</v>
      </c>
      <c r="X35">
        <v>0</v>
      </c>
      <c r="Y35">
        <v>98989.55</v>
      </c>
      <c r="Z35">
        <v>1</v>
      </c>
      <c r="AA35" s="13" t="s">
        <v>3237</v>
      </c>
      <c r="AB35">
        <v>0</v>
      </c>
      <c r="AC35">
        <v>0</v>
      </c>
      <c r="AD35" s="13" t="s">
        <v>3238</v>
      </c>
    </row>
    <row r="36" spans="1:30" x14ac:dyDescent="0.35">
      <c r="A36">
        <v>35</v>
      </c>
      <c r="B36">
        <v>14</v>
      </c>
      <c r="C36" s="13" t="s">
        <v>144</v>
      </c>
      <c r="D36" s="13" t="s">
        <v>145</v>
      </c>
      <c r="E36" s="13" t="s">
        <v>52</v>
      </c>
      <c r="F36" s="13" t="s">
        <v>99</v>
      </c>
      <c r="G36" s="13" t="s">
        <v>55</v>
      </c>
      <c r="H36" s="13" t="s">
        <v>56</v>
      </c>
      <c r="I36" s="13" t="s">
        <v>57</v>
      </c>
      <c r="J36" s="13" t="s">
        <v>58</v>
      </c>
      <c r="K36" s="13" t="s">
        <v>88</v>
      </c>
      <c r="L36">
        <v>84060.86</v>
      </c>
      <c r="M36">
        <v>20774.669999999998</v>
      </c>
      <c r="N36">
        <v>5843.74</v>
      </c>
      <c r="O36">
        <v>2945.97</v>
      </c>
      <c r="P36">
        <v>9576.4699999999993</v>
      </c>
      <c r="Q36">
        <v>0</v>
      </c>
      <c r="R36">
        <v>3732.73</v>
      </c>
      <c r="S36">
        <v>3732.73</v>
      </c>
      <c r="T36">
        <v>0</v>
      </c>
      <c r="U36">
        <v>477</v>
      </c>
      <c r="V36">
        <v>14.25</v>
      </c>
      <c r="W36">
        <v>14</v>
      </c>
      <c r="X36">
        <v>5843.74</v>
      </c>
      <c r="Y36">
        <v>78217.119999999995</v>
      </c>
      <c r="Z36">
        <v>0</v>
      </c>
      <c r="AA36" s="13" t="s">
        <v>3232</v>
      </c>
      <c r="AB36">
        <v>0</v>
      </c>
      <c r="AC36">
        <v>0</v>
      </c>
      <c r="AD36" s="13" t="s">
        <v>3233</v>
      </c>
    </row>
    <row r="37" spans="1:30" x14ac:dyDescent="0.35">
      <c r="A37">
        <v>36</v>
      </c>
      <c r="B37">
        <v>15</v>
      </c>
      <c r="C37" s="13" t="s">
        <v>222</v>
      </c>
      <c r="D37" s="13" t="s">
        <v>223</v>
      </c>
      <c r="E37" s="13" t="s">
        <v>52</v>
      </c>
      <c r="F37" s="13" t="s">
        <v>65</v>
      </c>
      <c r="G37" s="13" t="s">
        <v>92</v>
      </c>
      <c r="H37" s="13" t="s">
        <v>56</v>
      </c>
      <c r="I37" s="13" t="s">
        <v>57</v>
      </c>
      <c r="J37" s="13" t="s">
        <v>58</v>
      </c>
      <c r="K37" s="13" t="s">
        <v>59</v>
      </c>
      <c r="L37">
        <v>77044.350000000006</v>
      </c>
      <c r="M37">
        <v>18633.09</v>
      </c>
      <c r="N37">
        <v>4494</v>
      </c>
      <c r="O37">
        <v>0</v>
      </c>
      <c r="P37">
        <v>8028.77</v>
      </c>
      <c r="Q37">
        <v>0</v>
      </c>
      <c r="R37">
        <v>3534.77</v>
      </c>
      <c r="S37">
        <v>3534.77</v>
      </c>
      <c r="T37">
        <v>0</v>
      </c>
      <c r="U37">
        <v>268</v>
      </c>
      <c r="V37">
        <v>17.920000000000002</v>
      </c>
      <c r="W37">
        <v>26.5</v>
      </c>
      <c r="X37">
        <v>4494</v>
      </c>
      <c r="Y37">
        <v>72550.350000000006</v>
      </c>
      <c r="Z37">
        <v>0</v>
      </c>
      <c r="AA37" s="13" t="s">
        <v>3228</v>
      </c>
      <c r="AB37">
        <v>0</v>
      </c>
      <c r="AC37">
        <v>1</v>
      </c>
      <c r="AD37" s="13" t="s">
        <v>3229</v>
      </c>
    </row>
    <row r="38" spans="1:30" x14ac:dyDescent="0.35">
      <c r="A38">
        <v>37</v>
      </c>
      <c r="B38">
        <v>16</v>
      </c>
      <c r="C38" s="13" t="s">
        <v>910</v>
      </c>
      <c r="D38" s="13" t="s">
        <v>911</v>
      </c>
      <c r="E38" s="13" t="s">
        <v>52</v>
      </c>
      <c r="F38" s="13" t="s">
        <v>53</v>
      </c>
      <c r="G38" s="13" t="s">
        <v>55</v>
      </c>
      <c r="H38" s="13" t="s">
        <v>56</v>
      </c>
      <c r="I38" s="13" t="s">
        <v>57</v>
      </c>
      <c r="J38" s="13" t="s">
        <v>58</v>
      </c>
      <c r="K38" s="13" t="s">
        <v>88</v>
      </c>
      <c r="L38">
        <v>70100.92</v>
      </c>
      <c r="M38">
        <v>14025.85</v>
      </c>
      <c r="N38">
        <v>0</v>
      </c>
      <c r="O38">
        <v>0</v>
      </c>
      <c r="P38">
        <v>3506.46</v>
      </c>
      <c r="Q38">
        <v>0</v>
      </c>
      <c r="R38">
        <v>3506.46</v>
      </c>
      <c r="S38">
        <v>3506.46</v>
      </c>
      <c r="T38">
        <v>0</v>
      </c>
      <c r="U38">
        <v>3</v>
      </c>
      <c r="V38">
        <v>29.21</v>
      </c>
      <c r="W38">
        <v>12.8</v>
      </c>
      <c r="X38">
        <v>0</v>
      </c>
      <c r="Y38">
        <v>70100.92</v>
      </c>
      <c r="Z38">
        <v>0</v>
      </c>
      <c r="AA38" s="13" t="s">
        <v>3235</v>
      </c>
      <c r="AB38">
        <v>0</v>
      </c>
      <c r="AC38">
        <v>0</v>
      </c>
      <c r="AD38" s="13" t="s">
        <v>3236</v>
      </c>
    </row>
    <row r="39" spans="1:30" x14ac:dyDescent="0.35">
      <c r="A39">
        <v>38</v>
      </c>
      <c r="B39">
        <v>13</v>
      </c>
      <c r="C39" s="13" t="s">
        <v>400</v>
      </c>
      <c r="D39" s="13" t="s">
        <v>401</v>
      </c>
      <c r="E39" s="13" t="s">
        <v>126</v>
      </c>
      <c r="F39" s="13" t="s">
        <v>99</v>
      </c>
      <c r="G39" s="13" t="s">
        <v>67</v>
      </c>
      <c r="H39" s="13" t="s">
        <v>86</v>
      </c>
      <c r="I39" s="13" t="s">
        <v>87</v>
      </c>
      <c r="J39" s="13" t="s">
        <v>58</v>
      </c>
      <c r="K39" s="13" t="s">
        <v>368</v>
      </c>
      <c r="L39">
        <v>18148.57</v>
      </c>
      <c r="M39">
        <v>6941.34</v>
      </c>
      <c r="N39">
        <v>0</v>
      </c>
      <c r="O39">
        <v>0</v>
      </c>
      <c r="P39">
        <v>3470.67</v>
      </c>
      <c r="Q39">
        <v>0</v>
      </c>
      <c r="R39">
        <v>3470.67</v>
      </c>
      <c r="S39">
        <v>3470.67</v>
      </c>
      <c r="T39">
        <v>0</v>
      </c>
      <c r="U39">
        <v>31</v>
      </c>
      <c r="V39">
        <v>9.07</v>
      </c>
      <c r="W39">
        <v>24.1</v>
      </c>
      <c r="X39">
        <v>0</v>
      </c>
      <c r="Y39">
        <v>18148.57</v>
      </c>
      <c r="Z39">
        <v>0</v>
      </c>
      <c r="AA39" s="13" t="s">
        <v>3230</v>
      </c>
      <c r="AB39">
        <v>0</v>
      </c>
      <c r="AC39">
        <v>0</v>
      </c>
      <c r="AD39" s="13" t="s">
        <v>3231</v>
      </c>
    </row>
    <row r="40" spans="1:30" x14ac:dyDescent="0.35">
      <c r="A40">
        <v>39</v>
      </c>
      <c r="B40">
        <v>17</v>
      </c>
      <c r="C40" s="13" t="s">
        <v>492</v>
      </c>
      <c r="D40" s="13" t="s">
        <v>493</v>
      </c>
      <c r="E40" s="13" t="s">
        <v>126</v>
      </c>
      <c r="F40" s="13" t="s">
        <v>77</v>
      </c>
      <c r="G40" s="13" t="s">
        <v>67</v>
      </c>
      <c r="H40" s="13" t="s">
        <v>56</v>
      </c>
      <c r="I40" s="13" t="s">
        <v>57</v>
      </c>
      <c r="J40" s="13" t="s">
        <v>58</v>
      </c>
      <c r="K40" s="13" t="s">
        <v>368</v>
      </c>
      <c r="L40">
        <v>31260.66</v>
      </c>
      <c r="M40">
        <v>12913.5</v>
      </c>
      <c r="N40">
        <v>0</v>
      </c>
      <c r="O40">
        <v>0</v>
      </c>
      <c r="P40">
        <v>3228.38</v>
      </c>
      <c r="Q40">
        <v>0</v>
      </c>
      <c r="R40">
        <v>3228.38</v>
      </c>
      <c r="S40">
        <v>3228.38</v>
      </c>
      <c r="T40">
        <v>0</v>
      </c>
      <c r="U40">
        <v>9</v>
      </c>
      <c r="V40">
        <v>14.89</v>
      </c>
      <c r="W40">
        <v>23.5</v>
      </c>
      <c r="X40">
        <v>0</v>
      </c>
      <c r="Y40">
        <v>31260.66</v>
      </c>
      <c r="Z40">
        <v>0</v>
      </c>
      <c r="AA40" s="13" t="s">
        <v>3235</v>
      </c>
      <c r="AB40">
        <v>0</v>
      </c>
      <c r="AC40">
        <v>0</v>
      </c>
      <c r="AD40" s="13" t="s">
        <v>3236</v>
      </c>
    </row>
    <row r="41" spans="1:30" x14ac:dyDescent="0.35">
      <c r="A41">
        <v>40</v>
      </c>
      <c r="B41">
        <v>5</v>
      </c>
      <c r="C41" s="13" t="s">
        <v>920</v>
      </c>
      <c r="D41" s="13" t="s">
        <v>921</v>
      </c>
      <c r="E41" s="13" t="s">
        <v>104</v>
      </c>
      <c r="F41" s="13" t="s">
        <v>99</v>
      </c>
      <c r="G41" s="13" t="s">
        <v>92</v>
      </c>
      <c r="H41" s="13" t="s">
        <v>121</v>
      </c>
      <c r="I41" s="13" t="s">
        <v>122</v>
      </c>
      <c r="J41" s="13" t="s">
        <v>107</v>
      </c>
      <c r="K41" s="13" t="s">
        <v>95</v>
      </c>
      <c r="L41">
        <v>30720.720000000001</v>
      </c>
      <c r="M41">
        <v>11665.34</v>
      </c>
      <c r="N41">
        <v>0</v>
      </c>
      <c r="O41">
        <v>6161.75</v>
      </c>
      <c r="P41">
        <v>3197.4</v>
      </c>
      <c r="Q41">
        <v>0</v>
      </c>
      <c r="R41">
        <v>3197.4</v>
      </c>
      <c r="S41">
        <v>3197.4</v>
      </c>
      <c r="T41">
        <v>0</v>
      </c>
      <c r="U41">
        <v>33</v>
      </c>
      <c r="V41">
        <v>30.72</v>
      </c>
      <c r="W41">
        <v>26.2</v>
      </c>
      <c r="X41">
        <v>0</v>
      </c>
      <c r="Y41">
        <v>30720.720000000001</v>
      </c>
      <c r="Z41">
        <v>0</v>
      </c>
      <c r="AA41" s="13" t="s">
        <v>3237</v>
      </c>
      <c r="AB41">
        <v>0</v>
      </c>
      <c r="AC41">
        <v>1</v>
      </c>
      <c r="AD41" s="13" t="s">
        <v>3238</v>
      </c>
    </row>
    <row r="42" spans="1:30" x14ac:dyDescent="0.35">
      <c r="A42">
        <v>41</v>
      </c>
      <c r="B42">
        <v>6</v>
      </c>
      <c r="C42" s="13" t="s">
        <v>550</v>
      </c>
      <c r="D42" s="13" t="s">
        <v>551</v>
      </c>
      <c r="E42" s="13" t="s">
        <v>104</v>
      </c>
      <c r="F42" s="13" t="s">
        <v>71</v>
      </c>
      <c r="G42" s="13" t="s">
        <v>55</v>
      </c>
      <c r="H42" s="13" t="s">
        <v>121</v>
      </c>
      <c r="I42" s="13" t="s">
        <v>122</v>
      </c>
      <c r="J42" s="13" t="s">
        <v>107</v>
      </c>
      <c r="K42" s="13" t="s">
        <v>88</v>
      </c>
      <c r="L42">
        <v>44168.19</v>
      </c>
      <c r="M42">
        <v>12244.51</v>
      </c>
      <c r="N42">
        <v>0</v>
      </c>
      <c r="O42">
        <v>0</v>
      </c>
      <c r="P42">
        <v>3141.64</v>
      </c>
      <c r="Q42">
        <v>0</v>
      </c>
      <c r="R42">
        <v>3141.64</v>
      </c>
      <c r="S42">
        <v>3141.64</v>
      </c>
      <c r="T42">
        <v>0</v>
      </c>
      <c r="U42">
        <v>33</v>
      </c>
      <c r="V42">
        <v>40.15</v>
      </c>
      <c r="W42">
        <v>13.2</v>
      </c>
      <c r="X42">
        <v>0</v>
      </c>
      <c r="Y42">
        <v>44168.19</v>
      </c>
      <c r="Z42">
        <v>0</v>
      </c>
      <c r="AA42" s="13" t="s">
        <v>3230</v>
      </c>
      <c r="AB42">
        <v>0</v>
      </c>
      <c r="AC42">
        <v>1</v>
      </c>
      <c r="AD42" s="13" t="s">
        <v>3231</v>
      </c>
    </row>
    <row r="43" spans="1:30" x14ac:dyDescent="0.35">
      <c r="A43">
        <v>42</v>
      </c>
      <c r="B43">
        <v>6</v>
      </c>
      <c r="C43" s="13" t="s">
        <v>273</v>
      </c>
      <c r="D43" s="13" t="s">
        <v>274</v>
      </c>
      <c r="E43" s="13" t="s">
        <v>104</v>
      </c>
      <c r="F43" s="13" t="s">
        <v>71</v>
      </c>
      <c r="G43" s="13" t="s">
        <v>92</v>
      </c>
      <c r="H43" s="13" t="s">
        <v>105</v>
      </c>
      <c r="I43" s="13" t="s">
        <v>106</v>
      </c>
      <c r="J43" s="13" t="s">
        <v>107</v>
      </c>
      <c r="K43" s="13" t="s">
        <v>88</v>
      </c>
      <c r="L43">
        <v>45615.67</v>
      </c>
      <c r="M43">
        <v>14979.1</v>
      </c>
      <c r="N43">
        <v>1085.45</v>
      </c>
      <c r="O43">
        <v>1850.58</v>
      </c>
      <c r="P43">
        <v>4558.8599999999997</v>
      </c>
      <c r="Q43">
        <v>462.65</v>
      </c>
      <c r="R43">
        <v>3126.42</v>
      </c>
      <c r="S43">
        <v>3126.42</v>
      </c>
      <c r="T43">
        <v>0</v>
      </c>
      <c r="U43">
        <v>157</v>
      </c>
      <c r="V43">
        <v>38.01</v>
      </c>
      <c r="W43">
        <v>20.9</v>
      </c>
      <c r="X43">
        <v>1085.45</v>
      </c>
      <c r="Y43">
        <v>44530.22</v>
      </c>
      <c r="Z43">
        <v>0</v>
      </c>
      <c r="AA43" s="13" t="s">
        <v>3228</v>
      </c>
      <c r="AB43">
        <v>0</v>
      </c>
      <c r="AC43">
        <v>1</v>
      </c>
      <c r="AD43" s="13" t="s">
        <v>3229</v>
      </c>
    </row>
    <row r="44" spans="1:30" x14ac:dyDescent="0.35">
      <c r="A44">
        <v>43</v>
      </c>
      <c r="B44">
        <v>14</v>
      </c>
      <c r="C44" s="13" t="s">
        <v>716</v>
      </c>
      <c r="D44" s="13" t="s">
        <v>717</v>
      </c>
      <c r="E44" s="13" t="s">
        <v>126</v>
      </c>
      <c r="F44" s="13" t="s">
        <v>99</v>
      </c>
      <c r="G44" s="13" t="s">
        <v>67</v>
      </c>
      <c r="H44" s="13" t="s">
        <v>86</v>
      </c>
      <c r="I44" s="13" t="s">
        <v>87</v>
      </c>
      <c r="J44" s="13" t="s">
        <v>58</v>
      </c>
      <c r="K44" s="13" t="s">
        <v>88</v>
      </c>
      <c r="L44">
        <v>17260.25</v>
      </c>
      <c r="M44">
        <v>12347.69</v>
      </c>
      <c r="N44">
        <v>0</v>
      </c>
      <c r="O44">
        <v>0</v>
      </c>
      <c r="P44">
        <v>3086.92</v>
      </c>
      <c r="Q44">
        <v>0</v>
      </c>
      <c r="R44">
        <v>3086.92</v>
      </c>
      <c r="S44">
        <v>3086.92</v>
      </c>
      <c r="T44">
        <v>0</v>
      </c>
      <c r="U44">
        <v>16</v>
      </c>
      <c r="V44">
        <v>8.85</v>
      </c>
      <c r="W44">
        <v>23.2</v>
      </c>
      <c r="X44">
        <v>0</v>
      </c>
      <c r="Y44">
        <v>17260.25</v>
      </c>
      <c r="Z44">
        <v>0</v>
      </c>
      <c r="AA44" s="13" t="s">
        <v>3235</v>
      </c>
      <c r="AB44">
        <v>0</v>
      </c>
      <c r="AC44">
        <v>0</v>
      </c>
      <c r="AD44" s="13" t="s">
        <v>3236</v>
      </c>
    </row>
    <row r="45" spans="1:30" x14ac:dyDescent="0.35">
      <c r="A45">
        <v>44</v>
      </c>
      <c r="B45">
        <v>18</v>
      </c>
      <c r="C45" s="13" t="s">
        <v>50</v>
      </c>
      <c r="D45" s="13" t="s">
        <v>51</v>
      </c>
      <c r="E45" s="13" t="s">
        <v>52</v>
      </c>
      <c r="F45" s="13" t="s">
        <v>53</v>
      </c>
      <c r="G45" s="13" t="s">
        <v>55</v>
      </c>
      <c r="H45" s="13" t="s">
        <v>56</v>
      </c>
      <c r="I45" s="13" t="s">
        <v>57</v>
      </c>
      <c r="J45" s="13" t="s">
        <v>58</v>
      </c>
      <c r="K45" s="13" t="s">
        <v>59</v>
      </c>
      <c r="L45">
        <v>120937.72</v>
      </c>
      <c r="M45">
        <v>26147.37</v>
      </c>
      <c r="N45">
        <v>10190.219999999999</v>
      </c>
      <c r="O45">
        <v>4987.0200000000004</v>
      </c>
      <c r="P45">
        <v>14179.51</v>
      </c>
      <c r="Q45">
        <v>1246.76</v>
      </c>
      <c r="R45">
        <v>3054.22</v>
      </c>
      <c r="S45">
        <v>3054.22</v>
      </c>
      <c r="T45">
        <v>0</v>
      </c>
      <c r="U45">
        <v>683</v>
      </c>
      <c r="V45">
        <v>20.67</v>
      </c>
      <c r="W45">
        <v>12.9</v>
      </c>
      <c r="X45">
        <v>10190.219999999999</v>
      </c>
      <c r="Y45">
        <v>110747.5</v>
      </c>
      <c r="Z45">
        <v>0</v>
      </c>
      <c r="AA45" s="13" t="s">
        <v>3232</v>
      </c>
      <c r="AB45">
        <v>0</v>
      </c>
      <c r="AC45">
        <v>0</v>
      </c>
      <c r="AD45" s="13" t="s">
        <v>3233</v>
      </c>
    </row>
    <row r="46" spans="1:30" x14ac:dyDescent="0.35">
      <c r="A46">
        <v>45</v>
      </c>
      <c r="B46">
        <v>7</v>
      </c>
      <c r="C46" s="13" t="s">
        <v>555</v>
      </c>
      <c r="D46" s="13" t="s">
        <v>556</v>
      </c>
      <c r="E46" s="13" t="s">
        <v>104</v>
      </c>
      <c r="F46" s="13" t="s">
        <v>65</v>
      </c>
      <c r="G46" s="13" t="s">
        <v>55</v>
      </c>
      <c r="H46" s="13" t="s">
        <v>121</v>
      </c>
      <c r="I46" s="13" t="s">
        <v>122</v>
      </c>
      <c r="J46" s="13" t="s">
        <v>107</v>
      </c>
      <c r="K46" s="13" t="s">
        <v>95</v>
      </c>
      <c r="L46">
        <v>4038.23</v>
      </c>
      <c r="M46">
        <v>4038.23</v>
      </c>
      <c r="N46">
        <v>0</v>
      </c>
      <c r="O46">
        <v>0</v>
      </c>
      <c r="P46">
        <v>3028.67</v>
      </c>
      <c r="Q46">
        <v>0</v>
      </c>
      <c r="R46">
        <v>3028.67</v>
      </c>
      <c r="S46">
        <v>3028.67</v>
      </c>
      <c r="T46">
        <v>0</v>
      </c>
      <c r="U46">
        <v>62</v>
      </c>
      <c r="V46">
        <v>3.51</v>
      </c>
      <c r="W46">
        <v>11.2</v>
      </c>
      <c r="X46">
        <v>0</v>
      </c>
      <c r="Y46">
        <v>4038.23</v>
      </c>
      <c r="Z46">
        <v>0</v>
      </c>
      <c r="AA46" s="13" t="s">
        <v>3230</v>
      </c>
      <c r="AB46">
        <v>0</v>
      </c>
      <c r="AC46">
        <v>1</v>
      </c>
      <c r="AD46" s="13" t="s">
        <v>3231</v>
      </c>
    </row>
    <row r="47" spans="1:30" x14ac:dyDescent="0.35">
      <c r="A47">
        <v>46</v>
      </c>
      <c r="B47">
        <v>7</v>
      </c>
      <c r="C47" s="13" t="s">
        <v>1382</v>
      </c>
      <c r="D47" s="13" t="s">
        <v>1383</v>
      </c>
      <c r="E47" s="13" t="s">
        <v>104</v>
      </c>
      <c r="F47" s="13" t="s">
        <v>77</v>
      </c>
      <c r="G47" s="13" t="s">
        <v>92</v>
      </c>
      <c r="H47" s="13" t="s">
        <v>105</v>
      </c>
      <c r="I47" s="13" t="s">
        <v>106</v>
      </c>
      <c r="J47" s="13" t="s">
        <v>107</v>
      </c>
      <c r="K47" s="13" t="s">
        <v>95</v>
      </c>
      <c r="L47">
        <v>19334.330000000002</v>
      </c>
      <c r="M47">
        <v>11567.79</v>
      </c>
      <c r="N47">
        <v>0</v>
      </c>
      <c r="O47">
        <v>0</v>
      </c>
      <c r="P47">
        <v>2891.95</v>
      </c>
      <c r="Q47">
        <v>0</v>
      </c>
      <c r="R47">
        <v>2891.95</v>
      </c>
      <c r="S47">
        <v>2891.95</v>
      </c>
      <c r="T47">
        <v>0</v>
      </c>
      <c r="U47">
        <v>14</v>
      </c>
      <c r="V47">
        <v>42.97</v>
      </c>
      <c r="W47">
        <v>28.7</v>
      </c>
      <c r="X47">
        <v>0</v>
      </c>
      <c r="Y47">
        <v>19334.330000000002</v>
      </c>
      <c r="Z47">
        <v>0</v>
      </c>
      <c r="AA47" s="13" t="s">
        <v>3235</v>
      </c>
      <c r="AB47">
        <v>0</v>
      </c>
      <c r="AC47">
        <v>1</v>
      </c>
      <c r="AD47" s="13" t="s">
        <v>3236</v>
      </c>
    </row>
    <row r="48" spans="1:30" x14ac:dyDescent="0.35">
      <c r="A48">
        <v>47</v>
      </c>
      <c r="B48">
        <v>15</v>
      </c>
      <c r="C48" s="13" t="s">
        <v>244</v>
      </c>
      <c r="D48" s="13" t="s">
        <v>245</v>
      </c>
      <c r="E48" s="13" t="s">
        <v>52</v>
      </c>
      <c r="F48" s="13" t="s">
        <v>65</v>
      </c>
      <c r="G48" s="13" t="s">
        <v>55</v>
      </c>
      <c r="H48" s="13" t="s">
        <v>86</v>
      </c>
      <c r="I48" s="13" t="s">
        <v>87</v>
      </c>
      <c r="J48" s="13" t="s">
        <v>58</v>
      </c>
      <c r="K48" s="13" t="s">
        <v>59</v>
      </c>
      <c r="L48">
        <v>155363.14000000001</v>
      </c>
      <c r="M48">
        <v>15639.43</v>
      </c>
      <c r="N48">
        <v>3054.07</v>
      </c>
      <c r="O48">
        <v>1625.91</v>
      </c>
      <c r="P48">
        <v>6200.41</v>
      </c>
      <c r="Q48">
        <v>406.48</v>
      </c>
      <c r="R48">
        <v>2841.48</v>
      </c>
      <c r="S48">
        <v>2841.48</v>
      </c>
      <c r="T48">
        <v>0</v>
      </c>
      <c r="U48">
        <v>207</v>
      </c>
      <c r="V48">
        <v>26.33</v>
      </c>
      <c r="W48">
        <v>13.2</v>
      </c>
      <c r="X48">
        <v>3054.07</v>
      </c>
      <c r="Y48">
        <v>152309.07</v>
      </c>
      <c r="Z48">
        <v>1</v>
      </c>
      <c r="AA48" s="13" t="s">
        <v>3232</v>
      </c>
      <c r="AB48">
        <v>0</v>
      </c>
      <c r="AC48">
        <v>0</v>
      </c>
      <c r="AD48" s="13" t="s">
        <v>3233</v>
      </c>
    </row>
    <row r="49" spans="1:30" x14ac:dyDescent="0.35">
      <c r="A49">
        <v>48</v>
      </c>
      <c r="B49">
        <v>19</v>
      </c>
      <c r="C49" s="13" t="s">
        <v>1115</v>
      </c>
      <c r="D49" s="13" t="s">
        <v>1116</v>
      </c>
      <c r="E49" s="13" t="s">
        <v>52</v>
      </c>
      <c r="F49" s="13" t="s">
        <v>65</v>
      </c>
      <c r="G49" s="13" t="s">
        <v>92</v>
      </c>
      <c r="H49" s="13" t="s">
        <v>56</v>
      </c>
      <c r="I49" s="13" t="s">
        <v>57</v>
      </c>
      <c r="J49" s="13" t="s">
        <v>58</v>
      </c>
      <c r="K49" s="13" t="s">
        <v>59</v>
      </c>
      <c r="L49">
        <v>70006.17</v>
      </c>
      <c r="M49">
        <v>11214.84</v>
      </c>
      <c r="N49">
        <v>0</v>
      </c>
      <c r="O49">
        <v>0</v>
      </c>
      <c r="P49">
        <v>2803.71</v>
      </c>
      <c r="Q49">
        <v>0</v>
      </c>
      <c r="R49">
        <v>2803.71</v>
      </c>
      <c r="S49">
        <v>2803.71</v>
      </c>
      <c r="T49">
        <v>0</v>
      </c>
      <c r="U49">
        <v>10</v>
      </c>
      <c r="V49">
        <v>23.34</v>
      </c>
      <c r="W49">
        <v>24.6</v>
      </c>
      <c r="X49">
        <v>0</v>
      </c>
      <c r="Y49">
        <v>70006.17</v>
      </c>
      <c r="Z49">
        <v>0</v>
      </c>
      <c r="AA49" s="13" t="s">
        <v>3235</v>
      </c>
      <c r="AB49">
        <v>0</v>
      </c>
      <c r="AC49">
        <v>0</v>
      </c>
      <c r="AD49" s="13" t="s">
        <v>3236</v>
      </c>
    </row>
    <row r="50" spans="1:30" x14ac:dyDescent="0.35">
      <c r="A50">
        <v>49</v>
      </c>
      <c r="B50">
        <v>1</v>
      </c>
      <c r="C50" s="13" t="s">
        <v>463</v>
      </c>
      <c r="D50" s="13" t="s">
        <v>464</v>
      </c>
      <c r="E50" s="13" t="s">
        <v>76</v>
      </c>
      <c r="F50" s="13" t="s">
        <v>53</v>
      </c>
      <c r="G50" s="13" t="s">
        <v>55</v>
      </c>
      <c r="H50" s="13" t="s">
        <v>93</v>
      </c>
      <c r="I50" s="13" t="s">
        <v>94</v>
      </c>
      <c r="J50" s="13" t="s">
        <v>81</v>
      </c>
      <c r="K50" s="13" t="s">
        <v>95</v>
      </c>
      <c r="L50">
        <v>7492.13</v>
      </c>
      <c r="M50">
        <v>4052.41</v>
      </c>
      <c r="N50">
        <v>0</v>
      </c>
      <c r="O50">
        <v>0</v>
      </c>
      <c r="P50">
        <v>2733.93</v>
      </c>
      <c r="Q50">
        <v>0</v>
      </c>
      <c r="R50">
        <v>2733.93</v>
      </c>
      <c r="S50">
        <v>2733.93</v>
      </c>
      <c r="T50">
        <v>0</v>
      </c>
      <c r="U50">
        <v>76</v>
      </c>
      <c r="V50">
        <v>9.99</v>
      </c>
      <c r="W50">
        <v>14.1</v>
      </c>
      <c r="X50">
        <v>0</v>
      </c>
      <c r="Y50">
        <v>7492.13</v>
      </c>
      <c r="Z50">
        <v>0</v>
      </c>
      <c r="AA50" s="13" t="s">
        <v>3230</v>
      </c>
      <c r="AB50">
        <v>0</v>
      </c>
      <c r="AC50">
        <v>1</v>
      </c>
      <c r="AD50" s="13" t="s">
        <v>3231</v>
      </c>
    </row>
    <row r="51" spans="1:30" x14ac:dyDescent="0.35">
      <c r="A51">
        <v>50</v>
      </c>
      <c r="B51">
        <v>16</v>
      </c>
      <c r="C51" s="13" t="s">
        <v>1307</v>
      </c>
      <c r="D51" s="13" t="s">
        <v>1308</v>
      </c>
      <c r="E51" s="13" t="s">
        <v>52</v>
      </c>
      <c r="F51" s="13" t="s">
        <v>71</v>
      </c>
      <c r="G51" s="13" t="s">
        <v>67</v>
      </c>
      <c r="H51" s="13" t="s">
        <v>86</v>
      </c>
      <c r="I51" s="13" t="s">
        <v>87</v>
      </c>
      <c r="J51" s="13" t="s">
        <v>58</v>
      </c>
      <c r="K51" s="13" t="s">
        <v>59</v>
      </c>
      <c r="L51">
        <v>35409.29</v>
      </c>
      <c r="M51">
        <v>10508.22</v>
      </c>
      <c r="N51">
        <v>0</v>
      </c>
      <c r="O51">
        <v>0</v>
      </c>
      <c r="P51">
        <v>2627.06</v>
      </c>
      <c r="Q51">
        <v>0</v>
      </c>
      <c r="R51">
        <v>2627.06</v>
      </c>
      <c r="S51">
        <v>2627.06</v>
      </c>
      <c r="T51">
        <v>0</v>
      </c>
      <c r="U51">
        <v>3</v>
      </c>
      <c r="V51">
        <v>21.46</v>
      </c>
      <c r="W51">
        <v>6.5</v>
      </c>
      <c r="X51">
        <v>0</v>
      </c>
      <c r="Y51">
        <v>35409.29</v>
      </c>
      <c r="Z51">
        <v>0</v>
      </c>
      <c r="AA51" s="13" t="s">
        <v>3235</v>
      </c>
      <c r="AB51">
        <v>0</v>
      </c>
      <c r="AC51">
        <v>0</v>
      </c>
      <c r="AD51" s="13" t="s">
        <v>3236</v>
      </c>
    </row>
    <row r="52" spans="1:30" x14ac:dyDescent="0.35">
      <c r="A52">
        <v>51</v>
      </c>
      <c r="B52">
        <v>8</v>
      </c>
      <c r="C52" s="13" t="s">
        <v>542</v>
      </c>
      <c r="D52" s="13" t="s">
        <v>543</v>
      </c>
      <c r="E52" s="13" t="s">
        <v>126</v>
      </c>
      <c r="F52" s="13" t="s">
        <v>71</v>
      </c>
      <c r="G52" s="13" t="s">
        <v>67</v>
      </c>
      <c r="H52" s="13" t="s">
        <v>121</v>
      </c>
      <c r="I52" s="13" t="s">
        <v>122</v>
      </c>
      <c r="J52" s="13" t="s">
        <v>107</v>
      </c>
      <c r="K52" s="13" t="s">
        <v>368</v>
      </c>
      <c r="L52">
        <v>24404.75</v>
      </c>
      <c r="M52">
        <v>10466.030000000001</v>
      </c>
      <c r="N52">
        <v>0</v>
      </c>
      <c r="O52">
        <v>0</v>
      </c>
      <c r="P52">
        <v>2616.5100000000002</v>
      </c>
      <c r="Q52">
        <v>0</v>
      </c>
      <c r="R52">
        <v>2616.5100000000002</v>
      </c>
      <c r="S52">
        <v>2616.5100000000002</v>
      </c>
      <c r="T52">
        <v>0</v>
      </c>
      <c r="U52">
        <v>3</v>
      </c>
      <c r="V52">
        <v>25.69</v>
      </c>
      <c r="W52">
        <v>24.2</v>
      </c>
      <c r="X52">
        <v>0</v>
      </c>
      <c r="Y52">
        <v>24404.75</v>
      </c>
      <c r="Z52">
        <v>0</v>
      </c>
      <c r="AA52" s="13" t="s">
        <v>3235</v>
      </c>
      <c r="AB52">
        <v>0</v>
      </c>
      <c r="AC52">
        <v>1</v>
      </c>
      <c r="AD52" s="13" t="s">
        <v>3236</v>
      </c>
    </row>
    <row r="53" spans="1:30" x14ac:dyDescent="0.35">
      <c r="A53">
        <v>52</v>
      </c>
      <c r="B53">
        <v>17</v>
      </c>
      <c r="C53" s="13" t="s">
        <v>719</v>
      </c>
      <c r="D53" s="13" t="s">
        <v>720</v>
      </c>
      <c r="E53" s="13" t="s">
        <v>126</v>
      </c>
      <c r="F53" s="13" t="s">
        <v>99</v>
      </c>
      <c r="G53" s="13" t="s">
        <v>67</v>
      </c>
      <c r="H53" s="13" t="s">
        <v>86</v>
      </c>
      <c r="I53" s="13" t="s">
        <v>87</v>
      </c>
      <c r="J53" s="13" t="s">
        <v>58</v>
      </c>
      <c r="K53" s="13" t="s">
        <v>88</v>
      </c>
      <c r="L53">
        <v>22083.31</v>
      </c>
      <c r="M53">
        <v>10400.540000000001</v>
      </c>
      <c r="N53">
        <v>0</v>
      </c>
      <c r="O53">
        <v>0</v>
      </c>
      <c r="P53">
        <v>2600.14</v>
      </c>
      <c r="Q53">
        <v>0</v>
      </c>
      <c r="R53">
        <v>2600.14</v>
      </c>
      <c r="S53">
        <v>2600.14</v>
      </c>
      <c r="T53">
        <v>0</v>
      </c>
      <c r="U53">
        <v>16</v>
      </c>
      <c r="V53">
        <v>14.72</v>
      </c>
      <c r="W53">
        <v>19.7</v>
      </c>
      <c r="X53">
        <v>0</v>
      </c>
      <c r="Y53">
        <v>22083.31</v>
      </c>
      <c r="Z53">
        <v>0</v>
      </c>
      <c r="AA53" s="13" t="s">
        <v>3235</v>
      </c>
      <c r="AB53">
        <v>0</v>
      </c>
      <c r="AC53">
        <v>0</v>
      </c>
      <c r="AD53" s="13" t="s">
        <v>3236</v>
      </c>
    </row>
    <row r="54" spans="1:30" x14ac:dyDescent="0.35">
      <c r="A54">
        <v>53</v>
      </c>
      <c r="B54">
        <v>9</v>
      </c>
      <c r="C54" s="13" t="s">
        <v>784</v>
      </c>
      <c r="D54" s="13" t="s">
        <v>785</v>
      </c>
      <c r="E54" s="13" t="s">
        <v>104</v>
      </c>
      <c r="F54" s="13" t="s">
        <v>65</v>
      </c>
      <c r="G54" s="13" t="s">
        <v>55</v>
      </c>
      <c r="H54" s="13" t="s">
        <v>121</v>
      </c>
      <c r="I54" s="13" t="s">
        <v>122</v>
      </c>
      <c r="J54" s="13" t="s">
        <v>107</v>
      </c>
      <c r="K54" s="13" t="s">
        <v>82</v>
      </c>
      <c r="L54">
        <v>14824.21</v>
      </c>
      <c r="M54">
        <v>9094.98</v>
      </c>
      <c r="N54">
        <v>0</v>
      </c>
      <c r="O54">
        <v>0</v>
      </c>
      <c r="P54">
        <v>2581.02</v>
      </c>
      <c r="Q54">
        <v>0</v>
      </c>
      <c r="R54">
        <v>2581.02</v>
      </c>
      <c r="S54">
        <v>2581.02</v>
      </c>
      <c r="T54">
        <v>0</v>
      </c>
      <c r="U54">
        <v>40</v>
      </c>
      <c r="V54">
        <v>13.48</v>
      </c>
      <c r="W54">
        <v>-8.1</v>
      </c>
      <c r="X54">
        <v>0</v>
      </c>
      <c r="Y54">
        <v>14824.21</v>
      </c>
      <c r="Z54">
        <v>1</v>
      </c>
      <c r="AA54" s="13" t="s">
        <v>3230</v>
      </c>
      <c r="AB54">
        <v>0</v>
      </c>
      <c r="AC54">
        <v>1</v>
      </c>
      <c r="AD54" s="13" t="s">
        <v>3231</v>
      </c>
    </row>
    <row r="55" spans="1:30" x14ac:dyDescent="0.35">
      <c r="A55">
        <v>54</v>
      </c>
      <c r="B55">
        <v>8</v>
      </c>
      <c r="C55" s="13" t="s">
        <v>499</v>
      </c>
      <c r="D55" s="13" t="s">
        <v>500</v>
      </c>
      <c r="E55" s="13" t="s">
        <v>104</v>
      </c>
      <c r="F55" s="13" t="s">
        <v>53</v>
      </c>
      <c r="G55" s="13" t="s">
        <v>67</v>
      </c>
      <c r="H55" s="13" t="s">
        <v>105</v>
      </c>
      <c r="I55" s="13" t="s">
        <v>106</v>
      </c>
      <c r="J55" s="13" t="s">
        <v>107</v>
      </c>
      <c r="K55" s="13" t="s">
        <v>88</v>
      </c>
      <c r="L55">
        <v>33086.43</v>
      </c>
      <c r="M55">
        <v>7426.3</v>
      </c>
      <c r="N55">
        <v>0</v>
      </c>
      <c r="O55">
        <v>0</v>
      </c>
      <c r="P55">
        <v>2509.96</v>
      </c>
      <c r="Q55">
        <v>0</v>
      </c>
      <c r="R55">
        <v>2509.96</v>
      </c>
      <c r="S55">
        <v>2509.96</v>
      </c>
      <c r="T55">
        <v>0</v>
      </c>
      <c r="U55">
        <v>39</v>
      </c>
      <c r="V55">
        <v>36.76</v>
      </c>
      <c r="W55">
        <v>7.4</v>
      </c>
      <c r="X55">
        <v>0</v>
      </c>
      <c r="Y55">
        <v>33086.43</v>
      </c>
      <c r="Z55">
        <v>0</v>
      </c>
      <c r="AA55" s="13" t="s">
        <v>3230</v>
      </c>
      <c r="AB55">
        <v>0</v>
      </c>
      <c r="AC55">
        <v>1</v>
      </c>
      <c r="AD55" s="13" t="s">
        <v>3231</v>
      </c>
    </row>
    <row r="56" spans="1:30" x14ac:dyDescent="0.35">
      <c r="A56">
        <v>55</v>
      </c>
      <c r="B56">
        <v>20</v>
      </c>
      <c r="C56" s="13" t="s">
        <v>1015</v>
      </c>
      <c r="D56" s="13" t="s">
        <v>1016</v>
      </c>
      <c r="E56" s="13" t="s">
        <v>52</v>
      </c>
      <c r="F56" s="13" t="s">
        <v>77</v>
      </c>
      <c r="G56" s="13" t="s">
        <v>55</v>
      </c>
      <c r="H56" s="13" t="s">
        <v>56</v>
      </c>
      <c r="I56" s="13" t="s">
        <v>57</v>
      </c>
      <c r="J56" s="13" t="s">
        <v>58</v>
      </c>
      <c r="K56" s="13" t="s">
        <v>59</v>
      </c>
      <c r="L56">
        <v>76511.53</v>
      </c>
      <c r="M56">
        <v>9520.6299999999992</v>
      </c>
      <c r="N56">
        <v>0</v>
      </c>
      <c r="O56">
        <v>1678.33</v>
      </c>
      <c r="P56">
        <v>2380.16</v>
      </c>
      <c r="Q56">
        <v>0</v>
      </c>
      <c r="R56">
        <v>2380.16</v>
      </c>
      <c r="S56">
        <v>2380.16</v>
      </c>
      <c r="T56">
        <v>0</v>
      </c>
      <c r="U56">
        <v>13</v>
      </c>
      <c r="V56">
        <v>12.97</v>
      </c>
      <c r="W56">
        <v>13.2</v>
      </c>
      <c r="X56">
        <v>0</v>
      </c>
      <c r="Y56">
        <v>76511.53</v>
      </c>
      <c r="Z56">
        <v>0</v>
      </c>
      <c r="AA56" s="13" t="s">
        <v>3235</v>
      </c>
      <c r="AB56">
        <v>0</v>
      </c>
      <c r="AC56">
        <v>0</v>
      </c>
      <c r="AD56" s="13" t="s">
        <v>3236</v>
      </c>
    </row>
    <row r="57" spans="1:30" x14ac:dyDescent="0.35">
      <c r="A57">
        <v>56</v>
      </c>
      <c r="B57">
        <v>1</v>
      </c>
      <c r="C57" s="13" t="s">
        <v>1214</v>
      </c>
      <c r="D57" s="13" t="s">
        <v>1215</v>
      </c>
      <c r="E57" s="13" t="s">
        <v>76</v>
      </c>
      <c r="F57" s="13" t="s">
        <v>53</v>
      </c>
      <c r="G57" s="13" t="s">
        <v>92</v>
      </c>
      <c r="H57" s="13" t="s">
        <v>79</v>
      </c>
      <c r="I57" s="13" t="s">
        <v>80</v>
      </c>
      <c r="J57" s="13" t="s">
        <v>81</v>
      </c>
      <c r="K57" s="13" t="s">
        <v>95</v>
      </c>
      <c r="L57">
        <v>14636.57</v>
      </c>
      <c r="M57">
        <v>9517.76</v>
      </c>
      <c r="N57">
        <v>0</v>
      </c>
      <c r="O57">
        <v>0</v>
      </c>
      <c r="P57">
        <v>2379.44</v>
      </c>
      <c r="Q57">
        <v>0</v>
      </c>
      <c r="R57">
        <v>2379.44</v>
      </c>
      <c r="S57">
        <v>2379.44</v>
      </c>
      <c r="T57">
        <v>0</v>
      </c>
      <c r="U57">
        <v>20</v>
      </c>
      <c r="V57">
        <v>26.61</v>
      </c>
      <c r="W57">
        <v>22.2</v>
      </c>
      <c r="X57">
        <v>0</v>
      </c>
      <c r="Y57">
        <v>14636.57</v>
      </c>
      <c r="Z57">
        <v>0</v>
      </c>
      <c r="AA57" s="13" t="s">
        <v>3235</v>
      </c>
      <c r="AB57">
        <v>0</v>
      </c>
      <c r="AC57">
        <v>1</v>
      </c>
      <c r="AD57" s="13" t="s">
        <v>3236</v>
      </c>
    </row>
    <row r="58" spans="1:30" x14ac:dyDescent="0.35">
      <c r="A58">
        <v>57</v>
      </c>
      <c r="B58">
        <v>9</v>
      </c>
      <c r="C58" s="13" t="s">
        <v>1559</v>
      </c>
      <c r="D58" s="13" t="s">
        <v>1560</v>
      </c>
      <c r="E58" s="13" t="s">
        <v>104</v>
      </c>
      <c r="F58" s="13" t="s">
        <v>99</v>
      </c>
      <c r="G58" s="13" t="s">
        <v>55</v>
      </c>
      <c r="H58" s="13" t="s">
        <v>105</v>
      </c>
      <c r="I58" s="13" t="s">
        <v>106</v>
      </c>
      <c r="J58" s="13" t="s">
        <v>107</v>
      </c>
      <c r="K58" s="13" t="s">
        <v>95</v>
      </c>
      <c r="L58">
        <v>19853.54</v>
      </c>
      <c r="M58">
        <v>15673.92</v>
      </c>
      <c r="N58">
        <v>0</v>
      </c>
      <c r="O58">
        <v>8212.75</v>
      </c>
      <c r="P58">
        <v>3918.48</v>
      </c>
      <c r="Q58">
        <v>2053.19</v>
      </c>
      <c r="R58">
        <v>2378.59</v>
      </c>
      <c r="S58">
        <v>2378.59</v>
      </c>
      <c r="T58">
        <v>0</v>
      </c>
      <c r="U58">
        <v>10</v>
      </c>
      <c r="V58">
        <v>17.260000000000002</v>
      </c>
      <c r="W58">
        <v>16.7</v>
      </c>
      <c r="X58">
        <v>0</v>
      </c>
      <c r="Y58">
        <v>19853.54</v>
      </c>
      <c r="Z58">
        <v>0</v>
      </c>
      <c r="AA58" s="13" t="s">
        <v>3237</v>
      </c>
      <c r="AB58">
        <v>0</v>
      </c>
      <c r="AC58">
        <v>1</v>
      </c>
      <c r="AD58" s="13" t="s">
        <v>3238</v>
      </c>
    </row>
    <row r="59" spans="1:30" x14ac:dyDescent="0.35">
      <c r="A59">
        <v>58</v>
      </c>
      <c r="B59">
        <v>10</v>
      </c>
      <c r="C59" s="13" t="s">
        <v>862</v>
      </c>
      <c r="D59" s="13" t="s">
        <v>863</v>
      </c>
      <c r="E59" s="13" t="s">
        <v>126</v>
      </c>
      <c r="F59" s="13" t="s">
        <v>99</v>
      </c>
      <c r="G59" s="13" t="s">
        <v>67</v>
      </c>
      <c r="H59" s="13" t="s">
        <v>105</v>
      </c>
      <c r="I59" s="13" t="s">
        <v>106</v>
      </c>
      <c r="J59" s="13" t="s">
        <v>107</v>
      </c>
      <c r="K59" s="13" t="s">
        <v>88</v>
      </c>
      <c r="L59">
        <v>19661.54</v>
      </c>
      <c r="M59">
        <v>9480.86</v>
      </c>
      <c r="N59">
        <v>0</v>
      </c>
      <c r="O59">
        <v>0</v>
      </c>
      <c r="P59">
        <v>2370.2199999999998</v>
      </c>
      <c r="Q59">
        <v>0</v>
      </c>
      <c r="R59">
        <v>2370.2199999999998</v>
      </c>
      <c r="S59">
        <v>2370.2199999999998</v>
      </c>
      <c r="T59">
        <v>0</v>
      </c>
      <c r="U59">
        <v>5</v>
      </c>
      <c r="V59">
        <v>17.87</v>
      </c>
      <c r="W59">
        <v>19.2</v>
      </c>
      <c r="X59">
        <v>0</v>
      </c>
      <c r="Y59">
        <v>19661.54</v>
      </c>
      <c r="Z59">
        <v>0</v>
      </c>
      <c r="AA59" s="13" t="s">
        <v>3235</v>
      </c>
      <c r="AB59">
        <v>0</v>
      </c>
      <c r="AC59">
        <v>1</v>
      </c>
      <c r="AD59" s="13" t="s">
        <v>3236</v>
      </c>
    </row>
    <row r="60" spans="1:30" x14ac:dyDescent="0.35">
      <c r="A60">
        <v>59</v>
      </c>
      <c r="B60">
        <v>21</v>
      </c>
      <c r="C60" s="13" t="s">
        <v>409</v>
      </c>
      <c r="D60" s="13" t="s">
        <v>410</v>
      </c>
      <c r="E60" s="13" t="s">
        <v>126</v>
      </c>
      <c r="F60" s="13" t="s">
        <v>71</v>
      </c>
      <c r="G60" s="13" t="s">
        <v>67</v>
      </c>
      <c r="H60" s="13" t="s">
        <v>56</v>
      </c>
      <c r="I60" s="13" t="s">
        <v>57</v>
      </c>
      <c r="J60" s="13" t="s">
        <v>58</v>
      </c>
      <c r="K60" s="13" t="s">
        <v>368</v>
      </c>
      <c r="L60">
        <v>25208.86</v>
      </c>
      <c r="M60">
        <v>9137.02</v>
      </c>
      <c r="N60">
        <v>0</v>
      </c>
      <c r="O60">
        <v>0</v>
      </c>
      <c r="P60">
        <v>2284.2600000000002</v>
      </c>
      <c r="Q60">
        <v>0</v>
      </c>
      <c r="R60">
        <v>2284.2600000000002</v>
      </c>
      <c r="S60">
        <v>2284.2600000000002</v>
      </c>
      <c r="T60">
        <v>0</v>
      </c>
      <c r="U60">
        <v>28</v>
      </c>
      <c r="V60">
        <v>12.93</v>
      </c>
      <c r="W60">
        <v>18.899999999999999</v>
      </c>
      <c r="X60">
        <v>0</v>
      </c>
      <c r="Y60">
        <v>25208.86</v>
      </c>
      <c r="Z60">
        <v>0</v>
      </c>
      <c r="AA60" s="13" t="s">
        <v>3235</v>
      </c>
      <c r="AB60">
        <v>0</v>
      </c>
      <c r="AC60">
        <v>0</v>
      </c>
      <c r="AD60" s="13" t="s">
        <v>3236</v>
      </c>
    </row>
    <row r="61" spans="1:30" x14ac:dyDescent="0.35">
      <c r="A61">
        <v>60</v>
      </c>
      <c r="B61">
        <v>22</v>
      </c>
      <c r="C61" s="13" t="s">
        <v>1541</v>
      </c>
      <c r="D61" s="13" t="s">
        <v>1542</v>
      </c>
      <c r="E61" s="13" t="s">
        <v>104</v>
      </c>
      <c r="F61" s="13" t="s">
        <v>53</v>
      </c>
      <c r="G61" s="13" t="s">
        <v>92</v>
      </c>
      <c r="H61" s="13" t="s">
        <v>56</v>
      </c>
      <c r="I61" s="13" t="s">
        <v>57</v>
      </c>
      <c r="J61" s="13" t="s">
        <v>58</v>
      </c>
      <c r="K61" s="13" t="s">
        <v>82</v>
      </c>
      <c r="L61">
        <v>15991.27</v>
      </c>
      <c r="M61">
        <v>9114.77</v>
      </c>
      <c r="N61">
        <v>0</v>
      </c>
      <c r="O61">
        <v>0</v>
      </c>
      <c r="P61">
        <v>2278.69</v>
      </c>
      <c r="Q61">
        <v>0</v>
      </c>
      <c r="R61">
        <v>2278.69</v>
      </c>
      <c r="S61">
        <v>2278.69</v>
      </c>
      <c r="T61">
        <v>0</v>
      </c>
      <c r="U61">
        <v>11</v>
      </c>
      <c r="V61">
        <v>10.66</v>
      </c>
      <c r="W61">
        <v>9.1999999999999993</v>
      </c>
      <c r="X61">
        <v>0</v>
      </c>
      <c r="Y61">
        <v>15991.27</v>
      </c>
      <c r="Z61">
        <v>0</v>
      </c>
      <c r="AA61" s="13" t="s">
        <v>3235</v>
      </c>
      <c r="AB61">
        <v>0</v>
      </c>
      <c r="AC61">
        <v>0</v>
      </c>
      <c r="AD61" s="13" t="s">
        <v>3236</v>
      </c>
    </row>
    <row r="62" spans="1:30" x14ac:dyDescent="0.35">
      <c r="A62">
        <v>61</v>
      </c>
      <c r="B62">
        <v>10</v>
      </c>
      <c r="C62" s="13" t="s">
        <v>1467</v>
      </c>
      <c r="D62" s="13" t="s">
        <v>1468</v>
      </c>
      <c r="E62" s="13" t="s">
        <v>104</v>
      </c>
      <c r="F62" s="13" t="s">
        <v>99</v>
      </c>
      <c r="G62" s="13" t="s">
        <v>55</v>
      </c>
      <c r="H62" s="13" t="s">
        <v>121</v>
      </c>
      <c r="I62" s="13" t="s">
        <v>122</v>
      </c>
      <c r="J62" s="13" t="s">
        <v>107</v>
      </c>
      <c r="K62" s="13" t="s">
        <v>95</v>
      </c>
      <c r="L62">
        <v>37193.18</v>
      </c>
      <c r="M62">
        <v>9003.44</v>
      </c>
      <c r="N62">
        <v>0</v>
      </c>
      <c r="O62">
        <v>0</v>
      </c>
      <c r="P62">
        <v>2250.86</v>
      </c>
      <c r="Q62">
        <v>0</v>
      </c>
      <c r="R62">
        <v>2250.86</v>
      </c>
      <c r="S62">
        <v>2250.86</v>
      </c>
      <c r="T62">
        <v>0</v>
      </c>
      <c r="U62">
        <v>12</v>
      </c>
      <c r="V62">
        <v>27.55</v>
      </c>
      <c r="W62">
        <v>11.8</v>
      </c>
      <c r="X62">
        <v>0</v>
      </c>
      <c r="Y62">
        <v>37193.18</v>
      </c>
      <c r="Z62">
        <v>0</v>
      </c>
      <c r="AA62" s="13" t="s">
        <v>3235</v>
      </c>
      <c r="AB62">
        <v>0</v>
      </c>
      <c r="AC62">
        <v>1</v>
      </c>
      <c r="AD62" s="13" t="s">
        <v>3236</v>
      </c>
    </row>
    <row r="63" spans="1:30" x14ac:dyDescent="0.35">
      <c r="A63">
        <v>62</v>
      </c>
      <c r="B63">
        <v>11</v>
      </c>
      <c r="C63" s="13" t="s">
        <v>528</v>
      </c>
      <c r="D63" s="13" t="s">
        <v>529</v>
      </c>
      <c r="E63" s="13" t="s">
        <v>104</v>
      </c>
      <c r="F63" s="13" t="s">
        <v>71</v>
      </c>
      <c r="G63" s="13" t="s">
        <v>55</v>
      </c>
      <c r="H63" s="13" t="s">
        <v>105</v>
      </c>
      <c r="I63" s="13" t="s">
        <v>106</v>
      </c>
      <c r="J63" s="13" t="s">
        <v>107</v>
      </c>
      <c r="K63" s="13" t="s">
        <v>88</v>
      </c>
      <c r="L63">
        <v>25660.94</v>
      </c>
      <c r="M63">
        <v>8427.02</v>
      </c>
      <c r="N63">
        <v>0</v>
      </c>
      <c r="O63">
        <v>0</v>
      </c>
      <c r="P63">
        <v>2228.3200000000002</v>
      </c>
      <c r="Q63">
        <v>0</v>
      </c>
      <c r="R63">
        <v>2228.3200000000002</v>
      </c>
      <c r="S63">
        <v>2228.3200000000002</v>
      </c>
      <c r="T63">
        <v>0</v>
      </c>
      <c r="U63">
        <v>36</v>
      </c>
      <c r="V63">
        <v>64.150000000000006</v>
      </c>
      <c r="W63">
        <v>14.2</v>
      </c>
      <c r="X63">
        <v>0</v>
      </c>
      <c r="Y63">
        <v>25660.94</v>
      </c>
      <c r="Z63">
        <v>0</v>
      </c>
      <c r="AA63" s="13" t="s">
        <v>3230</v>
      </c>
      <c r="AB63">
        <v>0</v>
      </c>
      <c r="AC63">
        <v>0</v>
      </c>
      <c r="AD63" s="13" t="s">
        <v>3231</v>
      </c>
    </row>
    <row r="64" spans="1:30" x14ac:dyDescent="0.35">
      <c r="A64">
        <v>63</v>
      </c>
      <c r="B64">
        <v>12</v>
      </c>
      <c r="C64" s="13" t="s">
        <v>147</v>
      </c>
      <c r="D64" s="13" t="s">
        <v>148</v>
      </c>
      <c r="E64" s="13" t="s">
        <v>104</v>
      </c>
      <c r="F64" s="13" t="s">
        <v>53</v>
      </c>
      <c r="G64" s="13" t="s">
        <v>67</v>
      </c>
      <c r="H64" s="13" t="s">
        <v>105</v>
      </c>
      <c r="I64" s="13" t="s">
        <v>106</v>
      </c>
      <c r="J64" s="13" t="s">
        <v>107</v>
      </c>
      <c r="K64" s="13" t="s">
        <v>88</v>
      </c>
      <c r="L64">
        <v>34035.980000000003</v>
      </c>
      <c r="M64">
        <v>12020.78</v>
      </c>
      <c r="N64">
        <v>3195.97</v>
      </c>
      <c r="O64">
        <v>0</v>
      </c>
      <c r="P64">
        <v>5402.17</v>
      </c>
      <c r="Q64">
        <v>0</v>
      </c>
      <c r="R64">
        <v>2206.1999999999998</v>
      </c>
      <c r="S64">
        <v>2206.1999999999998</v>
      </c>
      <c r="T64">
        <v>0</v>
      </c>
      <c r="U64">
        <v>507</v>
      </c>
      <c r="V64">
        <v>42.54</v>
      </c>
      <c r="W64">
        <v>5.7</v>
      </c>
      <c r="X64">
        <v>3195.97</v>
      </c>
      <c r="Y64">
        <v>30840.01</v>
      </c>
      <c r="Z64">
        <v>0</v>
      </c>
      <c r="AA64" s="13" t="s">
        <v>3232</v>
      </c>
      <c r="AB64">
        <v>0</v>
      </c>
      <c r="AC64">
        <v>0</v>
      </c>
      <c r="AD64" s="13" t="s">
        <v>3233</v>
      </c>
    </row>
    <row r="65" spans="1:30" x14ac:dyDescent="0.35">
      <c r="A65">
        <v>64</v>
      </c>
      <c r="B65">
        <v>18</v>
      </c>
      <c r="C65" s="13" t="s">
        <v>702</v>
      </c>
      <c r="D65" s="13" t="s">
        <v>703</v>
      </c>
      <c r="E65" s="13" t="s">
        <v>52</v>
      </c>
      <c r="F65" s="13" t="s">
        <v>65</v>
      </c>
      <c r="G65" s="13" t="s">
        <v>67</v>
      </c>
      <c r="H65" s="13" t="s">
        <v>86</v>
      </c>
      <c r="I65" s="13" t="s">
        <v>87</v>
      </c>
      <c r="J65" s="13" t="s">
        <v>58</v>
      </c>
      <c r="K65" s="13" t="s">
        <v>59</v>
      </c>
      <c r="L65">
        <v>117153.76</v>
      </c>
      <c r="M65">
        <v>4336.3100000000004</v>
      </c>
      <c r="N65">
        <v>0</v>
      </c>
      <c r="O65">
        <v>10110.17</v>
      </c>
      <c r="P65">
        <v>2168.16</v>
      </c>
      <c r="Q65">
        <v>0</v>
      </c>
      <c r="R65">
        <v>2168.16</v>
      </c>
      <c r="S65">
        <v>2168.16</v>
      </c>
      <c r="T65">
        <v>0</v>
      </c>
      <c r="U65">
        <v>32</v>
      </c>
      <c r="V65">
        <v>26.93</v>
      </c>
      <c r="W65">
        <v>3.7</v>
      </c>
      <c r="X65">
        <v>0</v>
      </c>
      <c r="Y65">
        <v>117153.76</v>
      </c>
      <c r="Z65">
        <v>0</v>
      </c>
      <c r="AA65" s="13" t="s">
        <v>3237</v>
      </c>
      <c r="AB65">
        <v>0</v>
      </c>
      <c r="AC65">
        <v>0</v>
      </c>
      <c r="AD65" s="13" t="s">
        <v>3238</v>
      </c>
    </row>
    <row r="66" spans="1:30" x14ac:dyDescent="0.35">
      <c r="A66">
        <v>65</v>
      </c>
      <c r="B66">
        <v>19</v>
      </c>
      <c r="C66" s="13" t="s">
        <v>575</v>
      </c>
      <c r="D66" s="13" t="s">
        <v>576</v>
      </c>
      <c r="E66" s="13" t="s">
        <v>126</v>
      </c>
      <c r="F66" s="13" t="s">
        <v>65</v>
      </c>
      <c r="G66" s="13" t="s">
        <v>55</v>
      </c>
      <c r="H66" s="13" t="s">
        <v>86</v>
      </c>
      <c r="I66" s="13" t="s">
        <v>87</v>
      </c>
      <c r="J66" s="13" t="s">
        <v>58</v>
      </c>
      <c r="K66" s="13" t="s">
        <v>368</v>
      </c>
      <c r="L66">
        <v>42547.7</v>
      </c>
      <c r="M66">
        <v>8463.43</v>
      </c>
      <c r="N66">
        <v>0</v>
      </c>
      <c r="O66">
        <v>0</v>
      </c>
      <c r="P66">
        <v>2115.86</v>
      </c>
      <c r="Q66">
        <v>0</v>
      </c>
      <c r="R66">
        <v>2115.86</v>
      </c>
      <c r="S66">
        <v>2115.86</v>
      </c>
      <c r="T66">
        <v>0</v>
      </c>
      <c r="U66">
        <v>1</v>
      </c>
      <c r="V66">
        <v>26.59</v>
      </c>
      <c r="W66">
        <v>23.5</v>
      </c>
      <c r="X66">
        <v>0</v>
      </c>
      <c r="Y66">
        <v>42547.7</v>
      </c>
      <c r="Z66">
        <v>0</v>
      </c>
      <c r="AA66" s="13" t="s">
        <v>3235</v>
      </c>
      <c r="AB66">
        <v>0</v>
      </c>
      <c r="AC66">
        <v>0</v>
      </c>
      <c r="AD66" s="13" t="s">
        <v>3236</v>
      </c>
    </row>
    <row r="67" spans="1:30" x14ac:dyDescent="0.35">
      <c r="A67">
        <v>66</v>
      </c>
      <c r="B67">
        <v>2</v>
      </c>
      <c r="C67" s="13" t="s">
        <v>772</v>
      </c>
      <c r="D67" s="13" t="s">
        <v>773</v>
      </c>
      <c r="E67" s="13" t="s">
        <v>76</v>
      </c>
      <c r="F67" s="13" t="s">
        <v>99</v>
      </c>
      <c r="G67" s="13" t="s">
        <v>55</v>
      </c>
      <c r="H67" s="13" t="s">
        <v>79</v>
      </c>
      <c r="I67" s="13" t="s">
        <v>80</v>
      </c>
      <c r="J67" s="13" t="s">
        <v>81</v>
      </c>
      <c r="K67" s="13" t="s">
        <v>82</v>
      </c>
      <c r="L67">
        <v>20878.73</v>
      </c>
      <c r="M67">
        <v>9622.59</v>
      </c>
      <c r="N67">
        <v>0</v>
      </c>
      <c r="O67">
        <v>5443.51</v>
      </c>
      <c r="P67">
        <v>2796.55</v>
      </c>
      <c r="Q67">
        <v>939.32</v>
      </c>
      <c r="R67">
        <v>2092.06</v>
      </c>
      <c r="S67">
        <v>2092.06</v>
      </c>
      <c r="T67">
        <v>0</v>
      </c>
      <c r="U67">
        <v>41</v>
      </c>
      <c r="V67">
        <v>19.88</v>
      </c>
      <c r="W67">
        <v>-0.5</v>
      </c>
      <c r="X67">
        <v>0</v>
      </c>
      <c r="Y67">
        <v>20878.73</v>
      </c>
      <c r="Z67">
        <v>0</v>
      </c>
      <c r="AA67" s="13" t="s">
        <v>3237</v>
      </c>
      <c r="AB67">
        <v>0</v>
      </c>
      <c r="AC67">
        <v>1</v>
      </c>
      <c r="AD67" s="13" t="s">
        <v>3238</v>
      </c>
    </row>
    <row r="68" spans="1:30" x14ac:dyDescent="0.35">
      <c r="A68">
        <v>67</v>
      </c>
      <c r="B68">
        <v>2</v>
      </c>
      <c r="C68" s="13" t="s">
        <v>1536</v>
      </c>
      <c r="D68" s="13" t="s">
        <v>1537</v>
      </c>
      <c r="E68" s="13" t="s">
        <v>76</v>
      </c>
      <c r="F68" s="13" t="s">
        <v>99</v>
      </c>
      <c r="G68" s="13" t="s">
        <v>55</v>
      </c>
      <c r="H68" s="13" t="s">
        <v>93</v>
      </c>
      <c r="I68" s="13" t="s">
        <v>94</v>
      </c>
      <c r="J68" s="13" t="s">
        <v>81</v>
      </c>
      <c r="K68" s="13" t="s">
        <v>95</v>
      </c>
      <c r="L68">
        <v>15244.85</v>
      </c>
      <c r="M68">
        <v>8299.14</v>
      </c>
      <c r="N68">
        <v>0</v>
      </c>
      <c r="O68">
        <v>0</v>
      </c>
      <c r="P68">
        <v>2074.79</v>
      </c>
      <c r="Q68">
        <v>0</v>
      </c>
      <c r="R68">
        <v>2074.79</v>
      </c>
      <c r="S68">
        <v>2074.79</v>
      </c>
      <c r="T68">
        <v>0</v>
      </c>
      <c r="U68">
        <v>11</v>
      </c>
      <c r="V68">
        <v>30.49</v>
      </c>
      <c r="W68">
        <v>14</v>
      </c>
      <c r="X68">
        <v>0</v>
      </c>
      <c r="Y68">
        <v>15244.85</v>
      </c>
      <c r="Z68">
        <v>0</v>
      </c>
      <c r="AA68" s="13" t="s">
        <v>3235</v>
      </c>
      <c r="AB68">
        <v>0</v>
      </c>
      <c r="AC68">
        <v>1</v>
      </c>
      <c r="AD68" s="13" t="s">
        <v>3236</v>
      </c>
    </row>
    <row r="69" spans="1:30" x14ac:dyDescent="0.35">
      <c r="A69">
        <v>68</v>
      </c>
      <c r="B69">
        <v>11</v>
      </c>
      <c r="C69" s="13" t="s">
        <v>876</v>
      </c>
      <c r="D69" s="13" t="s">
        <v>877</v>
      </c>
      <c r="E69" s="13" t="s">
        <v>126</v>
      </c>
      <c r="F69" s="13" t="s">
        <v>77</v>
      </c>
      <c r="G69" s="13" t="s">
        <v>67</v>
      </c>
      <c r="H69" s="13" t="s">
        <v>121</v>
      </c>
      <c r="I69" s="13" t="s">
        <v>122</v>
      </c>
      <c r="J69" s="13" t="s">
        <v>107</v>
      </c>
      <c r="K69" s="13" t="s">
        <v>88</v>
      </c>
      <c r="L69">
        <v>27521.64</v>
      </c>
      <c r="M69">
        <v>7767.59</v>
      </c>
      <c r="N69">
        <v>0</v>
      </c>
      <c r="O69">
        <v>0</v>
      </c>
      <c r="P69">
        <v>1941.9</v>
      </c>
      <c r="Q69">
        <v>0</v>
      </c>
      <c r="R69">
        <v>1941.9</v>
      </c>
      <c r="S69">
        <v>1941.9</v>
      </c>
      <c r="T69">
        <v>0</v>
      </c>
      <c r="U69">
        <v>5</v>
      </c>
      <c r="V69">
        <v>26.21</v>
      </c>
      <c r="W69">
        <v>19.2</v>
      </c>
      <c r="X69">
        <v>0</v>
      </c>
      <c r="Y69">
        <v>27521.64</v>
      </c>
      <c r="Z69">
        <v>0</v>
      </c>
      <c r="AA69" s="13" t="s">
        <v>3235</v>
      </c>
      <c r="AB69">
        <v>0</v>
      </c>
      <c r="AC69">
        <v>0</v>
      </c>
      <c r="AD69" s="13" t="s">
        <v>3236</v>
      </c>
    </row>
    <row r="70" spans="1:30" x14ac:dyDescent="0.35">
      <c r="A70">
        <v>69</v>
      </c>
      <c r="B70">
        <v>3</v>
      </c>
      <c r="C70" s="13" t="s">
        <v>914</v>
      </c>
      <c r="D70" s="13" t="s">
        <v>915</v>
      </c>
      <c r="E70" s="13" t="s">
        <v>76</v>
      </c>
      <c r="F70" s="13" t="s">
        <v>99</v>
      </c>
      <c r="G70" s="13" t="s">
        <v>55</v>
      </c>
      <c r="H70" s="13" t="s">
        <v>93</v>
      </c>
      <c r="I70" s="13" t="s">
        <v>94</v>
      </c>
      <c r="J70" s="13" t="s">
        <v>81</v>
      </c>
      <c r="K70" s="13" t="s">
        <v>95</v>
      </c>
      <c r="L70">
        <v>21068.37</v>
      </c>
      <c r="M70">
        <v>9292.57</v>
      </c>
      <c r="N70">
        <v>0</v>
      </c>
      <c r="O70">
        <v>5979.27</v>
      </c>
      <c r="P70">
        <v>2535.7199999999998</v>
      </c>
      <c r="Q70">
        <v>796.53</v>
      </c>
      <c r="R70">
        <v>1938.32</v>
      </c>
      <c r="S70">
        <v>1938.32</v>
      </c>
      <c r="T70">
        <v>0</v>
      </c>
      <c r="U70">
        <v>33</v>
      </c>
      <c r="V70">
        <v>22.18</v>
      </c>
      <c r="W70">
        <v>16.899999999999999</v>
      </c>
      <c r="X70">
        <v>0</v>
      </c>
      <c r="Y70">
        <v>21068.37</v>
      </c>
      <c r="Z70">
        <v>0</v>
      </c>
      <c r="AA70" s="13" t="s">
        <v>3237</v>
      </c>
      <c r="AB70">
        <v>0</v>
      </c>
      <c r="AC70">
        <v>1</v>
      </c>
      <c r="AD70" s="13" t="s">
        <v>3238</v>
      </c>
    </row>
    <row r="71" spans="1:30" x14ac:dyDescent="0.35">
      <c r="A71">
        <v>70</v>
      </c>
      <c r="B71">
        <v>20</v>
      </c>
      <c r="C71" s="13" t="s">
        <v>997</v>
      </c>
      <c r="D71" s="13" t="s">
        <v>998</v>
      </c>
      <c r="E71" s="13" t="s">
        <v>52</v>
      </c>
      <c r="F71" s="13" t="s">
        <v>71</v>
      </c>
      <c r="G71" s="13" t="s">
        <v>55</v>
      </c>
      <c r="H71" s="13" t="s">
        <v>86</v>
      </c>
      <c r="I71" s="13" t="s">
        <v>87</v>
      </c>
      <c r="J71" s="13" t="s">
        <v>58</v>
      </c>
      <c r="K71" s="13" t="s">
        <v>59</v>
      </c>
      <c r="L71">
        <v>90049.99</v>
      </c>
      <c r="M71">
        <v>15046.4</v>
      </c>
      <c r="N71">
        <v>0</v>
      </c>
      <c r="O71">
        <v>10462.36</v>
      </c>
      <c r="P71">
        <v>3761.6</v>
      </c>
      <c r="Q71">
        <v>2615.59</v>
      </c>
      <c r="R71">
        <v>1799.91</v>
      </c>
      <c r="S71">
        <v>1799.91</v>
      </c>
      <c r="T71">
        <v>0</v>
      </c>
      <c r="U71">
        <v>13</v>
      </c>
      <c r="V71">
        <v>22.23</v>
      </c>
      <c r="W71">
        <v>11.3</v>
      </c>
      <c r="X71">
        <v>0</v>
      </c>
      <c r="Y71">
        <v>90049.99</v>
      </c>
      <c r="Z71">
        <v>0</v>
      </c>
      <c r="AA71" s="13" t="s">
        <v>3237</v>
      </c>
      <c r="AB71">
        <v>0</v>
      </c>
      <c r="AC71">
        <v>0</v>
      </c>
      <c r="AD71" s="13" t="s">
        <v>3238</v>
      </c>
    </row>
    <row r="72" spans="1:30" x14ac:dyDescent="0.35">
      <c r="A72">
        <v>71</v>
      </c>
      <c r="B72">
        <v>21</v>
      </c>
      <c r="C72" s="13" t="s">
        <v>667</v>
      </c>
      <c r="D72" s="13" t="s">
        <v>668</v>
      </c>
      <c r="E72" s="13" t="s">
        <v>126</v>
      </c>
      <c r="F72" s="13" t="s">
        <v>65</v>
      </c>
      <c r="G72" s="13" t="s">
        <v>67</v>
      </c>
      <c r="H72" s="13" t="s">
        <v>86</v>
      </c>
      <c r="I72" s="13" t="s">
        <v>87</v>
      </c>
      <c r="J72" s="13" t="s">
        <v>58</v>
      </c>
      <c r="K72" s="13" t="s">
        <v>88</v>
      </c>
      <c r="L72">
        <v>19759.29</v>
      </c>
      <c r="M72">
        <v>7158.44</v>
      </c>
      <c r="N72">
        <v>0</v>
      </c>
      <c r="O72">
        <v>0</v>
      </c>
      <c r="P72">
        <v>1789.61</v>
      </c>
      <c r="Q72">
        <v>0</v>
      </c>
      <c r="R72">
        <v>1789.61</v>
      </c>
      <c r="S72">
        <v>1789.61</v>
      </c>
      <c r="T72">
        <v>0</v>
      </c>
      <c r="U72">
        <v>19</v>
      </c>
      <c r="V72">
        <v>10.98</v>
      </c>
      <c r="W72">
        <v>18.7</v>
      </c>
      <c r="X72">
        <v>0</v>
      </c>
      <c r="Y72">
        <v>19759.29</v>
      </c>
      <c r="Z72">
        <v>0</v>
      </c>
      <c r="AA72" s="13" t="s">
        <v>3235</v>
      </c>
      <c r="AB72">
        <v>0</v>
      </c>
      <c r="AC72">
        <v>0</v>
      </c>
      <c r="AD72" s="13" t="s">
        <v>3236</v>
      </c>
    </row>
    <row r="73" spans="1:30" x14ac:dyDescent="0.35">
      <c r="A73">
        <v>72</v>
      </c>
      <c r="B73">
        <v>23</v>
      </c>
      <c r="C73" s="13" t="s">
        <v>375</v>
      </c>
      <c r="D73" s="13" t="s">
        <v>376</v>
      </c>
      <c r="E73" s="13" t="s">
        <v>52</v>
      </c>
      <c r="F73" s="13" t="s">
        <v>99</v>
      </c>
      <c r="G73" s="13" t="s">
        <v>55</v>
      </c>
      <c r="H73" s="13" t="s">
        <v>56</v>
      </c>
      <c r="I73" s="13" t="s">
        <v>57</v>
      </c>
      <c r="J73" s="13" t="s">
        <v>58</v>
      </c>
      <c r="K73" s="13" t="s">
        <v>59</v>
      </c>
      <c r="L73">
        <v>48609.279999999999</v>
      </c>
      <c r="M73">
        <v>12807.43</v>
      </c>
      <c r="N73">
        <v>0</v>
      </c>
      <c r="O73">
        <v>9223.11</v>
      </c>
      <c r="P73">
        <v>3493.07</v>
      </c>
      <c r="Q73">
        <v>2305.7800000000002</v>
      </c>
      <c r="R73">
        <v>1763.74</v>
      </c>
      <c r="S73">
        <v>1763.74</v>
      </c>
      <c r="T73">
        <v>0</v>
      </c>
      <c r="U73">
        <v>90</v>
      </c>
      <c r="V73">
        <v>12.31</v>
      </c>
      <c r="W73">
        <v>14.8</v>
      </c>
      <c r="X73">
        <v>0</v>
      </c>
      <c r="Y73">
        <v>48609.279999999999</v>
      </c>
      <c r="Z73">
        <v>0</v>
      </c>
      <c r="AA73" s="13" t="s">
        <v>3237</v>
      </c>
      <c r="AB73">
        <v>0</v>
      </c>
      <c r="AC73">
        <v>0</v>
      </c>
      <c r="AD73" s="13" t="s">
        <v>3238</v>
      </c>
    </row>
    <row r="74" spans="1:30" x14ac:dyDescent="0.35">
      <c r="A74">
        <v>73</v>
      </c>
      <c r="B74">
        <v>38</v>
      </c>
      <c r="C74" s="13" t="s">
        <v>84</v>
      </c>
      <c r="D74" s="13" t="s">
        <v>85</v>
      </c>
      <c r="E74" s="13" t="s">
        <v>52</v>
      </c>
      <c r="F74" s="13" t="s">
        <v>71</v>
      </c>
      <c r="G74" s="13" t="s">
        <v>67</v>
      </c>
      <c r="H74" s="13" t="s">
        <v>86</v>
      </c>
      <c r="I74" s="13" t="s">
        <v>87</v>
      </c>
      <c r="J74" s="13" t="s">
        <v>58</v>
      </c>
      <c r="K74" s="13" t="s">
        <v>88</v>
      </c>
      <c r="L74">
        <v>155416.91</v>
      </c>
      <c r="M74">
        <v>40638.239999999998</v>
      </c>
      <c r="N74">
        <v>21587.89</v>
      </c>
      <c r="O74">
        <v>16123.5</v>
      </c>
      <c r="P74">
        <v>26350.48</v>
      </c>
      <c r="Q74">
        <v>4030.88</v>
      </c>
      <c r="R74">
        <v>1739.43</v>
      </c>
      <c r="S74">
        <v>1739.43</v>
      </c>
      <c r="T74">
        <v>0</v>
      </c>
      <c r="U74">
        <v>618</v>
      </c>
      <c r="V74">
        <v>25.9</v>
      </c>
      <c r="W74">
        <v>5.5</v>
      </c>
      <c r="X74">
        <v>21587.89</v>
      </c>
      <c r="Y74">
        <v>133829.01999999999</v>
      </c>
      <c r="Z74">
        <v>0</v>
      </c>
      <c r="AA74" s="13" t="s">
        <v>3239</v>
      </c>
      <c r="AB74">
        <v>0</v>
      </c>
      <c r="AC74">
        <v>0</v>
      </c>
      <c r="AD74" s="13" t="s">
        <v>3240</v>
      </c>
    </row>
    <row r="75" spans="1:30" x14ac:dyDescent="0.35">
      <c r="A75">
        <v>74</v>
      </c>
      <c r="B75">
        <v>12</v>
      </c>
      <c r="C75" s="13" t="s">
        <v>1455</v>
      </c>
      <c r="D75" s="13" t="s">
        <v>1456</v>
      </c>
      <c r="E75" s="13" t="s">
        <v>104</v>
      </c>
      <c r="F75" s="13" t="s">
        <v>65</v>
      </c>
      <c r="G75" s="13" t="s">
        <v>55</v>
      </c>
      <c r="H75" s="13" t="s">
        <v>121</v>
      </c>
      <c r="I75" s="13" t="s">
        <v>122</v>
      </c>
      <c r="J75" s="13" t="s">
        <v>107</v>
      </c>
      <c r="K75" s="13" t="s">
        <v>82</v>
      </c>
      <c r="L75">
        <v>28709.040000000001</v>
      </c>
      <c r="M75">
        <v>6823.17</v>
      </c>
      <c r="N75">
        <v>0</v>
      </c>
      <c r="O75">
        <v>0</v>
      </c>
      <c r="P75">
        <v>1705.79</v>
      </c>
      <c r="Q75">
        <v>0</v>
      </c>
      <c r="R75">
        <v>1705.79</v>
      </c>
      <c r="S75">
        <v>1705.79</v>
      </c>
      <c r="T75">
        <v>0</v>
      </c>
      <c r="U75">
        <v>12</v>
      </c>
      <c r="V75">
        <v>21.27</v>
      </c>
      <c r="W75">
        <v>-0.8</v>
      </c>
      <c r="X75">
        <v>0</v>
      </c>
      <c r="Y75">
        <v>28709.040000000001</v>
      </c>
      <c r="Z75">
        <v>0</v>
      </c>
      <c r="AA75" s="13" t="s">
        <v>3241</v>
      </c>
      <c r="AB75">
        <v>0</v>
      </c>
      <c r="AC75">
        <v>0</v>
      </c>
      <c r="AD75" s="13" t="s">
        <v>3242</v>
      </c>
    </row>
    <row r="76" spans="1:30" x14ac:dyDescent="0.35">
      <c r="A76">
        <v>75</v>
      </c>
      <c r="B76">
        <v>4</v>
      </c>
      <c r="C76" s="13" t="s">
        <v>1227</v>
      </c>
      <c r="D76" s="13" t="s">
        <v>1228</v>
      </c>
      <c r="E76" s="13" t="s">
        <v>76</v>
      </c>
      <c r="F76" s="13" t="s">
        <v>99</v>
      </c>
      <c r="G76" s="13" t="s">
        <v>55</v>
      </c>
      <c r="H76" s="13" t="s">
        <v>93</v>
      </c>
      <c r="I76" s="13" t="s">
        <v>94</v>
      </c>
      <c r="J76" s="13" t="s">
        <v>81</v>
      </c>
      <c r="K76" s="13" t="s">
        <v>95</v>
      </c>
      <c r="L76">
        <v>16304.5</v>
      </c>
      <c r="M76">
        <v>7583.46</v>
      </c>
      <c r="N76">
        <v>0</v>
      </c>
      <c r="O76">
        <v>1069.3499999999999</v>
      </c>
      <c r="P76">
        <v>1895.87</v>
      </c>
      <c r="Q76">
        <v>267.33999999999997</v>
      </c>
      <c r="R76">
        <v>1695.37</v>
      </c>
      <c r="S76">
        <v>1695.37</v>
      </c>
      <c r="T76">
        <v>0</v>
      </c>
      <c r="U76">
        <v>20</v>
      </c>
      <c r="V76">
        <v>14.82</v>
      </c>
      <c r="W76">
        <v>11.8</v>
      </c>
      <c r="X76">
        <v>0</v>
      </c>
      <c r="Y76">
        <v>16304.5</v>
      </c>
      <c r="Z76">
        <v>0</v>
      </c>
      <c r="AA76" s="13" t="s">
        <v>3235</v>
      </c>
      <c r="AB76">
        <v>0</v>
      </c>
      <c r="AC76">
        <v>1</v>
      </c>
      <c r="AD76" s="13" t="s">
        <v>3236</v>
      </c>
    </row>
    <row r="77" spans="1:30" x14ac:dyDescent="0.35">
      <c r="A77">
        <v>76</v>
      </c>
      <c r="B77">
        <v>24</v>
      </c>
      <c r="C77" s="13" t="s">
        <v>857</v>
      </c>
      <c r="D77" s="13" t="s">
        <v>858</v>
      </c>
      <c r="E77" s="13" t="s">
        <v>126</v>
      </c>
      <c r="F77" s="13" t="s">
        <v>99</v>
      </c>
      <c r="G77" s="13" t="s">
        <v>55</v>
      </c>
      <c r="H77" s="13" t="s">
        <v>56</v>
      </c>
      <c r="I77" s="13" t="s">
        <v>57</v>
      </c>
      <c r="J77" s="13" t="s">
        <v>58</v>
      </c>
      <c r="K77" s="13" t="s">
        <v>88</v>
      </c>
      <c r="L77">
        <v>18051.849999999999</v>
      </c>
      <c r="M77">
        <v>6695.63</v>
      </c>
      <c r="N77">
        <v>0</v>
      </c>
      <c r="O77">
        <v>0</v>
      </c>
      <c r="P77">
        <v>1673.91</v>
      </c>
      <c r="Q77">
        <v>0</v>
      </c>
      <c r="R77">
        <v>1673.91</v>
      </c>
      <c r="S77">
        <v>1673.91</v>
      </c>
      <c r="T77">
        <v>0</v>
      </c>
      <c r="U77">
        <v>5</v>
      </c>
      <c r="V77">
        <v>11.28</v>
      </c>
      <c r="W77">
        <v>30.4</v>
      </c>
      <c r="X77">
        <v>0</v>
      </c>
      <c r="Y77">
        <v>18051.849999999999</v>
      </c>
      <c r="Z77">
        <v>0</v>
      </c>
      <c r="AA77" s="13" t="s">
        <v>3235</v>
      </c>
      <c r="AB77">
        <v>0</v>
      </c>
      <c r="AC77">
        <v>0</v>
      </c>
      <c r="AD77" s="13" t="s">
        <v>3236</v>
      </c>
    </row>
    <row r="78" spans="1:30" x14ac:dyDescent="0.35">
      <c r="A78">
        <v>77</v>
      </c>
      <c r="B78">
        <v>5</v>
      </c>
      <c r="C78" s="13" t="s">
        <v>1430</v>
      </c>
      <c r="D78" s="13" t="s">
        <v>1431</v>
      </c>
      <c r="E78" s="13" t="s">
        <v>76</v>
      </c>
      <c r="F78" s="13" t="s">
        <v>65</v>
      </c>
      <c r="G78" s="13" t="s">
        <v>55</v>
      </c>
      <c r="H78" s="13" t="s">
        <v>93</v>
      </c>
      <c r="I78" s="13" t="s">
        <v>94</v>
      </c>
      <c r="J78" s="13" t="s">
        <v>81</v>
      </c>
      <c r="K78" s="13" t="s">
        <v>95</v>
      </c>
      <c r="L78">
        <v>9170.44</v>
      </c>
      <c r="M78">
        <v>6656.44</v>
      </c>
      <c r="N78">
        <v>0</v>
      </c>
      <c r="O78">
        <v>0</v>
      </c>
      <c r="P78">
        <v>1664.11</v>
      </c>
      <c r="Q78">
        <v>0</v>
      </c>
      <c r="R78">
        <v>1664.11</v>
      </c>
      <c r="S78">
        <v>1664.11</v>
      </c>
      <c r="T78">
        <v>0</v>
      </c>
      <c r="U78">
        <v>13</v>
      </c>
      <c r="V78">
        <v>10.79</v>
      </c>
      <c r="W78">
        <v>11.6</v>
      </c>
      <c r="X78">
        <v>0</v>
      </c>
      <c r="Y78">
        <v>9170.44</v>
      </c>
      <c r="Z78">
        <v>0</v>
      </c>
      <c r="AA78" s="13" t="s">
        <v>3235</v>
      </c>
      <c r="AB78">
        <v>0</v>
      </c>
      <c r="AC78">
        <v>1</v>
      </c>
      <c r="AD78" s="13" t="s">
        <v>3236</v>
      </c>
    </row>
    <row r="79" spans="1:30" x14ac:dyDescent="0.35">
      <c r="A79">
        <v>78</v>
      </c>
      <c r="B79">
        <v>13</v>
      </c>
      <c r="C79" s="13" t="s">
        <v>766</v>
      </c>
      <c r="D79" s="13" t="s">
        <v>767</v>
      </c>
      <c r="E79" s="13" t="s">
        <v>104</v>
      </c>
      <c r="F79" s="13" t="s">
        <v>53</v>
      </c>
      <c r="G79" s="13" t="s">
        <v>92</v>
      </c>
      <c r="H79" s="13" t="s">
        <v>105</v>
      </c>
      <c r="I79" s="13" t="s">
        <v>106</v>
      </c>
      <c r="J79" s="13" t="s">
        <v>107</v>
      </c>
      <c r="K79" s="13" t="s">
        <v>88</v>
      </c>
      <c r="L79">
        <v>27292.95</v>
      </c>
      <c r="M79">
        <v>6581.77</v>
      </c>
      <c r="N79">
        <v>0</v>
      </c>
      <c r="O79">
        <v>0</v>
      </c>
      <c r="P79">
        <v>1645.44</v>
      </c>
      <c r="Q79">
        <v>0</v>
      </c>
      <c r="R79">
        <v>1645.44</v>
      </c>
      <c r="S79">
        <v>1645.44</v>
      </c>
      <c r="T79">
        <v>0</v>
      </c>
      <c r="U79">
        <v>11</v>
      </c>
      <c r="V79">
        <v>30.33</v>
      </c>
      <c r="W79">
        <v>21.8</v>
      </c>
      <c r="X79">
        <v>0</v>
      </c>
      <c r="Y79">
        <v>27292.95</v>
      </c>
      <c r="Z79">
        <v>0</v>
      </c>
      <c r="AA79" s="13" t="s">
        <v>3235</v>
      </c>
      <c r="AB79">
        <v>0</v>
      </c>
      <c r="AC79">
        <v>0</v>
      </c>
      <c r="AD79" s="13" t="s">
        <v>3236</v>
      </c>
    </row>
    <row r="80" spans="1:30" x14ac:dyDescent="0.35">
      <c r="A80">
        <v>79</v>
      </c>
      <c r="B80">
        <v>14</v>
      </c>
      <c r="C80" s="13" t="s">
        <v>525</v>
      </c>
      <c r="D80" s="13" t="s">
        <v>526</v>
      </c>
      <c r="E80" s="13" t="s">
        <v>126</v>
      </c>
      <c r="F80" s="13" t="s">
        <v>53</v>
      </c>
      <c r="G80" s="13" t="s">
        <v>67</v>
      </c>
      <c r="H80" s="13" t="s">
        <v>105</v>
      </c>
      <c r="I80" s="13" t="s">
        <v>106</v>
      </c>
      <c r="J80" s="13" t="s">
        <v>107</v>
      </c>
      <c r="K80" s="13" t="s">
        <v>368</v>
      </c>
      <c r="L80">
        <v>25450.39</v>
      </c>
      <c r="M80">
        <v>6497.77</v>
      </c>
      <c r="N80">
        <v>0</v>
      </c>
      <c r="O80">
        <v>0</v>
      </c>
      <c r="P80">
        <v>1624.44</v>
      </c>
      <c r="Q80">
        <v>0</v>
      </c>
      <c r="R80">
        <v>1624.44</v>
      </c>
      <c r="S80">
        <v>1624.44</v>
      </c>
      <c r="T80">
        <v>0</v>
      </c>
      <c r="U80">
        <v>6</v>
      </c>
      <c r="V80">
        <v>26.79</v>
      </c>
      <c r="W80">
        <v>19.600000000000001</v>
      </c>
      <c r="X80">
        <v>0</v>
      </c>
      <c r="Y80">
        <v>25450.39</v>
      </c>
      <c r="Z80">
        <v>0</v>
      </c>
      <c r="AA80" s="13" t="s">
        <v>3235</v>
      </c>
      <c r="AB80">
        <v>0</v>
      </c>
      <c r="AC80">
        <v>0</v>
      </c>
      <c r="AD80" s="13" t="s">
        <v>3236</v>
      </c>
    </row>
    <row r="81" spans="1:30" x14ac:dyDescent="0.35">
      <c r="A81">
        <v>80</v>
      </c>
      <c r="B81">
        <v>6</v>
      </c>
      <c r="C81" s="13" t="s">
        <v>899</v>
      </c>
      <c r="D81" s="13" t="s">
        <v>900</v>
      </c>
      <c r="E81" s="13" t="s">
        <v>76</v>
      </c>
      <c r="F81" s="13" t="s">
        <v>71</v>
      </c>
      <c r="G81" s="13" t="s">
        <v>92</v>
      </c>
      <c r="H81" s="13" t="s">
        <v>93</v>
      </c>
      <c r="I81" s="13" t="s">
        <v>94</v>
      </c>
      <c r="J81" s="13" t="s">
        <v>81</v>
      </c>
      <c r="K81" s="13" t="s">
        <v>82</v>
      </c>
      <c r="L81">
        <v>10633.42</v>
      </c>
      <c r="M81">
        <v>6573.68</v>
      </c>
      <c r="N81">
        <v>0</v>
      </c>
      <c r="O81">
        <v>1521.65</v>
      </c>
      <c r="P81">
        <v>1899.75</v>
      </c>
      <c r="Q81">
        <v>380.41</v>
      </c>
      <c r="R81">
        <v>1614.44</v>
      </c>
      <c r="S81">
        <v>1614.44</v>
      </c>
      <c r="T81">
        <v>0</v>
      </c>
      <c r="U81">
        <v>34</v>
      </c>
      <c r="V81">
        <v>12.51</v>
      </c>
      <c r="W81">
        <v>17.8</v>
      </c>
      <c r="X81">
        <v>0</v>
      </c>
      <c r="Y81">
        <v>10633.42</v>
      </c>
      <c r="Z81">
        <v>0</v>
      </c>
      <c r="AA81" s="13" t="s">
        <v>3230</v>
      </c>
      <c r="AB81">
        <v>0</v>
      </c>
      <c r="AC81">
        <v>1</v>
      </c>
      <c r="AD81" s="13" t="s">
        <v>3231</v>
      </c>
    </row>
    <row r="82" spans="1:30" x14ac:dyDescent="0.35">
      <c r="A82">
        <v>81</v>
      </c>
      <c r="B82">
        <v>25</v>
      </c>
      <c r="C82" s="13" t="s">
        <v>474</v>
      </c>
      <c r="D82" s="13" t="s">
        <v>475</v>
      </c>
      <c r="E82" s="13" t="s">
        <v>126</v>
      </c>
      <c r="F82" s="13" t="s">
        <v>77</v>
      </c>
      <c r="G82" s="13" t="s">
        <v>67</v>
      </c>
      <c r="H82" s="13" t="s">
        <v>56</v>
      </c>
      <c r="I82" s="13" t="s">
        <v>57</v>
      </c>
      <c r="J82" s="13" t="s">
        <v>58</v>
      </c>
      <c r="K82" s="13" t="s">
        <v>368</v>
      </c>
      <c r="L82">
        <v>24658.59</v>
      </c>
      <c r="M82">
        <v>6000.4</v>
      </c>
      <c r="N82">
        <v>0</v>
      </c>
      <c r="O82">
        <v>0</v>
      </c>
      <c r="P82">
        <v>1500.1</v>
      </c>
      <c r="Q82">
        <v>0</v>
      </c>
      <c r="R82">
        <v>1500.1</v>
      </c>
      <c r="S82">
        <v>1500.1</v>
      </c>
      <c r="T82">
        <v>0</v>
      </c>
      <c r="U82">
        <v>14</v>
      </c>
      <c r="V82">
        <v>14.94</v>
      </c>
      <c r="W82">
        <v>22.7</v>
      </c>
      <c r="X82">
        <v>0</v>
      </c>
      <c r="Y82">
        <v>24658.59</v>
      </c>
      <c r="Z82">
        <v>0</v>
      </c>
      <c r="AA82" s="13" t="s">
        <v>3235</v>
      </c>
      <c r="AB82">
        <v>0</v>
      </c>
      <c r="AC82">
        <v>0</v>
      </c>
      <c r="AD82" s="13" t="s">
        <v>3236</v>
      </c>
    </row>
    <row r="83" spans="1:30" x14ac:dyDescent="0.35">
      <c r="A83">
        <v>82</v>
      </c>
      <c r="B83">
        <v>26</v>
      </c>
      <c r="C83" s="13" t="s">
        <v>317</v>
      </c>
      <c r="D83" s="13" t="s">
        <v>318</v>
      </c>
      <c r="E83" s="13" t="s">
        <v>52</v>
      </c>
      <c r="F83" s="13" t="s">
        <v>77</v>
      </c>
      <c r="G83" s="13" t="s">
        <v>67</v>
      </c>
      <c r="H83" s="13" t="s">
        <v>56</v>
      </c>
      <c r="I83" s="13" t="s">
        <v>57</v>
      </c>
      <c r="J83" s="13" t="s">
        <v>58</v>
      </c>
      <c r="K83" s="13" t="s">
        <v>88</v>
      </c>
      <c r="L83">
        <v>92573.02</v>
      </c>
      <c r="M83">
        <v>8147.59</v>
      </c>
      <c r="N83">
        <v>2194.9</v>
      </c>
      <c r="O83">
        <v>0</v>
      </c>
      <c r="P83">
        <v>3683.07</v>
      </c>
      <c r="Q83">
        <v>0</v>
      </c>
      <c r="R83">
        <v>1488.17</v>
      </c>
      <c r="S83">
        <v>1488.17</v>
      </c>
      <c r="T83">
        <v>0</v>
      </c>
      <c r="U83">
        <v>100</v>
      </c>
      <c r="V83">
        <v>23.74</v>
      </c>
      <c r="W83">
        <v>4</v>
      </c>
      <c r="X83">
        <v>2194.9</v>
      </c>
      <c r="Y83">
        <v>90378.12</v>
      </c>
      <c r="Z83">
        <v>0</v>
      </c>
      <c r="AA83" s="13" t="s">
        <v>3232</v>
      </c>
      <c r="AB83">
        <v>0</v>
      </c>
      <c r="AC83">
        <v>0</v>
      </c>
      <c r="AD83" s="13" t="s">
        <v>3233</v>
      </c>
    </row>
    <row r="84" spans="1:30" x14ac:dyDescent="0.35">
      <c r="A84">
        <v>83</v>
      </c>
      <c r="B84">
        <v>22</v>
      </c>
      <c r="C84" s="13" t="s">
        <v>1018</v>
      </c>
      <c r="D84" s="13" t="s">
        <v>1019</v>
      </c>
      <c r="E84" s="13" t="s">
        <v>52</v>
      </c>
      <c r="F84" s="13" t="s">
        <v>65</v>
      </c>
      <c r="G84" s="13" t="s">
        <v>67</v>
      </c>
      <c r="H84" s="13" t="s">
        <v>86</v>
      </c>
      <c r="I84" s="13" t="s">
        <v>87</v>
      </c>
      <c r="J84" s="13" t="s">
        <v>58</v>
      </c>
      <c r="K84" s="13" t="s">
        <v>59</v>
      </c>
      <c r="L84">
        <v>40789.15</v>
      </c>
      <c r="M84">
        <v>5932.54</v>
      </c>
      <c r="N84">
        <v>0</v>
      </c>
      <c r="O84">
        <v>0</v>
      </c>
      <c r="P84">
        <v>1483.14</v>
      </c>
      <c r="Q84">
        <v>0</v>
      </c>
      <c r="R84">
        <v>1483.14</v>
      </c>
      <c r="S84">
        <v>1483.14</v>
      </c>
      <c r="T84">
        <v>0</v>
      </c>
      <c r="U84">
        <v>13</v>
      </c>
      <c r="V84">
        <v>16.32</v>
      </c>
      <c r="W84">
        <v>5.9</v>
      </c>
      <c r="X84">
        <v>0</v>
      </c>
      <c r="Y84">
        <v>40789.15</v>
      </c>
      <c r="Z84">
        <v>0</v>
      </c>
      <c r="AA84" s="13" t="s">
        <v>3235</v>
      </c>
      <c r="AB84">
        <v>0</v>
      </c>
      <c r="AC84">
        <v>0</v>
      </c>
      <c r="AD84" s="13" t="s">
        <v>3236</v>
      </c>
    </row>
    <row r="85" spans="1:30" x14ac:dyDescent="0.35">
      <c r="A85">
        <v>84</v>
      </c>
      <c r="B85">
        <v>15</v>
      </c>
      <c r="C85" s="13" t="s">
        <v>1763</v>
      </c>
      <c r="D85" s="13" t="s">
        <v>1764</v>
      </c>
      <c r="E85" s="13" t="s">
        <v>104</v>
      </c>
      <c r="F85" s="13" t="s">
        <v>99</v>
      </c>
      <c r="G85" s="13" t="s">
        <v>92</v>
      </c>
      <c r="H85" s="13" t="s">
        <v>105</v>
      </c>
      <c r="I85" s="13" t="s">
        <v>106</v>
      </c>
      <c r="J85" s="13" t="s">
        <v>107</v>
      </c>
      <c r="K85" s="13" t="s">
        <v>82</v>
      </c>
      <c r="L85">
        <v>20617.57</v>
      </c>
      <c r="M85">
        <v>5927.02</v>
      </c>
      <c r="N85">
        <v>0</v>
      </c>
      <c r="O85">
        <v>0</v>
      </c>
      <c r="P85">
        <v>1481.76</v>
      </c>
      <c r="Q85">
        <v>0</v>
      </c>
      <c r="R85">
        <v>1481.76</v>
      </c>
      <c r="S85">
        <v>1481.76</v>
      </c>
      <c r="T85">
        <v>0</v>
      </c>
      <c r="U85">
        <v>4</v>
      </c>
      <c r="V85">
        <v>51.54</v>
      </c>
      <c r="W85">
        <v>13.2</v>
      </c>
      <c r="X85">
        <v>0</v>
      </c>
      <c r="Y85">
        <v>20617.57</v>
      </c>
      <c r="Z85">
        <v>0</v>
      </c>
      <c r="AA85" s="13" t="s">
        <v>3235</v>
      </c>
      <c r="AB85">
        <v>0</v>
      </c>
      <c r="AC85">
        <v>0</v>
      </c>
      <c r="AD85" s="13" t="s">
        <v>3236</v>
      </c>
    </row>
    <row r="86" spans="1:30" x14ac:dyDescent="0.35">
      <c r="A86">
        <v>85</v>
      </c>
      <c r="B86">
        <v>13</v>
      </c>
      <c r="C86" s="13" t="s">
        <v>1604</v>
      </c>
      <c r="D86" s="13" t="s">
        <v>1605</v>
      </c>
      <c r="E86" s="13" t="s">
        <v>104</v>
      </c>
      <c r="F86" s="13" t="s">
        <v>65</v>
      </c>
      <c r="G86" s="13" t="s">
        <v>55</v>
      </c>
      <c r="H86" s="13" t="s">
        <v>121</v>
      </c>
      <c r="I86" s="13" t="s">
        <v>122</v>
      </c>
      <c r="J86" s="13" t="s">
        <v>107</v>
      </c>
      <c r="K86" s="13" t="s">
        <v>95</v>
      </c>
      <c r="L86">
        <v>9652.69</v>
      </c>
      <c r="M86">
        <v>5867.56</v>
      </c>
      <c r="N86">
        <v>0</v>
      </c>
      <c r="O86">
        <v>0</v>
      </c>
      <c r="P86">
        <v>1466.89</v>
      </c>
      <c r="Q86">
        <v>0</v>
      </c>
      <c r="R86">
        <v>1466.89</v>
      </c>
      <c r="S86">
        <v>1466.89</v>
      </c>
      <c r="T86">
        <v>0</v>
      </c>
      <c r="U86">
        <v>7</v>
      </c>
      <c r="V86">
        <v>10.16</v>
      </c>
      <c r="W86">
        <v>12.4</v>
      </c>
      <c r="X86">
        <v>0</v>
      </c>
      <c r="Y86">
        <v>9652.69</v>
      </c>
      <c r="Z86">
        <v>0</v>
      </c>
      <c r="AA86" s="13" t="s">
        <v>3235</v>
      </c>
      <c r="AB86">
        <v>0</v>
      </c>
      <c r="AC86">
        <v>0</v>
      </c>
      <c r="AD86" s="13" t="s">
        <v>3236</v>
      </c>
    </row>
    <row r="87" spans="1:30" x14ac:dyDescent="0.35">
      <c r="A87">
        <v>86</v>
      </c>
      <c r="B87">
        <v>16</v>
      </c>
      <c r="C87" s="13" t="s">
        <v>102</v>
      </c>
      <c r="D87" s="13" t="s">
        <v>103</v>
      </c>
      <c r="E87" s="13" t="s">
        <v>104</v>
      </c>
      <c r="F87" s="13" t="s">
        <v>71</v>
      </c>
      <c r="G87" s="13" t="s">
        <v>55</v>
      </c>
      <c r="H87" s="13" t="s">
        <v>105</v>
      </c>
      <c r="I87" s="13" t="s">
        <v>106</v>
      </c>
      <c r="J87" s="13" t="s">
        <v>107</v>
      </c>
      <c r="K87" s="13" t="s">
        <v>82</v>
      </c>
      <c r="L87">
        <v>9910.01</v>
      </c>
      <c r="M87">
        <v>8585.4</v>
      </c>
      <c r="N87">
        <v>2862.33</v>
      </c>
      <c r="O87">
        <v>0</v>
      </c>
      <c r="P87">
        <v>4293.1000000000004</v>
      </c>
      <c r="Q87">
        <v>0</v>
      </c>
      <c r="R87">
        <v>1430.77</v>
      </c>
      <c r="S87">
        <v>1430.77</v>
      </c>
      <c r="T87">
        <v>0</v>
      </c>
      <c r="U87">
        <v>627</v>
      </c>
      <c r="V87">
        <v>8.26</v>
      </c>
      <c r="W87">
        <v>-6.5</v>
      </c>
      <c r="X87">
        <v>2862.33</v>
      </c>
      <c r="Y87">
        <v>7047.68</v>
      </c>
      <c r="Z87">
        <v>0</v>
      </c>
      <c r="AA87" s="13" t="s">
        <v>3232</v>
      </c>
      <c r="AB87">
        <v>0</v>
      </c>
      <c r="AC87">
        <v>0</v>
      </c>
      <c r="AD87" s="13" t="s">
        <v>3233</v>
      </c>
    </row>
    <row r="88" spans="1:30" x14ac:dyDescent="0.35">
      <c r="A88">
        <v>87</v>
      </c>
      <c r="B88">
        <v>14</v>
      </c>
      <c r="C88" s="13" t="s">
        <v>870</v>
      </c>
      <c r="D88" s="13" t="s">
        <v>871</v>
      </c>
      <c r="E88" s="13" t="s">
        <v>104</v>
      </c>
      <c r="F88" s="13" t="s">
        <v>71</v>
      </c>
      <c r="G88" s="13" t="s">
        <v>55</v>
      </c>
      <c r="H88" s="13" t="s">
        <v>121</v>
      </c>
      <c r="I88" s="13" t="s">
        <v>122</v>
      </c>
      <c r="J88" s="13" t="s">
        <v>107</v>
      </c>
      <c r="K88" s="13" t="s">
        <v>88</v>
      </c>
      <c r="L88">
        <v>16612.14</v>
      </c>
      <c r="M88">
        <v>5691.82</v>
      </c>
      <c r="N88">
        <v>0</v>
      </c>
      <c r="O88">
        <v>3913.17</v>
      </c>
      <c r="P88">
        <v>1422.96</v>
      </c>
      <c r="Q88">
        <v>0</v>
      </c>
      <c r="R88">
        <v>1422.96</v>
      </c>
      <c r="S88">
        <v>1422.96</v>
      </c>
      <c r="T88">
        <v>0</v>
      </c>
      <c r="U88">
        <v>5</v>
      </c>
      <c r="V88">
        <v>27.69</v>
      </c>
      <c r="W88">
        <v>11.8</v>
      </c>
      <c r="X88">
        <v>0</v>
      </c>
      <c r="Y88">
        <v>16612.14</v>
      </c>
      <c r="Z88">
        <v>0</v>
      </c>
      <c r="AA88" s="13" t="s">
        <v>3237</v>
      </c>
      <c r="AB88">
        <v>0</v>
      </c>
      <c r="AC88">
        <v>0</v>
      </c>
      <c r="AD88" s="13" t="s">
        <v>3238</v>
      </c>
    </row>
    <row r="89" spans="1:30" x14ac:dyDescent="0.35">
      <c r="A89">
        <v>88</v>
      </c>
      <c r="B89">
        <v>3</v>
      </c>
      <c r="C89" s="13" t="s">
        <v>1285</v>
      </c>
      <c r="D89" s="13" t="s">
        <v>1286</v>
      </c>
      <c r="E89" s="13" t="s">
        <v>76</v>
      </c>
      <c r="F89" s="13" t="s">
        <v>53</v>
      </c>
      <c r="G89" s="13" t="s">
        <v>55</v>
      </c>
      <c r="H89" s="13" t="s">
        <v>79</v>
      </c>
      <c r="I89" s="13" t="s">
        <v>80</v>
      </c>
      <c r="J89" s="13" t="s">
        <v>81</v>
      </c>
      <c r="K89" s="13" t="s">
        <v>95</v>
      </c>
      <c r="L89">
        <v>14903.55</v>
      </c>
      <c r="M89">
        <v>5589.69</v>
      </c>
      <c r="N89">
        <v>0</v>
      </c>
      <c r="O89">
        <v>0</v>
      </c>
      <c r="P89">
        <v>1397.42</v>
      </c>
      <c r="Q89">
        <v>0</v>
      </c>
      <c r="R89">
        <v>1397.42</v>
      </c>
      <c r="S89">
        <v>1397.42</v>
      </c>
      <c r="T89">
        <v>0</v>
      </c>
      <c r="U89">
        <v>18</v>
      </c>
      <c r="V89">
        <v>14.19</v>
      </c>
      <c r="W89">
        <v>13.2</v>
      </c>
      <c r="X89">
        <v>0</v>
      </c>
      <c r="Y89">
        <v>14903.55</v>
      </c>
      <c r="Z89">
        <v>0</v>
      </c>
      <c r="AA89" s="13" t="s">
        <v>3235</v>
      </c>
      <c r="AB89">
        <v>0</v>
      </c>
      <c r="AC89">
        <v>1</v>
      </c>
      <c r="AD89" s="13" t="s">
        <v>3236</v>
      </c>
    </row>
    <row r="90" spans="1:30" x14ac:dyDescent="0.35">
      <c r="A90">
        <v>89</v>
      </c>
      <c r="B90">
        <v>27</v>
      </c>
      <c r="C90" s="13" t="s">
        <v>949</v>
      </c>
      <c r="D90" s="13" t="s">
        <v>950</v>
      </c>
      <c r="E90" s="13" t="s">
        <v>52</v>
      </c>
      <c r="F90" s="13" t="s">
        <v>99</v>
      </c>
      <c r="G90" s="13" t="s">
        <v>67</v>
      </c>
      <c r="H90" s="13" t="s">
        <v>56</v>
      </c>
      <c r="I90" s="13" t="s">
        <v>57</v>
      </c>
      <c r="J90" s="13" t="s">
        <v>58</v>
      </c>
      <c r="K90" s="13" t="s">
        <v>88</v>
      </c>
      <c r="L90">
        <v>55318.73</v>
      </c>
      <c r="M90">
        <v>5548.02</v>
      </c>
      <c r="N90">
        <v>0</v>
      </c>
      <c r="O90">
        <v>12273.66</v>
      </c>
      <c r="P90">
        <v>1387.01</v>
      </c>
      <c r="Q90">
        <v>0</v>
      </c>
      <c r="R90">
        <v>1387.01</v>
      </c>
      <c r="S90">
        <v>1387.01</v>
      </c>
      <c r="T90">
        <v>0</v>
      </c>
      <c r="U90">
        <v>2</v>
      </c>
      <c r="V90">
        <v>16.760000000000002</v>
      </c>
      <c r="W90">
        <v>7.8</v>
      </c>
      <c r="X90">
        <v>0</v>
      </c>
      <c r="Y90">
        <v>55318.73</v>
      </c>
      <c r="Z90">
        <v>0</v>
      </c>
      <c r="AA90" s="13" t="s">
        <v>3237</v>
      </c>
      <c r="AB90">
        <v>0</v>
      </c>
      <c r="AC90">
        <v>0</v>
      </c>
      <c r="AD90" s="13" t="s">
        <v>3238</v>
      </c>
    </row>
    <row r="91" spans="1:30" x14ac:dyDescent="0.35">
      <c r="A91">
        <v>90</v>
      </c>
      <c r="B91">
        <v>17</v>
      </c>
      <c r="C91" s="13" t="s">
        <v>730</v>
      </c>
      <c r="D91" s="13" t="s">
        <v>731</v>
      </c>
      <c r="E91" s="13" t="s">
        <v>126</v>
      </c>
      <c r="F91" s="13" t="s">
        <v>53</v>
      </c>
      <c r="G91" s="13" t="s">
        <v>67</v>
      </c>
      <c r="H91" s="13" t="s">
        <v>105</v>
      </c>
      <c r="I91" s="13" t="s">
        <v>106</v>
      </c>
      <c r="J91" s="13" t="s">
        <v>107</v>
      </c>
      <c r="K91" s="13" t="s">
        <v>88</v>
      </c>
      <c r="L91">
        <v>5490.19</v>
      </c>
      <c r="M91">
        <v>5490.19</v>
      </c>
      <c r="N91">
        <v>0</v>
      </c>
      <c r="O91">
        <v>0</v>
      </c>
      <c r="P91">
        <v>1372.55</v>
      </c>
      <c r="Q91">
        <v>0</v>
      </c>
      <c r="R91">
        <v>1372.55</v>
      </c>
      <c r="S91">
        <v>1372.55</v>
      </c>
      <c r="T91">
        <v>0</v>
      </c>
      <c r="U91">
        <v>16</v>
      </c>
      <c r="V91">
        <v>7.84</v>
      </c>
      <c r="W91">
        <v>24.7</v>
      </c>
      <c r="X91">
        <v>0</v>
      </c>
      <c r="Y91">
        <v>5490.19</v>
      </c>
      <c r="Z91">
        <v>0</v>
      </c>
      <c r="AA91" s="13" t="s">
        <v>3235</v>
      </c>
      <c r="AB91">
        <v>0</v>
      </c>
      <c r="AC91">
        <v>0</v>
      </c>
      <c r="AD91" s="13" t="s">
        <v>3236</v>
      </c>
    </row>
    <row r="92" spans="1:30" x14ac:dyDescent="0.35">
      <c r="A92">
        <v>91</v>
      </c>
      <c r="B92">
        <v>15</v>
      </c>
      <c r="C92" s="13" t="s">
        <v>614</v>
      </c>
      <c r="D92" s="13" t="s">
        <v>615</v>
      </c>
      <c r="E92" s="13" t="s">
        <v>126</v>
      </c>
      <c r="F92" s="13" t="s">
        <v>65</v>
      </c>
      <c r="G92" s="13" t="s">
        <v>55</v>
      </c>
      <c r="H92" s="13" t="s">
        <v>121</v>
      </c>
      <c r="I92" s="13" t="s">
        <v>122</v>
      </c>
      <c r="J92" s="13" t="s">
        <v>107</v>
      </c>
      <c r="K92" s="13" t="s">
        <v>88</v>
      </c>
      <c r="L92">
        <v>12440.01</v>
      </c>
      <c r="M92">
        <v>5215.5200000000004</v>
      </c>
      <c r="N92">
        <v>0</v>
      </c>
      <c r="O92">
        <v>0</v>
      </c>
      <c r="P92">
        <v>1303.8800000000001</v>
      </c>
      <c r="Q92">
        <v>0</v>
      </c>
      <c r="R92">
        <v>1303.8800000000001</v>
      </c>
      <c r="S92">
        <v>1303.8800000000001</v>
      </c>
      <c r="T92">
        <v>0</v>
      </c>
      <c r="U92">
        <v>26</v>
      </c>
      <c r="V92">
        <v>12.44</v>
      </c>
      <c r="W92">
        <v>23.5</v>
      </c>
      <c r="X92">
        <v>0</v>
      </c>
      <c r="Y92">
        <v>12440.01</v>
      </c>
      <c r="Z92">
        <v>1</v>
      </c>
      <c r="AA92" s="13" t="s">
        <v>3235</v>
      </c>
      <c r="AB92">
        <v>0</v>
      </c>
      <c r="AC92">
        <v>0</v>
      </c>
      <c r="AD92" s="13" t="s">
        <v>3236</v>
      </c>
    </row>
    <row r="93" spans="1:30" x14ac:dyDescent="0.35">
      <c r="A93">
        <v>92</v>
      </c>
      <c r="B93">
        <v>28</v>
      </c>
      <c r="C93" s="13" t="s">
        <v>1366</v>
      </c>
      <c r="D93" s="13" t="s">
        <v>1367</v>
      </c>
      <c r="E93" s="13" t="s">
        <v>126</v>
      </c>
      <c r="F93" s="13" t="s">
        <v>65</v>
      </c>
      <c r="G93" s="13" t="s">
        <v>67</v>
      </c>
      <c r="H93" s="13" t="s">
        <v>56</v>
      </c>
      <c r="I93" s="13" t="s">
        <v>57</v>
      </c>
      <c r="J93" s="13" t="s">
        <v>58</v>
      </c>
      <c r="K93" s="13" t="s">
        <v>88</v>
      </c>
      <c r="L93">
        <v>16845.400000000001</v>
      </c>
      <c r="M93">
        <v>2570.62</v>
      </c>
      <c r="N93">
        <v>0</v>
      </c>
      <c r="O93">
        <v>0</v>
      </c>
      <c r="P93">
        <v>1285.31</v>
      </c>
      <c r="Q93">
        <v>0</v>
      </c>
      <c r="R93">
        <v>1285.31</v>
      </c>
      <c r="S93">
        <v>1285.31</v>
      </c>
      <c r="T93">
        <v>0</v>
      </c>
      <c r="U93">
        <v>34</v>
      </c>
      <c r="V93">
        <v>8.2200000000000006</v>
      </c>
      <c r="W93">
        <v>23</v>
      </c>
      <c r="X93">
        <v>0</v>
      </c>
      <c r="Y93">
        <v>16845.400000000001</v>
      </c>
      <c r="Z93">
        <v>0</v>
      </c>
      <c r="AA93" s="13" t="s">
        <v>3230</v>
      </c>
      <c r="AB93">
        <v>0</v>
      </c>
      <c r="AC93">
        <v>0</v>
      </c>
      <c r="AD93" s="13" t="s">
        <v>3231</v>
      </c>
    </row>
    <row r="94" spans="1:30" x14ac:dyDescent="0.35">
      <c r="A94">
        <v>93</v>
      </c>
      <c r="B94">
        <v>29</v>
      </c>
      <c r="C94" s="13" t="s">
        <v>927</v>
      </c>
      <c r="D94" s="13" t="s">
        <v>928</v>
      </c>
      <c r="E94" s="13" t="s">
        <v>52</v>
      </c>
      <c r="F94" s="13" t="s">
        <v>99</v>
      </c>
      <c r="G94" s="13" t="s">
        <v>67</v>
      </c>
      <c r="H94" s="13" t="s">
        <v>56</v>
      </c>
      <c r="I94" s="13" t="s">
        <v>57</v>
      </c>
      <c r="J94" s="13" t="s">
        <v>58</v>
      </c>
      <c r="K94" s="13" t="s">
        <v>88</v>
      </c>
      <c r="L94">
        <v>66877.84</v>
      </c>
      <c r="M94">
        <v>5103.41</v>
      </c>
      <c r="N94">
        <v>0</v>
      </c>
      <c r="O94">
        <v>7171.35</v>
      </c>
      <c r="P94">
        <v>1275.8499999999999</v>
      </c>
      <c r="Q94">
        <v>0</v>
      </c>
      <c r="R94">
        <v>1275.8499999999999</v>
      </c>
      <c r="S94">
        <v>1275.8499999999999</v>
      </c>
      <c r="T94">
        <v>0</v>
      </c>
      <c r="U94">
        <v>3</v>
      </c>
      <c r="V94">
        <v>36.15</v>
      </c>
      <c r="W94">
        <v>8.5</v>
      </c>
      <c r="X94">
        <v>0</v>
      </c>
      <c r="Y94">
        <v>66877.84</v>
      </c>
      <c r="Z94">
        <v>0</v>
      </c>
      <c r="AA94" s="13" t="s">
        <v>3237</v>
      </c>
      <c r="AB94">
        <v>0</v>
      </c>
      <c r="AC94">
        <v>0</v>
      </c>
      <c r="AD94" s="13" t="s">
        <v>3238</v>
      </c>
    </row>
    <row r="95" spans="1:30" x14ac:dyDescent="0.35">
      <c r="A95">
        <v>94</v>
      </c>
      <c r="B95">
        <v>18</v>
      </c>
      <c r="C95" s="13" t="s">
        <v>455</v>
      </c>
      <c r="D95" s="13" t="s">
        <v>456</v>
      </c>
      <c r="E95" s="13" t="s">
        <v>126</v>
      </c>
      <c r="F95" s="13" t="s">
        <v>71</v>
      </c>
      <c r="G95" s="13" t="s">
        <v>67</v>
      </c>
      <c r="H95" s="13" t="s">
        <v>105</v>
      </c>
      <c r="I95" s="13" t="s">
        <v>106</v>
      </c>
      <c r="J95" s="13" t="s">
        <v>107</v>
      </c>
      <c r="K95" s="13" t="s">
        <v>368</v>
      </c>
      <c r="L95">
        <v>19286.05</v>
      </c>
      <c r="M95">
        <v>5004.72</v>
      </c>
      <c r="N95">
        <v>0</v>
      </c>
      <c r="O95">
        <v>0</v>
      </c>
      <c r="P95">
        <v>1251.18</v>
      </c>
      <c r="Q95">
        <v>0</v>
      </c>
      <c r="R95">
        <v>1251.18</v>
      </c>
      <c r="S95">
        <v>1251.18</v>
      </c>
      <c r="T95">
        <v>0</v>
      </c>
      <c r="U95">
        <v>16</v>
      </c>
      <c r="V95">
        <v>16.07</v>
      </c>
      <c r="W95">
        <v>18.899999999999999</v>
      </c>
      <c r="X95">
        <v>0</v>
      </c>
      <c r="Y95">
        <v>19286.05</v>
      </c>
      <c r="Z95">
        <v>0</v>
      </c>
      <c r="AA95" s="13" t="s">
        <v>3235</v>
      </c>
      <c r="AB95">
        <v>0</v>
      </c>
      <c r="AC95">
        <v>0</v>
      </c>
      <c r="AD95" s="13" t="s">
        <v>3236</v>
      </c>
    </row>
    <row r="96" spans="1:30" x14ac:dyDescent="0.35">
      <c r="A96">
        <v>95</v>
      </c>
      <c r="B96">
        <v>16</v>
      </c>
      <c r="C96" s="13" t="s">
        <v>610</v>
      </c>
      <c r="D96" s="13" t="s">
        <v>611</v>
      </c>
      <c r="E96" s="13" t="s">
        <v>126</v>
      </c>
      <c r="F96" s="13" t="s">
        <v>65</v>
      </c>
      <c r="G96" s="13" t="s">
        <v>67</v>
      </c>
      <c r="H96" s="13" t="s">
        <v>121</v>
      </c>
      <c r="I96" s="13" t="s">
        <v>122</v>
      </c>
      <c r="J96" s="13" t="s">
        <v>107</v>
      </c>
      <c r="K96" s="13" t="s">
        <v>88</v>
      </c>
      <c r="L96">
        <v>19682.45</v>
      </c>
      <c r="M96">
        <v>4939.84</v>
      </c>
      <c r="N96">
        <v>0</v>
      </c>
      <c r="O96">
        <v>0</v>
      </c>
      <c r="P96">
        <v>1234.96</v>
      </c>
      <c r="Q96">
        <v>0</v>
      </c>
      <c r="R96">
        <v>1234.96</v>
      </c>
      <c r="S96">
        <v>1234.96</v>
      </c>
      <c r="T96">
        <v>0</v>
      </c>
      <c r="U96">
        <v>26</v>
      </c>
      <c r="V96">
        <v>23.16</v>
      </c>
      <c r="W96">
        <v>21.4</v>
      </c>
      <c r="X96">
        <v>0</v>
      </c>
      <c r="Y96">
        <v>19682.45</v>
      </c>
      <c r="Z96">
        <v>0</v>
      </c>
      <c r="AA96" s="13" t="s">
        <v>3235</v>
      </c>
      <c r="AB96">
        <v>0</v>
      </c>
      <c r="AC96">
        <v>0</v>
      </c>
      <c r="AD96" s="13" t="s">
        <v>3236</v>
      </c>
    </row>
    <row r="97" spans="1:30" x14ac:dyDescent="0.35">
      <c r="A97">
        <v>96</v>
      </c>
      <c r="B97">
        <v>17</v>
      </c>
      <c r="C97" s="13" t="s">
        <v>755</v>
      </c>
      <c r="D97" s="13" t="s">
        <v>756</v>
      </c>
      <c r="E97" s="13" t="s">
        <v>126</v>
      </c>
      <c r="F97" s="13" t="s">
        <v>99</v>
      </c>
      <c r="G97" s="13" t="s">
        <v>67</v>
      </c>
      <c r="H97" s="13" t="s">
        <v>121</v>
      </c>
      <c r="I97" s="13" t="s">
        <v>122</v>
      </c>
      <c r="J97" s="13" t="s">
        <v>107</v>
      </c>
      <c r="K97" s="13" t="s">
        <v>88</v>
      </c>
      <c r="L97">
        <v>4925.74</v>
      </c>
      <c r="M97">
        <v>4925.74</v>
      </c>
      <c r="N97">
        <v>0</v>
      </c>
      <c r="O97">
        <v>0</v>
      </c>
      <c r="P97">
        <v>1231.44</v>
      </c>
      <c r="Q97">
        <v>0</v>
      </c>
      <c r="R97">
        <v>1231.44</v>
      </c>
      <c r="S97">
        <v>1231.44</v>
      </c>
      <c r="T97">
        <v>0</v>
      </c>
      <c r="U97">
        <v>12</v>
      </c>
      <c r="V97">
        <v>6.16</v>
      </c>
      <c r="W97">
        <v>21.9</v>
      </c>
      <c r="X97">
        <v>0</v>
      </c>
      <c r="Y97">
        <v>4925.74</v>
      </c>
      <c r="Z97">
        <v>0</v>
      </c>
      <c r="AA97" s="13" t="s">
        <v>3235</v>
      </c>
      <c r="AB97">
        <v>0</v>
      </c>
      <c r="AC97">
        <v>0</v>
      </c>
      <c r="AD97" s="13" t="s">
        <v>3236</v>
      </c>
    </row>
    <row r="98" spans="1:30" x14ac:dyDescent="0.35">
      <c r="A98">
        <v>97</v>
      </c>
      <c r="B98">
        <v>23</v>
      </c>
      <c r="C98" s="13" t="s">
        <v>780</v>
      </c>
      <c r="D98" s="13" t="s">
        <v>781</v>
      </c>
      <c r="E98" s="13" t="s">
        <v>52</v>
      </c>
      <c r="F98" s="13" t="s">
        <v>77</v>
      </c>
      <c r="G98" s="13" t="s">
        <v>55</v>
      </c>
      <c r="H98" s="13" t="s">
        <v>86</v>
      </c>
      <c r="I98" s="13" t="s">
        <v>87</v>
      </c>
      <c r="J98" s="13" t="s">
        <v>58</v>
      </c>
      <c r="K98" s="13" t="s">
        <v>88</v>
      </c>
      <c r="L98">
        <v>63274.22</v>
      </c>
      <c r="M98">
        <v>4898.97</v>
      </c>
      <c r="N98">
        <v>0</v>
      </c>
      <c r="O98">
        <v>0</v>
      </c>
      <c r="P98">
        <v>1224.74</v>
      </c>
      <c r="Q98">
        <v>0</v>
      </c>
      <c r="R98">
        <v>1224.74</v>
      </c>
      <c r="S98">
        <v>1224.74</v>
      </c>
      <c r="T98">
        <v>0</v>
      </c>
      <c r="U98">
        <v>10</v>
      </c>
      <c r="V98">
        <v>21.82</v>
      </c>
      <c r="W98">
        <v>11.7</v>
      </c>
      <c r="X98">
        <v>0</v>
      </c>
      <c r="Y98">
        <v>63274.22</v>
      </c>
      <c r="Z98">
        <v>0</v>
      </c>
      <c r="AA98" s="13" t="s">
        <v>3235</v>
      </c>
      <c r="AB98">
        <v>0</v>
      </c>
      <c r="AC98">
        <v>0</v>
      </c>
      <c r="AD98" s="13" t="s">
        <v>3236</v>
      </c>
    </row>
    <row r="99" spans="1:30" x14ac:dyDescent="0.35">
      <c r="A99">
        <v>98</v>
      </c>
      <c r="B99">
        <v>7</v>
      </c>
      <c r="C99" s="13" t="s">
        <v>1546</v>
      </c>
      <c r="D99" s="13" t="s">
        <v>1547</v>
      </c>
      <c r="E99" s="13" t="s">
        <v>76</v>
      </c>
      <c r="F99" s="13" t="s">
        <v>77</v>
      </c>
      <c r="G99" s="13" t="s">
        <v>92</v>
      </c>
      <c r="H99" s="13" t="s">
        <v>93</v>
      </c>
      <c r="I99" s="13" t="s">
        <v>94</v>
      </c>
      <c r="J99" s="13" t="s">
        <v>81</v>
      </c>
      <c r="K99" s="13" t="s">
        <v>95</v>
      </c>
      <c r="L99">
        <v>14382.72</v>
      </c>
      <c r="M99">
        <v>4853.01</v>
      </c>
      <c r="N99">
        <v>0</v>
      </c>
      <c r="O99">
        <v>0</v>
      </c>
      <c r="P99">
        <v>1213.25</v>
      </c>
      <c r="Q99">
        <v>0</v>
      </c>
      <c r="R99">
        <v>1213.25</v>
      </c>
      <c r="S99">
        <v>1213.25</v>
      </c>
      <c r="T99">
        <v>0</v>
      </c>
      <c r="U99">
        <v>11</v>
      </c>
      <c r="V99">
        <v>20.55</v>
      </c>
      <c r="W99">
        <v>21.5</v>
      </c>
      <c r="X99">
        <v>0</v>
      </c>
      <c r="Y99">
        <v>14382.72</v>
      </c>
      <c r="Z99">
        <v>0</v>
      </c>
      <c r="AA99" s="13" t="s">
        <v>3235</v>
      </c>
      <c r="AB99">
        <v>0</v>
      </c>
      <c r="AC99">
        <v>1</v>
      </c>
      <c r="AD99" s="13" t="s">
        <v>3236</v>
      </c>
    </row>
    <row r="100" spans="1:30" x14ac:dyDescent="0.35">
      <c r="A100">
        <v>99</v>
      </c>
      <c r="B100">
        <v>8</v>
      </c>
      <c r="C100" s="13" t="s">
        <v>1482</v>
      </c>
      <c r="D100" s="13" t="s">
        <v>1483</v>
      </c>
      <c r="E100" s="13" t="s">
        <v>76</v>
      </c>
      <c r="F100" s="13" t="s">
        <v>65</v>
      </c>
      <c r="G100" s="13" t="s">
        <v>92</v>
      </c>
      <c r="H100" s="13" t="s">
        <v>93</v>
      </c>
      <c r="I100" s="13" t="s">
        <v>94</v>
      </c>
      <c r="J100" s="13" t="s">
        <v>81</v>
      </c>
      <c r="K100" s="13" t="s">
        <v>82</v>
      </c>
      <c r="L100">
        <v>6516.1</v>
      </c>
      <c r="M100">
        <v>4623.3100000000004</v>
      </c>
      <c r="N100">
        <v>0</v>
      </c>
      <c r="O100">
        <v>0</v>
      </c>
      <c r="P100">
        <v>1155.83</v>
      </c>
      <c r="Q100">
        <v>0</v>
      </c>
      <c r="R100">
        <v>1155.83</v>
      </c>
      <c r="S100">
        <v>1155.83</v>
      </c>
      <c r="T100">
        <v>0</v>
      </c>
      <c r="U100">
        <v>12</v>
      </c>
      <c r="V100">
        <v>11.85</v>
      </c>
      <c r="W100">
        <v>6.5</v>
      </c>
      <c r="X100">
        <v>0</v>
      </c>
      <c r="Y100">
        <v>6516.1</v>
      </c>
      <c r="Z100">
        <v>0</v>
      </c>
      <c r="AA100" s="13" t="s">
        <v>3235</v>
      </c>
      <c r="AB100">
        <v>0</v>
      </c>
      <c r="AC100">
        <v>1</v>
      </c>
      <c r="AD100" s="13" t="s">
        <v>3236</v>
      </c>
    </row>
    <row r="101" spans="1:30" x14ac:dyDescent="0.35">
      <c r="A101">
        <v>100</v>
      </c>
      <c r="B101">
        <v>18</v>
      </c>
      <c r="C101" s="13" t="s">
        <v>452</v>
      </c>
      <c r="D101" s="13" t="s">
        <v>453</v>
      </c>
      <c r="E101" s="13" t="s">
        <v>126</v>
      </c>
      <c r="F101" s="13" t="s">
        <v>71</v>
      </c>
      <c r="G101" s="13" t="s">
        <v>67</v>
      </c>
      <c r="H101" s="13" t="s">
        <v>121</v>
      </c>
      <c r="I101" s="13" t="s">
        <v>122</v>
      </c>
      <c r="J101" s="13" t="s">
        <v>107</v>
      </c>
      <c r="K101" s="13" t="s">
        <v>368</v>
      </c>
      <c r="L101">
        <v>32963.29</v>
      </c>
      <c r="M101">
        <v>4622.82</v>
      </c>
      <c r="N101">
        <v>0</v>
      </c>
      <c r="O101">
        <v>0</v>
      </c>
      <c r="P101">
        <v>1155.71</v>
      </c>
      <c r="Q101">
        <v>0</v>
      </c>
      <c r="R101">
        <v>1155.71</v>
      </c>
      <c r="S101">
        <v>1155.71</v>
      </c>
      <c r="T101">
        <v>0</v>
      </c>
      <c r="U101">
        <v>16</v>
      </c>
      <c r="V101">
        <v>29.97</v>
      </c>
      <c r="W101">
        <v>20.7</v>
      </c>
      <c r="X101">
        <v>0</v>
      </c>
      <c r="Y101">
        <v>32963.29</v>
      </c>
      <c r="Z101">
        <v>0</v>
      </c>
      <c r="AA101" s="13" t="s">
        <v>3235</v>
      </c>
      <c r="AB101">
        <v>0</v>
      </c>
      <c r="AC101">
        <v>0</v>
      </c>
      <c r="AD101" s="13" t="s">
        <v>3236</v>
      </c>
    </row>
    <row r="102" spans="1:30" x14ac:dyDescent="0.35">
      <c r="A102">
        <v>101</v>
      </c>
      <c r="B102">
        <v>4</v>
      </c>
      <c r="C102" s="13" t="s">
        <v>1397</v>
      </c>
      <c r="D102" s="13" t="s">
        <v>1398</v>
      </c>
      <c r="E102" s="13" t="s">
        <v>76</v>
      </c>
      <c r="F102" s="13" t="s">
        <v>77</v>
      </c>
      <c r="G102" s="13" t="s">
        <v>55</v>
      </c>
      <c r="H102" s="13" t="s">
        <v>79</v>
      </c>
      <c r="I102" s="13" t="s">
        <v>80</v>
      </c>
      <c r="J102" s="13" t="s">
        <v>81</v>
      </c>
      <c r="K102" s="13" t="s">
        <v>95</v>
      </c>
      <c r="L102">
        <v>9176.2199999999993</v>
      </c>
      <c r="M102">
        <v>4596.99</v>
      </c>
      <c r="N102">
        <v>0</v>
      </c>
      <c r="O102">
        <v>0</v>
      </c>
      <c r="P102">
        <v>1149.25</v>
      </c>
      <c r="Q102">
        <v>0</v>
      </c>
      <c r="R102">
        <v>1149.25</v>
      </c>
      <c r="S102">
        <v>1149.25</v>
      </c>
      <c r="T102">
        <v>0</v>
      </c>
      <c r="U102">
        <v>14</v>
      </c>
      <c r="V102">
        <v>12.23</v>
      </c>
      <c r="W102">
        <v>9.8000000000000007</v>
      </c>
      <c r="X102">
        <v>0</v>
      </c>
      <c r="Y102">
        <v>9176.2199999999993</v>
      </c>
      <c r="Z102">
        <v>0</v>
      </c>
      <c r="AA102" s="13" t="s">
        <v>3235</v>
      </c>
      <c r="AB102">
        <v>0</v>
      </c>
      <c r="AC102">
        <v>1</v>
      </c>
      <c r="AD102" s="13" t="s">
        <v>3236</v>
      </c>
    </row>
    <row r="103" spans="1:30" x14ac:dyDescent="0.35">
      <c r="A103">
        <v>102</v>
      </c>
      <c r="B103">
        <v>19</v>
      </c>
      <c r="C103" s="13" t="s">
        <v>180</v>
      </c>
      <c r="D103" s="13" t="s">
        <v>181</v>
      </c>
      <c r="E103" s="13" t="s">
        <v>104</v>
      </c>
      <c r="F103" s="13" t="s">
        <v>77</v>
      </c>
      <c r="G103" s="13" t="s">
        <v>55</v>
      </c>
      <c r="H103" s="13" t="s">
        <v>121</v>
      </c>
      <c r="I103" s="13" t="s">
        <v>122</v>
      </c>
      <c r="J103" s="13" t="s">
        <v>107</v>
      </c>
      <c r="K103" s="13" t="s">
        <v>95</v>
      </c>
      <c r="L103">
        <v>10973.06</v>
      </c>
      <c r="M103">
        <v>6878.46</v>
      </c>
      <c r="N103">
        <v>2303.59</v>
      </c>
      <c r="O103">
        <v>0</v>
      </c>
      <c r="P103">
        <v>3447.31</v>
      </c>
      <c r="Q103">
        <v>0</v>
      </c>
      <c r="R103">
        <v>1143.72</v>
      </c>
      <c r="S103">
        <v>1143.72</v>
      </c>
      <c r="T103">
        <v>0</v>
      </c>
      <c r="U103">
        <v>404</v>
      </c>
      <c r="V103">
        <v>10.45</v>
      </c>
      <c r="W103">
        <v>13.2</v>
      </c>
      <c r="X103">
        <v>2303.59</v>
      </c>
      <c r="Y103">
        <v>8669.4699999999993</v>
      </c>
      <c r="Z103">
        <v>0</v>
      </c>
      <c r="AA103" s="13" t="s">
        <v>3232</v>
      </c>
      <c r="AB103">
        <v>0</v>
      </c>
      <c r="AC103">
        <v>0</v>
      </c>
      <c r="AD103" s="13" t="s">
        <v>3233</v>
      </c>
    </row>
    <row r="104" spans="1:30" x14ac:dyDescent="0.35">
      <c r="A104">
        <v>103</v>
      </c>
      <c r="B104">
        <v>19</v>
      </c>
      <c r="C104" s="13" t="s">
        <v>1735</v>
      </c>
      <c r="D104" s="13" t="s">
        <v>1736</v>
      </c>
      <c r="E104" s="13" t="s">
        <v>104</v>
      </c>
      <c r="F104" s="13" t="s">
        <v>65</v>
      </c>
      <c r="G104" s="13" t="s">
        <v>67</v>
      </c>
      <c r="H104" s="13" t="s">
        <v>105</v>
      </c>
      <c r="I104" s="13" t="s">
        <v>106</v>
      </c>
      <c r="J104" s="13" t="s">
        <v>107</v>
      </c>
      <c r="K104" s="13" t="s">
        <v>95</v>
      </c>
      <c r="L104">
        <v>4570.38</v>
      </c>
      <c r="M104">
        <v>4570.38</v>
      </c>
      <c r="N104">
        <v>0</v>
      </c>
      <c r="O104">
        <v>0</v>
      </c>
      <c r="P104">
        <v>1142.5999999999999</v>
      </c>
      <c r="Q104">
        <v>0</v>
      </c>
      <c r="R104">
        <v>1142.5999999999999</v>
      </c>
      <c r="S104">
        <v>1142.5999999999999</v>
      </c>
      <c r="T104">
        <v>0</v>
      </c>
      <c r="U104">
        <v>5</v>
      </c>
      <c r="V104">
        <v>11.43</v>
      </c>
      <c r="W104">
        <v>8.1999999999999993</v>
      </c>
      <c r="X104">
        <v>0</v>
      </c>
      <c r="Y104">
        <v>4570.38</v>
      </c>
      <c r="Z104">
        <v>0</v>
      </c>
      <c r="AA104" s="13" t="s">
        <v>3235</v>
      </c>
      <c r="AB104">
        <v>0</v>
      </c>
      <c r="AC104">
        <v>0</v>
      </c>
      <c r="AD104" s="13" t="s">
        <v>3236</v>
      </c>
    </row>
    <row r="105" spans="1:30" x14ac:dyDescent="0.35">
      <c r="A105">
        <v>104</v>
      </c>
      <c r="B105">
        <v>20</v>
      </c>
      <c r="C105" s="13" t="s">
        <v>458</v>
      </c>
      <c r="D105" s="13" t="s">
        <v>459</v>
      </c>
      <c r="E105" s="13" t="s">
        <v>126</v>
      </c>
      <c r="F105" s="13" t="s">
        <v>71</v>
      </c>
      <c r="G105" s="13" t="s">
        <v>67</v>
      </c>
      <c r="H105" s="13" t="s">
        <v>121</v>
      </c>
      <c r="I105" s="13" t="s">
        <v>122</v>
      </c>
      <c r="J105" s="13" t="s">
        <v>107</v>
      </c>
      <c r="K105" s="13" t="s">
        <v>368</v>
      </c>
      <c r="L105">
        <v>42376.15</v>
      </c>
      <c r="M105">
        <v>4540.45</v>
      </c>
      <c r="N105">
        <v>0</v>
      </c>
      <c r="O105">
        <v>0</v>
      </c>
      <c r="P105">
        <v>1135.1099999999999</v>
      </c>
      <c r="Q105">
        <v>0</v>
      </c>
      <c r="R105">
        <v>1135.1099999999999</v>
      </c>
      <c r="S105">
        <v>1135.1099999999999</v>
      </c>
      <c r="T105">
        <v>0</v>
      </c>
      <c r="U105">
        <v>16</v>
      </c>
      <c r="V105">
        <v>31.39</v>
      </c>
      <c r="W105">
        <v>24.1</v>
      </c>
      <c r="X105">
        <v>0</v>
      </c>
      <c r="Y105">
        <v>42376.15</v>
      </c>
      <c r="Z105">
        <v>0</v>
      </c>
      <c r="AA105" s="13" t="s">
        <v>3235</v>
      </c>
      <c r="AB105">
        <v>0</v>
      </c>
      <c r="AC105">
        <v>0</v>
      </c>
      <c r="AD105" s="13" t="s">
        <v>3236</v>
      </c>
    </row>
    <row r="106" spans="1:30" x14ac:dyDescent="0.35">
      <c r="A106">
        <v>105</v>
      </c>
      <c r="B106">
        <v>5</v>
      </c>
      <c r="C106" s="13" t="s">
        <v>1150</v>
      </c>
      <c r="D106" s="13" t="s">
        <v>1151</v>
      </c>
      <c r="E106" s="13" t="s">
        <v>76</v>
      </c>
      <c r="F106" s="13" t="s">
        <v>77</v>
      </c>
      <c r="G106" s="13" t="s">
        <v>92</v>
      </c>
      <c r="H106" s="13" t="s">
        <v>79</v>
      </c>
      <c r="I106" s="13" t="s">
        <v>80</v>
      </c>
      <c r="J106" s="13" t="s">
        <v>81</v>
      </c>
      <c r="K106" s="13" t="s">
        <v>82</v>
      </c>
      <c r="L106">
        <v>7630.38</v>
      </c>
      <c r="M106">
        <v>4316.59</v>
      </c>
      <c r="N106">
        <v>0</v>
      </c>
      <c r="O106">
        <v>0</v>
      </c>
      <c r="P106">
        <v>1079.1500000000001</v>
      </c>
      <c r="Q106">
        <v>0</v>
      </c>
      <c r="R106">
        <v>1079.1500000000001</v>
      </c>
      <c r="S106">
        <v>1079.1500000000001</v>
      </c>
      <c r="T106">
        <v>0</v>
      </c>
      <c r="U106">
        <v>24</v>
      </c>
      <c r="V106">
        <v>15.26</v>
      </c>
      <c r="W106">
        <v>13.4</v>
      </c>
      <c r="X106">
        <v>0</v>
      </c>
      <c r="Y106">
        <v>7630.38</v>
      </c>
      <c r="Z106">
        <v>0</v>
      </c>
      <c r="AA106" s="13" t="s">
        <v>3235</v>
      </c>
      <c r="AB106">
        <v>0</v>
      </c>
      <c r="AC106">
        <v>1</v>
      </c>
      <c r="AD106" s="13" t="s">
        <v>3236</v>
      </c>
    </row>
    <row r="107" spans="1:30" x14ac:dyDescent="0.35">
      <c r="A107">
        <v>106</v>
      </c>
      <c r="B107">
        <v>30</v>
      </c>
      <c r="C107" s="13" t="s">
        <v>403</v>
      </c>
      <c r="D107" s="13" t="s">
        <v>404</v>
      </c>
      <c r="E107" s="13" t="s">
        <v>126</v>
      </c>
      <c r="F107" s="13" t="s">
        <v>77</v>
      </c>
      <c r="G107" s="13" t="s">
        <v>67</v>
      </c>
      <c r="H107" s="13" t="s">
        <v>56</v>
      </c>
      <c r="I107" s="13" t="s">
        <v>57</v>
      </c>
      <c r="J107" s="13" t="s">
        <v>58</v>
      </c>
      <c r="K107" s="13" t="s">
        <v>368</v>
      </c>
      <c r="L107">
        <v>33249.440000000002</v>
      </c>
      <c r="M107">
        <v>4175.7</v>
      </c>
      <c r="N107">
        <v>0</v>
      </c>
      <c r="O107">
        <v>0</v>
      </c>
      <c r="P107">
        <v>1043.93</v>
      </c>
      <c r="Q107">
        <v>0</v>
      </c>
      <c r="R107">
        <v>1043.93</v>
      </c>
      <c r="S107">
        <v>1043.93</v>
      </c>
      <c r="T107">
        <v>0</v>
      </c>
      <c r="U107">
        <v>30</v>
      </c>
      <c r="V107">
        <v>19.559999999999999</v>
      </c>
      <c r="W107">
        <v>18.2</v>
      </c>
      <c r="X107">
        <v>0</v>
      </c>
      <c r="Y107">
        <v>33249.440000000002</v>
      </c>
      <c r="Z107">
        <v>0</v>
      </c>
      <c r="AA107" s="13" t="s">
        <v>3235</v>
      </c>
      <c r="AB107">
        <v>0</v>
      </c>
      <c r="AC107">
        <v>0</v>
      </c>
      <c r="AD107" s="13" t="s">
        <v>3236</v>
      </c>
    </row>
    <row r="108" spans="1:30" x14ac:dyDescent="0.35">
      <c r="A108">
        <v>107</v>
      </c>
      <c r="B108">
        <v>31</v>
      </c>
      <c r="C108" s="13" t="s">
        <v>902</v>
      </c>
      <c r="D108" s="13" t="s">
        <v>903</v>
      </c>
      <c r="E108" s="13" t="s">
        <v>52</v>
      </c>
      <c r="F108" s="13" t="s">
        <v>65</v>
      </c>
      <c r="G108" s="13" t="s">
        <v>67</v>
      </c>
      <c r="H108" s="13" t="s">
        <v>56</v>
      </c>
      <c r="I108" s="13" t="s">
        <v>57</v>
      </c>
      <c r="J108" s="13" t="s">
        <v>58</v>
      </c>
      <c r="K108" s="13" t="s">
        <v>59</v>
      </c>
      <c r="L108">
        <v>48359.9</v>
      </c>
      <c r="M108">
        <v>4150.7</v>
      </c>
      <c r="N108">
        <v>0</v>
      </c>
      <c r="O108">
        <v>0</v>
      </c>
      <c r="P108">
        <v>1037.68</v>
      </c>
      <c r="Q108">
        <v>0</v>
      </c>
      <c r="R108">
        <v>1037.68</v>
      </c>
      <c r="S108">
        <v>1037.68</v>
      </c>
      <c r="T108">
        <v>0</v>
      </c>
      <c r="U108">
        <v>19</v>
      </c>
      <c r="V108">
        <v>8.9600000000000009</v>
      </c>
      <c r="W108">
        <v>6.1</v>
      </c>
      <c r="X108">
        <v>0</v>
      </c>
      <c r="Y108">
        <v>48359.9</v>
      </c>
      <c r="Z108">
        <v>0</v>
      </c>
      <c r="AA108" s="13" t="s">
        <v>3235</v>
      </c>
      <c r="AB108">
        <v>0</v>
      </c>
      <c r="AC108">
        <v>0</v>
      </c>
      <c r="AD108" s="13" t="s">
        <v>3236</v>
      </c>
    </row>
    <row r="109" spans="1:30" x14ac:dyDescent="0.35">
      <c r="A109">
        <v>108</v>
      </c>
      <c r="B109">
        <v>9</v>
      </c>
      <c r="C109" s="13" t="s">
        <v>1665</v>
      </c>
      <c r="D109" s="13" t="s">
        <v>1666</v>
      </c>
      <c r="E109" s="13" t="s">
        <v>76</v>
      </c>
      <c r="F109" s="13" t="s">
        <v>77</v>
      </c>
      <c r="G109" s="13" t="s">
        <v>55</v>
      </c>
      <c r="H109" s="13" t="s">
        <v>93</v>
      </c>
      <c r="I109" s="13" t="s">
        <v>94</v>
      </c>
      <c r="J109" s="13" t="s">
        <v>81</v>
      </c>
      <c r="K109" s="13" t="s">
        <v>95</v>
      </c>
      <c r="L109">
        <v>7790.88</v>
      </c>
      <c r="M109">
        <v>4137.63</v>
      </c>
      <c r="N109">
        <v>0</v>
      </c>
      <c r="O109">
        <v>0</v>
      </c>
      <c r="P109">
        <v>1034.4100000000001</v>
      </c>
      <c r="Q109">
        <v>0</v>
      </c>
      <c r="R109">
        <v>1034.4100000000001</v>
      </c>
      <c r="S109">
        <v>1034.4100000000001</v>
      </c>
      <c r="T109">
        <v>0</v>
      </c>
      <c r="U109">
        <v>6</v>
      </c>
      <c r="V109">
        <v>11.99</v>
      </c>
      <c r="W109">
        <v>12.6</v>
      </c>
      <c r="X109">
        <v>0</v>
      </c>
      <c r="Y109">
        <v>7790.88</v>
      </c>
      <c r="Z109">
        <v>0</v>
      </c>
      <c r="AA109" s="13" t="s">
        <v>3235</v>
      </c>
      <c r="AB109">
        <v>0</v>
      </c>
      <c r="AC109">
        <v>1</v>
      </c>
      <c r="AD109" s="13" t="s">
        <v>3236</v>
      </c>
    </row>
    <row r="110" spans="1:30" x14ac:dyDescent="0.35">
      <c r="A110">
        <v>109</v>
      </c>
      <c r="B110">
        <v>32</v>
      </c>
      <c r="C110" s="13" t="s">
        <v>1038</v>
      </c>
      <c r="D110" s="13" t="s">
        <v>1039</v>
      </c>
      <c r="E110" s="13" t="s">
        <v>52</v>
      </c>
      <c r="F110" s="13" t="s">
        <v>77</v>
      </c>
      <c r="G110" s="13" t="s">
        <v>67</v>
      </c>
      <c r="H110" s="13" t="s">
        <v>56</v>
      </c>
      <c r="I110" s="13" t="s">
        <v>57</v>
      </c>
      <c r="J110" s="13" t="s">
        <v>58</v>
      </c>
      <c r="K110" s="13" t="s">
        <v>59</v>
      </c>
      <c r="L110">
        <v>58487.7</v>
      </c>
      <c r="M110">
        <v>4108.45</v>
      </c>
      <c r="N110">
        <v>0</v>
      </c>
      <c r="O110">
        <v>2050.15</v>
      </c>
      <c r="P110">
        <v>1027.1099999999999</v>
      </c>
      <c r="Q110">
        <v>0</v>
      </c>
      <c r="R110">
        <v>1027.1099999999999</v>
      </c>
      <c r="S110">
        <v>1027.1099999999999</v>
      </c>
      <c r="T110">
        <v>0</v>
      </c>
      <c r="U110">
        <v>12</v>
      </c>
      <c r="V110">
        <v>13.76</v>
      </c>
      <c r="W110">
        <v>6.7</v>
      </c>
      <c r="X110">
        <v>0</v>
      </c>
      <c r="Y110">
        <v>58487.7</v>
      </c>
      <c r="Z110">
        <v>0</v>
      </c>
      <c r="AA110" s="13" t="s">
        <v>3235</v>
      </c>
      <c r="AB110">
        <v>0</v>
      </c>
      <c r="AC110">
        <v>0</v>
      </c>
      <c r="AD110" s="13" t="s">
        <v>3236</v>
      </c>
    </row>
    <row r="111" spans="1:30" x14ac:dyDescent="0.35">
      <c r="A111">
        <v>110</v>
      </c>
      <c r="B111">
        <v>6</v>
      </c>
      <c r="C111" s="13" t="s">
        <v>1682</v>
      </c>
      <c r="D111" s="13" t="s">
        <v>1683</v>
      </c>
      <c r="E111" s="13" t="s">
        <v>76</v>
      </c>
      <c r="F111" s="13" t="s">
        <v>99</v>
      </c>
      <c r="G111" s="13" t="s">
        <v>67</v>
      </c>
      <c r="H111" s="13" t="s">
        <v>79</v>
      </c>
      <c r="I111" s="13" t="s">
        <v>80</v>
      </c>
      <c r="J111" s="13" t="s">
        <v>81</v>
      </c>
      <c r="K111" s="13" t="s">
        <v>95</v>
      </c>
      <c r="L111">
        <v>10022.66</v>
      </c>
      <c r="M111">
        <v>4084.12</v>
      </c>
      <c r="N111">
        <v>0</v>
      </c>
      <c r="O111">
        <v>0</v>
      </c>
      <c r="P111">
        <v>1021.03</v>
      </c>
      <c r="Q111">
        <v>0</v>
      </c>
      <c r="R111">
        <v>1021.03</v>
      </c>
      <c r="S111">
        <v>1021.03</v>
      </c>
      <c r="T111">
        <v>0</v>
      </c>
      <c r="U111">
        <v>6</v>
      </c>
      <c r="V111">
        <v>8.35</v>
      </c>
      <c r="W111">
        <v>5.6</v>
      </c>
      <c r="X111">
        <v>0</v>
      </c>
      <c r="Y111">
        <v>10022.66</v>
      </c>
      <c r="Z111">
        <v>0</v>
      </c>
      <c r="AA111" s="13" t="s">
        <v>3235</v>
      </c>
      <c r="AB111">
        <v>0</v>
      </c>
      <c r="AC111">
        <v>1</v>
      </c>
      <c r="AD111" s="13" t="s">
        <v>3236</v>
      </c>
    </row>
    <row r="112" spans="1:30" x14ac:dyDescent="0.35">
      <c r="A112">
        <v>111</v>
      </c>
      <c r="B112">
        <v>7</v>
      </c>
      <c r="C112" s="13" t="s">
        <v>933</v>
      </c>
      <c r="D112" s="13" t="s">
        <v>934</v>
      </c>
      <c r="E112" s="13" t="s">
        <v>76</v>
      </c>
      <c r="F112" s="13" t="s">
        <v>71</v>
      </c>
      <c r="G112" s="13" t="s">
        <v>67</v>
      </c>
      <c r="H112" s="13" t="s">
        <v>79</v>
      </c>
      <c r="I112" s="13" t="s">
        <v>80</v>
      </c>
      <c r="J112" s="13" t="s">
        <v>81</v>
      </c>
      <c r="K112" s="13" t="s">
        <v>95</v>
      </c>
      <c r="L112">
        <v>19463.689999999999</v>
      </c>
      <c r="M112">
        <v>2037.24</v>
      </c>
      <c r="N112">
        <v>0</v>
      </c>
      <c r="O112">
        <v>0</v>
      </c>
      <c r="P112">
        <v>1018.62</v>
      </c>
      <c r="Q112">
        <v>0</v>
      </c>
      <c r="R112">
        <v>1018.62</v>
      </c>
      <c r="S112">
        <v>1018.62</v>
      </c>
      <c r="T112">
        <v>0</v>
      </c>
      <c r="U112">
        <v>33</v>
      </c>
      <c r="V112">
        <v>16.920000000000002</v>
      </c>
      <c r="W112">
        <v>4.4000000000000004</v>
      </c>
      <c r="X112">
        <v>0</v>
      </c>
      <c r="Y112">
        <v>19463.689999999999</v>
      </c>
      <c r="Z112">
        <v>0</v>
      </c>
      <c r="AA112" s="13" t="s">
        <v>3230</v>
      </c>
      <c r="AB112">
        <v>0</v>
      </c>
      <c r="AC112">
        <v>1</v>
      </c>
      <c r="AD112" s="13" t="s">
        <v>3231</v>
      </c>
    </row>
    <row r="113" spans="1:30" x14ac:dyDescent="0.35">
      <c r="A113">
        <v>112</v>
      </c>
      <c r="B113">
        <v>21</v>
      </c>
      <c r="C113" s="13" t="s">
        <v>746</v>
      </c>
      <c r="D113" s="13" t="s">
        <v>747</v>
      </c>
      <c r="E113" s="13" t="s">
        <v>126</v>
      </c>
      <c r="F113" s="13" t="s">
        <v>99</v>
      </c>
      <c r="G113" s="13" t="s">
        <v>67</v>
      </c>
      <c r="H113" s="13" t="s">
        <v>121</v>
      </c>
      <c r="I113" s="13" t="s">
        <v>122</v>
      </c>
      <c r="J113" s="13" t="s">
        <v>107</v>
      </c>
      <c r="K113" s="13" t="s">
        <v>88</v>
      </c>
      <c r="L113">
        <v>5967.92</v>
      </c>
      <c r="M113">
        <v>4020.01</v>
      </c>
      <c r="N113">
        <v>0</v>
      </c>
      <c r="O113">
        <v>0</v>
      </c>
      <c r="P113">
        <v>1005</v>
      </c>
      <c r="Q113">
        <v>0</v>
      </c>
      <c r="R113">
        <v>1005</v>
      </c>
      <c r="S113">
        <v>1005</v>
      </c>
      <c r="T113">
        <v>0</v>
      </c>
      <c r="U113">
        <v>12</v>
      </c>
      <c r="V113">
        <v>7.46</v>
      </c>
      <c r="W113">
        <v>18.100000000000001</v>
      </c>
      <c r="X113">
        <v>0</v>
      </c>
      <c r="Y113">
        <v>5967.92</v>
      </c>
      <c r="Z113">
        <v>0</v>
      </c>
      <c r="AA113" s="13" t="s">
        <v>3235</v>
      </c>
      <c r="AB113">
        <v>0</v>
      </c>
      <c r="AC113">
        <v>0</v>
      </c>
      <c r="AD113" s="13" t="s">
        <v>3236</v>
      </c>
    </row>
    <row r="114" spans="1:30" x14ac:dyDescent="0.35">
      <c r="A114">
        <v>113</v>
      </c>
      <c r="B114">
        <v>22</v>
      </c>
      <c r="C114" s="13" t="s">
        <v>259</v>
      </c>
      <c r="D114" s="13" t="s">
        <v>260</v>
      </c>
      <c r="E114" s="13" t="s">
        <v>104</v>
      </c>
      <c r="F114" s="13" t="s">
        <v>71</v>
      </c>
      <c r="G114" s="13" t="s">
        <v>67</v>
      </c>
      <c r="H114" s="13" t="s">
        <v>121</v>
      </c>
      <c r="I114" s="13" t="s">
        <v>122</v>
      </c>
      <c r="J114" s="13" t="s">
        <v>107</v>
      </c>
      <c r="K114" s="13" t="s">
        <v>88</v>
      </c>
      <c r="L114">
        <v>22168.21</v>
      </c>
      <c r="M114">
        <v>5780.36</v>
      </c>
      <c r="N114">
        <v>1786.89</v>
      </c>
      <c r="O114">
        <v>810.84</v>
      </c>
      <c r="P114">
        <v>2785.26</v>
      </c>
      <c r="Q114">
        <v>0</v>
      </c>
      <c r="R114">
        <v>998.37</v>
      </c>
      <c r="S114">
        <v>998.37</v>
      </c>
      <c r="T114">
        <v>0</v>
      </c>
      <c r="U114">
        <v>195</v>
      </c>
      <c r="V114">
        <v>15.29</v>
      </c>
      <c r="W114">
        <v>4.9000000000000004</v>
      </c>
      <c r="X114">
        <v>1786.89</v>
      </c>
      <c r="Y114">
        <v>20381.32</v>
      </c>
      <c r="Z114">
        <v>0</v>
      </c>
      <c r="AA114" s="13" t="s">
        <v>3232</v>
      </c>
      <c r="AB114">
        <v>0</v>
      </c>
      <c r="AC114">
        <v>0</v>
      </c>
      <c r="AD114" s="13" t="s">
        <v>3233</v>
      </c>
    </row>
    <row r="115" spans="1:30" x14ac:dyDescent="0.35">
      <c r="A115">
        <v>114</v>
      </c>
      <c r="B115">
        <v>23</v>
      </c>
      <c r="C115" s="13" t="s">
        <v>565</v>
      </c>
      <c r="D115" s="13" t="s">
        <v>566</v>
      </c>
      <c r="E115" s="13" t="s">
        <v>126</v>
      </c>
      <c r="F115" s="13" t="s">
        <v>77</v>
      </c>
      <c r="G115" s="13" t="s">
        <v>67</v>
      </c>
      <c r="H115" s="13" t="s">
        <v>121</v>
      </c>
      <c r="I115" s="13" t="s">
        <v>122</v>
      </c>
      <c r="J115" s="13" t="s">
        <v>107</v>
      </c>
      <c r="K115" s="13" t="s">
        <v>368</v>
      </c>
      <c r="L115">
        <v>23116.26</v>
      </c>
      <c r="M115">
        <v>3961.04</v>
      </c>
      <c r="N115">
        <v>0</v>
      </c>
      <c r="O115">
        <v>0</v>
      </c>
      <c r="P115">
        <v>990.26</v>
      </c>
      <c r="Q115">
        <v>0</v>
      </c>
      <c r="R115">
        <v>990.26</v>
      </c>
      <c r="S115">
        <v>990.26</v>
      </c>
      <c r="T115">
        <v>0</v>
      </c>
      <c r="U115">
        <v>2</v>
      </c>
      <c r="V115">
        <v>15.94</v>
      </c>
      <c r="W115">
        <v>21.2</v>
      </c>
      <c r="X115">
        <v>0</v>
      </c>
      <c r="Y115">
        <v>23116.26</v>
      </c>
      <c r="Z115">
        <v>0</v>
      </c>
      <c r="AA115" s="13" t="s">
        <v>3235</v>
      </c>
      <c r="AB115">
        <v>0</v>
      </c>
      <c r="AC115">
        <v>0</v>
      </c>
      <c r="AD115" s="13" t="s">
        <v>3236</v>
      </c>
    </row>
    <row r="116" spans="1:30" x14ac:dyDescent="0.35">
      <c r="A116">
        <v>115</v>
      </c>
      <c r="B116">
        <v>24</v>
      </c>
      <c r="C116" s="13" t="s">
        <v>1296</v>
      </c>
      <c r="D116" s="13" t="s">
        <v>1297</v>
      </c>
      <c r="E116" s="13" t="s">
        <v>104</v>
      </c>
      <c r="F116" s="13" t="s">
        <v>99</v>
      </c>
      <c r="G116" s="13" t="s">
        <v>55</v>
      </c>
      <c r="H116" s="13" t="s">
        <v>121</v>
      </c>
      <c r="I116" s="13" t="s">
        <v>122</v>
      </c>
      <c r="J116" s="13" t="s">
        <v>107</v>
      </c>
      <c r="K116" s="13" t="s">
        <v>95</v>
      </c>
      <c r="L116">
        <v>22123.42</v>
      </c>
      <c r="M116">
        <v>3791.71</v>
      </c>
      <c r="N116">
        <v>0</v>
      </c>
      <c r="O116">
        <v>0</v>
      </c>
      <c r="P116">
        <v>947.93</v>
      </c>
      <c r="Q116">
        <v>0</v>
      </c>
      <c r="R116">
        <v>947.93</v>
      </c>
      <c r="S116">
        <v>947.93</v>
      </c>
      <c r="T116">
        <v>0</v>
      </c>
      <c r="U116">
        <v>18</v>
      </c>
      <c r="V116">
        <v>26.03</v>
      </c>
      <c r="W116">
        <v>11</v>
      </c>
      <c r="X116">
        <v>0</v>
      </c>
      <c r="Y116">
        <v>22123.42</v>
      </c>
      <c r="Z116">
        <v>0</v>
      </c>
      <c r="AA116" s="13" t="s">
        <v>3235</v>
      </c>
      <c r="AB116">
        <v>0</v>
      </c>
      <c r="AC116">
        <v>0</v>
      </c>
      <c r="AD116" s="13" t="s">
        <v>3236</v>
      </c>
    </row>
    <row r="117" spans="1:30" x14ac:dyDescent="0.35">
      <c r="A117">
        <v>116</v>
      </c>
      <c r="B117">
        <v>24</v>
      </c>
      <c r="C117" s="13" t="s">
        <v>478</v>
      </c>
      <c r="D117" s="13" t="s">
        <v>479</v>
      </c>
      <c r="E117" s="13" t="s">
        <v>52</v>
      </c>
      <c r="F117" s="13" t="s">
        <v>77</v>
      </c>
      <c r="G117" s="13" t="s">
        <v>55</v>
      </c>
      <c r="H117" s="13" t="s">
        <v>86</v>
      </c>
      <c r="I117" s="13" t="s">
        <v>87</v>
      </c>
      <c r="J117" s="13" t="s">
        <v>58</v>
      </c>
      <c r="K117" s="13" t="s">
        <v>88</v>
      </c>
      <c r="L117">
        <v>91519.74</v>
      </c>
      <c r="M117">
        <v>14750.26</v>
      </c>
      <c r="N117">
        <v>0</v>
      </c>
      <c r="O117">
        <v>0</v>
      </c>
      <c r="P117">
        <v>4605.6400000000003</v>
      </c>
      <c r="Q117">
        <v>0</v>
      </c>
      <c r="R117">
        <v>933.35</v>
      </c>
      <c r="S117">
        <v>933.35</v>
      </c>
      <c r="T117">
        <v>0</v>
      </c>
      <c r="U117">
        <v>43</v>
      </c>
      <c r="V117">
        <v>23.77</v>
      </c>
      <c r="W117">
        <v>12.7</v>
      </c>
      <c r="X117">
        <v>3672.29</v>
      </c>
      <c r="Y117">
        <v>87847.45</v>
      </c>
      <c r="Z117">
        <v>0</v>
      </c>
      <c r="AA117" s="13" t="s">
        <v>3230</v>
      </c>
      <c r="AB117">
        <v>0</v>
      </c>
      <c r="AC117">
        <v>0</v>
      </c>
      <c r="AD117" s="13" t="s">
        <v>3231</v>
      </c>
    </row>
    <row r="118" spans="1:30" x14ac:dyDescent="0.35">
      <c r="A118">
        <v>117</v>
      </c>
      <c r="B118">
        <v>46</v>
      </c>
      <c r="C118" s="13" t="s">
        <v>200</v>
      </c>
      <c r="D118" s="13" t="s">
        <v>201</v>
      </c>
      <c r="E118" s="13" t="s">
        <v>104</v>
      </c>
      <c r="F118" s="13" t="s">
        <v>53</v>
      </c>
      <c r="G118" s="13" t="s">
        <v>55</v>
      </c>
      <c r="H118" s="13" t="s">
        <v>121</v>
      </c>
      <c r="I118" s="13" t="s">
        <v>122</v>
      </c>
      <c r="J118" s="13" t="s">
        <v>107</v>
      </c>
      <c r="K118" s="13" t="s">
        <v>82</v>
      </c>
      <c r="L118">
        <v>7011.58</v>
      </c>
      <c r="M118">
        <v>7011.58</v>
      </c>
      <c r="N118">
        <v>3683.79</v>
      </c>
      <c r="O118">
        <v>0</v>
      </c>
      <c r="P118">
        <v>4515.74</v>
      </c>
      <c r="Q118">
        <v>0</v>
      </c>
      <c r="R118">
        <v>905.63</v>
      </c>
      <c r="S118">
        <v>905.63</v>
      </c>
      <c r="T118">
        <v>0</v>
      </c>
      <c r="U118">
        <v>326</v>
      </c>
      <c r="V118">
        <v>4.84</v>
      </c>
      <c r="W118">
        <v>-2.2999999999999998</v>
      </c>
      <c r="X118">
        <v>3610.11</v>
      </c>
      <c r="Y118">
        <v>3401.47</v>
      </c>
      <c r="Z118">
        <v>0</v>
      </c>
      <c r="AA118" s="13" t="s">
        <v>3239</v>
      </c>
      <c r="AB118">
        <v>0</v>
      </c>
      <c r="AC118">
        <v>0</v>
      </c>
      <c r="AD118" s="13" t="s">
        <v>3240</v>
      </c>
    </row>
    <row r="119" spans="1:30" x14ac:dyDescent="0.35">
      <c r="A119">
        <v>118</v>
      </c>
      <c r="B119">
        <v>39</v>
      </c>
      <c r="C119" s="13" t="s">
        <v>263</v>
      </c>
      <c r="D119" s="13" t="s">
        <v>264</v>
      </c>
      <c r="E119" s="13" t="s">
        <v>52</v>
      </c>
      <c r="F119" s="13" t="s">
        <v>99</v>
      </c>
      <c r="G119" s="13" t="s">
        <v>55</v>
      </c>
      <c r="H119" s="13" t="s">
        <v>86</v>
      </c>
      <c r="I119" s="13" t="s">
        <v>87</v>
      </c>
      <c r="J119" s="13" t="s">
        <v>58</v>
      </c>
      <c r="K119" s="13" t="s">
        <v>88</v>
      </c>
      <c r="L119">
        <v>118321.01</v>
      </c>
      <c r="M119">
        <v>13114.17</v>
      </c>
      <c r="N119">
        <v>9541.7999999999993</v>
      </c>
      <c r="O119">
        <v>17063.150000000001</v>
      </c>
      <c r="P119">
        <v>10434.89</v>
      </c>
      <c r="Q119">
        <v>0</v>
      </c>
      <c r="R119">
        <v>893.09</v>
      </c>
      <c r="S119">
        <v>893.09</v>
      </c>
      <c r="T119">
        <v>0</v>
      </c>
      <c r="U119">
        <v>149</v>
      </c>
      <c r="V119">
        <v>20.05</v>
      </c>
      <c r="W119">
        <v>14.9</v>
      </c>
      <c r="X119">
        <v>9541.7999999999993</v>
      </c>
      <c r="Y119">
        <v>108779.21</v>
      </c>
      <c r="Z119">
        <v>0</v>
      </c>
      <c r="AA119" s="13" t="s">
        <v>3239</v>
      </c>
      <c r="AB119">
        <v>0</v>
      </c>
      <c r="AC119">
        <v>0</v>
      </c>
      <c r="AD119" s="13" t="s">
        <v>3240</v>
      </c>
    </row>
    <row r="120" spans="1:30" x14ac:dyDescent="0.35">
      <c r="A120">
        <v>119</v>
      </c>
      <c r="B120">
        <v>20</v>
      </c>
      <c r="C120" s="13" t="s">
        <v>1714</v>
      </c>
      <c r="D120" s="13" t="s">
        <v>1715</v>
      </c>
      <c r="E120" s="13" t="s">
        <v>104</v>
      </c>
      <c r="F120" s="13" t="s">
        <v>99</v>
      </c>
      <c r="G120" s="13" t="s">
        <v>55</v>
      </c>
      <c r="H120" s="13" t="s">
        <v>105</v>
      </c>
      <c r="I120" s="13" t="s">
        <v>106</v>
      </c>
      <c r="J120" s="13" t="s">
        <v>107</v>
      </c>
      <c r="K120" s="13" t="s">
        <v>95</v>
      </c>
      <c r="L120">
        <v>5470.74</v>
      </c>
      <c r="M120">
        <v>3504.13</v>
      </c>
      <c r="N120">
        <v>0</v>
      </c>
      <c r="O120">
        <v>0</v>
      </c>
      <c r="P120">
        <v>876.03</v>
      </c>
      <c r="Q120">
        <v>0</v>
      </c>
      <c r="R120">
        <v>876.03</v>
      </c>
      <c r="S120">
        <v>876.03</v>
      </c>
      <c r="T120">
        <v>0</v>
      </c>
      <c r="U120">
        <v>5</v>
      </c>
      <c r="V120">
        <v>10.94</v>
      </c>
      <c r="W120">
        <v>15.2</v>
      </c>
      <c r="X120">
        <v>0</v>
      </c>
      <c r="Y120">
        <v>5470.74</v>
      </c>
      <c r="Z120">
        <v>0</v>
      </c>
      <c r="AA120" s="13" t="s">
        <v>3235</v>
      </c>
      <c r="AB120">
        <v>0</v>
      </c>
      <c r="AC120">
        <v>0</v>
      </c>
      <c r="AD120" s="13" t="s">
        <v>3236</v>
      </c>
    </row>
    <row r="121" spans="1:30" x14ac:dyDescent="0.35">
      <c r="A121">
        <v>120</v>
      </c>
      <c r="B121">
        <v>25</v>
      </c>
      <c r="C121" s="13" t="s">
        <v>930</v>
      </c>
      <c r="D121" s="13" t="s">
        <v>931</v>
      </c>
      <c r="E121" s="13" t="s">
        <v>104</v>
      </c>
      <c r="F121" s="13" t="s">
        <v>71</v>
      </c>
      <c r="G121" s="13" t="s">
        <v>55</v>
      </c>
      <c r="H121" s="13" t="s">
        <v>121</v>
      </c>
      <c r="I121" s="13" t="s">
        <v>122</v>
      </c>
      <c r="J121" s="13" t="s">
        <v>107</v>
      </c>
      <c r="K121" s="13" t="s">
        <v>88</v>
      </c>
      <c r="L121">
        <v>34442.269999999997</v>
      </c>
      <c r="M121">
        <v>3413.26</v>
      </c>
      <c r="N121">
        <v>0</v>
      </c>
      <c r="O121">
        <v>0</v>
      </c>
      <c r="P121">
        <v>853.32</v>
      </c>
      <c r="Q121">
        <v>0</v>
      </c>
      <c r="R121">
        <v>853.32</v>
      </c>
      <c r="S121">
        <v>853.32</v>
      </c>
      <c r="T121">
        <v>0</v>
      </c>
      <c r="U121">
        <v>3</v>
      </c>
      <c r="V121">
        <v>28.7</v>
      </c>
      <c r="W121">
        <v>12.9</v>
      </c>
      <c r="X121">
        <v>0</v>
      </c>
      <c r="Y121">
        <v>34442.269999999997</v>
      </c>
      <c r="Z121">
        <v>0</v>
      </c>
      <c r="AA121" s="13" t="s">
        <v>3235</v>
      </c>
      <c r="AB121">
        <v>0</v>
      </c>
      <c r="AC121">
        <v>0</v>
      </c>
      <c r="AD121" s="13" t="s">
        <v>3236</v>
      </c>
    </row>
    <row r="122" spans="1:30" x14ac:dyDescent="0.35">
      <c r="A122">
        <v>121</v>
      </c>
      <c r="B122">
        <v>8</v>
      </c>
      <c r="C122" s="13" t="s">
        <v>644</v>
      </c>
      <c r="D122" s="13" t="s">
        <v>645</v>
      </c>
      <c r="E122" s="13" t="s">
        <v>76</v>
      </c>
      <c r="F122" s="13" t="s">
        <v>53</v>
      </c>
      <c r="G122" s="13" t="s">
        <v>92</v>
      </c>
      <c r="H122" s="13" t="s">
        <v>79</v>
      </c>
      <c r="I122" s="13" t="s">
        <v>80</v>
      </c>
      <c r="J122" s="13" t="s">
        <v>81</v>
      </c>
      <c r="K122" s="13" t="s">
        <v>95</v>
      </c>
      <c r="L122">
        <v>7717.38</v>
      </c>
      <c r="M122">
        <v>1655.43</v>
      </c>
      <c r="N122">
        <v>0</v>
      </c>
      <c r="O122">
        <v>0</v>
      </c>
      <c r="P122">
        <v>827.72</v>
      </c>
      <c r="Q122">
        <v>0</v>
      </c>
      <c r="R122">
        <v>827.72</v>
      </c>
      <c r="S122">
        <v>827.72</v>
      </c>
      <c r="T122">
        <v>0</v>
      </c>
      <c r="U122">
        <v>53</v>
      </c>
      <c r="V122">
        <v>22.05</v>
      </c>
      <c r="W122">
        <v>24.1</v>
      </c>
      <c r="X122">
        <v>0</v>
      </c>
      <c r="Y122">
        <v>7717.38</v>
      </c>
      <c r="Z122">
        <v>0</v>
      </c>
      <c r="AA122" s="13" t="s">
        <v>3230</v>
      </c>
      <c r="AB122">
        <v>0</v>
      </c>
      <c r="AC122">
        <v>1</v>
      </c>
      <c r="AD122" s="13" t="s">
        <v>3231</v>
      </c>
    </row>
    <row r="123" spans="1:30" x14ac:dyDescent="0.35">
      <c r="A123">
        <v>122</v>
      </c>
      <c r="B123">
        <v>9</v>
      </c>
      <c r="C123" s="13" t="s">
        <v>1520</v>
      </c>
      <c r="D123" s="13" t="s">
        <v>1521</v>
      </c>
      <c r="E123" s="13" t="s">
        <v>76</v>
      </c>
      <c r="F123" s="13" t="s">
        <v>53</v>
      </c>
      <c r="G123" s="13" t="s">
        <v>55</v>
      </c>
      <c r="H123" s="13" t="s">
        <v>79</v>
      </c>
      <c r="I123" s="13" t="s">
        <v>80</v>
      </c>
      <c r="J123" s="13" t="s">
        <v>81</v>
      </c>
      <c r="K123" s="13" t="s">
        <v>95</v>
      </c>
      <c r="L123">
        <v>11528.08</v>
      </c>
      <c r="M123">
        <v>3287.91</v>
      </c>
      <c r="N123">
        <v>0</v>
      </c>
      <c r="O123">
        <v>0</v>
      </c>
      <c r="P123">
        <v>821.98</v>
      </c>
      <c r="Q123">
        <v>0</v>
      </c>
      <c r="R123">
        <v>821.98</v>
      </c>
      <c r="S123">
        <v>821.98</v>
      </c>
      <c r="T123">
        <v>0</v>
      </c>
      <c r="U123">
        <v>11</v>
      </c>
      <c r="V123">
        <v>10.48</v>
      </c>
      <c r="W123">
        <v>10.8</v>
      </c>
      <c r="X123">
        <v>0</v>
      </c>
      <c r="Y123">
        <v>11528.08</v>
      </c>
      <c r="Z123">
        <v>0</v>
      </c>
      <c r="AA123" s="13" t="s">
        <v>3235</v>
      </c>
      <c r="AB123">
        <v>0</v>
      </c>
      <c r="AC123">
        <v>1</v>
      </c>
      <c r="AD123" s="13" t="s">
        <v>3236</v>
      </c>
    </row>
    <row r="124" spans="1:30" x14ac:dyDescent="0.35">
      <c r="A124">
        <v>123</v>
      </c>
      <c r="B124">
        <v>10</v>
      </c>
      <c r="C124" s="13" t="s">
        <v>1749</v>
      </c>
      <c r="D124" s="13" t="s">
        <v>1750</v>
      </c>
      <c r="E124" s="13" t="s">
        <v>76</v>
      </c>
      <c r="F124" s="13" t="s">
        <v>99</v>
      </c>
      <c r="G124" s="13" t="s">
        <v>92</v>
      </c>
      <c r="H124" s="13" t="s">
        <v>93</v>
      </c>
      <c r="I124" s="13" t="s">
        <v>94</v>
      </c>
      <c r="J124" s="13" t="s">
        <v>81</v>
      </c>
      <c r="K124" s="13" t="s">
        <v>82</v>
      </c>
      <c r="L124">
        <v>5642.92</v>
      </c>
      <c r="M124">
        <v>3280.77</v>
      </c>
      <c r="N124">
        <v>0</v>
      </c>
      <c r="O124">
        <v>0</v>
      </c>
      <c r="P124">
        <v>820.19</v>
      </c>
      <c r="Q124">
        <v>0</v>
      </c>
      <c r="R124">
        <v>820.19</v>
      </c>
      <c r="S124">
        <v>820.19</v>
      </c>
      <c r="T124">
        <v>0</v>
      </c>
      <c r="U124">
        <v>5</v>
      </c>
      <c r="V124">
        <v>22.57</v>
      </c>
      <c r="W124">
        <v>21.1</v>
      </c>
      <c r="X124">
        <v>0</v>
      </c>
      <c r="Y124">
        <v>5642.92</v>
      </c>
      <c r="Z124">
        <v>1</v>
      </c>
      <c r="AA124" s="13" t="s">
        <v>3235</v>
      </c>
      <c r="AB124">
        <v>0</v>
      </c>
      <c r="AC124">
        <v>1</v>
      </c>
      <c r="AD124" s="13" t="s">
        <v>3236</v>
      </c>
    </row>
    <row r="125" spans="1:30" x14ac:dyDescent="0.35">
      <c r="A125">
        <v>124</v>
      </c>
      <c r="B125">
        <v>11</v>
      </c>
      <c r="C125" s="13" t="s">
        <v>1601</v>
      </c>
      <c r="D125" s="13" t="s">
        <v>1602</v>
      </c>
      <c r="E125" s="13" t="s">
        <v>76</v>
      </c>
      <c r="F125" s="13" t="s">
        <v>99</v>
      </c>
      <c r="G125" s="13" t="s">
        <v>55</v>
      </c>
      <c r="H125" s="13" t="s">
        <v>93</v>
      </c>
      <c r="I125" s="13" t="s">
        <v>94</v>
      </c>
      <c r="J125" s="13" t="s">
        <v>81</v>
      </c>
      <c r="K125" s="13" t="s">
        <v>95</v>
      </c>
      <c r="L125">
        <v>13799.56</v>
      </c>
      <c r="M125">
        <v>3235.67</v>
      </c>
      <c r="N125">
        <v>0</v>
      </c>
      <c r="O125">
        <v>0</v>
      </c>
      <c r="P125">
        <v>808.92</v>
      </c>
      <c r="Q125">
        <v>0</v>
      </c>
      <c r="R125">
        <v>808.92</v>
      </c>
      <c r="S125">
        <v>808.92</v>
      </c>
      <c r="T125">
        <v>0</v>
      </c>
      <c r="U125">
        <v>7</v>
      </c>
      <c r="V125">
        <v>15.33</v>
      </c>
      <c r="W125">
        <v>13.9</v>
      </c>
      <c r="X125">
        <v>0</v>
      </c>
      <c r="Y125">
        <v>13799.56</v>
      </c>
      <c r="Z125">
        <v>0</v>
      </c>
      <c r="AA125" s="13" t="s">
        <v>3235</v>
      </c>
      <c r="AB125">
        <v>0</v>
      </c>
      <c r="AC125">
        <v>0</v>
      </c>
      <c r="AD125" s="13" t="s">
        <v>3236</v>
      </c>
    </row>
    <row r="126" spans="1:30" x14ac:dyDescent="0.35">
      <c r="A126">
        <v>125</v>
      </c>
      <c r="B126">
        <v>26</v>
      </c>
      <c r="C126" s="13" t="s">
        <v>1008</v>
      </c>
      <c r="D126" s="13" t="s">
        <v>1009</v>
      </c>
      <c r="E126" s="13" t="s">
        <v>104</v>
      </c>
      <c r="F126" s="13" t="s">
        <v>77</v>
      </c>
      <c r="G126" s="13" t="s">
        <v>67</v>
      </c>
      <c r="H126" s="13" t="s">
        <v>121</v>
      </c>
      <c r="I126" s="13" t="s">
        <v>122</v>
      </c>
      <c r="J126" s="13" t="s">
        <v>107</v>
      </c>
      <c r="K126" s="13" t="s">
        <v>95</v>
      </c>
      <c r="L126">
        <v>11453.63</v>
      </c>
      <c r="M126">
        <v>3227.38</v>
      </c>
      <c r="N126">
        <v>0</v>
      </c>
      <c r="O126">
        <v>0</v>
      </c>
      <c r="P126">
        <v>806.85</v>
      </c>
      <c r="Q126">
        <v>0</v>
      </c>
      <c r="R126">
        <v>806.85</v>
      </c>
      <c r="S126">
        <v>806.85</v>
      </c>
      <c r="T126">
        <v>0</v>
      </c>
      <c r="U126">
        <v>28</v>
      </c>
      <c r="V126">
        <v>12.06</v>
      </c>
      <c r="W126">
        <v>4.7</v>
      </c>
      <c r="X126">
        <v>0</v>
      </c>
      <c r="Y126">
        <v>11453.63</v>
      </c>
      <c r="Z126">
        <v>0</v>
      </c>
      <c r="AA126" s="13" t="s">
        <v>3241</v>
      </c>
      <c r="AB126">
        <v>0</v>
      </c>
      <c r="AC126">
        <v>0</v>
      </c>
      <c r="AD126" s="13" t="s">
        <v>3242</v>
      </c>
    </row>
    <row r="127" spans="1:30" x14ac:dyDescent="0.35">
      <c r="A127">
        <v>126</v>
      </c>
      <c r="B127">
        <v>27</v>
      </c>
      <c r="C127" s="13" t="s">
        <v>1460</v>
      </c>
      <c r="D127" s="13" t="s">
        <v>1461</v>
      </c>
      <c r="E127" s="13" t="s">
        <v>104</v>
      </c>
      <c r="F127" s="13" t="s">
        <v>99</v>
      </c>
      <c r="G127" s="13" t="s">
        <v>55</v>
      </c>
      <c r="H127" s="13" t="s">
        <v>121</v>
      </c>
      <c r="I127" s="13" t="s">
        <v>122</v>
      </c>
      <c r="J127" s="13" t="s">
        <v>107</v>
      </c>
      <c r="K127" s="13" t="s">
        <v>82</v>
      </c>
      <c r="L127">
        <v>14034.51</v>
      </c>
      <c r="M127">
        <v>2928.72</v>
      </c>
      <c r="N127">
        <v>0</v>
      </c>
      <c r="O127">
        <v>4092.17</v>
      </c>
      <c r="P127">
        <v>732.18</v>
      </c>
      <c r="Q127">
        <v>0</v>
      </c>
      <c r="R127">
        <v>732.18</v>
      </c>
      <c r="S127">
        <v>732.18</v>
      </c>
      <c r="T127">
        <v>0</v>
      </c>
      <c r="U127">
        <v>12</v>
      </c>
      <c r="V127">
        <v>21.59</v>
      </c>
      <c r="W127">
        <v>-1.7</v>
      </c>
      <c r="X127">
        <v>0</v>
      </c>
      <c r="Y127">
        <v>14034.51</v>
      </c>
      <c r="Z127">
        <v>0</v>
      </c>
      <c r="AA127" s="13" t="s">
        <v>3237</v>
      </c>
      <c r="AB127">
        <v>0</v>
      </c>
      <c r="AC127">
        <v>0</v>
      </c>
      <c r="AD127" s="13" t="s">
        <v>3238</v>
      </c>
    </row>
    <row r="128" spans="1:30" x14ac:dyDescent="0.35">
      <c r="A128">
        <v>127</v>
      </c>
      <c r="B128">
        <v>33</v>
      </c>
      <c r="C128" s="13" t="s">
        <v>1288</v>
      </c>
      <c r="D128" s="13" t="s">
        <v>1289</v>
      </c>
      <c r="E128" s="13" t="s">
        <v>52</v>
      </c>
      <c r="F128" s="13" t="s">
        <v>65</v>
      </c>
      <c r="G128" s="13" t="s">
        <v>67</v>
      </c>
      <c r="H128" s="13" t="s">
        <v>56</v>
      </c>
      <c r="I128" s="13" t="s">
        <v>57</v>
      </c>
      <c r="J128" s="13" t="s">
        <v>58</v>
      </c>
      <c r="K128" s="13" t="s">
        <v>59</v>
      </c>
      <c r="L128">
        <v>35585.31</v>
      </c>
      <c r="M128">
        <v>2897.97</v>
      </c>
      <c r="N128">
        <v>0</v>
      </c>
      <c r="O128">
        <v>0</v>
      </c>
      <c r="P128">
        <v>724.49</v>
      </c>
      <c r="Q128">
        <v>0</v>
      </c>
      <c r="R128">
        <v>724.49</v>
      </c>
      <c r="S128">
        <v>724.49</v>
      </c>
      <c r="T128">
        <v>0</v>
      </c>
      <c r="U128">
        <v>3</v>
      </c>
      <c r="V128">
        <v>6.47</v>
      </c>
      <c r="W128">
        <v>6.1</v>
      </c>
      <c r="X128">
        <v>0</v>
      </c>
      <c r="Y128">
        <v>35585.31</v>
      </c>
      <c r="Z128">
        <v>0</v>
      </c>
      <c r="AA128" s="13" t="s">
        <v>3235</v>
      </c>
      <c r="AB128">
        <v>0</v>
      </c>
      <c r="AC128">
        <v>0</v>
      </c>
      <c r="AD128" s="13" t="s">
        <v>3236</v>
      </c>
    </row>
    <row r="129" spans="1:30" x14ac:dyDescent="0.35">
      <c r="A129">
        <v>128</v>
      </c>
      <c r="B129">
        <v>28</v>
      </c>
      <c r="C129" s="13" t="s">
        <v>1563</v>
      </c>
      <c r="D129" s="13" t="s">
        <v>1564</v>
      </c>
      <c r="E129" s="13" t="s">
        <v>104</v>
      </c>
      <c r="F129" s="13" t="s">
        <v>65</v>
      </c>
      <c r="G129" s="13" t="s">
        <v>55</v>
      </c>
      <c r="H129" s="13" t="s">
        <v>121</v>
      </c>
      <c r="I129" s="13" t="s">
        <v>122</v>
      </c>
      <c r="J129" s="13" t="s">
        <v>107</v>
      </c>
      <c r="K129" s="13" t="s">
        <v>82</v>
      </c>
      <c r="L129">
        <v>8223.93</v>
      </c>
      <c r="M129">
        <v>2890</v>
      </c>
      <c r="N129">
        <v>0</v>
      </c>
      <c r="O129">
        <v>0</v>
      </c>
      <c r="P129">
        <v>722.5</v>
      </c>
      <c r="Q129">
        <v>0</v>
      </c>
      <c r="R129">
        <v>722.5</v>
      </c>
      <c r="S129">
        <v>722.5</v>
      </c>
      <c r="T129">
        <v>0</v>
      </c>
      <c r="U129">
        <v>10</v>
      </c>
      <c r="V129">
        <v>12.65</v>
      </c>
      <c r="W129">
        <v>-3.5</v>
      </c>
      <c r="X129">
        <v>0</v>
      </c>
      <c r="Y129">
        <v>8223.93</v>
      </c>
      <c r="Z129">
        <v>0</v>
      </c>
      <c r="AA129" s="13" t="s">
        <v>3241</v>
      </c>
      <c r="AB129">
        <v>0</v>
      </c>
      <c r="AC129">
        <v>0</v>
      </c>
      <c r="AD129" s="13" t="s">
        <v>3242</v>
      </c>
    </row>
    <row r="130" spans="1:30" x14ac:dyDescent="0.35">
      <c r="A130">
        <v>129</v>
      </c>
      <c r="B130">
        <v>10</v>
      </c>
      <c r="C130" s="13" t="s">
        <v>235</v>
      </c>
      <c r="D130" s="13" t="s">
        <v>236</v>
      </c>
      <c r="E130" s="13" t="s">
        <v>76</v>
      </c>
      <c r="F130" s="13" t="s">
        <v>71</v>
      </c>
      <c r="G130" s="13" t="s">
        <v>55</v>
      </c>
      <c r="H130" s="13" t="s">
        <v>79</v>
      </c>
      <c r="I130" s="13" t="s">
        <v>80</v>
      </c>
      <c r="J130" s="13" t="s">
        <v>81</v>
      </c>
      <c r="K130" s="13" t="s">
        <v>95</v>
      </c>
      <c r="L130">
        <v>6226.76</v>
      </c>
      <c r="M130">
        <v>2017.06</v>
      </c>
      <c r="N130">
        <v>635.5</v>
      </c>
      <c r="O130">
        <v>0</v>
      </c>
      <c r="P130">
        <v>1326.28</v>
      </c>
      <c r="Q130">
        <v>0</v>
      </c>
      <c r="R130">
        <v>690.78</v>
      </c>
      <c r="S130">
        <v>690.78</v>
      </c>
      <c r="T130">
        <v>0</v>
      </c>
      <c r="U130">
        <v>256</v>
      </c>
      <c r="V130">
        <v>15.57</v>
      </c>
      <c r="W130">
        <v>12.2</v>
      </c>
      <c r="X130">
        <v>635.5</v>
      </c>
      <c r="Y130">
        <v>5591.26</v>
      </c>
      <c r="Z130">
        <v>0</v>
      </c>
      <c r="AA130" s="13" t="s">
        <v>3232</v>
      </c>
      <c r="AB130">
        <v>0</v>
      </c>
      <c r="AC130">
        <v>1</v>
      </c>
      <c r="AD130" s="13" t="s">
        <v>3233</v>
      </c>
    </row>
    <row r="131" spans="1:30" x14ac:dyDescent="0.35">
      <c r="A131">
        <v>130</v>
      </c>
      <c r="B131">
        <v>12</v>
      </c>
      <c r="C131" s="13" t="s">
        <v>1723</v>
      </c>
      <c r="D131" s="13" t="s">
        <v>1724</v>
      </c>
      <c r="E131" s="13" t="s">
        <v>76</v>
      </c>
      <c r="F131" s="13" t="s">
        <v>71</v>
      </c>
      <c r="G131" s="13" t="s">
        <v>92</v>
      </c>
      <c r="H131" s="13" t="s">
        <v>93</v>
      </c>
      <c r="I131" s="13" t="s">
        <v>94</v>
      </c>
      <c r="J131" s="13" t="s">
        <v>81</v>
      </c>
      <c r="K131" s="13" t="s">
        <v>95</v>
      </c>
      <c r="L131">
        <v>13146.64</v>
      </c>
      <c r="M131">
        <v>2737.54</v>
      </c>
      <c r="N131">
        <v>0</v>
      </c>
      <c r="O131">
        <v>0</v>
      </c>
      <c r="P131">
        <v>684.39</v>
      </c>
      <c r="Q131">
        <v>0</v>
      </c>
      <c r="R131">
        <v>684.39</v>
      </c>
      <c r="S131">
        <v>684.39</v>
      </c>
      <c r="T131">
        <v>0</v>
      </c>
      <c r="U131">
        <v>5</v>
      </c>
      <c r="V131">
        <v>20.23</v>
      </c>
      <c r="W131">
        <v>25.5</v>
      </c>
      <c r="X131">
        <v>0</v>
      </c>
      <c r="Y131">
        <v>13146.64</v>
      </c>
      <c r="Z131">
        <v>0</v>
      </c>
      <c r="AA131" s="13" t="s">
        <v>3235</v>
      </c>
      <c r="AB131">
        <v>0</v>
      </c>
      <c r="AC131">
        <v>0</v>
      </c>
      <c r="AD131" s="13" t="s">
        <v>3236</v>
      </c>
    </row>
    <row r="132" spans="1:30" x14ac:dyDescent="0.35">
      <c r="A132">
        <v>131</v>
      </c>
      <c r="B132">
        <v>42</v>
      </c>
      <c r="C132" s="13" t="s">
        <v>172</v>
      </c>
      <c r="D132" s="13" t="s">
        <v>173</v>
      </c>
      <c r="E132" s="13" t="s">
        <v>52</v>
      </c>
      <c r="F132" s="13" t="s">
        <v>77</v>
      </c>
      <c r="G132" s="13" t="s">
        <v>67</v>
      </c>
      <c r="H132" s="13" t="s">
        <v>56</v>
      </c>
      <c r="I132" s="13" t="s">
        <v>57</v>
      </c>
      <c r="J132" s="13" t="s">
        <v>58</v>
      </c>
      <c r="K132" s="13" t="s">
        <v>59</v>
      </c>
      <c r="L132">
        <v>73047.34</v>
      </c>
      <c r="M132">
        <v>5883.67</v>
      </c>
      <c r="N132">
        <v>3169.41</v>
      </c>
      <c r="O132">
        <v>12655.27</v>
      </c>
      <c r="P132">
        <v>3847.98</v>
      </c>
      <c r="Q132">
        <v>0</v>
      </c>
      <c r="R132">
        <v>678.57</v>
      </c>
      <c r="S132">
        <v>678.57</v>
      </c>
      <c r="T132">
        <v>0</v>
      </c>
      <c r="U132">
        <v>409</v>
      </c>
      <c r="V132">
        <v>12.38</v>
      </c>
      <c r="W132">
        <v>4.8</v>
      </c>
      <c r="X132">
        <v>3169.41</v>
      </c>
      <c r="Y132">
        <v>69877.929999999993</v>
      </c>
      <c r="Z132">
        <v>0</v>
      </c>
      <c r="AA132" s="13" t="s">
        <v>3239</v>
      </c>
      <c r="AB132">
        <v>0</v>
      </c>
      <c r="AC132">
        <v>0</v>
      </c>
      <c r="AD132" s="13" t="s">
        <v>3240</v>
      </c>
    </row>
    <row r="133" spans="1:30" x14ac:dyDescent="0.35">
      <c r="A133">
        <v>132</v>
      </c>
      <c r="B133">
        <v>13</v>
      </c>
      <c r="C133" s="13" t="s">
        <v>305</v>
      </c>
      <c r="D133" s="13" t="s">
        <v>306</v>
      </c>
      <c r="E133" s="13" t="s">
        <v>76</v>
      </c>
      <c r="F133" s="13" t="s">
        <v>53</v>
      </c>
      <c r="G133" s="13" t="s">
        <v>67</v>
      </c>
      <c r="H133" s="13" t="s">
        <v>93</v>
      </c>
      <c r="I133" s="13" t="s">
        <v>94</v>
      </c>
      <c r="J133" s="13" t="s">
        <v>81</v>
      </c>
      <c r="K133" s="13" t="s">
        <v>95</v>
      </c>
      <c r="L133">
        <v>8214.18</v>
      </c>
      <c r="M133">
        <v>5146.8100000000004</v>
      </c>
      <c r="N133">
        <v>277.55</v>
      </c>
      <c r="O133">
        <v>2906.45</v>
      </c>
      <c r="P133">
        <v>1494.87</v>
      </c>
      <c r="Q133">
        <v>726.61</v>
      </c>
      <c r="R133">
        <v>672.36</v>
      </c>
      <c r="S133">
        <v>672.36</v>
      </c>
      <c r="T133">
        <v>0</v>
      </c>
      <c r="U133">
        <v>136</v>
      </c>
      <c r="V133">
        <v>27.38</v>
      </c>
      <c r="W133">
        <v>6.2</v>
      </c>
      <c r="X133">
        <v>277.55</v>
      </c>
      <c r="Y133">
        <v>7936.63</v>
      </c>
      <c r="Z133">
        <v>0</v>
      </c>
      <c r="AA133" s="13" t="s">
        <v>3237</v>
      </c>
      <c r="AB133">
        <v>0</v>
      </c>
      <c r="AC133">
        <v>0</v>
      </c>
      <c r="AD133" s="13" t="s">
        <v>3238</v>
      </c>
    </row>
    <row r="134" spans="1:30" x14ac:dyDescent="0.35">
      <c r="A134">
        <v>133</v>
      </c>
      <c r="B134">
        <v>25</v>
      </c>
      <c r="C134" s="13" t="s">
        <v>521</v>
      </c>
      <c r="D134" s="13" t="s">
        <v>522</v>
      </c>
      <c r="E134" s="13" t="s">
        <v>126</v>
      </c>
      <c r="F134" s="13" t="s">
        <v>77</v>
      </c>
      <c r="G134" s="13" t="s">
        <v>67</v>
      </c>
      <c r="H134" s="13" t="s">
        <v>86</v>
      </c>
      <c r="I134" s="13" t="s">
        <v>87</v>
      </c>
      <c r="J134" s="13" t="s">
        <v>58</v>
      </c>
      <c r="K134" s="13" t="s">
        <v>368</v>
      </c>
      <c r="L134">
        <v>25399.119999999999</v>
      </c>
      <c r="M134">
        <v>2676.5</v>
      </c>
      <c r="N134">
        <v>0</v>
      </c>
      <c r="O134">
        <v>0</v>
      </c>
      <c r="P134">
        <v>669.13</v>
      </c>
      <c r="Q134">
        <v>0</v>
      </c>
      <c r="R134">
        <v>669.13</v>
      </c>
      <c r="S134">
        <v>669.13</v>
      </c>
      <c r="T134">
        <v>0</v>
      </c>
      <c r="U134">
        <v>6</v>
      </c>
      <c r="V134">
        <v>16.39</v>
      </c>
      <c r="W134">
        <v>21.4</v>
      </c>
      <c r="X134">
        <v>0</v>
      </c>
      <c r="Y134">
        <v>25399.119999999999</v>
      </c>
      <c r="Z134">
        <v>0</v>
      </c>
      <c r="AA134" s="13" t="s">
        <v>3235</v>
      </c>
      <c r="AB134">
        <v>0</v>
      </c>
      <c r="AC134">
        <v>0</v>
      </c>
      <c r="AD134" s="13" t="s">
        <v>3236</v>
      </c>
    </row>
    <row r="135" spans="1:30" x14ac:dyDescent="0.35">
      <c r="A135">
        <v>134</v>
      </c>
      <c r="B135">
        <v>40</v>
      </c>
      <c r="C135" s="13" t="s">
        <v>124</v>
      </c>
      <c r="D135" s="13" t="s">
        <v>125</v>
      </c>
      <c r="E135" s="13" t="s">
        <v>126</v>
      </c>
      <c r="F135" s="13" t="s">
        <v>99</v>
      </c>
      <c r="G135" s="13" t="s">
        <v>67</v>
      </c>
      <c r="H135" s="13" t="s">
        <v>86</v>
      </c>
      <c r="I135" s="13" t="s">
        <v>87</v>
      </c>
      <c r="J135" s="13" t="s">
        <v>58</v>
      </c>
      <c r="K135" s="13" t="s">
        <v>88</v>
      </c>
      <c r="L135">
        <v>8153.48</v>
      </c>
      <c r="M135">
        <v>6605.52</v>
      </c>
      <c r="N135">
        <v>4011.74</v>
      </c>
      <c r="O135">
        <v>0</v>
      </c>
      <c r="P135">
        <v>4660.1899999999996</v>
      </c>
      <c r="Q135">
        <v>0</v>
      </c>
      <c r="R135">
        <v>648.45000000000005</v>
      </c>
      <c r="S135">
        <v>648.45000000000005</v>
      </c>
      <c r="T135">
        <v>0</v>
      </c>
      <c r="U135">
        <v>523</v>
      </c>
      <c r="V135">
        <v>5.26</v>
      </c>
      <c r="W135">
        <v>22</v>
      </c>
      <c r="X135">
        <v>4011.74</v>
      </c>
      <c r="Y135">
        <v>4141.74</v>
      </c>
      <c r="Z135">
        <v>0</v>
      </c>
      <c r="AA135" s="13" t="s">
        <v>3239</v>
      </c>
      <c r="AB135">
        <v>0</v>
      </c>
      <c r="AC135">
        <v>0</v>
      </c>
      <c r="AD135" s="13" t="s">
        <v>3240</v>
      </c>
    </row>
    <row r="136" spans="1:30" x14ac:dyDescent="0.35">
      <c r="A136">
        <v>135</v>
      </c>
      <c r="B136">
        <v>21</v>
      </c>
      <c r="C136" s="13" t="s">
        <v>1081</v>
      </c>
      <c r="D136" s="13" t="s">
        <v>1082</v>
      </c>
      <c r="E136" s="13" t="s">
        <v>104</v>
      </c>
      <c r="F136" s="13" t="s">
        <v>65</v>
      </c>
      <c r="G136" s="13" t="s">
        <v>55</v>
      </c>
      <c r="H136" s="13" t="s">
        <v>105</v>
      </c>
      <c r="I136" s="13" t="s">
        <v>106</v>
      </c>
      <c r="J136" s="13" t="s">
        <v>107</v>
      </c>
      <c r="K136" s="13" t="s">
        <v>95</v>
      </c>
      <c r="L136">
        <v>11743.37</v>
      </c>
      <c r="M136">
        <v>2553.89</v>
      </c>
      <c r="N136">
        <v>0</v>
      </c>
      <c r="O136">
        <v>0</v>
      </c>
      <c r="P136">
        <v>638.47</v>
      </c>
      <c r="Q136">
        <v>0</v>
      </c>
      <c r="R136">
        <v>638.47</v>
      </c>
      <c r="S136">
        <v>638.47</v>
      </c>
      <c r="T136">
        <v>0</v>
      </c>
      <c r="U136">
        <v>26</v>
      </c>
      <c r="V136">
        <v>10.68</v>
      </c>
      <c r="W136">
        <v>14.9</v>
      </c>
      <c r="X136">
        <v>0</v>
      </c>
      <c r="Y136">
        <v>11743.37</v>
      </c>
      <c r="Z136">
        <v>0</v>
      </c>
      <c r="AA136" s="13" t="s">
        <v>3235</v>
      </c>
      <c r="AB136">
        <v>0</v>
      </c>
      <c r="AC136">
        <v>0</v>
      </c>
      <c r="AD136" s="13" t="s">
        <v>3236</v>
      </c>
    </row>
    <row r="137" spans="1:30" x14ac:dyDescent="0.35">
      <c r="A137">
        <v>136</v>
      </c>
      <c r="B137">
        <v>22</v>
      </c>
      <c r="C137" s="13" t="s">
        <v>625</v>
      </c>
      <c r="D137" s="13" t="s">
        <v>626</v>
      </c>
      <c r="E137" s="13" t="s">
        <v>104</v>
      </c>
      <c r="F137" s="13" t="s">
        <v>71</v>
      </c>
      <c r="G137" s="13" t="s">
        <v>67</v>
      </c>
      <c r="H137" s="13" t="s">
        <v>105</v>
      </c>
      <c r="I137" s="13" t="s">
        <v>106</v>
      </c>
      <c r="J137" s="13" t="s">
        <v>107</v>
      </c>
      <c r="K137" s="13" t="s">
        <v>88</v>
      </c>
      <c r="L137">
        <v>8174</v>
      </c>
      <c r="M137">
        <v>2468.4499999999998</v>
      </c>
      <c r="N137">
        <v>0</v>
      </c>
      <c r="O137">
        <v>0</v>
      </c>
      <c r="P137">
        <v>617.11</v>
      </c>
      <c r="Q137">
        <v>0</v>
      </c>
      <c r="R137">
        <v>617.11</v>
      </c>
      <c r="S137">
        <v>617.11</v>
      </c>
      <c r="T137">
        <v>0</v>
      </c>
      <c r="U137">
        <v>25</v>
      </c>
      <c r="V137">
        <v>9.6199999999999992</v>
      </c>
      <c r="W137">
        <v>4.4000000000000004</v>
      </c>
      <c r="X137">
        <v>0</v>
      </c>
      <c r="Y137">
        <v>8174</v>
      </c>
      <c r="Z137">
        <v>0</v>
      </c>
      <c r="AA137" s="13" t="s">
        <v>3241</v>
      </c>
      <c r="AB137">
        <v>0</v>
      </c>
      <c r="AC137">
        <v>0</v>
      </c>
      <c r="AD137" s="13" t="s">
        <v>3242</v>
      </c>
    </row>
    <row r="138" spans="1:30" x14ac:dyDescent="0.35">
      <c r="A138">
        <v>137</v>
      </c>
      <c r="B138">
        <v>29</v>
      </c>
      <c r="C138" s="13" t="s">
        <v>791</v>
      </c>
      <c r="D138" s="13" t="s">
        <v>792</v>
      </c>
      <c r="E138" s="13" t="s">
        <v>104</v>
      </c>
      <c r="F138" s="13" t="s">
        <v>53</v>
      </c>
      <c r="G138" s="13" t="s">
        <v>67</v>
      </c>
      <c r="H138" s="13" t="s">
        <v>121</v>
      </c>
      <c r="I138" s="13" t="s">
        <v>122</v>
      </c>
      <c r="J138" s="13" t="s">
        <v>107</v>
      </c>
      <c r="K138" s="13" t="s">
        <v>88</v>
      </c>
      <c r="L138">
        <v>33618.47</v>
      </c>
      <c r="M138">
        <v>2375.52</v>
      </c>
      <c r="N138">
        <v>0</v>
      </c>
      <c r="O138">
        <v>0</v>
      </c>
      <c r="P138">
        <v>593.88</v>
      </c>
      <c r="Q138">
        <v>0</v>
      </c>
      <c r="R138">
        <v>593.88</v>
      </c>
      <c r="S138">
        <v>593.88</v>
      </c>
      <c r="T138">
        <v>0</v>
      </c>
      <c r="U138">
        <v>10</v>
      </c>
      <c r="V138">
        <v>35.39</v>
      </c>
      <c r="W138">
        <v>4.0999999999999996</v>
      </c>
      <c r="X138">
        <v>0</v>
      </c>
      <c r="Y138">
        <v>33618.47</v>
      </c>
      <c r="Z138">
        <v>0</v>
      </c>
      <c r="AA138" s="13" t="s">
        <v>3241</v>
      </c>
      <c r="AB138">
        <v>0</v>
      </c>
      <c r="AC138">
        <v>0</v>
      </c>
      <c r="AD138" s="13" t="s">
        <v>3242</v>
      </c>
    </row>
    <row r="139" spans="1:30" x14ac:dyDescent="0.35">
      <c r="A139">
        <v>138</v>
      </c>
      <c r="B139">
        <v>23</v>
      </c>
      <c r="C139" s="13" t="s">
        <v>1077</v>
      </c>
      <c r="D139" s="13" t="s">
        <v>1078</v>
      </c>
      <c r="E139" s="13" t="s">
        <v>104</v>
      </c>
      <c r="F139" s="13" t="s">
        <v>65</v>
      </c>
      <c r="G139" s="13" t="s">
        <v>92</v>
      </c>
      <c r="H139" s="13" t="s">
        <v>105</v>
      </c>
      <c r="I139" s="13" t="s">
        <v>106</v>
      </c>
      <c r="J139" s="13" t="s">
        <v>107</v>
      </c>
      <c r="K139" s="13" t="s">
        <v>82</v>
      </c>
      <c r="L139">
        <v>6887.26</v>
      </c>
      <c r="M139">
        <v>2366.88</v>
      </c>
      <c r="N139">
        <v>0</v>
      </c>
      <c r="O139">
        <v>0</v>
      </c>
      <c r="P139">
        <v>591.72</v>
      </c>
      <c r="Q139">
        <v>0</v>
      </c>
      <c r="R139">
        <v>591.72</v>
      </c>
      <c r="S139">
        <v>591.72</v>
      </c>
      <c r="T139">
        <v>0</v>
      </c>
      <c r="U139">
        <v>26</v>
      </c>
      <c r="V139">
        <v>15.31</v>
      </c>
      <c r="W139">
        <v>11.9</v>
      </c>
      <c r="X139">
        <v>0</v>
      </c>
      <c r="Y139">
        <v>6887.26</v>
      </c>
      <c r="Z139">
        <v>0</v>
      </c>
      <c r="AA139" s="13" t="s">
        <v>3235</v>
      </c>
      <c r="AB139">
        <v>0</v>
      </c>
      <c r="AC139">
        <v>0</v>
      </c>
      <c r="AD139" s="13" t="s">
        <v>3236</v>
      </c>
    </row>
    <row r="140" spans="1:30" x14ac:dyDescent="0.35">
      <c r="A140">
        <v>139</v>
      </c>
      <c r="B140">
        <v>14</v>
      </c>
      <c r="C140" s="13" t="s">
        <v>1703</v>
      </c>
      <c r="D140" s="13" t="s">
        <v>1704</v>
      </c>
      <c r="E140" s="13" t="s">
        <v>76</v>
      </c>
      <c r="F140" s="13" t="s">
        <v>65</v>
      </c>
      <c r="G140" s="13" t="s">
        <v>55</v>
      </c>
      <c r="H140" s="13" t="s">
        <v>93</v>
      </c>
      <c r="I140" s="13" t="s">
        <v>94</v>
      </c>
      <c r="J140" s="13" t="s">
        <v>81</v>
      </c>
      <c r="K140" s="13" t="s">
        <v>95</v>
      </c>
      <c r="L140">
        <v>2282.6</v>
      </c>
      <c r="M140">
        <v>2282.6</v>
      </c>
      <c r="N140">
        <v>0</v>
      </c>
      <c r="O140">
        <v>0</v>
      </c>
      <c r="P140">
        <v>570.65</v>
      </c>
      <c r="Q140">
        <v>0</v>
      </c>
      <c r="R140">
        <v>570.65</v>
      </c>
      <c r="S140">
        <v>570.65</v>
      </c>
      <c r="T140">
        <v>0</v>
      </c>
      <c r="U140">
        <v>5</v>
      </c>
      <c r="V140">
        <v>7.61</v>
      </c>
      <c r="W140">
        <v>10.7</v>
      </c>
      <c r="X140">
        <v>0</v>
      </c>
      <c r="Y140">
        <v>2282.6</v>
      </c>
      <c r="Z140">
        <v>0</v>
      </c>
      <c r="AA140" s="13" t="s">
        <v>3235</v>
      </c>
      <c r="AB140">
        <v>0</v>
      </c>
      <c r="AC140">
        <v>0</v>
      </c>
      <c r="AD140" s="13" t="s">
        <v>3236</v>
      </c>
    </row>
    <row r="141" spans="1:30" x14ac:dyDescent="0.35">
      <c r="A141">
        <v>140</v>
      </c>
      <c r="B141">
        <v>11</v>
      </c>
      <c r="C141" s="13" t="s">
        <v>1424</v>
      </c>
      <c r="D141" s="13" t="s">
        <v>1425</v>
      </c>
      <c r="E141" s="13" t="s">
        <v>76</v>
      </c>
      <c r="F141" s="13" t="s">
        <v>77</v>
      </c>
      <c r="G141" s="13" t="s">
        <v>55</v>
      </c>
      <c r="H141" s="13" t="s">
        <v>79</v>
      </c>
      <c r="I141" s="13" t="s">
        <v>80</v>
      </c>
      <c r="J141" s="13" t="s">
        <v>81</v>
      </c>
      <c r="K141" s="13" t="s">
        <v>82</v>
      </c>
      <c r="L141">
        <v>6885.14</v>
      </c>
      <c r="M141">
        <v>2248.8200000000002</v>
      </c>
      <c r="N141">
        <v>0</v>
      </c>
      <c r="O141">
        <v>0</v>
      </c>
      <c r="P141">
        <v>562.21</v>
      </c>
      <c r="Q141">
        <v>0</v>
      </c>
      <c r="R141">
        <v>562.21</v>
      </c>
      <c r="S141">
        <v>562.21</v>
      </c>
      <c r="T141">
        <v>0</v>
      </c>
      <c r="U141">
        <v>13</v>
      </c>
      <c r="V141">
        <v>5.74</v>
      </c>
      <c r="W141">
        <v>-4.7</v>
      </c>
      <c r="X141">
        <v>0</v>
      </c>
      <c r="Y141">
        <v>6885.14</v>
      </c>
      <c r="Z141">
        <v>0</v>
      </c>
      <c r="AA141" s="13" t="s">
        <v>3241</v>
      </c>
      <c r="AB141">
        <v>0</v>
      </c>
      <c r="AC141">
        <v>0</v>
      </c>
      <c r="AD141" s="13" t="s">
        <v>3242</v>
      </c>
    </row>
    <row r="142" spans="1:30" x14ac:dyDescent="0.35">
      <c r="A142">
        <v>141</v>
      </c>
      <c r="B142">
        <v>30</v>
      </c>
      <c r="C142" s="13" t="s">
        <v>885</v>
      </c>
      <c r="D142" s="13" t="s">
        <v>886</v>
      </c>
      <c r="E142" s="13" t="s">
        <v>126</v>
      </c>
      <c r="F142" s="13" t="s">
        <v>99</v>
      </c>
      <c r="G142" s="13" t="s">
        <v>67</v>
      </c>
      <c r="H142" s="13" t="s">
        <v>121</v>
      </c>
      <c r="I142" s="13" t="s">
        <v>122</v>
      </c>
      <c r="J142" s="13" t="s">
        <v>107</v>
      </c>
      <c r="K142" s="13" t="s">
        <v>88</v>
      </c>
      <c r="L142">
        <v>13743.16</v>
      </c>
      <c r="M142">
        <v>2231.35</v>
      </c>
      <c r="N142">
        <v>0</v>
      </c>
      <c r="O142">
        <v>0</v>
      </c>
      <c r="P142">
        <v>557.84</v>
      </c>
      <c r="Q142">
        <v>0</v>
      </c>
      <c r="R142">
        <v>557.84</v>
      </c>
      <c r="S142">
        <v>557.84</v>
      </c>
      <c r="T142">
        <v>0</v>
      </c>
      <c r="U142">
        <v>4</v>
      </c>
      <c r="V142">
        <v>19.63</v>
      </c>
      <c r="W142">
        <v>22.7</v>
      </c>
      <c r="X142">
        <v>0</v>
      </c>
      <c r="Y142">
        <v>13743.16</v>
      </c>
      <c r="Z142">
        <v>0</v>
      </c>
      <c r="AA142" s="13" t="s">
        <v>3235</v>
      </c>
      <c r="AB142">
        <v>0</v>
      </c>
      <c r="AC142">
        <v>0</v>
      </c>
      <c r="AD142" s="13" t="s">
        <v>3236</v>
      </c>
    </row>
    <row r="143" spans="1:30" x14ac:dyDescent="0.35">
      <c r="A143">
        <v>142</v>
      </c>
      <c r="B143">
        <v>15</v>
      </c>
      <c r="C143" s="13" t="s">
        <v>1849</v>
      </c>
      <c r="D143" s="13" t="s">
        <v>1850</v>
      </c>
      <c r="E143" s="13" t="s">
        <v>76</v>
      </c>
      <c r="F143" s="13" t="s">
        <v>99</v>
      </c>
      <c r="G143" s="13" t="s">
        <v>67</v>
      </c>
      <c r="H143" s="13" t="s">
        <v>93</v>
      </c>
      <c r="I143" s="13" t="s">
        <v>94</v>
      </c>
      <c r="J143" s="13" t="s">
        <v>81</v>
      </c>
      <c r="K143" s="13" t="s">
        <v>95</v>
      </c>
      <c r="L143">
        <v>6906.01</v>
      </c>
      <c r="M143">
        <v>2212.4499999999998</v>
      </c>
      <c r="N143">
        <v>0</v>
      </c>
      <c r="O143">
        <v>4693.5600000000004</v>
      </c>
      <c r="P143">
        <v>553.11</v>
      </c>
      <c r="Q143">
        <v>0</v>
      </c>
      <c r="R143">
        <v>553.11</v>
      </c>
      <c r="S143">
        <v>553.11</v>
      </c>
      <c r="T143">
        <v>0</v>
      </c>
      <c r="U143">
        <v>3</v>
      </c>
      <c r="V143">
        <v>10.62</v>
      </c>
      <c r="W143">
        <v>12.5</v>
      </c>
      <c r="X143">
        <v>0</v>
      </c>
      <c r="Y143">
        <v>6906.01</v>
      </c>
      <c r="Z143">
        <v>0</v>
      </c>
      <c r="AA143" s="13" t="s">
        <v>3237</v>
      </c>
      <c r="AB143">
        <v>0</v>
      </c>
      <c r="AC143">
        <v>0</v>
      </c>
      <c r="AD143" s="13" t="s">
        <v>3238</v>
      </c>
    </row>
    <row r="144" spans="1:30" x14ac:dyDescent="0.35">
      <c r="A144">
        <v>143</v>
      </c>
      <c r="B144">
        <v>24</v>
      </c>
      <c r="C144" s="13" t="s">
        <v>866</v>
      </c>
      <c r="D144" s="13" t="s">
        <v>867</v>
      </c>
      <c r="E144" s="13" t="s">
        <v>104</v>
      </c>
      <c r="F144" s="13" t="s">
        <v>71</v>
      </c>
      <c r="G144" s="13" t="s">
        <v>55</v>
      </c>
      <c r="H144" s="13" t="s">
        <v>105</v>
      </c>
      <c r="I144" s="13" t="s">
        <v>106</v>
      </c>
      <c r="J144" s="13" t="s">
        <v>107</v>
      </c>
      <c r="K144" s="13" t="s">
        <v>88</v>
      </c>
      <c r="L144">
        <v>37215.64</v>
      </c>
      <c r="M144">
        <v>2200.41</v>
      </c>
      <c r="N144">
        <v>0</v>
      </c>
      <c r="O144">
        <v>0</v>
      </c>
      <c r="P144">
        <v>550.1</v>
      </c>
      <c r="Q144">
        <v>0</v>
      </c>
      <c r="R144">
        <v>550.1</v>
      </c>
      <c r="S144">
        <v>550.1</v>
      </c>
      <c r="T144">
        <v>0</v>
      </c>
      <c r="U144">
        <v>5</v>
      </c>
      <c r="V144">
        <v>74.430000000000007</v>
      </c>
      <c r="W144">
        <v>11.4</v>
      </c>
      <c r="X144">
        <v>0</v>
      </c>
      <c r="Y144">
        <v>37215.64</v>
      </c>
      <c r="Z144">
        <v>0</v>
      </c>
      <c r="AA144" s="13" t="s">
        <v>3235</v>
      </c>
      <c r="AB144">
        <v>0</v>
      </c>
      <c r="AC144">
        <v>0</v>
      </c>
      <c r="AD144" s="13" t="s">
        <v>3236</v>
      </c>
    </row>
    <row r="145" spans="1:30" x14ac:dyDescent="0.35">
      <c r="A145">
        <v>144</v>
      </c>
      <c r="B145">
        <v>25</v>
      </c>
      <c r="C145" s="13" t="s">
        <v>986</v>
      </c>
      <c r="D145" s="13" t="s">
        <v>987</v>
      </c>
      <c r="E145" s="13" t="s">
        <v>104</v>
      </c>
      <c r="F145" s="13" t="s">
        <v>71</v>
      </c>
      <c r="G145" s="13" t="s">
        <v>67</v>
      </c>
      <c r="H145" s="13" t="s">
        <v>105</v>
      </c>
      <c r="I145" s="13" t="s">
        <v>106</v>
      </c>
      <c r="J145" s="13" t="s">
        <v>107</v>
      </c>
      <c r="K145" s="13" t="s">
        <v>88</v>
      </c>
      <c r="L145">
        <v>16127.39</v>
      </c>
      <c r="M145">
        <v>2164.11</v>
      </c>
      <c r="N145">
        <v>0</v>
      </c>
      <c r="O145">
        <v>0</v>
      </c>
      <c r="P145">
        <v>541.03</v>
      </c>
      <c r="Q145">
        <v>0</v>
      </c>
      <c r="R145">
        <v>541.03</v>
      </c>
      <c r="S145">
        <v>541.03</v>
      </c>
      <c r="T145">
        <v>0</v>
      </c>
      <c r="U145">
        <v>1</v>
      </c>
      <c r="V145">
        <v>12.9</v>
      </c>
      <c r="W145">
        <v>4.9000000000000004</v>
      </c>
      <c r="X145">
        <v>0</v>
      </c>
      <c r="Y145">
        <v>16127.39</v>
      </c>
      <c r="Z145">
        <v>0</v>
      </c>
      <c r="AA145" s="13" t="s">
        <v>3241</v>
      </c>
      <c r="AB145">
        <v>0</v>
      </c>
      <c r="AC145">
        <v>0</v>
      </c>
      <c r="AD145" s="13" t="s">
        <v>3242</v>
      </c>
    </row>
    <row r="146" spans="1:30" x14ac:dyDescent="0.35">
      <c r="A146">
        <v>145</v>
      </c>
      <c r="B146">
        <v>31</v>
      </c>
      <c r="C146" s="13" t="s">
        <v>820</v>
      </c>
      <c r="D146" s="13" t="s">
        <v>821</v>
      </c>
      <c r="E146" s="13" t="s">
        <v>104</v>
      </c>
      <c r="F146" s="13" t="s">
        <v>71</v>
      </c>
      <c r="G146" s="13" t="s">
        <v>92</v>
      </c>
      <c r="H146" s="13" t="s">
        <v>121</v>
      </c>
      <c r="I146" s="13" t="s">
        <v>122</v>
      </c>
      <c r="J146" s="13" t="s">
        <v>107</v>
      </c>
      <c r="K146" s="13" t="s">
        <v>88</v>
      </c>
      <c r="L146">
        <v>6338.96</v>
      </c>
      <c r="M146">
        <v>2068.44</v>
      </c>
      <c r="N146">
        <v>0</v>
      </c>
      <c r="O146">
        <v>0</v>
      </c>
      <c r="P146">
        <v>517.11</v>
      </c>
      <c r="Q146">
        <v>0</v>
      </c>
      <c r="R146">
        <v>517.11</v>
      </c>
      <c r="S146">
        <v>517.11</v>
      </c>
      <c r="T146">
        <v>0</v>
      </c>
      <c r="U146">
        <v>9</v>
      </c>
      <c r="V146">
        <v>18.11</v>
      </c>
      <c r="W146">
        <v>23.6</v>
      </c>
      <c r="X146">
        <v>0</v>
      </c>
      <c r="Y146">
        <v>6338.96</v>
      </c>
      <c r="Z146">
        <v>0</v>
      </c>
      <c r="AA146" s="13" t="s">
        <v>3235</v>
      </c>
      <c r="AB146">
        <v>0</v>
      </c>
      <c r="AC146">
        <v>0</v>
      </c>
      <c r="AD146" s="13" t="s">
        <v>3236</v>
      </c>
    </row>
    <row r="147" spans="1:30" x14ac:dyDescent="0.35">
      <c r="A147">
        <v>146</v>
      </c>
      <c r="B147">
        <v>26</v>
      </c>
      <c r="C147" s="13" t="s">
        <v>1220</v>
      </c>
      <c r="D147" s="13" t="s">
        <v>1221</v>
      </c>
      <c r="E147" s="13" t="s">
        <v>52</v>
      </c>
      <c r="F147" s="13" t="s">
        <v>65</v>
      </c>
      <c r="G147" s="13" t="s">
        <v>67</v>
      </c>
      <c r="H147" s="13" t="s">
        <v>86</v>
      </c>
      <c r="I147" s="13" t="s">
        <v>87</v>
      </c>
      <c r="J147" s="13" t="s">
        <v>58</v>
      </c>
      <c r="K147" s="13" t="s">
        <v>59</v>
      </c>
      <c r="L147">
        <v>45549.26</v>
      </c>
      <c r="M147">
        <v>2047.38</v>
      </c>
      <c r="N147">
        <v>0</v>
      </c>
      <c r="O147">
        <v>0</v>
      </c>
      <c r="P147">
        <v>511.85</v>
      </c>
      <c r="Q147">
        <v>0</v>
      </c>
      <c r="R147">
        <v>511.85</v>
      </c>
      <c r="S147">
        <v>511.85</v>
      </c>
      <c r="T147">
        <v>0</v>
      </c>
      <c r="U147">
        <v>5</v>
      </c>
      <c r="V147">
        <v>13.4</v>
      </c>
      <c r="W147">
        <v>5.0999999999999996</v>
      </c>
      <c r="X147">
        <v>0</v>
      </c>
      <c r="Y147">
        <v>45549.26</v>
      </c>
      <c r="Z147">
        <v>0</v>
      </c>
      <c r="AA147" s="13" t="s">
        <v>3235</v>
      </c>
      <c r="AB147">
        <v>0</v>
      </c>
      <c r="AC147">
        <v>0</v>
      </c>
      <c r="AD147" s="13" t="s">
        <v>3236</v>
      </c>
    </row>
    <row r="148" spans="1:30" x14ac:dyDescent="0.35">
      <c r="A148">
        <v>147</v>
      </c>
      <c r="B148">
        <v>27</v>
      </c>
      <c r="C148" s="13" t="s">
        <v>761</v>
      </c>
      <c r="D148" s="13" t="s">
        <v>762</v>
      </c>
      <c r="E148" s="13" t="s">
        <v>52</v>
      </c>
      <c r="F148" s="13" t="s">
        <v>71</v>
      </c>
      <c r="G148" s="13" t="s">
        <v>67</v>
      </c>
      <c r="H148" s="13" t="s">
        <v>86</v>
      </c>
      <c r="I148" s="13" t="s">
        <v>87</v>
      </c>
      <c r="J148" s="13" t="s">
        <v>58</v>
      </c>
      <c r="K148" s="13" t="s">
        <v>59</v>
      </c>
      <c r="L148">
        <v>49939.59</v>
      </c>
      <c r="M148">
        <v>1973.75</v>
      </c>
      <c r="N148">
        <v>0</v>
      </c>
      <c r="O148">
        <v>0</v>
      </c>
      <c r="P148">
        <v>493.44</v>
      </c>
      <c r="Q148">
        <v>0</v>
      </c>
      <c r="R148">
        <v>493.44</v>
      </c>
      <c r="S148">
        <v>493.44</v>
      </c>
      <c r="T148">
        <v>0</v>
      </c>
      <c r="U148">
        <v>26</v>
      </c>
      <c r="V148">
        <v>14.69</v>
      </c>
      <c r="W148">
        <v>7.1</v>
      </c>
      <c r="X148">
        <v>0</v>
      </c>
      <c r="Y148">
        <v>49939.59</v>
      </c>
      <c r="Z148">
        <v>0</v>
      </c>
      <c r="AA148" s="13" t="s">
        <v>3235</v>
      </c>
      <c r="AB148">
        <v>0</v>
      </c>
      <c r="AC148">
        <v>0</v>
      </c>
      <c r="AD148" s="13" t="s">
        <v>3236</v>
      </c>
    </row>
    <row r="149" spans="1:30" x14ac:dyDescent="0.35">
      <c r="A149">
        <v>148</v>
      </c>
      <c r="B149">
        <v>32</v>
      </c>
      <c r="C149" s="13" t="s">
        <v>676</v>
      </c>
      <c r="D149" s="13" t="s">
        <v>677</v>
      </c>
      <c r="E149" s="13" t="s">
        <v>126</v>
      </c>
      <c r="F149" s="13" t="s">
        <v>71</v>
      </c>
      <c r="G149" s="13" t="s">
        <v>67</v>
      </c>
      <c r="H149" s="13" t="s">
        <v>121</v>
      </c>
      <c r="I149" s="13" t="s">
        <v>122</v>
      </c>
      <c r="J149" s="13" t="s">
        <v>107</v>
      </c>
      <c r="K149" s="13" t="s">
        <v>88</v>
      </c>
      <c r="L149">
        <v>10349.58</v>
      </c>
      <c r="M149">
        <v>1954.9</v>
      </c>
      <c r="N149">
        <v>0</v>
      </c>
      <c r="O149">
        <v>0</v>
      </c>
      <c r="P149">
        <v>488.73</v>
      </c>
      <c r="Q149">
        <v>0</v>
      </c>
      <c r="R149">
        <v>488.73</v>
      </c>
      <c r="S149">
        <v>488.73</v>
      </c>
      <c r="T149">
        <v>0</v>
      </c>
      <c r="U149">
        <v>19</v>
      </c>
      <c r="V149">
        <v>12.94</v>
      </c>
      <c r="W149">
        <v>21.4</v>
      </c>
      <c r="X149">
        <v>0</v>
      </c>
      <c r="Y149">
        <v>10349.58</v>
      </c>
      <c r="Z149">
        <v>0</v>
      </c>
      <c r="AA149" s="13" t="s">
        <v>3235</v>
      </c>
      <c r="AB149">
        <v>0</v>
      </c>
      <c r="AC149">
        <v>0</v>
      </c>
      <c r="AD149" s="13" t="s">
        <v>3236</v>
      </c>
    </row>
    <row r="150" spans="1:30" x14ac:dyDescent="0.35">
      <c r="A150">
        <v>149</v>
      </c>
      <c r="B150">
        <v>12</v>
      </c>
      <c r="C150" s="13" t="s">
        <v>1358</v>
      </c>
      <c r="D150" s="13" t="s">
        <v>1359</v>
      </c>
      <c r="E150" s="13" t="s">
        <v>76</v>
      </c>
      <c r="F150" s="13" t="s">
        <v>71</v>
      </c>
      <c r="G150" s="13" t="s">
        <v>92</v>
      </c>
      <c r="H150" s="13" t="s">
        <v>79</v>
      </c>
      <c r="I150" s="13" t="s">
        <v>80</v>
      </c>
      <c r="J150" s="13" t="s">
        <v>81</v>
      </c>
      <c r="K150" s="13" t="s">
        <v>95</v>
      </c>
      <c r="L150">
        <v>15312.24</v>
      </c>
      <c r="M150">
        <v>1876.71</v>
      </c>
      <c r="N150">
        <v>0</v>
      </c>
      <c r="O150">
        <v>3580.79</v>
      </c>
      <c r="P150">
        <v>469.18</v>
      </c>
      <c r="Q150">
        <v>0</v>
      </c>
      <c r="R150">
        <v>469.18</v>
      </c>
      <c r="S150">
        <v>469.18</v>
      </c>
      <c r="T150">
        <v>0</v>
      </c>
      <c r="U150">
        <v>14</v>
      </c>
      <c r="V150">
        <v>14.58</v>
      </c>
      <c r="W150">
        <v>23.2</v>
      </c>
      <c r="X150">
        <v>0</v>
      </c>
      <c r="Y150">
        <v>15312.24</v>
      </c>
      <c r="Z150">
        <v>0</v>
      </c>
      <c r="AA150" s="13" t="s">
        <v>3237</v>
      </c>
      <c r="AB150">
        <v>0</v>
      </c>
      <c r="AC150">
        <v>0</v>
      </c>
      <c r="AD150" s="13" t="s">
        <v>3238</v>
      </c>
    </row>
    <row r="151" spans="1:30" x14ac:dyDescent="0.35">
      <c r="A151">
        <v>150</v>
      </c>
      <c r="B151">
        <v>28</v>
      </c>
      <c r="C151" s="13" t="s">
        <v>561</v>
      </c>
      <c r="D151" s="13" t="s">
        <v>562</v>
      </c>
      <c r="E151" s="13" t="s">
        <v>126</v>
      </c>
      <c r="F151" s="13" t="s">
        <v>53</v>
      </c>
      <c r="G151" s="13" t="s">
        <v>67</v>
      </c>
      <c r="H151" s="13" t="s">
        <v>86</v>
      </c>
      <c r="I151" s="13" t="s">
        <v>87</v>
      </c>
      <c r="J151" s="13" t="s">
        <v>58</v>
      </c>
      <c r="K151" s="13" t="s">
        <v>368</v>
      </c>
      <c r="L151">
        <v>24095.97</v>
      </c>
      <c r="M151">
        <v>1872.16</v>
      </c>
      <c r="N151">
        <v>0</v>
      </c>
      <c r="O151">
        <v>0</v>
      </c>
      <c r="P151">
        <v>468.04</v>
      </c>
      <c r="Q151">
        <v>0</v>
      </c>
      <c r="R151">
        <v>468.04</v>
      </c>
      <c r="S151">
        <v>468.04</v>
      </c>
      <c r="T151">
        <v>0</v>
      </c>
      <c r="U151">
        <v>2</v>
      </c>
      <c r="V151">
        <v>15.55</v>
      </c>
      <c r="W151">
        <v>18</v>
      </c>
      <c r="X151">
        <v>0</v>
      </c>
      <c r="Y151">
        <v>24095.97</v>
      </c>
      <c r="Z151">
        <v>0</v>
      </c>
      <c r="AA151" s="13" t="s">
        <v>3235</v>
      </c>
      <c r="AB151">
        <v>0</v>
      </c>
      <c r="AC151">
        <v>0</v>
      </c>
      <c r="AD151" s="13" t="s">
        <v>3236</v>
      </c>
    </row>
    <row r="152" spans="1:30" x14ac:dyDescent="0.35">
      <c r="A152">
        <v>151</v>
      </c>
      <c r="B152">
        <v>33</v>
      </c>
      <c r="C152" s="13" t="s">
        <v>1237</v>
      </c>
      <c r="D152" s="13" t="s">
        <v>1238</v>
      </c>
      <c r="E152" s="13" t="s">
        <v>104</v>
      </c>
      <c r="F152" s="13" t="s">
        <v>99</v>
      </c>
      <c r="G152" s="13" t="s">
        <v>67</v>
      </c>
      <c r="H152" s="13" t="s">
        <v>121</v>
      </c>
      <c r="I152" s="13" t="s">
        <v>122</v>
      </c>
      <c r="J152" s="13" t="s">
        <v>107</v>
      </c>
      <c r="K152" s="13" t="s">
        <v>95</v>
      </c>
      <c r="L152">
        <v>26634.07</v>
      </c>
      <c r="M152">
        <v>5422.48</v>
      </c>
      <c r="N152">
        <v>0</v>
      </c>
      <c r="O152">
        <v>4793.03</v>
      </c>
      <c r="P152">
        <v>1355.62</v>
      </c>
      <c r="Q152">
        <v>1198.26</v>
      </c>
      <c r="R152">
        <v>456.93</v>
      </c>
      <c r="S152">
        <v>456.93</v>
      </c>
      <c r="T152">
        <v>0</v>
      </c>
      <c r="U152">
        <v>19</v>
      </c>
      <c r="V152">
        <v>21.31</v>
      </c>
      <c r="W152">
        <v>4.4000000000000004</v>
      </c>
      <c r="X152">
        <v>0</v>
      </c>
      <c r="Y152">
        <v>26634.07</v>
      </c>
      <c r="Z152">
        <v>0</v>
      </c>
      <c r="AA152" s="13" t="s">
        <v>3237</v>
      </c>
      <c r="AB152">
        <v>0</v>
      </c>
      <c r="AC152">
        <v>0</v>
      </c>
      <c r="AD152" s="13" t="s">
        <v>3238</v>
      </c>
    </row>
    <row r="153" spans="1:30" x14ac:dyDescent="0.35">
      <c r="A153">
        <v>152</v>
      </c>
      <c r="B153">
        <v>34</v>
      </c>
      <c r="C153" s="13" t="s">
        <v>1414</v>
      </c>
      <c r="D153" s="13" t="s">
        <v>1415</v>
      </c>
      <c r="E153" s="13" t="s">
        <v>104</v>
      </c>
      <c r="F153" s="13" t="s">
        <v>65</v>
      </c>
      <c r="G153" s="13" t="s">
        <v>55</v>
      </c>
      <c r="H153" s="13" t="s">
        <v>121</v>
      </c>
      <c r="I153" s="13" t="s">
        <v>122</v>
      </c>
      <c r="J153" s="13" t="s">
        <v>107</v>
      </c>
      <c r="K153" s="13" t="s">
        <v>95</v>
      </c>
      <c r="L153">
        <v>1789.46</v>
      </c>
      <c r="M153">
        <v>1789.46</v>
      </c>
      <c r="N153">
        <v>0</v>
      </c>
      <c r="O153">
        <v>0</v>
      </c>
      <c r="P153">
        <v>447.37</v>
      </c>
      <c r="Q153">
        <v>0</v>
      </c>
      <c r="R153">
        <v>447.37</v>
      </c>
      <c r="S153">
        <v>447.37</v>
      </c>
      <c r="T153">
        <v>0</v>
      </c>
      <c r="U153">
        <v>14</v>
      </c>
      <c r="V153">
        <v>2.98</v>
      </c>
      <c r="W153">
        <v>15.5</v>
      </c>
      <c r="X153">
        <v>0</v>
      </c>
      <c r="Y153">
        <v>1789.46</v>
      </c>
      <c r="Z153">
        <v>0</v>
      </c>
      <c r="AA153" s="13" t="s">
        <v>3235</v>
      </c>
      <c r="AB153">
        <v>0</v>
      </c>
      <c r="AC153">
        <v>0</v>
      </c>
      <c r="AD153" s="13" t="s">
        <v>3236</v>
      </c>
    </row>
    <row r="154" spans="1:30" x14ac:dyDescent="0.35">
      <c r="A154">
        <v>153</v>
      </c>
      <c r="B154">
        <v>13</v>
      </c>
      <c r="C154" s="13" t="s">
        <v>749</v>
      </c>
      <c r="D154" s="13" t="s">
        <v>750</v>
      </c>
      <c r="E154" s="13" t="s">
        <v>76</v>
      </c>
      <c r="F154" s="13" t="s">
        <v>53</v>
      </c>
      <c r="G154" s="13" t="s">
        <v>67</v>
      </c>
      <c r="H154" s="13" t="s">
        <v>79</v>
      </c>
      <c r="I154" s="13" t="s">
        <v>80</v>
      </c>
      <c r="J154" s="13" t="s">
        <v>81</v>
      </c>
      <c r="K154" s="13" t="s">
        <v>82</v>
      </c>
      <c r="L154">
        <v>1910.43</v>
      </c>
      <c r="M154">
        <v>1910.43</v>
      </c>
      <c r="N154">
        <v>0</v>
      </c>
      <c r="O154">
        <v>1161.96</v>
      </c>
      <c r="P154">
        <v>664.73</v>
      </c>
      <c r="Q154">
        <v>290.49</v>
      </c>
      <c r="R154">
        <v>446.86</v>
      </c>
      <c r="S154">
        <v>446.86</v>
      </c>
      <c r="T154">
        <v>0</v>
      </c>
      <c r="U154">
        <v>42</v>
      </c>
      <c r="V154">
        <v>2.94</v>
      </c>
      <c r="W154">
        <v>-15.2</v>
      </c>
      <c r="X154">
        <v>0</v>
      </c>
      <c r="Y154">
        <v>1910.43</v>
      </c>
      <c r="Z154">
        <v>0</v>
      </c>
      <c r="AA154" s="13" t="s">
        <v>3237</v>
      </c>
      <c r="AB154">
        <v>0</v>
      </c>
      <c r="AC154">
        <v>0</v>
      </c>
      <c r="AD154" s="13" t="s">
        <v>3238</v>
      </c>
    </row>
    <row r="155" spans="1:30" x14ac:dyDescent="0.35">
      <c r="A155">
        <v>154</v>
      </c>
      <c r="B155">
        <v>26</v>
      </c>
      <c r="C155" s="13" t="s">
        <v>1490</v>
      </c>
      <c r="D155" s="13" t="s">
        <v>1491</v>
      </c>
      <c r="E155" s="13" t="s">
        <v>104</v>
      </c>
      <c r="F155" s="13" t="s">
        <v>77</v>
      </c>
      <c r="G155" s="13" t="s">
        <v>55</v>
      </c>
      <c r="H155" s="13" t="s">
        <v>105</v>
      </c>
      <c r="I155" s="13" t="s">
        <v>106</v>
      </c>
      <c r="J155" s="13" t="s">
        <v>107</v>
      </c>
      <c r="K155" s="13" t="s">
        <v>95</v>
      </c>
      <c r="L155">
        <v>10067.31</v>
      </c>
      <c r="M155">
        <v>1720.43</v>
      </c>
      <c r="N155">
        <v>0</v>
      </c>
      <c r="O155">
        <v>0</v>
      </c>
      <c r="P155">
        <v>430.11</v>
      </c>
      <c r="Q155">
        <v>0</v>
      </c>
      <c r="R155">
        <v>430.11</v>
      </c>
      <c r="S155">
        <v>430.11</v>
      </c>
      <c r="T155">
        <v>0</v>
      </c>
      <c r="U155">
        <v>12</v>
      </c>
      <c r="V155">
        <v>28.76</v>
      </c>
      <c r="W155">
        <v>11.3</v>
      </c>
      <c r="X155">
        <v>0</v>
      </c>
      <c r="Y155">
        <v>10067.31</v>
      </c>
      <c r="Z155">
        <v>0</v>
      </c>
      <c r="AA155" s="13" t="s">
        <v>3235</v>
      </c>
      <c r="AB155">
        <v>0</v>
      </c>
      <c r="AC155">
        <v>0</v>
      </c>
      <c r="AD155" s="13" t="s">
        <v>3236</v>
      </c>
    </row>
    <row r="156" spans="1:30" x14ac:dyDescent="0.35">
      <c r="A156">
        <v>155</v>
      </c>
      <c r="B156">
        <v>27</v>
      </c>
      <c r="C156" s="13" t="s">
        <v>825</v>
      </c>
      <c r="D156" s="13" t="s">
        <v>826</v>
      </c>
      <c r="E156" s="13" t="s">
        <v>104</v>
      </c>
      <c r="F156" s="13" t="s">
        <v>53</v>
      </c>
      <c r="G156" s="13" t="s">
        <v>55</v>
      </c>
      <c r="H156" s="13" t="s">
        <v>105</v>
      </c>
      <c r="I156" s="13" t="s">
        <v>106</v>
      </c>
      <c r="J156" s="13" t="s">
        <v>107</v>
      </c>
      <c r="K156" s="13" t="s">
        <v>88</v>
      </c>
      <c r="L156">
        <v>16336.89</v>
      </c>
      <c r="M156">
        <v>1707.74</v>
      </c>
      <c r="N156">
        <v>0</v>
      </c>
      <c r="O156">
        <v>0</v>
      </c>
      <c r="P156">
        <v>426.94</v>
      </c>
      <c r="Q156">
        <v>0</v>
      </c>
      <c r="R156">
        <v>426.94</v>
      </c>
      <c r="S156">
        <v>426.94</v>
      </c>
      <c r="T156">
        <v>0</v>
      </c>
      <c r="U156">
        <v>8</v>
      </c>
      <c r="V156">
        <v>21.78</v>
      </c>
      <c r="W156">
        <v>14.5</v>
      </c>
      <c r="X156">
        <v>0</v>
      </c>
      <c r="Y156">
        <v>16336.89</v>
      </c>
      <c r="Z156">
        <v>0</v>
      </c>
      <c r="AA156" s="13" t="s">
        <v>3235</v>
      </c>
      <c r="AB156">
        <v>0</v>
      </c>
      <c r="AC156">
        <v>0</v>
      </c>
      <c r="AD156" s="13" t="s">
        <v>3236</v>
      </c>
    </row>
    <row r="157" spans="1:30" x14ac:dyDescent="0.35">
      <c r="A157">
        <v>156</v>
      </c>
      <c r="B157">
        <v>28</v>
      </c>
      <c r="C157" s="13" t="s">
        <v>366</v>
      </c>
      <c r="D157" s="13" t="s">
        <v>367</v>
      </c>
      <c r="E157" s="13" t="s">
        <v>126</v>
      </c>
      <c r="F157" s="13" t="s">
        <v>77</v>
      </c>
      <c r="G157" s="13" t="s">
        <v>67</v>
      </c>
      <c r="H157" s="13" t="s">
        <v>105</v>
      </c>
      <c r="I157" s="13" t="s">
        <v>106</v>
      </c>
      <c r="J157" s="13" t="s">
        <v>107</v>
      </c>
      <c r="K157" s="13" t="s">
        <v>368</v>
      </c>
      <c r="L157">
        <v>42279.45</v>
      </c>
      <c r="M157">
        <v>826.47</v>
      </c>
      <c r="N157">
        <v>0</v>
      </c>
      <c r="O157">
        <v>0</v>
      </c>
      <c r="P157">
        <v>413.24</v>
      </c>
      <c r="Q157">
        <v>0</v>
      </c>
      <c r="R157">
        <v>413.24</v>
      </c>
      <c r="S157">
        <v>413.24</v>
      </c>
      <c r="T157">
        <v>0</v>
      </c>
      <c r="U157">
        <v>50</v>
      </c>
      <c r="V157">
        <v>60.4</v>
      </c>
      <c r="W157">
        <v>21.4</v>
      </c>
      <c r="X157">
        <v>0</v>
      </c>
      <c r="Y157">
        <v>42279.45</v>
      </c>
      <c r="Z157">
        <v>0</v>
      </c>
      <c r="AA157" s="13" t="s">
        <v>3230</v>
      </c>
      <c r="AB157">
        <v>0</v>
      </c>
      <c r="AC157">
        <v>0</v>
      </c>
      <c r="AD157" s="13" t="s">
        <v>3231</v>
      </c>
    </row>
    <row r="158" spans="1:30" x14ac:dyDescent="0.35">
      <c r="A158">
        <v>157</v>
      </c>
      <c r="B158">
        <v>29</v>
      </c>
      <c r="C158" s="13" t="s">
        <v>981</v>
      </c>
      <c r="D158" s="13" t="s">
        <v>982</v>
      </c>
      <c r="E158" s="13" t="s">
        <v>52</v>
      </c>
      <c r="F158" s="13" t="s">
        <v>53</v>
      </c>
      <c r="G158" s="13" t="s">
        <v>67</v>
      </c>
      <c r="H158" s="13" t="s">
        <v>86</v>
      </c>
      <c r="I158" s="13" t="s">
        <v>87</v>
      </c>
      <c r="J158" s="13" t="s">
        <v>58</v>
      </c>
      <c r="K158" s="13" t="s">
        <v>88</v>
      </c>
      <c r="L158">
        <v>66919.009999999995</v>
      </c>
      <c r="M158">
        <v>1643.24</v>
      </c>
      <c r="N158">
        <v>0</v>
      </c>
      <c r="O158">
        <v>0</v>
      </c>
      <c r="P158">
        <v>410.81</v>
      </c>
      <c r="Q158">
        <v>0</v>
      </c>
      <c r="R158">
        <v>410.81</v>
      </c>
      <c r="S158">
        <v>410.81</v>
      </c>
      <c r="T158">
        <v>0</v>
      </c>
      <c r="U158">
        <v>1</v>
      </c>
      <c r="V158">
        <v>24.33</v>
      </c>
      <c r="W158">
        <v>5.2</v>
      </c>
      <c r="X158">
        <v>0</v>
      </c>
      <c r="Y158">
        <v>66919.009999999995</v>
      </c>
      <c r="Z158">
        <v>0</v>
      </c>
      <c r="AA158" s="13" t="s">
        <v>3235</v>
      </c>
      <c r="AB158">
        <v>0</v>
      </c>
      <c r="AC158">
        <v>0</v>
      </c>
      <c r="AD158" s="13" t="s">
        <v>3236</v>
      </c>
    </row>
    <row r="159" spans="1:30" x14ac:dyDescent="0.35">
      <c r="A159">
        <v>158</v>
      </c>
      <c r="B159">
        <v>29</v>
      </c>
      <c r="C159" s="13" t="s">
        <v>796</v>
      </c>
      <c r="D159" s="13" t="s">
        <v>797</v>
      </c>
      <c r="E159" s="13" t="s">
        <v>104</v>
      </c>
      <c r="F159" s="13" t="s">
        <v>99</v>
      </c>
      <c r="G159" s="13" t="s">
        <v>55</v>
      </c>
      <c r="H159" s="13" t="s">
        <v>105</v>
      </c>
      <c r="I159" s="13" t="s">
        <v>106</v>
      </c>
      <c r="J159" s="13" t="s">
        <v>107</v>
      </c>
      <c r="K159" s="13" t="s">
        <v>82</v>
      </c>
      <c r="L159">
        <v>816.1</v>
      </c>
      <c r="M159">
        <v>816.1</v>
      </c>
      <c r="N159">
        <v>0</v>
      </c>
      <c r="O159">
        <v>0</v>
      </c>
      <c r="P159">
        <v>408.05</v>
      </c>
      <c r="Q159">
        <v>0</v>
      </c>
      <c r="R159">
        <v>408.05</v>
      </c>
      <c r="S159">
        <v>408.05</v>
      </c>
      <c r="T159">
        <v>0</v>
      </c>
      <c r="U159">
        <v>40</v>
      </c>
      <c r="V159">
        <v>3.26</v>
      </c>
      <c r="W159">
        <v>-3.1</v>
      </c>
      <c r="X159">
        <v>0</v>
      </c>
      <c r="Y159">
        <v>816.1</v>
      </c>
      <c r="Z159">
        <v>0</v>
      </c>
      <c r="AA159" s="13" t="s">
        <v>3230</v>
      </c>
      <c r="AB159">
        <v>0</v>
      </c>
      <c r="AC159">
        <v>0</v>
      </c>
      <c r="AD159" s="13" t="s">
        <v>3231</v>
      </c>
    </row>
    <row r="160" spans="1:30" x14ac:dyDescent="0.35">
      <c r="A160">
        <v>159</v>
      </c>
      <c r="B160">
        <v>16</v>
      </c>
      <c r="C160" s="13" t="s">
        <v>238</v>
      </c>
      <c r="D160" s="13" t="s">
        <v>239</v>
      </c>
      <c r="E160" s="13" t="s">
        <v>76</v>
      </c>
      <c r="F160" s="13" t="s">
        <v>71</v>
      </c>
      <c r="G160" s="13" t="s">
        <v>92</v>
      </c>
      <c r="H160" s="13" t="s">
        <v>93</v>
      </c>
      <c r="I160" s="13" t="s">
        <v>94</v>
      </c>
      <c r="J160" s="13" t="s">
        <v>81</v>
      </c>
      <c r="K160" s="13" t="s">
        <v>95</v>
      </c>
      <c r="L160">
        <v>6474.81</v>
      </c>
      <c r="M160">
        <v>3682.24</v>
      </c>
      <c r="N160">
        <v>1677.21</v>
      </c>
      <c r="O160">
        <v>515.36</v>
      </c>
      <c r="P160">
        <v>2178.4699999999998</v>
      </c>
      <c r="Q160">
        <v>128.84</v>
      </c>
      <c r="R160">
        <v>404.63</v>
      </c>
      <c r="S160">
        <v>404.63</v>
      </c>
      <c r="T160">
        <v>0</v>
      </c>
      <c r="U160">
        <v>245</v>
      </c>
      <c r="V160">
        <v>6.47</v>
      </c>
      <c r="W160">
        <v>24.2</v>
      </c>
      <c r="X160">
        <v>1677.21</v>
      </c>
      <c r="Y160">
        <v>4797.6000000000004</v>
      </c>
      <c r="Z160">
        <v>0</v>
      </c>
      <c r="AA160" s="13" t="s">
        <v>3228</v>
      </c>
      <c r="AB160">
        <v>0</v>
      </c>
      <c r="AC160">
        <v>1</v>
      </c>
      <c r="AD160" s="13" t="s">
        <v>3229</v>
      </c>
    </row>
    <row r="161" spans="1:30" x14ac:dyDescent="0.35">
      <c r="A161">
        <v>160</v>
      </c>
      <c r="B161">
        <v>30</v>
      </c>
      <c r="C161" s="13" t="s">
        <v>1195</v>
      </c>
      <c r="D161" s="13" t="s">
        <v>1196</v>
      </c>
      <c r="E161" s="13" t="s">
        <v>104</v>
      </c>
      <c r="F161" s="13" t="s">
        <v>99</v>
      </c>
      <c r="G161" s="13" t="s">
        <v>67</v>
      </c>
      <c r="H161" s="13" t="s">
        <v>105</v>
      </c>
      <c r="I161" s="13" t="s">
        <v>106</v>
      </c>
      <c r="J161" s="13" t="s">
        <v>107</v>
      </c>
      <c r="K161" s="13" t="s">
        <v>95</v>
      </c>
      <c r="L161">
        <v>7364.19</v>
      </c>
      <c r="M161">
        <v>1534.31</v>
      </c>
      <c r="N161">
        <v>0</v>
      </c>
      <c r="O161">
        <v>0</v>
      </c>
      <c r="P161">
        <v>383.58</v>
      </c>
      <c r="Q161">
        <v>0</v>
      </c>
      <c r="R161">
        <v>383.58</v>
      </c>
      <c r="S161">
        <v>383.58</v>
      </c>
      <c r="T161">
        <v>0</v>
      </c>
      <c r="U161">
        <v>20</v>
      </c>
      <c r="V161">
        <v>24.55</v>
      </c>
      <c r="W161">
        <v>10.7</v>
      </c>
      <c r="X161">
        <v>0</v>
      </c>
      <c r="Y161">
        <v>7364.19</v>
      </c>
      <c r="Z161">
        <v>0</v>
      </c>
      <c r="AA161" s="13" t="s">
        <v>3235</v>
      </c>
      <c r="AB161">
        <v>0</v>
      </c>
      <c r="AC161">
        <v>0</v>
      </c>
      <c r="AD161" s="13" t="s">
        <v>3236</v>
      </c>
    </row>
    <row r="162" spans="1:30" x14ac:dyDescent="0.35">
      <c r="A162">
        <v>161</v>
      </c>
      <c r="B162">
        <v>17</v>
      </c>
      <c r="C162" s="13" t="s">
        <v>1241</v>
      </c>
      <c r="D162" s="13" t="s">
        <v>1242</v>
      </c>
      <c r="E162" s="13" t="s">
        <v>76</v>
      </c>
      <c r="F162" s="13" t="s">
        <v>65</v>
      </c>
      <c r="G162" s="13" t="s">
        <v>55</v>
      </c>
      <c r="H162" s="13" t="s">
        <v>93</v>
      </c>
      <c r="I162" s="13" t="s">
        <v>94</v>
      </c>
      <c r="J162" s="13" t="s">
        <v>81</v>
      </c>
      <c r="K162" s="13" t="s">
        <v>95</v>
      </c>
      <c r="L162">
        <v>4495.42</v>
      </c>
      <c r="M162">
        <v>1463.02</v>
      </c>
      <c r="N162">
        <v>0</v>
      </c>
      <c r="O162">
        <v>0</v>
      </c>
      <c r="P162">
        <v>365.76</v>
      </c>
      <c r="Q162">
        <v>0</v>
      </c>
      <c r="R162">
        <v>365.76</v>
      </c>
      <c r="S162">
        <v>365.76</v>
      </c>
      <c r="T162">
        <v>0</v>
      </c>
      <c r="U162">
        <v>19</v>
      </c>
      <c r="V162">
        <v>9.99</v>
      </c>
      <c r="W162">
        <v>11.2</v>
      </c>
      <c r="X162">
        <v>0</v>
      </c>
      <c r="Y162">
        <v>4495.42</v>
      </c>
      <c r="Z162">
        <v>0</v>
      </c>
      <c r="AA162" s="13" t="s">
        <v>3235</v>
      </c>
      <c r="AB162">
        <v>0</v>
      </c>
      <c r="AC162">
        <v>0</v>
      </c>
      <c r="AD162" s="13" t="s">
        <v>3236</v>
      </c>
    </row>
    <row r="163" spans="1:30" x14ac:dyDescent="0.35">
      <c r="A163">
        <v>162</v>
      </c>
      <c r="B163">
        <v>35</v>
      </c>
      <c r="C163" s="13" t="s">
        <v>119</v>
      </c>
      <c r="D163" s="13" t="s">
        <v>120</v>
      </c>
      <c r="E163" s="13" t="s">
        <v>104</v>
      </c>
      <c r="F163" s="13" t="s">
        <v>53</v>
      </c>
      <c r="G163" s="13" t="s">
        <v>55</v>
      </c>
      <c r="H163" s="13" t="s">
        <v>121</v>
      </c>
      <c r="I163" s="13" t="s">
        <v>122</v>
      </c>
      <c r="J163" s="13" t="s">
        <v>107</v>
      </c>
      <c r="K163" s="13" t="s">
        <v>82</v>
      </c>
      <c r="L163">
        <v>11143.4</v>
      </c>
      <c r="M163">
        <v>4742.58</v>
      </c>
      <c r="N163">
        <v>919.96</v>
      </c>
      <c r="O163">
        <v>0</v>
      </c>
      <c r="P163">
        <v>2089.9699999999998</v>
      </c>
      <c r="Q163">
        <v>0</v>
      </c>
      <c r="R163">
        <v>348.16</v>
      </c>
      <c r="S163">
        <v>348.16</v>
      </c>
      <c r="T163">
        <v>0</v>
      </c>
      <c r="U163">
        <v>572</v>
      </c>
      <c r="V163">
        <v>7.69</v>
      </c>
      <c r="W163">
        <v>-5.8</v>
      </c>
      <c r="X163">
        <v>1741.81</v>
      </c>
      <c r="Y163">
        <v>9401.59</v>
      </c>
      <c r="Z163">
        <v>0</v>
      </c>
      <c r="AA163" s="13" t="s">
        <v>3232</v>
      </c>
      <c r="AB163">
        <v>0</v>
      </c>
      <c r="AC163">
        <v>0</v>
      </c>
      <c r="AD163" s="13" t="s">
        <v>3233</v>
      </c>
    </row>
    <row r="164" spans="1:30" x14ac:dyDescent="0.35">
      <c r="A164">
        <v>163</v>
      </c>
      <c r="B164">
        <v>36</v>
      </c>
      <c r="C164" s="13" t="s">
        <v>1411</v>
      </c>
      <c r="D164" s="13" t="s">
        <v>1412</v>
      </c>
      <c r="E164" s="13" t="s">
        <v>104</v>
      </c>
      <c r="F164" s="13" t="s">
        <v>77</v>
      </c>
      <c r="G164" s="13" t="s">
        <v>55</v>
      </c>
      <c r="H164" s="13" t="s">
        <v>121</v>
      </c>
      <c r="I164" s="13" t="s">
        <v>122</v>
      </c>
      <c r="J164" s="13" t="s">
        <v>107</v>
      </c>
      <c r="K164" s="13" t="s">
        <v>95</v>
      </c>
      <c r="L164">
        <v>11463.51</v>
      </c>
      <c r="M164">
        <v>1368.42</v>
      </c>
      <c r="N164">
        <v>0</v>
      </c>
      <c r="O164">
        <v>0</v>
      </c>
      <c r="P164">
        <v>342.11</v>
      </c>
      <c r="Q164">
        <v>0</v>
      </c>
      <c r="R164">
        <v>342.11</v>
      </c>
      <c r="S164">
        <v>342.11</v>
      </c>
      <c r="T164">
        <v>0</v>
      </c>
      <c r="U164">
        <v>14</v>
      </c>
      <c r="V164">
        <v>10.42</v>
      </c>
      <c r="W164">
        <v>16.3</v>
      </c>
      <c r="X164">
        <v>0</v>
      </c>
      <c r="Y164">
        <v>11463.51</v>
      </c>
      <c r="Z164">
        <v>0</v>
      </c>
      <c r="AA164" s="13" t="s">
        <v>3235</v>
      </c>
      <c r="AB164">
        <v>0</v>
      </c>
      <c r="AC164">
        <v>0</v>
      </c>
      <c r="AD164" s="13" t="s">
        <v>3236</v>
      </c>
    </row>
    <row r="165" spans="1:30" x14ac:dyDescent="0.35">
      <c r="A165">
        <v>164</v>
      </c>
      <c r="B165">
        <v>14</v>
      </c>
      <c r="C165" s="13" t="s">
        <v>1727</v>
      </c>
      <c r="D165" s="13" t="s">
        <v>1728</v>
      </c>
      <c r="E165" s="13" t="s">
        <v>76</v>
      </c>
      <c r="F165" s="13" t="s">
        <v>77</v>
      </c>
      <c r="G165" s="13" t="s">
        <v>55</v>
      </c>
      <c r="H165" s="13" t="s">
        <v>79</v>
      </c>
      <c r="I165" s="13" t="s">
        <v>80</v>
      </c>
      <c r="J165" s="13" t="s">
        <v>81</v>
      </c>
      <c r="K165" s="13" t="s">
        <v>82</v>
      </c>
      <c r="L165">
        <v>5813.91</v>
      </c>
      <c r="M165">
        <v>1356.38</v>
      </c>
      <c r="N165">
        <v>0</v>
      </c>
      <c r="O165">
        <v>0</v>
      </c>
      <c r="P165">
        <v>339.1</v>
      </c>
      <c r="Q165">
        <v>0</v>
      </c>
      <c r="R165">
        <v>339.1</v>
      </c>
      <c r="S165">
        <v>339.1</v>
      </c>
      <c r="T165">
        <v>0</v>
      </c>
      <c r="U165">
        <v>5</v>
      </c>
      <c r="V165">
        <v>7.75</v>
      </c>
      <c r="W165">
        <v>-7</v>
      </c>
      <c r="X165">
        <v>0</v>
      </c>
      <c r="Y165">
        <v>5813.91</v>
      </c>
      <c r="Z165">
        <v>0</v>
      </c>
      <c r="AA165" s="13" t="s">
        <v>3241</v>
      </c>
      <c r="AB165">
        <v>0</v>
      </c>
      <c r="AC165">
        <v>0</v>
      </c>
      <c r="AD165" s="13" t="s">
        <v>3242</v>
      </c>
    </row>
    <row r="166" spans="1:30" x14ac:dyDescent="0.35">
      <c r="A166">
        <v>165</v>
      </c>
      <c r="B166">
        <v>34</v>
      </c>
      <c r="C166" s="13" t="s">
        <v>177</v>
      </c>
      <c r="D166" s="13" t="s">
        <v>178</v>
      </c>
      <c r="E166" s="13" t="s">
        <v>52</v>
      </c>
      <c r="F166" s="13" t="s">
        <v>71</v>
      </c>
      <c r="G166" s="13" t="s">
        <v>67</v>
      </c>
      <c r="H166" s="13" t="s">
        <v>56</v>
      </c>
      <c r="I166" s="13" t="s">
        <v>57</v>
      </c>
      <c r="J166" s="13" t="s">
        <v>58</v>
      </c>
      <c r="K166" s="13" t="s">
        <v>59</v>
      </c>
      <c r="L166">
        <v>69926.78</v>
      </c>
      <c r="M166">
        <v>7987.73</v>
      </c>
      <c r="N166">
        <v>2607.46</v>
      </c>
      <c r="O166">
        <v>5380.27</v>
      </c>
      <c r="P166">
        <v>3952.53</v>
      </c>
      <c r="Q166">
        <v>1345.07</v>
      </c>
      <c r="R166">
        <v>336.27</v>
      </c>
      <c r="S166">
        <v>336.27</v>
      </c>
      <c r="T166">
        <v>0</v>
      </c>
      <c r="U166">
        <v>391</v>
      </c>
      <c r="V166">
        <v>16.850000000000001</v>
      </c>
      <c r="W166">
        <v>4.0999999999999996</v>
      </c>
      <c r="X166">
        <v>2607.46</v>
      </c>
      <c r="Y166">
        <v>67319.320000000007</v>
      </c>
      <c r="Z166">
        <v>0</v>
      </c>
      <c r="AA166" s="13" t="s">
        <v>3237</v>
      </c>
      <c r="AB166">
        <v>0</v>
      </c>
      <c r="AC166">
        <v>0</v>
      </c>
      <c r="AD166" s="13" t="s">
        <v>3238</v>
      </c>
    </row>
    <row r="167" spans="1:30" x14ac:dyDescent="0.35">
      <c r="A167">
        <v>166</v>
      </c>
      <c r="B167">
        <v>30</v>
      </c>
      <c r="C167" s="13" t="s">
        <v>533</v>
      </c>
      <c r="D167" s="13" t="s">
        <v>534</v>
      </c>
      <c r="E167" s="13" t="s">
        <v>126</v>
      </c>
      <c r="F167" s="13" t="s">
        <v>99</v>
      </c>
      <c r="G167" s="13" t="s">
        <v>67</v>
      </c>
      <c r="H167" s="13" t="s">
        <v>86</v>
      </c>
      <c r="I167" s="13" t="s">
        <v>87</v>
      </c>
      <c r="J167" s="13" t="s">
        <v>58</v>
      </c>
      <c r="K167" s="13" t="s">
        <v>368</v>
      </c>
      <c r="L167">
        <v>33080.32</v>
      </c>
      <c r="M167">
        <v>1311.99</v>
      </c>
      <c r="N167">
        <v>0</v>
      </c>
      <c r="O167">
        <v>0</v>
      </c>
      <c r="P167">
        <v>328</v>
      </c>
      <c r="Q167">
        <v>0</v>
      </c>
      <c r="R167">
        <v>328</v>
      </c>
      <c r="S167">
        <v>328</v>
      </c>
      <c r="T167">
        <v>0</v>
      </c>
      <c r="U167">
        <v>6</v>
      </c>
      <c r="V167">
        <v>16.14</v>
      </c>
      <c r="W167">
        <v>21.2</v>
      </c>
      <c r="X167">
        <v>0</v>
      </c>
      <c r="Y167">
        <v>33080.32</v>
      </c>
      <c r="Z167">
        <v>0</v>
      </c>
      <c r="AA167" s="13" t="s">
        <v>3235</v>
      </c>
      <c r="AB167">
        <v>0</v>
      </c>
      <c r="AC167">
        <v>0</v>
      </c>
      <c r="AD167" s="13" t="s">
        <v>3236</v>
      </c>
    </row>
    <row r="168" spans="1:30" x14ac:dyDescent="0.35">
      <c r="A168">
        <v>167</v>
      </c>
      <c r="B168">
        <v>18</v>
      </c>
      <c r="C168" s="13" t="s">
        <v>186</v>
      </c>
      <c r="D168" s="13" t="s">
        <v>187</v>
      </c>
      <c r="E168" s="13" t="s">
        <v>76</v>
      </c>
      <c r="F168" s="13" t="s">
        <v>65</v>
      </c>
      <c r="G168" s="13" t="s">
        <v>55</v>
      </c>
      <c r="H168" s="13" t="s">
        <v>93</v>
      </c>
      <c r="I168" s="13" t="s">
        <v>94</v>
      </c>
      <c r="J168" s="13" t="s">
        <v>81</v>
      </c>
      <c r="K168" s="13" t="s">
        <v>95</v>
      </c>
      <c r="L168">
        <v>13872.98</v>
      </c>
      <c r="M168">
        <v>8767.5400000000009</v>
      </c>
      <c r="N168">
        <v>1263.0899999999999</v>
      </c>
      <c r="O168">
        <v>3115.69</v>
      </c>
      <c r="P168">
        <v>3139.2</v>
      </c>
      <c r="Q168">
        <v>778.92</v>
      </c>
      <c r="R168">
        <v>282.75</v>
      </c>
      <c r="S168">
        <v>282.75</v>
      </c>
      <c r="T168">
        <v>0</v>
      </c>
      <c r="U168">
        <v>389</v>
      </c>
      <c r="V168">
        <v>11.56</v>
      </c>
      <c r="W168">
        <v>13.3</v>
      </c>
      <c r="X168">
        <v>2272.2600000000002</v>
      </c>
      <c r="Y168">
        <v>11600.72</v>
      </c>
      <c r="Z168">
        <v>0</v>
      </c>
      <c r="AA168" s="13" t="s">
        <v>3232</v>
      </c>
      <c r="AB168">
        <v>0</v>
      </c>
      <c r="AC168">
        <v>0</v>
      </c>
      <c r="AD168" s="13" t="s">
        <v>3233</v>
      </c>
    </row>
    <row r="169" spans="1:30" x14ac:dyDescent="0.35">
      <c r="A169">
        <v>168</v>
      </c>
      <c r="B169">
        <v>31</v>
      </c>
      <c r="C169" s="13" t="s">
        <v>506</v>
      </c>
      <c r="D169" s="13" t="s">
        <v>507</v>
      </c>
      <c r="E169" s="13" t="s">
        <v>126</v>
      </c>
      <c r="F169" s="13" t="s">
        <v>99</v>
      </c>
      <c r="G169" s="13" t="s">
        <v>67</v>
      </c>
      <c r="H169" s="13" t="s">
        <v>86</v>
      </c>
      <c r="I169" s="13" t="s">
        <v>87</v>
      </c>
      <c r="J169" s="13" t="s">
        <v>58</v>
      </c>
      <c r="K169" s="13" t="s">
        <v>368</v>
      </c>
      <c r="L169">
        <v>25010.2</v>
      </c>
      <c r="M169">
        <v>1056.1600000000001</v>
      </c>
      <c r="N169">
        <v>0</v>
      </c>
      <c r="O169">
        <v>0</v>
      </c>
      <c r="P169">
        <v>264.04000000000002</v>
      </c>
      <c r="Q169">
        <v>0</v>
      </c>
      <c r="R169">
        <v>264.04000000000002</v>
      </c>
      <c r="S169">
        <v>264.04000000000002</v>
      </c>
      <c r="T169">
        <v>0</v>
      </c>
      <c r="U169">
        <v>8</v>
      </c>
      <c r="V169">
        <v>11.63</v>
      </c>
      <c r="W169">
        <v>20</v>
      </c>
      <c r="X169">
        <v>0</v>
      </c>
      <c r="Y169">
        <v>25010.2</v>
      </c>
      <c r="Z169">
        <v>0</v>
      </c>
      <c r="AA169" s="13" t="s">
        <v>3235</v>
      </c>
      <c r="AB169">
        <v>0</v>
      </c>
      <c r="AC169">
        <v>0</v>
      </c>
      <c r="AD169" s="13" t="s">
        <v>3236</v>
      </c>
    </row>
    <row r="170" spans="1:30" x14ac:dyDescent="0.35">
      <c r="A170">
        <v>169</v>
      </c>
      <c r="B170">
        <v>15</v>
      </c>
      <c r="C170" s="13" t="s">
        <v>1120</v>
      </c>
      <c r="D170" s="13" t="s">
        <v>1121</v>
      </c>
      <c r="E170" s="13" t="s">
        <v>76</v>
      </c>
      <c r="F170" s="13" t="s">
        <v>77</v>
      </c>
      <c r="G170" s="13" t="s">
        <v>67</v>
      </c>
      <c r="H170" s="13" t="s">
        <v>79</v>
      </c>
      <c r="I170" s="13" t="s">
        <v>80</v>
      </c>
      <c r="J170" s="13" t="s">
        <v>81</v>
      </c>
      <c r="K170" s="13" t="s">
        <v>95</v>
      </c>
      <c r="L170">
        <v>8748.8799999999992</v>
      </c>
      <c r="M170">
        <v>1047.1600000000001</v>
      </c>
      <c r="N170">
        <v>0</v>
      </c>
      <c r="O170">
        <v>0</v>
      </c>
      <c r="P170">
        <v>261.79000000000002</v>
      </c>
      <c r="Q170">
        <v>0</v>
      </c>
      <c r="R170">
        <v>261.79000000000002</v>
      </c>
      <c r="S170">
        <v>261.79000000000002</v>
      </c>
      <c r="T170">
        <v>0</v>
      </c>
      <c r="U170">
        <v>25</v>
      </c>
      <c r="V170">
        <v>8.33</v>
      </c>
      <c r="W170">
        <v>4.4000000000000004</v>
      </c>
      <c r="X170">
        <v>0</v>
      </c>
      <c r="Y170">
        <v>8748.8799999999992</v>
      </c>
      <c r="Z170">
        <v>0</v>
      </c>
      <c r="AA170" s="13" t="s">
        <v>3241</v>
      </c>
      <c r="AB170">
        <v>0</v>
      </c>
      <c r="AC170">
        <v>0</v>
      </c>
      <c r="AD170" s="13" t="s">
        <v>3242</v>
      </c>
    </row>
    <row r="171" spans="1:30" x14ac:dyDescent="0.35">
      <c r="A171">
        <v>170</v>
      </c>
      <c r="B171">
        <v>16</v>
      </c>
      <c r="C171" s="13" t="s">
        <v>162</v>
      </c>
      <c r="D171" s="13" t="s">
        <v>163</v>
      </c>
      <c r="E171" s="13" t="s">
        <v>76</v>
      </c>
      <c r="F171" s="13" t="s">
        <v>99</v>
      </c>
      <c r="G171" s="13" t="s">
        <v>67</v>
      </c>
      <c r="H171" s="13" t="s">
        <v>79</v>
      </c>
      <c r="I171" s="13" t="s">
        <v>80</v>
      </c>
      <c r="J171" s="13" t="s">
        <v>81</v>
      </c>
      <c r="K171" s="13" t="s">
        <v>95</v>
      </c>
      <c r="L171">
        <v>14261.24</v>
      </c>
      <c r="M171">
        <v>1502.17</v>
      </c>
      <c r="N171">
        <v>471.72</v>
      </c>
      <c r="O171">
        <v>0</v>
      </c>
      <c r="P171">
        <v>729.33</v>
      </c>
      <c r="Q171">
        <v>0</v>
      </c>
      <c r="R171">
        <v>257.61</v>
      </c>
      <c r="S171">
        <v>257.61</v>
      </c>
      <c r="T171">
        <v>0</v>
      </c>
      <c r="U171">
        <v>486</v>
      </c>
      <c r="V171">
        <v>15.85</v>
      </c>
      <c r="W171">
        <v>6.2</v>
      </c>
      <c r="X171">
        <v>471.72</v>
      </c>
      <c r="Y171">
        <v>13789.52</v>
      </c>
      <c r="Z171">
        <v>0</v>
      </c>
      <c r="AA171" s="13" t="s">
        <v>3232</v>
      </c>
      <c r="AB171">
        <v>0</v>
      </c>
      <c r="AC171">
        <v>0</v>
      </c>
      <c r="AD171" s="13" t="s">
        <v>3233</v>
      </c>
    </row>
    <row r="172" spans="1:30" x14ac:dyDescent="0.35">
      <c r="A172">
        <v>171</v>
      </c>
      <c r="B172">
        <v>31</v>
      </c>
      <c r="C172" s="13" t="s">
        <v>1276</v>
      </c>
      <c r="D172" s="13" t="s">
        <v>1277</v>
      </c>
      <c r="E172" s="13" t="s">
        <v>104</v>
      </c>
      <c r="F172" s="13" t="s">
        <v>99</v>
      </c>
      <c r="G172" s="13" t="s">
        <v>67</v>
      </c>
      <c r="H172" s="13" t="s">
        <v>105</v>
      </c>
      <c r="I172" s="13" t="s">
        <v>106</v>
      </c>
      <c r="J172" s="13" t="s">
        <v>107</v>
      </c>
      <c r="K172" s="13" t="s">
        <v>95</v>
      </c>
      <c r="L172">
        <v>13877.65</v>
      </c>
      <c r="M172">
        <v>4105.84</v>
      </c>
      <c r="N172">
        <v>0</v>
      </c>
      <c r="O172">
        <v>13877.65</v>
      </c>
      <c r="P172">
        <v>1026.46</v>
      </c>
      <c r="Q172">
        <v>1026.46</v>
      </c>
      <c r="R172">
        <v>256.62</v>
      </c>
      <c r="S172">
        <v>256.62</v>
      </c>
      <c r="T172">
        <v>0</v>
      </c>
      <c r="U172">
        <v>19</v>
      </c>
      <c r="V172">
        <v>19.829999999999998</v>
      </c>
      <c r="W172">
        <v>7.1</v>
      </c>
      <c r="X172">
        <v>0</v>
      </c>
      <c r="Y172">
        <v>13877.65</v>
      </c>
      <c r="Z172">
        <v>0</v>
      </c>
      <c r="AA172" s="13" t="s">
        <v>3237</v>
      </c>
      <c r="AB172">
        <v>0</v>
      </c>
      <c r="AC172">
        <v>0</v>
      </c>
      <c r="AD172" s="13" t="s">
        <v>3238</v>
      </c>
    </row>
    <row r="173" spans="1:30" x14ac:dyDescent="0.35">
      <c r="A173">
        <v>172</v>
      </c>
      <c r="B173">
        <v>35</v>
      </c>
      <c r="C173" s="13" t="s">
        <v>434</v>
      </c>
      <c r="D173" s="13" t="s">
        <v>435</v>
      </c>
      <c r="E173" s="13" t="s">
        <v>52</v>
      </c>
      <c r="F173" s="13" t="s">
        <v>77</v>
      </c>
      <c r="G173" s="13" t="s">
        <v>55</v>
      </c>
      <c r="H173" s="13" t="s">
        <v>56</v>
      </c>
      <c r="I173" s="13" t="s">
        <v>57</v>
      </c>
      <c r="J173" s="13" t="s">
        <v>58</v>
      </c>
      <c r="K173" s="13" t="s">
        <v>88</v>
      </c>
      <c r="L173">
        <v>112760.39</v>
      </c>
      <c r="M173">
        <v>20972.11</v>
      </c>
      <c r="N173">
        <v>0</v>
      </c>
      <c r="O173">
        <v>3051.37</v>
      </c>
      <c r="P173">
        <v>6908.43</v>
      </c>
      <c r="Q173">
        <v>0</v>
      </c>
      <c r="R173">
        <v>246.84</v>
      </c>
      <c r="S173">
        <v>246.84</v>
      </c>
      <c r="T173">
        <v>0</v>
      </c>
      <c r="U173">
        <v>50</v>
      </c>
      <c r="V173">
        <v>22.11</v>
      </c>
      <c r="W173">
        <v>13.7</v>
      </c>
      <c r="X173">
        <v>6661.59</v>
      </c>
      <c r="Y173">
        <v>106098.8</v>
      </c>
      <c r="Z173">
        <v>0</v>
      </c>
      <c r="AA173" s="13" t="s">
        <v>3230</v>
      </c>
      <c r="AB173">
        <v>0</v>
      </c>
      <c r="AC173">
        <v>0</v>
      </c>
      <c r="AD173" s="13" t="s">
        <v>3231</v>
      </c>
    </row>
    <row r="174" spans="1:30" x14ac:dyDescent="0.35">
      <c r="A174">
        <v>173</v>
      </c>
      <c r="B174">
        <v>32</v>
      </c>
      <c r="C174" s="13" t="s">
        <v>837</v>
      </c>
      <c r="D174" s="13" t="s">
        <v>838</v>
      </c>
      <c r="E174" s="13" t="s">
        <v>104</v>
      </c>
      <c r="F174" s="13" t="s">
        <v>99</v>
      </c>
      <c r="G174" s="13" t="s">
        <v>67</v>
      </c>
      <c r="H174" s="13" t="s">
        <v>105</v>
      </c>
      <c r="I174" s="13" t="s">
        <v>106</v>
      </c>
      <c r="J174" s="13" t="s">
        <v>107</v>
      </c>
      <c r="K174" s="13" t="s">
        <v>95</v>
      </c>
      <c r="L174">
        <v>6978.42</v>
      </c>
      <c r="M174">
        <v>478.65</v>
      </c>
      <c r="N174">
        <v>0</v>
      </c>
      <c r="O174">
        <v>0</v>
      </c>
      <c r="P174">
        <v>239.33</v>
      </c>
      <c r="Q174">
        <v>0</v>
      </c>
      <c r="R174">
        <v>239.33</v>
      </c>
      <c r="S174">
        <v>239.33</v>
      </c>
      <c r="T174">
        <v>0</v>
      </c>
      <c r="U174">
        <v>38</v>
      </c>
      <c r="V174">
        <v>5.17</v>
      </c>
      <c r="W174">
        <v>8.1999999999999993</v>
      </c>
      <c r="X174">
        <v>0</v>
      </c>
      <c r="Y174">
        <v>6978.42</v>
      </c>
      <c r="Z174">
        <v>0</v>
      </c>
      <c r="AA174" s="13" t="s">
        <v>3230</v>
      </c>
      <c r="AB174">
        <v>0</v>
      </c>
      <c r="AC174">
        <v>0</v>
      </c>
      <c r="AD174" s="13" t="s">
        <v>3231</v>
      </c>
    </row>
    <row r="175" spans="1:30" x14ac:dyDescent="0.35">
      <c r="A175">
        <v>174</v>
      </c>
      <c r="B175">
        <v>36</v>
      </c>
      <c r="C175" s="13" t="s">
        <v>641</v>
      </c>
      <c r="D175" s="13" t="s">
        <v>642</v>
      </c>
      <c r="E175" s="13" t="s">
        <v>52</v>
      </c>
      <c r="F175" s="13" t="s">
        <v>99</v>
      </c>
      <c r="G175" s="13" t="s">
        <v>67</v>
      </c>
      <c r="H175" s="13" t="s">
        <v>56</v>
      </c>
      <c r="I175" s="13" t="s">
        <v>57</v>
      </c>
      <c r="J175" s="13" t="s">
        <v>58</v>
      </c>
      <c r="K175" s="13" t="s">
        <v>88</v>
      </c>
      <c r="L175">
        <v>11955.61</v>
      </c>
      <c r="M175">
        <v>937.06</v>
      </c>
      <c r="N175">
        <v>0</v>
      </c>
      <c r="O175">
        <v>0</v>
      </c>
      <c r="P175">
        <v>234.27</v>
      </c>
      <c r="Q175">
        <v>0</v>
      </c>
      <c r="R175">
        <v>234.27</v>
      </c>
      <c r="S175">
        <v>234.27</v>
      </c>
      <c r="T175">
        <v>0</v>
      </c>
      <c r="U175">
        <v>23</v>
      </c>
      <c r="V175">
        <v>3.8</v>
      </c>
      <c r="W175">
        <v>6.9</v>
      </c>
      <c r="X175">
        <v>0</v>
      </c>
      <c r="Y175">
        <v>11955.61</v>
      </c>
      <c r="Z175">
        <v>0</v>
      </c>
      <c r="AA175" s="13" t="s">
        <v>3235</v>
      </c>
      <c r="AB175">
        <v>0</v>
      </c>
      <c r="AC175">
        <v>0</v>
      </c>
      <c r="AD175" s="13" t="s">
        <v>3236</v>
      </c>
    </row>
    <row r="176" spans="1:30" x14ac:dyDescent="0.35">
      <c r="A176">
        <v>175</v>
      </c>
      <c r="B176">
        <v>33</v>
      </c>
      <c r="C176" s="13" t="s">
        <v>1720</v>
      </c>
      <c r="D176" s="13" t="s">
        <v>1721</v>
      </c>
      <c r="E176" s="13" t="s">
        <v>104</v>
      </c>
      <c r="F176" s="13" t="s">
        <v>65</v>
      </c>
      <c r="G176" s="13" t="s">
        <v>67</v>
      </c>
      <c r="H176" s="13" t="s">
        <v>105</v>
      </c>
      <c r="I176" s="13" t="s">
        <v>106</v>
      </c>
      <c r="J176" s="13" t="s">
        <v>107</v>
      </c>
      <c r="K176" s="13" t="s">
        <v>95</v>
      </c>
      <c r="L176">
        <v>9091.02</v>
      </c>
      <c r="M176">
        <v>922.45</v>
      </c>
      <c r="N176">
        <v>0</v>
      </c>
      <c r="O176">
        <v>0</v>
      </c>
      <c r="P176">
        <v>230.61</v>
      </c>
      <c r="Q176">
        <v>0</v>
      </c>
      <c r="R176">
        <v>230.61</v>
      </c>
      <c r="S176">
        <v>230.61</v>
      </c>
      <c r="T176">
        <v>0</v>
      </c>
      <c r="U176">
        <v>5</v>
      </c>
      <c r="V176">
        <v>11.36</v>
      </c>
      <c r="W176">
        <v>7.4</v>
      </c>
      <c r="X176">
        <v>0</v>
      </c>
      <c r="Y176">
        <v>9091.02</v>
      </c>
      <c r="Z176">
        <v>0</v>
      </c>
      <c r="AA176" s="13" t="s">
        <v>3235</v>
      </c>
      <c r="AB176">
        <v>0</v>
      </c>
      <c r="AC176">
        <v>0</v>
      </c>
      <c r="AD176" s="13" t="s">
        <v>3236</v>
      </c>
    </row>
    <row r="177" spans="1:30" x14ac:dyDescent="0.35">
      <c r="A177">
        <v>176</v>
      </c>
      <c r="B177">
        <v>19</v>
      </c>
      <c r="C177" s="13" t="s">
        <v>1374</v>
      </c>
      <c r="D177" s="13" t="s">
        <v>1375</v>
      </c>
      <c r="E177" s="13" t="s">
        <v>76</v>
      </c>
      <c r="F177" s="13" t="s">
        <v>77</v>
      </c>
      <c r="G177" s="13" t="s">
        <v>67</v>
      </c>
      <c r="H177" s="13" t="s">
        <v>93</v>
      </c>
      <c r="I177" s="13" t="s">
        <v>94</v>
      </c>
      <c r="J177" s="13" t="s">
        <v>81</v>
      </c>
      <c r="K177" s="13" t="s">
        <v>95</v>
      </c>
      <c r="L177">
        <v>8167.06</v>
      </c>
      <c r="M177">
        <v>3602.5</v>
      </c>
      <c r="N177">
        <v>0</v>
      </c>
      <c r="O177">
        <v>3602.5</v>
      </c>
      <c r="P177">
        <v>900.63</v>
      </c>
      <c r="Q177">
        <v>900.63</v>
      </c>
      <c r="R177">
        <v>225.16</v>
      </c>
      <c r="S177">
        <v>225.16</v>
      </c>
      <c r="T177">
        <v>0</v>
      </c>
      <c r="U177">
        <v>14</v>
      </c>
      <c r="V177">
        <v>23.33</v>
      </c>
      <c r="W177">
        <v>7.9</v>
      </c>
      <c r="X177">
        <v>0</v>
      </c>
      <c r="Y177">
        <v>8167.06</v>
      </c>
      <c r="Z177">
        <v>0</v>
      </c>
      <c r="AA177" s="13" t="s">
        <v>3237</v>
      </c>
      <c r="AB177">
        <v>0</v>
      </c>
      <c r="AC177">
        <v>0</v>
      </c>
      <c r="AD177" s="13" t="s">
        <v>3238</v>
      </c>
    </row>
    <row r="178" spans="1:30" x14ac:dyDescent="0.35">
      <c r="A178">
        <v>177</v>
      </c>
      <c r="B178">
        <v>34</v>
      </c>
      <c r="C178" s="13" t="s">
        <v>247</v>
      </c>
      <c r="D178" s="13" t="s">
        <v>248</v>
      </c>
      <c r="E178" s="13" t="s">
        <v>104</v>
      </c>
      <c r="F178" s="13" t="s">
        <v>65</v>
      </c>
      <c r="G178" s="13" t="s">
        <v>55</v>
      </c>
      <c r="H178" s="13" t="s">
        <v>105</v>
      </c>
      <c r="I178" s="13" t="s">
        <v>106</v>
      </c>
      <c r="J178" s="13" t="s">
        <v>107</v>
      </c>
      <c r="K178" s="13" t="s">
        <v>82</v>
      </c>
      <c r="L178">
        <v>6348.5</v>
      </c>
      <c r="M178">
        <v>2614.61</v>
      </c>
      <c r="N178">
        <v>877.69</v>
      </c>
      <c r="O178">
        <v>1736.92</v>
      </c>
      <c r="P178">
        <v>1746.15</v>
      </c>
      <c r="Q178">
        <v>868.46</v>
      </c>
      <c r="R178">
        <v>217.12</v>
      </c>
      <c r="S178">
        <v>217.12</v>
      </c>
      <c r="T178">
        <v>0</v>
      </c>
      <c r="U178">
        <v>210</v>
      </c>
      <c r="V178">
        <v>6.05</v>
      </c>
      <c r="W178">
        <v>-3</v>
      </c>
      <c r="X178">
        <v>877.69</v>
      </c>
      <c r="Y178">
        <v>5470.81</v>
      </c>
      <c r="Z178">
        <v>0</v>
      </c>
      <c r="AA178" s="13" t="s">
        <v>3237</v>
      </c>
      <c r="AB178">
        <v>0</v>
      </c>
      <c r="AC178">
        <v>0</v>
      </c>
      <c r="AD178" s="13" t="s">
        <v>3238</v>
      </c>
    </row>
    <row r="179" spans="1:30" x14ac:dyDescent="0.35">
      <c r="A179">
        <v>178</v>
      </c>
      <c r="B179">
        <v>20</v>
      </c>
      <c r="C179" s="13" t="s">
        <v>1782</v>
      </c>
      <c r="D179" s="13" t="s">
        <v>1783</v>
      </c>
      <c r="E179" s="13" t="s">
        <v>76</v>
      </c>
      <c r="F179" s="13" t="s">
        <v>99</v>
      </c>
      <c r="G179" s="13" t="s">
        <v>67</v>
      </c>
      <c r="H179" s="13" t="s">
        <v>93</v>
      </c>
      <c r="I179" s="13" t="s">
        <v>94</v>
      </c>
      <c r="J179" s="13" t="s">
        <v>81</v>
      </c>
      <c r="K179" s="13" t="s">
        <v>95</v>
      </c>
      <c r="L179">
        <v>2624.46</v>
      </c>
      <c r="M179">
        <v>840.46</v>
      </c>
      <c r="N179">
        <v>0</v>
      </c>
      <c r="O179">
        <v>0</v>
      </c>
      <c r="P179">
        <v>210.12</v>
      </c>
      <c r="Q179">
        <v>0</v>
      </c>
      <c r="R179">
        <v>210.12</v>
      </c>
      <c r="S179">
        <v>210.12</v>
      </c>
      <c r="T179">
        <v>0</v>
      </c>
      <c r="U179">
        <v>4</v>
      </c>
      <c r="V179">
        <v>4.7699999999999996</v>
      </c>
      <c r="W179">
        <v>6.9</v>
      </c>
      <c r="X179">
        <v>0</v>
      </c>
      <c r="Y179">
        <v>2624.46</v>
      </c>
      <c r="Z179">
        <v>0</v>
      </c>
      <c r="AA179" s="13" t="s">
        <v>3235</v>
      </c>
      <c r="AB179">
        <v>0</v>
      </c>
      <c r="AC179">
        <v>0</v>
      </c>
      <c r="AD179" s="13" t="s">
        <v>3236</v>
      </c>
    </row>
    <row r="180" spans="1:30" x14ac:dyDescent="0.35">
      <c r="A180">
        <v>179</v>
      </c>
      <c r="B180">
        <v>17</v>
      </c>
      <c r="C180" s="13" t="s">
        <v>219</v>
      </c>
      <c r="D180" s="13" t="s">
        <v>220</v>
      </c>
      <c r="E180" s="13" t="s">
        <v>76</v>
      </c>
      <c r="F180" s="13" t="s">
        <v>71</v>
      </c>
      <c r="G180" s="13" t="s">
        <v>55</v>
      </c>
      <c r="H180" s="13" t="s">
        <v>79</v>
      </c>
      <c r="I180" s="13" t="s">
        <v>80</v>
      </c>
      <c r="J180" s="13" t="s">
        <v>81</v>
      </c>
      <c r="K180" s="13" t="s">
        <v>95</v>
      </c>
      <c r="L180">
        <v>15136.15</v>
      </c>
      <c r="M180">
        <v>1287.56</v>
      </c>
      <c r="N180">
        <v>450</v>
      </c>
      <c r="O180">
        <v>1690.65</v>
      </c>
      <c r="P180">
        <v>659.39</v>
      </c>
      <c r="Q180">
        <v>0</v>
      </c>
      <c r="R180">
        <v>209.39</v>
      </c>
      <c r="S180">
        <v>209.39</v>
      </c>
      <c r="T180">
        <v>0</v>
      </c>
      <c r="U180">
        <v>284</v>
      </c>
      <c r="V180">
        <v>23.29</v>
      </c>
      <c r="W180">
        <v>16.100000000000001</v>
      </c>
      <c r="X180">
        <v>450</v>
      </c>
      <c r="Y180">
        <v>14686.15</v>
      </c>
      <c r="Z180">
        <v>0</v>
      </c>
      <c r="AA180" s="13" t="s">
        <v>3237</v>
      </c>
      <c r="AB180">
        <v>0</v>
      </c>
      <c r="AC180">
        <v>0</v>
      </c>
      <c r="AD180" s="13" t="s">
        <v>3238</v>
      </c>
    </row>
    <row r="181" spans="1:30" x14ac:dyDescent="0.35">
      <c r="A181">
        <v>180</v>
      </c>
      <c r="B181">
        <v>37</v>
      </c>
      <c r="C181" s="13" t="s">
        <v>1655</v>
      </c>
      <c r="D181" s="13" t="s">
        <v>1656</v>
      </c>
      <c r="E181" s="13" t="s">
        <v>104</v>
      </c>
      <c r="F181" s="13" t="s">
        <v>77</v>
      </c>
      <c r="G181" s="13" t="s">
        <v>55</v>
      </c>
      <c r="H181" s="13" t="s">
        <v>121</v>
      </c>
      <c r="I181" s="13" t="s">
        <v>122</v>
      </c>
      <c r="J181" s="13" t="s">
        <v>107</v>
      </c>
      <c r="K181" s="13" t="s">
        <v>95</v>
      </c>
      <c r="L181">
        <v>7984.12</v>
      </c>
      <c r="M181">
        <v>836.45</v>
      </c>
      <c r="N181">
        <v>0</v>
      </c>
      <c r="O181">
        <v>0</v>
      </c>
      <c r="P181">
        <v>209.11</v>
      </c>
      <c r="Q181">
        <v>0</v>
      </c>
      <c r="R181">
        <v>209.11</v>
      </c>
      <c r="S181">
        <v>209.11</v>
      </c>
      <c r="T181">
        <v>0</v>
      </c>
      <c r="U181">
        <v>6</v>
      </c>
      <c r="V181">
        <v>6.94</v>
      </c>
      <c r="W181">
        <v>15.3</v>
      </c>
      <c r="X181">
        <v>0</v>
      </c>
      <c r="Y181">
        <v>7984.12</v>
      </c>
      <c r="Z181">
        <v>0</v>
      </c>
      <c r="AA181" s="13" t="s">
        <v>3235</v>
      </c>
      <c r="AB181">
        <v>0</v>
      </c>
      <c r="AC181">
        <v>0</v>
      </c>
      <c r="AD181" s="13" t="s">
        <v>3236</v>
      </c>
    </row>
    <row r="182" spans="1:30" x14ac:dyDescent="0.35">
      <c r="A182">
        <v>181</v>
      </c>
      <c r="B182">
        <v>38</v>
      </c>
      <c r="C182" s="13" t="s">
        <v>1826</v>
      </c>
      <c r="D182" s="13" t="s">
        <v>1827</v>
      </c>
      <c r="E182" s="13" t="s">
        <v>104</v>
      </c>
      <c r="F182" s="13" t="s">
        <v>65</v>
      </c>
      <c r="G182" s="13" t="s">
        <v>67</v>
      </c>
      <c r="H182" s="13" t="s">
        <v>121</v>
      </c>
      <c r="I182" s="13" t="s">
        <v>122</v>
      </c>
      <c r="J182" s="13" t="s">
        <v>107</v>
      </c>
      <c r="K182" s="13" t="s">
        <v>95</v>
      </c>
      <c r="L182">
        <v>6816.73</v>
      </c>
      <c r="M182">
        <v>836.24</v>
      </c>
      <c r="N182">
        <v>0</v>
      </c>
      <c r="O182">
        <v>0</v>
      </c>
      <c r="P182">
        <v>209.06</v>
      </c>
      <c r="Q182">
        <v>0</v>
      </c>
      <c r="R182">
        <v>209.06</v>
      </c>
      <c r="S182">
        <v>209.06</v>
      </c>
      <c r="T182">
        <v>0</v>
      </c>
      <c r="U182">
        <v>3</v>
      </c>
      <c r="V182">
        <v>5.68</v>
      </c>
      <c r="W182">
        <v>7</v>
      </c>
      <c r="X182">
        <v>0</v>
      </c>
      <c r="Y182">
        <v>6816.73</v>
      </c>
      <c r="Z182">
        <v>0</v>
      </c>
      <c r="AA182" s="13" t="s">
        <v>3235</v>
      </c>
      <c r="AB182">
        <v>0</v>
      </c>
      <c r="AC182">
        <v>0</v>
      </c>
      <c r="AD182" s="13" t="s">
        <v>3236</v>
      </c>
    </row>
    <row r="183" spans="1:30" x14ac:dyDescent="0.35">
      <c r="A183">
        <v>182</v>
      </c>
      <c r="B183">
        <v>32</v>
      </c>
      <c r="C183" s="13" t="s">
        <v>590</v>
      </c>
      <c r="D183" s="13" t="s">
        <v>591</v>
      </c>
      <c r="E183" s="13" t="s">
        <v>52</v>
      </c>
      <c r="F183" s="13" t="s">
        <v>53</v>
      </c>
      <c r="G183" s="13" t="s">
        <v>67</v>
      </c>
      <c r="H183" s="13" t="s">
        <v>86</v>
      </c>
      <c r="I183" s="13" t="s">
        <v>87</v>
      </c>
      <c r="J183" s="13" t="s">
        <v>58</v>
      </c>
      <c r="K183" s="13" t="s">
        <v>88</v>
      </c>
      <c r="L183">
        <v>41598.559999999998</v>
      </c>
      <c r="M183">
        <v>827.05</v>
      </c>
      <c r="N183">
        <v>0</v>
      </c>
      <c r="O183">
        <v>2638.71</v>
      </c>
      <c r="P183">
        <v>206.76</v>
      </c>
      <c r="Q183">
        <v>0</v>
      </c>
      <c r="R183">
        <v>206.76</v>
      </c>
      <c r="S183">
        <v>206.76</v>
      </c>
      <c r="T183">
        <v>0</v>
      </c>
      <c r="U183">
        <v>30</v>
      </c>
      <c r="V183">
        <v>17.329999999999998</v>
      </c>
      <c r="W183">
        <v>5</v>
      </c>
      <c r="X183">
        <v>0</v>
      </c>
      <c r="Y183">
        <v>41598.559999999998</v>
      </c>
      <c r="Z183">
        <v>0</v>
      </c>
      <c r="AA183" s="13" t="s">
        <v>3237</v>
      </c>
      <c r="AB183">
        <v>0</v>
      </c>
      <c r="AC183">
        <v>0</v>
      </c>
      <c r="AD183" s="13" t="s">
        <v>3238</v>
      </c>
    </row>
    <row r="184" spans="1:30" x14ac:dyDescent="0.35">
      <c r="A184">
        <v>183</v>
      </c>
      <c r="B184">
        <v>18</v>
      </c>
      <c r="C184" s="13" t="s">
        <v>1553</v>
      </c>
      <c r="D184" s="13" t="s">
        <v>1554</v>
      </c>
      <c r="E184" s="13" t="s">
        <v>76</v>
      </c>
      <c r="F184" s="13" t="s">
        <v>53</v>
      </c>
      <c r="G184" s="13" t="s">
        <v>55</v>
      </c>
      <c r="H184" s="13" t="s">
        <v>79</v>
      </c>
      <c r="I184" s="13" t="s">
        <v>80</v>
      </c>
      <c r="J184" s="13" t="s">
        <v>81</v>
      </c>
      <c r="K184" s="13" t="s">
        <v>95</v>
      </c>
      <c r="L184">
        <v>17029.11</v>
      </c>
      <c r="M184">
        <v>816.28</v>
      </c>
      <c r="N184">
        <v>0</v>
      </c>
      <c r="O184">
        <v>4209.2299999999996</v>
      </c>
      <c r="P184">
        <v>204.07</v>
      </c>
      <c r="Q184">
        <v>0</v>
      </c>
      <c r="R184">
        <v>204.07</v>
      </c>
      <c r="S184">
        <v>204.07</v>
      </c>
      <c r="T184">
        <v>0</v>
      </c>
      <c r="U184">
        <v>10</v>
      </c>
      <c r="V184">
        <v>17.93</v>
      </c>
      <c r="W184">
        <v>11.8</v>
      </c>
      <c r="X184">
        <v>0</v>
      </c>
      <c r="Y184">
        <v>17029.11</v>
      </c>
      <c r="Z184">
        <v>0</v>
      </c>
      <c r="AA184" s="13" t="s">
        <v>3237</v>
      </c>
      <c r="AB184">
        <v>0</v>
      </c>
      <c r="AC184">
        <v>0</v>
      </c>
      <c r="AD184" s="13" t="s">
        <v>3238</v>
      </c>
    </row>
    <row r="185" spans="1:30" x14ac:dyDescent="0.35">
      <c r="A185">
        <v>184</v>
      </c>
      <c r="B185">
        <v>39</v>
      </c>
      <c r="C185" s="13" t="s">
        <v>879</v>
      </c>
      <c r="D185" s="13" t="s">
        <v>880</v>
      </c>
      <c r="E185" s="13" t="s">
        <v>104</v>
      </c>
      <c r="F185" s="13" t="s">
        <v>71</v>
      </c>
      <c r="G185" s="13" t="s">
        <v>67</v>
      </c>
      <c r="H185" s="13" t="s">
        <v>121</v>
      </c>
      <c r="I185" s="13" t="s">
        <v>122</v>
      </c>
      <c r="J185" s="13" t="s">
        <v>107</v>
      </c>
      <c r="K185" s="13" t="s">
        <v>88</v>
      </c>
      <c r="L185">
        <v>15439.14</v>
      </c>
      <c r="M185">
        <v>813.25</v>
      </c>
      <c r="N185">
        <v>0</v>
      </c>
      <c r="O185">
        <v>0</v>
      </c>
      <c r="P185">
        <v>203.31</v>
      </c>
      <c r="Q185">
        <v>0</v>
      </c>
      <c r="R185">
        <v>203.31</v>
      </c>
      <c r="S185">
        <v>203.31</v>
      </c>
      <c r="T185">
        <v>0</v>
      </c>
      <c r="U185">
        <v>5</v>
      </c>
      <c r="V185">
        <v>11.44</v>
      </c>
      <c r="W185">
        <v>6</v>
      </c>
      <c r="X185">
        <v>0</v>
      </c>
      <c r="Y185">
        <v>15439.14</v>
      </c>
      <c r="Z185">
        <v>0</v>
      </c>
      <c r="AA185" s="13" t="s">
        <v>3235</v>
      </c>
      <c r="AB185">
        <v>0</v>
      </c>
      <c r="AC185">
        <v>0</v>
      </c>
      <c r="AD185" s="13" t="s">
        <v>3236</v>
      </c>
    </row>
    <row r="186" spans="1:30" x14ac:dyDescent="0.35">
      <c r="A186">
        <v>185</v>
      </c>
      <c r="B186">
        <v>21</v>
      </c>
      <c r="C186" s="13" t="s">
        <v>1251</v>
      </c>
      <c r="D186" s="13" t="s">
        <v>1252</v>
      </c>
      <c r="E186" s="13" t="s">
        <v>76</v>
      </c>
      <c r="F186" s="13" t="s">
        <v>71</v>
      </c>
      <c r="G186" s="13" t="s">
        <v>92</v>
      </c>
      <c r="H186" s="13" t="s">
        <v>93</v>
      </c>
      <c r="I186" s="13" t="s">
        <v>94</v>
      </c>
      <c r="J186" s="13" t="s">
        <v>81</v>
      </c>
      <c r="K186" s="13" t="s">
        <v>95</v>
      </c>
      <c r="L186">
        <v>6422.48</v>
      </c>
      <c r="M186">
        <v>806.43</v>
      </c>
      <c r="N186">
        <v>0</v>
      </c>
      <c r="O186">
        <v>936.85</v>
      </c>
      <c r="P186">
        <v>201.61</v>
      </c>
      <c r="Q186">
        <v>0</v>
      </c>
      <c r="R186">
        <v>201.61</v>
      </c>
      <c r="S186">
        <v>201.61</v>
      </c>
      <c r="T186">
        <v>0</v>
      </c>
      <c r="U186">
        <v>19</v>
      </c>
      <c r="V186">
        <v>5.84</v>
      </c>
      <c r="W186">
        <v>22.4</v>
      </c>
      <c r="X186">
        <v>0</v>
      </c>
      <c r="Y186">
        <v>6422.48</v>
      </c>
      <c r="Z186">
        <v>0</v>
      </c>
      <c r="AA186" s="13" t="s">
        <v>3237</v>
      </c>
      <c r="AB186">
        <v>0</v>
      </c>
      <c r="AC186">
        <v>0</v>
      </c>
      <c r="AD186" s="13" t="s">
        <v>3238</v>
      </c>
    </row>
    <row r="187" spans="1:30" x14ac:dyDescent="0.35">
      <c r="A187">
        <v>186</v>
      </c>
      <c r="B187">
        <v>35</v>
      </c>
      <c r="C187" s="13" t="s">
        <v>726</v>
      </c>
      <c r="D187" s="13" t="s">
        <v>727</v>
      </c>
      <c r="E187" s="13" t="s">
        <v>104</v>
      </c>
      <c r="F187" s="13" t="s">
        <v>65</v>
      </c>
      <c r="G187" s="13" t="s">
        <v>55</v>
      </c>
      <c r="H187" s="13" t="s">
        <v>105</v>
      </c>
      <c r="I187" s="13" t="s">
        <v>106</v>
      </c>
      <c r="J187" s="13" t="s">
        <v>107</v>
      </c>
      <c r="K187" s="13" t="s">
        <v>95</v>
      </c>
      <c r="L187">
        <v>10030.73</v>
      </c>
      <c r="M187">
        <v>403.03</v>
      </c>
      <c r="N187">
        <v>0</v>
      </c>
      <c r="O187">
        <v>0</v>
      </c>
      <c r="P187">
        <v>201.52</v>
      </c>
      <c r="Q187">
        <v>0</v>
      </c>
      <c r="R187">
        <v>201.52</v>
      </c>
      <c r="S187">
        <v>201.52</v>
      </c>
      <c r="T187">
        <v>0</v>
      </c>
      <c r="U187">
        <v>46</v>
      </c>
      <c r="V187">
        <v>10.029999999999999</v>
      </c>
      <c r="W187">
        <v>13.7</v>
      </c>
      <c r="X187">
        <v>0</v>
      </c>
      <c r="Y187">
        <v>10030.73</v>
      </c>
      <c r="Z187">
        <v>0</v>
      </c>
      <c r="AA187" s="13" t="s">
        <v>3230</v>
      </c>
      <c r="AB187">
        <v>0</v>
      </c>
      <c r="AC187">
        <v>0</v>
      </c>
      <c r="AD187" s="13" t="s">
        <v>3231</v>
      </c>
    </row>
    <row r="188" spans="1:30" x14ac:dyDescent="0.35">
      <c r="A188">
        <v>187</v>
      </c>
      <c r="B188">
        <v>19</v>
      </c>
      <c r="C188" s="13" t="s">
        <v>116</v>
      </c>
      <c r="D188" s="13" t="s">
        <v>117</v>
      </c>
      <c r="E188" s="13" t="s">
        <v>76</v>
      </c>
      <c r="F188" s="13" t="s">
        <v>65</v>
      </c>
      <c r="G188" s="13" t="s">
        <v>67</v>
      </c>
      <c r="H188" s="13" t="s">
        <v>79</v>
      </c>
      <c r="I188" s="13" t="s">
        <v>80</v>
      </c>
      <c r="J188" s="13" t="s">
        <v>81</v>
      </c>
      <c r="K188" s="13" t="s">
        <v>82</v>
      </c>
      <c r="L188">
        <v>6558.94</v>
      </c>
      <c r="M188">
        <v>3571.66</v>
      </c>
      <c r="N188">
        <v>517.98</v>
      </c>
      <c r="O188">
        <v>3053.68</v>
      </c>
      <c r="P188">
        <v>1281.4000000000001</v>
      </c>
      <c r="Q188">
        <v>763.42</v>
      </c>
      <c r="R188">
        <v>201.22</v>
      </c>
      <c r="S188">
        <v>201.22</v>
      </c>
      <c r="T188">
        <v>0</v>
      </c>
      <c r="U188">
        <v>578</v>
      </c>
      <c r="V188">
        <v>7.72</v>
      </c>
      <c r="W188">
        <v>-19</v>
      </c>
      <c r="X188">
        <v>507.62</v>
      </c>
      <c r="Y188">
        <v>6051.32</v>
      </c>
      <c r="Z188">
        <v>0</v>
      </c>
      <c r="AA188" s="13" t="s">
        <v>3237</v>
      </c>
      <c r="AB188">
        <v>0</v>
      </c>
      <c r="AC188">
        <v>0</v>
      </c>
      <c r="AD188" s="13" t="s">
        <v>3238</v>
      </c>
    </row>
    <row r="189" spans="1:30" x14ac:dyDescent="0.35">
      <c r="A189">
        <v>188</v>
      </c>
      <c r="B189">
        <v>20</v>
      </c>
      <c r="C189" s="13" t="s">
        <v>890</v>
      </c>
      <c r="D189" s="13" t="s">
        <v>891</v>
      </c>
      <c r="E189" s="13" t="s">
        <v>76</v>
      </c>
      <c r="F189" s="13" t="s">
        <v>99</v>
      </c>
      <c r="G189" s="13" t="s">
        <v>67</v>
      </c>
      <c r="H189" s="13" t="s">
        <v>79</v>
      </c>
      <c r="I189" s="13" t="s">
        <v>80</v>
      </c>
      <c r="J189" s="13" t="s">
        <v>81</v>
      </c>
      <c r="K189" s="13" t="s">
        <v>95</v>
      </c>
      <c r="L189">
        <v>11569.58</v>
      </c>
      <c r="M189">
        <v>344.66</v>
      </c>
      <c r="N189">
        <v>0</v>
      </c>
      <c r="O189">
        <v>0</v>
      </c>
      <c r="P189">
        <v>172.33</v>
      </c>
      <c r="Q189">
        <v>0</v>
      </c>
      <c r="R189">
        <v>172.33</v>
      </c>
      <c r="S189">
        <v>172.33</v>
      </c>
      <c r="T189">
        <v>0</v>
      </c>
      <c r="U189">
        <v>34</v>
      </c>
      <c r="V189">
        <v>10.52</v>
      </c>
      <c r="W189">
        <v>8.4</v>
      </c>
      <c r="X189">
        <v>0</v>
      </c>
      <c r="Y189">
        <v>11569.58</v>
      </c>
      <c r="Z189">
        <v>0</v>
      </c>
      <c r="AA189" s="13" t="s">
        <v>3230</v>
      </c>
      <c r="AB189">
        <v>0</v>
      </c>
      <c r="AC189">
        <v>0</v>
      </c>
      <c r="AD189" s="13" t="s">
        <v>3231</v>
      </c>
    </row>
    <row r="190" spans="1:30" x14ac:dyDescent="0.35">
      <c r="A190">
        <v>189</v>
      </c>
      <c r="B190">
        <v>22</v>
      </c>
      <c r="C190" s="13" t="s">
        <v>1001</v>
      </c>
      <c r="D190" s="13" t="s">
        <v>1002</v>
      </c>
      <c r="E190" s="13" t="s">
        <v>76</v>
      </c>
      <c r="F190" s="13" t="s">
        <v>99</v>
      </c>
      <c r="G190" s="13" t="s">
        <v>55</v>
      </c>
      <c r="H190" s="13" t="s">
        <v>93</v>
      </c>
      <c r="I190" s="13" t="s">
        <v>94</v>
      </c>
      <c r="J190" s="13" t="s">
        <v>81</v>
      </c>
      <c r="K190" s="13" t="s">
        <v>95</v>
      </c>
      <c r="L190">
        <v>12082.57</v>
      </c>
      <c r="M190">
        <v>666.87</v>
      </c>
      <c r="N190">
        <v>0</v>
      </c>
      <c r="O190">
        <v>0</v>
      </c>
      <c r="P190">
        <v>166.72</v>
      </c>
      <c r="Q190">
        <v>0</v>
      </c>
      <c r="R190">
        <v>166.72</v>
      </c>
      <c r="S190">
        <v>166.72</v>
      </c>
      <c r="T190">
        <v>0</v>
      </c>
      <c r="U190">
        <v>28</v>
      </c>
      <c r="V190">
        <v>13.43</v>
      </c>
      <c r="W190">
        <v>11.5</v>
      </c>
      <c r="X190">
        <v>0</v>
      </c>
      <c r="Y190">
        <v>12082.57</v>
      </c>
      <c r="Z190">
        <v>0</v>
      </c>
      <c r="AA190" s="13" t="s">
        <v>3235</v>
      </c>
      <c r="AB190">
        <v>0</v>
      </c>
      <c r="AC190">
        <v>0</v>
      </c>
      <c r="AD190" s="13" t="s">
        <v>3236</v>
      </c>
    </row>
    <row r="191" spans="1:30" x14ac:dyDescent="0.35">
      <c r="A191">
        <v>190</v>
      </c>
      <c r="B191">
        <v>23</v>
      </c>
      <c r="C191" s="13" t="s">
        <v>97</v>
      </c>
      <c r="D191" s="13" t="s">
        <v>98</v>
      </c>
      <c r="E191" s="13" t="s">
        <v>76</v>
      </c>
      <c r="F191" s="13" t="s">
        <v>99</v>
      </c>
      <c r="G191" s="13" t="s">
        <v>67</v>
      </c>
      <c r="H191" s="13" t="s">
        <v>93</v>
      </c>
      <c r="I191" s="13" t="s">
        <v>94</v>
      </c>
      <c r="J191" s="13" t="s">
        <v>81</v>
      </c>
      <c r="K191" s="13" t="s">
        <v>82</v>
      </c>
      <c r="L191">
        <v>2847.25</v>
      </c>
      <c r="M191">
        <v>1339.14</v>
      </c>
      <c r="N191">
        <v>514.9</v>
      </c>
      <c r="O191">
        <v>824.24</v>
      </c>
      <c r="P191">
        <v>1133.08</v>
      </c>
      <c r="Q191">
        <v>618.17999999999995</v>
      </c>
      <c r="R191">
        <v>164.85</v>
      </c>
      <c r="S191">
        <v>164.85</v>
      </c>
      <c r="T191">
        <v>0</v>
      </c>
      <c r="U191">
        <v>629</v>
      </c>
      <c r="V191">
        <v>4.75</v>
      </c>
      <c r="W191">
        <v>-2.9</v>
      </c>
      <c r="X191">
        <v>504.6</v>
      </c>
      <c r="Y191">
        <v>2342.65</v>
      </c>
      <c r="Z191">
        <v>0</v>
      </c>
      <c r="AA191" s="13" t="s">
        <v>3237</v>
      </c>
      <c r="AB191">
        <v>0</v>
      </c>
      <c r="AC191">
        <v>0</v>
      </c>
      <c r="AD191" s="13" t="s">
        <v>3238</v>
      </c>
    </row>
    <row r="192" spans="1:30" x14ac:dyDescent="0.35">
      <c r="A192">
        <v>191</v>
      </c>
      <c r="B192">
        <v>24</v>
      </c>
      <c r="C192" s="13" t="s">
        <v>1304</v>
      </c>
      <c r="D192" s="13" t="s">
        <v>1305</v>
      </c>
      <c r="E192" s="13" t="s">
        <v>76</v>
      </c>
      <c r="F192" s="13" t="s">
        <v>65</v>
      </c>
      <c r="G192" s="13" t="s">
        <v>67</v>
      </c>
      <c r="H192" s="13" t="s">
        <v>93</v>
      </c>
      <c r="I192" s="13" t="s">
        <v>94</v>
      </c>
      <c r="J192" s="13" t="s">
        <v>81</v>
      </c>
      <c r="K192" s="13" t="s">
        <v>82</v>
      </c>
      <c r="L192">
        <v>1096.23</v>
      </c>
      <c r="M192">
        <v>637.64</v>
      </c>
      <c r="N192">
        <v>0</v>
      </c>
      <c r="O192">
        <v>0</v>
      </c>
      <c r="P192">
        <v>159.41</v>
      </c>
      <c r="Q192">
        <v>0</v>
      </c>
      <c r="R192">
        <v>159.41</v>
      </c>
      <c r="S192">
        <v>159.41</v>
      </c>
      <c r="T192">
        <v>0</v>
      </c>
      <c r="U192">
        <v>18</v>
      </c>
      <c r="V192">
        <v>1.04</v>
      </c>
      <c r="W192">
        <v>-12.8</v>
      </c>
      <c r="X192">
        <v>0</v>
      </c>
      <c r="Y192">
        <v>1096.23</v>
      </c>
      <c r="Z192">
        <v>0</v>
      </c>
      <c r="AA192" s="13" t="s">
        <v>3241</v>
      </c>
      <c r="AB192">
        <v>0</v>
      </c>
      <c r="AC192">
        <v>0</v>
      </c>
      <c r="AD192" s="13" t="s">
        <v>3242</v>
      </c>
    </row>
    <row r="193" spans="1:30" x14ac:dyDescent="0.35">
      <c r="A193">
        <v>192</v>
      </c>
      <c r="B193">
        <v>25</v>
      </c>
      <c r="C193" s="13" t="s">
        <v>1452</v>
      </c>
      <c r="D193" s="13" t="s">
        <v>1453</v>
      </c>
      <c r="E193" s="13" t="s">
        <v>76</v>
      </c>
      <c r="F193" s="13" t="s">
        <v>53</v>
      </c>
      <c r="G193" s="13" t="s">
        <v>92</v>
      </c>
      <c r="H193" s="13" t="s">
        <v>93</v>
      </c>
      <c r="I193" s="13" t="s">
        <v>94</v>
      </c>
      <c r="J193" s="13" t="s">
        <v>81</v>
      </c>
      <c r="K193" s="13" t="s">
        <v>95</v>
      </c>
      <c r="L193">
        <v>3681.62</v>
      </c>
      <c r="M193">
        <v>634.80999999999995</v>
      </c>
      <c r="N193">
        <v>0</v>
      </c>
      <c r="O193">
        <v>0</v>
      </c>
      <c r="P193">
        <v>158.69999999999999</v>
      </c>
      <c r="Q193">
        <v>0</v>
      </c>
      <c r="R193">
        <v>158.69999999999999</v>
      </c>
      <c r="S193">
        <v>158.69999999999999</v>
      </c>
      <c r="T193">
        <v>0</v>
      </c>
      <c r="U193">
        <v>13</v>
      </c>
      <c r="V193">
        <v>9.1999999999999993</v>
      </c>
      <c r="W193">
        <v>23.8</v>
      </c>
      <c r="X193">
        <v>0</v>
      </c>
      <c r="Y193">
        <v>3681.62</v>
      </c>
      <c r="Z193">
        <v>0</v>
      </c>
      <c r="AA193" s="13" t="s">
        <v>3235</v>
      </c>
      <c r="AB193">
        <v>0</v>
      </c>
      <c r="AC193">
        <v>0</v>
      </c>
      <c r="AD193" s="13" t="s">
        <v>3236</v>
      </c>
    </row>
    <row r="194" spans="1:30" x14ac:dyDescent="0.35">
      <c r="A194">
        <v>193</v>
      </c>
      <c r="B194">
        <v>26</v>
      </c>
      <c r="C194" s="13" t="s">
        <v>1336</v>
      </c>
      <c r="D194" s="13" t="s">
        <v>1337</v>
      </c>
      <c r="E194" s="13" t="s">
        <v>76</v>
      </c>
      <c r="F194" s="13" t="s">
        <v>99</v>
      </c>
      <c r="G194" s="13" t="s">
        <v>55</v>
      </c>
      <c r="H194" s="13" t="s">
        <v>93</v>
      </c>
      <c r="I194" s="13" t="s">
        <v>94</v>
      </c>
      <c r="J194" s="13" t="s">
        <v>81</v>
      </c>
      <c r="K194" s="13" t="s">
        <v>82</v>
      </c>
      <c r="L194">
        <v>4971.4399999999996</v>
      </c>
      <c r="M194">
        <v>2526.92</v>
      </c>
      <c r="N194">
        <v>0</v>
      </c>
      <c r="O194">
        <v>2526.92</v>
      </c>
      <c r="P194">
        <v>631.73</v>
      </c>
      <c r="Q194">
        <v>631.73</v>
      </c>
      <c r="R194">
        <v>157.93</v>
      </c>
      <c r="S194">
        <v>157.93</v>
      </c>
      <c r="T194">
        <v>0</v>
      </c>
      <c r="U194">
        <v>17</v>
      </c>
      <c r="V194">
        <v>7.1</v>
      </c>
      <c r="W194">
        <v>-5.2</v>
      </c>
      <c r="X194">
        <v>0</v>
      </c>
      <c r="Y194">
        <v>4971.4399999999996</v>
      </c>
      <c r="Z194">
        <v>0</v>
      </c>
      <c r="AA194" s="13" t="s">
        <v>3237</v>
      </c>
      <c r="AB194">
        <v>0</v>
      </c>
      <c r="AC194">
        <v>0</v>
      </c>
      <c r="AD194" s="13" t="s">
        <v>3238</v>
      </c>
    </row>
    <row r="195" spans="1:30" x14ac:dyDescent="0.35">
      <c r="A195">
        <v>194</v>
      </c>
      <c r="B195">
        <v>27</v>
      </c>
      <c r="C195" s="13" t="s">
        <v>1807</v>
      </c>
      <c r="D195" s="13" t="s">
        <v>1808</v>
      </c>
      <c r="E195" s="13" t="s">
        <v>76</v>
      </c>
      <c r="F195" s="13" t="s">
        <v>65</v>
      </c>
      <c r="G195" s="13" t="s">
        <v>55</v>
      </c>
      <c r="H195" s="13" t="s">
        <v>93</v>
      </c>
      <c r="I195" s="13" t="s">
        <v>94</v>
      </c>
      <c r="J195" s="13" t="s">
        <v>81</v>
      </c>
      <c r="K195" s="13" t="s">
        <v>95</v>
      </c>
      <c r="L195">
        <v>9255.17</v>
      </c>
      <c r="M195">
        <v>615.72</v>
      </c>
      <c r="N195">
        <v>0</v>
      </c>
      <c r="O195">
        <v>0</v>
      </c>
      <c r="P195">
        <v>153.93</v>
      </c>
      <c r="Q195">
        <v>0</v>
      </c>
      <c r="R195">
        <v>153.93</v>
      </c>
      <c r="S195">
        <v>153.93</v>
      </c>
      <c r="T195">
        <v>0</v>
      </c>
      <c r="U195">
        <v>3</v>
      </c>
      <c r="V195">
        <v>20.57</v>
      </c>
      <c r="W195">
        <v>12.4</v>
      </c>
      <c r="X195">
        <v>0</v>
      </c>
      <c r="Y195">
        <v>9255.17</v>
      </c>
      <c r="Z195">
        <v>0</v>
      </c>
      <c r="AA195" s="13" t="s">
        <v>3235</v>
      </c>
      <c r="AB195">
        <v>0</v>
      </c>
      <c r="AC195">
        <v>0</v>
      </c>
      <c r="AD195" s="13" t="s">
        <v>3236</v>
      </c>
    </row>
    <row r="196" spans="1:30" x14ac:dyDescent="0.35">
      <c r="A196">
        <v>195</v>
      </c>
      <c r="B196">
        <v>36</v>
      </c>
      <c r="C196" s="13" t="s">
        <v>722</v>
      </c>
      <c r="D196" s="13" t="s">
        <v>723</v>
      </c>
      <c r="E196" s="13" t="s">
        <v>104</v>
      </c>
      <c r="F196" s="13" t="s">
        <v>71</v>
      </c>
      <c r="G196" s="13" t="s">
        <v>67</v>
      </c>
      <c r="H196" s="13" t="s">
        <v>105</v>
      </c>
      <c r="I196" s="13" t="s">
        <v>106</v>
      </c>
      <c r="J196" s="13" t="s">
        <v>107</v>
      </c>
      <c r="K196" s="13" t="s">
        <v>88</v>
      </c>
      <c r="L196">
        <v>14348.08</v>
      </c>
      <c r="M196">
        <v>594.57000000000005</v>
      </c>
      <c r="N196">
        <v>0</v>
      </c>
      <c r="O196">
        <v>0</v>
      </c>
      <c r="P196">
        <v>148.63999999999999</v>
      </c>
      <c r="Q196">
        <v>0</v>
      </c>
      <c r="R196">
        <v>148.63999999999999</v>
      </c>
      <c r="S196">
        <v>148.63999999999999</v>
      </c>
      <c r="T196">
        <v>0</v>
      </c>
      <c r="U196">
        <v>16</v>
      </c>
      <c r="V196">
        <v>31.88</v>
      </c>
      <c r="W196">
        <v>8.1</v>
      </c>
      <c r="X196">
        <v>0</v>
      </c>
      <c r="Y196">
        <v>14348.08</v>
      </c>
      <c r="Z196">
        <v>0</v>
      </c>
      <c r="AA196" s="13" t="s">
        <v>3235</v>
      </c>
      <c r="AB196">
        <v>0</v>
      </c>
      <c r="AC196">
        <v>0</v>
      </c>
      <c r="AD196" s="13" t="s">
        <v>3236</v>
      </c>
    </row>
    <row r="197" spans="1:30" x14ac:dyDescent="0.35">
      <c r="A197">
        <v>196</v>
      </c>
      <c r="B197">
        <v>21</v>
      </c>
      <c r="C197" s="13" t="s">
        <v>256</v>
      </c>
      <c r="D197" s="13" t="s">
        <v>257</v>
      </c>
      <c r="E197" s="13" t="s">
        <v>76</v>
      </c>
      <c r="F197" s="13" t="s">
        <v>99</v>
      </c>
      <c r="G197" s="13" t="s">
        <v>55</v>
      </c>
      <c r="H197" s="13" t="s">
        <v>79</v>
      </c>
      <c r="I197" s="13" t="s">
        <v>80</v>
      </c>
      <c r="J197" s="13" t="s">
        <v>81</v>
      </c>
      <c r="K197" s="13" t="s">
        <v>95</v>
      </c>
      <c r="L197">
        <v>3324.65</v>
      </c>
      <c r="M197">
        <v>1054.76</v>
      </c>
      <c r="N197">
        <v>465.74</v>
      </c>
      <c r="O197">
        <v>0</v>
      </c>
      <c r="P197">
        <v>613</v>
      </c>
      <c r="Q197">
        <v>0</v>
      </c>
      <c r="R197">
        <v>147.26</v>
      </c>
      <c r="S197">
        <v>147.26</v>
      </c>
      <c r="T197">
        <v>0</v>
      </c>
      <c r="U197">
        <v>196</v>
      </c>
      <c r="V197">
        <v>13.3</v>
      </c>
      <c r="W197">
        <v>13.5</v>
      </c>
      <c r="X197">
        <v>465.74</v>
      </c>
      <c r="Y197">
        <v>2858.91</v>
      </c>
      <c r="Z197">
        <v>0</v>
      </c>
      <c r="AA197" s="13" t="s">
        <v>3232</v>
      </c>
      <c r="AB197">
        <v>0</v>
      </c>
      <c r="AC197">
        <v>0</v>
      </c>
      <c r="AD197" s="13" t="s">
        <v>3233</v>
      </c>
    </row>
    <row r="198" spans="1:30" x14ac:dyDescent="0.35">
      <c r="A198">
        <v>197</v>
      </c>
      <c r="B198">
        <v>37</v>
      </c>
      <c r="C198" s="13" t="s">
        <v>1055</v>
      </c>
      <c r="D198" s="13" t="s">
        <v>1056</v>
      </c>
      <c r="E198" s="13" t="s">
        <v>104</v>
      </c>
      <c r="F198" s="13" t="s">
        <v>71</v>
      </c>
      <c r="G198" s="13" t="s">
        <v>55</v>
      </c>
      <c r="H198" s="13" t="s">
        <v>105</v>
      </c>
      <c r="I198" s="13" t="s">
        <v>106</v>
      </c>
      <c r="J198" s="13" t="s">
        <v>107</v>
      </c>
      <c r="K198" s="13" t="s">
        <v>82</v>
      </c>
      <c r="L198">
        <v>14457.59</v>
      </c>
      <c r="M198">
        <v>2342.1</v>
      </c>
      <c r="N198">
        <v>0</v>
      </c>
      <c r="O198">
        <v>2342.1</v>
      </c>
      <c r="P198">
        <v>585.53</v>
      </c>
      <c r="Q198">
        <v>585.53</v>
      </c>
      <c r="R198">
        <v>146.38</v>
      </c>
      <c r="S198">
        <v>146.38</v>
      </c>
      <c r="T198">
        <v>0</v>
      </c>
      <c r="U198">
        <v>27</v>
      </c>
      <c r="V198">
        <v>19.28</v>
      </c>
      <c r="W198">
        <v>-4.2</v>
      </c>
      <c r="X198">
        <v>0</v>
      </c>
      <c r="Y198">
        <v>14457.59</v>
      </c>
      <c r="Z198">
        <v>0</v>
      </c>
      <c r="AA198" s="13" t="s">
        <v>3237</v>
      </c>
      <c r="AB198">
        <v>0</v>
      </c>
      <c r="AC198">
        <v>0</v>
      </c>
      <c r="AD198" s="13" t="s">
        <v>3238</v>
      </c>
    </row>
    <row r="199" spans="1:30" x14ac:dyDescent="0.35">
      <c r="A199">
        <v>198</v>
      </c>
      <c r="B199">
        <v>28</v>
      </c>
      <c r="C199" s="13" t="s">
        <v>90</v>
      </c>
      <c r="D199" s="13" t="s">
        <v>91</v>
      </c>
      <c r="E199" s="13" t="s">
        <v>76</v>
      </c>
      <c r="F199" s="13" t="s">
        <v>53</v>
      </c>
      <c r="G199" s="13" t="s">
        <v>92</v>
      </c>
      <c r="H199" s="13" t="s">
        <v>93</v>
      </c>
      <c r="I199" s="13" t="s">
        <v>94</v>
      </c>
      <c r="J199" s="13" t="s">
        <v>81</v>
      </c>
      <c r="K199" s="13" t="s">
        <v>95</v>
      </c>
      <c r="L199">
        <v>7879.38</v>
      </c>
      <c r="M199">
        <v>871.28</v>
      </c>
      <c r="N199">
        <v>302.94</v>
      </c>
      <c r="O199">
        <v>0</v>
      </c>
      <c r="P199">
        <v>445.03</v>
      </c>
      <c r="Q199">
        <v>0</v>
      </c>
      <c r="R199">
        <v>142.09</v>
      </c>
      <c r="S199">
        <v>142.09</v>
      </c>
      <c r="T199">
        <v>0</v>
      </c>
      <c r="U199">
        <v>648</v>
      </c>
      <c r="V199">
        <v>8.2899999999999991</v>
      </c>
      <c r="W199">
        <v>23.2</v>
      </c>
      <c r="X199">
        <v>302.94</v>
      </c>
      <c r="Y199">
        <v>7576.44</v>
      </c>
      <c r="Z199">
        <v>0</v>
      </c>
      <c r="AA199" s="13" t="s">
        <v>3228</v>
      </c>
      <c r="AB199">
        <v>0</v>
      </c>
      <c r="AC199">
        <v>1</v>
      </c>
      <c r="AD199" s="13" t="s">
        <v>3229</v>
      </c>
    </row>
    <row r="200" spans="1:30" x14ac:dyDescent="0.35">
      <c r="A200">
        <v>199</v>
      </c>
      <c r="B200">
        <v>37</v>
      </c>
      <c r="C200" s="13" t="s">
        <v>958</v>
      </c>
      <c r="D200" s="13" t="s">
        <v>959</v>
      </c>
      <c r="E200" s="13" t="s">
        <v>52</v>
      </c>
      <c r="F200" s="13" t="s">
        <v>99</v>
      </c>
      <c r="G200" s="13" t="s">
        <v>55</v>
      </c>
      <c r="H200" s="13" t="s">
        <v>56</v>
      </c>
      <c r="I200" s="13" t="s">
        <v>57</v>
      </c>
      <c r="J200" s="13" t="s">
        <v>58</v>
      </c>
      <c r="K200" s="13" t="s">
        <v>59</v>
      </c>
      <c r="L200">
        <v>43064.35</v>
      </c>
      <c r="M200">
        <v>2090.9499999999998</v>
      </c>
      <c r="N200">
        <v>0</v>
      </c>
      <c r="O200">
        <v>2090.9499999999998</v>
      </c>
      <c r="P200">
        <v>522.74</v>
      </c>
      <c r="Q200">
        <v>522.74</v>
      </c>
      <c r="R200">
        <v>130.69</v>
      </c>
      <c r="S200">
        <v>130.69</v>
      </c>
      <c r="T200">
        <v>0</v>
      </c>
      <c r="U200">
        <v>17</v>
      </c>
      <c r="V200">
        <v>15.95</v>
      </c>
      <c r="W200">
        <v>15.4</v>
      </c>
      <c r="X200">
        <v>0</v>
      </c>
      <c r="Y200">
        <v>43064.35</v>
      </c>
      <c r="Z200">
        <v>0</v>
      </c>
      <c r="AA200" s="13" t="s">
        <v>3237</v>
      </c>
      <c r="AB200">
        <v>0</v>
      </c>
      <c r="AC200">
        <v>0</v>
      </c>
      <c r="AD200" s="13" t="s">
        <v>3238</v>
      </c>
    </row>
    <row r="201" spans="1:30" x14ac:dyDescent="0.35">
      <c r="A201">
        <v>200</v>
      </c>
      <c r="B201">
        <v>40</v>
      </c>
      <c r="C201" s="13" t="s">
        <v>2193</v>
      </c>
      <c r="D201" s="13" t="s">
        <v>2194</v>
      </c>
      <c r="E201" s="13" t="s">
        <v>104</v>
      </c>
      <c r="F201" s="13" t="s">
        <v>99</v>
      </c>
      <c r="G201" s="13" t="s">
        <v>55</v>
      </c>
      <c r="H201" s="13" t="s">
        <v>121</v>
      </c>
      <c r="I201" s="13" t="s">
        <v>122</v>
      </c>
      <c r="J201" s="13" t="s">
        <v>107</v>
      </c>
      <c r="K201" s="13" t="s">
        <v>95</v>
      </c>
      <c r="L201">
        <v>4373.82</v>
      </c>
      <c r="M201">
        <v>1994.89</v>
      </c>
      <c r="N201">
        <v>0</v>
      </c>
      <c r="O201">
        <v>1994.89</v>
      </c>
      <c r="P201">
        <v>498.72</v>
      </c>
      <c r="Q201">
        <v>498.72</v>
      </c>
      <c r="R201">
        <v>124.68</v>
      </c>
      <c r="S201">
        <v>124.68</v>
      </c>
      <c r="T201">
        <v>0</v>
      </c>
      <c r="U201">
        <v>13</v>
      </c>
      <c r="V201">
        <v>9.7200000000000006</v>
      </c>
      <c r="W201">
        <v>18.899999999999999</v>
      </c>
      <c r="X201">
        <v>0</v>
      </c>
      <c r="Y201">
        <v>4373.82</v>
      </c>
      <c r="Z201">
        <v>0</v>
      </c>
      <c r="AA201" s="13" t="s">
        <v>3237</v>
      </c>
      <c r="AB201">
        <v>0</v>
      </c>
      <c r="AC201">
        <v>0</v>
      </c>
      <c r="AD201" s="13" t="s">
        <v>3238</v>
      </c>
    </row>
    <row r="202" spans="1:30" x14ac:dyDescent="0.35">
      <c r="A202">
        <v>201</v>
      </c>
      <c r="B202">
        <v>41</v>
      </c>
      <c r="C202" s="13" t="s">
        <v>971</v>
      </c>
      <c r="D202" s="13" t="s">
        <v>972</v>
      </c>
      <c r="E202" s="13" t="s">
        <v>104</v>
      </c>
      <c r="F202" s="13" t="s">
        <v>99</v>
      </c>
      <c r="G202" s="13" t="s">
        <v>55</v>
      </c>
      <c r="H202" s="13" t="s">
        <v>121</v>
      </c>
      <c r="I202" s="13" t="s">
        <v>122</v>
      </c>
      <c r="J202" s="13" t="s">
        <v>107</v>
      </c>
      <c r="K202" s="13" t="s">
        <v>95</v>
      </c>
      <c r="L202">
        <v>1961.72</v>
      </c>
      <c r="M202">
        <v>945.23</v>
      </c>
      <c r="N202">
        <v>0</v>
      </c>
      <c r="O202">
        <v>945.23</v>
      </c>
      <c r="P202">
        <v>472.62</v>
      </c>
      <c r="Q202">
        <v>472.62</v>
      </c>
      <c r="R202">
        <v>118.16</v>
      </c>
      <c r="S202">
        <v>118.16</v>
      </c>
      <c r="T202">
        <v>0</v>
      </c>
      <c r="U202">
        <v>31</v>
      </c>
      <c r="V202">
        <v>3.57</v>
      </c>
      <c r="W202">
        <v>15.7</v>
      </c>
      <c r="X202">
        <v>0</v>
      </c>
      <c r="Y202">
        <v>1961.72</v>
      </c>
      <c r="Z202">
        <v>0</v>
      </c>
      <c r="AA202" s="13" t="s">
        <v>3237</v>
      </c>
      <c r="AB202">
        <v>0</v>
      </c>
      <c r="AC202">
        <v>0</v>
      </c>
      <c r="AD202" s="13" t="s">
        <v>3238</v>
      </c>
    </row>
    <row r="203" spans="1:30" x14ac:dyDescent="0.35">
      <c r="A203">
        <v>202</v>
      </c>
      <c r="B203">
        <v>22</v>
      </c>
      <c r="C203" s="13" t="s">
        <v>1627</v>
      </c>
      <c r="D203" s="13" t="s">
        <v>1628</v>
      </c>
      <c r="E203" s="13" t="s">
        <v>76</v>
      </c>
      <c r="F203" s="13" t="s">
        <v>99</v>
      </c>
      <c r="G203" s="13" t="s">
        <v>55</v>
      </c>
      <c r="H203" s="13" t="s">
        <v>79</v>
      </c>
      <c r="I203" s="13" t="s">
        <v>80</v>
      </c>
      <c r="J203" s="13" t="s">
        <v>81</v>
      </c>
      <c r="K203" s="13" t="s">
        <v>95</v>
      </c>
      <c r="L203">
        <v>1359.35</v>
      </c>
      <c r="M203">
        <v>472.56</v>
      </c>
      <c r="N203">
        <v>0</v>
      </c>
      <c r="O203">
        <v>0</v>
      </c>
      <c r="P203">
        <v>118.14</v>
      </c>
      <c r="Q203">
        <v>0</v>
      </c>
      <c r="R203">
        <v>118.14</v>
      </c>
      <c r="S203">
        <v>118.14</v>
      </c>
      <c r="T203">
        <v>0</v>
      </c>
      <c r="U203">
        <v>7</v>
      </c>
      <c r="V203">
        <v>3.02</v>
      </c>
      <c r="W203">
        <v>13.1</v>
      </c>
      <c r="X203">
        <v>0</v>
      </c>
      <c r="Y203">
        <v>1359.35</v>
      </c>
      <c r="Z203">
        <v>0</v>
      </c>
      <c r="AA203" s="13" t="s">
        <v>3235</v>
      </c>
      <c r="AB203">
        <v>0</v>
      </c>
      <c r="AC203">
        <v>0</v>
      </c>
      <c r="AD203" s="13" t="s">
        <v>3236</v>
      </c>
    </row>
    <row r="204" spans="1:30" x14ac:dyDescent="0.35">
      <c r="A204">
        <v>203</v>
      </c>
      <c r="B204">
        <v>23</v>
      </c>
      <c r="C204" s="13" t="s">
        <v>1644</v>
      </c>
      <c r="D204" s="13" t="s">
        <v>1645</v>
      </c>
      <c r="E204" s="13" t="s">
        <v>76</v>
      </c>
      <c r="F204" s="13" t="s">
        <v>77</v>
      </c>
      <c r="G204" s="13" t="s">
        <v>55</v>
      </c>
      <c r="H204" s="13" t="s">
        <v>79</v>
      </c>
      <c r="I204" s="13" t="s">
        <v>80</v>
      </c>
      <c r="J204" s="13" t="s">
        <v>81</v>
      </c>
      <c r="K204" s="13" t="s">
        <v>82</v>
      </c>
      <c r="L204">
        <v>3854.57</v>
      </c>
      <c r="M204">
        <v>461.63</v>
      </c>
      <c r="N204">
        <v>0</v>
      </c>
      <c r="O204">
        <v>0</v>
      </c>
      <c r="P204">
        <v>115.41</v>
      </c>
      <c r="Q204">
        <v>0</v>
      </c>
      <c r="R204">
        <v>115.41</v>
      </c>
      <c r="S204">
        <v>115.41</v>
      </c>
      <c r="T204">
        <v>0</v>
      </c>
      <c r="U204">
        <v>6</v>
      </c>
      <c r="V204">
        <v>4.53</v>
      </c>
      <c r="W204">
        <v>-0.6</v>
      </c>
      <c r="X204">
        <v>0</v>
      </c>
      <c r="Y204">
        <v>3854.57</v>
      </c>
      <c r="Z204">
        <v>0</v>
      </c>
      <c r="AA204" s="13" t="s">
        <v>3241</v>
      </c>
      <c r="AB204">
        <v>0</v>
      </c>
      <c r="AC204">
        <v>0</v>
      </c>
      <c r="AD204" s="13" t="s">
        <v>3242</v>
      </c>
    </row>
    <row r="205" spans="1:30" x14ac:dyDescent="0.35">
      <c r="A205">
        <v>204</v>
      </c>
      <c r="B205">
        <v>33</v>
      </c>
      <c r="C205" s="13" t="s">
        <v>673</v>
      </c>
      <c r="D205" s="13" t="s">
        <v>674</v>
      </c>
      <c r="E205" s="13" t="s">
        <v>52</v>
      </c>
      <c r="F205" s="13" t="s">
        <v>77</v>
      </c>
      <c r="G205" s="13" t="s">
        <v>67</v>
      </c>
      <c r="H205" s="13" t="s">
        <v>86</v>
      </c>
      <c r="I205" s="13" t="s">
        <v>87</v>
      </c>
      <c r="J205" s="13" t="s">
        <v>58</v>
      </c>
      <c r="K205" s="13" t="s">
        <v>88</v>
      </c>
      <c r="L205">
        <v>22154.77</v>
      </c>
      <c r="M205">
        <v>1736.21</v>
      </c>
      <c r="N205">
        <v>0</v>
      </c>
      <c r="O205">
        <v>1736.21</v>
      </c>
      <c r="P205">
        <v>434.05</v>
      </c>
      <c r="Q205">
        <v>434.05</v>
      </c>
      <c r="R205">
        <v>108.51</v>
      </c>
      <c r="S205">
        <v>108.51</v>
      </c>
      <c r="T205">
        <v>0</v>
      </c>
      <c r="U205">
        <v>19</v>
      </c>
      <c r="V205">
        <v>8.06</v>
      </c>
      <c r="W205">
        <v>7.6</v>
      </c>
      <c r="X205">
        <v>0</v>
      </c>
      <c r="Y205">
        <v>22154.77</v>
      </c>
      <c r="Z205">
        <v>0</v>
      </c>
      <c r="AA205" s="13" t="s">
        <v>3237</v>
      </c>
      <c r="AB205">
        <v>0</v>
      </c>
      <c r="AC205">
        <v>0</v>
      </c>
      <c r="AD205" s="13" t="s">
        <v>3238</v>
      </c>
    </row>
    <row r="206" spans="1:30" x14ac:dyDescent="0.35">
      <c r="A206">
        <v>205</v>
      </c>
      <c r="B206">
        <v>38</v>
      </c>
      <c r="C206" s="13" t="s">
        <v>596</v>
      </c>
      <c r="D206" s="13" t="s">
        <v>597</v>
      </c>
      <c r="E206" s="13" t="s">
        <v>126</v>
      </c>
      <c r="F206" s="13" t="s">
        <v>65</v>
      </c>
      <c r="G206" s="13" t="s">
        <v>67</v>
      </c>
      <c r="H206" s="13" t="s">
        <v>56</v>
      </c>
      <c r="I206" s="13" t="s">
        <v>57</v>
      </c>
      <c r="J206" s="13" t="s">
        <v>58</v>
      </c>
      <c r="K206" s="13" t="s">
        <v>88</v>
      </c>
      <c r="L206">
        <v>16621.93</v>
      </c>
      <c r="M206">
        <v>420.12</v>
      </c>
      <c r="N206">
        <v>0</v>
      </c>
      <c r="O206">
        <v>0</v>
      </c>
      <c r="P206">
        <v>105.03</v>
      </c>
      <c r="Q206">
        <v>0</v>
      </c>
      <c r="R206">
        <v>105.03</v>
      </c>
      <c r="S206">
        <v>105.03</v>
      </c>
      <c r="T206">
        <v>0</v>
      </c>
      <c r="U206">
        <v>29</v>
      </c>
      <c r="V206">
        <v>10.07</v>
      </c>
      <c r="W206">
        <v>18.3</v>
      </c>
      <c r="X206">
        <v>0</v>
      </c>
      <c r="Y206">
        <v>16621.93</v>
      </c>
      <c r="Z206">
        <v>0</v>
      </c>
      <c r="AA206" s="13" t="s">
        <v>3235</v>
      </c>
      <c r="AB206">
        <v>0</v>
      </c>
      <c r="AC206">
        <v>0</v>
      </c>
      <c r="AD206" s="13" t="s">
        <v>3236</v>
      </c>
    </row>
    <row r="207" spans="1:30" x14ac:dyDescent="0.35">
      <c r="A207">
        <v>206</v>
      </c>
      <c r="B207">
        <v>47</v>
      </c>
      <c r="C207" s="13" t="s">
        <v>193</v>
      </c>
      <c r="D207" s="13" t="s">
        <v>194</v>
      </c>
      <c r="E207" s="13" t="s">
        <v>104</v>
      </c>
      <c r="F207" s="13" t="s">
        <v>99</v>
      </c>
      <c r="G207" s="13" t="s">
        <v>67</v>
      </c>
      <c r="H207" s="13" t="s">
        <v>121</v>
      </c>
      <c r="I207" s="13" t="s">
        <v>122</v>
      </c>
      <c r="J207" s="13" t="s">
        <v>107</v>
      </c>
      <c r="K207" s="13" t="s">
        <v>82</v>
      </c>
      <c r="L207">
        <v>7599.96</v>
      </c>
      <c r="M207">
        <v>4939.05</v>
      </c>
      <c r="N207">
        <v>4939.05</v>
      </c>
      <c r="O207">
        <v>0</v>
      </c>
      <c r="P207">
        <v>4939.05</v>
      </c>
      <c r="Q207">
        <v>0</v>
      </c>
      <c r="R207">
        <v>98.78</v>
      </c>
      <c r="S207">
        <v>98.78</v>
      </c>
      <c r="T207">
        <v>0</v>
      </c>
      <c r="U207">
        <v>371</v>
      </c>
      <c r="V207">
        <v>5.24</v>
      </c>
      <c r="W207">
        <v>-8.1</v>
      </c>
      <c r="X207">
        <v>4840.2700000000004</v>
      </c>
      <c r="Y207">
        <v>2759.69</v>
      </c>
      <c r="Z207">
        <v>0</v>
      </c>
      <c r="AA207" s="13" t="s">
        <v>3239</v>
      </c>
      <c r="AB207">
        <v>0</v>
      </c>
      <c r="AC207">
        <v>0</v>
      </c>
      <c r="AD207" s="13" t="s">
        <v>3240</v>
      </c>
    </row>
    <row r="208" spans="1:30" x14ac:dyDescent="0.35">
      <c r="A208">
        <v>207</v>
      </c>
      <c r="B208">
        <v>24</v>
      </c>
      <c r="C208" s="13" t="s">
        <v>1581</v>
      </c>
      <c r="D208" s="13" t="s">
        <v>1582</v>
      </c>
      <c r="E208" s="13" t="s">
        <v>76</v>
      </c>
      <c r="F208" s="13" t="s">
        <v>53</v>
      </c>
      <c r="G208" s="13" t="s">
        <v>55</v>
      </c>
      <c r="H208" s="13" t="s">
        <v>79</v>
      </c>
      <c r="I208" s="13" t="s">
        <v>80</v>
      </c>
      <c r="J208" s="13" t="s">
        <v>81</v>
      </c>
      <c r="K208" s="13" t="s">
        <v>95</v>
      </c>
      <c r="L208">
        <v>5667.19</v>
      </c>
      <c r="M208">
        <v>352.21</v>
      </c>
      <c r="N208">
        <v>0</v>
      </c>
      <c r="O208">
        <v>0</v>
      </c>
      <c r="P208">
        <v>88.05</v>
      </c>
      <c r="Q208">
        <v>0</v>
      </c>
      <c r="R208">
        <v>88.05</v>
      </c>
      <c r="S208">
        <v>88.05</v>
      </c>
      <c r="T208">
        <v>0</v>
      </c>
      <c r="U208">
        <v>10</v>
      </c>
      <c r="V208">
        <v>8.7200000000000006</v>
      </c>
      <c r="W208">
        <v>11.1</v>
      </c>
      <c r="X208">
        <v>0</v>
      </c>
      <c r="Y208">
        <v>5667.19</v>
      </c>
      <c r="Z208">
        <v>0</v>
      </c>
      <c r="AA208" s="13" t="s">
        <v>3235</v>
      </c>
      <c r="AB208">
        <v>0</v>
      </c>
      <c r="AC208">
        <v>0</v>
      </c>
      <c r="AD208" s="13" t="s">
        <v>3236</v>
      </c>
    </row>
    <row r="209" spans="1:30" x14ac:dyDescent="0.35">
      <c r="A209">
        <v>208</v>
      </c>
      <c r="B209">
        <v>29</v>
      </c>
      <c r="C209" s="13" t="s">
        <v>1523</v>
      </c>
      <c r="D209" s="13" t="s">
        <v>1524</v>
      </c>
      <c r="E209" s="13" t="s">
        <v>76</v>
      </c>
      <c r="F209" s="13" t="s">
        <v>65</v>
      </c>
      <c r="G209" s="13" t="s">
        <v>55</v>
      </c>
      <c r="H209" s="13" t="s">
        <v>93</v>
      </c>
      <c r="I209" s="13" t="s">
        <v>94</v>
      </c>
      <c r="J209" s="13" t="s">
        <v>81</v>
      </c>
      <c r="K209" s="13" t="s">
        <v>95</v>
      </c>
      <c r="L209">
        <v>18123.560000000001</v>
      </c>
      <c r="M209">
        <v>349.75</v>
      </c>
      <c r="N209">
        <v>0</v>
      </c>
      <c r="O209">
        <v>0</v>
      </c>
      <c r="P209">
        <v>87.44</v>
      </c>
      <c r="Q209">
        <v>0</v>
      </c>
      <c r="R209">
        <v>87.44</v>
      </c>
      <c r="S209">
        <v>87.44</v>
      </c>
      <c r="T209">
        <v>0</v>
      </c>
      <c r="U209">
        <v>11</v>
      </c>
      <c r="V209">
        <v>15.76</v>
      </c>
      <c r="W209">
        <v>12.1</v>
      </c>
      <c r="X209">
        <v>0</v>
      </c>
      <c r="Y209">
        <v>18123.560000000001</v>
      </c>
      <c r="Z209">
        <v>0</v>
      </c>
      <c r="AA209" s="13" t="s">
        <v>3235</v>
      </c>
      <c r="AB209">
        <v>0</v>
      </c>
      <c r="AC209">
        <v>0</v>
      </c>
      <c r="AD209" s="13" t="s">
        <v>3236</v>
      </c>
    </row>
    <row r="210" spans="1:30" x14ac:dyDescent="0.35">
      <c r="A210">
        <v>209</v>
      </c>
      <c r="B210">
        <v>25</v>
      </c>
      <c r="C210" s="13" t="s">
        <v>1589</v>
      </c>
      <c r="D210" s="13" t="s">
        <v>1590</v>
      </c>
      <c r="E210" s="13" t="s">
        <v>76</v>
      </c>
      <c r="F210" s="13" t="s">
        <v>99</v>
      </c>
      <c r="G210" s="13" t="s">
        <v>67</v>
      </c>
      <c r="H210" s="13" t="s">
        <v>79</v>
      </c>
      <c r="I210" s="13" t="s">
        <v>80</v>
      </c>
      <c r="J210" s="13" t="s">
        <v>81</v>
      </c>
      <c r="K210" s="13" t="s">
        <v>95</v>
      </c>
      <c r="L210">
        <v>5505.04</v>
      </c>
      <c r="M210">
        <v>1354.03</v>
      </c>
      <c r="N210">
        <v>0</v>
      </c>
      <c r="O210">
        <v>1354.03</v>
      </c>
      <c r="P210">
        <v>338.51</v>
      </c>
      <c r="Q210">
        <v>338.51</v>
      </c>
      <c r="R210">
        <v>84.63</v>
      </c>
      <c r="S210">
        <v>84.63</v>
      </c>
      <c r="T210">
        <v>0</v>
      </c>
      <c r="U210">
        <v>10</v>
      </c>
      <c r="V210">
        <v>13.76</v>
      </c>
      <c r="W210">
        <v>11.1</v>
      </c>
      <c r="X210">
        <v>0</v>
      </c>
      <c r="Y210">
        <v>5505.04</v>
      </c>
      <c r="Z210">
        <v>0</v>
      </c>
      <c r="AA210" s="13" t="s">
        <v>3237</v>
      </c>
      <c r="AB210">
        <v>0</v>
      </c>
      <c r="AC210">
        <v>0</v>
      </c>
      <c r="AD210" s="13" t="s">
        <v>3238</v>
      </c>
    </row>
    <row r="211" spans="1:30" x14ac:dyDescent="0.35">
      <c r="A211">
        <v>210</v>
      </c>
      <c r="B211">
        <v>42</v>
      </c>
      <c r="C211" s="13" t="s">
        <v>1507</v>
      </c>
      <c r="D211" s="13" t="s">
        <v>1508</v>
      </c>
      <c r="E211" s="13" t="s">
        <v>104</v>
      </c>
      <c r="F211" s="13" t="s">
        <v>77</v>
      </c>
      <c r="G211" s="13" t="s">
        <v>67</v>
      </c>
      <c r="H211" s="13" t="s">
        <v>121</v>
      </c>
      <c r="I211" s="13" t="s">
        <v>122</v>
      </c>
      <c r="J211" s="13" t="s">
        <v>107</v>
      </c>
      <c r="K211" s="13" t="s">
        <v>82</v>
      </c>
      <c r="L211">
        <v>4392.29</v>
      </c>
      <c r="M211">
        <v>335.48</v>
      </c>
      <c r="N211">
        <v>0</v>
      </c>
      <c r="O211">
        <v>0</v>
      </c>
      <c r="P211">
        <v>83.87</v>
      </c>
      <c r="Q211">
        <v>0</v>
      </c>
      <c r="R211">
        <v>83.87</v>
      </c>
      <c r="S211">
        <v>83.87</v>
      </c>
      <c r="T211">
        <v>0</v>
      </c>
      <c r="U211">
        <v>11</v>
      </c>
      <c r="V211">
        <v>3.14</v>
      </c>
      <c r="W211">
        <v>-14.5</v>
      </c>
      <c r="X211">
        <v>0</v>
      </c>
      <c r="Y211">
        <v>4392.29</v>
      </c>
      <c r="Z211">
        <v>0</v>
      </c>
      <c r="AA211" s="13" t="s">
        <v>3241</v>
      </c>
      <c r="AB211">
        <v>0</v>
      </c>
      <c r="AC211">
        <v>0</v>
      </c>
      <c r="AD211" s="13" t="s">
        <v>3242</v>
      </c>
    </row>
    <row r="212" spans="1:30" x14ac:dyDescent="0.35">
      <c r="A212">
        <v>211</v>
      </c>
      <c r="B212">
        <v>48</v>
      </c>
      <c r="C212" s="13" t="s">
        <v>133</v>
      </c>
      <c r="D212" s="13" t="s">
        <v>134</v>
      </c>
      <c r="E212" s="13" t="s">
        <v>104</v>
      </c>
      <c r="F212" s="13" t="s">
        <v>53</v>
      </c>
      <c r="G212" s="13" t="s">
        <v>67</v>
      </c>
      <c r="H212" s="13" t="s">
        <v>121</v>
      </c>
      <c r="I212" s="13" t="s">
        <v>122</v>
      </c>
      <c r="J212" s="13" t="s">
        <v>107</v>
      </c>
      <c r="K212" s="13" t="s">
        <v>82</v>
      </c>
      <c r="L212">
        <v>1926.19</v>
      </c>
      <c r="M212">
        <v>930.63</v>
      </c>
      <c r="N212">
        <v>930.63</v>
      </c>
      <c r="O212">
        <v>0</v>
      </c>
      <c r="P212">
        <v>930.63</v>
      </c>
      <c r="Q212">
        <v>0</v>
      </c>
      <c r="R212">
        <v>18.61</v>
      </c>
      <c r="S212">
        <v>18.61</v>
      </c>
      <c r="T212">
        <v>0</v>
      </c>
      <c r="U212">
        <v>535</v>
      </c>
      <c r="V212">
        <v>2.0299999999999998</v>
      </c>
      <c r="W212">
        <v>-14.2</v>
      </c>
      <c r="X212">
        <v>912.02</v>
      </c>
      <c r="Y212">
        <v>1014.17</v>
      </c>
      <c r="Z212">
        <v>0</v>
      </c>
      <c r="AA212" s="13" t="s">
        <v>3239</v>
      </c>
      <c r="AB212">
        <v>0</v>
      </c>
      <c r="AC212">
        <v>0</v>
      </c>
      <c r="AD212" s="13" t="s">
        <v>3240</v>
      </c>
    </row>
    <row r="213" spans="1:30" x14ac:dyDescent="0.35">
      <c r="A213">
        <v>212</v>
      </c>
      <c r="B213">
        <v>38</v>
      </c>
      <c r="C213" s="13" t="s">
        <v>688</v>
      </c>
      <c r="D213" s="13" t="s">
        <v>689</v>
      </c>
      <c r="E213" s="13" t="s">
        <v>104</v>
      </c>
      <c r="F213" s="13" t="s">
        <v>99</v>
      </c>
      <c r="G213" s="13" t="s">
        <v>67</v>
      </c>
      <c r="H213" s="13" t="s">
        <v>105</v>
      </c>
      <c r="I213" s="13" t="s">
        <v>106</v>
      </c>
      <c r="J213" s="13" t="s">
        <v>107</v>
      </c>
      <c r="K213" s="13" t="s">
        <v>95</v>
      </c>
      <c r="L213">
        <v>6621.13</v>
      </c>
      <c r="M213">
        <v>5821.01</v>
      </c>
      <c r="N213">
        <v>0</v>
      </c>
      <c r="O213">
        <v>800.12</v>
      </c>
      <c r="P213">
        <v>2495.77</v>
      </c>
      <c r="Q213">
        <v>0</v>
      </c>
      <c r="R213">
        <v>18.07</v>
      </c>
      <c r="S213">
        <v>18.07</v>
      </c>
      <c r="T213">
        <v>0</v>
      </c>
      <c r="U213">
        <v>48</v>
      </c>
      <c r="V213">
        <v>4.7300000000000004</v>
      </c>
      <c r="W213">
        <v>8.4</v>
      </c>
      <c r="X213">
        <v>2477.6999999999998</v>
      </c>
      <c r="Y213">
        <v>4143.43</v>
      </c>
      <c r="Z213">
        <v>0</v>
      </c>
      <c r="AA213" s="13" t="s">
        <v>3230</v>
      </c>
      <c r="AB213">
        <v>0</v>
      </c>
      <c r="AC213">
        <v>0</v>
      </c>
      <c r="AD213" s="13" t="s">
        <v>3231</v>
      </c>
    </row>
    <row r="214" spans="1:30" x14ac:dyDescent="0.35">
      <c r="A214">
        <v>213</v>
      </c>
      <c r="B214">
        <v>33</v>
      </c>
      <c r="C214" s="13" t="s">
        <v>232</v>
      </c>
      <c r="D214" s="13" t="s">
        <v>233</v>
      </c>
      <c r="E214" s="13" t="s">
        <v>76</v>
      </c>
      <c r="F214" s="13" t="s">
        <v>65</v>
      </c>
      <c r="G214" s="13" t="s">
        <v>55</v>
      </c>
      <c r="H214" s="13" t="s">
        <v>93</v>
      </c>
      <c r="I214" s="13" t="s">
        <v>94</v>
      </c>
      <c r="J214" s="13" t="s">
        <v>81</v>
      </c>
      <c r="K214" s="13" t="s">
        <v>82</v>
      </c>
      <c r="L214">
        <v>9406.4</v>
      </c>
      <c r="M214">
        <v>902.13</v>
      </c>
      <c r="N214">
        <v>902.13</v>
      </c>
      <c r="O214">
        <v>0</v>
      </c>
      <c r="P214">
        <v>902.13</v>
      </c>
      <c r="Q214">
        <v>0</v>
      </c>
      <c r="R214">
        <v>18.04</v>
      </c>
      <c r="S214">
        <v>18.04</v>
      </c>
      <c r="T214">
        <v>0</v>
      </c>
      <c r="U214">
        <v>264</v>
      </c>
      <c r="V214">
        <v>10.45</v>
      </c>
      <c r="W214">
        <v>-5.6</v>
      </c>
      <c r="X214">
        <v>884.09</v>
      </c>
      <c r="Y214">
        <v>8522.31</v>
      </c>
      <c r="Z214">
        <v>0</v>
      </c>
      <c r="AA214" s="13" t="s">
        <v>3239</v>
      </c>
      <c r="AB214">
        <v>0</v>
      </c>
      <c r="AC214">
        <v>0</v>
      </c>
      <c r="AD214" s="13" t="s">
        <v>3240</v>
      </c>
    </row>
    <row r="215" spans="1:30" x14ac:dyDescent="0.35">
      <c r="A215">
        <v>214</v>
      </c>
      <c r="B215">
        <v>26</v>
      </c>
      <c r="C215" s="13" t="s">
        <v>74</v>
      </c>
      <c r="D215" s="13" t="s">
        <v>75</v>
      </c>
      <c r="E215" s="13" t="s">
        <v>76</v>
      </c>
      <c r="F215" s="13" t="s">
        <v>77</v>
      </c>
      <c r="G215" s="13" t="s">
        <v>67</v>
      </c>
      <c r="H215" s="13" t="s">
        <v>79</v>
      </c>
      <c r="I215" s="13" t="s">
        <v>80</v>
      </c>
      <c r="J215" s="13" t="s">
        <v>81</v>
      </c>
      <c r="K215" s="13" t="s">
        <v>82</v>
      </c>
      <c r="L215">
        <v>4212.75</v>
      </c>
      <c r="M215">
        <v>4212.75</v>
      </c>
      <c r="N215">
        <v>4212.75</v>
      </c>
      <c r="O215">
        <v>0</v>
      </c>
      <c r="P215">
        <v>4212.75</v>
      </c>
      <c r="Q215">
        <v>0</v>
      </c>
      <c r="R215">
        <v>10.3</v>
      </c>
      <c r="S215">
        <v>10.3</v>
      </c>
      <c r="T215">
        <v>0</v>
      </c>
      <c r="U215">
        <v>655</v>
      </c>
      <c r="V215">
        <v>5.62</v>
      </c>
      <c r="W215">
        <v>-13.6</v>
      </c>
      <c r="X215">
        <v>4202.45</v>
      </c>
      <c r="Y215">
        <v>10.3</v>
      </c>
      <c r="Z215">
        <v>0</v>
      </c>
      <c r="AA215" s="13" t="s">
        <v>3239</v>
      </c>
      <c r="AB215">
        <v>0</v>
      </c>
      <c r="AC215">
        <v>0</v>
      </c>
      <c r="AD215" s="13" t="s">
        <v>3240</v>
      </c>
    </row>
    <row r="216" spans="1:30" x14ac:dyDescent="0.35">
      <c r="A216">
        <v>215</v>
      </c>
      <c r="B216">
        <v>41</v>
      </c>
      <c r="C216" s="13" t="s">
        <v>113</v>
      </c>
      <c r="D216" s="13" t="s">
        <v>114</v>
      </c>
      <c r="E216" s="13" t="s">
        <v>52</v>
      </c>
      <c r="F216" s="13" t="s">
        <v>77</v>
      </c>
      <c r="G216" s="13" t="s">
        <v>92</v>
      </c>
      <c r="H216" s="13" t="s">
        <v>86</v>
      </c>
      <c r="I216" s="13" t="s">
        <v>87</v>
      </c>
      <c r="J216" s="13" t="s">
        <v>58</v>
      </c>
      <c r="K216" s="13" t="s">
        <v>88</v>
      </c>
      <c r="L216">
        <v>178177.24</v>
      </c>
      <c r="M216">
        <v>44915.29</v>
      </c>
      <c r="N216">
        <v>6803.73</v>
      </c>
      <c r="O216">
        <v>2947.38</v>
      </c>
      <c r="P216">
        <v>20277.18</v>
      </c>
      <c r="Q216">
        <v>736.85</v>
      </c>
      <c r="R216">
        <v>0</v>
      </c>
      <c r="S216">
        <v>-5846.56</v>
      </c>
      <c r="T216">
        <v>1</v>
      </c>
      <c r="U216">
        <v>558</v>
      </c>
      <c r="V216">
        <v>32.69</v>
      </c>
      <c r="W216">
        <v>23.3</v>
      </c>
      <c r="X216">
        <v>25571.1</v>
      </c>
      <c r="Y216">
        <v>152606.14000000001</v>
      </c>
      <c r="Z216">
        <v>0</v>
      </c>
      <c r="AA216" s="13" t="s">
        <v>3239</v>
      </c>
      <c r="AB216">
        <v>0</v>
      </c>
      <c r="AC216">
        <v>0</v>
      </c>
      <c r="AD216" s="13" t="s">
        <v>3240</v>
      </c>
    </row>
    <row r="217" spans="1:30" x14ac:dyDescent="0.35">
      <c r="A217">
        <v>216</v>
      </c>
      <c r="B217">
        <v>43</v>
      </c>
      <c r="C217" s="13" t="s">
        <v>225</v>
      </c>
      <c r="D217" s="13" t="s">
        <v>226</v>
      </c>
      <c r="E217" s="13" t="s">
        <v>52</v>
      </c>
      <c r="F217" s="13" t="s">
        <v>77</v>
      </c>
      <c r="G217" s="13" t="s">
        <v>55</v>
      </c>
      <c r="H217" s="13" t="s">
        <v>56</v>
      </c>
      <c r="I217" s="13" t="s">
        <v>57</v>
      </c>
      <c r="J217" s="13" t="s">
        <v>58</v>
      </c>
      <c r="K217" s="13" t="s">
        <v>59</v>
      </c>
      <c r="L217">
        <v>82930.179999999993</v>
      </c>
      <c r="M217">
        <v>10532.97</v>
      </c>
      <c r="N217">
        <v>5884.64</v>
      </c>
      <c r="O217">
        <v>0</v>
      </c>
      <c r="P217">
        <v>7445.04</v>
      </c>
      <c r="Q217">
        <v>0</v>
      </c>
      <c r="R217">
        <v>0</v>
      </c>
      <c r="S217">
        <v>-1494.66</v>
      </c>
      <c r="T217">
        <v>1</v>
      </c>
      <c r="U217">
        <v>264</v>
      </c>
      <c r="V217">
        <v>14.55</v>
      </c>
      <c r="W217">
        <v>11.5</v>
      </c>
      <c r="X217">
        <v>8939.7000000000007</v>
      </c>
      <c r="Y217">
        <v>73990.48</v>
      </c>
      <c r="Z217">
        <v>0</v>
      </c>
      <c r="AA217" s="13" t="s">
        <v>3239</v>
      </c>
      <c r="AB217">
        <v>0</v>
      </c>
      <c r="AC217">
        <v>0</v>
      </c>
      <c r="AD217" s="13" t="s">
        <v>3240</v>
      </c>
    </row>
    <row r="218" spans="1:30" x14ac:dyDescent="0.35">
      <c r="A218">
        <v>217</v>
      </c>
      <c r="B218">
        <v>42</v>
      </c>
      <c r="C218" s="13" t="s">
        <v>189</v>
      </c>
      <c r="D218" s="13" t="s">
        <v>190</v>
      </c>
      <c r="E218" s="13" t="s">
        <v>104</v>
      </c>
      <c r="F218" s="13" t="s">
        <v>53</v>
      </c>
      <c r="G218" s="13" t="s">
        <v>67</v>
      </c>
      <c r="H218" s="13" t="s">
        <v>105</v>
      </c>
      <c r="I218" s="13" t="s">
        <v>106</v>
      </c>
      <c r="J218" s="13" t="s">
        <v>107</v>
      </c>
      <c r="K218" s="13" t="s">
        <v>88</v>
      </c>
      <c r="L218">
        <v>10996.37</v>
      </c>
      <c r="M218">
        <v>3971.58</v>
      </c>
      <c r="N218">
        <v>3971.58</v>
      </c>
      <c r="O218">
        <v>0</v>
      </c>
      <c r="P218">
        <v>3971.58</v>
      </c>
      <c r="Q218">
        <v>0</v>
      </c>
      <c r="R218">
        <v>0</v>
      </c>
      <c r="S218">
        <v>0</v>
      </c>
      <c r="T218">
        <v>1</v>
      </c>
      <c r="U218">
        <v>389</v>
      </c>
      <c r="V218">
        <v>36.65</v>
      </c>
      <c r="W218">
        <v>4.8</v>
      </c>
      <c r="X218">
        <v>3971.58</v>
      </c>
      <c r="Y218">
        <v>7024.79</v>
      </c>
      <c r="Z218">
        <v>0</v>
      </c>
      <c r="AA218" s="13" t="s">
        <v>3239</v>
      </c>
      <c r="AB218">
        <v>0</v>
      </c>
      <c r="AC218">
        <v>0</v>
      </c>
      <c r="AD218" s="13" t="s">
        <v>3240</v>
      </c>
    </row>
    <row r="219" spans="1:30" x14ac:dyDescent="0.35">
      <c r="A219">
        <v>218</v>
      </c>
      <c r="B219">
        <v>44</v>
      </c>
      <c r="C219" s="13" t="s">
        <v>203</v>
      </c>
      <c r="D219" s="13" t="s">
        <v>204</v>
      </c>
      <c r="E219" s="13" t="s">
        <v>52</v>
      </c>
      <c r="F219" s="13" t="s">
        <v>53</v>
      </c>
      <c r="G219" s="13" t="s">
        <v>67</v>
      </c>
      <c r="H219" s="13" t="s">
        <v>56</v>
      </c>
      <c r="I219" s="13" t="s">
        <v>57</v>
      </c>
      <c r="J219" s="13" t="s">
        <v>58</v>
      </c>
      <c r="K219" s="13" t="s">
        <v>59</v>
      </c>
      <c r="L219">
        <v>107560.49</v>
      </c>
      <c r="M219">
        <v>3923.6</v>
      </c>
      <c r="N219">
        <v>3923.6</v>
      </c>
      <c r="O219">
        <v>14778.53</v>
      </c>
      <c r="P219">
        <v>3923.6</v>
      </c>
      <c r="Q219">
        <v>0</v>
      </c>
      <c r="R219">
        <v>0</v>
      </c>
      <c r="S219">
        <v>0</v>
      </c>
      <c r="T219">
        <v>1</v>
      </c>
      <c r="U219">
        <v>307</v>
      </c>
      <c r="V219">
        <v>21.51</v>
      </c>
      <c r="W219">
        <v>7.6</v>
      </c>
      <c r="X219">
        <v>3923.6</v>
      </c>
      <c r="Y219">
        <v>103636.89</v>
      </c>
      <c r="Z219">
        <v>0</v>
      </c>
      <c r="AA219" s="13" t="s">
        <v>3239</v>
      </c>
      <c r="AB219">
        <v>0</v>
      </c>
      <c r="AC219">
        <v>0</v>
      </c>
      <c r="AD219" s="13" t="s">
        <v>3240</v>
      </c>
    </row>
    <row r="220" spans="1:30" x14ac:dyDescent="0.35">
      <c r="A220">
        <v>219</v>
      </c>
      <c r="B220">
        <v>39</v>
      </c>
      <c r="C220" s="13" t="s">
        <v>340</v>
      </c>
      <c r="D220" s="13" t="s">
        <v>341</v>
      </c>
      <c r="E220" s="13" t="s">
        <v>52</v>
      </c>
      <c r="F220" s="13" t="s">
        <v>77</v>
      </c>
      <c r="G220" s="13" t="s">
        <v>92</v>
      </c>
      <c r="H220" s="13" t="s">
        <v>56</v>
      </c>
      <c r="I220" s="13" t="s">
        <v>57</v>
      </c>
      <c r="J220" s="13" t="s">
        <v>58</v>
      </c>
      <c r="K220" s="13" t="s">
        <v>59</v>
      </c>
      <c r="L220">
        <v>98197.19</v>
      </c>
      <c r="M220">
        <v>27755.26</v>
      </c>
      <c r="N220">
        <v>3775.75</v>
      </c>
      <c r="O220">
        <v>1902.49</v>
      </c>
      <c r="P220">
        <v>10246.25</v>
      </c>
      <c r="Q220">
        <v>951.25</v>
      </c>
      <c r="R220">
        <v>0</v>
      </c>
      <c r="S220">
        <v>-2365.04</v>
      </c>
      <c r="T220">
        <v>1</v>
      </c>
      <c r="U220">
        <v>103</v>
      </c>
      <c r="V220">
        <v>17.38</v>
      </c>
      <c r="W220">
        <v>26.2</v>
      </c>
      <c r="X220">
        <v>11897.85</v>
      </c>
      <c r="Y220">
        <v>86299.34</v>
      </c>
      <c r="Z220">
        <v>2</v>
      </c>
      <c r="AA220" s="13" t="s">
        <v>3228</v>
      </c>
      <c r="AB220">
        <v>0</v>
      </c>
      <c r="AC220">
        <v>1</v>
      </c>
      <c r="AD220" s="13" t="s">
        <v>3229</v>
      </c>
    </row>
    <row r="221" spans="1:30" x14ac:dyDescent="0.35">
      <c r="A221">
        <v>220</v>
      </c>
      <c r="B221">
        <v>45</v>
      </c>
      <c r="C221" s="13" t="s">
        <v>63</v>
      </c>
      <c r="D221" s="13" t="s">
        <v>64</v>
      </c>
      <c r="E221" s="13" t="s">
        <v>52</v>
      </c>
      <c r="F221" s="13" t="s">
        <v>65</v>
      </c>
      <c r="G221" s="13" t="s">
        <v>67</v>
      </c>
      <c r="H221" s="13" t="s">
        <v>56</v>
      </c>
      <c r="I221" s="13" t="s">
        <v>57</v>
      </c>
      <c r="J221" s="13" t="s">
        <v>58</v>
      </c>
      <c r="K221" s="13" t="s">
        <v>59</v>
      </c>
      <c r="L221">
        <v>65312.72</v>
      </c>
      <c r="M221">
        <v>3702.23</v>
      </c>
      <c r="N221">
        <v>3702.23</v>
      </c>
      <c r="O221">
        <v>7363.33</v>
      </c>
      <c r="P221">
        <v>3702.23</v>
      </c>
      <c r="Q221">
        <v>0</v>
      </c>
      <c r="R221">
        <v>0</v>
      </c>
      <c r="S221">
        <v>0</v>
      </c>
      <c r="T221">
        <v>1</v>
      </c>
      <c r="U221">
        <v>682</v>
      </c>
      <c r="V221">
        <v>20.73</v>
      </c>
      <c r="W221">
        <v>6.5</v>
      </c>
      <c r="X221">
        <v>3702.23</v>
      </c>
      <c r="Y221">
        <v>61610.49</v>
      </c>
      <c r="Z221">
        <v>0</v>
      </c>
      <c r="AA221" s="13" t="s">
        <v>3239</v>
      </c>
      <c r="AB221">
        <v>0</v>
      </c>
      <c r="AC221">
        <v>0</v>
      </c>
      <c r="AD221" s="13" t="s">
        <v>3240</v>
      </c>
    </row>
    <row r="222" spans="1:30" x14ac:dyDescent="0.35">
      <c r="A222">
        <v>221</v>
      </c>
      <c r="B222">
        <v>34</v>
      </c>
      <c r="C222" s="13" t="s">
        <v>361</v>
      </c>
      <c r="D222" s="13" t="s">
        <v>362</v>
      </c>
      <c r="E222" s="13" t="s">
        <v>76</v>
      </c>
      <c r="F222" s="13" t="s">
        <v>65</v>
      </c>
      <c r="G222" s="13" t="s">
        <v>67</v>
      </c>
      <c r="H222" s="13" t="s">
        <v>93</v>
      </c>
      <c r="I222" s="13" t="s">
        <v>94</v>
      </c>
      <c r="J222" s="13" t="s">
        <v>81</v>
      </c>
      <c r="K222" s="13" t="s">
        <v>95</v>
      </c>
      <c r="L222">
        <v>8584.8799999999992</v>
      </c>
      <c r="M222">
        <v>6254.84</v>
      </c>
      <c r="N222">
        <v>3595.83</v>
      </c>
      <c r="O222">
        <v>0</v>
      </c>
      <c r="P222">
        <v>4260.58</v>
      </c>
      <c r="Q222">
        <v>0</v>
      </c>
      <c r="R222">
        <v>0</v>
      </c>
      <c r="S222">
        <v>-1813.62</v>
      </c>
      <c r="T222">
        <v>1</v>
      </c>
      <c r="U222">
        <v>111</v>
      </c>
      <c r="V222">
        <v>28.62</v>
      </c>
      <c r="W222">
        <v>4.9000000000000004</v>
      </c>
      <c r="X222">
        <v>6074.2</v>
      </c>
      <c r="Y222">
        <v>2510.6799999999998</v>
      </c>
      <c r="Z222">
        <v>0</v>
      </c>
      <c r="AA222" s="13" t="s">
        <v>3239</v>
      </c>
      <c r="AB222">
        <v>0</v>
      </c>
      <c r="AC222">
        <v>0</v>
      </c>
      <c r="AD222" s="13" t="s">
        <v>3240</v>
      </c>
    </row>
    <row r="223" spans="1:30" x14ac:dyDescent="0.35">
      <c r="A223">
        <v>222</v>
      </c>
      <c r="B223">
        <v>35</v>
      </c>
      <c r="C223" s="13" t="s">
        <v>141</v>
      </c>
      <c r="D223" s="13" t="s">
        <v>142</v>
      </c>
      <c r="E223" s="13" t="s">
        <v>76</v>
      </c>
      <c r="F223" s="13" t="s">
        <v>65</v>
      </c>
      <c r="G223" s="13" t="s">
        <v>67</v>
      </c>
      <c r="H223" s="13" t="s">
        <v>93</v>
      </c>
      <c r="I223" s="13" t="s">
        <v>94</v>
      </c>
      <c r="J223" s="13" t="s">
        <v>81</v>
      </c>
      <c r="K223" s="13" t="s">
        <v>95</v>
      </c>
      <c r="L223">
        <v>8215.01</v>
      </c>
      <c r="M223">
        <v>2414.29</v>
      </c>
      <c r="N223">
        <v>2414.29</v>
      </c>
      <c r="O223">
        <v>831.71</v>
      </c>
      <c r="P223">
        <v>2414.29</v>
      </c>
      <c r="Q223">
        <v>0</v>
      </c>
      <c r="R223">
        <v>0</v>
      </c>
      <c r="S223">
        <v>-685.52</v>
      </c>
      <c r="T223">
        <v>1</v>
      </c>
      <c r="U223">
        <v>511</v>
      </c>
      <c r="V223">
        <v>6.85</v>
      </c>
      <c r="W223">
        <v>5.8</v>
      </c>
      <c r="X223">
        <v>3099.81</v>
      </c>
      <c r="Y223">
        <v>5115.2</v>
      </c>
      <c r="Z223">
        <v>0</v>
      </c>
      <c r="AA223" s="13" t="s">
        <v>3239</v>
      </c>
      <c r="AB223">
        <v>0</v>
      </c>
      <c r="AC223">
        <v>0</v>
      </c>
      <c r="AD223" s="13" t="s">
        <v>3240</v>
      </c>
    </row>
    <row r="224" spans="1:30" x14ac:dyDescent="0.35">
      <c r="A224">
        <v>223</v>
      </c>
      <c r="B224">
        <v>42</v>
      </c>
      <c r="C224" s="13" t="s">
        <v>267</v>
      </c>
      <c r="D224" s="13" t="s">
        <v>268</v>
      </c>
      <c r="E224" s="13" t="s">
        <v>52</v>
      </c>
      <c r="F224" s="13" t="s">
        <v>99</v>
      </c>
      <c r="G224" s="13" t="s">
        <v>67</v>
      </c>
      <c r="H224" s="13" t="s">
        <v>86</v>
      </c>
      <c r="I224" s="13" t="s">
        <v>87</v>
      </c>
      <c r="J224" s="13" t="s">
        <v>58</v>
      </c>
      <c r="K224" s="13" t="s">
        <v>59</v>
      </c>
      <c r="L224">
        <v>27739.38</v>
      </c>
      <c r="M224">
        <v>2288.75</v>
      </c>
      <c r="N224">
        <v>2288.75</v>
      </c>
      <c r="O224">
        <v>0</v>
      </c>
      <c r="P224">
        <v>2288.75</v>
      </c>
      <c r="Q224">
        <v>0</v>
      </c>
      <c r="R224">
        <v>0</v>
      </c>
      <c r="S224">
        <v>0</v>
      </c>
      <c r="T224">
        <v>1</v>
      </c>
      <c r="U224">
        <v>159</v>
      </c>
      <c r="V224">
        <v>10.47</v>
      </c>
      <c r="W224">
        <v>10.3</v>
      </c>
      <c r="X224">
        <v>2288.75</v>
      </c>
      <c r="Y224">
        <v>25450.63</v>
      </c>
      <c r="Z224">
        <v>0</v>
      </c>
      <c r="AA224" s="13" t="s">
        <v>3239</v>
      </c>
      <c r="AB224">
        <v>0</v>
      </c>
      <c r="AC224">
        <v>0</v>
      </c>
      <c r="AD224" s="13" t="s">
        <v>3240</v>
      </c>
    </row>
    <row r="225" spans="1:30" x14ac:dyDescent="0.35">
      <c r="A225">
        <v>224</v>
      </c>
      <c r="B225">
        <v>49</v>
      </c>
      <c r="C225" s="13" t="s">
        <v>330</v>
      </c>
      <c r="D225" s="13" t="s">
        <v>331</v>
      </c>
      <c r="E225" s="13" t="s">
        <v>104</v>
      </c>
      <c r="F225" s="13" t="s">
        <v>65</v>
      </c>
      <c r="G225" s="13" t="s">
        <v>55</v>
      </c>
      <c r="H225" s="13" t="s">
        <v>121</v>
      </c>
      <c r="I225" s="13" t="s">
        <v>122</v>
      </c>
      <c r="J225" s="13" t="s">
        <v>107</v>
      </c>
      <c r="K225" s="13" t="s">
        <v>95</v>
      </c>
      <c r="L225">
        <v>6751.3</v>
      </c>
      <c r="M225">
        <v>1806.13</v>
      </c>
      <c r="N225">
        <v>1806.13</v>
      </c>
      <c r="O225">
        <v>3277.72</v>
      </c>
      <c r="P225">
        <v>1806.13</v>
      </c>
      <c r="Q225">
        <v>0</v>
      </c>
      <c r="R225">
        <v>0</v>
      </c>
      <c r="S225">
        <v>0</v>
      </c>
      <c r="T225">
        <v>1</v>
      </c>
      <c r="U225">
        <v>123</v>
      </c>
      <c r="V225">
        <v>7.94</v>
      </c>
      <c r="W225">
        <v>14.3</v>
      </c>
      <c r="X225">
        <v>1806.13</v>
      </c>
      <c r="Y225">
        <v>4945.17</v>
      </c>
      <c r="Z225">
        <v>0</v>
      </c>
      <c r="AA225" s="13" t="s">
        <v>3239</v>
      </c>
      <c r="AB225">
        <v>0</v>
      </c>
      <c r="AC225">
        <v>0</v>
      </c>
      <c r="AD225" s="13" t="s">
        <v>3240</v>
      </c>
    </row>
    <row r="226" spans="1:30" x14ac:dyDescent="0.35">
      <c r="A226">
        <v>225</v>
      </c>
      <c r="B226">
        <v>43</v>
      </c>
      <c r="C226" s="13" t="s">
        <v>109</v>
      </c>
      <c r="D226" s="13" t="s">
        <v>110</v>
      </c>
      <c r="E226" s="13" t="s">
        <v>52</v>
      </c>
      <c r="F226" s="13" t="s">
        <v>65</v>
      </c>
      <c r="G226" s="13" t="s">
        <v>67</v>
      </c>
      <c r="H226" s="13" t="s">
        <v>86</v>
      </c>
      <c r="I226" s="13" t="s">
        <v>87</v>
      </c>
      <c r="J226" s="13" t="s">
        <v>58</v>
      </c>
      <c r="K226" s="13" t="s">
        <v>59</v>
      </c>
      <c r="L226">
        <v>103119.74</v>
      </c>
      <c r="M226">
        <v>15008.06</v>
      </c>
      <c r="N226">
        <v>1792.87</v>
      </c>
      <c r="O226">
        <v>2110.5</v>
      </c>
      <c r="P226">
        <v>5096.67</v>
      </c>
      <c r="Q226">
        <v>0</v>
      </c>
      <c r="R226">
        <v>0</v>
      </c>
      <c r="S226">
        <v>-7448.55</v>
      </c>
      <c r="T226">
        <v>1</v>
      </c>
      <c r="U226">
        <v>587</v>
      </c>
      <c r="V226">
        <v>22.66</v>
      </c>
      <c r="W226">
        <v>5.2</v>
      </c>
      <c r="X226">
        <v>12545.22</v>
      </c>
      <c r="Y226">
        <v>90574.52</v>
      </c>
      <c r="Z226">
        <v>0</v>
      </c>
      <c r="AA226" s="13" t="s">
        <v>3239</v>
      </c>
      <c r="AB226">
        <v>0</v>
      </c>
      <c r="AC226">
        <v>0</v>
      </c>
      <c r="AD226" s="13" t="s">
        <v>3240</v>
      </c>
    </row>
    <row r="227" spans="1:30" x14ac:dyDescent="0.35">
      <c r="A227">
        <v>226</v>
      </c>
      <c r="B227">
        <v>50</v>
      </c>
      <c r="C227" s="13" t="s">
        <v>165</v>
      </c>
      <c r="D227" s="13" t="s">
        <v>166</v>
      </c>
      <c r="E227" s="13" t="s">
        <v>104</v>
      </c>
      <c r="F227" s="13" t="s">
        <v>53</v>
      </c>
      <c r="G227" s="13" t="s">
        <v>67</v>
      </c>
      <c r="H227" s="13" t="s">
        <v>121</v>
      </c>
      <c r="I227" s="13" t="s">
        <v>122</v>
      </c>
      <c r="J227" s="13" t="s">
        <v>107</v>
      </c>
      <c r="K227" s="13" t="s">
        <v>88</v>
      </c>
      <c r="L227">
        <v>12680.1</v>
      </c>
      <c r="M227">
        <v>1653.18</v>
      </c>
      <c r="N227">
        <v>1653.18</v>
      </c>
      <c r="O227">
        <v>0</v>
      </c>
      <c r="P227">
        <v>1653.18</v>
      </c>
      <c r="Q227">
        <v>0</v>
      </c>
      <c r="R227">
        <v>0</v>
      </c>
      <c r="S227">
        <v>0</v>
      </c>
      <c r="T227">
        <v>1</v>
      </c>
      <c r="U227">
        <v>458</v>
      </c>
      <c r="V227">
        <v>23.05</v>
      </c>
      <c r="W227">
        <v>5.0999999999999996</v>
      </c>
      <c r="X227">
        <v>1653.18</v>
      </c>
      <c r="Y227">
        <v>11026.92</v>
      </c>
      <c r="Z227">
        <v>0</v>
      </c>
      <c r="AA227" s="13" t="s">
        <v>3239</v>
      </c>
      <c r="AB227">
        <v>0</v>
      </c>
      <c r="AC227">
        <v>0</v>
      </c>
      <c r="AD227" s="13" t="s">
        <v>3240</v>
      </c>
    </row>
    <row r="228" spans="1:30" x14ac:dyDescent="0.35">
      <c r="A228">
        <v>227</v>
      </c>
      <c r="B228">
        <v>36</v>
      </c>
      <c r="C228" s="13" t="s">
        <v>393</v>
      </c>
      <c r="D228" s="13" t="s">
        <v>394</v>
      </c>
      <c r="E228" s="13" t="s">
        <v>76</v>
      </c>
      <c r="F228" s="13" t="s">
        <v>65</v>
      </c>
      <c r="G228" s="13" t="s">
        <v>55</v>
      </c>
      <c r="H228" s="13" t="s">
        <v>93</v>
      </c>
      <c r="I228" s="13" t="s">
        <v>94</v>
      </c>
      <c r="J228" s="13" t="s">
        <v>81</v>
      </c>
      <c r="K228" s="13" t="s">
        <v>95</v>
      </c>
      <c r="L228">
        <v>21192.47</v>
      </c>
      <c r="M228">
        <v>1576.11</v>
      </c>
      <c r="N228">
        <v>1576.11</v>
      </c>
      <c r="O228">
        <v>0</v>
      </c>
      <c r="P228">
        <v>1576.11</v>
      </c>
      <c r="Q228">
        <v>0</v>
      </c>
      <c r="R228">
        <v>0</v>
      </c>
      <c r="S228">
        <v>0</v>
      </c>
      <c r="T228">
        <v>1</v>
      </c>
      <c r="U228">
        <v>96</v>
      </c>
      <c r="V228">
        <v>42.38</v>
      </c>
      <c r="W228">
        <v>11.2</v>
      </c>
      <c r="X228">
        <v>1576.11</v>
      </c>
      <c r="Y228">
        <v>19616.36</v>
      </c>
      <c r="Z228">
        <v>0</v>
      </c>
      <c r="AA228" s="13" t="s">
        <v>3239</v>
      </c>
      <c r="AB228">
        <v>0</v>
      </c>
      <c r="AC228">
        <v>0</v>
      </c>
      <c r="AD228" s="13" t="s">
        <v>3240</v>
      </c>
    </row>
    <row r="229" spans="1:30" x14ac:dyDescent="0.35">
      <c r="A229">
        <v>228</v>
      </c>
      <c r="B229">
        <v>46</v>
      </c>
      <c r="C229" s="13" t="s">
        <v>168</v>
      </c>
      <c r="D229" s="13" t="s">
        <v>169</v>
      </c>
      <c r="E229" s="13" t="s">
        <v>52</v>
      </c>
      <c r="F229" s="13" t="s">
        <v>65</v>
      </c>
      <c r="G229" s="13" t="s">
        <v>67</v>
      </c>
      <c r="H229" s="13" t="s">
        <v>56</v>
      </c>
      <c r="I229" s="13" t="s">
        <v>57</v>
      </c>
      <c r="J229" s="13" t="s">
        <v>58</v>
      </c>
      <c r="K229" s="13" t="s">
        <v>59</v>
      </c>
      <c r="L229">
        <v>122676.78</v>
      </c>
      <c r="M229">
        <v>1529.01</v>
      </c>
      <c r="N229">
        <v>1529.01</v>
      </c>
      <c r="O229">
        <v>11157.59</v>
      </c>
      <c r="P229">
        <v>1529.01</v>
      </c>
      <c r="Q229">
        <v>0</v>
      </c>
      <c r="R229">
        <v>0</v>
      </c>
      <c r="S229">
        <v>0</v>
      </c>
      <c r="T229">
        <v>1</v>
      </c>
      <c r="U229">
        <v>436</v>
      </c>
      <c r="V229">
        <v>21.15</v>
      </c>
      <c r="W229">
        <v>5.7</v>
      </c>
      <c r="X229">
        <v>1529.01</v>
      </c>
      <c r="Y229">
        <v>121147.77</v>
      </c>
      <c r="Z229">
        <v>0</v>
      </c>
      <c r="AA229" s="13" t="s">
        <v>3239</v>
      </c>
      <c r="AB229">
        <v>0</v>
      </c>
      <c r="AC229">
        <v>0</v>
      </c>
      <c r="AD229" s="13" t="s">
        <v>3240</v>
      </c>
    </row>
    <row r="230" spans="1:30" x14ac:dyDescent="0.35">
      <c r="A230">
        <v>229</v>
      </c>
      <c r="B230">
        <v>51</v>
      </c>
      <c r="C230" s="13" t="s">
        <v>150</v>
      </c>
      <c r="D230" s="13" t="s">
        <v>151</v>
      </c>
      <c r="E230" s="13" t="s">
        <v>104</v>
      </c>
      <c r="F230" s="13" t="s">
        <v>65</v>
      </c>
      <c r="G230" s="13" t="s">
        <v>67</v>
      </c>
      <c r="H230" s="13" t="s">
        <v>121</v>
      </c>
      <c r="I230" s="13" t="s">
        <v>122</v>
      </c>
      <c r="J230" s="13" t="s">
        <v>107</v>
      </c>
      <c r="K230" s="13" t="s">
        <v>95</v>
      </c>
      <c r="L230">
        <v>6886.48</v>
      </c>
      <c r="M230">
        <v>1417</v>
      </c>
      <c r="N230">
        <v>1417</v>
      </c>
      <c r="O230">
        <v>0</v>
      </c>
      <c r="P230">
        <v>1417</v>
      </c>
      <c r="Q230">
        <v>0</v>
      </c>
      <c r="R230">
        <v>0</v>
      </c>
      <c r="S230">
        <v>0</v>
      </c>
      <c r="T230">
        <v>1</v>
      </c>
      <c r="U230">
        <v>504</v>
      </c>
      <c r="V230">
        <v>10.59</v>
      </c>
      <c r="W230">
        <v>7.5</v>
      </c>
      <c r="X230">
        <v>1417</v>
      </c>
      <c r="Y230">
        <v>5469.48</v>
      </c>
      <c r="Z230">
        <v>0</v>
      </c>
      <c r="AA230" s="13" t="s">
        <v>3239</v>
      </c>
      <c r="AB230">
        <v>0</v>
      </c>
      <c r="AC230">
        <v>0</v>
      </c>
      <c r="AD230" s="13" t="s">
        <v>3240</v>
      </c>
    </row>
    <row r="231" spans="1:30" x14ac:dyDescent="0.35">
      <c r="A231">
        <v>230</v>
      </c>
      <c r="B231">
        <v>43</v>
      </c>
      <c r="C231" s="13" t="s">
        <v>183</v>
      </c>
      <c r="D231" s="13" t="s">
        <v>184</v>
      </c>
      <c r="E231" s="13" t="s">
        <v>104</v>
      </c>
      <c r="F231" s="13" t="s">
        <v>53</v>
      </c>
      <c r="G231" s="13" t="s">
        <v>67</v>
      </c>
      <c r="H231" s="13" t="s">
        <v>105</v>
      </c>
      <c r="I231" s="13" t="s">
        <v>106</v>
      </c>
      <c r="J231" s="13" t="s">
        <v>107</v>
      </c>
      <c r="K231" s="13" t="s">
        <v>88</v>
      </c>
      <c r="L231">
        <v>4962.5200000000004</v>
      </c>
      <c r="M231">
        <v>1402.84</v>
      </c>
      <c r="N231">
        <v>1402.84</v>
      </c>
      <c r="O231">
        <v>831.71</v>
      </c>
      <c r="P231">
        <v>1402.84</v>
      </c>
      <c r="Q231">
        <v>0</v>
      </c>
      <c r="R231">
        <v>0</v>
      </c>
      <c r="S231">
        <v>0</v>
      </c>
      <c r="T231">
        <v>1</v>
      </c>
      <c r="U231">
        <v>396</v>
      </c>
      <c r="V231">
        <v>6.62</v>
      </c>
      <c r="W231">
        <v>5.5</v>
      </c>
      <c r="X231">
        <v>1402.84</v>
      </c>
      <c r="Y231">
        <v>3559.68</v>
      </c>
      <c r="Z231">
        <v>0</v>
      </c>
      <c r="AA231" s="13" t="s">
        <v>3239</v>
      </c>
      <c r="AB231">
        <v>0</v>
      </c>
      <c r="AC231">
        <v>0</v>
      </c>
      <c r="AD231" s="13" t="s">
        <v>3240</v>
      </c>
    </row>
    <row r="232" spans="1:30" x14ac:dyDescent="0.35">
      <c r="A232">
        <v>231</v>
      </c>
      <c r="B232">
        <v>37</v>
      </c>
      <c r="C232" s="13" t="s">
        <v>241</v>
      </c>
      <c r="D232" s="13" t="s">
        <v>242</v>
      </c>
      <c r="E232" s="13" t="s">
        <v>76</v>
      </c>
      <c r="F232" s="13" t="s">
        <v>65</v>
      </c>
      <c r="G232" s="13" t="s">
        <v>67</v>
      </c>
      <c r="H232" s="13" t="s">
        <v>93</v>
      </c>
      <c r="I232" s="13" t="s">
        <v>94</v>
      </c>
      <c r="J232" s="13" t="s">
        <v>81</v>
      </c>
      <c r="K232" s="13" t="s">
        <v>95</v>
      </c>
      <c r="L232">
        <v>6839.92</v>
      </c>
      <c r="M232">
        <v>1041.56</v>
      </c>
      <c r="N232">
        <v>1041.56</v>
      </c>
      <c r="O232">
        <v>0</v>
      </c>
      <c r="P232">
        <v>1041.56</v>
      </c>
      <c r="Q232">
        <v>0</v>
      </c>
      <c r="R232">
        <v>0</v>
      </c>
      <c r="S232">
        <v>0</v>
      </c>
      <c r="T232">
        <v>1</v>
      </c>
      <c r="U232">
        <v>238</v>
      </c>
      <c r="V232">
        <v>6.84</v>
      </c>
      <c r="W232">
        <v>5.9</v>
      </c>
      <c r="X232">
        <v>1041.56</v>
      </c>
      <c r="Y232">
        <v>5798.36</v>
      </c>
      <c r="Z232">
        <v>0</v>
      </c>
      <c r="AA232" s="13" t="s">
        <v>3239</v>
      </c>
      <c r="AB232">
        <v>0</v>
      </c>
      <c r="AC232">
        <v>0</v>
      </c>
      <c r="AD232" s="13" t="s">
        <v>3240</v>
      </c>
    </row>
    <row r="233" spans="1:30" x14ac:dyDescent="0.35">
      <c r="A233">
        <v>232</v>
      </c>
      <c r="B233">
        <v>52</v>
      </c>
      <c r="C233" s="13" t="s">
        <v>309</v>
      </c>
      <c r="D233" s="13" t="s">
        <v>310</v>
      </c>
      <c r="E233" s="13" t="s">
        <v>104</v>
      </c>
      <c r="F233" s="13" t="s">
        <v>53</v>
      </c>
      <c r="G233" s="13" t="s">
        <v>67</v>
      </c>
      <c r="H233" s="13" t="s">
        <v>121</v>
      </c>
      <c r="I233" s="13" t="s">
        <v>122</v>
      </c>
      <c r="J233" s="13" t="s">
        <v>107</v>
      </c>
      <c r="K233" s="13" t="s">
        <v>88</v>
      </c>
      <c r="L233">
        <v>28993.47</v>
      </c>
      <c r="M233">
        <v>1188.03</v>
      </c>
      <c r="N233">
        <v>847.17</v>
      </c>
      <c r="O233">
        <v>0</v>
      </c>
      <c r="P233">
        <v>1017.6</v>
      </c>
      <c r="Q233">
        <v>0</v>
      </c>
      <c r="R233">
        <v>0</v>
      </c>
      <c r="S233">
        <v>-170.43</v>
      </c>
      <c r="T233">
        <v>1</v>
      </c>
      <c r="U233">
        <v>102</v>
      </c>
      <c r="V233">
        <v>23.19</v>
      </c>
      <c r="W233">
        <v>5.7</v>
      </c>
      <c r="X233">
        <v>1188.03</v>
      </c>
      <c r="Y233">
        <v>27805.439999999999</v>
      </c>
      <c r="Z233">
        <v>0</v>
      </c>
      <c r="AA233" s="13" t="s">
        <v>3239</v>
      </c>
      <c r="AB233">
        <v>0</v>
      </c>
      <c r="AC233">
        <v>0</v>
      </c>
      <c r="AD233" s="13" t="s">
        <v>3240</v>
      </c>
    </row>
    <row r="234" spans="1:30" x14ac:dyDescent="0.35">
      <c r="A234">
        <v>233</v>
      </c>
      <c r="B234">
        <v>44</v>
      </c>
      <c r="C234" s="13" t="s">
        <v>343</v>
      </c>
      <c r="D234" s="13" t="s">
        <v>344</v>
      </c>
      <c r="E234" s="13" t="s">
        <v>104</v>
      </c>
      <c r="F234" s="13" t="s">
        <v>77</v>
      </c>
      <c r="G234" s="13" t="s">
        <v>67</v>
      </c>
      <c r="H234" s="13" t="s">
        <v>105</v>
      </c>
      <c r="I234" s="13" t="s">
        <v>106</v>
      </c>
      <c r="J234" s="13" t="s">
        <v>107</v>
      </c>
      <c r="K234" s="13" t="s">
        <v>95</v>
      </c>
      <c r="L234">
        <v>32487.23</v>
      </c>
      <c r="M234">
        <v>843</v>
      </c>
      <c r="N234">
        <v>843</v>
      </c>
      <c r="O234">
        <v>0</v>
      </c>
      <c r="P234">
        <v>843</v>
      </c>
      <c r="Q234">
        <v>0</v>
      </c>
      <c r="R234">
        <v>0</v>
      </c>
      <c r="S234">
        <v>0</v>
      </c>
      <c r="T234">
        <v>1</v>
      </c>
      <c r="U234">
        <v>117</v>
      </c>
      <c r="V234">
        <v>22.4</v>
      </c>
      <c r="W234">
        <v>3.2</v>
      </c>
      <c r="X234">
        <v>843</v>
      </c>
      <c r="Y234">
        <v>31644.23</v>
      </c>
      <c r="Z234">
        <v>1</v>
      </c>
      <c r="AA234" s="13" t="s">
        <v>3239</v>
      </c>
      <c r="AB234">
        <v>0</v>
      </c>
      <c r="AC234">
        <v>0</v>
      </c>
      <c r="AD234" s="13" t="s">
        <v>3240</v>
      </c>
    </row>
    <row r="235" spans="1:30" x14ac:dyDescent="0.35">
      <c r="A235">
        <v>234</v>
      </c>
      <c r="B235">
        <v>45</v>
      </c>
      <c r="C235" s="13" t="s">
        <v>250</v>
      </c>
      <c r="D235" s="13" t="s">
        <v>251</v>
      </c>
      <c r="E235" s="13" t="s">
        <v>104</v>
      </c>
      <c r="F235" s="13" t="s">
        <v>53</v>
      </c>
      <c r="G235" s="13" t="s">
        <v>55</v>
      </c>
      <c r="H235" s="13" t="s">
        <v>105</v>
      </c>
      <c r="I235" s="13" t="s">
        <v>106</v>
      </c>
      <c r="J235" s="13" t="s">
        <v>107</v>
      </c>
      <c r="K235" s="13" t="s">
        <v>88</v>
      </c>
      <c r="L235">
        <v>28932.36</v>
      </c>
      <c r="M235">
        <v>822.99</v>
      </c>
      <c r="N235">
        <v>822.99</v>
      </c>
      <c r="O235">
        <v>0</v>
      </c>
      <c r="P235">
        <v>822.99</v>
      </c>
      <c r="Q235">
        <v>0</v>
      </c>
      <c r="R235">
        <v>0</v>
      </c>
      <c r="S235">
        <v>0</v>
      </c>
      <c r="T235">
        <v>1</v>
      </c>
      <c r="U235">
        <v>206</v>
      </c>
      <c r="V235">
        <v>34.04</v>
      </c>
      <c r="W235">
        <v>11.7</v>
      </c>
      <c r="X235">
        <v>822.99</v>
      </c>
      <c r="Y235">
        <v>28109.37</v>
      </c>
      <c r="Z235">
        <v>0</v>
      </c>
      <c r="AA235" s="13" t="s">
        <v>3239</v>
      </c>
      <c r="AB235">
        <v>0</v>
      </c>
      <c r="AC235">
        <v>0</v>
      </c>
      <c r="AD235" s="13" t="s">
        <v>3240</v>
      </c>
    </row>
    <row r="236" spans="1:30" x14ac:dyDescent="0.35">
      <c r="A236">
        <v>235</v>
      </c>
      <c r="B236">
        <v>46</v>
      </c>
      <c r="C236" s="13" t="s">
        <v>159</v>
      </c>
      <c r="D236" s="13" t="s">
        <v>160</v>
      </c>
      <c r="E236" s="13" t="s">
        <v>104</v>
      </c>
      <c r="F236" s="13" t="s">
        <v>53</v>
      </c>
      <c r="G236" s="13" t="s">
        <v>67</v>
      </c>
      <c r="H236" s="13" t="s">
        <v>105</v>
      </c>
      <c r="I236" s="13" t="s">
        <v>106</v>
      </c>
      <c r="J236" s="13" t="s">
        <v>107</v>
      </c>
      <c r="K236" s="13" t="s">
        <v>88</v>
      </c>
      <c r="L236">
        <v>13038.52</v>
      </c>
      <c r="M236">
        <v>4924.6000000000004</v>
      </c>
      <c r="N236">
        <v>800.42</v>
      </c>
      <c r="O236">
        <v>0</v>
      </c>
      <c r="P236">
        <v>1831.47</v>
      </c>
      <c r="Q236">
        <v>0</v>
      </c>
      <c r="R236">
        <v>0</v>
      </c>
      <c r="S236">
        <v>-2234.19</v>
      </c>
      <c r="T236">
        <v>1</v>
      </c>
      <c r="U236">
        <v>500</v>
      </c>
      <c r="V236">
        <v>9.31</v>
      </c>
      <c r="W236">
        <v>7.6</v>
      </c>
      <c r="X236">
        <v>4065.66</v>
      </c>
      <c r="Y236">
        <v>8972.86</v>
      </c>
      <c r="Z236">
        <v>0</v>
      </c>
      <c r="AA236" s="13" t="s">
        <v>3239</v>
      </c>
      <c r="AB236">
        <v>0</v>
      </c>
      <c r="AC236">
        <v>0</v>
      </c>
      <c r="AD236" s="13" t="s">
        <v>3240</v>
      </c>
    </row>
    <row r="237" spans="1:30" x14ac:dyDescent="0.35">
      <c r="A237">
        <v>236</v>
      </c>
      <c r="B237">
        <v>27</v>
      </c>
      <c r="C237" s="13" t="s">
        <v>130</v>
      </c>
      <c r="D237" s="13" t="s">
        <v>131</v>
      </c>
      <c r="E237" s="13" t="s">
        <v>76</v>
      </c>
      <c r="F237" s="13" t="s">
        <v>77</v>
      </c>
      <c r="G237" s="13" t="s">
        <v>55</v>
      </c>
      <c r="H237" s="13" t="s">
        <v>79</v>
      </c>
      <c r="I237" s="13" t="s">
        <v>80</v>
      </c>
      <c r="J237" s="13" t="s">
        <v>81</v>
      </c>
      <c r="K237" s="13" t="s">
        <v>95</v>
      </c>
      <c r="L237">
        <v>5031.57</v>
      </c>
      <c r="M237">
        <v>574.59</v>
      </c>
      <c r="N237">
        <v>574.59</v>
      </c>
      <c r="O237">
        <v>0</v>
      </c>
      <c r="P237">
        <v>574.59</v>
      </c>
      <c r="Q237">
        <v>0</v>
      </c>
      <c r="R237">
        <v>0</v>
      </c>
      <c r="S237">
        <v>0</v>
      </c>
      <c r="T237">
        <v>1</v>
      </c>
      <c r="U237">
        <v>536</v>
      </c>
      <c r="V237">
        <v>10.06</v>
      </c>
      <c r="W237">
        <v>14.9</v>
      </c>
      <c r="X237">
        <v>574.59</v>
      </c>
      <c r="Y237">
        <v>4456.9799999999996</v>
      </c>
      <c r="Z237">
        <v>0</v>
      </c>
      <c r="AA237" s="13" t="s">
        <v>3239</v>
      </c>
      <c r="AB237">
        <v>0</v>
      </c>
      <c r="AC237">
        <v>0</v>
      </c>
      <c r="AD237" s="13" t="s">
        <v>3240</v>
      </c>
    </row>
    <row r="238" spans="1:30" x14ac:dyDescent="0.35">
      <c r="A238">
        <v>237</v>
      </c>
      <c r="B238">
        <v>28</v>
      </c>
      <c r="C238" s="13" t="s">
        <v>197</v>
      </c>
      <c r="D238" s="13" t="s">
        <v>198</v>
      </c>
      <c r="E238" s="13" t="s">
        <v>76</v>
      </c>
      <c r="F238" s="13" t="s">
        <v>53</v>
      </c>
      <c r="G238" s="13" t="s">
        <v>67</v>
      </c>
      <c r="H238" s="13" t="s">
        <v>79</v>
      </c>
      <c r="I238" s="13" t="s">
        <v>80</v>
      </c>
      <c r="J238" s="13" t="s">
        <v>81</v>
      </c>
      <c r="K238" s="13" t="s">
        <v>95</v>
      </c>
      <c r="L238">
        <v>12272.84</v>
      </c>
      <c r="M238">
        <v>507.2</v>
      </c>
      <c r="N238">
        <v>507.2</v>
      </c>
      <c r="O238">
        <v>0</v>
      </c>
      <c r="P238">
        <v>507.2</v>
      </c>
      <c r="Q238">
        <v>0</v>
      </c>
      <c r="R238">
        <v>0</v>
      </c>
      <c r="S238">
        <v>0</v>
      </c>
      <c r="T238">
        <v>1</v>
      </c>
      <c r="U238">
        <v>349</v>
      </c>
      <c r="V238">
        <v>11.69</v>
      </c>
      <c r="W238">
        <v>5.8</v>
      </c>
      <c r="X238">
        <v>507.2</v>
      </c>
      <c r="Y238">
        <v>11765.64</v>
      </c>
      <c r="Z238">
        <v>0</v>
      </c>
      <c r="AA238" s="13" t="s">
        <v>3239</v>
      </c>
      <c r="AB238">
        <v>0</v>
      </c>
      <c r="AC238">
        <v>0</v>
      </c>
      <c r="AD238" s="13" t="s">
        <v>3240</v>
      </c>
    </row>
    <row r="239" spans="1:30" x14ac:dyDescent="0.35">
      <c r="A239">
        <v>238</v>
      </c>
      <c r="B239">
        <v>47</v>
      </c>
      <c r="C239" s="13" t="s">
        <v>229</v>
      </c>
      <c r="D239" s="13" t="s">
        <v>230</v>
      </c>
      <c r="E239" s="13" t="s">
        <v>104</v>
      </c>
      <c r="F239" s="13" t="s">
        <v>71</v>
      </c>
      <c r="G239" s="13" t="s">
        <v>67</v>
      </c>
      <c r="H239" s="13" t="s">
        <v>105</v>
      </c>
      <c r="I239" s="13" t="s">
        <v>106</v>
      </c>
      <c r="J239" s="13" t="s">
        <v>107</v>
      </c>
      <c r="K239" s="13" t="s">
        <v>88</v>
      </c>
      <c r="L239">
        <v>11130.61</v>
      </c>
      <c r="M239">
        <v>365.01</v>
      </c>
      <c r="N239">
        <v>365.01</v>
      </c>
      <c r="O239">
        <v>0</v>
      </c>
      <c r="P239">
        <v>365.01</v>
      </c>
      <c r="Q239">
        <v>0</v>
      </c>
      <c r="R239">
        <v>0</v>
      </c>
      <c r="S239">
        <v>0</v>
      </c>
      <c r="T239">
        <v>1</v>
      </c>
      <c r="U239">
        <v>266</v>
      </c>
      <c r="V239">
        <v>10.119999999999999</v>
      </c>
      <c r="W239">
        <v>5.4</v>
      </c>
      <c r="X239">
        <v>365.01</v>
      </c>
      <c r="Y239">
        <v>10765.6</v>
      </c>
      <c r="Z239">
        <v>0</v>
      </c>
      <c r="AA239" s="13" t="s">
        <v>3239</v>
      </c>
      <c r="AB239">
        <v>0</v>
      </c>
      <c r="AC239">
        <v>0</v>
      </c>
      <c r="AD239" s="13" t="s">
        <v>3240</v>
      </c>
    </row>
    <row r="240" spans="1:30" x14ac:dyDescent="0.35">
      <c r="A240">
        <v>239</v>
      </c>
      <c r="B240">
        <v>47</v>
      </c>
      <c r="C240" s="13" t="s">
        <v>153</v>
      </c>
      <c r="D240" s="13" t="s">
        <v>154</v>
      </c>
      <c r="E240" s="13" t="s">
        <v>104</v>
      </c>
      <c r="F240" s="13" t="s">
        <v>65</v>
      </c>
      <c r="G240" s="13" t="s">
        <v>67</v>
      </c>
      <c r="H240" s="13" t="s">
        <v>56</v>
      </c>
      <c r="I240" s="13" t="s">
        <v>57</v>
      </c>
      <c r="J240" s="13" t="s">
        <v>58</v>
      </c>
      <c r="K240" s="13" t="s">
        <v>95</v>
      </c>
      <c r="L240">
        <v>11454.01</v>
      </c>
      <c r="M240">
        <v>1857.57</v>
      </c>
      <c r="N240">
        <v>345.1</v>
      </c>
      <c r="O240">
        <v>0</v>
      </c>
      <c r="P240">
        <v>723.22</v>
      </c>
      <c r="Q240">
        <v>0</v>
      </c>
      <c r="R240">
        <v>0</v>
      </c>
      <c r="S240">
        <v>-868.74</v>
      </c>
      <c r="T240">
        <v>1</v>
      </c>
      <c r="U240">
        <v>502</v>
      </c>
      <c r="V240">
        <v>7.64</v>
      </c>
      <c r="W240">
        <v>4.5</v>
      </c>
      <c r="X240">
        <v>1591.96</v>
      </c>
      <c r="Y240">
        <v>9862.0499999999993</v>
      </c>
      <c r="Z240">
        <v>0</v>
      </c>
      <c r="AA240" s="13" t="s">
        <v>3239</v>
      </c>
      <c r="AB240">
        <v>0</v>
      </c>
      <c r="AC240">
        <v>0</v>
      </c>
      <c r="AD240" s="13" t="s">
        <v>3240</v>
      </c>
    </row>
    <row r="241" spans="1:30" x14ac:dyDescent="0.35">
      <c r="A241">
        <v>240</v>
      </c>
      <c r="B241">
        <v>30</v>
      </c>
      <c r="C241" s="13" t="s">
        <v>1992</v>
      </c>
      <c r="D241" s="13" t="s">
        <v>1993</v>
      </c>
      <c r="E241" s="13" t="s">
        <v>76</v>
      </c>
      <c r="F241" s="13" t="s">
        <v>71</v>
      </c>
      <c r="G241" s="13" t="s">
        <v>67</v>
      </c>
      <c r="H241" s="13" t="s">
        <v>93</v>
      </c>
      <c r="I241" s="13" t="s">
        <v>94</v>
      </c>
      <c r="J241" s="13" t="s">
        <v>81</v>
      </c>
      <c r="K241" s="13" t="s">
        <v>82</v>
      </c>
      <c r="L241">
        <v>5869.44</v>
      </c>
      <c r="M241">
        <v>0</v>
      </c>
      <c r="N241">
        <v>0</v>
      </c>
      <c r="O241">
        <v>1281.5999999999999</v>
      </c>
      <c r="P241">
        <v>0</v>
      </c>
      <c r="Q241">
        <v>0</v>
      </c>
      <c r="R241">
        <v>0</v>
      </c>
      <c r="S241">
        <v>0</v>
      </c>
      <c r="T241">
        <v>1</v>
      </c>
      <c r="U241">
        <v>-2</v>
      </c>
      <c r="V241">
        <v>6.52</v>
      </c>
      <c r="W241">
        <v>-16.2</v>
      </c>
      <c r="X241">
        <v>0</v>
      </c>
      <c r="Y241">
        <v>5869.44</v>
      </c>
      <c r="Z241">
        <v>0</v>
      </c>
      <c r="AA241" s="13" t="s">
        <v>3237</v>
      </c>
      <c r="AB241">
        <v>0</v>
      </c>
      <c r="AC241">
        <v>0</v>
      </c>
      <c r="AD241" s="13" t="s">
        <v>3238</v>
      </c>
    </row>
    <row r="242" spans="1:30" x14ac:dyDescent="0.35">
      <c r="A242">
        <v>241</v>
      </c>
      <c r="B242">
        <v>39</v>
      </c>
      <c r="C242" s="13" t="s">
        <v>1865</v>
      </c>
      <c r="D242" s="13" t="s">
        <v>1866</v>
      </c>
      <c r="E242" s="13" t="s">
        <v>104</v>
      </c>
      <c r="F242" s="13" t="s">
        <v>65</v>
      </c>
      <c r="G242" s="13" t="s">
        <v>67</v>
      </c>
      <c r="H242" s="13" t="s">
        <v>105</v>
      </c>
      <c r="I242" s="13" t="s">
        <v>106</v>
      </c>
      <c r="J242" s="13" t="s">
        <v>107</v>
      </c>
      <c r="K242" s="13" t="s">
        <v>82</v>
      </c>
      <c r="L242">
        <v>923.64</v>
      </c>
      <c r="M242">
        <v>0</v>
      </c>
      <c r="N242">
        <v>0</v>
      </c>
      <c r="O242">
        <v>923.64</v>
      </c>
      <c r="P242">
        <v>0</v>
      </c>
      <c r="Q242">
        <v>0</v>
      </c>
      <c r="R242">
        <v>0</v>
      </c>
      <c r="S242">
        <v>0</v>
      </c>
      <c r="T242">
        <v>1</v>
      </c>
      <c r="U242">
        <v>0</v>
      </c>
      <c r="V242">
        <v>1.23</v>
      </c>
      <c r="W242">
        <v>-19.600000000000001</v>
      </c>
      <c r="X242">
        <v>0</v>
      </c>
      <c r="Y242">
        <v>923.64</v>
      </c>
      <c r="Z242">
        <v>0</v>
      </c>
      <c r="AA242" s="13" t="s">
        <v>3237</v>
      </c>
      <c r="AB242">
        <v>0</v>
      </c>
      <c r="AC242">
        <v>0</v>
      </c>
      <c r="AD242" s="13" t="s">
        <v>3238</v>
      </c>
    </row>
    <row r="243" spans="1:30" x14ac:dyDescent="0.35">
      <c r="A243">
        <v>242</v>
      </c>
      <c r="B243">
        <v>43</v>
      </c>
      <c r="C243" s="13" t="s">
        <v>449</v>
      </c>
      <c r="D243" s="13" t="s">
        <v>450</v>
      </c>
      <c r="E243" s="13" t="s">
        <v>126</v>
      </c>
      <c r="F243" s="13" t="s">
        <v>71</v>
      </c>
      <c r="G243" s="13" t="s">
        <v>67</v>
      </c>
      <c r="H243" s="13" t="s">
        <v>121</v>
      </c>
      <c r="I243" s="13" t="s">
        <v>122</v>
      </c>
      <c r="J243" s="13" t="s">
        <v>107</v>
      </c>
      <c r="K243" s="13" t="s">
        <v>368</v>
      </c>
      <c r="L243">
        <v>8881.8700000000008</v>
      </c>
      <c r="M243">
        <v>2594.37</v>
      </c>
      <c r="N243">
        <v>0</v>
      </c>
      <c r="O243">
        <v>0</v>
      </c>
      <c r="P243">
        <v>648.59</v>
      </c>
      <c r="Q243">
        <v>0</v>
      </c>
      <c r="R243">
        <v>0</v>
      </c>
      <c r="S243">
        <v>-579.67999999999995</v>
      </c>
      <c r="T243">
        <v>1</v>
      </c>
      <c r="U243">
        <v>16</v>
      </c>
      <c r="V243">
        <v>13.66</v>
      </c>
      <c r="W243">
        <v>21.9</v>
      </c>
      <c r="X243">
        <v>1228.27</v>
      </c>
      <c r="Y243">
        <v>7653.6</v>
      </c>
      <c r="Z243">
        <v>0</v>
      </c>
      <c r="AA243" s="13" t="s">
        <v>3235</v>
      </c>
      <c r="AB243">
        <v>0</v>
      </c>
      <c r="AC243">
        <v>0</v>
      </c>
      <c r="AD243" s="13" t="s">
        <v>3236</v>
      </c>
    </row>
    <row r="244" spans="1:30" x14ac:dyDescent="0.35">
      <c r="A244">
        <v>243</v>
      </c>
      <c r="B244">
        <v>34</v>
      </c>
      <c r="C244" s="13" t="s">
        <v>1648</v>
      </c>
      <c r="D244" s="13" t="s">
        <v>1649</v>
      </c>
      <c r="E244" s="13" t="s">
        <v>52</v>
      </c>
      <c r="F244" s="13" t="s">
        <v>65</v>
      </c>
      <c r="G244" s="13" t="s">
        <v>67</v>
      </c>
      <c r="H244" s="13" t="s">
        <v>86</v>
      </c>
      <c r="I244" s="13" t="s">
        <v>87</v>
      </c>
      <c r="J244" s="13" t="s">
        <v>58</v>
      </c>
      <c r="K244" s="13" t="s">
        <v>59</v>
      </c>
      <c r="L244">
        <v>39822.839999999997</v>
      </c>
      <c r="M244">
        <v>0</v>
      </c>
      <c r="N244">
        <v>0</v>
      </c>
      <c r="O244">
        <v>18093.5</v>
      </c>
      <c r="P244">
        <v>0</v>
      </c>
      <c r="Q244">
        <v>0</v>
      </c>
      <c r="R244">
        <v>0</v>
      </c>
      <c r="S244">
        <v>0</v>
      </c>
      <c r="T244">
        <v>1</v>
      </c>
      <c r="U244">
        <v>-9</v>
      </c>
      <c r="V244">
        <v>17.309999999999999</v>
      </c>
      <c r="W244">
        <v>5</v>
      </c>
      <c r="X244">
        <v>0</v>
      </c>
      <c r="Y244">
        <v>39822.839999999997</v>
      </c>
      <c r="Z244">
        <v>0</v>
      </c>
      <c r="AA244" s="13" t="s">
        <v>3237</v>
      </c>
      <c r="AB244">
        <v>0</v>
      </c>
      <c r="AC244">
        <v>0</v>
      </c>
      <c r="AD244" s="13" t="s">
        <v>3238</v>
      </c>
    </row>
    <row r="245" spans="1:30" x14ac:dyDescent="0.35">
      <c r="A245">
        <v>244</v>
      </c>
      <c r="B245">
        <v>48</v>
      </c>
      <c r="C245" s="13" t="s">
        <v>1813</v>
      </c>
      <c r="D245" s="13" t="s">
        <v>1814</v>
      </c>
      <c r="E245" s="13" t="s">
        <v>104</v>
      </c>
      <c r="F245" s="13" t="s">
        <v>71</v>
      </c>
      <c r="G245" s="13" t="s">
        <v>67</v>
      </c>
      <c r="H245" s="13" t="s">
        <v>105</v>
      </c>
      <c r="I245" s="13" t="s">
        <v>106</v>
      </c>
      <c r="J245" s="13" t="s">
        <v>107</v>
      </c>
      <c r="K245" s="13" t="s">
        <v>82</v>
      </c>
      <c r="L245">
        <v>15090.94</v>
      </c>
      <c r="M245">
        <v>6456.32</v>
      </c>
      <c r="N245">
        <v>0</v>
      </c>
      <c r="O245">
        <v>0</v>
      </c>
      <c r="P245">
        <v>1614.08</v>
      </c>
      <c r="Q245">
        <v>0</v>
      </c>
      <c r="R245">
        <v>0</v>
      </c>
      <c r="S245">
        <v>-4842.24</v>
      </c>
      <c r="T245">
        <v>1</v>
      </c>
      <c r="U245">
        <v>3</v>
      </c>
      <c r="V245">
        <v>43.12</v>
      </c>
      <c r="W245">
        <v>-17.899999999999999</v>
      </c>
      <c r="X245">
        <v>6456.32</v>
      </c>
      <c r="Y245">
        <v>8634.6200000000008</v>
      </c>
      <c r="Z245">
        <v>0</v>
      </c>
      <c r="AA245" s="13" t="s">
        <v>3239</v>
      </c>
      <c r="AB245">
        <v>0</v>
      </c>
      <c r="AC245">
        <v>0</v>
      </c>
      <c r="AD245" s="13" t="s">
        <v>3240</v>
      </c>
    </row>
    <row r="246" spans="1:30" x14ac:dyDescent="0.35">
      <c r="A246">
        <v>245</v>
      </c>
      <c r="B246">
        <v>40</v>
      </c>
      <c r="C246" s="13" t="s">
        <v>1034</v>
      </c>
      <c r="D246" s="13" t="s">
        <v>1035</v>
      </c>
      <c r="E246" s="13" t="s">
        <v>104</v>
      </c>
      <c r="F246" s="13" t="s">
        <v>53</v>
      </c>
      <c r="G246" s="13" t="s">
        <v>67</v>
      </c>
      <c r="H246" s="13" t="s">
        <v>105</v>
      </c>
      <c r="I246" s="13" t="s">
        <v>106</v>
      </c>
      <c r="J246" s="13" t="s">
        <v>107</v>
      </c>
      <c r="K246" s="13" t="s">
        <v>88</v>
      </c>
      <c r="L246">
        <v>20509.28</v>
      </c>
      <c r="M246">
        <v>0</v>
      </c>
      <c r="N246">
        <v>0</v>
      </c>
      <c r="O246">
        <v>3138.36</v>
      </c>
      <c r="P246">
        <v>0</v>
      </c>
      <c r="Q246">
        <v>0</v>
      </c>
      <c r="R246">
        <v>0</v>
      </c>
      <c r="S246">
        <v>0</v>
      </c>
      <c r="T246">
        <v>1</v>
      </c>
      <c r="U246">
        <v>-3</v>
      </c>
      <c r="V246">
        <v>51.27</v>
      </c>
      <c r="W246">
        <v>6.8</v>
      </c>
      <c r="X246">
        <v>0</v>
      </c>
      <c r="Y246">
        <v>20509.28</v>
      </c>
      <c r="Z246">
        <v>0</v>
      </c>
      <c r="AA246" s="13" t="s">
        <v>3237</v>
      </c>
      <c r="AB246">
        <v>0</v>
      </c>
      <c r="AC246">
        <v>0</v>
      </c>
      <c r="AD246" s="13" t="s">
        <v>3238</v>
      </c>
    </row>
    <row r="247" spans="1:30" x14ac:dyDescent="0.35">
      <c r="A247">
        <v>246</v>
      </c>
      <c r="B247">
        <v>31</v>
      </c>
      <c r="C247" s="13" t="s">
        <v>2253</v>
      </c>
      <c r="D247" s="13" t="s">
        <v>2254</v>
      </c>
      <c r="E247" s="13" t="s">
        <v>76</v>
      </c>
      <c r="F247" s="13" t="s">
        <v>53</v>
      </c>
      <c r="G247" s="13" t="s">
        <v>67</v>
      </c>
      <c r="H247" s="13" t="s">
        <v>93</v>
      </c>
      <c r="I247" s="13" t="s">
        <v>94</v>
      </c>
      <c r="J247" s="13" t="s">
        <v>81</v>
      </c>
      <c r="K247" s="13" t="s">
        <v>82</v>
      </c>
      <c r="L247">
        <v>11296.82</v>
      </c>
      <c r="M247">
        <v>0</v>
      </c>
      <c r="N247">
        <v>0</v>
      </c>
      <c r="O247">
        <v>3287.34</v>
      </c>
      <c r="P247">
        <v>0</v>
      </c>
      <c r="Q247">
        <v>0</v>
      </c>
      <c r="R247">
        <v>0</v>
      </c>
      <c r="S247">
        <v>0</v>
      </c>
      <c r="T247">
        <v>1</v>
      </c>
      <c r="U247">
        <v>-8</v>
      </c>
      <c r="V247">
        <v>13.29</v>
      </c>
      <c r="W247">
        <v>-14</v>
      </c>
      <c r="X247">
        <v>0</v>
      </c>
      <c r="Y247">
        <v>11296.82</v>
      </c>
      <c r="Z247">
        <v>0</v>
      </c>
      <c r="AA247" s="13" t="s">
        <v>3237</v>
      </c>
      <c r="AB247">
        <v>0</v>
      </c>
      <c r="AC247">
        <v>0</v>
      </c>
      <c r="AD247" s="13" t="s">
        <v>3238</v>
      </c>
    </row>
    <row r="248" spans="1:30" x14ac:dyDescent="0.35">
      <c r="A248">
        <v>247</v>
      </c>
      <c r="B248">
        <v>35</v>
      </c>
      <c r="C248" s="13" t="s">
        <v>1201</v>
      </c>
      <c r="D248" s="13" t="s">
        <v>1202</v>
      </c>
      <c r="E248" s="13" t="s">
        <v>126</v>
      </c>
      <c r="F248" s="13" t="s">
        <v>99</v>
      </c>
      <c r="G248" s="13" t="s">
        <v>67</v>
      </c>
      <c r="H248" s="13" t="s">
        <v>86</v>
      </c>
      <c r="I248" s="13" t="s">
        <v>87</v>
      </c>
      <c r="J248" s="13" t="s">
        <v>58</v>
      </c>
      <c r="K248" s="13" t="s">
        <v>88</v>
      </c>
      <c r="L248">
        <v>19625.939999999999</v>
      </c>
      <c r="M248">
        <v>0</v>
      </c>
      <c r="N248">
        <v>0</v>
      </c>
      <c r="O248">
        <v>4525.91</v>
      </c>
      <c r="P248">
        <v>0</v>
      </c>
      <c r="Q248">
        <v>0</v>
      </c>
      <c r="R248">
        <v>0</v>
      </c>
      <c r="S248">
        <v>0</v>
      </c>
      <c r="T248">
        <v>1</v>
      </c>
      <c r="U248">
        <v>-10</v>
      </c>
      <c r="V248">
        <v>11.21</v>
      </c>
      <c r="W248">
        <v>21.7</v>
      </c>
      <c r="X248">
        <v>0</v>
      </c>
      <c r="Y248">
        <v>19625.939999999999</v>
      </c>
      <c r="Z248">
        <v>0</v>
      </c>
      <c r="AA248" s="13" t="s">
        <v>3237</v>
      </c>
      <c r="AB248">
        <v>0</v>
      </c>
      <c r="AC248">
        <v>0</v>
      </c>
      <c r="AD248" s="13" t="s">
        <v>3238</v>
      </c>
    </row>
    <row r="249" spans="1:30" x14ac:dyDescent="0.35">
      <c r="A249">
        <v>248</v>
      </c>
      <c r="B249">
        <v>48</v>
      </c>
      <c r="C249" s="13" t="s">
        <v>539</v>
      </c>
      <c r="D249" s="13" t="s">
        <v>540</v>
      </c>
      <c r="E249" s="13" t="s">
        <v>52</v>
      </c>
      <c r="F249" s="13" t="s">
        <v>65</v>
      </c>
      <c r="G249" s="13" t="s">
        <v>67</v>
      </c>
      <c r="H249" s="13" t="s">
        <v>56</v>
      </c>
      <c r="I249" s="13" t="s">
        <v>57</v>
      </c>
      <c r="J249" s="13" t="s">
        <v>58</v>
      </c>
      <c r="K249" s="13" t="s">
        <v>59</v>
      </c>
      <c r="L249">
        <v>62245</v>
      </c>
      <c r="M249">
        <v>17423.12</v>
      </c>
      <c r="N249">
        <v>0</v>
      </c>
      <c r="O249">
        <v>4945.51</v>
      </c>
      <c r="P249">
        <v>4564.3</v>
      </c>
      <c r="Q249">
        <v>0</v>
      </c>
      <c r="R249">
        <v>0</v>
      </c>
      <c r="S249">
        <v>-12024.73</v>
      </c>
      <c r="T249">
        <v>1</v>
      </c>
      <c r="U249">
        <v>48</v>
      </c>
      <c r="V249">
        <v>14.31</v>
      </c>
      <c r="W249">
        <v>5.0999999999999996</v>
      </c>
      <c r="X249">
        <v>16589.03</v>
      </c>
      <c r="Y249">
        <v>45655.97</v>
      </c>
      <c r="Z249">
        <v>0</v>
      </c>
      <c r="AA249" s="13" t="s">
        <v>3239</v>
      </c>
      <c r="AB249">
        <v>0</v>
      </c>
      <c r="AC249">
        <v>0</v>
      </c>
      <c r="AD249" s="13" t="s">
        <v>3240</v>
      </c>
    </row>
    <row r="250" spans="1:30" x14ac:dyDescent="0.35">
      <c r="A250">
        <v>249</v>
      </c>
      <c r="B250">
        <v>49</v>
      </c>
      <c r="C250" s="13" t="s">
        <v>834</v>
      </c>
      <c r="D250" s="13" t="s">
        <v>835</v>
      </c>
      <c r="E250" s="13" t="s">
        <v>104</v>
      </c>
      <c r="F250" s="13" t="s">
        <v>77</v>
      </c>
      <c r="G250" s="13" t="s">
        <v>67</v>
      </c>
      <c r="H250" s="13" t="s">
        <v>105</v>
      </c>
      <c r="I250" s="13" t="s">
        <v>106</v>
      </c>
      <c r="J250" s="13" t="s">
        <v>107</v>
      </c>
      <c r="K250" s="13" t="s">
        <v>95</v>
      </c>
      <c r="L250">
        <v>18461.95</v>
      </c>
      <c r="M250">
        <v>6650.25</v>
      </c>
      <c r="N250">
        <v>0</v>
      </c>
      <c r="O250">
        <v>931.61</v>
      </c>
      <c r="P250">
        <v>3092.22</v>
      </c>
      <c r="Q250">
        <v>232.9</v>
      </c>
      <c r="R250">
        <v>0</v>
      </c>
      <c r="S250">
        <v>-2801.1</v>
      </c>
      <c r="T250">
        <v>1</v>
      </c>
      <c r="U250">
        <v>38</v>
      </c>
      <c r="V250">
        <v>13.19</v>
      </c>
      <c r="W250">
        <v>6.4</v>
      </c>
      <c r="X250">
        <v>5718.64</v>
      </c>
      <c r="Y250">
        <v>12743.31</v>
      </c>
      <c r="Z250">
        <v>0</v>
      </c>
      <c r="AA250" s="13" t="s">
        <v>3239</v>
      </c>
      <c r="AB250">
        <v>0</v>
      </c>
      <c r="AC250">
        <v>0</v>
      </c>
      <c r="AD250" s="13" t="s">
        <v>3240</v>
      </c>
    </row>
    <row r="251" spans="1:30" x14ac:dyDescent="0.35">
      <c r="A251">
        <v>250</v>
      </c>
      <c r="B251">
        <v>44</v>
      </c>
      <c r="C251" s="13" t="s">
        <v>2207</v>
      </c>
      <c r="D251" s="13" t="s">
        <v>2208</v>
      </c>
      <c r="E251" s="13" t="s">
        <v>104</v>
      </c>
      <c r="F251" s="13" t="s">
        <v>77</v>
      </c>
      <c r="G251" s="13" t="s">
        <v>67</v>
      </c>
      <c r="H251" s="13" t="s">
        <v>121</v>
      </c>
      <c r="I251" s="13" t="s">
        <v>122</v>
      </c>
      <c r="J251" s="13" t="s">
        <v>107</v>
      </c>
      <c r="K251" s="13" t="s">
        <v>82</v>
      </c>
      <c r="L251">
        <v>6453.66</v>
      </c>
      <c r="M251">
        <v>0</v>
      </c>
      <c r="N251">
        <v>0</v>
      </c>
      <c r="O251">
        <v>3072.6</v>
      </c>
      <c r="P251">
        <v>0</v>
      </c>
      <c r="Q251">
        <v>0</v>
      </c>
      <c r="R251">
        <v>0</v>
      </c>
      <c r="S251">
        <v>0</v>
      </c>
      <c r="T251">
        <v>1</v>
      </c>
      <c r="U251">
        <v>-7</v>
      </c>
      <c r="V251">
        <v>5.38</v>
      </c>
      <c r="W251">
        <v>-15.7</v>
      </c>
      <c r="X251">
        <v>0</v>
      </c>
      <c r="Y251">
        <v>6453.66</v>
      </c>
      <c r="Z251">
        <v>0</v>
      </c>
      <c r="AA251" s="13" t="s">
        <v>3237</v>
      </c>
      <c r="AB251">
        <v>0</v>
      </c>
      <c r="AC251">
        <v>0</v>
      </c>
      <c r="AD251" s="13" t="s">
        <v>3238</v>
      </c>
    </row>
    <row r="252" spans="1:30" x14ac:dyDescent="0.35">
      <c r="A252">
        <v>251</v>
      </c>
      <c r="B252">
        <v>53</v>
      </c>
      <c r="C252" s="13" t="s">
        <v>496</v>
      </c>
      <c r="D252" s="13" t="s">
        <v>497</v>
      </c>
      <c r="E252" s="13" t="s">
        <v>104</v>
      </c>
      <c r="F252" s="13" t="s">
        <v>53</v>
      </c>
      <c r="G252" s="13" t="s">
        <v>67</v>
      </c>
      <c r="H252" s="13" t="s">
        <v>121</v>
      </c>
      <c r="I252" s="13" t="s">
        <v>122</v>
      </c>
      <c r="J252" s="13" t="s">
        <v>107</v>
      </c>
      <c r="K252" s="13" t="s">
        <v>88</v>
      </c>
      <c r="L252">
        <v>10549.44</v>
      </c>
      <c r="M252">
        <v>2126.1999999999998</v>
      </c>
      <c r="N252">
        <v>0</v>
      </c>
      <c r="O252">
        <v>0</v>
      </c>
      <c r="P252">
        <v>1063.0999999999999</v>
      </c>
      <c r="Q252">
        <v>0</v>
      </c>
      <c r="R252">
        <v>0</v>
      </c>
      <c r="S252">
        <v>-1063.0999999999999</v>
      </c>
      <c r="T252">
        <v>1</v>
      </c>
      <c r="U252">
        <v>39</v>
      </c>
      <c r="V252">
        <v>42.2</v>
      </c>
      <c r="W252">
        <v>2.9</v>
      </c>
      <c r="X252">
        <v>2126.1999999999998</v>
      </c>
      <c r="Y252">
        <v>8423.24</v>
      </c>
      <c r="Z252">
        <v>0</v>
      </c>
      <c r="AA252" s="13" t="s">
        <v>3239</v>
      </c>
      <c r="AB252">
        <v>0</v>
      </c>
      <c r="AC252">
        <v>0</v>
      </c>
      <c r="AD252" s="13" t="s">
        <v>3240</v>
      </c>
    </row>
    <row r="253" spans="1:30" x14ac:dyDescent="0.35">
      <c r="A253">
        <v>252</v>
      </c>
      <c r="B253">
        <v>29</v>
      </c>
      <c r="C253" s="13" t="s">
        <v>481</v>
      </c>
      <c r="D253" s="13" t="s">
        <v>482</v>
      </c>
      <c r="E253" s="13" t="s">
        <v>76</v>
      </c>
      <c r="F253" s="13" t="s">
        <v>53</v>
      </c>
      <c r="G253" s="13" t="s">
        <v>67</v>
      </c>
      <c r="H253" s="13" t="s">
        <v>79</v>
      </c>
      <c r="I253" s="13" t="s">
        <v>80</v>
      </c>
      <c r="J253" s="13" t="s">
        <v>81</v>
      </c>
      <c r="K253" s="13" t="s">
        <v>95</v>
      </c>
      <c r="L253">
        <v>4918.3500000000004</v>
      </c>
      <c r="M253">
        <v>2387.0100000000002</v>
      </c>
      <c r="N253">
        <v>0</v>
      </c>
      <c r="O253">
        <v>0</v>
      </c>
      <c r="P253">
        <v>1790.26</v>
      </c>
      <c r="Q253">
        <v>0</v>
      </c>
      <c r="R253">
        <v>0</v>
      </c>
      <c r="S253">
        <v>-596.75</v>
      </c>
      <c r="T253">
        <v>1</v>
      </c>
      <c r="U253">
        <v>73</v>
      </c>
      <c r="V253">
        <v>8.1999999999999993</v>
      </c>
      <c r="W253">
        <v>7.2</v>
      </c>
      <c r="X253">
        <v>2387.0100000000002</v>
      </c>
      <c r="Y253">
        <v>2531.34</v>
      </c>
      <c r="Z253">
        <v>0</v>
      </c>
      <c r="AA253" s="13" t="s">
        <v>3239</v>
      </c>
      <c r="AB253">
        <v>0</v>
      </c>
      <c r="AC253">
        <v>0</v>
      </c>
      <c r="AD253" s="13" t="s">
        <v>3240</v>
      </c>
    </row>
    <row r="254" spans="1:30" x14ac:dyDescent="0.35">
      <c r="A254">
        <v>253</v>
      </c>
      <c r="B254">
        <v>49</v>
      </c>
      <c r="C254" s="13" t="s">
        <v>692</v>
      </c>
      <c r="D254" s="13" t="s">
        <v>693</v>
      </c>
      <c r="E254" s="13" t="s">
        <v>52</v>
      </c>
      <c r="F254" s="13" t="s">
        <v>53</v>
      </c>
      <c r="G254" s="13" t="s">
        <v>55</v>
      </c>
      <c r="H254" s="13" t="s">
        <v>56</v>
      </c>
      <c r="I254" s="13" t="s">
        <v>57</v>
      </c>
      <c r="J254" s="13" t="s">
        <v>58</v>
      </c>
      <c r="K254" s="13" t="s">
        <v>88</v>
      </c>
      <c r="L254">
        <v>58855.62</v>
      </c>
      <c r="M254">
        <v>4996.8900000000003</v>
      </c>
      <c r="N254">
        <v>0</v>
      </c>
      <c r="O254">
        <v>1630.92</v>
      </c>
      <c r="P254">
        <v>1249.22</v>
      </c>
      <c r="Q254">
        <v>0</v>
      </c>
      <c r="R254">
        <v>0</v>
      </c>
      <c r="S254">
        <v>-3747.67</v>
      </c>
      <c r="T254">
        <v>1</v>
      </c>
      <c r="U254">
        <v>18</v>
      </c>
      <c r="V254">
        <v>16.350000000000001</v>
      </c>
      <c r="W254">
        <v>11.6</v>
      </c>
      <c r="X254">
        <v>4996.8900000000003</v>
      </c>
      <c r="Y254">
        <v>53858.73</v>
      </c>
      <c r="Z254">
        <v>0</v>
      </c>
      <c r="AA254" s="13" t="s">
        <v>3239</v>
      </c>
      <c r="AB254">
        <v>0</v>
      </c>
      <c r="AC254">
        <v>0</v>
      </c>
      <c r="AD254" s="13" t="s">
        <v>3240</v>
      </c>
    </row>
    <row r="255" spans="1:30" x14ac:dyDescent="0.35">
      <c r="A255">
        <v>254</v>
      </c>
      <c r="B255">
        <v>40</v>
      </c>
      <c r="C255" s="13" t="s">
        <v>1127</v>
      </c>
      <c r="D255" s="13" t="s">
        <v>1128</v>
      </c>
      <c r="E255" s="13" t="s">
        <v>52</v>
      </c>
      <c r="F255" s="13" t="s">
        <v>53</v>
      </c>
      <c r="G255" s="13" t="s">
        <v>67</v>
      </c>
      <c r="H255" s="13" t="s">
        <v>56</v>
      </c>
      <c r="I255" s="13" t="s">
        <v>57</v>
      </c>
      <c r="J255" s="13" t="s">
        <v>58</v>
      </c>
      <c r="K255" s="13" t="s">
        <v>88</v>
      </c>
      <c r="L255">
        <v>63838.8</v>
      </c>
      <c r="M255">
        <v>0</v>
      </c>
      <c r="N255">
        <v>0</v>
      </c>
      <c r="O255">
        <v>1630.87</v>
      </c>
      <c r="P255">
        <v>0</v>
      </c>
      <c r="Q255">
        <v>0</v>
      </c>
      <c r="R255">
        <v>0</v>
      </c>
      <c r="S255">
        <v>0</v>
      </c>
      <c r="T255">
        <v>1</v>
      </c>
      <c r="U255">
        <v>-5</v>
      </c>
      <c r="V255">
        <v>13.58</v>
      </c>
      <c r="W255">
        <v>5</v>
      </c>
      <c r="X255">
        <v>0</v>
      </c>
      <c r="Y255">
        <v>63838.8</v>
      </c>
      <c r="Z255">
        <v>0</v>
      </c>
      <c r="AA255" s="13" t="s">
        <v>3237</v>
      </c>
      <c r="AB255">
        <v>0</v>
      </c>
      <c r="AC255">
        <v>0</v>
      </c>
      <c r="AD255" s="13" t="s">
        <v>3238</v>
      </c>
    </row>
    <row r="256" spans="1:30" x14ac:dyDescent="0.35">
      <c r="A256">
        <v>255</v>
      </c>
      <c r="B256">
        <v>50</v>
      </c>
      <c r="C256" s="13" t="s">
        <v>894</v>
      </c>
      <c r="D256" s="13" t="s">
        <v>895</v>
      </c>
      <c r="E256" s="13" t="s">
        <v>104</v>
      </c>
      <c r="F256" s="13" t="s">
        <v>71</v>
      </c>
      <c r="G256" s="13" t="s">
        <v>67</v>
      </c>
      <c r="H256" s="13" t="s">
        <v>105</v>
      </c>
      <c r="I256" s="13" t="s">
        <v>106</v>
      </c>
      <c r="J256" s="13" t="s">
        <v>107</v>
      </c>
      <c r="K256" s="13" t="s">
        <v>88</v>
      </c>
      <c r="L256">
        <v>19129.87</v>
      </c>
      <c r="M256">
        <v>5733.22</v>
      </c>
      <c r="N256">
        <v>0</v>
      </c>
      <c r="O256">
        <v>0</v>
      </c>
      <c r="P256">
        <v>1433.31</v>
      </c>
      <c r="Q256">
        <v>0</v>
      </c>
      <c r="R256">
        <v>0</v>
      </c>
      <c r="S256">
        <v>-1548.76</v>
      </c>
      <c r="T256">
        <v>1</v>
      </c>
      <c r="U256">
        <v>4</v>
      </c>
      <c r="V256">
        <v>22.51</v>
      </c>
      <c r="W256">
        <v>3.5</v>
      </c>
      <c r="X256">
        <v>2982.07</v>
      </c>
      <c r="Y256">
        <v>16147.8</v>
      </c>
      <c r="Z256">
        <v>0</v>
      </c>
      <c r="AA256" s="13" t="s">
        <v>3239</v>
      </c>
      <c r="AB256">
        <v>0</v>
      </c>
      <c r="AC256">
        <v>0</v>
      </c>
      <c r="AD256" s="13" t="s">
        <v>3240</v>
      </c>
    </row>
    <row r="257" spans="1:30" x14ac:dyDescent="0.35">
      <c r="A257">
        <v>256</v>
      </c>
      <c r="B257">
        <v>30</v>
      </c>
      <c r="C257" s="13" t="s">
        <v>1672</v>
      </c>
      <c r="D257" s="13" t="s">
        <v>1673</v>
      </c>
      <c r="E257" s="13" t="s">
        <v>76</v>
      </c>
      <c r="F257" s="13" t="s">
        <v>77</v>
      </c>
      <c r="G257" s="13" t="s">
        <v>67</v>
      </c>
      <c r="H257" s="13" t="s">
        <v>79</v>
      </c>
      <c r="I257" s="13" t="s">
        <v>80</v>
      </c>
      <c r="J257" s="13" t="s">
        <v>81</v>
      </c>
      <c r="K257" s="13" t="s">
        <v>95</v>
      </c>
      <c r="L257">
        <v>19062.14</v>
      </c>
      <c r="M257">
        <v>1498.04</v>
      </c>
      <c r="N257">
        <v>0</v>
      </c>
      <c r="O257">
        <v>0</v>
      </c>
      <c r="P257">
        <v>374.51</v>
      </c>
      <c r="Q257">
        <v>0</v>
      </c>
      <c r="R257">
        <v>0</v>
      </c>
      <c r="S257">
        <v>-1123.53</v>
      </c>
      <c r="T257">
        <v>1</v>
      </c>
      <c r="U257">
        <v>6</v>
      </c>
      <c r="V257">
        <v>16.579999999999998</v>
      </c>
      <c r="W257">
        <v>6.1</v>
      </c>
      <c r="X257">
        <v>1498.04</v>
      </c>
      <c r="Y257">
        <v>17564.099999999999</v>
      </c>
      <c r="Z257">
        <v>0</v>
      </c>
      <c r="AA257" s="13" t="s">
        <v>3239</v>
      </c>
      <c r="AB257">
        <v>0</v>
      </c>
      <c r="AC257">
        <v>0</v>
      </c>
      <c r="AD257" s="13" t="s">
        <v>3240</v>
      </c>
    </row>
    <row r="258" spans="1:30" x14ac:dyDescent="0.35">
      <c r="A258">
        <v>257</v>
      </c>
      <c r="B258">
        <v>45</v>
      </c>
      <c r="C258" s="13" t="s">
        <v>584</v>
      </c>
      <c r="D258" s="13" t="s">
        <v>585</v>
      </c>
      <c r="E258" s="13" t="s">
        <v>104</v>
      </c>
      <c r="F258" s="13" t="s">
        <v>53</v>
      </c>
      <c r="G258" s="13" t="s">
        <v>67</v>
      </c>
      <c r="H258" s="13" t="s">
        <v>121</v>
      </c>
      <c r="I258" s="13" t="s">
        <v>122</v>
      </c>
      <c r="J258" s="13" t="s">
        <v>107</v>
      </c>
      <c r="K258" s="13" t="s">
        <v>88</v>
      </c>
      <c r="L258">
        <v>48336.7</v>
      </c>
      <c r="M258">
        <v>14205.25</v>
      </c>
      <c r="N258">
        <v>0</v>
      </c>
      <c r="O258">
        <v>0</v>
      </c>
      <c r="P258">
        <v>3551.31</v>
      </c>
      <c r="Q258">
        <v>0</v>
      </c>
      <c r="R258">
        <v>0</v>
      </c>
      <c r="S258">
        <v>-2846.52</v>
      </c>
      <c r="T258">
        <v>1</v>
      </c>
      <c r="U258">
        <v>30</v>
      </c>
      <c r="V258">
        <v>42.03</v>
      </c>
      <c r="W258">
        <v>6.1</v>
      </c>
      <c r="X258">
        <v>6397.83</v>
      </c>
      <c r="Y258">
        <v>41938.870000000003</v>
      </c>
      <c r="Z258">
        <v>0</v>
      </c>
      <c r="AA258" s="13" t="s">
        <v>3235</v>
      </c>
      <c r="AB258">
        <v>0</v>
      </c>
      <c r="AC258">
        <v>0</v>
      </c>
      <c r="AD258" s="13" t="s">
        <v>3236</v>
      </c>
    </row>
    <row r="259" spans="1:30" x14ac:dyDescent="0.35">
      <c r="A259">
        <v>258</v>
      </c>
      <c r="B259">
        <v>41</v>
      </c>
      <c r="C259" s="13" t="s">
        <v>422</v>
      </c>
      <c r="D259" s="13" t="s">
        <v>423</v>
      </c>
      <c r="E259" s="13" t="s">
        <v>126</v>
      </c>
      <c r="F259" s="13" t="s">
        <v>77</v>
      </c>
      <c r="G259" s="13" t="s">
        <v>67</v>
      </c>
      <c r="H259" s="13" t="s">
        <v>105</v>
      </c>
      <c r="I259" s="13" t="s">
        <v>106</v>
      </c>
      <c r="J259" s="13" t="s">
        <v>107</v>
      </c>
      <c r="K259" s="13" t="s">
        <v>368</v>
      </c>
      <c r="L259">
        <v>30367.54</v>
      </c>
      <c r="M259">
        <v>19450.599999999999</v>
      </c>
      <c r="N259">
        <v>0</v>
      </c>
      <c r="O259">
        <v>0</v>
      </c>
      <c r="P259">
        <v>4862.6499999999996</v>
      </c>
      <c r="Q259">
        <v>0</v>
      </c>
      <c r="R259">
        <v>0</v>
      </c>
      <c r="S259">
        <v>-3358.94</v>
      </c>
      <c r="T259">
        <v>1</v>
      </c>
      <c r="U259">
        <v>24</v>
      </c>
      <c r="V259">
        <v>20.94</v>
      </c>
      <c r="W259">
        <v>26</v>
      </c>
      <c r="X259">
        <v>8221.59</v>
      </c>
      <c r="Y259">
        <v>22145.95</v>
      </c>
      <c r="Z259">
        <v>0</v>
      </c>
      <c r="AA259" s="13" t="s">
        <v>3235</v>
      </c>
      <c r="AB259">
        <v>0</v>
      </c>
      <c r="AC259">
        <v>0</v>
      </c>
      <c r="AD259" s="13" t="s">
        <v>3236</v>
      </c>
    </row>
    <row r="260" spans="1:30" x14ac:dyDescent="0.35">
      <c r="A260">
        <v>259</v>
      </c>
      <c r="B260">
        <v>51</v>
      </c>
      <c r="C260" s="13" t="s">
        <v>1209</v>
      </c>
      <c r="D260" s="13" t="s">
        <v>1210</v>
      </c>
      <c r="E260" s="13" t="s">
        <v>104</v>
      </c>
      <c r="F260" s="13" t="s">
        <v>99</v>
      </c>
      <c r="G260" s="13" t="s">
        <v>55</v>
      </c>
      <c r="H260" s="13" t="s">
        <v>105</v>
      </c>
      <c r="I260" s="13" t="s">
        <v>106</v>
      </c>
      <c r="J260" s="13" t="s">
        <v>107</v>
      </c>
      <c r="K260" s="13" t="s">
        <v>95</v>
      </c>
      <c r="L260">
        <v>10798.11</v>
      </c>
      <c r="M260">
        <v>9108.2199999999993</v>
      </c>
      <c r="N260">
        <v>0</v>
      </c>
      <c r="O260">
        <v>0</v>
      </c>
      <c r="P260">
        <v>2277.06</v>
      </c>
      <c r="Q260">
        <v>0</v>
      </c>
      <c r="R260">
        <v>0</v>
      </c>
      <c r="S260">
        <v>-5997.1</v>
      </c>
      <c r="T260">
        <v>1</v>
      </c>
      <c r="U260">
        <v>20</v>
      </c>
      <c r="V260">
        <v>7.45</v>
      </c>
      <c r="W260">
        <v>12.1</v>
      </c>
      <c r="X260">
        <v>8274.16</v>
      </c>
      <c r="Y260">
        <v>2523.9499999999998</v>
      </c>
      <c r="Z260">
        <v>0</v>
      </c>
      <c r="AA260" s="13" t="s">
        <v>3239</v>
      </c>
      <c r="AB260">
        <v>0</v>
      </c>
      <c r="AC260">
        <v>0</v>
      </c>
      <c r="AD260" s="13" t="s">
        <v>3240</v>
      </c>
    </row>
    <row r="261" spans="1:30" x14ac:dyDescent="0.35">
      <c r="A261">
        <v>260</v>
      </c>
      <c r="B261">
        <v>52</v>
      </c>
      <c r="C261" s="13" t="s">
        <v>1088</v>
      </c>
      <c r="D261" s="13" t="s">
        <v>1089</v>
      </c>
      <c r="E261" s="13" t="s">
        <v>104</v>
      </c>
      <c r="F261" s="13" t="s">
        <v>77</v>
      </c>
      <c r="G261" s="13" t="s">
        <v>67</v>
      </c>
      <c r="H261" s="13" t="s">
        <v>105</v>
      </c>
      <c r="I261" s="13" t="s">
        <v>106</v>
      </c>
      <c r="J261" s="13" t="s">
        <v>107</v>
      </c>
      <c r="K261" s="13" t="s">
        <v>95</v>
      </c>
      <c r="L261">
        <v>5265.61</v>
      </c>
      <c r="M261">
        <v>2428.46</v>
      </c>
      <c r="N261">
        <v>0</v>
      </c>
      <c r="O261">
        <v>0</v>
      </c>
      <c r="P261">
        <v>607.12</v>
      </c>
      <c r="Q261">
        <v>0</v>
      </c>
      <c r="R261">
        <v>0</v>
      </c>
      <c r="S261">
        <v>-2230.0300000000002</v>
      </c>
      <c r="T261">
        <v>1</v>
      </c>
      <c r="U261">
        <v>26</v>
      </c>
      <c r="V261">
        <v>17.55</v>
      </c>
      <c r="W261">
        <v>7.3</v>
      </c>
      <c r="X261">
        <v>2837.15</v>
      </c>
      <c r="Y261">
        <v>2428.46</v>
      </c>
      <c r="Z261">
        <v>0</v>
      </c>
      <c r="AA261" s="13" t="s">
        <v>3239</v>
      </c>
      <c r="AB261">
        <v>0</v>
      </c>
      <c r="AC261">
        <v>0</v>
      </c>
      <c r="AD261" s="13" t="s">
        <v>3240</v>
      </c>
    </row>
    <row r="262" spans="1:30" x14ac:dyDescent="0.35">
      <c r="A262">
        <v>261</v>
      </c>
      <c r="B262">
        <v>38</v>
      </c>
      <c r="C262" s="13" t="s">
        <v>1092</v>
      </c>
      <c r="D262" s="13" t="s">
        <v>1093</v>
      </c>
      <c r="E262" s="13" t="s">
        <v>76</v>
      </c>
      <c r="F262" s="13" t="s">
        <v>77</v>
      </c>
      <c r="G262" s="13" t="s">
        <v>55</v>
      </c>
      <c r="H262" s="13" t="s">
        <v>93</v>
      </c>
      <c r="I262" s="13" t="s">
        <v>94</v>
      </c>
      <c r="J262" s="13" t="s">
        <v>81</v>
      </c>
      <c r="K262" s="13" t="s">
        <v>95</v>
      </c>
      <c r="L262">
        <v>9711.7199999999993</v>
      </c>
      <c r="M262">
        <v>3099.3</v>
      </c>
      <c r="N262">
        <v>0</v>
      </c>
      <c r="O262">
        <v>0</v>
      </c>
      <c r="P262">
        <v>774.83</v>
      </c>
      <c r="Q262">
        <v>0</v>
      </c>
      <c r="R262">
        <v>0</v>
      </c>
      <c r="S262">
        <v>-2324.4699999999998</v>
      </c>
      <c r="T262">
        <v>1</v>
      </c>
      <c r="U262">
        <v>26</v>
      </c>
      <c r="V262">
        <v>8.83</v>
      </c>
      <c r="W262">
        <v>14.3</v>
      </c>
      <c r="X262">
        <v>3099.3</v>
      </c>
      <c r="Y262">
        <v>6612.42</v>
      </c>
      <c r="Z262">
        <v>0</v>
      </c>
      <c r="AA262" s="13" t="s">
        <v>3239</v>
      </c>
      <c r="AB262">
        <v>0</v>
      </c>
      <c r="AC262">
        <v>0</v>
      </c>
      <c r="AD262" s="13" t="s">
        <v>3240</v>
      </c>
    </row>
    <row r="263" spans="1:30" x14ac:dyDescent="0.35">
      <c r="A263">
        <v>262</v>
      </c>
      <c r="B263">
        <v>54</v>
      </c>
      <c r="C263" s="13" t="s">
        <v>1785</v>
      </c>
      <c r="D263" s="13" t="s">
        <v>1786</v>
      </c>
      <c r="E263" s="13" t="s">
        <v>104</v>
      </c>
      <c r="F263" s="13" t="s">
        <v>77</v>
      </c>
      <c r="G263" s="13" t="s">
        <v>67</v>
      </c>
      <c r="H263" s="13" t="s">
        <v>121</v>
      </c>
      <c r="I263" s="13" t="s">
        <v>122</v>
      </c>
      <c r="J263" s="13" t="s">
        <v>107</v>
      </c>
      <c r="K263" s="13" t="s">
        <v>95</v>
      </c>
      <c r="L263">
        <v>12024.06</v>
      </c>
      <c r="M263">
        <v>1499.82</v>
      </c>
      <c r="N263">
        <v>0</v>
      </c>
      <c r="O263">
        <v>0</v>
      </c>
      <c r="P263">
        <v>374.96</v>
      </c>
      <c r="Q263">
        <v>0</v>
      </c>
      <c r="R263">
        <v>0</v>
      </c>
      <c r="S263">
        <v>-1124.8599999999999</v>
      </c>
      <c r="T263">
        <v>1</v>
      </c>
      <c r="U263">
        <v>4</v>
      </c>
      <c r="V263">
        <v>18.5</v>
      </c>
      <c r="W263">
        <v>5.8</v>
      </c>
      <c r="X263">
        <v>1499.82</v>
      </c>
      <c r="Y263">
        <v>10524.24</v>
      </c>
      <c r="Z263">
        <v>0</v>
      </c>
      <c r="AA263" s="13" t="s">
        <v>3239</v>
      </c>
      <c r="AB263">
        <v>0</v>
      </c>
      <c r="AC263">
        <v>0</v>
      </c>
      <c r="AD263" s="13" t="s">
        <v>3240</v>
      </c>
    </row>
    <row r="264" spans="1:30" x14ac:dyDescent="0.35">
      <c r="A264">
        <v>263</v>
      </c>
      <c r="B264">
        <v>53</v>
      </c>
      <c r="C264" s="13" t="s">
        <v>1842</v>
      </c>
      <c r="D264" s="13" t="s">
        <v>1843</v>
      </c>
      <c r="E264" s="13" t="s">
        <v>104</v>
      </c>
      <c r="F264" s="13" t="s">
        <v>99</v>
      </c>
      <c r="G264" s="13" t="s">
        <v>67</v>
      </c>
      <c r="H264" s="13" t="s">
        <v>105</v>
      </c>
      <c r="I264" s="13" t="s">
        <v>106</v>
      </c>
      <c r="J264" s="13" t="s">
        <v>107</v>
      </c>
      <c r="K264" s="13" t="s">
        <v>95</v>
      </c>
      <c r="L264">
        <v>10161.73</v>
      </c>
      <c r="M264">
        <v>1384.5</v>
      </c>
      <c r="N264">
        <v>0</v>
      </c>
      <c r="O264">
        <v>0</v>
      </c>
      <c r="P264">
        <v>346.13</v>
      </c>
      <c r="Q264">
        <v>0</v>
      </c>
      <c r="R264">
        <v>0</v>
      </c>
      <c r="S264">
        <v>-1038.3699999999999</v>
      </c>
      <c r="T264">
        <v>1</v>
      </c>
      <c r="U264">
        <v>3</v>
      </c>
      <c r="V264">
        <v>13.55</v>
      </c>
      <c r="W264">
        <v>6.3</v>
      </c>
      <c r="X264">
        <v>1384.5</v>
      </c>
      <c r="Y264">
        <v>8777.23</v>
      </c>
      <c r="Z264">
        <v>0</v>
      </c>
      <c r="AA264" s="13" t="s">
        <v>3239</v>
      </c>
      <c r="AB264">
        <v>0</v>
      </c>
      <c r="AC264">
        <v>0</v>
      </c>
      <c r="AD264" s="13" t="s">
        <v>3240</v>
      </c>
    </row>
    <row r="265" spans="1:30" x14ac:dyDescent="0.35">
      <c r="A265">
        <v>264</v>
      </c>
      <c r="B265">
        <v>50</v>
      </c>
      <c r="C265" s="13" t="s">
        <v>386</v>
      </c>
      <c r="D265" s="13" t="s">
        <v>387</v>
      </c>
      <c r="E265" s="13" t="s">
        <v>52</v>
      </c>
      <c r="F265" s="13" t="s">
        <v>65</v>
      </c>
      <c r="G265" s="13" t="s">
        <v>67</v>
      </c>
      <c r="H265" s="13" t="s">
        <v>56</v>
      </c>
      <c r="I265" s="13" t="s">
        <v>57</v>
      </c>
      <c r="J265" s="13" t="s">
        <v>58</v>
      </c>
      <c r="K265" s="13" t="s">
        <v>88</v>
      </c>
      <c r="L265">
        <v>49151.53</v>
      </c>
      <c r="M265">
        <v>2883.43</v>
      </c>
      <c r="N265">
        <v>0</v>
      </c>
      <c r="O265">
        <v>0</v>
      </c>
      <c r="P265">
        <v>2162.5700000000002</v>
      </c>
      <c r="Q265">
        <v>0</v>
      </c>
      <c r="R265">
        <v>0</v>
      </c>
      <c r="S265">
        <v>-720.86</v>
      </c>
      <c r="T265">
        <v>1</v>
      </c>
      <c r="U265">
        <v>71</v>
      </c>
      <c r="V265">
        <v>22.86</v>
      </c>
      <c r="W265">
        <v>5.6</v>
      </c>
      <c r="X265">
        <v>2883.43</v>
      </c>
      <c r="Y265">
        <v>46268.1</v>
      </c>
      <c r="Z265">
        <v>1</v>
      </c>
      <c r="AA265" s="13" t="s">
        <v>3239</v>
      </c>
      <c r="AB265">
        <v>0</v>
      </c>
      <c r="AC265">
        <v>0</v>
      </c>
      <c r="AD265" s="13" t="s">
        <v>3240</v>
      </c>
    </row>
    <row r="266" spans="1:30" x14ac:dyDescent="0.35">
      <c r="A266">
        <v>265</v>
      </c>
      <c r="B266">
        <v>44</v>
      </c>
      <c r="C266" s="13" t="s">
        <v>788</v>
      </c>
      <c r="D266" s="13" t="s">
        <v>789</v>
      </c>
      <c r="E266" s="13" t="s">
        <v>52</v>
      </c>
      <c r="F266" s="13" t="s">
        <v>53</v>
      </c>
      <c r="G266" s="13" t="s">
        <v>67</v>
      </c>
      <c r="H266" s="13" t="s">
        <v>86</v>
      </c>
      <c r="I266" s="13" t="s">
        <v>87</v>
      </c>
      <c r="J266" s="13" t="s">
        <v>58</v>
      </c>
      <c r="K266" s="13" t="s">
        <v>88</v>
      </c>
      <c r="L266">
        <v>90910.94</v>
      </c>
      <c r="M266">
        <v>19833.509999999998</v>
      </c>
      <c r="N266">
        <v>0</v>
      </c>
      <c r="O266">
        <v>4253.33</v>
      </c>
      <c r="P266">
        <v>4958.38</v>
      </c>
      <c r="Q266">
        <v>1063.33</v>
      </c>
      <c r="R266">
        <v>0</v>
      </c>
      <c r="S266">
        <v>-11419.3</v>
      </c>
      <c r="T266">
        <v>1</v>
      </c>
      <c r="U266">
        <v>10</v>
      </c>
      <c r="V266">
        <v>22.45</v>
      </c>
      <c r="W266">
        <v>5.7</v>
      </c>
      <c r="X266">
        <v>15580.18</v>
      </c>
      <c r="Y266">
        <v>75330.759999999995</v>
      </c>
      <c r="Z266">
        <v>0</v>
      </c>
      <c r="AA266" s="13" t="s">
        <v>3239</v>
      </c>
      <c r="AB266">
        <v>0</v>
      </c>
      <c r="AC266">
        <v>0</v>
      </c>
      <c r="AD266" s="13" t="s">
        <v>3240</v>
      </c>
    </row>
    <row r="267" spans="1:30" x14ac:dyDescent="0.35">
      <c r="A267">
        <v>266</v>
      </c>
      <c r="B267">
        <v>54</v>
      </c>
      <c r="C267" s="13" t="s">
        <v>1444</v>
      </c>
      <c r="D267" s="13" t="s">
        <v>1445</v>
      </c>
      <c r="E267" s="13" t="s">
        <v>104</v>
      </c>
      <c r="F267" s="13" t="s">
        <v>71</v>
      </c>
      <c r="G267" s="13" t="s">
        <v>55</v>
      </c>
      <c r="H267" s="13" t="s">
        <v>105</v>
      </c>
      <c r="I267" s="13" t="s">
        <v>106</v>
      </c>
      <c r="J267" s="13" t="s">
        <v>107</v>
      </c>
      <c r="K267" s="13" t="s">
        <v>82</v>
      </c>
      <c r="L267">
        <v>2395.9899999999998</v>
      </c>
      <c r="M267">
        <v>2395.9899999999998</v>
      </c>
      <c r="N267">
        <v>0</v>
      </c>
      <c r="O267">
        <v>0</v>
      </c>
      <c r="P267">
        <v>599</v>
      </c>
      <c r="Q267">
        <v>0</v>
      </c>
      <c r="R267">
        <v>0</v>
      </c>
      <c r="S267">
        <v>-1796.99</v>
      </c>
      <c r="T267">
        <v>1</v>
      </c>
      <c r="U267">
        <v>13</v>
      </c>
      <c r="V267">
        <v>3.69</v>
      </c>
      <c r="W267">
        <v>-4.5999999999999996</v>
      </c>
      <c r="X267">
        <v>2395.9899999999998</v>
      </c>
      <c r="Y267">
        <v>0</v>
      </c>
      <c r="Z267">
        <v>0</v>
      </c>
      <c r="AA267" s="13" t="s">
        <v>3239</v>
      </c>
      <c r="AB267">
        <v>0</v>
      </c>
      <c r="AC267">
        <v>0</v>
      </c>
      <c r="AD267" s="13" t="s">
        <v>3240</v>
      </c>
    </row>
    <row r="268" spans="1:30" x14ac:dyDescent="0.35">
      <c r="A268">
        <v>267</v>
      </c>
      <c r="B268">
        <v>36</v>
      </c>
      <c r="C268" s="13" t="s">
        <v>1223</v>
      </c>
      <c r="D268" s="13" t="s">
        <v>1224</v>
      </c>
      <c r="E268" s="13" t="s">
        <v>52</v>
      </c>
      <c r="F268" s="13" t="s">
        <v>99</v>
      </c>
      <c r="G268" s="13" t="s">
        <v>67</v>
      </c>
      <c r="H268" s="13" t="s">
        <v>86</v>
      </c>
      <c r="I268" s="13" t="s">
        <v>87</v>
      </c>
      <c r="J268" s="13" t="s">
        <v>58</v>
      </c>
      <c r="K268" s="13" t="s">
        <v>88</v>
      </c>
      <c r="L268">
        <v>49847.08</v>
      </c>
      <c r="M268">
        <v>0</v>
      </c>
      <c r="N268">
        <v>0</v>
      </c>
      <c r="O268">
        <v>19972.27</v>
      </c>
      <c r="P268">
        <v>0</v>
      </c>
      <c r="Q268">
        <v>0</v>
      </c>
      <c r="R268">
        <v>0</v>
      </c>
      <c r="S268">
        <v>0</v>
      </c>
      <c r="T268">
        <v>1</v>
      </c>
      <c r="U268">
        <v>-10</v>
      </c>
      <c r="V268">
        <v>18.13</v>
      </c>
      <c r="W268">
        <v>7.4</v>
      </c>
      <c r="X268">
        <v>0</v>
      </c>
      <c r="Y268">
        <v>49847.08</v>
      </c>
      <c r="Z268">
        <v>0</v>
      </c>
      <c r="AA268" s="13" t="s">
        <v>3237</v>
      </c>
      <c r="AB268">
        <v>0</v>
      </c>
      <c r="AC268">
        <v>0</v>
      </c>
      <c r="AD268" s="13" t="s">
        <v>3238</v>
      </c>
    </row>
    <row r="269" spans="1:30" x14ac:dyDescent="0.35">
      <c r="A269">
        <v>268</v>
      </c>
      <c r="B269">
        <v>31</v>
      </c>
      <c r="C269" s="13" t="s">
        <v>1577</v>
      </c>
      <c r="D269" s="13" t="s">
        <v>1578</v>
      </c>
      <c r="E269" s="13" t="s">
        <v>76</v>
      </c>
      <c r="F269" s="13" t="s">
        <v>71</v>
      </c>
      <c r="G269" s="13" t="s">
        <v>67</v>
      </c>
      <c r="H269" s="13" t="s">
        <v>79</v>
      </c>
      <c r="I269" s="13" t="s">
        <v>80</v>
      </c>
      <c r="J269" s="13" t="s">
        <v>81</v>
      </c>
      <c r="K269" s="13" t="s">
        <v>95</v>
      </c>
      <c r="L269">
        <v>9464.2900000000009</v>
      </c>
      <c r="M269">
        <v>4944.54</v>
      </c>
      <c r="N269">
        <v>0</v>
      </c>
      <c r="O269">
        <v>0</v>
      </c>
      <c r="P269">
        <v>1236.1400000000001</v>
      </c>
      <c r="Q269">
        <v>0</v>
      </c>
      <c r="R269">
        <v>0</v>
      </c>
      <c r="S269">
        <v>-3188.83</v>
      </c>
      <c r="T269">
        <v>1</v>
      </c>
      <c r="U269">
        <v>10</v>
      </c>
      <c r="V269">
        <v>9.4600000000000009</v>
      </c>
      <c r="W269">
        <v>5.3</v>
      </c>
      <c r="X269">
        <v>4424.97</v>
      </c>
      <c r="Y269">
        <v>5039.32</v>
      </c>
      <c r="Z269">
        <v>0</v>
      </c>
      <c r="AA269" s="13" t="s">
        <v>3239</v>
      </c>
      <c r="AB269">
        <v>0</v>
      </c>
      <c r="AC269">
        <v>0</v>
      </c>
      <c r="AD269" s="13" t="s">
        <v>3240</v>
      </c>
    </row>
    <row r="270" spans="1:30" x14ac:dyDescent="0.35">
      <c r="A270">
        <v>269</v>
      </c>
      <c r="B270">
        <v>41</v>
      </c>
      <c r="C270" s="13" t="s">
        <v>430</v>
      </c>
      <c r="D270" s="13" t="s">
        <v>431</v>
      </c>
      <c r="E270" s="13" t="s">
        <v>126</v>
      </c>
      <c r="F270" s="13" t="s">
        <v>77</v>
      </c>
      <c r="G270" s="13" t="s">
        <v>67</v>
      </c>
      <c r="H270" s="13" t="s">
        <v>56</v>
      </c>
      <c r="I270" s="13" t="s">
        <v>57</v>
      </c>
      <c r="J270" s="13" t="s">
        <v>58</v>
      </c>
      <c r="K270" s="13" t="s">
        <v>368</v>
      </c>
      <c r="L270">
        <v>51196.88</v>
      </c>
      <c r="M270">
        <v>17807.080000000002</v>
      </c>
      <c r="N270">
        <v>0</v>
      </c>
      <c r="O270">
        <v>0</v>
      </c>
      <c r="P270">
        <v>4451.7700000000004</v>
      </c>
      <c r="Q270">
        <v>0</v>
      </c>
      <c r="R270">
        <v>0</v>
      </c>
      <c r="S270">
        <v>-1969.75</v>
      </c>
      <c r="T270">
        <v>1</v>
      </c>
      <c r="U270">
        <v>22</v>
      </c>
      <c r="V270">
        <v>26.25</v>
      </c>
      <c r="W270">
        <v>22.5</v>
      </c>
      <c r="X270">
        <v>6421.52</v>
      </c>
      <c r="Y270">
        <v>44775.360000000001</v>
      </c>
      <c r="Z270">
        <v>0</v>
      </c>
      <c r="AA270" s="13" t="s">
        <v>3235</v>
      </c>
      <c r="AB270">
        <v>0</v>
      </c>
      <c r="AC270">
        <v>0</v>
      </c>
      <c r="AD270" s="13" t="s">
        <v>3236</v>
      </c>
    </row>
    <row r="271" spans="1:30" x14ac:dyDescent="0.35">
      <c r="A271">
        <v>270</v>
      </c>
      <c r="B271">
        <v>37</v>
      </c>
      <c r="C271" s="13" t="s">
        <v>1059</v>
      </c>
      <c r="D271" s="13" t="s">
        <v>1060</v>
      </c>
      <c r="E271" s="13" t="s">
        <v>52</v>
      </c>
      <c r="F271" s="13" t="s">
        <v>77</v>
      </c>
      <c r="G271" s="13" t="s">
        <v>67</v>
      </c>
      <c r="H271" s="13" t="s">
        <v>86</v>
      </c>
      <c r="I271" s="13" t="s">
        <v>87</v>
      </c>
      <c r="J271" s="13" t="s">
        <v>58</v>
      </c>
      <c r="K271" s="13" t="s">
        <v>88</v>
      </c>
      <c r="L271">
        <v>61996.38</v>
      </c>
      <c r="M271">
        <v>0</v>
      </c>
      <c r="N271">
        <v>0</v>
      </c>
      <c r="O271">
        <v>6528.44</v>
      </c>
      <c r="P271">
        <v>0</v>
      </c>
      <c r="Q271">
        <v>0</v>
      </c>
      <c r="R271">
        <v>0</v>
      </c>
      <c r="S271">
        <v>0</v>
      </c>
      <c r="T271">
        <v>1</v>
      </c>
      <c r="U271">
        <v>-3</v>
      </c>
      <c r="V271">
        <v>27.55</v>
      </c>
      <c r="W271">
        <v>3.6</v>
      </c>
      <c r="X271">
        <v>0</v>
      </c>
      <c r="Y271">
        <v>61996.38</v>
      </c>
      <c r="Z271">
        <v>0</v>
      </c>
      <c r="AA271" s="13" t="s">
        <v>3237</v>
      </c>
      <c r="AB271">
        <v>0</v>
      </c>
      <c r="AC271">
        <v>0</v>
      </c>
      <c r="AD271" s="13" t="s">
        <v>3238</v>
      </c>
    </row>
    <row r="272" spans="1:30" x14ac:dyDescent="0.35">
      <c r="A272">
        <v>271</v>
      </c>
      <c r="B272">
        <v>45</v>
      </c>
      <c r="C272" s="13" t="s">
        <v>1102</v>
      </c>
      <c r="D272" s="13" t="s">
        <v>1103</v>
      </c>
      <c r="E272" s="13" t="s">
        <v>52</v>
      </c>
      <c r="F272" s="13" t="s">
        <v>71</v>
      </c>
      <c r="G272" s="13" t="s">
        <v>67</v>
      </c>
      <c r="H272" s="13" t="s">
        <v>86</v>
      </c>
      <c r="I272" s="13" t="s">
        <v>87</v>
      </c>
      <c r="J272" s="13" t="s">
        <v>58</v>
      </c>
      <c r="K272" s="13" t="s">
        <v>59</v>
      </c>
      <c r="L272">
        <v>33344.03</v>
      </c>
      <c r="M272">
        <v>10085.17</v>
      </c>
      <c r="N272">
        <v>0</v>
      </c>
      <c r="O272">
        <v>0</v>
      </c>
      <c r="P272">
        <v>2521.29</v>
      </c>
      <c r="Q272">
        <v>0</v>
      </c>
      <c r="R272">
        <v>0</v>
      </c>
      <c r="S272">
        <v>-7563.88</v>
      </c>
      <c r="T272">
        <v>1</v>
      </c>
      <c r="U272">
        <v>11</v>
      </c>
      <c r="V272">
        <v>9.9499999999999993</v>
      </c>
      <c r="W272">
        <v>6.8</v>
      </c>
      <c r="X272">
        <v>10085.17</v>
      </c>
      <c r="Y272">
        <v>23258.86</v>
      </c>
      <c r="Z272">
        <v>0</v>
      </c>
      <c r="AA272" s="13" t="s">
        <v>3239</v>
      </c>
      <c r="AB272">
        <v>0</v>
      </c>
      <c r="AC272">
        <v>0</v>
      </c>
      <c r="AD272" s="13" t="s">
        <v>3240</v>
      </c>
    </row>
    <row r="273" spans="1:30" x14ac:dyDescent="0.35">
      <c r="A273">
        <v>272</v>
      </c>
      <c r="B273">
        <v>32</v>
      </c>
      <c r="C273" s="13" t="s">
        <v>1064</v>
      </c>
      <c r="D273" s="13" t="s">
        <v>1065</v>
      </c>
      <c r="E273" s="13" t="s">
        <v>76</v>
      </c>
      <c r="F273" s="13" t="s">
        <v>99</v>
      </c>
      <c r="G273" s="13" t="s">
        <v>55</v>
      </c>
      <c r="H273" s="13" t="s">
        <v>93</v>
      </c>
      <c r="I273" s="13" t="s">
        <v>94</v>
      </c>
      <c r="J273" s="13" t="s">
        <v>81</v>
      </c>
      <c r="K273" s="13" t="s">
        <v>95</v>
      </c>
      <c r="L273">
        <v>9077.6299999999992</v>
      </c>
      <c r="M273">
        <v>3231.7</v>
      </c>
      <c r="N273">
        <v>0</v>
      </c>
      <c r="O273">
        <v>0</v>
      </c>
      <c r="P273">
        <v>807.93</v>
      </c>
      <c r="Q273">
        <v>0</v>
      </c>
      <c r="R273">
        <v>0</v>
      </c>
      <c r="S273">
        <v>-113.77</v>
      </c>
      <c r="T273">
        <v>1</v>
      </c>
      <c r="U273">
        <v>27</v>
      </c>
      <c r="V273">
        <v>36.31</v>
      </c>
      <c r="W273">
        <v>14</v>
      </c>
      <c r="X273">
        <v>921.7</v>
      </c>
      <c r="Y273">
        <v>8155.93</v>
      </c>
      <c r="Z273">
        <v>0</v>
      </c>
      <c r="AA273" s="13" t="s">
        <v>3235</v>
      </c>
      <c r="AB273">
        <v>0</v>
      </c>
      <c r="AC273">
        <v>0</v>
      </c>
      <c r="AD273" s="13" t="s">
        <v>3236</v>
      </c>
    </row>
  </sheetData>
  <phoneticPr fontId="6"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50F96-3EF5-4DFD-92C4-393E2594C2A9}">
  <dimension ref="A1:AH24"/>
  <sheetViews>
    <sheetView workbookViewId="0"/>
  </sheetViews>
  <sheetFormatPr defaultRowHeight="14.5" x14ac:dyDescent="0.35"/>
  <cols>
    <col min="1" max="1" width="12.08984375" bestFit="1" customWidth="1"/>
    <col min="2" max="2" width="10.90625" bestFit="1" customWidth="1"/>
    <col min="3" max="3" width="11.81640625" bestFit="1" customWidth="1"/>
    <col min="4" max="4" width="12.90625" bestFit="1" customWidth="1"/>
    <col min="5" max="5" width="11.81640625" bestFit="1" customWidth="1"/>
    <col min="6" max="6" width="14.90625" bestFit="1" customWidth="1"/>
    <col min="7" max="7" width="12.36328125" bestFit="1" customWidth="1"/>
    <col min="8" max="8" width="11" bestFit="1" customWidth="1"/>
    <col min="9" max="9" width="13" bestFit="1" customWidth="1"/>
    <col min="10" max="10" width="14.54296875" bestFit="1" customWidth="1"/>
    <col min="11" max="11" width="17.1796875" bestFit="1" customWidth="1"/>
    <col min="12" max="12" width="15.81640625" bestFit="1" customWidth="1"/>
    <col min="13" max="13" width="13.81640625" bestFit="1" customWidth="1"/>
    <col min="14" max="14" width="15.1796875" bestFit="1" customWidth="1"/>
    <col min="15" max="15" width="25.54296875" bestFit="1" customWidth="1"/>
    <col min="16" max="16" width="16.1796875" bestFit="1" customWidth="1"/>
    <col min="17" max="17" width="18.90625" bestFit="1" customWidth="1"/>
    <col min="18" max="18" width="11" bestFit="1" customWidth="1"/>
    <col min="19" max="19" width="14.26953125" bestFit="1" customWidth="1"/>
    <col min="20" max="20" width="16.81640625" bestFit="1" customWidth="1"/>
    <col min="21" max="21" width="13.453125" bestFit="1" customWidth="1"/>
    <col min="22" max="22" width="19" bestFit="1" customWidth="1"/>
    <col min="23" max="23" width="19.6328125" bestFit="1" customWidth="1"/>
    <col min="24" max="24" width="17.26953125" bestFit="1" customWidth="1"/>
    <col min="25" max="25" width="16.81640625" bestFit="1" customWidth="1"/>
    <col min="26" max="26" width="10.81640625" bestFit="1" customWidth="1"/>
    <col min="27" max="27" width="11" bestFit="1" customWidth="1"/>
    <col min="28" max="28" width="21" bestFit="1" customWidth="1"/>
    <col min="29" max="29" width="12.81640625" bestFit="1" customWidth="1"/>
    <col min="30" max="30" width="11.453125" bestFit="1" customWidth="1"/>
    <col min="31" max="31" width="13.453125" bestFit="1" customWidth="1"/>
    <col min="32" max="32" width="20.08984375" bestFit="1" customWidth="1"/>
    <col min="33" max="33" width="18.6328125" bestFit="1" customWidth="1"/>
    <col min="34" max="34" width="20.36328125" bestFit="1" customWidth="1"/>
  </cols>
  <sheetData>
    <row r="1" spans="1:34" s="3" customFormat="1" x14ac:dyDescent="0.35">
      <c r="A1" s="3" t="s">
        <v>3243</v>
      </c>
      <c r="B1" s="3" t="s">
        <v>3244</v>
      </c>
      <c r="C1" s="3" t="s">
        <v>3245</v>
      </c>
      <c r="D1" s="3" t="s">
        <v>3246</v>
      </c>
      <c r="E1" s="3" t="s">
        <v>3247</v>
      </c>
      <c r="F1" s="3" t="s">
        <v>3248</v>
      </c>
      <c r="G1" s="3" t="s">
        <v>3249</v>
      </c>
      <c r="H1" s="3" t="s">
        <v>3250</v>
      </c>
      <c r="I1" s="3" t="s">
        <v>3251</v>
      </c>
      <c r="J1" s="3" t="s">
        <v>3252</v>
      </c>
      <c r="K1" s="3" t="s">
        <v>3253</v>
      </c>
      <c r="L1" s="3" t="s">
        <v>3254</v>
      </c>
      <c r="M1" s="3" t="s">
        <v>3255</v>
      </c>
      <c r="N1" s="3" t="s">
        <v>3256</v>
      </c>
      <c r="O1" s="3" t="s">
        <v>3257</v>
      </c>
      <c r="P1" s="3" t="s">
        <v>3221</v>
      </c>
      <c r="Q1" s="3" t="s">
        <v>3258</v>
      </c>
      <c r="R1" s="3" t="s">
        <v>3259</v>
      </c>
      <c r="S1" s="3" t="s">
        <v>3260</v>
      </c>
      <c r="T1" s="3" t="s">
        <v>3261</v>
      </c>
      <c r="U1" s="3" t="s">
        <v>3262</v>
      </c>
      <c r="V1" s="3" t="s">
        <v>3263</v>
      </c>
      <c r="W1" s="3" t="s">
        <v>3264</v>
      </c>
      <c r="X1" s="3" t="s">
        <v>3265</v>
      </c>
      <c r="Y1" s="3" t="s">
        <v>3266</v>
      </c>
      <c r="Z1" s="3" t="s">
        <v>3267</v>
      </c>
      <c r="AA1" s="3" t="s">
        <v>3268</v>
      </c>
      <c r="AB1" s="3" t="s">
        <v>3269</v>
      </c>
      <c r="AC1" s="3" t="s">
        <v>3270</v>
      </c>
      <c r="AD1" s="3" t="s">
        <v>3271</v>
      </c>
      <c r="AE1" s="3" t="s">
        <v>3272</v>
      </c>
      <c r="AF1" s="3" t="s">
        <v>3273</v>
      </c>
      <c r="AG1" s="3" t="s">
        <v>3274</v>
      </c>
      <c r="AH1" s="3" t="s">
        <v>3275</v>
      </c>
    </row>
    <row r="2" spans="1:34" x14ac:dyDescent="0.35">
      <c r="A2" s="13" t="s">
        <v>3276</v>
      </c>
      <c r="B2" s="14">
        <v>45351</v>
      </c>
      <c r="C2">
        <v>4759740.67</v>
      </c>
      <c r="D2">
        <v>4650317.3099999996</v>
      </c>
      <c r="E2">
        <v>7708694.9699999997</v>
      </c>
      <c r="F2">
        <v>6995522.5800000001</v>
      </c>
      <c r="G2">
        <v>713172.39</v>
      </c>
      <c r="H2">
        <v>0</v>
      </c>
      <c r="I2">
        <v>332653.12</v>
      </c>
      <c r="J2">
        <v>1562</v>
      </c>
      <c r="K2">
        <v>189</v>
      </c>
      <c r="L2">
        <v>0</v>
      </c>
      <c r="M2">
        <v>1668455.22</v>
      </c>
      <c r="N2">
        <v>1693087.73</v>
      </c>
      <c r="O2">
        <v>-24632.51</v>
      </c>
      <c r="P2">
        <v>50367.02</v>
      </c>
      <c r="Q2">
        <v>0.65</v>
      </c>
      <c r="R2">
        <v>0</v>
      </c>
      <c r="S2">
        <v>34378.39</v>
      </c>
      <c r="T2">
        <v>48.03</v>
      </c>
      <c r="U2">
        <v>48.01</v>
      </c>
      <c r="V2">
        <v>43.59</v>
      </c>
      <c r="W2">
        <v>4.4400000000000004</v>
      </c>
      <c r="X2">
        <v>0.02</v>
      </c>
      <c r="Y2">
        <v>2414535.4</v>
      </c>
      <c r="Z2">
        <v>70.459999999999994</v>
      </c>
      <c r="AA2">
        <v>69.099999999999994</v>
      </c>
      <c r="AB2">
        <v>1.36</v>
      </c>
      <c r="AC2">
        <v>9.25</v>
      </c>
      <c r="AD2">
        <v>0</v>
      </c>
      <c r="AE2">
        <v>4.32</v>
      </c>
      <c r="AF2">
        <v>12.1</v>
      </c>
      <c r="AG2">
        <v>0</v>
      </c>
      <c r="AH2">
        <v>0</v>
      </c>
    </row>
    <row r="3" spans="1:34" x14ac:dyDescent="0.35">
      <c r="A3" s="13" t="s">
        <v>3277</v>
      </c>
      <c r="B3" s="14">
        <v>45382</v>
      </c>
      <c r="C3">
        <v>7708694.9699999997</v>
      </c>
      <c r="D3">
        <v>4985626.51</v>
      </c>
      <c r="E3">
        <v>9161279.7899999991</v>
      </c>
      <c r="F3">
        <v>7454278.3499999996</v>
      </c>
      <c r="G3">
        <v>1707001.44</v>
      </c>
      <c r="H3">
        <v>0</v>
      </c>
      <c r="I3">
        <v>477125.84</v>
      </c>
      <c r="J3">
        <v>1888</v>
      </c>
      <c r="K3">
        <v>396</v>
      </c>
      <c r="L3">
        <v>0</v>
      </c>
      <c r="M3">
        <v>3492498.72</v>
      </c>
      <c r="N3">
        <v>3531440.74</v>
      </c>
      <c r="O3">
        <v>-38942.019999999997</v>
      </c>
      <c r="P3">
        <v>94695.34</v>
      </c>
      <c r="Q3">
        <v>1.03</v>
      </c>
      <c r="R3">
        <v>0</v>
      </c>
      <c r="S3">
        <v>44487.76</v>
      </c>
      <c r="T3">
        <v>57.04</v>
      </c>
      <c r="U3">
        <v>57.03</v>
      </c>
      <c r="V3">
        <v>46.39</v>
      </c>
      <c r="W3">
        <v>10.65</v>
      </c>
      <c r="X3">
        <v>0.01</v>
      </c>
      <c r="Y3">
        <v>5240043.13</v>
      </c>
      <c r="Z3">
        <v>67.42</v>
      </c>
      <c r="AA3">
        <v>66.650000000000006</v>
      </c>
      <c r="AB3">
        <v>0.77</v>
      </c>
      <c r="AC3">
        <v>18.63</v>
      </c>
      <c r="AD3">
        <v>0</v>
      </c>
      <c r="AE3">
        <v>5.21</v>
      </c>
      <c r="AF3">
        <v>20.97</v>
      </c>
      <c r="AG3">
        <v>0</v>
      </c>
      <c r="AH3">
        <v>0</v>
      </c>
    </row>
    <row r="4" spans="1:34" x14ac:dyDescent="0.35">
      <c r="A4" s="13" t="s">
        <v>3278</v>
      </c>
      <c r="B4" s="14">
        <v>45412</v>
      </c>
      <c r="C4">
        <v>9161279.7899999991</v>
      </c>
      <c r="D4">
        <v>5818772.5199999996</v>
      </c>
      <c r="E4">
        <v>10031153.779999999</v>
      </c>
      <c r="F4">
        <v>7950377.4400000004</v>
      </c>
      <c r="G4">
        <v>2080776.34</v>
      </c>
      <c r="H4">
        <v>0</v>
      </c>
      <c r="I4">
        <v>486298.26</v>
      </c>
      <c r="J4">
        <v>2101</v>
      </c>
      <c r="K4">
        <v>492</v>
      </c>
      <c r="L4">
        <v>0</v>
      </c>
      <c r="M4">
        <v>4919479.43</v>
      </c>
      <c r="N4">
        <v>4967591.5599999996</v>
      </c>
      <c r="O4">
        <v>-48112.13</v>
      </c>
      <c r="P4">
        <v>152004.07</v>
      </c>
      <c r="Q4">
        <v>1.52</v>
      </c>
      <c r="R4">
        <v>0</v>
      </c>
      <c r="S4">
        <v>42951.89</v>
      </c>
      <c r="T4">
        <v>56.19</v>
      </c>
      <c r="U4">
        <v>59.39</v>
      </c>
      <c r="V4">
        <v>43.25</v>
      </c>
      <c r="W4">
        <v>12.94</v>
      </c>
      <c r="X4">
        <v>-3.2</v>
      </c>
      <c r="Y4">
        <v>7029674.8700000001</v>
      </c>
      <c r="Z4">
        <v>70.400000000000006</v>
      </c>
      <c r="AA4">
        <v>69.98</v>
      </c>
      <c r="AB4">
        <v>0.42</v>
      </c>
      <c r="AC4">
        <v>20.74</v>
      </c>
      <c r="AD4">
        <v>0</v>
      </c>
      <c r="AE4">
        <v>4.8499999999999996</v>
      </c>
      <c r="AF4">
        <v>23.42</v>
      </c>
      <c r="AG4">
        <v>0</v>
      </c>
      <c r="AH4">
        <v>0</v>
      </c>
    </row>
    <row r="5" spans="1:34" x14ac:dyDescent="0.35">
      <c r="A5" s="13" t="s">
        <v>3279</v>
      </c>
      <c r="B5" s="14">
        <v>45443</v>
      </c>
      <c r="C5">
        <v>10031153.779999999</v>
      </c>
      <c r="D5">
        <v>5990089.9500000002</v>
      </c>
      <c r="E5">
        <v>10656433.220000001</v>
      </c>
      <c r="F5">
        <v>8559730.0399999991</v>
      </c>
      <c r="G5">
        <v>2096703.18</v>
      </c>
      <c r="H5">
        <v>11263.81</v>
      </c>
      <c r="I5">
        <v>348365.59</v>
      </c>
      <c r="J5">
        <v>2257</v>
      </c>
      <c r="K5">
        <v>522</v>
      </c>
      <c r="L5">
        <v>3</v>
      </c>
      <c r="M5">
        <v>5267316.05</v>
      </c>
      <c r="N5">
        <v>5259818.2</v>
      </c>
      <c r="O5">
        <v>7497.85</v>
      </c>
      <c r="P5">
        <v>152680.87</v>
      </c>
      <c r="Q5">
        <v>1.43</v>
      </c>
      <c r="R5">
        <v>0</v>
      </c>
      <c r="S5">
        <v>106201.60000000001</v>
      </c>
      <c r="T5">
        <v>55.06</v>
      </c>
      <c r="U5">
        <v>61.29</v>
      </c>
      <c r="V5">
        <v>44.25</v>
      </c>
      <c r="W5">
        <v>10.81</v>
      </c>
      <c r="X5">
        <v>-6.23</v>
      </c>
      <c r="Y5">
        <v>7461513.6900000004</v>
      </c>
      <c r="Z5">
        <v>71.900000000000006</v>
      </c>
      <c r="AA5">
        <v>70.59</v>
      </c>
      <c r="AB5">
        <v>1.31</v>
      </c>
      <c r="AC5">
        <v>19.68</v>
      </c>
      <c r="AD5">
        <v>0.11</v>
      </c>
      <c r="AE5">
        <v>3.27</v>
      </c>
      <c r="AF5">
        <v>23.13</v>
      </c>
      <c r="AG5">
        <v>0.13</v>
      </c>
      <c r="AH5">
        <v>0</v>
      </c>
    </row>
    <row r="6" spans="1:34" x14ac:dyDescent="0.35">
      <c r="A6" s="13" t="s">
        <v>3280</v>
      </c>
      <c r="B6" s="14">
        <v>45473</v>
      </c>
      <c r="C6">
        <v>10656433.220000001</v>
      </c>
      <c r="D6">
        <v>4702299.2699999996</v>
      </c>
      <c r="E6">
        <v>9696335.0299999993</v>
      </c>
      <c r="F6">
        <v>7472017.1799999997</v>
      </c>
      <c r="G6">
        <v>2224317.85</v>
      </c>
      <c r="H6">
        <v>29388.57</v>
      </c>
      <c r="I6">
        <v>423786.69</v>
      </c>
      <c r="J6">
        <v>2092</v>
      </c>
      <c r="K6">
        <v>533</v>
      </c>
      <c r="L6">
        <v>6</v>
      </c>
      <c r="M6">
        <v>5603736.2400000002</v>
      </c>
      <c r="N6">
        <v>5616674.2800000003</v>
      </c>
      <c r="O6">
        <v>-12938.04</v>
      </c>
      <c r="P6">
        <v>173943.24</v>
      </c>
      <c r="Q6">
        <v>1.79</v>
      </c>
      <c r="R6">
        <v>0</v>
      </c>
      <c r="S6">
        <v>80105.649999999994</v>
      </c>
      <c r="T6">
        <v>55.85</v>
      </c>
      <c r="U6">
        <v>56.69</v>
      </c>
      <c r="V6">
        <v>44.33</v>
      </c>
      <c r="W6">
        <v>11.52</v>
      </c>
      <c r="X6">
        <v>-0.84</v>
      </c>
      <c r="Y6">
        <v>7886715.3099999996</v>
      </c>
      <c r="Z6">
        <v>71.8</v>
      </c>
      <c r="AA6">
        <v>71.05</v>
      </c>
      <c r="AB6">
        <v>0.75</v>
      </c>
      <c r="AC6">
        <v>22.94</v>
      </c>
      <c r="AD6">
        <v>0.3</v>
      </c>
      <c r="AE6">
        <v>4.37</v>
      </c>
      <c r="AF6">
        <v>25.48</v>
      </c>
      <c r="AG6">
        <v>0.28999999999999998</v>
      </c>
      <c r="AH6">
        <v>1</v>
      </c>
    </row>
    <row r="7" spans="1:34" x14ac:dyDescent="0.35">
      <c r="A7" s="13" t="s">
        <v>3281</v>
      </c>
      <c r="B7" s="14">
        <v>45504</v>
      </c>
      <c r="C7">
        <v>9696335.0299999993</v>
      </c>
      <c r="D7">
        <v>5953385.29</v>
      </c>
      <c r="E7">
        <v>10225670.300000001</v>
      </c>
      <c r="F7">
        <v>7954579.3399999999</v>
      </c>
      <c r="G7">
        <v>2271090.96</v>
      </c>
      <c r="H7">
        <v>46794.49</v>
      </c>
      <c r="I7">
        <v>547112.72</v>
      </c>
      <c r="J7">
        <v>2156</v>
      </c>
      <c r="K7">
        <v>516</v>
      </c>
      <c r="L7">
        <v>8</v>
      </c>
      <c r="M7">
        <v>5393372.0199999996</v>
      </c>
      <c r="N7">
        <v>5358257.87</v>
      </c>
      <c r="O7">
        <v>35114.15</v>
      </c>
      <c r="P7">
        <v>147393.29999999999</v>
      </c>
      <c r="Q7">
        <v>1.44</v>
      </c>
      <c r="R7">
        <v>0</v>
      </c>
      <c r="S7">
        <v>55420.14</v>
      </c>
      <c r="T7">
        <v>58.26</v>
      </c>
      <c r="U7">
        <v>58.73</v>
      </c>
      <c r="V7">
        <v>43.77</v>
      </c>
      <c r="W7">
        <v>14.49</v>
      </c>
      <c r="X7">
        <v>-0.47</v>
      </c>
      <c r="Y7">
        <v>7695140.9800000004</v>
      </c>
      <c r="Z7">
        <v>70.489999999999995</v>
      </c>
      <c r="AA7">
        <v>70.09</v>
      </c>
      <c r="AB7">
        <v>0.4</v>
      </c>
      <c r="AC7">
        <v>22.21</v>
      </c>
      <c r="AD7">
        <v>0.46</v>
      </c>
      <c r="AE7">
        <v>5.35</v>
      </c>
      <c r="AF7">
        <v>23.93</v>
      </c>
      <c r="AG7">
        <v>0.37</v>
      </c>
      <c r="AH7">
        <v>1</v>
      </c>
    </row>
    <row r="8" spans="1:34" x14ac:dyDescent="0.35">
      <c r="A8" s="13" t="s">
        <v>3282</v>
      </c>
      <c r="B8" s="14">
        <v>45535</v>
      </c>
      <c r="C8">
        <v>10225670.300000001</v>
      </c>
      <c r="D8">
        <v>5521676.5099999998</v>
      </c>
      <c r="E8">
        <v>10160131.060000001</v>
      </c>
      <c r="F8">
        <v>7903401.04</v>
      </c>
      <c r="G8">
        <v>2256730.02</v>
      </c>
      <c r="H8">
        <v>62129.01</v>
      </c>
      <c r="I8">
        <v>473586.15</v>
      </c>
      <c r="J8">
        <v>2131</v>
      </c>
      <c r="K8">
        <v>549</v>
      </c>
      <c r="L8">
        <v>13</v>
      </c>
      <c r="M8">
        <v>5540110.6100000003</v>
      </c>
      <c r="N8">
        <v>5607567.54</v>
      </c>
      <c r="O8">
        <v>-67456.929999999993</v>
      </c>
      <c r="P8">
        <v>223036.51</v>
      </c>
      <c r="Q8">
        <v>2.2000000000000002</v>
      </c>
      <c r="R8">
        <v>0</v>
      </c>
      <c r="S8">
        <v>58849.67</v>
      </c>
      <c r="T8">
        <v>55.15</v>
      </c>
      <c r="U8">
        <v>58.19</v>
      </c>
      <c r="V8">
        <v>43.4</v>
      </c>
      <c r="W8">
        <v>11.75</v>
      </c>
      <c r="X8">
        <v>-3.04</v>
      </c>
      <c r="Y8">
        <v>7843945.7699999996</v>
      </c>
      <c r="Z8">
        <v>71.23</v>
      </c>
      <c r="AA8">
        <v>70.63</v>
      </c>
      <c r="AB8">
        <v>0.6</v>
      </c>
      <c r="AC8">
        <v>22.21</v>
      </c>
      <c r="AD8">
        <v>0.61</v>
      </c>
      <c r="AE8">
        <v>4.66</v>
      </c>
      <c r="AF8">
        <v>25.76</v>
      </c>
      <c r="AG8">
        <v>0.61</v>
      </c>
      <c r="AH8">
        <v>1</v>
      </c>
    </row>
    <row r="9" spans="1:34" x14ac:dyDescent="0.35">
      <c r="A9" s="13" t="s">
        <v>3283</v>
      </c>
      <c r="B9" s="14">
        <v>45565</v>
      </c>
      <c r="C9">
        <v>10160131.060000001</v>
      </c>
      <c r="D9">
        <v>5125563.6500000004</v>
      </c>
      <c r="E9">
        <v>9734609.0800000001</v>
      </c>
      <c r="F9">
        <v>7628347.75</v>
      </c>
      <c r="G9">
        <v>2106261.33</v>
      </c>
      <c r="H9">
        <v>60260.03</v>
      </c>
      <c r="I9">
        <v>481385.31</v>
      </c>
      <c r="J9">
        <v>2096</v>
      </c>
      <c r="K9">
        <v>523</v>
      </c>
      <c r="L9">
        <v>16</v>
      </c>
      <c r="M9">
        <v>5487544.7300000004</v>
      </c>
      <c r="N9">
        <v>5491876.6699999999</v>
      </c>
      <c r="O9">
        <v>-4331.9399999999996</v>
      </c>
      <c r="P9">
        <v>235345.82</v>
      </c>
      <c r="Q9">
        <v>2.42</v>
      </c>
      <c r="R9">
        <v>0</v>
      </c>
      <c r="S9">
        <v>89580.07</v>
      </c>
      <c r="T9">
        <v>55.88</v>
      </c>
      <c r="U9">
        <v>55.88</v>
      </c>
      <c r="V9">
        <v>44.05</v>
      </c>
      <c r="W9">
        <v>11.83</v>
      </c>
      <c r="X9">
        <v>0</v>
      </c>
      <c r="Y9">
        <v>7657346.96</v>
      </c>
      <c r="Z9">
        <v>72.489999999999995</v>
      </c>
      <c r="AA9">
        <v>71.66</v>
      </c>
      <c r="AB9">
        <v>0.83</v>
      </c>
      <c r="AC9">
        <v>21.64</v>
      </c>
      <c r="AD9">
        <v>0.62</v>
      </c>
      <c r="AE9">
        <v>4.95</v>
      </c>
      <c r="AF9">
        <v>24.95</v>
      </c>
      <c r="AG9">
        <v>0.76</v>
      </c>
      <c r="AH9">
        <v>1</v>
      </c>
    </row>
    <row r="10" spans="1:34" x14ac:dyDescent="0.35">
      <c r="A10" s="13" t="s">
        <v>3284</v>
      </c>
      <c r="B10" s="14">
        <v>45596</v>
      </c>
      <c r="C10">
        <v>9734609.0800000001</v>
      </c>
      <c r="D10">
        <v>5326342.55</v>
      </c>
      <c r="E10">
        <v>9642255.7799999993</v>
      </c>
      <c r="F10">
        <v>7361150.2400000002</v>
      </c>
      <c r="G10">
        <v>2281105.54</v>
      </c>
      <c r="H10">
        <v>58804.19</v>
      </c>
      <c r="I10">
        <v>441121.35</v>
      </c>
      <c r="J10">
        <v>2084</v>
      </c>
      <c r="K10">
        <v>533</v>
      </c>
      <c r="L10">
        <v>17</v>
      </c>
      <c r="M10">
        <v>5343851.26</v>
      </c>
      <c r="N10">
        <v>5339694.05</v>
      </c>
      <c r="O10">
        <v>4157.21</v>
      </c>
      <c r="P10">
        <v>238479.33</v>
      </c>
      <c r="Q10">
        <v>2.4700000000000002</v>
      </c>
      <c r="R10">
        <v>0</v>
      </c>
      <c r="S10">
        <v>82268.210000000006</v>
      </c>
      <c r="T10">
        <v>56.26</v>
      </c>
      <c r="U10">
        <v>55.43</v>
      </c>
      <c r="V10">
        <v>42.91</v>
      </c>
      <c r="W10">
        <v>13.35</v>
      </c>
      <c r="X10">
        <v>0.83</v>
      </c>
      <c r="Y10">
        <v>7699801.3899999997</v>
      </c>
      <c r="Z10">
        <v>70.37</v>
      </c>
      <c r="AA10">
        <v>69.400000000000006</v>
      </c>
      <c r="AB10">
        <v>0.97</v>
      </c>
      <c r="AC10">
        <v>23.66</v>
      </c>
      <c r="AD10">
        <v>0.61</v>
      </c>
      <c r="AE10">
        <v>4.57</v>
      </c>
      <c r="AF10">
        <v>25.58</v>
      </c>
      <c r="AG10">
        <v>0.82</v>
      </c>
      <c r="AH10">
        <v>1</v>
      </c>
    </row>
    <row r="11" spans="1:34" x14ac:dyDescent="0.35">
      <c r="A11" s="13" t="s">
        <v>3285</v>
      </c>
      <c r="B11" s="14">
        <v>45626</v>
      </c>
      <c r="C11">
        <v>9642255.7799999993</v>
      </c>
      <c r="D11">
        <v>4832758.9000000004</v>
      </c>
      <c r="E11">
        <v>9356518.3599999994</v>
      </c>
      <c r="F11">
        <v>7339317.0899999999</v>
      </c>
      <c r="G11">
        <v>2017201.27</v>
      </c>
      <c r="H11">
        <v>72011.789999999994</v>
      </c>
      <c r="I11">
        <v>462109.28</v>
      </c>
      <c r="J11">
        <v>2011</v>
      </c>
      <c r="K11">
        <v>530</v>
      </c>
      <c r="L11">
        <v>22</v>
      </c>
      <c r="M11">
        <v>5075434.01</v>
      </c>
      <c r="N11">
        <v>5054313.79</v>
      </c>
      <c r="O11">
        <v>21120.22</v>
      </c>
      <c r="P11">
        <v>224647.49</v>
      </c>
      <c r="Q11">
        <v>2.4</v>
      </c>
      <c r="R11">
        <v>0</v>
      </c>
      <c r="S11">
        <v>58980.98</v>
      </c>
      <c r="T11">
        <v>56.33</v>
      </c>
      <c r="U11">
        <v>54.14</v>
      </c>
      <c r="V11">
        <v>44.59</v>
      </c>
      <c r="W11">
        <v>11.74</v>
      </c>
      <c r="X11">
        <v>2.19</v>
      </c>
      <c r="Y11">
        <v>7135697.5899999999</v>
      </c>
      <c r="Z11">
        <v>71.73</v>
      </c>
      <c r="AA11">
        <v>71.13</v>
      </c>
      <c r="AB11">
        <v>0.6</v>
      </c>
      <c r="AC11">
        <v>21.56</v>
      </c>
      <c r="AD11">
        <v>0.77</v>
      </c>
      <c r="AE11">
        <v>4.9400000000000004</v>
      </c>
      <c r="AF11">
        <v>26.36</v>
      </c>
      <c r="AG11">
        <v>1.0900000000000001</v>
      </c>
      <c r="AH11">
        <v>1</v>
      </c>
    </row>
    <row r="12" spans="1:34" x14ac:dyDescent="0.35">
      <c r="A12" s="13" t="s">
        <v>3286</v>
      </c>
      <c r="B12" s="14">
        <v>45657</v>
      </c>
      <c r="C12">
        <v>9356518.3599999994</v>
      </c>
      <c r="D12">
        <v>5394173.9699999997</v>
      </c>
      <c r="E12">
        <v>9803686.1199999992</v>
      </c>
      <c r="F12">
        <v>7551172.4800000004</v>
      </c>
      <c r="G12">
        <v>2252513.64</v>
      </c>
      <c r="H12">
        <v>103690.18</v>
      </c>
      <c r="I12">
        <v>539260.81000000006</v>
      </c>
      <c r="J12">
        <v>2069</v>
      </c>
      <c r="K12">
        <v>546</v>
      </c>
      <c r="L12">
        <v>29</v>
      </c>
      <c r="M12">
        <v>4905848.9800000004</v>
      </c>
      <c r="N12">
        <v>4899531.16</v>
      </c>
      <c r="O12">
        <v>6317.82</v>
      </c>
      <c r="P12">
        <v>226444.66</v>
      </c>
      <c r="Q12">
        <v>2.31</v>
      </c>
      <c r="R12">
        <v>0</v>
      </c>
      <c r="S12">
        <v>55927.53</v>
      </c>
      <c r="T12">
        <v>58.37</v>
      </c>
      <c r="U12">
        <v>56.7</v>
      </c>
      <c r="V12">
        <v>44.39</v>
      </c>
      <c r="W12">
        <v>13.98</v>
      </c>
      <c r="X12">
        <v>1.67</v>
      </c>
      <c r="Y12">
        <v>7199519.8499999996</v>
      </c>
      <c r="Z12">
        <v>68.709999999999994</v>
      </c>
      <c r="AA12">
        <v>68.14</v>
      </c>
      <c r="AB12">
        <v>0.56999999999999995</v>
      </c>
      <c r="AC12">
        <v>22.98</v>
      </c>
      <c r="AD12">
        <v>1.06</v>
      </c>
      <c r="AE12">
        <v>5.5</v>
      </c>
      <c r="AF12">
        <v>26.39</v>
      </c>
      <c r="AG12">
        <v>1.4</v>
      </c>
      <c r="AH12">
        <v>1</v>
      </c>
    </row>
    <row r="13" spans="1:34" x14ac:dyDescent="0.35">
      <c r="A13" s="13" t="s">
        <v>3287</v>
      </c>
      <c r="B13" s="14">
        <v>45688</v>
      </c>
      <c r="C13">
        <v>9803686.1199999992</v>
      </c>
      <c r="D13">
        <v>5063139.83</v>
      </c>
      <c r="E13">
        <v>9814230.1899999995</v>
      </c>
      <c r="F13">
        <v>7587384.2699999996</v>
      </c>
      <c r="G13">
        <v>2226845.92</v>
      </c>
      <c r="H13">
        <v>109490.42</v>
      </c>
      <c r="I13">
        <v>406686.73</v>
      </c>
      <c r="J13">
        <v>2055</v>
      </c>
      <c r="K13">
        <v>568</v>
      </c>
      <c r="L13">
        <v>32</v>
      </c>
      <c r="M13">
        <v>4960432.68</v>
      </c>
      <c r="N13">
        <v>4944551.24</v>
      </c>
      <c r="O13">
        <v>15881.44</v>
      </c>
      <c r="P13">
        <v>216312.27</v>
      </c>
      <c r="Q13">
        <v>2.2000000000000002</v>
      </c>
      <c r="R13">
        <v>0</v>
      </c>
      <c r="S13">
        <v>103265.67</v>
      </c>
      <c r="T13">
        <v>58.3</v>
      </c>
      <c r="U13">
        <v>56.69</v>
      </c>
      <c r="V13">
        <v>45.51</v>
      </c>
      <c r="W13">
        <v>12.79</v>
      </c>
      <c r="X13">
        <v>1.61</v>
      </c>
      <c r="Y13">
        <v>7279441.6799999997</v>
      </c>
      <c r="Z13">
        <v>69.41</v>
      </c>
      <c r="AA13">
        <v>68.14</v>
      </c>
      <c r="AB13">
        <v>1.27</v>
      </c>
      <c r="AC13">
        <v>22.69</v>
      </c>
      <c r="AD13">
        <v>1.1200000000000001</v>
      </c>
      <c r="AE13">
        <v>4.1399999999999997</v>
      </c>
      <c r="AF13">
        <v>27.64</v>
      </c>
      <c r="AG13">
        <v>1.56</v>
      </c>
      <c r="AH13">
        <v>1</v>
      </c>
    </row>
    <row r="14" spans="1:34" x14ac:dyDescent="0.35">
      <c r="A14" s="13" t="s">
        <v>3288</v>
      </c>
      <c r="B14" s="14">
        <v>45716</v>
      </c>
      <c r="C14">
        <v>9814230.1899999995</v>
      </c>
      <c r="D14">
        <v>4316123.17</v>
      </c>
      <c r="E14">
        <v>9608911.6799999997</v>
      </c>
      <c r="F14">
        <v>7513598.9100000001</v>
      </c>
      <c r="G14">
        <v>2095312.77</v>
      </c>
      <c r="H14">
        <v>100684.26</v>
      </c>
      <c r="I14">
        <v>381724.52</v>
      </c>
      <c r="J14">
        <v>2013</v>
      </c>
      <c r="K14">
        <v>511</v>
      </c>
      <c r="L14">
        <v>34</v>
      </c>
      <c r="M14">
        <v>4477570.47</v>
      </c>
      <c r="N14">
        <v>4453628.2300000004</v>
      </c>
      <c r="O14">
        <v>23942.240000000002</v>
      </c>
      <c r="P14">
        <v>196940.16</v>
      </c>
      <c r="Q14">
        <v>2.0499999999999998</v>
      </c>
      <c r="R14">
        <v>0</v>
      </c>
      <c r="S14">
        <v>73970.67</v>
      </c>
      <c r="T14">
        <v>60.32</v>
      </c>
      <c r="U14">
        <v>55.64</v>
      </c>
      <c r="V14">
        <v>47.58</v>
      </c>
      <c r="W14">
        <v>12.74</v>
      </c>
      <c r="X14">
        <v>4.68</v>
      </c>
      <c r="Y14">
        <v>6616754.4500000002</v>
      </c>
      <c r="Z14">
        <v>68.33</v>
      </c>
      <c r="AA14">
        <v>67.67</v>
      </c>
      <c r="AB14">
        <v>0.66</v>
      </c>
      <c r="AC14">
        <v>21.81</v>
      </c>
      <c r="AD14">
        <v>1.05</v>
      </c>
      <c r="AE14">
        <v>3.97</v>
      </c>
      <c r="AF14">
        <v>25.38</v>
      </c>
      <c r="AG14">
        <v>1.69</v>
      </c>
      <c r="AH14">
        <v>1</v>
      </c>
    </row>
    <row r="15" spans="1:34" x14ac:dyDescent="0.35">
      <c r="A15" s="13" t="s">
        <v>3289</v>
      </c>
      <c r="B15" s="14">
        <v>45747</v>
      </c>
      <c r="C15">
        <v>9608911.6799999997</v>
      </c>
      <c r="D15">
        <v>5098561.43</v>
      </c>
      <c r="E15">
        <v>9785960.8599999994</v>
      </c>
      <c r="F15">
        <v>7506476.7199999997</v>
      </c>
      <c r="G15">
        <v>2279484.14</v>
      </c>
      <c r="H15">
        <v>158867.68</v>
      </c>
      <c r="I15">
        <v>372986.76</v>
      </c>
      <c r="J15">
        <v>2069</v>
      </c>
      <c r="K15">
        <v>578</v>
      </c>
      <c r="L15">
        <v>58</v>
      </c>
      <c r="M15">
        <v>4876642.22</v>
      </c>
      <c r="N15">
        <v>4904252.57</v>
      </c>
      <c r="O15">
        <v>-27610.35</v>
      </c>
      <c r="P15">
        <v>230969.87</v>
      </c>
      <c r="Q15">
        <v>2.36</v>
      </c>
      <c r="R15">
        <v>0</v>
      </c>
      <c r="S15">
        <v>76001.740000000005</v>
      </c>
      <c r="T15">
        <v>61.27</v>
      </c>
      <c r="U15">
        <v>56.57</v>
      </c>
      <c r="V15">
        <v>46.62</v>
      </c>
      <c r="W15">
        <v>14.65</v>
      </c>
      <c r="X15">
        <v>4.7</v>
      </c>
      <c r="Y15">
        <v>7200996.3899999997</v>
      </c>
      <c r="Z15">
        <v>68.34</v>
      </c>
      <c r="AA15">
        <v>67.72</v>
      </c>
      <c r="AB15">
        <v>0.62</v>
      </c>
      <c r="AC15">
        <v>23.29</v>
      </c>
      <c r="AD15">
        <v>1.62</v>
      </c>
      <c r="AE15">
        <v>3.81</v>
      </c>
      <c r="AF15">
        <v>27.94</v>
      </c>
      <c r="AG15">
        <v>2.8</v>
      </c>
      <c r="AH15">
        <v>1</v>
      </c>
    </row>
    <row r="16" spans="1:34" x14ac:dyDescent="0.35">
      <c r="A16" s="13" t="s">
        <v>3290</v>
      </c>
      <c r="B16" s="14">
        <v>45777</v>
      </c>
      <c r="C16">
        <v>9785960.8599999994</v>
      </c>
      <c r="D16">
        <v>5478895.8799999999</v>
      </c>
      <c r="E16">
        <v>10244389.449999999</v>
      </c>
      <c r="F16">
        <v>7902802.4400000004</v>
      </c>
      <c r="G16">
        <v>2341587.0099999998</v>
      </c>
      <c r="H16">
        <v>247725.33</v>
      </c>
      <c r="I16">
        <v>455456.46</v>
      </c>
      <c r="J16">
        <v>2232</v>
      </c>
      <c r="K16">
        <v>593</v>
      </c>
      <c r="L16">
        <v>88</v>
      </c>
      <c r="M16">
        <v>4988399.74</v>
      </c>
      <c r="N16">
        <v>5002246.99</v>
      </c>
      <c r="O16">
        <v>-13847.25</v>
      </c>
      <c r="P16">
        <v>252601.33</v>
      </c>
      <c r="Q16">
        <v>2.4700000000000002</v>
      </c>
      <c r="R16">
        <v>2213.54</v>
      </c>
      <c r="S16">
        <v>69229.149999999994</v>
      </c>
      <c r="T16">
        <v>58.97</v>
      </c>
      <c r="U16">
        <v>59.54</v>
      </c>
      <c r="V16">
        <v>44.74</v>
      </c>
      <c r="W16">
        <v>14.23</v>
      </c>
      <c r="X16">
        <v>-0.56999999999999995</v>
      </c>
      <c r="Y16">
        <v>7362054.2999999998</v>
      </c>
      <c r="Z16">
        <v>68.19</v>
      </c>
      <c r="AA16">
        <v>67.760000000000005</v>
      </c>
      <c r="AB16">
        <v>0.43</v>
      </c>
      <c r="AC16">
        <v>22.86</v>
      </c>
      <c r="AD16">
        <v>2.42</v>
      </c>
      <c r="AE16">
        <v>4.45</v>
      </c>
      <c r="AF16">
        <v>26.57</v>
      </c>
      <c r="AG16">
        <v>3.94</v>
      </c>
      <c r="AH16">
        <v>1</v>
      </c>
    </row>
    <row r="17" spans="1:34" x14ac:dyDescent="0.35">
      <c r="A17" s="13" t="s">
        <v>3291</v>
      </c>
      <c r="B17" s="14">
        <v>45808</v>
      </c>
      <c r="C17">
        <v>10244389.449999999</v>
      </c>
      <c r="D17">
        <v>5630994.2300000004</v>
      </c>
      <c r="E17">
        <v>10395828.08</v>
      </c>
      <c r="F17">
        <v>7813773.5999999996</v>
      </c>
      <c r="G17">
        <v>2582054.48</v>
      </c>
      <c r="H17">
        <v>265806.32</v>
      </c>
      <c r="I17">
        <v>532098.89</v>
      </c>
      <c r="J17">
        <v>2283</v>
      </c>
      <c r="K17">
        <v>665</v>
      </c>
      <c r="L17">
        <v>85</v>
      </c>
      <c r="M17">
        <v>5389445.6900000004</v>
      </c>
      <c r="N17">
        <v>5421861.8600000003</v>
      </c>
      <c r="O17">
        <v>-32416.17</v>
      </c>
      <c r="P17">
        <v>292795.56</v>
      </c>
      <c r="Q17">
        <v>2.82</v>
      </c>
      <c r="R17">
        <v>36327.730000000003</v>
      </c>
      <c r="S17">
        <v>61918.21</v>
      </c>
      <c r="T17">
        <v>57.09</v>
      </c>
      <c r="U17">
        <v>60.77</v>
      </c>
      <c r="V17">
        <v>42.95</v>
      </c>
      <c r="W17">
        <v>14.14</v>
      </c>
      <c r="X17">
        <v>-3.68</v>
      </c>
      <c r="Y17">
        <v>8061610.0800000001</v>
      </c>
      <c r="Z17">
        <v>67.97</v>
      </c>
      <c r="AA17">
        <v>66.849999999999994</v>
      </c>
      <c r="AB17">
        <v>1.1200000000000001</v>
      </c>
      <c r="AC17">
        <v>24.84</v>
      </c>
      <c r="AD17">
        <v>2.56</v>
      </c>
      <c r="AE17">
        <v>5.12</v>
      </c>
      <c r="AF17">
        <v>29.13</v>
      </c>
      <c r="AG17">
        <v>3.72</v>
      </c>
      <c r="AH17">
        <v>1</v>
      </c>
    </row>
    <row r="18" spans="1:34" x14ac:dyDescent="0.35">
      <c r="A18" s="13" t="s">
        <v>3292</v>
      </c>
      <c r="B18" s="14">
        <v>45838</v>
      </c>
      <c r="C18">
        <v>10395828.08</v>
      </c>
      <c r="D18">
        <v>5170792.3899999997</v>
      </c>
      <c r="E18">
        <v>10136142.119999999</v>
      </c>
      <c r="F18">
        <v>7332149.3300000001</v>
      </c>
      <c r="G18">
        <v>2803992.79</v>
      </c>
      <c r="H18">
        <v>233344.31</v>
      </c>
      <c r="I18">
        <v>445281.87</v>
      </c>
      <c r="J18">
        <v>2237</v>
      </c>
      <c r="K18">
        <v>689</v>
      </c>
      <c r="L18">
        <v>71</v>
      </c>
      <c r="M18">
        <v>5300879.96</v>
      </c>
      <c r="N18">
        <v>5297568.04</v>
      </c>
      <c r="O18">
        <v>3311.92</v>
      </c>
      <c r="P18">
        <v>298775.03000000003</v>
      </c>
      <c r="Q18">
        <v>2.95</v>
      </c>
      <c r="R18">
        <v>84467.36</v>
      </c>
      <c r="S18">
        <v>53736.3</v>
      </c>
      <c r="T18">
        <v>57.34</v>
      </c>
      <c r="U18">
        <v>58.81</v>
      </c>
      <c r="V18">
        <v>41.9</v>
      </c>
      <c r="W18">
        <v>15.44</v>
      </c>
      <c r="X18">
        <v>-1.47</v>
      </c>
      <c r="Y18">
        <v>8234471.1399999997</v>
      </c>
      <c r="Z18">
        <v>65.95</v>
      </c>
      <c r="AA18">
        <v>64.37</v>
      </c>
      <c r="AB18">
        <v>1.58</v>
      </c>
      <c r="AC18">
        <v>27.66</v>
      </c>
      <c r="AD18">
        <v>2.2999999999999998</v>
      </c>
      <c r="AE18">
        <v>4.3899999999999997</v>
      </c>
      <c r="AF18">
        <v>30.8</v>
      </c>
      <c r="AG18">
        <v>3.17</v>
      </c>
      <c r="AH18">
        <v>1</v>
      </c>
    </row>
    <row r="19" spans="1:34" x14ac:dyDescent="0.35">
      <c r="A19" s="13" t="s">
        <v>3293</v>
      </c>
      <c r="B19" s="14">
        <v>45869</v>
      </c>
      <c r="C19">
        <v>10136142.119999999</v>
      </c>
      <c r="D19">
        <v>6059943.3300000001</v>
      </c>
      <c r="E19">
        <v>10634824.07</v>
      </c>
      <c r="F19">
        <v>8105018.3200000003</v>
      </c>
      <c r="G19">
        <v>2529805.75</v>
      </c>
      <c r="H19">
        <v>318347.67</v>
      </c>
      <c r="I19">
        <v>316050.31</v>
      </c>
      <c r="J19">
        <v>2350</v>
      </c>
      <c r="K19">
        <v>663</v>
      </c>
      <c r="L19">
        <v>91</v>
      </c>
      <c r="M19">
        <v>5451756.8300000001</v>
      </c>
      <c r="N19">
        <v>5410193.9000000004</v>
      </c>
      <c r="O19">
        <v>41562.93</v>
      </c>
      <c r="P19">
        <v>265682.73</v>
      </c>
      <c r="Q19">
        <v>2.5</v>
      </c>
      <c r="R19">
        <v>48936.26</v>
      </c>
      <c r="S19">
        <v>70664.88</v>
      </c>
      <c r="T19">
        <v>57.54</v>
      </c>
      <c r="U19">
        <v>61.6</v>
      </c>
      <c r="V19">
        <v>42.87</v>
      </c>
      <c r="W19">
        <v>14.67</v>
      </c>
      <c r="X19">
        <v>-4.0599999999999996</v>
      </c>
      <c r="Y19">
        <v>8091067.1299999999</v>
      </c>
      <c r="Z19">
        <v>68.73</v>
      </c>
      <c r="AA19">
        <v>67.38</v>
      </c>
      <c r="AB19">
        <v>1.35</v>
      </c>
      <c r="AC19">
        <v>23.79</v>
      </c>
      <c r="AD19">
        <v>2.99</v>
      </c>
      <c r="AE19">
        <v>2.97</v>
      </c>
      <c r="AF19">
        <v>28.21</v>
      </c>
      <c r="AG19">
        <v>3.87</v>
      </c>
      <c r="AH19">
        <v>1</v>
      </c>
    </row>
    <row r="20" spans="1:34" x14ac:dyDescent="0.35">
      <c r="A20" s="13" t="s">
        <v>3294</v>
      </c>
      <c r="B20" s="14">
        <v>45900</v>
      </c>
      <c r="C20">
        <v>10634824.07</v>
      </c>
      <c r="D20">
        <v>5449542.6900000004</v>
      </c>
      <c r="E20">
        <v>10982688.73</v>
      </c>
      <c r="F20">
        <v>8321078.29</v>
      </c>
      <c r="G20">
        <v>2661610.44</v>
      </c>
      <c r="H20">
        <v>405632.75</v>
      </c>
      <c r="I20">
        <v>373684.22</v>
      </c>
      <c r="J20">
        <v>2435</v>
      </c>
      <c r="K20">
        <v>682</v>
      </c>
      <c r="L20">
        <v>113</v>
      </c>
      <c r="M20">
        <v>4991906.8899999997</v>
      </c>
      <c r="N20">
        <v>5036428.5199999996</v>
      </c>
      <c r="O20">
        <v>-44521.63</v>
      </c>
      <c r="P20">
        <v>316517.69</v>
      </c>
      <c r="Q20">
        <v>2.88</v>
      </c>
      <c r="R20">
        <v>45604.45</v>
      </c>
      <c r="S20">
        <v>74075.94</v>
      </c>
      <c r="T20">
        <v>59.31</v>
      </c>
      <c r="U20">
        <v>63.68</v>
      </c>
      <c r="V20">
        <v>45.69</v>
      </c>
      <c r="W20">
        <v>13.62</v>
      </c>
      <c r="X20">
        <v>-4.37</v>
      </c>
      <c r="Y20">
        <v>7763288.4699999997</v>
      </c>
      <c r="Z20">
        <v>65.72</v>
      </c>
      <c r="AA20">
        <v>64.3</v>
      </c>
      <c r="AB20">
        <v>1.42</v>
      </c>
      <c r="AC20">
        <v>24.23</v>
      </c>
      <c r="AD20">
        <v>3.69</v>
      </c>
      <c r="AE20">
        <v>3.4</v>
      </c>
      <c r="AF20">
        <v>28.01</v>
      </c>
      <c r="AG20">
        <v>4.6399999999999997</v>
      </c>
      <c r="AH20">
        <v>1</v>
      </c>
    </row>
    <row r="21" spans="1:34" x14ac:dyDescent="0.35">
      <c r="A21" s="13" t="s">
        <v>3295</v>
      </c>
      <c r="B21" s="14">
        <v>45930</v>
      </c>
      <c r="C21">
        <v>10982688.73</v>
      </c>
      <c r="D21">
        <v>5729864.0499999998</v>
      </c>
      <c r="E21">
        <v>11573559.369999999</v>
      </c>
      <c r="F21">
        <v>8452754.6999999993</v>
      </c>
      <c r="G21">
        <v>3120804.67</v>
      </c>
      <c r="H21">
        <v>425283.61</v>
      </c>
      <c r="I21">
        <v>392080.5</v>
      </c>
      <c r="J21">
        <v>2558</v>
      </c>
      <c r="K21">
        <v>771</v>
      </c>
      <c r="L21">
        <v>124</v>
      </c>
      <c r="M21">
        <v>4974867.49</v>
      </c>
      <c r="N21">
        <v>4977871.68</v>
      </c>
      <c r="O21">
        <v>-3004.19</v>
      </c>
      <c r="P21">
        <v>327152.27</v>
      </c>
      <c r="Q21">
        <v>2.83</v>
      </c>
      <c r="R21">
        <v>123902.99</v>
      </c>
      <c r="S21">
        <v>46710.73</v>
      </c>
      <c r="T21">
        <v>63.02</v>
      </c>
      <c r="U21">
        <v>66.47</v>
      </c>
      <c r="V21">
        <v>45.49</v>
      </c>
      <c r="W21">
        <v>17.53</v>
      </c>
      <c r="X21">
        <v>-3.45</v>
      </c>
      <c r="Y21">
        <v>8259798.0800000001</v>
      </c>
      <c r="Z21">
        <v>62.22</v>
      </c>
      <c r="AA21">
        <v>60.23</v>
      </c>
      <c r="AB21">
        <v>1.99</v>
      </c>
      <c r="AC21">
        <v>26.96</v>
      </c>
      <c r="AD21">
        <v>3.67</v>
      </c>
      <c r="AE21">
        <v>3.39</v>
      </c>
      <c r="AF21">
        <v>30.14</v>
      </c>
      <c r="AG21">
        <v>4.8499999999999996</v>
      </c>
      <c r="AH21">
        <v>1</v>
      </c>
    </row>
    <row r="22" spans="1:34" x14ac:dyDescent="0.35">
      <c r="A22" s="13" t="s">
        <v>3296</v>
      </c>
      <c r="B22" s="14">
        <v>45961</v>
      </c>
      <c r="C22">
        <v>11573559.369999999</v>
      </c>
      <c r="D22">
        <v>5827583.5199999996</v>
      </c>
      <c r="E22">
        <v>11521766.449999999</v>
      </c>
      <c r="F22">
        <v>8776552.9299999997</v>
      </c>
      <c r="G22">
        <v>2745213.52</v>
      </c>
      <c r="H22">
        <v>423150.7</v>
      </c>
      <c r="I22">
        <v>560695.12</v>
      </c>
      <c r="J22">
        <v>2491</v>
      </c>
      <c r="K22">
        <v>696</v>
      </c>
      <c r="L22">
        <v>131</v>
      </c>
      <c r="M22">
        <v>5735686.8799999999</v>
      </c>
      <c r="N22">
        <v>5802559.5599999996</v>
      </c>
      <c r="O22">
        <v>-66872.679999999993</v>
      </c>
      <c r="P22">
        <v>400931.47</v>
      </c>
      <c r="Q22">
        <v>3.48</v>
      </c>
      <c r="R22">
        <v>113553.62</v>
      </c>
      <c r="S22">
        <v>52376.639999999999</v>
      </c>
      <c r="T22">
        <v>60.81</v>
      </c>
      <c r="U22">
        <v>65.66</v>
      </c>
      <c r="V22">
        <v>46.44</v>
      </c>
      <c r="W22">
        <v>14.37</v>
      </c>
      <c r="X22">
        <v>-4.8499999999999996</v>
      </c>
      <c r="Y22">
        <v>8624589.9600000009</v>
      </c>
      <c r="Z22">
        <v>68.17</v>
      </c>
      <c r="AA22">
        <v>66.5</v>
      </c>
      <c r="AB22">
        <v>1.67</v>
      </c>
      <c r="AC22">
        <v>23.83</v>
      </c>
      <c r="AD22">
        <v>3.67</v>
      </c>
      <c r="AE22">
        <v>4.87</v>
      </c>
      <c r="AF22">
        <v>27.94</v>
      </c>
      <c r="AG22">
        <v>5.26</v>
      </c>
      <c r="AH22">
        <v>1</v>
      </c>
    </row>
    <row r="23" spans="1:34" x14ac:dyDescent="0.35">
      <c r="A23" s="13" t="s">
        <v>3297</v>
      </c>
      <c r="B23" s="14">
        <v>45991</v>
      </c>
      <c r="C23">
        <v>11521766.449999999</v>
      </c>
      <c r="D23">
        <v>4809117.05</v>
      </c>
      <c r="E23">
        <v>10760687.35</v>
      </c>
      <c r="F23">
        <v>7869988.3700000001</v>
      </c>
      <c r="G23">
        <v>2890698.98</v>
      </c>
      <c r="H23">
        <v>377774.08000000002</v>
      </c>
      <c r="I23">
        <v>384586.31</v>
      </c>
      <c r="J23">
        <v>2345</v>
      </c>
      <c r="K23">
        <v>713</v>
      </c>
      <c r="L23">
        <v>121</v>
      </c>
      <c r="M23">
        <v>5339004.62</v>
      </c>
      <c r="N23">
        <v>5308784.7699999996</v>
      </c>
      <c r="O23">
        <v>30219.85</v>
      </c>
      <c r="P23">
        <v>377362.93</v>
      </c>
      <c r="Q23">
        <v>3.51</v>
      </c>
      <c r="R23">
        <v>124583.54</v>
      </c>
      <c r="S23">
        <v>123097.55</v>
      </c>
      <c r="T23">
        <v>61.65</v>
      </c>
      <c r="U23">
        <v>61.34</v>
      </c>
      <c r="V23">
        <v>46.28</v>
      </c>
      <c r="W23">
        <v>15.37</v>
      </c>
      <c r="X23">
        <v>0.31</v>
      </c>
      <c r="Y23">
        <v>8460895.1300000008</v>
      </c>
      <c r="Z23">
        <v>65.83</v>
      </c>
      <c r="AA23">
        <v>63.1</v>
      </c>
      <c r="AB23">
        <v>2.73</v>
      </c>
      <c r="AC23">
        <v>26.86</v>
      </c>
      <c r="AD23">
        <v>3.51</v>
      </c>
      <c r="AE23">
        <v>3.57</v>
      </c>
      <c r="AF23">
        <v>30.41</v>
      </c>
      <c r="AG23">
        <v>5.16</v>
      </c>
      <c r="AH23">
        <v>1</v>
      </c>
    </row>
    <row r="24" spans="1:34" x14ac:dyDescent="0.35">
      <c r="A24" s="13" t="s">
        <v>3298</v>
      </c>
      <c r="B24" s="14">
        <v>46022</v>
      </c>
      <c r="C24">
        <v>10760687.35</v>
      </c>
      <c r="D24">
        <v>5648631.8600000003</v>
      </c>
      <c r="E24">
        <v>10847081.49</v>
      </c>
      <c r="F24">
        <v>8095793.7800000003</v>
      </c>
      <c r="G24">
        <v>2751287.71</v>
      </c>
      <c r="H24">
        <v>362863.78</v>
      </c>
      <c r="I24">
        <v>477988.84</v>
      </c>
      <c r="J24">
        <v>2346</v>
      </c>
      <c r="K24">
        <v>674</v>
      </c>
      <c r="L24">
        <v>125</v>
      </c>
      <c r="M24">
        <v>5425058.0899999999</v>
      </c>
      <c r="N24">
        <v>5459605.4800000004</v>
      </c>
      <c r="O24">
        <v>-34547.39</v>
      </c>
      <c r="P24">
        <v>419392.13</v>
      </c>
      <c r="Q24">
        <v>3.87</v>
      </c>
      <c r="R24">
        <v>122800</v>
      </c>
      <c r="S24">
        <v>42007.34</v>
      </c>
      <c r="T24">
        <v>63.07</v>
      </c>
      <c r="U24">
        <v>61.59</v>
      </c>
      <c r="V24">
        <v>46.27</v>
      </c>
      <c r="W24">
        <v>16.8</v>
      </c>
      <c r="X24">
        <v>1.48</v>
      </c>
      <c r="Y24">
        <v>8313525.4299999997</v>
      </c>
      <c r="Z24">
        <v>66.91</v>
      </c>
      <c r="AA24">
        <v>65.260000000000005</v>
      </c>
      <c r="AB24">
        <v>1.65</v>
      </c>
      <c r="AC24">
        <v>25.36</v>
      </c>
      <c r="AD24">
        <v>3.35</v>
      </c>
      <c r="AE24">
        <v>4.41</v>
      </c>
      <c r="AF24">
        <v>28.73</v>
      </c>
      <c r="AG24">
        <v>5.33</v>
      </c>
      <c r="AH24">
        <v>1</v>
      </c>
    </row>
  </sheetData>
  <phoneticPr fontId="6"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A06BF-8099-4613-BB68-1FC51636F366}">
  <dimension ref="A1:R24"/>
  <sheetViews>
    <sheetView workbookViewId="0"/>
  </sheetViews>
  <sheetFormatPr defaultRowHeight="14.5" x14ac:dyDescent="0.35"/>
  <cols>
    <col min="1" max="1" width="10.90625" bestFit="1" customWidth="1"/>
    <col min="2" max="2" width="11.81640625" bestFit="1" customWidth="1"/>
    <col min="3" max="3" width="11.7265625" bestFit="1" customWidth="1"/>
    <col min="4" max="4" width="20.1796875" bestFit="1" customWidth="1"/>
    <col min="5" max="5" width="22.36328125" bestFit="1" customWidth="1"/>
    <col min="6" max="6" width="13.54296875" bestFit="1" customWidth="1"/>
    <col min="7" max="7" width="13.7265625" bestFit="1" customWidth="1"/>
    <col min="8" max="8" width="13.90625" bestFit="1" customWidth="1"/>
    <col min="9" max="9" width="13.7265625" bestFit="1" customWidth="1"/>
    <col min="10" max="10" width="14.6328125" bestFit="1" customWidth="1"/>
    <col min="11" max="11" width="23.36328125" bestFit="1" customWidth="1"/>
    <col min="12" max="12" width="19.26953125" bestFit="1" customWidth="1"/>
    <col min="13" max="13" width="17.6328125" bestFit="1" customWidth="1"/>
    <col min="14" max="14" width="17.81640625" bestFit="1" customWidth="1"/>
    <col min="15" max="15" width="15.36328125" bestFit="1" customWidth="1"/>
    <col min="16" max="16" width="16.26953125" bestFit="1" customWidth="1"/>
    <col min="17" max="17" width="16.1796875" bestFit="1" customWidth="1"/>
    <col min="18" max="18" width="20.36328125" bestFit="1" customWidth="1"/>
  </cols>
  <sheetData>
    <row r="1" spans="1:18" s="3" customFormat="1" x14ac:dyDescent="0.35">
      <c r="A1" s="3" t="s">
        <v>3244</v>
      </c>
      <c r="B1" s="3" t="s">
        <v>3299</v>
      </c>
      <c r="C1" s="3" t="s">
        <v>3300</v>
      </c>
      <c r="D1" s="3" t="s">
        <v>3301</v>
      </c>
      <c r="E1" s="3" t="s">
        <v>3302</v>
      </c>
      <c r="F1" s="3" t="s">
        <v>3303</v>
      </c>
      <c r="G1" s="3" t="s">
        <v>3304</v>
      </c>
      <c r="H1" s="3" t="s">
        <v>3305</v>
      </c>
      <c r="I1" s="3" t="s">
        <v>3306</v>
      </c>
      <c r="J1" s="3" t="s">
        <v>3307</v>
      </c>
      <c r="K1" s="3" t="s">
        <v>3308</v>
      </c>
      <c r="L1" s="3" t="s">
        <v>3309</v>
      </c>
      <c r="M1" s="3" t="s">
        <v>3310</v>
      </c>
      <c r="N1" s="3" t="s">
        <v>3311</v>
      </c>
      <c r="O1" s="3" t="s">
        <v>3312</v>
      </c>
      <c r="P1" s="3" t="s">
        <v>3313</v>
      </c>
      <c r="Q1" s="3" t="s">
        <v>3314</v>
      </c>
      <c r="R1" s="3" t="s">
        <v>3275</v>
      </c>
    </row>
    <row r="2" spans="1:18" x14ac:dyDescent="0.35">
      <c r="A2" s="14">
        <v>45351</v>
      </c>
      <c r="B2">
        <v>7708694.9699999997</v>
      </c>
      <c r="C2">
        <v>6995522.5800000001</v>
      </c>
      <c r="D2">
        <v>36771.769999999997</v>
      </c>
      <c r="E2">
        <v>676400.62</v>
      </c>
      <c r="F2">
        <v>160559.69</v>
      </c>
      <c r="G2">
        <v>48.01</v>
      </c>
      <c r="H2">
        <v>43.57</v>
      </c>
      <c r="I2">
        <v>0.23</v>
      </c>
      <c r="J2">
        <v>4.21</v>
      </c>
      <c r="K2">
        <v>47.21</v>
      </c>
      <c r="L2">
        <v>-3.64</v>
      </c>
      <c r="M2">
        <v>4.21</v>
      </c>
      <c r="N2">
        <v>676400.62</v>
      </c>
      <c r="O2">
        <v>1.51</v>
      </c>
      <c r="P2">
        <v>49.52</v>
      </c>
      <c r="Q2">
        <v>160559.69</v>
      </c>
      <c r="R2">
        <v>0</v>
      </c>
    </row>
    <row r="3" spans="1:18" x14ac:dyDescent="0.35">
      <c r="A3" s="14">
        <v>45382</v>
      </c>
      <c r="B3">
        <v>9161279.7899999991</v>
      </c>
      <c r="C3">
        <v>7454278.3499999996</v>
      </c>
      <c r="D3">
        <v>100452.42</v>
      </c>
      <c r="E3">
        <v>1606549.02</v>
      </c>
      <c r="F3">
        <v>160650.63</v>
      </c>
      <c r="G3">
        <v>57.03</v>
      </c>
      <c r="H3">
        <v>46.4</v>
      </c>
      <c r="I3">
        <v>0.63</v>
      </c>
      <c r="J3">
        <v>10</v>
      </c>
      <c r="K3">
        <v>46.92</v>
      </c>
      <c r="L3">
        <v>-0.52</v>
      </c>
      <c r="M3">
        <v>10</v>
      </c>
      <c r="N3">
        <v>1606549.02</v>
      </c>
      <c r="O3">
        <v>1.49</v>
      </c>
      <c r="P3">
        <v>58.52</v>
      </c>
      <c r="Q3">
        <v>160650.63</v>
      </c>
      <c r="R3">
        <v>0</v>
      </c>
    </row>
    <row r="4" spans="1:18" x14ac:dyDescent="0.35">
      <c r="A4" s="14">
        <v>45412</v>
      </c>
      <c r="B4">
        <v>10031153.779999999</v>
      </c>
      <c r="C4">
        <v>7950377.4400000004</v>
      </c>
      <c r="D4">
        <v>231732.94</v>
      </c>
      <c r="E4">
        <v>1849043.4</v>
      </c>
      <c r="F4">
        <v>168908.93</v>
      </c>
      <c r="G4">
        <v>59.39</v>
      </c>
      <c r="H4">
        <v>47.07</v>
      </c>
      <c r="I4">
        <v>1.37</v>
      </c>
      <c r="J4">
        <v>10.95</v>
      </c>
      <c r="K4">
        <v>46.49</v>
      </c>
      <c r="L4">
        <v>0.57999999999999996</v>
      </c>
      <c r="M4">
        <v>10.95</v>
      </c>
      <c r="N4">
        <v>1849043.4</v>
      </c>
      <c r="O4">
        <v>1.49</v>
      </c>
      <c r="P4">
        <v>60.88</v>
      </c>
      <c r="Q4">
        <v>168908.93</v>
      </c>
      <c r="R4">
        <v>0</v>
      </c>
    </row>
    <row r="5" spans="1:18" x14ac:dyDescent="0.35">
      <c r="A5" s="14">
        <v>45443</v>
      </c>
      <c r="B5">
        <v>10656433.220000001</v>
      </c>
      <c r="C5">
        <v>8559730.0399999991</v>
      </c>
      <c r="D5">
        <v>106301.7</v>
      </c>
      <c r="E5">
        <v>1990401.48</v>
      </c>
      <c r="F5">
        <v>173868.88</v>
      </c>
      <c r="G5">
        <v>61.29</v>
      </c>
      <c r="H5">
        <v>49.23</v>
      </c>
      <c r="I5">
        <v>0.61</v>
      </c>
      <c r="J5">
        <v>11.45</v>
      </c>
      <c r="K5">
        <v>46.2</v>
      </c>
      <c r="L5">
        <v>3.03</v>
      </c>
      <c r="M5">
        <v>11.45</v>
      </c>
      <c r="N5">
        <v>1990401.48</v>
      </c>
      <c r="O5">
        <v>1.5</v>
      </c>
      <c r="P5">
        <v>62.79</v>
      </c>
      <c r="Q5">
        <v>173868.88</v>
      </c>
      <c r="R5">
        <v>0</v>
      </c>
    </row>
    <row r="6" spans="1:18" x14ac:dyDescent="0.35">
      <c r="A6" s="14">
        <v>45473</v>
      </c>
      <c r="B6">
        <v>9696335.0299999993</v>
      </c>
      <c r="C6">
        <v>7472017.1799999997</v>
      </c>
      <c r="D6">
        <v>125357.66</v>
      </c>
      <c r="E6">
        <v>2098960.19</v>
      </c>
      <c r="F6">
        <v>171045.99</v>
      </c>
      <c r="G6">
        <v>56.69</v>
      </c>
      <c r="H6">
        <v>43.68</v>
      </c>
      <c r="I6">
        <v>0.73</v>
      </c>
      <c r="J6">
        <v>12.28</v>
      </c>
      <c r="K6">
        <v>46.07</v>
      </c>
      <c r="L6">
        <v>-2.39</v>
      </c>
      <c r="M6">
        <v>12.28</v>
      </c>
      <c r="N6">
        <v>2098960.19</v>
      </c>
      <c r="O6">
        <v>1.49</v>
      </c>
      <c r="P6">
        <v>58.18</v>
      </c>
      <c r="Q6">
        <v>171045.99</v>
      </c>
      <c r="R6">
        <v>1</v>
      </c>
    </row>
    <row r="7" spans="1:18" x14ac:dyDescent="0.35">
      <c r="A7" s="14">
        <v>45504</v>
      </c>
      <c r="B7">
        <v>10225670.300000001</v>
      </c>
      <c r="C7">
        <v>7954579.3399999999</v>
      </c>
      <c r="D7">
        <v>220080.08</v>
      </c>
      <c r="E7">
        <v>2051010.88</v>
      </c>
      <c r="F7">
        <v>174102.13</v>
      </c>
      <c r="G7">
        <v>58.73</v>
      </c>
      <c r="H7">
        <v>45.69</v>
      </c>
      <c r="I7">
        <v>1.26</v>
      </c>
      <c r="J7">
        <v>11.78</v>
      </c>
      <c r="K7">
        <v>45.83</v>
      </c>
      <c r="L7">
        <v>-0.14000000000000001</v>
      </c>
      <c r="M7">
        <v>11.78</v>
      </c>
      <c r="N7">
        <v>2051010.88</v>
      </c>
      <c r="O7">
        <v>1.49</v>
      </c>
      <c r="P7">
        <v>60.22</v>
      </c>
      <c r="Q7">
        <v>174102.13</v>
      </c>
      <c r="R7">
        <v>1</v>
      </c>
    </row>
    <row r="8" spans="1:18" x14ac:dyDescent="0.35">
      <c r="A8" s="14">
        <v>45535</v>
      </c>
      <c r="B8">
        <v>10160131.060000001</v>
      </c>
      <c r="C8">
        <v>7903401.04</v>
      </c>
      <c r="D8">
        <v>183441.4</v>
      </c>
      <c r="E8">
        <v>2073288.62</v>
      </c>
      <c r="F8">
        <v>174612.42</v>
      </c>
      <c r="G8">
        <v>58.19</v>
      </c>
      <c r="H8">
        <v>45.26</v>
      </c>
      <c r="I8">
        <v>1.05</v>
      </c>
      <c r="J8">
        <v>11.88</v>
      </c>
      <c r="K8">
        <v>45.73</v>
      </c>
      <c r="L8">
        <v>-0.47</v>
      </c>
      <c r="M8">
        <v>11.88</v>
      </c>
      <c r="N8">
        <v>2073288.62</v>
      </c>
      <c r="O8">
        <v>1.49</v>
      </c>
      <c r="P8">
        <v>59.68</v>
      </c>
      <c r="Q8">
        <v>174612.42</v>
      </c>
      <c r="R8">
        <v>1</v>
      </c>
    </row>
    <row r="9" spans="1:18" x14ac:dyDescent="0.35">
      <c r="A9" s="14">
        <v>45565</v>
      </c>
      <c r="B9">
        <v>9734609.0800000001</v>
      </c>
      <c r="C9">
        <v>7628347.75</v>
      </c>
      <c r="D9">
        <v>175650.11</v>
      </c>
      <c r="E9">
        <v>1930611.22</v>
      </c>
      <c r="F9">
        <v>174200.71</v>
      </c>
      <c r="G9">
        <v>55.88</v>
      </c>
      <c r="H9">
        <v>43.79</v>
      </c>
      <c r="I9">
        <v>1.01</v>
      </c>
      <c r="J9">
        <v>11.08</v>
      </c>
      <c r="K9">
        <v>45.62</v>
      </c>
      <c r="L9">
        <v>-1.83</v>
      </c>
      <c r="M9">
        <v>11.08</v>
      </c>
      <c r="N9">
        <v>1930611.22</v>
      </c>
      <c r="O9">
        <v>1.5</v>
      </c>
      <c r="P9">
        <v>57.38</v>
      </c>
      <c r="Q9">
        <v>174200.71</v>
      </c>
      <c r="R9">
        <v>1</v>
      </c>
    </row>
    <row r="10" spans="1:18" x14ac:dyDescent="0.35">
      <c r="A10" s="14">
        <v>45596</v>
      </c>
      <c r="B10">
        <v>9642255.7799999993</v>
      </c>
      <c r="C10">
        <v>7361150.2400000002</v>
      </c>
      <c r="D10">
        <v>151676.78</v>
      </c>
      <c r="E10">
        <v>2129428.7599999998</v>
      </c>
      <c r="F10">
        <v>173958.48</v>
      </c>
      <c r="G10">
        <v>55.43</v>
      </c>
      <c r="H10">
        <v>42.32</v>
      </c>
      <c r="I10">
        <v>0.87</v>
      </c>
      <c r="J10">
        <v>12.24</v>
      </c>
      <c r="K10">
        <v>45.64</v>
      </c>
      <c r="L10">
        <v>-3.32</v>
      </c>
      <c r="M10">
        <v>12.24</v>
      </c>
      <c r="N10">
        <v>2129428.7599999998</v>
      </c>
      <c r="O10">
        <v>1.5</v>
      </c>
      <c r="P10">
        <v>56.93</v>
      </c>
      <c r="Q10">
        <v>173958.48</v>
      </c>
      <c r="R10">
        <v>1</v>
      </c>
    </row>
    <row r="11" spans="1:18" x14ac:dyDescent="0.35">
      <c r="A11" s="14">
        <v>45626</v>
      </c>
      <c r="B11">
        <v>9356518.3599999994</v>
      </c>
      <c r="C11">
        <v>7339317.0899999999</v>
      </c>
      <c r="D11">
        <v>158964.29</v>
      </c>
      <c r="E11">
        <v>1858236.98</v>
      </c>
      <c r="F11">
        <v>172806.26</v>
      </c>
      <c r="G11">
        <v>54.14</v>
      </c>
      <c r="H11">
        <v>42.47</v>
      </c>
      <c r="I11">
        <v>0.92</v>
      </c>
      <c r="J11">
        <v>10.75</v>
      </c>
      <c r="K11">
        <v>45.65</v>
      </c>
      <c r="L11">
        <v>-3.18</v>
      </c>
      <c r="M11">
        <v>10.75</v>
      </c>
      <c r="N11">
        <v>1858236.98</v>
      </c>
      <c r="O11">
        <v>1.49</v>
      </c>
      <c r="P11">
        <v>55.63</v>
      </c>
      <c r="Q11">
        <v>172806.26</v>
      </c>
      <c r="R11">
        <v>1</v>
      </c>
    </row>
    <row r="12" spans="1:18" x14ac:dyDescent="0.35">
      <c r="A12" s="14">
        <v>45657</v>
      </c>
      <c r="B12">
        <v>9803686.1199999992</v>
      </c>
      <c r="C12">
        <v>7551172.4800000004</v>
      </c>
      <c r="D12">
        <v>220577.82</v>
      </c>
      <c r="E12">
        <v>2031935.82</v>
      </c>
      <c r="F12">
        <v>172907.84</v>
      </c>
      <c r="G12">
        <v>56.7</v>
      </c>
      <c r="H12">
        <v>43.67</v>
      </c>
      <c r="I12">
        <v>1.28</v>
      </c>
      <c r="J12">
        <v>11.75</v>
      </c>
      <c r="K12">
        <v>45.71</v>
      </c>
      <c r="L12">
        <v>-2.04</v>
      </c>
      <c r="M12">
        <v>11.75</v>
      </c>
      <c r="N12">
        <v>2031935.82</v>
      </c>
      <c r="O12">
        <v>1.49</v>
      </c>
      <c r="P12">
        <v>58.19</v>
      </c>
      <c r="Q12">
        <v>172907.84</v>
      </c>
      <c r="R12">
        <v>1</v>
      </c>
    </row>
    <row r="13" spans="1:18" x14ac:dyDescent="0.35">
      <c r="A13" s="14">
        <v>45688</v>
      </c>
      <c r="B13">
        <v>9814230.1899999995</v>
      </c>
      <c r="C13">
        <v>7587384.2699999996</v>
      </c>
      <c r="D13">
        <v>129812.2</v>
      </c>
      <c r="E13">
        <v>2097033.72</v>
      </c>
      <c r="F13">
        <v>173126.08</v>
      </c>
      <c r="G13">
        <v>56.69</v>
      </c>
      <c r="H13">
        <v>43.83</v>
      </c>
      <c r="I13">
        <v>0.75</v>
      </c>
      <c r="J13">
        <v>12.11</v>
      </c>
      <c r="K13">
        <v>45.72</v>
      </c>
      <c r="L13">
        <v>-1.89</v>
      </c>
      <c r="M13">
        <v>12.11</v>
      </c>
      <c r="N13">
        <v>2097033.72</v>
      </c>
      <c r="O13">
        <v>1.5</v>
      </c>
      <c r="P13">
        <v>58.19</v>
      </c>
      <c r="Q13">
        <v>173126.08</v>
      </c>
      <c r="R13">
        <v>1</v>
      </c>
    </row>
    <row r="14" spans="1:18" x14ac:dyDescent="0.35">
      <c r="A14" s="14">
        <v>45716</v>
      </c>
      <c r="B14">
        <v>9608911.6799999997</v>
      </c>
      <c r="C14">
        <v>7513598.9100000001</v>
      </c>
      <c r="D14">
        <v>125251</v>
      </c>
      <c r="E14">
        <v>1970061.77</v>
      </c>
      <c r="F14">
        <v>172684.79999999999</v>
      </c>
      <c r="G14">
        <v>55.64</v>
      </c>
      <c r="H14">
        <v>43.51</v>
      </c>
      <c r="I14">
        <v>0.73</v>
      </c>
      <c r="J14">
        <v>11.4</v>
      </c>
      <c r="K14">
        <v>45.73</v>
      </c>
      <c r="L14">
        <v>-2.2200000000000002</v>
      </c>
      <c r="M14">
        <v>11.4</v>
      </c>
      <c r="N14">
        <v>1970061.77</v>
      </c>
      <c r="O14">
        <v>1.5</v>
      </c>
      <c r="P14">
        <v>57.14</v>
      </c>
      <c r="Q14">
        <v>172684.79999999999</v>
      </c>
      <c r="R14">
        <v>1</v>
      </c>
    </row>
    <row r="15" spans="1:18" x14ac:dyDescent="0.35">
      <c r="A15" s="14">
        <v>45747</v>
      </c>
      <c r="B15">
        <v>9785960.8599999994</v>
      </c>
      <c r="C15">
        <v>7506476.7199999997</v>
      </c>
      <c r="D15">
        <v>108045.41</v>
      </c>
      <c r="E15">
        <v>2171438.73</v>
      </c>
      <c r="F15">
        <v>172994.21</v>
      </c>
      <c r="G15">
        <v>56.57</v>
      </c>
      <c r="H15">
        <v>43.39</v>
      </c>
      <c r="I15">
        <v>0.62</v>
      </c>
      <c r="J15">
        <v>12.56</v>
      </c>
      <c r="K15">
        <v>45.73</v>
      </c>
      <c r="L15">
        <v>-2.34</v>
      </c>
      <c r="M15">
        <v>12.56</v>
      </c>
      <c r="N15">
        <v>2171438.73</v>
      </c>
      <c r="O15">
        <v>1.51</v>
      </c>
      <c r="P15">
        <v>58.08</v>
      </c>
      <c r="Q15">
        <v>172994.21</v>
      </c>
      <c r="R15">
        <v>1</v>
      </c>
    </row>
    <row r="16" spans="1:18" x14ac:dyDescent="0.35">
      <c r="A16" s="14">
        <v>45777</v>
      </c>
      <c r="B16">
        <v>10244389.449999999</v>
      </c>
      <c r="C16">
        <v>7902802.4400000004</v>
      </c>
      <c r="D16">
        <v>113789.26</v>
      </c>
      <c r="E16">
        <v>2227797.75</v>
      </c>
      <c r="F16">
        <v>172063.04</v>
      </c>
      <c r="G16">
        <v>59.54</v>
      </c>
      <c r="H16">
        <v>45.93</v>
      </c>
      <c r="I16">
        <v>0.66</v>
      </c>
      <c r="J16">
        <v>12.95</v>
      </c>
      <c r="K16">
        <v>45.66</v>
      </c>
      <c r="L16">
        <v>0.27</v>
      </c>
      <c r="M16">
        <v>12.95</v>
      </c>
      <c r="N16">
        <v>2227797.75</v>
      </c>
      <c r="O16">
        <v>1.52</v>
      </c>
      <c r="P16">
        <v>61.06</v>
      </c>
      <c r="Q16">
        <v>172063.04</v>
      </c>
      <c r="R16">
        <v>1</v>
      </c>
    </row>
    <row r="17" spans="1:18" x14ac:dyDescent="0.35">
      <c r="A17" s="14">
        <v>45808</v>
      </c>
      <c r="B17">
        <v>10395828.08</v>
      </c>
      <c r="C17">
        <v>7813773.5999999996</v>
      </c>
      <c r="D17">
        <v>229299.57</v>
      </c>
      <c r="E17">
        <v>2352754.91</v>
      </c>
      <c r="F17">
        <v>171079.22</v>
      </c>
      <c r="G17">
        <v>60.77</v>
      </c>
      <c r="H17">
        <v>45.67</v>
      </c>
      <c r="I17">
        <v>1.34</v>
      </c>
      <c r="J17">
        <v>13.76</v>
      </c>
      <c r="K17">
        <v>45.54</v>
      </c>
      <c r="L17">
        <v>0.13</v>
      </c>
      <c r="M17">
        <v>13.76</v>
      </c>
      <c r="N17">
        <v>2352754.91</v>
      </c>
      <c r="O17">
        <v>1.54</v>
      </c>
      <c r="P17">
        <v>62.31</v>
      </c>
      <c r="Q17">
        <v>171079.22</v>
      </c>
      <c r="R17">
        <v>1</v>
      </c>
    </row>
    <row r="18" spans="1:18" x14ac:dyDescent="0.35">
      <c r="A18" s="14">
        <v>45838</v>
      </c>
      <c r="B18">
        <v>10136142.119999999</v>
      </c>
      <c r="C18">
        <v>7332149.3300000001</v>
      </c>
      <c r="D18">
        <v>171993.86</v>
      </c>
      <c r="E18">
        <v>2631998.9300000002</v>
      </c>
      <c r="F18">
        <v>172362.76</v>
      </c>
      <c r="G18">
        <v>58.81</v>
      </c>
      <c r="H18">
        <v>42.54</v>
      </c>
      <c r="I18">
        <v>1</v>
      </c>
      <c r="J18">
        <v>15.27</v>
      </c>
      <c r="K18">
        <v>45.49</v>
      </c>
      <c r="L18">
        <v>-2.95</v>
      </c>
      <c r="M18">
        <v>15.27</v>
      </c>
      <c r="N18">
        <v>2631998.9300000002</v>
      </c>
      <c r="O18">
        <v>1.57</v>
      </c>
      <c r="P18">
        <v>60.38</v>
      </c>
      <c r="Q18">
        <v>172362.76</v>
      </c>
      <c r="R18">
        <v>1</v>
      </c>
    </row>
    <row r="19" spans="1:18" x14ac:dyDescent="0.35">
      <c r="A19" s="14">
        <v>45869</v>
      </c>
      <c r="B19">
        <v>10634824.07</v>
      </c>
      <c r="C19">
        <v>8105018.3200000003</v>
      </c>
      <c r="D19">
        <v>115223.9</v>
      </c>
      <c r="E19">
        <v>2414581.85</v>
      </c>
      <c r="F19">
        <v>172654.7</v>
      </c>
      <c r="G19">
        <v>61.6</v>
      </c>
      <c r="H19">
        <v>46.94</v>
      </c>
      <c r="I19">
        <v>0.67</v>
      </c>
      <c r="J19">
        <v>13.99</v>
      </c>
      <c r="K19">
        <v>45.72</v>
      </c>
      <c r="L19">
        <v>1.22</v>
      </c>
      <c r="M19">
        <v>13.99</v>
      </c>
      <c r="N19">
        <v>2414581.85</v>
      </c>
      <c r="O19">
        <v>1.61</v>
      </c>
      <c r="P19">
        <v>63.21</v>
      </c>
      <c r="Q19">
        <v>172654.7</v>
      </c>
      <c r="R19">
        <v>1</v>
      </c>
    </row>
    <row r="20" spans="1:18" x14ac:dyDescent="0.35">
      <c r="A20" s="14">
        <v>45900</v>
      </c>
      <c r="B20">
        <v>10982688.73</v>
      </c>
      <c r="C20">
        <v>8321078.29</v>
      </c>
      <c r="D20">
        <v>88540.2</v>
      </c>
      <c r="E20">
        <v>2573070.2400000002</v>
      </c>
      <c r="F20">
        <v>172457.07</v>
      </c>
      <c r="G20">
        <v>63.68</v>
      </c>
      <c r="H20">
        <v>48.25</v>
      </c>
      <c r="I20">
        <v>0.51</v>
      </c>
      <c r="J20">
        <v>14.92</v>
      </c>
      <c r="K20">
        <v>45.96</v>
      </c>
      <c r="L20">
        <v>2.29</v>
      </c>
      <c r="M20">
        <v>14.92</v>
      </c>
      <c r="N20">
        <v>2573070.2400000002</v>
      </c>
      <c r="O20">
        <v>1.63</v>
      </c>
      <c r="P20">
        <v>65.31</v>
      </c>
      <c r="Q20">
        <v>172457.07</v>
      </c>
      <c r="R20">
        <v>1</v>
      </c>
    </row>
    <row r="21" spans="1:18" x14ac:dyDescent="0.35">
      <c r="A21" s="14">
        <v>45930</v>
      </c>
      <c r="B21">
        <v>11573559.369999999</v>
      </c>
      <c r="C21">
        <v>8452754.6999999993</v>
      </c>
      <c r="D21">
        <v>155559.60999999999</v>
      </c>
      <c r="E21">
        <v>2965245.06</v>
      </c>
      <c r="F21">
        <v>174112.69</v>
      </c>
      <c r="G21">
        <v>66.47</v>
      </c>
      <c r="H21">
        <v>48.55</v>
      </c>
      <c r="I21">
        <v>0.89</v>
      </c>
      <c r="J21">
        <v>17.03</v>
      </c>
      <c r="K21">
        <v>46.21</v>
      </c>
      <c r="L21">
        <v>2.34</v>
      </c>
      <c r="M21">
        <v>17.03</v>
      </c>
      <c r="N21">
        <v>2965245.06</v>
      </c>
      <c r="O21">
        <v>1.66</v>
      </c>
      <c r="P21">
        <v>68.13</v>
      </c>
      <c r="Q21">
        <v>174112.69</v>
      </c>
      <c r="R21">
        <v>1</v>
      </c>
    </row>
    <row r="22" spans="1:18" x14ac:dyDescent="0.35">
      <c r="A22" s="14">
        <v>45961</v>
      </c>
      <c r="B22">
        <v>11521766.449999999</v>
      </c>
      <c r="C22">
        <v>8776552.9299999997</v>
      </c>
      <c r="D22">
        <v>185473.89</v>
      </c>
      <c r="E22">
        <v>2559739.63</v>
      </c>
      <c r="F22">
        <v>175485.95</v>
      </c>
      <c r="G22">
        <v>65.66</v>
      </c>
      <c r="H22">
        <v>50.01</v>
      </c>
      <c r="I22">
        <v>1.06</v>
      </c>
      <c r="J22">
        <v>14.59</v>
      </c>
      <c r="K22">
        <v>46.41</v>
      </c>
      <c r="L22">
        <v>3.6</v>
      </c>
      <c r="M22">
        <v>14.59</v>
      </c>
      <c r="N22">
        <v>2559739.63</v>
      </c>
      <c r="O22">
        <v>1.7</v>
      </c>
      <c r="P22">
        <v>67.36</v>
      </c>
      <c r="Q22">
        <v>175485.95</v>
      </c>
      <c r="R22">
        <v>1</v>
      </c>
    </row>
    <row r="23" spans="1:18" x14ac:dyDescent="0.35">
      <c r="A23" s="14">
        <v>45991</v>
      </c>
      <c r="B23">
        <v>10760687.35</v>
      </c>
      <c r="C23">
        <v>7869988.3700000001</v>
      </c>
      <c r="D23">
        <v>76351.77</v>
      </c>
      <c r="E23">
        <v>2814347.21</v>
      </c>
      <c r="F23">
        <v>175421.18</v>
      </c>
      <c r="G23">
        <v>61.34</v>
      </c>
      <c r="H23">
        <v>44.86</v>
      </c>
      <c r="I23">
        <v>0.44</v>
      </c>
      <c r="J23">
        <v>16.04</v>
      </c>
      <c r="K23">
        <v>46.59</v>
      </c>
      <c r="L23">
        <v>-1.73</v>
      </c>
      <c r="M23">
        <v>16.04</v>
      </c>
      <c r="N23">
        <v>2814347.21</v>
      </c>
      <c r="O23">
        <v>1.74</v>
      </c>
      <c r="P23">
        <v>63.08</v>
      </c>
      <c r="Q23">
        <v>175421.18</v>
      </c>
      <c r="R23">
        <v>1</v>
      </c>
    </row>
    <row r="24" spans="1:18" x14ac:dyDescent="0.35">
      <c r="A24" s="14">
        <v>46022</v>
      </c>
      <c r="B24">
        <v>10847081.49</v>
      </c>
      <c r="C24">
        <v>8095793.7800000003</v>
      </c>
      <c r="D24">
        <v>154864.71</v>
      </c>
      <c r="E24">
        <v>2596423</v>
      </c>
      <c r="F24">
        <v>176118.33</v>
      </c>
      <c r="G24">
        <v>61.59</v>
      </c>
      <c r="H24">
        <v>45.97</v>
      </c>
      <c r="I24">
        <v>0.88</v>
      </c>
      <c r="J24">
        <v>14.74</v>
      </c>
      <c r="K24">
        <v>46.68</v>
      </c>
      <c r="L24">
        <v>-0.71</v>
      </c>
      <c r="M24">
        <v>14.74</v>
      </c>
      <c r="N24">
        <v>2596423</v>
      </c>
      <c r="O24">
        <v>1.78</v>
      </c>
      <c r="P24">
        <v>63.37</v>
      </c>
      <c r="Q24">
        <v>176118.33</v>
      </c>
      <c r="R24">
        <v>1</v>
      </c>
    </row>
  </sheetData>
  <phoneticPr fontId="6"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DA838-ADD7-4E85-BED5-88140D3F7A2C}">
  <dimension ref="A1:J25"/>
  <sheetViews>
    <sheetView workbookViewId="0"/>
  </sheetViews>
  <sheetFormatPr defaultRowHeight="14.5" x14ac:dyDescent="0.35"/>
  <cols>
    <col min="1" max="1" width="12.08984375" bestFit="1" customWidth="1"/>
    <col min="2" max="2" width="15.54296875" bestFit="1" customWidth="1"/>
    <col min="3" max="3" width="14.08984375" bestFit="1" customWidth="1"/>
    <col min="4" max="4" width="12.81640625" bestFit="1" customWidth="1"/>
    <col min="5" max="5" width="14.26953125" bestFit="1" customWidth="1"/>
    <col min="6" max="6" width="23.36328125" bestFit="1" customWidth="1"/>
    <col min="7" max="9" width="16.7265625" bestFit="1" customWidth="1"/>
    <col min="10" max="10" width="19.7265625" bestFit="1" customWidth="1"/>
  </cols>
  <sheetData>
    <row r="1" spans="1:10" s="3" customFormat="1" x14ac:dyDescent="0.35">
      <c r="A1" s="3" t="s">
        <v>3243</v>
      </c>
      <c r="B1" s="3" t="s">
        <v>3315</v>
      </c>
      <c r="C1" s="3" t="s">
        <v>3316</v>
      </c>
      <c r="D1" s="3" t="s">
        <v>3317</v>
      </c>
      <c r="E1" s="3" t="s">
        <v>3318</v>
      </c>
      <c r="F1" s="3" t="s">
        <v>3308</v>
      </c>
      <c r="G1" s="3" t="s">
        <v>3319</v>
      </c>
      <c r="H1" s="3" t="s">
        <v>3320</v>
      </c>
      <c r="I1" s="3" t="s">
        <v>3321</v>
      </c>
      <c r="J1" s="3" t="s">
        <v>3322</v>
      </c>
    </row>
    <row r="2" spans="1:10" x14ac:dyDescent="0.35">
      <c r="A2" s="13" t="s">
        <v>3323</v>
      </c>
      <c r="B2" s="14">
        <v>45322</v>
      </c>
      <c r="C2">
        <v>31</v>
      </c>
      <c r="D2">
        <v>4983263.87</v>
      </c>
      <c r="E2">
        <v>1121</v>
      </c>
      <c r="F2">
        <v>47.2</v>
      </c>
      <c r="G2">
        <v>31.14</v>
      </c>
      <c r="H2">
        <v>31.22</v>
      </c>
      <c r="I2">
        <v>33.57</v>
      </c>
      <c r="J2">
        <v>37.64</v>
      </c>
    </row>
    <row r="3" spans="1:10" x14ac:dyDescent="0.35">
      <c r="A3" s="13" t="s">
        <v>3276</v>
      </c>
      <c r="B3" s="14">
        <v>45351</v>
      </c>
      <c r="C3">
        <v>29</v>
      </c>
      <c r="D3">
        <v>4650317.3099999996</v>
      </c>
      <c r="E3">
        <v>1050</v>
      </c>
      <c r="F3">
        <v>47.22</v>
      </c>
      <c r="G3">
        <v>29.36</v>
      </c>
      <c r="H3">
        <v>35.67</v>
      </c>
      <c r="I3">
        <v>30.39</v>
      </c>
      <c r="J3">
        <v>34.97</v>
      </c>
    </row>
    <row r="4" spans="1:10" x14ac:dyDescent="0.35">
      <c r="A4" s="13" t="s">
        <v>3277</v>
      </c>
      <c r="B4" s="14">
        <v>45382</v>
      </c>
      <c r="C4">
        <v>31</v>
      </c>
      <c r="D4">
        <v>4985626.51</v>
      </c>
      <c r="E4">
        <v>1164</v>
      </c>
      <c r="F4">
        <v>46.37</v>
      </c>
      <c r="G4">
        <v>36.15</v>
      </c>
      <c r="H4">
        <v>26.7</v>
      </c>
      <c r="I4">
        <v>33.090000000000003</v>
      </c>
      <c r="J4">
        <v>37.15</v>
      </c>
    </row>
    <row r="5" spans="1:10" x14ac:dyDescent="0.35">
      <c r="A5" s="13" t="s">
        <v>3278</v>
      </c>
      <c r="B5" s="14">
        <v>45412</v>
      </c>
      <c r="C5">
        <v>30</v>
      </c>
      <c r="D5">
        <v>5818772.5199999996</v>
      </c>
      <c r="E5">
        <v>1359</v>
      </c>
      <c r="F5">
        <v>45.42</v>
      </c>
      <c r="G5">
        <v>40.57</v>
      </c>
      <c r="H5">
        <v>24.17</v>
      </c>
      <c r="I5">
        <v>31.22</v>
      </c>
      <c r="J5">
        <v>35.26</v>
      </c>
    </row>
    <row r="6" spans="1:10" x14ac:dyDescent="0.35">
      <c r="A6" s="13" t="s">
        <v>3279</v>
      </c>
      <c r="B6" s="14">
        <v>45443</v>
      </c>
      <c r="C6">
        <v>31</v>
      </c>
      <c r="D6">
        <v>5990089.9500000002</v>
      </c>
      <c r="E6">
        <v>1405</v>
      </c>
      <c r="F6">
        <v>45.2</v>
      </c>
      <c r="G6">
        <v>40.119999999999997</v>
      </c>
      <c r="H6">
        <v>26.81</v>
      </c>
      <c r="I6">
        <v>28.91</v>
      </c>
      <c r="J6">
        <v>33.08</v>
      </c>
    </row>
    <row r="7" spans="1:10" x14ac:dyDescent="0.35">
      <c r="A7" s="13" t="s">
        <v>3280</v>
      </c>
      <c r="B7" s="14">
        <v>45473</v>
      </c>
      <c r="C7">
        <v>30</v>
      </c>
      <c r="D7">
        <v>4702299.2699999996</v>
      </c>
      <c r="E7">
        <v>1177</v>
      </c>
      <c r="F7">
        <v>45.32</v>
      </c>
      <c r="G7">
        <v>41.32</v>
      </c>
      <c r="H7">
        <v>23.1</v>
      </c>
      <c r="I7">
        <v>31.64</v>
      </c>
      <c r="J7">
        <v>35.58</v>
      </c>
    </row>
    <row r="8" spans="1:10" x14ac:dyDescent="0.35">
      <c r="A8" s="13" t="s">
        <v>3281</v>
      </c>
      <c r="B8" s="14">
        <v>45504</v>
      </c>
      <c r="C8">
        <v>31</v>
      </c>
      <c r="D8">
        <v>5953385.29</v>
      </c>
      <c r="E8">
        <v>1386</v>
      </c>
      <c r="F8">
        <v>44.6</v>
      </c>
      <c r="G8">
        <v>41.56</v>
      </c>
      <c r="H8">
        <v>26.17</v>
      </c>
      <c r="I8">
        <v>28.96</v>
      </c>
      <c r="J8">
        <v>32.270000000000003</v>
      </c>
    </row>
    <row r="9" spans="1:10" x14ac:dyDescent="0.35">
      <c r="A9" s="13" t="s">
        <v>3282</v>
      </c>
      <c r="B9" s="14">
        <v>45535</v>
      </c>
      <c r="C9">
        <v>31</v>
      </c>
      <c r="D9">
        <v>5521676.5099999998</v>
      </c>
      <c r="E9">
        <v>1280</v>
      </c>
      <c r="F9">
        <v>45.08</v>
      </c>
      <c r="G9">
        <v>39.11</v>
      </c>
      <c r="H9">
        <v>27.93</v>
      </c>
      <c r="I9">
        <v>29.62</v>
      </c>
      <c r="J9">
        <v>32.96</v>
      </c>
    </row>
    <row r="10" spans="1:10" x14ac:dyDescent="0.35">
      <c r="A10" s="13" t="s">
        <v>3283</v>
      </c>
      <c r="B10" s="14">
        <v>45565</v>
      </c>
      <c r="C10">
        <v>30</v>
      </c>
      <c r="D10">
        <v>5125563.6500000004</v>
      </c>
      <c r="E10">
        <v>1267</v>
      </c>
      <c r="F10">
        <v>44.72</v>
      </c>
      <c r="G10">
        <v>40.380000000000003</v>
      </c>
      <c r="H10">
        <v>28.22</v>
      </c>
      <c r="I10">
        <v>27.83</v>
      </c>
      <c r="J10">
        <v>31.39</v>
      </c>
    </row>
    <row r="11" spans="1:10" x14ac:dyDescent="0.35">
      <c r="A11" s="13" t="s">
        <v>3284</v>
      </c>
      <c r="B11" s="14">
        <v>45596</v>
      </c>
      <c r="C11">
        <v>31</v>
      </c>
      <c r="D11">
        <v>5326342.55</v>
      </c>
      <c r="E11">
        <v>1286</v>
      </c>
      <c r="F11">
        <v>45.74</v>
      </c>
      <c r="G11">
        <v>37.909999999999997</v>
      </c>
      <c r="H11">
        <v>26.8</v>
      </c>
      <c r="I11">
        <v>31.51</v>
      </c>
      <c r="J11">
        <v>35.29</v>
      </c>
    </row>
    <row r="12" spans="1:10" x14ac:dyDescent="0.35">
      <c r="A12" s="13" t="s">
        <v>3285</v>
      </c>
      <c r="B12" s="14">
        <v>45626</v>
      </c>
      <c r="C12">
        <v>30</v>
      </c>
      <c r="D12">
        <v>4832758.9000000004</v>
      </c>
      <c r="E12">
        <v>1144</v>
      </c>
      <c r="F12">
        <v>45.81</v>
      </c>
      <c r="G12">
        <v>38.19</v>
      </c>
      <c r="H12">
        <v>27.23</v>
      </c>
      <c r="I12">
        <v>30.07</v>
      </c>
      <c r="J12">
        <v>34.58</v>
      </c>
    </row>
    <row r="13" spans="1:10" x14ac:dyDescent="0.35">
      <c r="A13" s="13" t="s">
        <v>3286</v>
      </c>
      <c r="B13" s="14">
        <v>45657</v>
      </c>
      <c r="C13">
        <v>31</v>
      </c>
      <c r="D13">
        <v>5394173.9699999997</v>
      </c>
      <c r="E13">
        <v>1254</v>
      </c>
      <c r="F13">
        <v>46.33</v>
      </c>
      <c r="G13">
        <v>35.49</v>
      </c>
      <c r="H13">
        <v>28.95</v>
      </c>
      <c r="I13">
        <v>31.15</v>
      </c>
      <c r="J13">
        <v>35.56</v>
      </c>
    </row>
    <row r="14" spans="1:10" x14ac:dyDescent="0.35">
      <c r="A14" s="13" t="s">
        <v>3287</v>
      </c>
      <c r="B14" s="14">
        <v>45688</v>
      </c>
      <c r="C14">
        <v>31</v>
      </c>
      <c r="D14">
        <v>5063139.83</v>
      </c>
      <c r="E14">
        <v>1166</v>
      </c>
      <c r="F14">
        <v>47.3</v>
      </c>
      <c r="G14">
        <v>30.7</v>
      </c>
      <c r="H14">
        <v>32.74</v>
      </c>
      <c r="I14">
        <v>31.82</v>
      </c>
      <c r="J14">
        <v>36.56</v>
      </c>
    </row>
    <row r="15" spans="1:10" x14ac:dyDescent="0.35">
      <c r="A15" s="13" t="s">
        <v>3288</v>
      </c>
      <c r="B15" s="14">
        <v>45716</v>
      </c>
      <c r="C15">
        <v>28</v>
      </c>
      <c r="D15">
        <v>4316123.17</v>
      </c>
      <c r="E15">
        <v>997</v>
      </c>
      <c r="F15">
        <v>47.63</v>
      </c>
      <c r="G15">
        <v>30.07</v>
      </c>
      <c r="H15">
        <v>31.05</v>
      </c>
      <c r="I15">
        <v>34.520000000000003</v>
      </c>
      <c r="J15">
        <v>38.880000000000003</v>
      </c>
    </row>
    <row r="16" spans="1:10" x14ac:dyDescent="0.35">
      <c r="A16" s="13" t="s">
        <v>3289</v>
      </c>
      <c r="B16" s="14">
        <v>45747</v>
      </c>
      <c r="C16">
        <v>31</v>
      </c>
      <c r="D16">
        <v>5098561.43</v>
      </c>
      <c r="E16">
        <v>1152</v>
      </c>
      <c r="F16">
        <v>46.25</v>
      </c>
      <c r="G16">
        <v>33.69</v>
      </c>
      <c r="H16">
        <v>30.39</v>
      </c>
      <c r="I16">
        <v>32.86</v>
      </c>
      <c r="J16">
        <v>35.92</v>
      </c>
    </row>
    <row r="17" spans="1:10" x14ac:dyDescent="0.35">
      <c r="A17" s="13" t="s">
        <v>3290</v>
      </c>
      <c r="B17" s="14">
        <v>45777</v>
      </c>
      <c r="C17">
        <v>30</v>
      </c>
      <c r="D17">
        <v>5478895.8799999999</v>
      </c>
      <c r="E17">
        <v>1319</v>
      </c>
      <c r="F17">
        <v>44.56</v>
      </c>
      <c r="G17">
        <v>40.47</v>
      </c>
      <c r="H17">
        <v>29.01</v>
      </c>
      <c r="I17">
        <v>27.03</v>
      </c>
      <c r="J17">
        <v>30.53</v>
      </c>
    </row>
    <row r="18" spans="1:10" x14ac:dyDescent="0.35">
      <c r="A18" s="13" t="s">
        <v>3291</v>
      </c>
      <c r="B18" s="14">
        <v>45808</v>
      </c>
      <c r="C18">
        <v>31</v>
      </c>
      <c r="D18">
        <v>5630994.2300000004</v>
      </c>
      <c r="E18">
        <v>1336</v>
      </c>
      <c r="F18">
        <v>43.87</v>
      </c>
      <c r="G18">
        <v>43.19</v>
      </c>
      <c r="H18">
        <v>26.84</v>
      </c>
      <c r="I18">
        <v>27.13</v>
      </c>
      <c r="J18">
        <v>29.96</v>
      </c>
    </row>
    <row r="19" spans="1:10" x14ac:dyDescent="0.35">
      <c r="A19" s="13" t="s">
        <v>3292</v>
      </c>
      <c r="B19" s="14">
        <v>45838</v>
      </c>
      <c r="C19">
        <v>30</v>
      </c>
      <c r="D19">
        <v>5170792.3899999997</v>
      </c>
      <c r="E19">
        <v>1249</v>
      </c>
      <c r="F19">
        <v>44.72</v>
      </c>
      <c r="G19">
        <v>41.24</v>
      </c>
      <c r="H19">
        <v>27.11</v>
      </c>
      <c r="I19">
        <v>27.77</v>
      </c>
      <c r="J19">
        <v>31.64</v>
      </c>
    </row>
    <row r="20" spans="1:10" x14ac:dyDescent="0.35">
      <c r="A20" s="13" t="s">
        <v>3293</v>
      </c>
      <c r="B20" s="14">
        <v>45869</v>
      </c>
      <c r="C20">
        <v>31</v>
      </c>
      <c r="D20">
        <v>6059943.3300000001</v>
      </c>
      <c r="E20">
        <v>1425</v>
      </c>
      <c r="F20">
        <v>47.02</v>
      </c>
      <c r="G20">
        <v>32.75</v>
      </c>
      <c r="H20">
        <v>27.26</v>
      </c>
      <c r="I20">
        <v>36.89</v>
      </c>
      <c r="J20">
        <v>39.99</v>
      </c>
    </row>
    <row r="21" spans="1:10" x14ac:dyDescent="0.35">
      <c r="A21" s="13" t="s">
        <v>3294</v>
      </c>
      <c r="B21" s="14">
        <v>45900</v>
      </c>
      <c r="C21">
        <v>31</v>
      </c>
      <c r="D21">
        <v>5449542.6900000004</v>
      </c>
      <c r="E21">
        <v>1301</v>
      </c>
      <c r="F21">
        <v>47.83</v>
      </c>
      <c r="G21">
        <v>32.229999999999997</v>
      </c>
      <c r="H21">
        <v>24.24</v>
      </c>
      <c r="I21">
        <v>39.729999999999997</v>
      </c>
      <c r="J21">
        <v>43.53</v>
      </c>
    </row>
    <row r="22" spans="1:10" x14ac:dyDescent="0.35">
      <c r="A22" s="13" t="s">
        <v>3295</v>
      </c>
      <c r="B22" s="14">
        <v>45930</v>
      </c>
      <c r="C22">
        <v>30</v>
      </c>
      <c r="D22">
        <v>5729864.0499999998</v>
      </c>
      <c r="E22">
        <v>1371</v>
      </c>
      <c r="F22">
        <v>47.66</v>
      </c>
      <c r="G22">
        <v>32.799999999999997</v>
      </c>
      <c r="H22">
        <v>24.78</v>
      </c>
      <c r="I22">
        <v>38.36</v>
      </c>
      <c r="J22">
        <v>42.42</v>
      </c>
    </row>
    <row r="23" spans="1:10" x14ac:dyDescent="0.35">
      <c r="A23" s="13" t="s">
        <v>3296</v>
      </c>
      <c r="B23" s="14">
        <v>45961</v>
      </c>
      <c r="C23">
        <v>31</v>
      </c>
      <c r="D23">
        <v>5827583.5199999996</v>
      </c>
      <c r="E23">
        <v>1327</v>
      </c>
      <c r="F23">
        <v>47.9</v>
      </c>
      <c r="G23">
        <v>29.72</v>
      </c>
      <c r="H23">
        <v>29.38</v>
      </c>
      <c r="I23">
        <v>36.82</v>
      </c>
      <c r="J23">
        <v>40.909999999999997</v>
      </c>
    </row>
    <row r="24" spans="1:10" x14ac:dyDescent="0.35">
      <c r="A24" s="13" t="s">
        <v>3297</v>
      </c>
      <c r="B24" s="14">
        <v>45991</v>
      </c>
      <c r="C24">
        <v>30</v>
      </c>
      <c r="D24">
        <v>4809117.05</v>
      </c>
      <c r="E24">
        <v>1132</v>
      </c>
      <c r="F24">
        <v>48.26</v>
      </c>
      <c r="G24">
        <v>29.47</v>
      </c>
      <c r="H24">
        <v>28.59</v>
      </c>
      <c r="I24">
        <v>37.29</v>
      </c>
      <c r="J24">
        <v>41.94</v>
      </c>
    </row>
    <row r="25" spans="1:10" x14ac:dyDescent="0.35">
      <c r="A25" s="13" t="s">
        <v>3298</v>
      </c>
      <c r="B25" s="14">
        <v>46022</v>
      </c>
      <c r="C25">
        <v>31</v>
      </c>
      <c r="D25">
        <v>5648631.8600000003</v>
      </c>
      <c r="E25">
        <v>1303</v>
      </c>
      <c r="F25">
        <v>47.31</v>
      </c>
      <c r="G25">
        <v>31.26</v>
      </c>
      <c r="H25">
        <v>30.08</v>
      </c>
      <c r="I25">
        <v>34.659999999999997</v>
      </c>
      <c r="J25">
        <v>38.65</v>
      </c>
    </row>
  </sheetData>
  <phoneticPr fontId="6"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275FC-372A-4185-8039-166F15C461ED}">
  <dimension ref="A1:F11"/>
  <sheetViews>
    <sheetView workbookViewId="0"/>
  </sheetViews>
  <sheetFormatPr defaultRowHeight="14.5" x14ac:dyDescent="0.35"/>
  <cols>
    <col min="1" max="1" width="16.54296875" bestFit="1" customWidth="1"/>
    <col min="2" max="2" width="12.90625" bestFit="1" customWidth="1"/>
    <col min="3" max="3" width="14.7265625" bestFit="1" customWidth="1"/>
    <col min="4" max="4" width="11.08984375" bestFit="1" customWidth="1"/>
    <col min="5" max="5" width="7.1796875" bestFit="1" customWidth="1"/>
    <col min="6" max="6" width="56.6328125" bestFit="1" customWidth="1"/>
  </cols>
  <sheetData>
    <row r="1" spans="1:6" s="3" customFormat="1" x14ac:dyDescent="0.35">
      <c r="A1" s="3" t="s">
        <v>3324</v>
      </c>
      <c r="B1" s="3" t="s">
        <v>3325</v>
      </c>
      <c r="C1" s="3" t="s">
        <v>3326</v>
      </c>
      <c r="D1" s="3" t="s">
        <v>3327</v>
      </c>
      <c r="E1" s="3" t="s">
        <v>3328</v>
      </c>
      <c r="F1" s="3" t="s">
        <v>3329</v>
      </c>
    </row>
    <row r="2" spans="1:6" x14ac:dyDescent="0.35">
      <c r="A2" s="13" t="s">
        <v>3264</v>
      </c>
      <c r="B2">
        <v>8</v>
      </c>
      <c r="C2">
        <v>15</v>
      </c>
      <c r="D2" s="13" t="s">
        <v>3330</v>
      </c>
      <c r="E2" s="13" t="s">
        <v>3331</v>
      </c>
      <c r="F2" s="13" t="s">
        <v>3332</v>
      </c>
    </row>
    <row r="3" spans="1:6" x14ac:dyDescent="0.35">
      <c r="A3" s="13" t="s">
        <v>3312</v>
      </c>
      <c r="B3">
        <v>2</v>
      </c>
      <c r="C3">
        <v>4</v>
      </c>
      <c r="D3" s="13" t="s">
        <v>3330</v>
      </c>
      <c r="E3" s="13" t="s">
        <v>3331</v>
      </c>
      <c r="F3" s="13" t="s">
        <v>3333</v>
      </c>
    </row>
    <row r="4" spans="1:6" x14ac:dyDescent="0.35">
      <c r="A4" s="13" t="s">
        <v>3334</v>
      </c>
      <c r="B4">
        <v>85</v>
      </c>
      <c r="C4">
        <v>75</v>
      </c>
      <c r="D4" s="13" t="s">
        <v>3335</v>
      </c>
      <c r="E4" s="13" t="s">
        <v>3336</v>
      </c>
      <c r="F4" s="13" t="s">
        <v>3337</v>
      </c>
    </row>
    <row r="5" spans="1:6" x14ac:dyDescent="0.35">
      <c r="A5" s="13" t="s">
        <v>3338</v>
      </c>
      <c r="B5">
        <v>80</v>
      </c>
      <c r="C5">
        <v>100</v>
      </c>
      <c r="D5" s="13" t="s">
        <v>3330</v>
      </c>
      <c r="E5" s="13" t="s">
        <v>3336</v>
      </c>
      <c r="F5" s="13" t="s">
        <v>3339</v>
      </c>
    </row>
    <row r="6" spans="1:6" x14ac:dyDescent="0.35">
      <c r="A6" s="13" t="s">
        <v>3340</v>
      </c>
      <c r="B6">
        <v>15</v>
      </c>
      <c r="C6">
        <v>30</v>
      </c>
      <c r="D6" s="13" t="s">
        <v>3330</v>
      </c>
      <c r="E6" s="13" t="s">
        <v>3331</v>
      </c>
      <c r="F6" s="13" t="s">
        <v>3341</v>
      </c>
    </row>
    <row r="7" spans="1:6" x14ac:dyDescent="0.35">
      <c r="A7" s="13" t="s">
        <v>3342</v>
      </c>
      <c r="B7">
        <v>45</v>
      </c>
      <c r="C7">
        <v>55</v>
      </c>
      <c r="D7" s="13" t="s">
        <v>3330</v>
      </c>
      <c r="E7" s="13" t="s">
        <v>3331</v>
      </c>
      <c r="F7" s="13" t="s">
        <v>3343</v>
      </c>
    </row>
    <row r="8" spans="1:6" x14ac:dyDescent="0.35">
      <c r="A8" s="13" t="s">
        <v>3271</v>
      </c>
      <c r="B8">
        <v>3</v>
      </c>
      <c r="C8">
        <v>6</v>
      </c>
      <c r="D8" s="13" t="s">
        <v>3330</v>
      </c>
      <c r="E8" s="13" t="s">
        <v>3336</v>
      </c>
      <c r="F8" s="13" t="s">
        <v>3344</v>
      </c>
    </row>
    <row r="9" spans="1:6" x14ac:dyDescent="0.35">
      <c r="A9" s="13" t="s">
        <v>3270</v>
      </c>
      <c r="B9">
        <v>15</v>
      </c>
      <c r="C9">
        <v>25</v>
      </c>
      <c r="D9" s="13" t="s">
        <v>3330</v>
      </c>
      <c r="E9" s="13" t="s">
        <v>3336</v>
      </c>
      <c r="F9" s="13" t="s">
        <v>3345</v>
      </c>
    </row>
    <row r="10" spans="1:6" x14ac:dyDescent="0.35">
      <c r="A10" s="13" t="s">
        <v>3346</v>
      </c>
      <c r="B10">
        <v>80</v>
      </c>
      <c r="C10">
        <v>65</v>
      </c>
      <c r="D10" s="13" t="s">
        <v>3335</v>
      </c>
      <c r="E10" s="13" t="s">
        <v>3336</v>
      </c>
      <c r="F10" s="13" t="s">
        <v>3347</v>
      </c>
    </row>
    <row r="11" spans="1:6" x14ac:dyDescent="0.35">
      <c r="A11" s="13" t="s">
        <v>3258</v>
      </c>
      <c r="B11">
        <v>0.5</v>
      </c>
      <c r="C11">
        <v>1.5</v>
      </c>
      <c r="D11" s="13" t="s">
        <v>3330</v>
      </c>
      <c r="E11" s="13" t="s">
        <v>3336</v>
      </c>
      <c r="F11" s="13" t="s">
        <v>3348</v>
      </c>
    </row>
  </sheetData>
  <phoneticPr fontId="6"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A4E22-989B-4BB4-9F80-B636DA9812CF}">
  <dimension ref="A1:E6"/>
  <sheetViews>
    <sheetView workbookViewId="0"/>
  </sheetViews>
  <sheetFormatPr defaultRowHeight="14.5" x14ac:dyDescent="0.35"/>
  <cols>
    <col min="1" max="1" width="11.90625" bestFit="1" customWidth="1"/>
    <col min="2" max="2" width="13.81640625" bestFit="1" customWidth="1"/>
    <col min="3" max="3" width="17.36328125" bestFit="1" customWidth="1"/>
    <col min="4" max="4" width="17.6328125" bestFit="1" customWidth="1"/>
    <col min="5" max="5" width="12.54296875" bestFit="1" customWidth="1"/>
  </cols>
  <sheetData>
    <row r="1" spans="1:5" s="3" customFormat="1" x14ac:dyDescent="0.35">
      <c r="A1" s="3" t="s">
        <v>44</v>
      </c>
      <c r="B1" s="3" t="s">
        <v>45</v>
      </c>
      <c r="C1" s="3" t="s">
        <v>3349</v>
      </c>
      <c r="D1" s="3" t="s">
        <v>3350</v>
      </c>
      <c r="E1" s="3" t="s">
        <v>46</v>
      </c>
    </row>
    <row r="2" spans="1:5" x14ac:dyDescent="0.35">
      <c r="A2">
        <v>1</v>
      </c>
      <c r="B2" s="13" t="s">
        <v>581</v>
      </c>
      <c r="C2">
        <v>-9999</v>
      </c>
      <c r="D2">
        <v>0</v>
      </c>
      <c r="E2">
        <v>0</v>
      </c>
    </row>
    <row r="3" spans="1:5" x14ac:dyDescent="0.35">
      <c r="A3">
        <v>2</v>
      </c>
      <c r="B3" s="13" t="s">
        <v>405</v>
      </c>
      <c r="C3">
        <v>1</v>
      </c>
      <c r="D3">
        <v>30</v>
      </c>
      <c r="E3">
        <v>0.25</v>
      </c>
    </row>
    <row r="4" spans="1:5" x14ac:dyDescent="0.35">
      <c r="A4">
        <v>3</v>
      </c>
      <c r="B4" s="13" t="s">
        <v>369</v>
      </c>
      <c r="C4">
        <v>31</v>
      </c>
      <c r="D4">
        <v>60</v>
      </c>
      <c r="E4">
        <v>0.5</v>
      </c>
    </row>
    <row r="5" spans="1:5" x14ac:dyDescent="0.35">
      <c r="A5">
        <v>4</v>
      </c>
      <c r="B5" s="13" t="s">
        <v>334</v>
      </c>
      <c r="C5">
        <v>61</v>
      </c>
      <c r="D5">
        <v>90</v>
      </c>
      <c r="E5">
        <v>0.75</v>
      </c>
    </row>
    <row r="6" spans="1:5" x14ac:dyDescent="0.35">
      <c r="A6">
        <v>5</v>
      </c>
      <c r="B6" s="13" t="s">
        <v>60</v>
      </c>
      <c r="C6">
        <v>91</v>
      </c>
      <c r="D6">
        <v>9999</v>
      </c>
      <c r="E6">
        <v>1</v>
      </c>
    </row>
  </sheetData>
  <phoneticPr fontId="6"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64FAD-4527-4282-8467-236A427ADEF0}">
  <dimension ref="A1:O98"/>
  <sheetViews>
    <sheetView workbookViewId="0"/>
  </sheetViews>
  <sheetFormatPr defaultRowHeight="14.5" x14ac:dyDescent="0.35"/>
  <cols>
    <col min="1" max="1" width="14.26953125" bestFit="1" customWidth="1"/>
    <col min="2" max="2" width="13.08984375" bestFit="1" customWidth="1"/>
    <col min="3" max="3" width="37.1796875" bestFit="1" customWidth="1"/>
    <col min="4" max="4" width="16" bestFit="1" customWidth="1"/>
    <col min="5" max="5" width="9.26953125" bestFit="1" customWidth="1"/>
    <col min="6" max="6" width="15.7265625" bestFit="1" customWidth="1"/>
    <col min="7" max="7" width="16.1796875" bestFit="1" customWidth="1"/>
    <col min="8" max="8" width="19.36328125" bestFit="1" customWidth="1"/>
    <col min="9" max="9" width="23.54296875" bestFit="1" customWidth="1"/>
    <col min="10" max="10" width="20.90625" bestFit="1" customWidth="1"/>
    <col min="11" max="11" width="21.54296875" bestFit="1" customWidth="1"/>
    <col min="12" max="12" width="14.26953125" bestFit="1" customWidth="1"/>
    <col min="13" max="13" width="16.90625" bestFit="1" customWidth="1"/>
    <col min="14" max="14" width="13.6328125" bestFit="1" customWidth="1"/>
    <col min="15" max="15" width="18.81640625" bestFit="1" customWidth="1"/>
  </cols>
  <sheetData>
    <row r="1" spans="1:15" s="3" customFormat="1" x14ac:dyDescent="0.35">
      <c r="A1" s="3" t="s">
        <v>3351</v>
      </c>
      <c r="B1" s="3" t="s">
        <v>19</v>
      </c>
      <c r="C1" s="3" t="s">
        <v>20</v>
      </c>
      <c r="D1" s="3" t="s">
        <v>21</v>
      </c>
      <c r="E1" s="3" t="s">
        <v>22</v>
      </c>
      <c r="F1" s="3" t="s">
        <v>27</v>
      </c>
      <c r="G1" s="3" t="s">
        <v>3221</v>
      </c>
      <c r="H1" s="3" t="s">
        <v>3352</v>
      </c>
      <c r="I1" s="3" t="s">
        <v>3353</v>
      </c>
      <c r="J1" s="3" t="s">
        <v>3354</v>
      </c>
      <c r="K1" s="3" t="s">
        <v>3355</v>
      </c>
      <c r="L1" s="3" t="s">
        <v>39</v>
      </c>
      <c r="M1" s="3" t="s">
        <v>3210</v>
      </c>
      <c r="N1" s="3" t="s">
        <v>3222</v>
      </c>
      <c r="O1" s="3" t="s">
        <v>3356</v>
      </c>
    </row>
    <row r="2" spans="1:15" x14ac:dyDescent="0.35">
      <c r="A2">
        <v>326</v>
      </c>
      <c r="B2" s="13" t="s">
        <v>63</v>
      </c>
      <c r="C2" s="13" t="s">
        <v>64</v>
      </c>
      <c r="D2" s="13" t="s">
        <v>52</v>
      </c>
      <c r="E2" s="13" t="s">
        <v>65</v>
      </c>
      <c r="F2" s="13" t="s">
        <v>57</v>
      </c>
      <c r="G2">
        <v>3702.23</v>
      </c>
      <c r="H2">
        <v>2</v>
      </c>
      <c r="I2">
        <v>1</v>
      </c>
      <c r="J2">
        <v>2</v>
      </c>
      <c r="K2">
        <v>679</v>
      </c>
      <c r="L2">
        <v>65312.72</v>
      </c>
      <c r="M2">
        <v>3702.23</v>
      </c>
      <c r="N2">
        <v>61610.49</v>
      </c>
      <c r="O2">
        <v>3702.23</v>
      </c>
    </row>
    <row r="3" spans="1:15" x14ac:dyDescent="0.35">
      <c r="A3">
        <v>378</v>
      </c>
      <c r="B3" s="13" t="s">
        <v>50</v>
      </c>
      <c r="C3" s="13" t="s">
        <v>51</v>
      </c>
      <c r="D3" s="13" t="s">
        <v>52</v>
      </c>
      <c r="E3" s="13" t="s">
        <v>53</v>
      </c>
      <c r="F3" s="13" t="s">
        <v>57</v>
      </c>
      <c r="G3">
        <v>10190.219999999999</v>
      </c>
      <c r="H3">
        <v>2</v>
      </c>
      <c r="I3">
        <v>1</v>
      </c>
      <c r="J3">
        <v>2</v>
      </c>
      <c r="K3">
        <v>668</v>
      </c>
      <c r="L3">
        <v>120937.72</v>
      </c>
      <c r="M3">
        <v>26147.37</v>
      </c>
      <c r="N3">
        <v>110747.5</v>
      </c>
      <c r="O3">
        <v>10190.219999999999</v>
      </c>
    </row>
    <row r="4" spans="1:15" x14ac:dyDescent="0.35">
      <c r="A4">
        <v>118</v>
      </c>
      <c r="B4" s="13" t="s">
        <v>97</v>
      </c>
      <c r="C4" s="13" t="s">
        <v>98</v>
      </c>
      <c r="D4" s="13" t="s">
        <v>76</v>
      </c>
      <c r="E4" s="13" t="s">
        <v>99</v>
      </c>
      <c r="F4" s="13" t="s">
        <v>94</v>
      </c>
      <c r="G4">
        <v>504.6</v>
      </c>
      <c r="H4">
        <v>1</v>
      </c>
      <c r="I4">
        <v>1</v>
      </c>
      <c r="J4">
        <v>1</v>
      </c>
      <c r="K4">
        <v>652</v>
      </c>
      <c r="L4">
        <v>2847.25</v>
      </c>
      <c r="M4">
        <v>1339.14</v>
      </c>
      <c r="N4">
        <v>2342.65</v>
      </c>
      <c r="O4">
        <v>504.6</v>
      </c>
    </row>
    <row r="5" spans="1:15" x14ac:dyDescent="0.35">
      <c r="A5">
        <v>196</v>
      </c>
      <c r="B5" s="13" t="s">
        <v>74</v>
      </c>
      <c r="C5" s="13" t="s">
        <v>75</v>
      </c>
      <c r="D5" s="13" t="s">
        <v>76</v>
      </c>
      <c r="E5" s="13" t="s">
        <v>77</v>
      </c>
      <c r="F5" s="13" t="s">
        <v>80</v>
      </c>
      <c r="G5">
        <v>4202.45</v>
      </c>
      <c r="H5">
        <v>2</v>
      </c>
      <c r="I5">
        <v>1</v>
      </c>
      <c r="J5">
        <v>2</v>
      </c>
      <c r="K5">
        <v>652</v>
      </c>
      <c r="L5">
        <v>4212.75</v>
      </c>
      <c r="M5">
        <v>4212.75</v>
      </c>
      <c r="N5">
        <v>10.3</v>
      </c>
      <c r="O5">
        <v>4202.45</v>
      </c>
    </row>
    <row r="6" spans="1:15" x14ac:dyDescent="0.35">
      <c r="A6">
        <v>190</v>
      </c>
      <c r="B6" s="13" t="s">
        <v>69</v>
      </c>
      <c r="C6" s="13" t="s">
        <v>70</v>
      </c>
      <c r="D6" s="13" t="s">
        <v>52</v>
      </c>
      <c r="E6" s="13" t="s">
        <v>71</v>
      </c>
      <c r="F6" s="13" t="s">
        <v>57</v>
      </c>
      <c r="G6">
        <v>12428.36</v>
      </c>
      <c r="H6">
        <v>1</v>
      </c>
      <c r="I6">
        <v>0</v>
      </c>
      <c r="J6">
        <v>1</v>
      </c>
      <c r="K6">
        <v>647</v>
      </c>
      <c r="L6">
        <v>103438.85</v>
      </c>
      <c r="M6">
        <v>34815.870000000003</v>
      </c>
      <c r="N6">
        <v>91010.49</v>
      </c>
      <c r="O6">
        <v>12428.36</v>
      </c>
    </row>
    <row r="7" spans="1:15" x14ac:dyDescent="0.35">
      <c r="A7">
        <v>392</v>
      </c>
      <c r="B7" s="13" t="s">
        <v>90</v>
      </c>
      <c r="C7" s="13" t="s">
        <v>91</v>
      </c>
      <c r="D7" s="13" t="s">
        <v>76</v>
      </c>
      <c r="E7" s="13" t="s">
        <v>53</v>
      </c>
      <c r="F7" s="13" t="s">
        <v>94</v>
      </c>
      <c r="G7">
        <v>302.94</v>
      </c>
      <c r="H7">
        <v>1</v>
      </c>
      <c r="I7">
        <v>0</v>
      </c>
      <c r="J7">
        <v>1</v>
      </c>
      <c r="K7">
        <v>616</v>
      </c>
      <c r="L7">
        <v>7879.38</v>
      </c>
      <c r="M7">
        <v>871.28</v>
      </c>
      <c r="N7">
        <v>7576.44</v>
      </c>
      <c r="O7">
        <v>302.94</v>
      </c>
    </row>
    <row r="8" spans="1:15" x14ac:dyDescent="0.35">
      <c r="A8">
        <v>95</v>
      </c>
      <c r="B8" s="13" t="s">
        <v>84</v>
      </c>
      <c r="C8" s="13" t="s">
        <v>85</v>
      </c>
      <c r="D8" s="13" t="s">
        <v>52</v>
      </c>
      <c r="E8" s="13" t="s">
        <v>71</v>
      </c>
      <c r="F8" s="13" t="s">
        <v>87</v>
      </c>
      <c r="G8">
        <v>21587.89</v>
      </c>
      <c r="H8">
        <v>3</v>
      </c>
      <c r="I8">
        <v>0</v>
      </c>
      <c r="J8">
        <v>3</v>
      </c>
      <c r="K8">
        <v>612</v>
      </c>
      <c r="L8">
        <v>155416.91</v>
      </c>
      <c r="M8">
        <v>40638.239999999998</v>
      </c>
      <c r="N8">
        <v>133829.01999999999</v>
      </c>
      <c r="O8">
        <v>21587.89</v>
      </c>
    </row>
    <row r="9" spans="1:15" x14ac:dyDescent="0.35">
      <c r="A9">
        <v>295</v>
      </c>
      <c r="B9" s="13" t="s">
        <v>116</v>
      </c>
      <c r="C9" s="13" t="s">
        <v>117</v>
      </c>
      <c r="D9" s="13" t="s">
        <v>76</v>
      </c>
      <c r="E9" s="13" t="s">
        <v>65</v>
      </c>
      <c r="F9" s="13" t="s">
        <v>80</v>
      </c>
      <c r="G9">
        <v>507.62</v>
      </c>
      <c r="H9">
        <v>1</v>
      </c>
      <c r="I9">
        <v>0</v>
      </c>
      <c r="J9">
        <v>1</v>
      </c>
      <c r="K9">
        <v>603</v>
      </c>
      <c r="L9">
        <v>6558.94</v>
      </c>
      <c r="M9">
        <v>3571.66</v>
      </c>
      <c r="N9">
        <v>6051.32</v>
      </c>
      <c r="O9">
        <v>507.62</v>
      </c>
    </row>
    <row r="10" spans="1:15" x14ac:dyDescent="0.35">
      <c r="A10">
        <v>84</v>
      </c>
      <c r="B10" s="13" t="s">
        <v>119</v>
      </c>
      <c r="C10" s="13" t="s">
        <v>120</v>
      </c>
      <c r="D10" s="13" t="s">
        <v>104</v>
      </c>
      <c r="E10" s="13" t="s">
        <v>53</v>
      </c>
      <c r="F10" s="13" t="s">
        <v>122</v>
      </c>
      <c r="G10">
        <v>1741.81</v>
      </c>
      <c r="H10">
        <v>2</v>
      </c>
      <c r="I10">
        <v>0</v>
      </c>
      <c r="J10">
        <v>2</v>
      </c>
      <c r="K10">
        <v>597</v>
      </c>
      <c r="L10">
        <v>11143.4</v>
      </c>
      <c r="M10">
        <v>4742.58</v>
      </c>
      <c r="N10">
        <v>9401.59</v>
      </c>
      <c r="O10">
        <v>1741.81</v>
      </c>
    </row>
    <row r="11" spans="1:15" x14ac:dyDescent="0.35">
      <c r="A11">
        <v>147</v>
      </c>
      <c r="B11" s="13" t="s">
        <v>109</v>
      </c>
      <c r="C11" s="13" t="s">
        <v>110</v>
      </c>
      <c r="D11" s="13" t="s">
        <v>52</v>
      </c>
      <c r="E11" s="13" t="s">
        <v>65</v>
      </c>
      <c r="F11" s="13" t="s">
        <v>87</v>
      </c>
      <c r="G11">
        <v>12545.22</v>
      </c>
      <c r="H11">
        <v>2</v>
      </c>
      <c r="I11">
        <v>1</v>
      </c>
      <c r="J11">
        <v>1</v>
      </c>
      <c r="K11">
        <v>581</v>
      </c>
      <c r="L11">
        <v>103119.74</v>
      </c>
      <c r="M11">
        <v>15008.06</v>
      </c>
      <c r="N11">
        <v>90574.52</v>
      </c>
      <c r="O11">
        <v>12545.22</v>
      </c>
    </row>
    <row r="12" spans="1:15" x14ac:dyDescent="0.35">
      <c r="A12">
        <v>172</v>
      </c>
      <c r="B12" s="13" t="s">
        <v>102</v>
      </c>
      <c r="C12" s="13" t="s">
        <v>103</v>
      </c>
      <c r="D12" s="13" t="s">
        <v>104</v>
      </c>
      <c r="E12" s="13" t="s">
        <v>71</v>
      </c>
      <c r="F12" s="13" t="s">
        <v>106</v>
      </c>
      <c r="G12">
        <v>2862.33</v>
      </c>
      <c r="H12">
        <v>1</v>
      </c>
      <c r="I12">
        <v>1</v>
      </c>
      <c r="J12">
        <v>1</v>
      </c>
      <c r="K12">
        <v>580</v>
      </c>
      <c r="L12">
        <v>9910.01</v>
      </c>
      <c r="M12">
        <v>8585.4</v>
      </c>
      <c r="N12">
        <v>7047.68</v>
      </c>
      <c r="O12">
        <v>2862.33</v>
      </c>
    </row>
    <row r="13" spans="1:15" x14ac:dyDescent="0.35">
      <c r="A13">
        <v>141</v>
      </c>
      <c r="B13" s="13" t="s">
        <v>133</v>
      </c>
      <c r="C13" s="13" t="s">
        <v>134</v>
      </c>
      <c r="D13" s="13" t="s">
        <v>104</v>
      </c>
      <c r="E13" s="13" t="s">
        <v>53</v>
      </c>
      <c r="F13" s="13" t="s">
        <v>122</v>
      </c>
      <c r="G13">
        <v>912.02</v>
      </c>
      <c r="H13">
        <v>1</v>
      </c>
      <c r="I13">
        <v>0</v>
      </c>
      <c r="J13">
        <v>1</v>
      </c>
      <c r="K13">
        <v>556</v>
      </c>
      <c r="L13">
        <v>1926.19</v>
      </c>
      <c r="M13">
        <v>930.63</v>
      </c>
      <c r="N13">
        <v>1014.17</v>
      </c>
      <c r="O13">
        <v>912.02</v>
      </c>
    </row>
    <row r="14" spans="1:15" x14ac:dyDescent="0.35">
      <c r="A14">
        <v>369</v>
      </c>
      <c r="B14" s="13" t="s">
        <v>113</v>
      </c>
      <c r="C14" s="13" t="s">
        <v>114</v>
      </c>
      <c r="D14" s="13" t="s">
        <v>52</v>
      </c>
      <c r="E14" s="13" t="s">
        <v>77</v>
      </c>
      <c r="F14" s="13" t="s">
        <v>87</v>
      </c>
      <c r="G14">
        <v>25571.1</v>
      </c>
      <c r="H14">
        <v>4</v>
      </c>
      <c r="I14">
        <v>1</v>
      </c>
      <c r="J14">
        <v>3</v>
      </c>
      <c r="K14">
        <v>535</v>
      </c>
      <c r="L14">
        <v>178177.24</v>
      </c>
      <c r="M14">
        <v>44915.29</v>
      </c>
      <c r="N14">
        <v>152606.14000000001</v>
      </c>
      <c r="O14">
        <v>25571.1</v>
      </c>
    </row>
    <row r="15" spans="1:15" x14ac:dyDescent="0.35">
      <c r="A15">
        <v>182</v>
      </c>
      <c r="B15" s="13" t="s">
        <v>130</v>
      </c>
      <c r="C15" s="13" t="s">
        <v>131</v>
      </c>
      <c r="D15" s="13" t="s">
        <v>76</v>
      </c>
      <c r="E15" s="13" t="s">
        <v>77</v>
      </c>
      <c r="F15" s="13" t="s">
        <v>80</v>
      </c>
      <c r="G15">
        <v>574.59</v>
      </c>
      <c r="H15">
        <v>1</v>
      </c>
      <c r="I15">
        <v>1</v>
      </c>
      <c r="J15">
        <v>1</v>
      </c>
      <c r="K15">
        <v>516</v>
      </c>
      <c r="L15">
        <v>5031.57</v>
      </c>
      <c r="M15">
        <v>574.59</v>
      </c>
      <c r="N15">
        <v>4456.9799999999996</v>
      </c>
      <c r="O15">
        <v>574.59</v>
      </c>
    </row>
    <row r="16" spans="1:15" x14ac:dyDescent="0.35">
      <c r="A16">
        <v>210</v>
      </c>
      <c r="B16" s="13" t="s">
        <v>147</v>
      </c>
      <c r="C16" s="13" t="s">
        <v>148</v>
      </c>
      <c r="D16" s="13" t="s">
        <v>104</v>
      </c>
      <c r="E16" s="13" t="s">
        <v>53</v>
      </c>
      <c r="F16" s="13" t="s">
        <v>106</v>
      </c>
      <c r="G16">
        <v>3195.97</v>
      </c>
      <c r="H16">
        <v>1</v>
      </c>
      <c r="I16">
        <v>1</v>
      </c>
      <c r="J16">
        <v>1</v>
      </c>
      <c r="K16">
        <v>503</v>
      </c>
      <c r="L16">
        <v>34035.980000000003</v>
      </c>
      <c r="M16">
        <v>12020.78</v>
      </c>
      <c r="N16">
        <v>30840.01</v>
      </c>
      <c r="O16">
        <v>3195.97</v>
      </c>
    </row>
    <row r="17" spans="1:15" x14ac:dyDescent="0.35">
      <c r="A17">
        <v>115</v>
      </c>
      <c r="B17" s="13" t="s">
        <v>150</v>
      </c>
      <c r="C17" s="13" t="s">
        <v>151</v>
      </c>
      <c r="D17" s="13" t="s">
        <v>104</v>
      </c>
      <c r="E17" s="13" t="s">
        <v>65</v>
      </c>
      <c r="F17" s="13" t="s">
        <v>122</v>
      </c>
      <c r="G17">
        <v>1417</v>
      </c>
      <c r="H17">
        <v>1</v>
      </c>
      <c r="I17">
        <v>0</v>
      </c>
      <c r="J17">
        <v>1</v>
      </c>
      <c r="K17">
        <v>502</v>
      </c>
      <c r="L17">
        <v>6886.48</v>
      </c>
      <c r="M17">
        <v>1417</v>
      </c>
      <c r="N17">
        <v>5469.48</v>
      </c>
      <c r="O17">
        <v>1417</v>
      </c>
    </row>
    <row r="18" spans="1:15" x14ac:dyDescent="0.35">
      <c r="A18">
        <v>151</v>
      </c>
      <c r="B18" s="13" t="s">
        <v>141</v>
      </c>
      <c r="C18" s="13" t="s">
        <v>142</v>
      </c>
      <c r="D18" s="13" t="s">
        <v>76</v>
      </c>
      <c r="E18" s="13" t="s">
        <v>65</v>
      </c>
      <c r="F18" s="13" t="s">
        <v>94</v>
      </c>
      <c r="G18">
        <v>3099.81</v>
      </c>
      <c r="H18">
        <v>2</v>
      </c>
      <c r="I18">
        <v>1</v>
      </c>
      <c r="J18">
        <v>1</v>
      </c>
      <c r="K18">
        <v>500</v>
      </c>
      <c r="L18">
        <v>8215.01</v>
      </c>
      <c r="M18">
        <v>2414.29</v>
      </c>
      <c r="N18">
        <v>5115.2</v>
      </c>
      <c r="O18">
        <v>2414.29</v>
      </c>
    </row>
    <row r="19" spans="1:15" x14ac:dyDescent="0.35">
      <c r="A19">
        <v>215</v>
      </c>
      <c r="B19" s="13" t="s">
        <v>124</v>
      </c>
      <c r="C19" s="13" t="s">
        <v>125</v>
      </c>
      <c r="D19" s="13" t="s">
        <v>126</v>
      </c>
      <c r="E19" s="13" t="s">
        <v>99</v>
      </c>
      <c r="F19" s="13" t="s">
        <v>87</v>
      </c>
      <c r="G19">
        <v>4011.74</v>
      </c>
      <c r="H19">
        <v>1</v>
      </c>
      <c r="I19">
        <v>0</v>
      </c>
      <c r="J19">
        <v>1</v>
      </c>
      <c r="K19">
        <v>499</v>
      </c>
      <c r="L19">
        <v>8153.48</v>
      </c>
      <c r="M19">
        <v>6605.52</v>
      </c>
      <c r="N19">
        <v>4141.74</v>
      </c>
      <c r="O19">
        <v>4011.74</v>
      </c>
    </row>
    <row r="20" spans="1:15" x14ac:dyDescent="0.35">
      <c r="A20">
        <v>251</v>
      </c>
      <c r="B20" s="13" t="s">
        <v>159</v>
      </c>
      <c r="C20" s="13" t="s">
        <v>160</v>
      </c>
      <c r="D20" s="13" t="s">
        <v>104</v>
      </c>
      <c r="E20" s="13" t="s">
        <v>53</v>
      </c>
      <c r="F20" s="13" t="s">
        <v>106</v>
      </c>
      <c r="G20">
        <v>4065.66</v>
      </c>
      <c r="H20">
        <v>2</v>
      </c>
      <c r="I20">
        <v>2</v>
      </c>
      <c r="J20">
        <v>1</v>
      </c>
      <c r="K20">
        <v>498</v>
      </c>
      <c r="L20">
        <v>13038.52</v>
      </c>
      <c r="M20">
        <v>4924.6000000000004</v>
      </c>
      <c r="N20">
        <v>8972.86</v>
      </c>
      <c r="O20">
        <v>4065.66</v>
      </c>
    </row>
    <row r="21" spans="1:15" x14ac:dyDescent="0.35">
      <c r="A21">
        <v>246</v>
      </c>
      <c r="B21" s="13" t="s">
        <v>162</v>
      </c>
      <c r="C21" s="13" t="s">
        <v>163</v>
      </c>
      <c r="D21" s="13" t="s">
        <v>76</v>
      </c>
      <c r="E21" s="13" t="s">
        <v>99</v>
      </c>
      <c r="F21" s="13" t="s">
        <v>80</v>
      </c>
      <c r="G21">
        <v>471.72</v>
      </c>
      <c r="H21">
        <v>1</v>
      </c>
      <c r="I21">
        <v>0</v>
      </c>
      <c r="J21">
        <v>1</v>
      </c>
      <c r="K21">
        <v>487</v>
      </c>
      <c r="L21">
        <v>14261.24</v>
      </c>
      <c r="M21">
        <v>1502.17</v>
      </c>
      <c r="N21">
        <v>13789.52</v>
      </c>
      <c r="O21">
        <v>471.72</v>
      </c>
    </row>
    <row r="22" spans="1:15" x14ac:dyDescent="0.35">
      <c r="A22">
        <v>206</v>
      </c>
      <c r="B22" s="13" t="s">
        <v>144</v>
      </c>
      <c r="C22" s="13" t="s">
        <v>145</v>
      </c>
      <c r="D22" s="13" t="s">
        <v>52</v>
      </c>
      <c r="E22" s="13" t="s">
        <v>99</v>
      </c>
      <c r="F22" s="13" t="s">
        <v>57</v>
      </c>
      <c r="G22">
        <v>5843.74</v>
      </c>
      <c r="H22">
        <v>2</v>
      </c>
      <c r="I22">
        <v>0</v>
      </c>
      <c r="J22">
        <v>2</v>
      </c>
      <c r="K22">
        <v>479</v>
      </c>
      <c r="L22">
        <v>84060.86</v>
      </c>
      <c r="M22">
        <v>20774.669999999998</v>
      </c>
      <c r="N22">
        <v>78217.119999999995</v>
      </c>
      <c r="O22">
        <v>5843.74</v>
      </c>
    </row>
    <row r="23" spans="1:15" x14ac:dyDescent="0.35">
      <c r="A23">
        <v>42</v>
      </c>
      <c r="B23" s="13" t="s">
        <v>137</v>
      </c>
      <c r="C23" s="13" t="s">
        <v>138</v>
      </c>
      <c r="D23" s="13" t="s">
        <v>52</v>
      </c>
      <c r="E23" s="13" t="s">
        <v>53</v>
      </c>
      <c r="F23" s="13" t="s">
        <v>57</v>
      </c>
      <c r="G23">
        <v>3658.04</v>
      </c>
      <c r="H23">
        <v>1</v>
      </c>
      <c r="I23">
        <v>0</v>
      </c>
      <c r="J23">
        <v>1</v>
      </c>
      <c r="K23">
        <v>479</v>
      </c>
      <c r="L23">
        <v>93887.29</v>
      </c>
      <c r="M23">
        <v>53541.39</v>
      </c>
      <c r="N23">
        <v>90229.25</v>
      </c>
      <c r="O23">
        <v>3658.04</v>
      </c>
    </row>
    <row r="24" spans="1:15" x14ac:dyDescent="0.35">
      <c r="A24">
        <v>298</v>
      </c>
      <c r="B24" s="13" t="s">
        <v>153</v>
      </c>
      <c r="C24" s="13" t="s">
        <v>154</v>
      </c>
      <c r="D24" s="13" t="s">
        <v>104</v>
      </c>
      <c r="E24" s="13" t="s">
        <v>65</v>
      </c>
      <c r="F24" s="13" t="s">
        <v>57</v>
      </c>
      <c r="G24">
        <v>1591.96</v>
      </c>
      <c r="H24">
        <v>2</v>
      </c>
      <c r="I24">
        <v>2</v>
      </c>
      <c r="J24">
        <v>1</v>
      </c>
      <c r="K24">
        <v>456</v>
      </c>
      <c r="L24">
        <v>11454.01</v>
      </c>
      <c r="M24">
        <v>1857.57</v>
      </c>
      <c r="N24">
        <v>9862.0499999999993</v>
      </c>
      <c r="O24">
        <v>1591.96</v>
      </c>
    </row>
    <row r="25" spans="1:15" x14ac:dyDescent="0.35">
      <c r="A25">
        <v>58</v>
      </c>
      <c r="B25" s="13" t="s">
        <v>165</v>
      </c>
      <c r="C25" s="13" t="s">
        <v>166</v>
      </c>
      <c r="D25" s="13" t="s">
        <v>104</v>
      </c>
      <c r="E25" s="13" t="s">
        <v>53</v>
      </c>
      <c r="F25" s="13" t="s">
        <v>122</v>
      </c>
      <c r="G25">
        <v>1653.18</v>
      </c>
      <c r="H25">
        <v>1</v>
      </c>
      <c r="I25">
        <v>0</v>
      </c>
      <c r="J25">
        <v>1</v>
      </c>
      <c r="K25">
        <v>455</v>
      </c>
      <c r="L25">
        <v>12680.1</v>
      </c>
      <c r="M25">
        <v>1653.18</v>
      </c>
      <c r="N25">
        <v>11026.92</v>
      </c>
      <c r="O25">
        <v>1653.18</v>
      </c>
    </row>
    <row r="26" spans="1:15" x14ac:dyDescent="0.35">
      <c r="A26">
        <v>68</v>
      </c>
      <c r="B26" s="13" t="s">
        <v>156</v>
      </c>
      <c r="C26" s="13" t="s">
        <v>157</v>
      </c>
      <c r="D26" s="13" t="s">
        <v>52</v>
      </c>
      <c r="E26" s="13" t="s">
        <v>53</v>
      </c>
      <c r="F26" s="13" t="s">
        <v>57</v>
      </c>
      <c r="G26">
        <v>11304.99</v>
      </c>
      <c r="H26">
        <v>3</v>
      </c>
      <c r="I26">
        <v>0</v>
      </c>
      <c r="J26">
        <v>3</v>
      </c>
      <c r="K26">
        <v>454</v>
      </c>
      <c r="L26">
        <v>150420.44</v>
      </c>
      <c r="M26">
        <v>32505.919999999998</v>
      </c>
      <c r="N26">
        <v>139115.45000000001</v>
      </c>
      <c r="O26">
        <v>11304.99</v>
      </c>
    </row>
    <row r="27" spans="1:15" x14ac:dyDescent="0.35">
      <c r="A27">
        <v>170</v>
      </c>
      <c r="B27" s="13" t="s">
        <v>168</v>
      </c>
      <c r="C27" s="13" t="s">
        <v>169</v>
      </c>
      <c r="D27" s="13" t="s">
        <v>52</v>
      </c>
      <c r="E27" s="13" t="s">
        <v>65</v>
      </c>
      <c r="F27" s="13" t="s">
        <v>57</v>
      </c>
      <c r="G27">
        <v>1529.01</v>
      </c>
      <c r="H27">
        <v>1</v>
      </c>
      <c r="I27">
        <v>0</v>
      </c>
      <c r="J27">
        <v>1</v>
      </c>
      <c r="K27">
        <v>426</v>
      </c>
      <c r="L27">
        <v>122676.78</v>
      </c>
      <c r="M27">
        <v>1529.01</v>
      </c>
      <c r="N27">
        <v>121147.77</v>
      </c>
      <c r="O27">
        <v>1529.01</v>
      </c>
    </row>
    <row r="28" spans="1:15" x14ac:dyDescent="0.35">
      <c r="A28">
        <v>328</v>
      </c>
      <c r="B28" s="13" t="s">
        <v>172</v>
      </c>
      <c r="C28" s="13" t="s">
        <v>173</v>
      </c>
      <c r="D28" s="13" t="s">
        <v>52</v>
      </c>
      <c r="E28" s="13" t="s">
        <v>77</v>
      </c>
      <c r="F28" s="13" t="s">
        <v>57</v>
      </c>
      <c r="G28">
        <v>3169.41</v>
      </c>
      <c r="H28">
        <v>1</v>
      </c>
      <c r="I28">
        <v>0</v>
      </c>
      <c r="J28">
        <v>1</v>
      </c>
      <c r="K28">
        <v>409</v>
      </c>
      <c r="L28">
        <v>73047.34</v>
      </c>
      <c r="M28">
        <v>5883.67</v>
      </c>
      <c r="N28">
        <v>69877.929999999993</v>
      </c>
      <c r="O28">
        <v>3169.41</v>
      </c>
    </row>
    <row r="29" spans="1:15" x14ac:dyDescent="0.35">
      <c r="A29">
        <v>34</v>
      </c>
      <c r="B29" s="13" t="s">
        <v>183</v>
      </c>
      <c r="C29" s="13" t="s">
        <v>184</v>
      </c>
      <c r="D29" s="13" t="s">
        <v>104</v>
      </c>
      <c r="E29" s="13" t="s">
        <v>53</v>
      </c>
      <c r="F29" s="13" t="s">
        <v>106</v>
      </c>
      <c r="G29">
        <v>1402.84</v>
      </c>
      <c r="H29">
        <v>1</v>
      </c>
      <c r="I29">
        <v>1</v>
      </c>
      <c r="J29">
        <v>1</v>
      </c>
      <c r="K29">
        <v>394</v>
      </c>
      <c r="L29">
        <v>4962.5200000000004</v>
      </c>
      <c r="M29">
        <v>1402.84</v>
      </c>
      <c r="N29">
        <v>3559.68</v>
      </c>
      <c r="O29">
        <v>1402.84</v>
      </c>
    </row>
    <row r="30" spans="1:15" x14ac:dyDescent="0.35">
      <c r="A30">
        <v>107</v>
      </c>
      <c r="B30" s="13" t="s">
        <v>193</v>
      </c>
      <c r="C30" s="13" t="s">
        <v>194</v>
      </c>
      <c r="D30" s="13" t="s">
        <v>104</v>
      </c>
      <c r="E30" s="13" t="s">
        <v>99</v>
      </c>
      <c r="F30" s="13" t="s">
        <v>122</v>
      </c>
      <c r="G30">
        <v>4840.2700000000004</v>
      </c>
      <c r="H30">
        <v>1</v>
      </c>
      <c r="I30">
        <v>0</v>
      </c>
      <c r="J30">
        <v>1</v>
      </c>
      <c r="K30">
        <v>392</v>
      </c>
      <c r="L30">
        <v>7599.96</v>
      </c>
      <c r="M30">
        <v>4939.05</v>
      </c>
      <c r="N30">
        <v>2759.69</v>
      </c>
      <c r="O30">
        <v>4840.2700000000004</v>
      </c>
    </row>
    <row r="31" spans="1:15" x14ac:dyDescent="0.35">
      <c r="A31">
        <v>301</v>
      </c>
      <c r="B31" s="13" t="s">
        <v>180</v>
      </c>
      <c r="C31" s="13" t="s">
        <v>181</v>
      </c>
      <c r="D31" s="13" t="s">
        <v>104</v>
      </c>
      <c r="E31" s="13" t="s">
        <v>77</v>
      </c>
      <c r="F31" s="13" t="s">
        <v>122</v>
      </c>
      <c r="G31">
        <v>2303.59</v>
      </c>
      <c r="H31">
        <v>1</v>
      </c>
      <c r="I31">
        <v>1</v>
      </c>
      <c r="J31">
        <v>1</v>
      </c>
      <c r="K31">
        <v>391</v>
      </c>
      <c r="L31">
        <v>10973.06</v>
      </c>
      <c r="M31">
        <v>6878.46</v>
      </c>
      <c r="N31">
        <v>8669.4699999999993</v>
      </c>
      <c r="O31">
        <v>2303.59</v>
      </c>
    </row>
    <row r="32" spans="1:15" x14ac:dyDescent="0.35">
      <c r="A32">
        <v>1</v>
      </c>
      <c r="B32" s="13" t="s">
        <v>186</v>
      </c>
      <c r="C32" s="13" t="s">
        <v>187</v>
      </c>
      <c r="D32" s="13" t="s">
        <v>76</v>
      </c>
      <c r="E32" s="13" t="s">
        <v>65</v>
      </c>
      <c r="F32" s="13" t="s">
        <v>94</v>
      </c>
      <c r="G32">
        <v>2272.2600000000002</v>
      </c>
      <c r="H32">
        <v>2</v>
      </c>
      <c r="I32">
        <v>1</v>
      </c>
      <c r="J32">
        <v>1</v>
      </c>
      <c r="K32">
        <v>390</v>
      </c>
      <c r="L32">
        <v>13872.98</v>
      </c>
      <c r="M32">
        <v>8767.5400000000009</v>
      </c>
      <c r="N32">
        <v>11600.72</v>
      </c>
      <c r="O32">
        <v>2272.2600000000002</v>
      </c>
    </row>
    <row r="33" spans="1:15" x14ac:dyDescent="0.35">
      <c r="A33">
        <v>393</v>
      </c>
      <c r="B33" s="13" t="s">
        <v>177</v>
      </c>
      <c r="C33" s="13" t="s">
        <v>178</v>
      </c>
      <c r="D33" s="13" t="s">
        <v>52</v>
      </c>
      <c r="E33" s="13" t="s">
        <v>71</v>
      </c>
      <c r="F33" s="13" t="s">
        <v>57</v>
      </c>
      <c r="G33">
        <v>2607.46</v>
      </c>
      <c r="H33">
        <v>1</v>
      </c>
      <c r="I33">
        <v>0</v>
      </c>
      <c r="J33">
        <v>1</v>
      </c>
      <c r="K33">
        <v>389</v>
      </c>
      <c r="L33">
        <v>69926.78</v>
      </c>
      <c r="M33">
        <v>7987.73</v>
      </c>
      <c r="N33">
        <v>67319.320000000007</v>
      </c>
      <c r="O33">
        <v>2607.46</v>
      </c>
    </row>
    <row r="34" spans="1:15" x14ac:dyDescent="0.35">
      <c r="A34">
        <v>380</v>
      </c>
      <c r="B34" s="13" t="s">
        <v>189</v>
      </c>
      <c r="C34" s="13" t="s">
        <v>190</v>
      </c>
      <c r="D34" s="13" t="s">
        <v>104</v>
      </c>
      <c r="E34" s="13" t="s">
        <v>53</v>
      </c>
      <c r="F34" s="13" t="s">
        <v>106</v>
      </c>
      <c r="G34">
        <v>3971.58</v>
      </c>
      <c r="H34">
        <v>1</v>
      </c>
      <c r="I34">
        <v>0</v>
      </c>
      <c r="J34">
        <v>1</v>
      </c>
      <c r="K34">
        <v>384</v>
      </c>
      <c r="L34">
        <v>10996.37</v>
      </c>
      <c r="M34">
        <v>3971.58</v>
      </c>
      <c r="N34">
        <v>7024.79</v>
      </c>
      <c r="O34">
        <v>3971.58</v>
      </c>
    </row>
    <row r="35" spans="1:15" x14ac:dyDescent="0.35">
      <c r="A35">
        <v>49</v>
      </c>
      <c r="B35" s="13" t="s">
        <v>200</v>
      </c>
      <c r="C35" s="13" t="s">
        <v>201</v>
      </c>
      <c r="D35" s="13" t="s">
        <v>104</v>
      </c>
      <c r="E35" s="13" t="s">
        <v>53</v>
      </c>
      <c r="F35" s="13" t="s">
        <v>122</v>
      </c>
      <c r="G35">
        <v>3610.11</v>
      </c>
      <c r="H35">
        <v>1</v>
      </c>
      <c r="I35">
        <v>0</v>
      </c>
      <c r="J35">
        <v>1</v>
      </c>
      <c r="K35">
        <v>350</v>
      </c>
      <c r="L35">
        <v>7011.58</v>
      </c>
      <c r="M35">
        <v>7011.58</v>
      </c>
      <c r="N35">
        <v>3401.47</v>
      </c>
      <c r="O35">
        <v>3610.11</v>
      </c>
    </row>
    <row r="36" spans="1:15" x14ac:dyDescent="0.35">
      <c r="A36">
        <v>8</v>
      </c>
      <c r="B36" s="13" t="s">
        <v>197</v>
      </c>
      <c r="C36" s="13" t="s">
        <v>198</v>
      </c>
      <c r="D36" s="13" t="s">
        <v>76</v>
      </c>
      <c r="E36" s="13" t="s">
        <v>53</v>
      </c>
      <c r="F36" s="13" t="s">
        <v>80</v>
      </c>
      <c r="G36">
        <v>507.2</v>
      </c>
      <c r="H36">
        <v>1</v>
      </c>
      <c r="I36">
        <v>0</v>
      </c>
      <c r="J36">
        <v>1</v>
      </c>
      <c r="K36">
        <v>342</v>
      </c>
      <c r="L36">
        <v>12272.84</v>
      </c>
      <c r="M36">
        <v>507.2</v>
      </c>
      <c r="N36">
        <v>11765.64</v>
      </c>
      <c r="O36">
        <v>507.2</v>
      </c>
    </row>
    <row r="37" spans="1:15" x14ac:dyDescent="0.35">
      <c r="A37">
        <v>17</v>
      </c>
      <c r="B37" s="13" t="s">
        <v>203</v>
      </c>
      <c r="C37" s="13" t="s">
        <v>204</v>
      </c>
      <c r="D37" s="13" t="s">
        <v>52</v>
      </c>
      <c r="E37" s="13" t="s">
        <v>53</v>
      </c>
      <c r="F37" s="13" t="s">
        <v>57</v>
      </c>
      <c r="G37">
        <v>3923.6</v>
      </c>
      <c r="H37">
        <v>1</v>
      </c>
      <c r="I37">
        <v>0</v>
      </c>
      <c r="J37">
        <v>1</v>
      </c>
      <c r="K37">
        <v>307</v>
      </c>
      <c r="L37">
        <v>107560.49</v>
      </c>
      <c r="M37">
        <v>3923.6</v>
      </c>
      <c r="N37">
        <v>103636.89</v>
      </c>
      <c r="O37">
        <v>3923.6</v>
      </c>
    </row>
    <row r="38" spans="1:15" x14ac:dyDescent="0.35">
      <c r="A38">
        <v>134</v>
      </c>
      <c r="B38" s="13" t="s">
        <v>232</v>
      </c>
      <c r="C38" s="13" t="s">
        <v>233</v>
      </c>
      <c r="D38" s="13" t="s">
        <v>76</v>
      </c>
      <c r="E38" s="13" t="s">
        <v>65</v>
      </c>
      <c r="F38" s="13" t="s">
        <v>94</v>
      </c>
      <c r="G38">
        <v>884.09</v>
      </c>
      <c r="H38">
        <v>1</v>
      </c>
      <c r="I38">
        <v>1</v>
      </c>
      <c r="J38">
        <v>1</v>
      </c>
      <c r="K38">
        <v>285</v>
      </c>
      <c r="L38">
        <v>9406.4</v>
      </c>
      <c r="M38">
        <v>902.13</v>
      </c>
      <c r="N38">
        <v>8522.31</v>
      </c>
      <c r="O38">
        <v>884.09</v>
      </c>
    </row>
    <row r="39" spans="1:15" x14ac:dyDescent="0.35">
      <c r="A39">
        <v>226</v>
      </c>
      <c r="B39" s="13" t="s">
        <v>209</v>
      </c>
      <c r="C39" s="13" t="s">
        <v>210</v>
      </c>
      <c r="D39" s="13" t="s">
        <v>52</v>
      </c>
      <c r="E39" s="13" t="s">
        <v>77</v>
      </c>
      <c r="F39" s="13" t="s">
        <v>57</v>
      </c>
      <c r="G39">
        <v>4228.5600000000004</v>
      </c>
      <c r="H39">
        <v>1</v>
      </c>
      <c r="I39">
        <v>1</v>
      </c>
      <c r="J39">
        <v>1</v>
      </c>
      <c r="K39">
        <v>277</v>
      </c>
      <c r="L39">
        <v>72568.38</v>
      </c>
      <c r="M39">
        <v>26820.84</v>
      </c>
      <c r="N39">
        <v>68339.820000000007</v>
      </c>
      <c r="O39">
        <v>4228.5600000000004</v>
      </c>
    </row>
    <row r="40" spans="1:15" x14ac:dyDescent="0.35">
      <c r="A40">
        <v>126</v>
      </c>
      <c r="B40" s="13" t="s">
        <v>219</v>
      </c>
      <c r="C40" s="13" t="s">
        <v>220</v>
      </c>
      <c r="D40" s="13" t="s">
        <v>76</v>
      </c>
      <c r="E40" s="13" t="s">
        <v>71</v>
      </c>
      <c r="F40" s="13" t="s">
        <v>80</v>
      </c>
      <c r="G40">
        <v>450</v>
      </c>
      <c r="H40">
        <v>1</v>
      </c>
      <c r="I40">
        <v>0</v>
      </c>
      <c r="J40">
        <v>1</v>
      </c>
      <c r="K40">
        <v>271</v>
      </c>
      <c r="L40">
        <v>15136.15</v>
      </c>
      <c r="M40">
        <v>1287.56</v>
      </c>
      <c r="N40">
        <v>14686.15</v>
      </c>
      <c r="O40">
        <v>450</v>
      </c>
    </row>
    <row r="41" spans="1:15" x14ac:dyDescent="0.35">
      <c r="A41">
        <v>349</v>
      </c>
      <c r="B41" s="13" t="s">
        <v>206</v>
      </c>
      <c r="C41" s="13" t="s">
        <v>207</v>
      </c>
      <c r="D41" s="13" t="s">
        <v>52</v>
      </c>
      <c r="E41" s="13" t="s">
        <v>65</v>
      </c>
      <c r="F41" s="13" t="s">
        <v>87</v>
      </c>
      <c r="G41">
        <v>17275.240000000002</v>
      </c>
      <c r="H41">
        <v>4</v>
      </c>
      <c r="I41">
        <v>2</v>
      </c>
      <c r="J41">
        <v>2</v>
      </c>
      <c r="K41">
        <v>263</v>
      </c>
      <c r="L41">
        <v>125695.79</v>
      </c>
      <c r="M41">
        <v>49623.92</v>
      </c>
      <c r="N41">
        <v>108420.55</v>
      </c>
      <c r="O41">
        <v>17275.240000000002</v>
      </c>
    </row>
    <row r="42" spans="1:15" x14ac:dyDescent="0.35">
      <c r="A42">
        <v>38</v>
      </c>
      <c r="B42" s="13" t="s">
        <v>222</v>
      </c>
      <c r="C42" s="13" t="s">
        <v>223</v>
      </c>
      <c r="D42" s="13" t="s">
        <v>52</v>
      </c>
      <c r="E42" s="13" t="s">
        <v>65</v>
      </c>
      <c r="F42" s="13" t="s">
        <v>57</v>
      </c>
      <c r="G42">
        <v>4494</v>
      </c>
      <c r="H42">
        <v>1</v>
      </c>
      <c r="I42">
        <v>0</v>
      </c>
      <c r="J42">
        <v>1</v>
      </c>
      <c r="K42">
        <v>261</v>
      </c>
      <c r="L42">
        <v>77044.350000000006</v>
      </c>
      <c r="M42">
        <v>18633.09</v>
      </c>
      <c r="N42">
        <v>72550.350000000006</v>
      </c>
      <c r="O42">
        <v>4494</v>
      </c>
    </row>
    <row r="43" spans="1:15" x14ac:dyDescent="0.35">
      <c r="A43">
        <v>139</v>
      </c>
      <c r="B43" s="13" t="s">
        <v>225</v>
      </c>
      <c r="C43" s="13" t="s">
        <v>226</v>
      </c>
      <c r="D43" s="13" t="s">
        <v>52</v>
      </c>
      <c r="E43" s="13" t="s">
        <v>77</v>
      </c>
      <c r="F43" s="13" t="s">
        <v>57</v>
      </c>
      <c r="G43">
        <v>8939.7000000000007</v>
      </c>
      <c r="H43">
        <v>3</v>
      </c>
      <c r="I43">
        <v>1</v>
      </c>
      <c r="J43">
        <v>2</v>
      </c>
      <c r="K43">
        <v>254</v>
      </c>
      <c r="L43">
        <v>82930.179999999993</v>
      </c>
      <c r="M43">
        <v>10532.97</v>
      </c>
      <c r="N43">
        <v>73990.48</v>
      </c>
      <c r="O43">
        <v>8939.7000000000007</v>
      </c>
    </row>
    <row r="44" spans="1:15" x14ac:dyDescent="0.35">
      <c r="A44">
        <v>257</v>
      </c>
      <c r="B44" s="13" t="s">
        <v>235</v>
      </c>
      <c r="C44" s="13" t="s">
        <v>236</v>
      </c>
      <c r="D44" s="13" t="s">
        <v>76</v>
      </c>
      <c r="E44" s="13" t="s">
        <v>71</v>
      </c>
      <c r="F44" s="13" t="s">
        <v>80</v>
      </c>
      <c r="G44">
        <v>635.5</v>
      </c>
      <c r="H44">
        <v>1</v>
      </c>
      <c r="I44">
        <v>0</v>
      </c>
      <c r="J44">
        <v>1</v>
      </c>
      <c r="K44">
        <v>236</v>
      </c>
      <c r="L44">
        <v>6226.76</v>
      </c>
      <c r="M44">
        <v>2017.06</v>
      </c>
      <c r="N44">
        <v>5591.26</v>
      </c>
      <c r="O44">
        <v>635.5</v>
      </c>
    </row>
    <row r="45" spans="1:15" x14ac:dyDescent="0.35">
      <c r="A45">
        <v>186</v>
      </c>
      <c r="B45" s="13" t="s">
        <v>241</v>
      </c>
      <c r="C45" s="13" t="s">
        <v>242</v>
      </c>
      <c r="D45" s="13" t="s">
        <v>76</v>
      </c>
      <c r="E45" s="13" t="s">
        <v>65</v>
      </c>
      <c r="F45" s="13" t="s">
        <v>94</v>
      </c>
      <c r="G45">
        <v>1041.56</v>
      </c>
      <c r="H45">
        <v>1</v>
      </c>
      <c r="I45">
        <v>1</v>
      </c>
      <c r="J45">
        <v>1</v>
      </c>
      <c r="K45">
        <v>235</v>
      </c>
      <c r="L45">
        <v>6839.92</v>
      </c>
      <c r="M45">
        <v>1041.56</v>
      </c>
      <c r="N45">
        <v>5798.36</v>
      </c>
      <c r="O45">
        <v>1041.56</v>
      </c>
    </row>
    <row r="46" spans="1:15" x14ac:dyDescent="0.35">
      <c r="A46">
        <v>359</v>
      </c>
      <c r="B46" s="13" t="s">
        <v>212</v>
      </c>
      <c r="C46" s="13" t="s">
        <v>213</v>
      </c>
      <c r="D46" s="13" t="s">
        <v>52</v>
      </c>
      <c r="E46" s="13" t="s">
        <v>71</v>
      </c>
      <c r="F46" s="13" t="s">
        <v>87</v>
      </c>
      <c r="G46">
        <v>3522.98</v>
      </c>
      <c r="H46">
        <v>1</v>
      </c>
      <c r="I46">
        <v>0</v>
      </c>
      <c r="J46">
        <v>1</v>
      </c>
      <c r="K46">
        <v>234</v>
      </c>
      <c r="L46">
        <v>75601.210000000006</v>
      </c>
      <c r="M46">
        <v>47161.13</v>
      </c>
      <c r="N46">
        <v>72078.23</v>
      </c>
      <c r="O46">
        <v>3522.98</v>
      </c>
    </row>
    <row r="47" spans="1:15" x14ac:dyDescent="0.35">
      <c r="A47">
        <v>183</v>
      </c>
      <c r="B47" s="13" t="s">
        <v>238</v>
      </c>
      <c r="C47" s="13" t="s">
        <v>239</v>
      </c>
      <c r="D47" s="13" t="s">
        <v>76</v>
      </c>
      <c r="E47" s="13" t="s">
        <v>71</v>
      </c>
      <c r="F47" s="13" t="s">
        <v>94</v>
      </c>
      <c r="G47">
        <v>1677.21</v>
      </c>
      <c r="H47">
        <v>1</v>
      </c>
      <c r="I47">
        <v>0</v>
      </c>
      <c r="J47">
        <v>1</v>
      </c>
      <c r="K47">
        <v>229</v>
      </c>
      <c r="L47">
        <v>6474.81</v>
      </c>
      <c r="M47">
        <v>3682.24</v>
      </c>
      <c r="N47">
        <v>4797.6000000000004</v>
      </c>
      <c r="O47">
        <v>1677.21</v>
      </c>
    </row>
    <row r="48" spans="1:15" x14ac:dyDescent="0.35">
      <c r="A48">
        <v>31</v>
      </c>
      <c r="B48" s="13" t="s">
        <v>216</v>
      </c>
      <c r="C48" s="13" t="s">
        <v>217</v>
      </c>
      <c r="D48" s="13" t="s">
        <v>52</v>
      </c>
      <c r="E48" s="13" t="s">
        <v>65</v>
      </c>
      <c r="F48" s="13" t="s">
        <v>87</v>
      </c>
      <c r="G48">
        <v>1675.15</v>
      </c>
      <c r="H48">
        <v>1</v>
      </c>
      <c r="I48">
        <v>0</v>
      </c>
      <c r="J48">
        <v>1</v>
      </c>
      <c r="K48">
        <v>220</v>
      </c>
      <c r="L48">
        <v>150926.78</v>
      </c>
      <c r="M48">
        <v>85720.95</v>
      </c>
      <c r="N48">
        <v>149251.63</v>
      </c>
      <c r="O48">
        <v>1675.15</v>
      </c>
    </row>
    <row r="49" spans="1:15" x14ac:dyDescent="0.35">
      <c r="A49">
        <v>76</v>
      </c>
      <c r="B49" s="13" t="s">
        <v>229</v>
      </c>
      <c r="C49" s="13" t="s">
        <v>230</v>
      </c>
      <c r="D49" s="13" t="s">
        <v>104</v>
      </c>
      <c r="E49" s="13" t="s">
        <v>71</v>
      </c>
      <c r="F49" s="13" t="s">
        <v>106</v>
      </c>
      <c r="G49">
        <v>365.01</v>
      </c>
      <c r="H49">
        <v>1</v>
      </c>
      <c r="I49">
        <v>0</v>
      </c>
      <c r="J49">
        <v>1</v>
      </c>
      <c r="K49">
        <v>214</v>
      </c>
      <c r="L49">
        <v>11130.61</v>
      </c>
      <c r="M49">
        <v>365.01</v>
      </c>
      <c r="N49">
        <v>10765.6</v>
      </c>
      <c r="O49">
        <v>365.01</v>
      </c>
    </row>
    <row r="50" spans="1:15" x14ac:dyDescent="0.35">
      <c r="A50">
        <v>28</v>
      </c>
      <c r="B50" s="13" t="s">
        <v>256</v>
      </c>
      <c r="C50" s="13" t="s">
        <v>257</v>
      </c>
      <c r="D50" s="13" t="s">
        <v>76</v>
      </c>
      <c r="E50" s="13" t="s">
        <v>99</v>
      </c>
      <c r="F50" s="13" t="s">
        <v>80</v>
      </c>
      <c r="G50">
        <v>465.74</v>
      </c>
      <c r="H50">
        <v>1</v>
      </c>
      <c r="I50">
        <v>0</v>
      </c>
      <c r="J50">
        <v>1</v>
      </c>
      <c r="K50">
        <v>195</v>
      </c>
      <c r="L50">
        <v>3324.65</v>
      </c>
      <c r="M50">
        <v>1054.76</v>
      </c>
      <c r="N50">
        <v>2858.91</v>
      </c>
      <c r="O50">
        <v>465.74</v>
      </c>
    </row>
    <row r="51" spans="1:15" x14ac:dyDescent="0.35">
      <c r="A51">
        <v>36</v>
      </c>
      <c r="B51" s="13" t="s">
        <v>259</v>
      </c>
      <c r="C51" s="13" t="s">
        <v>260</v>
      </c>
      <c r="D51" s="13" t="s">
        <v>104</v>
      </c>
      <c r="E51" s="13" t="s">
        <v>71</v>
      </c>
      <c r="F51" s="13" t="s">
        <v>122</v>
      </c>
      <c r="G51">
        <v>1786.89</v>
      </c>
      <c r="H51">
        <v>2</v>
      </c>
      <c r="I51">
        <v>0</v>
      </c>
      <c r="J51">
        <v>2</v>
      </c>
      <c r="K51">
        <v>195</v>
      </c>
      <c r="L51">
        <v>22168.21</v>
      </c>
      <c r="M51">
        <v>5780.36</v>
      </c>
      <c r="N51">
        <v>20381.32</v>
      </c>
      <c r="O51">
        <v>1786.89</v>
      </c>
    </row>
    <row r="52" spans="1:15" x14ac:dyDescent="0.35">
      <c r="A52">
        <v>119</v>
      </c>
      <c r="B52" s="13" t="s">
        <v>247</v>
      </c>
      <c r="C52" s="13" t="s">
        <v>248</v>
      </c>
      <c r="D52" s="13" t="s">
        <v>104</v>
      </c>
      <c r="E52" s="13" t="s">
        <v>65</v>
      </c>
      <c r="F52" s="13" t="s">
        <v>106</v>
      </c>
      <c r="G52">
        <v>877.69</v>
      </c>
      <c r="H52">
        <v>1</v>
      </c>
      <c r="I52">
        <v>0</v>
      </c>
      <c r="J52">
        <v>1</v>
      </c>
      <c r="K52">
        <v>191</v>
      </c>
      <c r="L52">
        <v>6348.5</v>
      </c>
      <c r="M52">
        <v>2614.61</v>
      </c>
      <c r="N52">
        <v>5470.81</v>
      </c>
      <c r="O52">
        <v>877.69</v>
      </c>
    </row>
    <row r="53" spans="1:15" x14ac:dyDescent="0.35">
      <c r="A53">
        <v>265</v>
      </c>
      <c r="B53" s="13" t="s">
        <v>250</v>
      </c>
      <c r="C53" s="13" t="s">
        <v>251</v>
      </c>
      <c r="D53" s="13" t="s">
        <v>104</v>
      </c>
      <c r="E53" s="13" t="s">
        <v>53</v>
      </c>
      <c r="F53" s="13" t="s">
        <v>106</v>
      </c>
      <c r="G53">
        <v>822.99</v>
      </c>
      <c r="H53">
        <v>1</v>
      </c>
      <c r="I53">
        <v>1</v>
      </c>
      <c r="J53">
        <v>1</v>
      </c>
      <c r="K53">
        <v>187</v>
      </c>
      <c r="L53">
        <v>28932.36</v>
      </c>
      <c r="M53">
        <v>822.99</v>
      </c>
      <c r="N53">
        <v>28109.37</v>
      </c>
      <c r="O53">
        <v>822.99</v>
      </c>
    </row>
    <row r="54" spans="1:15" x14ac:dyDescent="0.35">
      <c r="A54">
        <v>48</v>
      </c>
      <c r="B54" s="13" t="s">
        <v>253</v>
      </c>
      <c r="C54" s="13" t="s">
        <v>254</v>
      </c>
      <c r="D54" s="13" t="s">
        <v>52</v>
      </c>
      <c r="E54" s="13" t="s">
        <v>65</v>
      </c>
      <c r="F54" s="13" t="s">
        <v>57</v>
      </c>
      <c r="G54">
        <v>1838.06</v>
      </c>
      <c r="H54">
        <v>1</v>
      </c>
      <c r="I54">
        <v>0</v>
      </c>
      <c r="J54">
        <v>1</v>
      </c>
      <c r="K54">
        <v>177</v>
      </c>
      <c r="L54">
        <v>78932.509999999995</v>
      </c>
      <c r="M54">
        <v>29973.52</v>
      </c>
      <c r="N54">
        <v>77094.45</v>
      </c>
      <c r="O54">
        <v>1838.06</v>
      </c>
    </row>
    <row r="55" spans="1:15" x14ac:dyDescent="0.35">
      <c r="A55">
        <v>9</v>
      </c>
      <c r="B55" s="13" t="s">
        <v>244</v>
      </c>
      <c r="C55" s="13" t="s">
        <v>245</v>
      </c>
      <c r="D55" s="13" t="s">
        <v>52</v>
      </c>
      <c r="E55" s="13" t="s">
        <v>65</v>
      </c>
      <c r="F55" s="13" t="s">
        <v>87</v>
      </c>
      <c r="G55">
        <v>3054.07</v>
      </c>
      <c r="H55">
        <v>2</v>
      </c>
      <c r="I55">
        <v>0</v>
      </c>
      <c r="J55">
        <v>2</v>
      </c>
      <c r="K55">
        <v>167</v>
      </c>
      <c r="L55">
        <v>155363.14000000001</v>
      </c>
      <c r="M55">
        <v>15639.43</v>
      </c>
      <c r="N55">
        <v>152309.07</v>
      </c>
      <c r="O55">
        <v>3054.07</v>
      </c>
    </row>
    <row r="56" spans="1:15" x14ac:dyDescent="0.35">
      <c r="A56">
        <v>45</v>
      </c>
      <c r="B56" s="13" t="s">
        <v>267</v>
      </c>
      <c r="C56" s="13" t="s">
        <v>268</v>
      </c>
      <c r="D56" s="13" t="s">
        <v>52</v>
      </c>
      <c r="E56" s="13" t="s">
        <v>99</v>
      </c>
      <c r="F56" s="13" t="s">
        <v>87</v>
      </c>
      <c r="G56">
        <v>2288.75</v>
      </c>
      <c r="H56">
        <v>1</v>
      </c>
      <c r="I56">
        <v>1</v>
      </c>
      <c r="J56">
        <v>1</v>
      </c>
      <c r="K56">
        <v>156</v>
      </c>
      <c r="L56">
        <v>27739.38</v>
      </c>
      <c r="M56">
        <v>2288.75</v>
      </c>
      <c r="N56">
        <v>25450.63</v>
      </c>
      <c r="O56">
        <v>2288.75</v>
      </c>
    </row>
    <row r="57" spans="1:15" x14ac:dyDescent="0.35">
      <c r="A57">
        <v>23</v>
      </c>
      <c r="B57" s="13" t="s">
        <v>273</v>
      </c>
      <c r="C57" s="13" t="s">
        <v>274</v>
      </c>
      <c r="D57" s="13" t="s">
        <v>104</v>
      </c>
      <c r="E57" s="13" t="s">
        <v>71</v>
      </c>
      <c r="F57" s="13" t="s">
        <v>106</v>
      </c>
      <c r="G57">
        <v>1085.45</v>
      </c>
      <c r="H57">
        <v>1</v>
      </c>
      <c r="I57">
        <v>0</v>
      </c>
      <c r="J57">
        <v>1</v>
      </c>
      <c r="K57">
        <v>147</v>
      </c>
      <c r="L57">
        <v>45615.67</v>
      </c>
      <c r="M57">
        <v>14979.1</v>
      </c>
      <c r="N57">
        <v>44530.22</v>
      </c>
      <c r="O57">
        <v>1085.45</v>
      </c>
    </row>
    <row r="58" spans="1:15" x14ac:dyDescent="0.35">
      <c r="A58">
        <v>323</v>
      </c>
      <c r="B58" s="13" t="s">
        <v>305</v>
      </c>
      <c r="C58" s="13" t="s">
        <v>306</v>
      </c>
      <c r="D58" s="13" t="s">
        <v>76</v>
      </c>
      <c r="E58" s="13" t="s">
        <v>53</v>
      </c>
      <c r="F58" s="13" t="s">
        <v>94</v>
      </c>
      <c r="G58">
        <v>277.55</v>
      </c>
      <c r="H58">
        <v>1</v>
      </c>
      <c r="I58">
        <v>0</v>
      </c>
      <c r="J58">
        <v>1</v>
      </c>
      <c r="K58">
        <v>138</v>
      </c>
      <c r="L58">
        <v>8214.18</v>
      </c>
      <c r="M58">
        <v>5146.8100000000004</v>
      </c>
      <c r="N58">
        <v>7936.63</v>
      </c>
      <c r="O58">
        <v>277.55</v>
      </c>
    </row>
    <row r="59" spans="1:15" x14ac:dyDescent="0.35">
      <c r="A59">
        <v>389</v>
      </c>
      <c r="B59" s="13" t="s">
        <v>263</v>
      </c>
      <c r="C59" s="13" t="s">
        <v>264</v>
      </c>
      <c r="D59" s="13" t="s">
        <v>52</v>
      </c>
      <c r="E59" s="13" t="s">
        <v>99</v>
      </c>
      <c r="F59" s="13" t="s">
        <v>87</v>
      </c>
      <c r="G59">
        <v>9541.7999999999993</v>
      </c>
      <c r="H59">
        <v>1</v>
      </c>
      <c r="I59">
        <v>1</v>
      </c>
      <c r="J59">
        <v>1</v>
      </c>
      <c r="K59">
        <v>138</v>
      </c>
      <c r="L59">
        <v>118321.01</v>
      </c>
      <c r="M59">
        <v>13114.17</v>
      </c>
      <c r="N59">
        <v>108779.21</v>
      </c>
      <c r="O59">
        <v>9541.7999999999993</v>
      </c>
    </row>
    <row r="60" spans="1:15" x14ac:dyDescent="0.35">
      <c r="A60">
        <v>238</v>
      </c>
      <c r="B60" s="13" t="s">
        <v>343</v>
      </c>
      <c r="C60" s="13" t="s">
        <v>344</v>
      </c>
      <c r="D60" s="13" t="s">
        <v>104</v>
      </c>
      <c r="E60" s="13" t="s">
        <v>77</v>
      </c>
      <c r="F60" s="13" t="s">
        <v>106</v>
      </c>
      <c r="G60">
        <v>843</v>
      </c>
      <c r="H60">
        <v>1</v>
      </c>
      <c r="I60">
        <v>0</v>
      </c>
      <c r="J60">
        <v>1</v>
      </c>
      <c r="K60">
        <v>114</v>
      </c>
      <c r="L60">
        <v>32487.23</v>
      </c>
      <c r="M60">
        <v>843</v>
      </c>
      <c r="N60">
        <v>31644.23</v>
      </c>
      <c r="O60">
        <v>843</v>
      </c>
    </row>
    <row r="61" spans="1:15" x14ac:dyDescent="0.35">
      <c r="A61">
        <v>391</v>
      </c>
      <c r="B61" s="13" t="s">
        <v>361</v>
      </c>
      <c r="C61" s="13" t="s">
        <v>362</v>
      </c>
      <c r="D61" s="13" t="s">
        <v>76</v>
      </c>
      <c r="E61" s="13" t="s">
        <v>65</v>
      </c>
      <c r="F61" s="13" t="s">
        <v>94</v>
      </c>
      <c r="G61">
        <v>6074.2</v>
      </c>
      <c r="H61">
        <v>2</v>
      </c>
      <c r="I61">
        <v>2</v>
      </c>
      <c r="J61">
        <v>1</v>
      </c>
      <c r="K61">
        <v>105</v>
      </c>
      <c r="L61">
        <v>8584.8799999999992</v>
      </c>
      <c r="M61">
        <v>6254.84</v>
      </c>
      <c r="N61">
        <v>2510.6799999999998</v>
      </c>
      <c r="O61">
        <v>6074.2</v>
      </c>
    </row>
    <row r="62" spans="1:15" x14ac:dyDescent="0.35">
      <c r="A62">
        <v>307</v>
      </c>
      <c r="B62" s="13" t="s">
        <v>330</v>
      </c>
      <c r="C62" s="13" t="s">
        <v>331</v>
      </c>
      <c r="D62" s="13" t="s">
        <v>104</v>
      </c>
      <c r="E62" s="13" t="s">
        <v>65</v>
      </c>
      <c r="F62" s="13" t="s">
        <v>122</v>
      </c>
      <c r="G62">
        <v>1806.13</v>
      </c>
      <c r="H62">
        <v>1</v>
      </c>
      <c r="I62">
        <v>0</v>
      </c>
      <c r="J62">
        <v>1</v>
      </c>
      <c r="K62">
        <v>104</v>
      </c>
      <c r="L62">
        <v>6751.3</v>
      </c>
      <c r="M62">
        <v>1806.13</v>
      </c>
      <c r="N62">
        <v>4945.17</v>
      </c>
      <c r="O62">
        <v>1806.13</v>
      </c>
    </row>
    <row r="63" spans="1:15" x14ac:dyDescent="0.35">
      <c r="A63">
        <v>163</v>
      </c>
      <c r="B63" s="13" t="s">
        <v>312</v>
      </c>
      <c r="C63" s="13" t="s">
        <v>313</v>
      </c>
      <c r="D63" s="13" t="s">
        <v>52</v>
      </c>
      <c r="E63" s="13" t="s">
        <v>77</v>
      </c>
      <c r="F63" s="13" t="s">
        <v>57</v>
      </c>
      <c r="G63">
        <v>6170.49</v>
      </c>
      <c r="H63">
        <v>1</v>
      </c>
      <c r="I63">
        <v>0</v>
      </c>
      <c r="J63">
        <v>1</v>
      </c>
      <c r="K63">
        <v>103</v>
      </c>
      <c r="L63">
        <v>93975.84</v>
      </c>
      <c r="M63">
        <v>36293.49</v>
      </c>
      <c r="N63">
        <v>87805.35</v>
      </c>
      <c r="O63">
        <v>6170.49</v>
      </c>
    </row>
    <row r="64" spans="1:15" x14ac:dyDescent="0.35">
      <c r="A64">
        <v>283</v>
      </c>
      <c r="B64" s="13" t="s">
        <v>317</v>
      </c>
      <c r="C64" s="13" t="s">
        <v>318</v>
      </c>
      <c r="D64" s="13" t="s">
        <v>52</v>
      </c>
      <c r="E64" s="13" t="s">
        <v>77</v>
      </c>
      <c r="F64" s="13" t="s">
        <v>57</v>
      </c>
      <c r="G64">
        <v>2194.9</v>
      </c>
      <c r="H64">
        <v>1</v>
      </c>
      <c r="I64">
        <v>0</v>
      </c>
      <c r="J64">
        <v>1</v>
      </c>
      <c r="K64">
        <v>100</v>
      </c>
      <c r="L64">
        <v>92573.02</v>
      </c>
      <c r="M64">
        <v>8147.59</v>
      </c>
      <c r="N64">
        <v>90378.12</v>
      </c>
      <c r="O64">
        <v>2194.9</v>
      </c>
    </row>
    <row r="65" spans="1:15" x14ac:dyDescent="0.35">
      <c r="A65">
        <v>128</v>
      </c>
      <c r="B65" s="13" t="s">
        <v>309</v>
      </c>
      <c r="C65" s="13" t="s">
        <v>310</v>
      </c>
      <c r="D65" s="13" t="s">
        <v>104</v>
      </c>
      <c r="E65" s="13" t="s">
        <v>53</v>
      </c>
      <c r="F65" s="13" t="s">
        <v>122</v>
      </c>
      <c r="G65">
        <v>1188.03</v>
      </c>
      <c r="H65">
        <v>2</v>
      </c>
      <c r="I65">
        <v>1</v>
      </c>
      <c r="J65">
        <v>1</v>
      </c>
      <c r="K65">
        <v>93</v>
      </c>
      <c r="L65">
        <v>28993.47</v>
      </c>
      <c r="M65">
        <v>1188.03</v>
      </c>
      <c r="N65">
        <v>27805.439999999999</v>
      </c>
      <c r="O65">
        <v>1188.03</v>
      </c>
    </row>
    <row r="66" spans="1:15" x14ac:dyDescent="0.35">
      <c r="A66">
        <v>376</v>
      </c>
      <c r="B66" s="13" t="s">
        <v>340</v>
      </c>
      <c r="C66" s="13" t="s">
        <v>341</v>
      </c>
      <c r="D66" s="13" t="s">
        <v>52</v>
      </c>
      <c r="E66" s="13" t="s">
        <v>77</v>
      </c>
      <c r="F66" s="13" t="s">
        <v>57</v>
      </c>
      <c r="G66">
        <v>11897.85</v>
      </c>
      <c r="H66">
        <v>2</v>
      </c>
      <c r="I66">
        <v>1</v>
      </c>
      <c r="J66">
        <v>1</v>
      </c>
      <c r="K66">
        <v>91</v>
      </c>
      <c r="L66">
        <v>98197.19</v>
      </c>
      <c r="M66">
        <v>27755.26</v>
      </c>
      <c r="N66">
        <v>86299.34</v>
      </c>
      <c r="O66">
        <v>11897.85</v>
      </c>
    </row>
    <row r="67" spans="1:15" x14ac:dyDescent="0.35">
      <c r="A67">
        <v>80</v>
      </c>
      <c r="B67" s="13" t="s">
        <v>393</v>
      </c>
      <c r="C67" s="13" t="s">
        <v>394</v>
      </c>
      <c r="D67" s="13" t="s">
        <v>76</v>
      </c>
      <c r="E67" s="13" t="s">
        <v>65</v>
      </c>
      <c r="F67" s="13" t="s">
        <v>94</v>
      </c>
      <c r="G67">
        <v>1576.11</v>
      </c>
      <c r="H67">
        <v>1</v>
      </c>
      <c r="I67">
        <v>1</v>
      </c>
      <c r="J67">
        <v>1</v>
      </c>
      <c r="K67">
        <v>83</v>
      </c>
      <c r="L67">
        <v>21192.47</v>
      </c>
      <c r="M67">
        <v>1576.11</v>
      </c>
      <c r="N67">
        <v>19616.36</v>
      </c>
      <c r="O67">
        <v>1576.11</v>
      </c>
    </row>
    <row r="68" spans="1:15" x14ac:dyDescent="0.35">
      <c r="A68">
        <v>79</v>
      </c>
      <c r="B68" s="13" t="s">
        <v>270</v>
      </c>
      <c r="C68" s="13" t="s">
        <v>271</v>
      </c>
      <c r="D68" s="13" t="s">
        <v>52</v>
      </c>
      <c r="E68" s="13" t="s">
        <v>71</v>
      </c>
      <c r="F68" s="13" t="s">
        <v>57</v>
      </c>
      <c r="G68">
        <v>5393.12</v>
      </c>
      <c r="H68">
        <v>1</v>
      </c>
      <c r="I68">
        <v>0</v>
      </c>
      <c r="J68">
        <v>1</v>
      </c>
      <c r="K68">
        <v>79</v>
      </c>
      <c r="L68">
        <v>85429.68</v>
      </c>
      <c r="M68">
        <v>20528.43</v>
      </c>
      <c r="N68">
        <v>80036.56</v>
      </c>
      <c r="O68">
        <v>5393.12</v>
      </c>
    </row>
    <row r="69" spans="1:15" x14ac:dyDescent="0.35">
      <c r="A69">
        <v>294</v>
      </c>
      <c r="B69" s="13" t="s">
        <v>386</v>
      </c>
      <c r="C69" s="13" t="s">
        <v>387</v>
      </c>
      <c r="D69" s="13" t="s">
        <v>52</v>
      </c>
      <c r="E69" s="13" t="s">
        <v>65</v>
      </c>
      <c r="F69" s="13" t="s">
        <v>57</v>
      </c>
      <c r="G69">
        <v>2883.43</v>
      </c>
      <c r="H69">
        <v>1</v>
      </c>
      <c r="I69">
        <v>0</v>
      </c>
      <c r="J69">
        <v>1</v>
      </c>
      <c r="K69">
        <v>65</v>
      </c>
      <c r="L69">
        <v>49151.53</v>
      </c>
      <c r="M69">
        <v>2883.43</v>
      </c>
      <c r="N69">
        <v>46268.1</v>
      </c>
      <c r="O69">
        <v>2883.43</v>
      </c>
    </row>
    <row r="70" spans="1:15" x14ac:dyDescent="0.35">
      <c r="A70">
        <v>54</v>
      </c>
      <c r="B70" s="13" t="s">
        <v>434</v>
      </c>
      <c r="C70" s="13" t="s">
        <v>435</v>
      </c>
      <c r="D70" s="13" t="s">
        <v>52</v>
      </c>
      <c r="E70" s="13" t="s">
        <v>77</v>
      </c>
      <c r="F70" s="13" t="s">
        <v>57</v>
      </c>
      <c r="G70">
        <v>6661.59</v>
      </c>
      <c r="H70">
        <v>1</v>
      </c>
      <c r="I70">
        <v>0</v>
      </c>
      <c r="J70">
        <v>1</v>
      </c>
      <c r="K70">
        <v>51</v>
      </c>
      <c r="L70">
        <v>112760.39</v>
      </c>
      <c r="M70">
        <v>20972.11</v>
      </c>
      <c r="N70">
        <v>106098.8</v>
      </c>
      <c r="O70">
        <v>6661.59</v>
      </c>
    </row>
    <row r="71" spans="1:15" x14ac:dyDescent="0.35">
      <c r="A71">
        <v>180</v>
      </c>
      <c r="B71" s="13" t="s">
        <v>496</v>
      </c>
      <c r="C71" s="13" t="s">
        <v>497</v>
      </c>
      <c r="D71" s="13" t="s">
        <v>104</v>
      </c>
      <c r="E71" s="13" t="s">
        <v>53</v>
      </c>
      <c r="F71" s="13" t="s">
        <v>122</v>
      </c>
      <c r="G71">
        <v>2126.1999999999998</v>
      </c>
      <c r="H71">
        <v>1</v>
      </c>
      <c r="I71">
        <v>1</v>
      </c>
      <c r="J71">
        <v>1</v>
      </c>
      <c r="K71">
        <v>45</v>
      </c>
      <c r="L71">
        <v>10549.44</v>
      </c>
      <c r="M71">
        <v>2126.1999999999998</v>
      </c>
      <c r="N71">
        <v>8423.24</v>
      </c>
      <c r="O71">
        <v>2126.1999999999998</v>
      </c>
    </row>
    <row r="72" spans="1:15" x14ac:dyDescent="0.35">
      <c r="A72">
        <v>185</v>
      </c>
      <c r="B72" s="13" t="s">
        <v>481</v>
      </c>
      <c r="C72" s="13" t="s">
        <v>482</v>
      </c>
      <c r="D72" s="13" t="s">
        <v>76</v>
      </c>
      <c r="E72" s="13" t="s">
        <v>53</v>
      </c>
      <c r="F72" s="13" t="s">
        <v>80</v>
      </c>
      <c r="G72">
        <v>2387.0100000000002</v>
      </c>
      <c r="H72">
        <v>1</v>
      </c>
      <c r="I72">
        <v>1</v>
      </c>
      <c r="J72">
        <v>1</v>
      </c>
      <c r="K72">
        <v>43</v>
      </c>
      <c r="L72">
        <v>4918.3500000000004</v>
      </c>
      <c r="M72">
        <v>2387.0100000000002</v>
      </c>
      <c r="N72">
        <v>2531.34</v>
      </c>
      <c r="O72">
        <v>2387.0100000000002</v>
      </c>
    </row>
    <row r="73" spans="1:15" x14ac:dyDescent="0.35">
      <c r="A73">
        <v>138</v>
      </c>
      <c r="B73" s="13" t="s">
        <v>834</v>
      </c>
      <c r="C73" s="13" t="s">
        <v>835</v>
      </c>
      <c r="D73" s="13" t="s">
        <v>104</v>
      </c>
      <c r="E73" s="13" t="s">
        <v>77</v>
      </c>
      <c r="F73" s="13" t="s">
        <v>106</v>
      </c>
      <c r="G73">
        <v>5718.64</v>
      </c>
      <c r="H73">
        <v>1</v>
      </c>
      <c r="I73">
        <v>1</v>
      </c>
      <c r="J73">
        <v>1</v>
      </c>
      <c r="K73">
        <v>37</v>
      </c>
      <c r="L73">
        <v>18461.95</v>
      </c>
      <c r="M73">
        <v>6650.25</v>
      </c>
      <c r="N73">
        <v>12743.31</v>
      </c>
      <c r="O73">
        <v>5718.64</v>
      </c>
    </row>
    <row r="74" spans="1:15" x14ac:dyDescent="0.35">
      <c r="A74">
        <v>130</v>
      </c>
      <c r="B74" s="13" t="s">
        <v>688</v>
      </c>
      <c r="C74" s="13" t="s">
        <v>689</v>
      </c>
      <c r="D74" s="13" t="s">
        <v>104</v>
      </c>
      <c r="E74" s="13" t="s">
        <v>99</v>
      </c>
      <c r="F74" s="13" t="s">
        <v>106</v>
      </c>
      <c r="G74">
        <v>2477.6999999999998</v>
      </c>
      <c r="H74">
        <v>2</v>
      </c>
      <c r="I74">
        <v>1</v>
      </c>
      <c r="J74">
        <v>1</v>
      </c>
      <c r="K74">
        <v>36</v>
      </c>
      <c r="L74">
        <v>6621.13</v>
      </c>
      <c r="M74">
        <v>5821.01</v>
      </c>
      <c r="N74">
        <v>4143.43</v>
      </c>
      <c r="O74">
        <v>2477.6999999999998</v>
      </c>
    </row>
    <row r="75" spans="1:15" x14ac:dyDescent="0.35">
      <c r="A75">
        <v>66</v>
      </c>
      <c r="B75" s="13" t="s">
        <v>478</v>
      </c>
      <c r="C75" s="13" t="s">
        <v>479</v>
      </c>
      <c r="D75" s="13" t="s">
        <v>52</v>
      </c>
      <c r="E75" s="13" t="s">
        <v>77</v>
      </c>
      <c r="F75" s="13" t="s">
        <v>87</v>
      </c>
      <c r="G75">
        <v>3672.29</v>
      </c>
      <c r="H75">
        <v>1</v>
      </c>
      <c r="I75">
        <v>0</v>
      </c>
      <c r="J75">
        <v>1</v>
      </c>
      <c r="K75">
        <v>27</v>
      </c>
      <c r="L75">
        <v>91519.74</v>
      </c>
      <c r="M75">
        <v>14750.26</v>
      </c>
      <c r="N75">
        <v>87847.45</v>
      </c>
      <c r="O75">
        <v>3672.29</v>
      </c>
    </row>
    <row r="76" spans="1:15" x14ac:dyDescent="0.35">
      <c r="A76">
        <v>219</v>
      </c>
      <c r="B76" s="13" t="s">
        <v>584</v>
      </c>
      <c r="C76" s="13" t="s">
        <v>585</v>
      </c>
      <c r="D76" s="13" t="s">
        <v>104</v>
      </c>
      <c r="E76" s="13" t="s">
        <v>53</v>
      </c>
      <c r="F76" s="13" t="s">
        <v>122</v>
      </c>
      <c r="G76">
        <v>6397.83</v>
      </c>
      <c r="H76">
        <v>1</v>
      </c>
      <c r="I76">
        <v>1</v>
      </c>
      <c r="J76">
        <v>1</v>
      </c>
      <c r="K76">
        <v>24</v>
      </c>
      <c r="L76">
        <v>48336.7</v>
      </c>
      <c r="M76">
        <v>14205.25</v>
      </c>
      <c r="N76">
        <v>41938.870000000003</v>
      </c>
      <c r="O76">
        <v>6397.83</v>
      </c>
    </row>
    <row r="77" spans="1:15" x14ac:dyDescent="0.35">
      <c r="A77">
        <v>234</v>
      </c>
      <c r="B77" s="13" t="s">
        <v>422</v>
      </c>
      <c r="C77" s="13" t="s">
        <v>423</v>
      </c>
      <c r="D77" s="13" t="s">
        <v>126</v>
      </c>
      <c r="E77" s="13" t="s">
        <v>77</v>
      </c>
      <c r="F77" s="13" t="s">
        <v>106</v>
      </c>
      <c r="G77">
        <v>8221.59</v>
      </c>
      <c r="H77">
        <v>1</v>
      </c>
      <c r="I77">
        <v>1</v>
      </c>
      <c r="J77">
        <v>0</v>
      </c>
      <c r="K77">
        <v>8</v>
      </c>
      <c r="L77">
        <v>30367.54</v>
      </c>
      <c r="M77">
        <v>19450.599999999999</v>
      </c>
      <c r="N77">
        <v>22145.95</v>
      </c>
      <c r="O77">
        <v>8221.59</v>
      </c>
    </row>
    <row r="78" spans="1:15" x14ac:dyDescent="0.35">
      <c r="A78">
        <v>385</v>
      </c>
      <c r="B78" s="13" t="s">
        <v>1064</v>
      </c>
      <c r="C78" s="13" t="s">
        <v>1065</v>
      </c>
      <c r="D78" s="13" t="s">
        <v>76</v>
      </c>
      <c r="E78" s="13" t="s">
        <v>99</v>
      </c>
      <c r="F78" s="13" t="s">
        <v>94</v>
      </c>
      <c r="G78">
        <v>921.7</v>
      </c>
      <c r="H78">
        <v>1</v>
      </c>
      <c r="I78">
        <v>1</v>
      </c>
      <c r="J78">
        <v>0</v>
      </c>
      <c r="K78">
        <v>7</v>
      </c>
      <c r="L78">
        <v>9077.6299999999992</v>
      </c>
      <c r="M78">
        <v>3231.7</v>
      </c>
      <c r="N78">
        <v>8155.93</v>
      </c>
      <c r="O78">
        <v>921.7</v>
      </c>
    </row>
    <row r="79" spans="1:15" x14ac:dyDescent="0.35">
      <c r="A79">
        <v>262</v>
      </c>
      <c r="B79" s="13" t="s">
        <v>1092</v>
      </c>
      <c r="C79" s="13" t="s">
        <v>1093</v>
      </c>
      <c r="D79" s="13" t="s">
        <v>76</v>
      </c>
      <c r="E79" s="13" t="s">
        <v>77</v>
      </c>
      <c r="F79" s="13" t="s">
        <v>94</v>
      </c>
      <c r="G79">
        <v>3099.3</v>
      </c>
      <c r="H79">
        <v>1</v>
      </c>
      <c r="I79">
        <v>1</v>
      </c>
      <c r="J79">
        <v>0</v>
      </c>
      <c r="K79">
        <v>6</v>
      </c>
      <c r="L79">
        <v>9711.7199999999993</v>
      </c>
      <c r="M79">
        <v>3099.3</v>
      </c>
      <c r="N79">
        <v>6612.42</v>
      </c>
      <c r="O79">
        <v>3099.3</v>
      </c>
    </row>
    <row r="80" spans="1:15" x14ac:dyDescent="0.35">
      <c r="A80">
        <v>218</v>
      </c>
      <c r="B80" s="13" t="s">
        <v>1672</v>
      </c>
      <c r="C80" s="13" t="s">
        <v>1673</v>
      </c>
      <c r="D80" s="13" t="s">
        <v>76</v>
      </c>
      <c r="E80" s="13" t="s">
        <v>77</v>
      </c>
      <c r="F80" s="13" t="s">
        <v>80</v>
      </c>
      <c r="G80">
        <v>1498.04</v>
      </c>
      <c r="H80">
        <v>1</v>
      </c>
      <c r="I80">
        <v>0</v>
      </c>
      <c r="J80">
        <v>1</v>
      </c>
      <c r="K80">
        <v>5</v>
      </c>
      <c r="L80">
        <v>19062.14</v>
      </c>
      <c r="M80">
        <v>1498.04</v>
      </c>
      <c r="N80">
        <v>17564.099999999999</v>
      </c>
      <c r="O80">
        <v>1498.04</v>
      </c>
    </row>
    <row r="81" spans="1:15" x14ac:dyDescent="0.35">
      <c r="A81">
        <v>350</v>
      </c>
      <c r="B81" s="13" t="s">
        <v>1102</v>
      </c>
      <c r="C81" s="13" t="s">
        <v>1103</v>
      </c>
      <c r="D81" s="13" t="s">
        <v>52</v>
      </c>
      <c r="E81" s="13" t="s">
        <v>71</v>
      </c>
      <c r="F81" s="13" t="s">
        <v>87</v>
      </c>
      <c r="G81">
        <v>10085.17</v>
      </c>
      <c r="H81">
        <v>1</v>
      </c>
      <c r="I81">
        <v>1</v>
      </c>
      <c r="J81">
        <v>0</v>
      </c>
      <c r="K81">
        <v>4</v>
      </c>
      <c r="L81">
        <v>33344.03</v>
      </c>
      <c r="M81">
        <v>10085.17</v>
      </c>
      <c r="N81">
        <v>23258.86</v>
      </c>
      <c r="O81">
        <v>10085.17</v>
      </c>
    </row>
    <row r="82" spans="1:15" x14ac:dyDescent="0.35">
      <c r="A82">
        <v>122</v>
      </c>
      <c r="B82" s="13" t="s">
        <v>539</v>
      </c>
      <c r="C82" s="13" t="s">
        <v>540</v>
      </c>
      <c r="D82" s="13" t="s">
        <v>52</v>
      </c>
      <c r="E82" s="13" t="s">
        <v>65</v>
      </c>
      <c r="F82" s="13" t="s">
        <v>57</v>
      </c>
      <c r="G82">
        <v>16589.03</v>
      </c>
      <c r="H82">
        <v>1</v>
      </c>
      <c r="I82">
        <v>1</v>
      </c>
      <c r="J82">
        <v>0</v>
      </c>
      <c r="K82">
        <v>4</v>
      </c>
      <c r="L82">
        <v>62245</v>
      </c>
      <c r="M82">
        <v>17423.12</v>
      </c>
      <c r="N82">
        <v>45655.97</v>
      </c>
      <c r="O82">
        <v>16589.03</v>
      </c>
    </row>
    <row r="83" spans="1:15" x14ac:dyDescent="0.35">
      <c r="A83">
        <v>291</v>
      </c>
      <c r="B83" s="13" t="s">
        <v>1842</v>
      </c>
      <c r="C83" s="13" t="s">
        <v>1843</v>
      </c>
      <c r="D83" s="13" t="s">
        <v>104</v>
      </c>
      <c r="E83" s="13" t="s">
        <v>99</v>
      </c>
      <c r="F83" s="13" t="s">
        <v>106</v>
      </c>
      <c r="G83">
        <v>1384.5</v>
      </c>
      <c r="H83">
        <v>1</v>
      </c>
      <c r="I83">
        <v>1</v>
      </c>
      <c r="J83">
        <v>0</v>
      </c>
      <c r="K83">
        <v>3</v>
      </c>
      <c r="L83">
        <v>10161.73</v>
      </c>
      <c r="M83">
        <v>1384.5</v>
      </c>
      <c r="N83">
        <v>8777.23</v>
      </c>
      <c r="O83">
        <v>1384.5</v>
      </c>
    </row>
    <row r="84" spans="1:15" x14ac:dyDescent="0.35">
      <c r="A84">
        <v>235</v>
      </c>
      <c r="B84" s="13" t="s">
        <v>1209</v>
      </c>
      <c r="C84" s="13" t="s">
        <v>1210</v>
      </c>
      <c r="D84" s="13" t="s">
        <v>104</v>
      </c>
      <c r="E84" s="13" t="s">
        <v>99</v>
      </c>
      <c r="F84" s="13" t="s">
        <v>106</v>
      </c>
      <c r="G84">
        <v>8274.16</v>
      </c>
      <c r="H84">
        <v>1</v>
      </c>
      <c r="I84">
        <v>1</v>
      </c>
      <c r="J84">
        <v>0</v>
      </c>
      <c r="K84">
        <v>2</v>
      </c>
      <c r="L84">
        <v>10798.11</v>
      </c>
      <c r="M84">
        <v>9108.2199999999993</v>
      </c>
      <c r="N84">
        <v>2523.9499999999998</v>
      </c>
      <c r="O84">
        <v>8274.16</v>
      </c>
    </row>
    <row r="85" spans="1:15" x14ac:dyDescent="0.35">
      <c r="A85">
        <v>264</v>
      </c>
      <c r="B85" s="13" t="s">
        <v>1785</v>
      </c>
      <c r="C85" s="13" t="s">
        <v>1786</v>
      </c>
      <c r="D85" s="13" t="s">
        <v>104</v>
      </c>
      <c r="E85" s="13" t="s">
        <v>77</v>
      </c>
      <c r="F85" s="13" t="s">
        <v>122</v>
      </c>
      <c r="G85">
        <v>1499.82</v>
      </c>
      <c r="H85">
        <v>1</v>
      </c>
      <c r="I85">
        <v>1</v>
      </c>
      <c r="J85">
        <v>0</v>
      </c>
      <c r="K85">
        <v>2</v>
      </c>
      <c r="L85">
        <v>12024.06</v>
      </c>
      <c r="M85">
        <v>1499.82</v>
      </c>
      <c r="N85">
        <v>10524.24</v>
      </c>
      <c r="O85">
        <v>1499.82</v>
      </c>
    </row>
    <row r="86" spans="1:15" x14ac:dyDescent="0.35">
      <c r="A86">
        <v>351</v>
      </c>
      <c r="B86" s="13" t="s">
        <v>379</v>
      </c>
      <c r="C86" s="13" t="s">
        <v>380</v>
      </c>
      <c r="D86" s="13" t="s">
        <v>52</v>
      </c>
      <c r="E86" s="13" t="s">
        <v>77</v>
      </c>
      <c r="F86" s="13" t="s">
        <v>57</v>
      </c>
      <c r="G86">
        <v>7056.36</v>
      </c>
      <c r="H86">
        <v>1</v>
      </c>
      <c r="I86">
        <v>1</v>
      </c>
      <c r="J86">
        <v>0</v>
      </c>
      <c r="K86">
        <v>2</v>
      </c>
      <c r="L86">
        <v>171140.07</v>
      </c>
      <c r="M86">
        <v>132293.14000000001</v>
      </c>
      <c r="N86">
        <v>164083.71</v>
      </c>
      <c r="O86">
        <v>7056.36</v>
      </c>
    </row>
    <row r="87" spans="1:15" x14ac:dyDescent="0.35">
      <c r="A87">
        <v>195</v>
      </c>
      <c r="B87" s="13" t="s">
        <v>692</v>
      </c>
      <c r="C87" s="13" t="s">
        <v>693</v>
      </c>
      <c r="D87" s="13" t="s">
        <v>52</v>
      </c>
      <c r="E87" s="13" t="s">
        <v>53</v>
      </c>
      <c r="F87" s="13" t="s">
        <v>57</v>
      </c>
      <c r="G87">
        <v>4996.8900000000003</v>
      </c>
      <c r="H87">
        <v>1</v>
      </c>
      <c r="I87">
        <v>1</v>
      </c>
      <c r="J87">
        <v>0</v>
      </c>
      <c r="K87">
        <v>1</v>
      </c>
      <c r="L87">
        <v>58855.62</v>
      </c>
      <c r="M87">
        <v>4996.8900000000003</v>
      </c>
      <c r="N87">
        <v>53858.73</v>
      </c>
      <c r="O87">
        <v>4996.8900000000003</v>
      </c>
    </row>
    <row r="88" spans="1:15" x14ac:dyDescent="0.35">
      <c r="A88">
        <v>300</v>
      </c>
      <c r="B88" s="13" t="s">
        <v>1444</v>
      </c>
      <c r="C88" s="13" t="s">
        <v>1445</v>
      </c>
      <c r="D88" s="13" t="s">
        <v>104</v>
      </c>
      <c r="E88" s="13" t="s">
        <v>71</v>
      </c>
      <c r="F88" s="13" t="s">
        <v>106</v>
      </c>
      <c r="G88">
        <v>2395.9899999999998</v>
      </c>
      <c r="H88">
        <v>1</v>
      </c>
      <c r="I88">
        <v>1</v>
      </c>
      <c r="J88">
        <v>0</v>
      </c>
      <c r="K88">
        <v>1</v>
      </c>
      <c r="L88">
        <v>2395.9899999999998</v>
      </c>
      <c r="M88">
        <v>2395.9899999999998</v>
      </c>
      <c r="N88">
        <v>0</v>
      </c>
      <c r="O88">
        <v>2395.9899999999998</v>
      </c>
    </row>
    <row r="89" spans="1:15" x14ac:dyDescent="0.35">
      <c r="A89">
        <v>177</v>
      </c>
      <c r="B89" s="13" t="s">
        <v>2924</v>
      </c>
      <c r="C89" s="13" t="s">
        <v>2925</v>
      </c>
      <c r="D89" s="13" t="s">
        <v>104</v>
      </c>
      <c r="E89" s="13" t="s">
        <v>71</v>
      </c>
      <c r="F89" s="13" t="s">
        <v>106</v>
      </c>
      <c r="G89">
        <v>1733.71</v>
      </c>
      <c r="H89">
        <v>1</v>
      </c>
      <c r="I89">
        <v>1</v>
      </c>
      <c r="J89">
        <v>0</v>
      </c>
      <c r="K89">
        <v>1</v>
      </c>
      <c r="L89">
        <v>5886.26</v>
      </c>
      <c r="M89">
        <v>0</v>
      </c>
      <c r="N89">
        <v>4152.55</v>
      </c>
      <c r="O89">
        <v>0</v>
      </c>
    </row>
    <row r="90" spans="1:15" x14ac:dyDescent="0.35">
      <c r="A90">
        <v>211</v>
      </c>
      <c r="B90" s="13" t="s">
        <v>894</v>
      </c>
      <c r="C90" s="13" t="s">
        <v>895</v>
      </c>
      <c r="D90" s="13" t="s">
        <v>104</v>
      </c>
      <c r="E90" s="13" t="s">
        <v>71</v>
      </c>
      <c r="F90" s="13" t="s">
        <v>106</v>
      </c>
      <c r="G90">
        <v>2982.07</v>
      </c>
      <c r="H90">
        <v>1</v>
      </c>
      <c r="I90">
        <v>1</v>
      </c>
      <c r="J90">
        <v>0</v>
      </c>
      <c r="K90">
        <v>1</v>
      </c>
      <c r="L90">
        <v>19129.87</v>
      </c>
      <c r="M90">
        <v>5733.22</v>
      </c>
      <c r="N90">
        <v>16147.8</v>
      </c>
      <c r="O90">
        <v>2982.07</v>
      </c>
    </row>
    <row r="91" spans="1:15" x14ac:dyDescent="0.35">
      <c r="A91">
        <v>317</v>
      </c>
      <c r="B91" s="13" t="s">
        <v>1577</v>
      </c>
      <c r="C91" s="13" t="s">
        <v>1578</v>
      </c>
      <c r="D91" s="13" t="s">
        <v>76</v>
      </c>
      <c r="E91" s="13" t="s">
        <v>71</v>
      </c>
      <c r="F91" s="13" t="s">
        <v>80</v>
      </c>
      <c r="G91">
        <v>4424.97</v>
      </c>
      <c r="H91">
        <v>1</v>
      </c>
      <c r="I91">
        <v>1</v>
      </c>
      <c r="J91">
        <v>0</v>
      </c>
      <c r="K91">
        <v>1</v>
      </c>
      <c r="L91">
        <v>9464.2900000000009</v>
      </c>
      <c r="M91">
        <v>4944.54</v>
      </c>
      <c r="N91">
        <v>5039.32</v>
      </c>
      <c r="O91">
        <v>4424.97</v>
      </c>
    </row>
    <row r="92" spans="1:15" x14ac:dyDescent="0.35">
      <c r="A92">
        <v>239</v>
      </c>
      <c r="B92" s="13" t="s">
        <v>2163</v>
      </c>
      <c r="C92" s="13" t="s">
        <v>2164</v>
      </c>
      <c r="D92" s="13" t="s">
        <v>76</v>
      </c>
      <c r="E92" s="13" t="s">
        <v>65</v>
      </c>
      <c r="F92" s="13" t="s">
        <v>94</v>
      </c>
      <c r="G92">
        <v>3623.52</v>
      </c>
      <c r="H92">
        <v>1</v>
      </c>
      <c r="I92">
        <v>1</v>
      </c>
      <c r="J92">
        <v>0</v>
      </c>
      <c r="K92">
        <v>0</v>
      </c>
      <c r="L92">
        <v>8404.84</v>
      </c>
      <c r="M92">
        <v>0</v>
      </c>
      <c r="N92">
        <v>4781.32</v>
      </c>
      <c r="O92">
        <v>0</v>
      </c>
    </row>
    <row r="93" spans="1:15" x14ac:dyDescent="0.35">
      <c r="A93">
        <v>51</v>
      </c>
      <c r="B93" s="13" t="s">
        <v>1813</v>
      </c>
      <c r="C93" s="13" t="s">
        <v>1814</v>
      </c>
      <c r="D93" s="13" t="s">
        <v>104</v>
      </c>
      <c r="E93" s="13" t="s">
        <v>71</v>
      </c>
      <c r="F93" s="13" t="s">
        <v>106</v>
      </c>
      <c r="G93">
        <v>6456.32</v>
      </c>
      <c r="H93">
        <v>1</v>
      </c>
      <c r="I93">
        <v>1</v>
      </c>
      <c r="J93">
        <v>0</v>
      </c>
      <c r="K93">
        <v>0</v>
      </c>
      <c r="L93">
        <v>15090.94</v>
      </c>
      <c r="M93">
        <v>6456.32</v>
      </c>
      <c r="N93">
        <v>8634.6200000000008</v>
      </c>
      <c r="O93">
        <v>6456.32</v>
      </c>
    </row>
    <row r="94" spans="1:15" x14ac:dyDescent="0.35">
      <c r="A94">
        <v>35</v>
      </c>
      <c r="B94" s="13" t="s">
        <v>1875</v>
      </c>
      <c r="C94" s="13" t="s">
        <v>1876</v>
      </c>
      <c r="D94" s="13" t="s">
        <v>104</v>
      </c>
      <c r="E94" s="13" t="s">
        <v>65</v>
      </c>
      <c r="F94" s="13" t="s">
        <v>106</v>
      </c>
      <c r="G94">
        <v>3300.84</v>
      </c>
      <c r="H94">
        <v>1</v>
      </c>
      <c r="I94">
        <v>1</v>
      </c>
      <c r="J94">
        <v>0</v>
      </c>
      <c r="K94">
        <v>0</v>
      </c>
      <c r="L94">
        <v>17742.650000000001</v>
      </c>
      <c r="M94">
        <v>0</v>
      </c>
      <c r="N94">
        <v>14441.81</v>
      </c>
      <c r="O94">
        <v>0</v>
      </c>
    </row>
    <row r="95" spans="1:15" x14ac:dyDescent="0.35">
      <c r="A95">
        <v>258</v>
      </c>
      <c r="B95" s="13" t="s">
        <v>1088</v>
      </c>
      <c r="C95" s="13" t="s">
        <v>1089</v>
      </c>
      <c r="D95" s="13" t="s">
        <v>104</v>
      </c>
      <c r="E95" s="13" t="s">
        <v>77</v>
      </c>
      <c r="F95" s="13" t="s">
        <v>106</v>
      </c>
      <c r="G95">
        <v>2837.15</v>
      </c>
      <c r="H95">
        <v>1</v>
      </c>
      <c r="I95">
        <v>1</v>
      </c>
      <c r="J95">
        <v>0</v>
      </c>
      <c r="K95">
        <v>0</v>
      </c>
      <c r="L95">
        <v>5265.61</v>
      </c>
      <c r="M95">
        <v>2428.46</v>
      </c>
      <c r="N95">
        <v>2428.46</v>
      </c>
      <c r="O95">
        <v>2428.46</v>
      </c>
    </row>
    <row r="96" spans="1:15" x14ac:dyDescent="0.35">
      <c r="A96">
        <v>25</v>
      </c>
      <c r="B96" s="13" t="s">
        <v>449</v>
      </c>
      <c r="C96" s="13" t="s">
        <v>450</v>
      </c>
      <c r="D96" s="13" t="s">
        <v>126</v>
      </c>
      <c r="E96" s="13" t="s">
        <v>71</v>
      </c>
      <c r="F96" s="13" t="s">
        <v>122</v>
      </c>
      <c r="G96">
        <v>1228.27</v>
      </c>
      <c r="H96">
        <v>1</v>
      </c>
      <c r="I96">
        <v>1</v>
      </c>
      <c r="J96">
        <v>0</v>
      </c>
      <c r="K96">
        <v>0</v>
      </c>
      <c r="L96">
        <v>8881.8700000000008</v>
      </c>
      <c r="M96">
        <v>2594.37</v>
      </c>
      <c r="N96">
        <v>7653.6</v>
      </c>
      <c r="O96">
        <v>1228.27</v>
      </c>
    </row>
    <row r="97" spans="1:15" x14ac:dyDescent="0.35">
      <c r="A97">
        <v>327</v>
      </c>
      <c r="B97" s="13" t="s">
        <v>430</v>
      </c>
      <c r="C97" s="13" t="s">
        <v>431</v>
      </c>
      <c r="D97" s="13" t="s">
        <v>126</v>
      </c>
      <c r="E97" s="13" t="s">
        <v>77</v>
      </c>
      <c r="F97" s="13" t="s">
        <v>57</v>
      </c>
      <c r="G97">
        <v>6421.52</v>
      </c>
      <c r="H97">
        <v>1</v>
      </c>
      <c r="I97">
        <v>1</v>
      </c>
      <c r="J97">
        <v>0</v>
      </c>
      <c r="K97">
        <v>0</v>
      </c>
      <c r="L97">
        <v>51196.88</v>
      </c>
      <c r="M97">
        <v>17807.080000000002</v>
      </c>
      <c r="N97">
        <v>44775.360000000001</v>
      </c>
      <c r="O97">
        <v>6421.52</v>
      </c>
    </row>
    <row r="98" spans="1:15" x14ac:dyDescent="0.35">
      <c r="A98">
        <v>299</v>
      </c>
      <c r="B98" s="13" t="s">
        <v>788</v>
      </c>
      <c r="C98" s="13" t="s">
        <v>789</v>
      </c>
      <c r="D98" s="13" t="s">
        <v>52</v>
      </c>
      <c r="E98" s="13" t="s">
        <v>53</v>
      </c>
      <c r="F98" s="13" t="s">
        <v>87</v>
      </c>
      <c r="G98">
        <v>15580.18</v>
      </c>
      <c r="H98">
        <v>1</v>
      </c>
      <c r="I98">
        <v>1</v>
      </c>
      <c r="J98">
        <v>0</v>
      </c>
      <c r="K98">
        <v>0</v>
      </c>
      <c r="L98">
        <v>90910.94</v>
      </c>
      <c r="M98">
        <v>19833.509999999998</v>
      </c>
      <c r="N98">
        <v>75330.759999999995</v>
      </c>
      <c r="O98">
        <v>15580.18</v>
      </c>
    </row>
  </sheetData>
  <phoneticPr fontId="6" type="noConversion"/>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874C2-8637-4FB4-89CD-D1DDAE83D0E7}">
  <dimension ref="A1:M1348"/>
  <sheetViews>
    <sheetView workbookViewId="0"/>
  </sheetViews>
  <sheetFormatPr defaultRowHeight="14.5" x14ac:dyDescent="0.35"/>
  <cols>
    <col min="1" max="1" width="12.1796875" bestFit="1" customWidth="1"/>
    <col min="2" max="2" width="13.08984375" bestFit="1" customWidth="1"/>
    <col min="3" max="3" width="37.1796875" bestFit="1" customWidth="1"/>
    <col min="4" max="4" width="9.81640625" bestFit="1" customWidth="1"/>
    <col min="5" max="5" width="16" bestFit="1" customWidth="1"/>
    <col min="6" max="6" width="15.7265625" bestFit="1" customWidth="1"/>
    <col min="7" max="7" width="18.453125" bestFit="1" customWidth="1"/>
    <col min="8" max="8" width="18" bestFit="1" customWidth="1"/>
    <col min="9" max="9" width="17.6328125" bestFit="1" customWidth="1"/>
    <col min="10" max="10" width="15.81640625" bestFit="1" customWidth="1"/>
    <col min="11" max="11" width="14.54296875" bestFit="1" customWidth="1"/>
    <col min="12" max="12" width="20" bestFit="1" customWidth="1"/>
    <col min="13" max="13" width="15.36328125" bestFit="1" customWidth="1"/>
  </cols>
  <sheetData>
    <row r="1" spans="1:13" s="3" customFormat="1" x14ac:dyDescent="0.35">
      <c r="A1" s="3" t="s">
        <v>3357</v>
      </c>
      <c r="B1" s="3" t="s">
        <v>19</v>
      </c>
      <c r="C1" s="3" t="s">
        <v>20</v>
      </c>
      <c r="D1" s="3" t="s">
        <v>24</v>
      </c>
      <c r="E1" s="3" t="s">
        <v>21</v>
      </c>
      <c r="F1" s="3" t="s">
        <v>27</v>
      </c>
      <c r="G1" s="3" t="s">
        <v>3358</v>
      </c>
      <c r="H1" s="3" t="s">
        <v>3359</v>
      </c>
      <c r="I1" s="3" t="s">
        <v>3360</v>
      </c>
      <c r="J1" s="3" t="s">
        <v>3361</v>
      </c>
      <c r="K1" s="3" t="s">
        <v>3362</v>
      </c>
      <c r="L1" s="3" t="s">
        <v>3363</v>
      </c>
      <c r="M1" s="3" t="s">
        <v>3364</v>
      </c>
    </row>
    <row r="2" spans="1:13" x14ac:dyDescent="0.35">
      <c r="A2" s="13" t="s">
        <v>3365</v>
      </c>
      <c r="B2" s="13" t="s">
        <v>317</v>
      </c>
      <c r="C2" s="13" t="s">
        <v>318</v>
      </c>
      <c r="D2" s="13" t="s">
        <v>67</v>
      </c>
      <c r="E2" s="13" t="s">
        <v>52</v>
      </c>
      <c r="F2" s="13" t="s">
        <v>57</v>
      </c>
      <c r="G2" s="14">
        <v>45645</v>
      </c>
      <c r="H2" s="14">
        <v>45656</v>
      </c>
      <c r="I2">
        <v>2690.92</v>
      </c>
      <c r="J2">
        <v>2949.84</v>
      </c>
      <c r="K2">
        <v>109.62</v>
      </c>
      <c r="L2">
        <v>366</v>
      </c>
      <c r="M2" s="13" t="s">
        <v>3366</v>
      </c>
    </row>
    <row r="3" spans="1:13" x14ac:dyDescent="0.35">
      <c r="A3" s="13" t="s">
        <v>3367</v>
      </c>
      <c r="B3" s="13" t="s">
        <v>474</v>
      </c>
      <c r="C3" s="13" t="s">
        <v>475</v>
      </c>
      <c r="D3" s="13" t="s">
        <v>67</v>
      </c>
      <c r="E3" s="13" t="s">
        <v>126</v>
      </c>
      <c r="F3" s="13" t="s">
        <v>57</v>
      </c>
      <c r="G3" s="14">
        <v>45645</v>
      </c>
      <c r="H3" s="14">
        <v>45657</v>
      </c>
      <c r="I3">
        <v>4226.28</v>
      </c>
      <c r="J3">
        <v>4444.45</v>
      </c>
      <c r="K3">
        <v>105.16</v>
      </c>
      <c r="L3">
        <v>365</v>
      </c>
      <c r="M3" s="13" t="s">
        <v>3366</v>
      </c>
    </row>
    <row r="4" spans="1:13" x14ac:dyDescent="0.35">
      <c r="A4" s="13" t="s">
        <v>3368</v>
      </c>
      <c r="B4" s="13" t="s">
        <v>153</v>
      </c>
      <c r="C4" s="13" t="s">
        <v>154</v>
      </c>
      <c r="D4" s="13" t="s">
        <v>67</v>
      </c>
      <c r="E4" s="13" t="s">
        <v>104</v>
      </c>
      <c r="F4" s="13" t="s">
        <v>57</v>
      </c>
      <c r="G4" s="14">
        <v>45645</v>
      </c>
      <c r="H4" s="14">
        <v>45658</v>
      </c>
      <c r="I4">
        <v>6023.5</v>
      </c>
      <c r="J4">
        <v>8479.0499999999993</v>
      </c>
      <c r="K4">
        <v>140.77000000000001</v>
      </c>
      <c r="L4">
        <v>364</v>
      </c>
      <c r="M4" s="13" t="s">
        <v>3366</v>
      </c>
    </row>
    <row r="5" spans="1:13" x14ac:dyDescent="0.35">
      <c r="A5" s="13" t="s">
        <v>3369</v>
      </c>
      <c r="B5" s="13" t="s">
        <v>2776</v>
      </c>
      <c r="C5" s="13" t="s">
        <v>2777</v>
      </c>
      <c r="D5" s="13" t="s">
        <v>55</v>
      </c>
      <c r="E5" s="13" t="s">
        <v>76</v>
      </c>
      <c r="F5" s="13" t="s">
        <v>94</v>
      </c>
      <c r="G5" s="14">
        <v>45652</v>
      </c>
      <c r="H5" s="14">
        <v>45658</v>
      </c>
      <c r="I5">
        <v>2651.47</v>
      </c>
      <c r="J5">
        <v>2788.42</v>
      </c>
      <c r="K5">
        <v>105.17</v>
      </c>
      <c r="L5">
        <v>364</v>
      </c>
      <c r="M5" s="13" t="s">
        <v>3366</v>
      </c>
    </row>
    <row r="6" spans="1:13" x14ac:dyDescent="0.35">
      <c r="A6" s="13" t="s">
        <v>3370</v>
      </c>
      <c r="B6" s="13" t="s">
        <v>1220</v>
      </c>
      <c r="C6" s="13" t="s">
        <v>1221</v>
      </c>
      <c r="D6" s="13" t="s">
        <v>67</v>
      </c>
      <c r="E6" s="13" t="s">
        <v>52</v>
      </c>
      <c r="F6" s="13" t="s">
        <v>87</v>
      </c>
      <c r="G6" s="14">
        <v>45653</v>
      </c>
      <c r="H6" s="14">
        <v>45658</v>
      </c>
      <c r="I6">
        <v>5566.96</v>
      </c>
      <c r="J6">
        <v>19043.810000000001</v>
      </c>
      <c r="K6">
        <v>342.09</v>
      </c>
      <c r="L6">
        <v>364</v>
      </c>
      <c r="M6" s="13" t="s">
        <v>3366</v>
      </c>
    </row>
    <row r="7" spans="1:13" x14ac:dyDescent="0.35">
      <c r="A7" s="13" t="s">
        <v>3371</v>
      </c>
      <c r="B7" s="13" t="s">
        <v>1957</v>
      </c>
      <c r="C7" s="13" t="s">
        <v>1958</v>
      </c>
      <c r="D7" s="13" t="s">
        <v>55</v>
      </c>
      <c r="E7" s="13" t="s">
        <v>76</v>
      </c>
      <c r="F7" s="13" t="s">
        <v>94</v>
      </c>
      <c r="G7" s="14">
        <v>45648</v>
      </c>
      <c r="H7" s="14">
        <v>45658</v>
      </c>
      <c r="I7">
        <v>3312.25</v>
      </c>
      <c r="J7">
        <v>4028.5</v>
      </c>
      <c r="K7">
        <v>121.62</v>
      </c>
      <c r="L7">
        <v>364</v>
      </c>
      <c r="M7" s="13" t="s">
        <v>3366</v>
      </c>
    </row>
    <row r="8" spans="1:13" x14ac:dyDescent="0.35">
      <c r="A8" s="13" t="s">
        <v>3372</v>
      </c>
      <c r="B8" s="13" t="s">
        <v>866</v>
      </c>
      <c r="C8" s="13" t="s">
        <v>867</v>
      </c>
      <c r="D8" s="13" t="s">
        <v>55</v>
      </c>
      <c r="E8" s="13" t="s">
        <v>104</v>
      </c>
      <c r="F8" s="13" t="s">
        <v>106</v>
      </c>
      <c r="G8" s="14">
        <v>45654</v>
      </c>
      <c r="H8" s="14">
        <v>45658</v>
      </c>
      <c r="I8">
        <v>536.54</v>
      </c>
      <c r="J8">
        <v>585.64</v>
      </c>
      <c r="K8">
        <v>109.15</v>
      </c>
      <c r="L8">
        <v>364</v>
      </c>
      <c r="M8" s="13" t="s">
        <v>3366</v>
      </c>
    </row>
    <row r="9" spans="1:13" x14ac:dyDescent="0.35">
      <c r="A9" s="13" t="s">
        <v>3373</v>
      </c>
      <c r="B9" s="13" t="s">
        <v>1397</v>
      </c>
      <c r="C9" s="13" t="s">
        <v>1398</v>
      </c>
      <c r="D9" s="13" t="s">
        <v>55</v>
      </c>
      <c r="E9" s="13" t="s">
        <v>76</v>
      </c>
      <c r="F9" s="13" t="s">
        <v>80</v>
      </c>
      <c r="G9" s="14">
        <v>45647</v>
      </c>
      <c r="H9" s="14">
        <v>45659</v>
      </c>
      <c r="I9">
        <v>1779.21</v>
      </c>
      <c r="J9">
        <v>7224.06</v>
      </c>
      <c r="K9">
        <v>406.03</v>
      </c>
      <c r="L9">
        <v>363</v>
      </c>
      <c r="M9" s="13" t="s">
        <v>3366</v>
      </c>
    </row>
    <row r="10" spans="1:13" x14ac:dyDescent="0.35">
      <c r="A10" s="13" t="s">
        <v>3374</v>
      </c>
      <c r="B10" s="13" t="s">
        <v>203</v>
      </c>
      <c r="C10" s="13" t="s">
        <v>204</v>
      </c>
      <c r="D10" s="13" t="s">
        <v>67</v>
      </c>
      <c r="E10" s="13" t="s">
        <v>52</v>
      </c>
      <c r="F10" s="13" t="s">
        <v>57</v>
      </c>
      <c r="G10" s="14">
        <v>45655</v>
      </c>
      <c r="H10" s="14">
        <v>45659</v>
      </c>
      <c r="I10">
        <v>2494.7199999999998</v>
      </c>
      <c r="J10">
        <v>4910.9399999999996</v>
      </c>
      <c r="K10">
        <v>196.85</v>
      </c>
      <c r="L10">
        <v>363</v>
      </c>
      <c r="M10" s="13" t="s">
        <v>3366</v>
      </c>
    </row>
    <row r="11" spans="1:13" x14ac:dyDescent="0.35">
      <c r="A11" s="13" t="s">
        <v>3375</v>
      </c>
      <c r="B11" s="13" t="s">
        <v>555</v>
      </c>
      <c r="C11" s="13" t="s">
        <v>556</v>
      </c>
      <c r="D11" s="13" t="s">
        <v>55</v>
      </c>
      <c r="E11" s="13" t="s">
        <v>104</v>
      </c>
      <c r="F11" s="13" t="s">
        <v>122</v>
      </c>
      <c r="G11" s="14">
        <v>45652</v>
      </c>
      <c r="H11" s="14">
        <v>45659</v>
      </c>
      <c r="I11">
        <v>2605.37</v>
      </c>
      <c r="J11">
        <v>3971.67</v>
      </c>
      <c r="K11">
        <v>152.44</v>
      </c>
      <c r="L11">
        <v>363</v>
      </c>
      <c r="M11" s="13" t="s">
        <v>3366</v>
      </c>
    </row>
    <row r="12" spans="1:13" x14ac:dyDescent="0.35">
      <c r="A12" s="13" t="s">
        <v>3376</v>
      </c>
      <c r="B12" s="13" t="s">
        <v>177</v>
      </c>
      <c r="C12" s="13" t="s">
        <v>178</v>
      </c>
      <c r="D12" s="13" t="s">
        <v>67</v>
      </c>
      <c r="E12" s="13" t="s">
        <v>52</v>
      </c>
      <c r="F12" s="13" t="s">
        <v>57</v>
      </c>
      <c r="G12" s="14">
        <v>45652</v>
      </c>
      <c r="H12" s="14">
        <v>45659</v>
      </c>
      <c r="I12">
        <v>3964.06</v>
      </c>
      <c r="J12">
        <v>4270.7</v>
      </c>
      <c r="K12">
        <v>107.74</v>
      </c>
      <c r="L12">
        <v>363</v>
      </c>
      <c r="M12" s="13" t="s">
        <v>3366</v>
      </c>
    </row>
    <row r="13" spans="1:13" x14ac:dyDescent="0.35">
      <c r="A13" s="13" t="s">
        <v>3377</v>
      </c>
      <c r="B13" s="13" t="s">
        <v>50</v>
      </c>
      <c r="C13" s="13" t="s">
        <v>51</v>
      </c>
      <c r="D13" s="13" t="s">
        <v>55</v>
      </c>
      <c r="E13" s="13" t="s">
        <v>52</v>
      </c>
      <c r="F13" s="13" t="s">
        <v>57</v>
      </c>
      <c r="G13" s="14">
        <v>45655</v>
      </c>
      <c r="H13" s="14">
        <v>45660</v>
      </c>
      <c r="I13">
        <v>8980.69</v>
      </c>
      <c r="J13">
        <v>9719.34</v>
      </c>
      <c r="K13">
        <v>108.22</v>
      </c>
      <c r="L13">
        <v>362</v>
      </c>
      <c r="M13" s="13" t="s">
        <v>3366</v>
      </c>
    </row>
    <row r="14" spans="1:13" x14ac:dyDescent="0.35">
      <c r="A14" s="13" t="s">
        <v>3378</v>
      </c>
      <c r="B14" s="13" t="s">
        <v>244</v>
      </c>
      <c r="C14" s="13" t="s">
        <v>245</v>
      </c>
      <c r="D14" s="13" t="s">
        <v>55</v>
      </c>
      <c r="E14" s="13" t="s">
        <v>52</v>
      </c>
      <c r="F14" s="13" t="s">
        <v>87</v>
      </c>
      <c r="G14" s="14">
        <v>45649</v>
      </c>
      <c r="H14" s="14">
        <v>45660</v>
      </c>
      <c r="I14">
        <v>1860.14</v>
      </c>
      <c r="J14">
        <v>1961.09</v>
      </c>
      <c r="K14">
        <v>105.43</v>
      </c>
      <c r="L14">
        <v>362</v>
      </c>
      <c r="M14" s="13" t="s">
        <v>3366</v>
      </c>
    </row>
    <row r="15" spans="1:13" x14ac:dyDescent="0.35">
      <c r="A15" s="13" t="s">
        <v>3379</v>
      </c>
      <c r="B15" s="13" t="s">
        <v>434</v>
      </c>
      <c r="C15" s="13" t="s">
        <v>435</v>
      </c>
      <c r="D15" s="13" t="s">
        <v>55</v>
      </c>
      <c r="E15" s="13" t="s">
        <v>52</v>
      </c>
      <c r="F15" s="13" t="s">
        <v>57</v>
      </c>
      <c r="G15" s="14">
        <v>45656</v>
      </c>
      <c r="H15" s="14">
        <v>45660</v>
      </c>
      <c r="I15">
        <v>3715.91</v>
      </c>
      <c r="J15">
        <v>13505.39</v>
      </c>
      <c r="K15">
        <v>363.45</v>
      </c>
      <c r="L15">
        <v>362</v>
      </c>
      <c r="M15" s="13" t="s">
        <v>3366</v>
      </c>
    </row>
    <row r="16" spans="1:13" x14ac:dyDescent="0.35">
      <c r="A16" s="13" t="s">
        <v>3380</v>
      </c>
      <c r="B16" s="13" t="s">
        <v>141</v>
      </c>
      <c r="C16" s="13" t="s">
        <v>142</v>
      </c>
      <c r="D16" s="13" t="s">
        <v>67</v>
      </c>
      <c r="E16" s="13" t="s">
        <v>76</v>
      </c>
      <c r="F16" s="13" t="s">
        <v>94</v>
      </c>
      <c r="G16" s="14">
        <v>45654</v>
      </c>
      <c r="H16" s="14">
        <v>45661</v>
      </c>
      <c r="I16">
        <v>2589.98</v>
      </c>
      <c r="J16">
        <v>2730.61</v>
      </c>
      <c r="K16">
        <v>105.43</v>
      </c>
      <c r="L16">
        <v>361</v>
      </c>
      <c r="M16" s="13" t="s">
        <v>3366</v>
      </c>
    </row>
    <row r="17" spans="1:13" x14ac:dyDescent="0.35">
      <c r="A17" s="13" t="s">
        <v>3381</v>
      </c>
      <c r="B17" s="13" t="s">
        <v>144</v>
      </c>
      <c r="C17" s="13" t="s">
        <v>145</v>
      </c>
      <c r="D17" s="13" t="s">
        <v>55</v>
      </c>
      <c r="E17" s="13" t="s">
        <v>52</v>
      </c>
      <c r="F17" s="13" t="s">
        <v>57</v>
      </c>
      <c r="G17" s="14">
        <v>45654</v>
      </c>
      <c r="H17" s="14">
        <v>45661</v>
      </c>
      <c r="I17">
        <v>1692.05</v>
      </c>
      <c r="J17">
        <v>10950.29</v>
      </c>
      <c r="K17">
        <v>647.16</v>
      </c>
      <c r="L17">
        <v>361</v>
      </c>
      <c r="M17" s="13" t="s">
        <v>3366</v>
      </c>
    </row>
    <row r="18" spans="1:13" x14ac:dyDescent="0.35">
      <c r="A18" s="13" t="s">
        <v>3382</v>
      </c>
      <c r="B18" s="13" t="s">
        <v>144</v>
      </c>
      <c r="C18" s="13" t="s">
        <v>145</v>
      </c>
      <c r="D18" s="13" t="s">
        <v>55</v>
      </c>
      <c r="E18" s="13" t="s">
        <v>52</v>
      </c>
      <c r="F18" s="13" t="s">
        <v>57</v>
      </c>
      <c r="G18" s="14">
        <v>45650</v>
      </c>
      <c r="H18" s="14">
        <v>45661</v>
      </c>
      <c r="I18">
        <v>6972.1</v>
      </c>
      <c r="J18">
        <v>10950.29</v>
      </c>
      <c r="K18">
        <v>157.06</v>
      </c>
      <c r="L18">
        <v>361</v>
      </c>
      <c r="M18" s="13" t="s">
        <v>3366</v>
      </c>
    </row>
    <row r="19" spans="1:13" x14ac:dyDescent="0.35">
      <c r="A19" s="13" t="s">
        <v>3383</v>
      </c>
      <c r="B19" s="13" t="s">
        <v>949</v>
      </c>
      <c r="C19" s="13" t="s">
        <v>950</v>
      </c>
      <c r="D19" s="13" t="s">
        <v>67</v>
      </c>
      <c r="E19" s="13" t="s">
        <v>52</v>
      </c>
      <c r="F19" s="13" t="s">
        <v>57</v>
      </c>
      <c r="G19" s="14">
        <v>45658</v>
      </c>
      <c r="H19" s="14">
        <v>45662</v>
      </c>
      <c r="I19">
        <v>7583.87</v>
      </c>
      <c r="J19">
        <v>10378.07</v>
      </c>
      <c r="K19">
        <v>136.84</v>
      </c>
      <c r="L19">
        <v>360</v>
      </c>
      <c r="M19" s="13" t="s">
        <v>3366</v>
      </c>
    </row>
    <row r="20" spans="1:13" x14ac:dyDescent="0.35">
      <c r="A20" s="13" t="s">
        <v>3384</v>
      </c>
      <c r="B20" s="13" t="s">
        <v>1826</v>
      </c>
      <c r="C20" s="13" t="s">
        <v>1827</v>
      </c>
      <c r="D20" s="13" t="s">
        <v>67</v>
      </c>
      <c r="E20" s="13" t="s">
        <v>104</v>
      </c>
      <c r="F20" s="13" t="s">
        <v>122</v>
      </c>
      <c r="G20" s="14">
        <v>45658</v>
      </c>
      <c r="H20" s="14">
        <v>45662</v>
      </c>
      <c r="I20">
        <v>2787.46</v>
      </c>
      <c r="J20">
        <v>3003.32</v>
      </c>
      <c r="K20">
        <v>107.74</v>
      </c>
      <c r="L20">
        <v>360</v>
      </c>
      <c r="M20" s="13" t="s">
        <v>3366</v>
      </c>
    </row>
    <row r="21" spans="1:13" x14ac:dyDescent="0.35">
      <c r="A21" s="13" t="s">
        <v>3385</v>
      </c>
      <c r="B21" s="13" t="s">
        <v>834</v>
      </c>
      <c r="C21" s="13" t="s">
        <v>835</v>
      </c>
      <c r="D21" s="13" t="s">
        <v>67</v>
      </c>
      <c r="E21" s="13" t="s">
        <v>104</v>
      </c>
      <c r="F21" s="13" t="s">
        <v>106</v>
      </c>
      <c r="G21" s="14">
        <v>45656</v>
      </c>
      <c r="H21" s="14">
        <v>45663</v>
      </c>
      <c r="I21">
        <v>948.3</v>
      </c>
      <c r="J21">
        <v>953.85</v>
      </c>
      <c r="K21">
        <v>100.59</v>
      </c>
      <c r="L21">
        <v>359</v>
      </c>
      <c r="M21" s="13" t="s">
        <v>3366</v>
      </c>
    </row>
    <row r="22" spans="1:13" x14ac:dyDescent="0.35">
      <c r="A22" s="13" t="s">
        <v>3386</v>
      </c>
      <c r="B22" s="13" t="s">
        <v>1227</v>
      </c>
      <c r="C22" s="13" t="s">
        <v>1228</v>
      </c>
      <c r="D22" s="13" t="s">
        <v>55</v>
      </c>
      <c r="E22" s="13" t="s">
        <v>76</v>
      </c>
      <c r="F22" s="13" t="s">
        <v>94</v>
      </c>
      <c r="G22" s="14">
        <v>45655</v>
      </c>
      <c r="H22" s="14">
        <v>45664</v>
      </c>
      <c r="I22">
        <v>917.68</v>
      </c>
      <c r="J22">
        <v>1444.32</v>
      </c>
      <c r="K22">
        <v>157.38999999999999</v>
      </c>
      <c r="L22">
        <v>358</v>
      </c>
      <c r="M22" s="13" t="s">
        <v>3366</v>
      </c>
    </row>
    <row r="23" spans="1:13" x14ac:dyDescent="0.35">
      <c r="A23" s="13" t="s">
        <v>3387</v>
      </c>
      <c r="B23" s="13" t="s">
        <v>730</v>
      </c>
      <c r="C23" s="13" t="s">
        <v>731</v>
      </c>
      <c r="D23" s="13" t="s">
        <v>67</v>
      </c>
      <c r="E23" s="13" t="s">
        <v>126</v>
      </c>
      <c r="F23" s="13" t="s">
        <v>106</v>
      </c>
      <c r="G23" s="14">
        <v>45654</v>
      </c>
      <c r="H23" s="14">
        <v>45665</v>
      </c>
      <c r="I23">
        <v>1256.27</v>
      </c>
      <c r="J23">
        <v>2629.26</v>
      </c>
      <c r="K23">
        <v>209.29</v>
      </c>
      <c r="L23">
        <v>357</v>
      </c>
      <c r="M23" s="13" t="s">
        <v>3366</v>
      </c>
    </row>
    <row r="24" spans="1:13" x14ac:dyDescent="0.35">
      <c r="A24" s="13" t="s">
        <v>3388</v>
      </c>
      <c r="B24" s="13" t="s">
        <v>2937</v>
      </c>
      <c r="C24" s="13" t="s">
        <v>2938</v>
      </c>
      <c r="D24" s="13" t="s">
        <v>67</v>
      </c>
      <c r="E24" s="13" t="s">
        <v>76</v>
      </c>
      <c r="F24" s="13" t="s">
        <v>94</v>
      </c>
      <c r="G24" s="14">
        <v>45659</v>
      </c>
      <c r="H24" s="14">
        <v>45665</v>
      </c>
      <c r="I24">
        <v>2100.1799999999998</v>
      </c>
      <c r="J24">
        <v>2657.39</v>
      </c>
      <c r="K24">
        <v>126.53</v>
      </c>
      <c r="L24">
        <v>357</v>
      </c>
      <c r="M24" s="13" t="s">
        <v>3366</v>
      </c>
    </row>
    <row r="25" spans="1:13" x14ac:dyDescent="0.35">
      <c r="A25" s="13" t="s">
        <v>3389</v>
      </c>
      <c r="B25" s="13" t="s">
        <v>1785</v>
      </c>
      <c r="C25" s="13" t="s">
        <v>1786</v>
      </c>
      <c r="D25" s="13" t="s">
        <v>67</v>
      </c>
      <c r="E25" s="13" t="s">
        <v>104</v>
      </c>
      <c r="F25" s="13" t="s">
        <v>122</v>
      </c>
      <c r="G25" s="14">
        <v>45661</v>
      </c>
      <c r="H25" s="14">
        <v>45665</v>
      </c>
      <c r="I25">
        <v>5648.84</v>
      </c>
      <c r="J25">
        <v>5763.67</v>
      </c>
      <c r="K25">
        <v>102.03</v>
      </c>
      <c r="L25">
        <v>357</v>
      </c>
      <c r="M25" s="13" t="s">
        <v>3366</v>
      </c>
    </row>
    <row r="26" spans="1:13" x14ac:dyDescent="0.35">
      <c r="A26" s="13" t="s">
        <v>3390</v>
      </c>
      <c r="B26" s="13" t="s">
        <v>84</v>
      </c>
      <c r="C26" s="13" t="s">
        <v>85</v>
      </c>
      <c r="D26" s="13" t="s">
        <v>67</v>
      </c>
      <c r="E26" s="13" t="s">
        <v>52</v>
      </c>
      <c r="F26" s="13" t="s">
        <v>87</v>
      </c>
      <c r="G26" s="14">
        <v>45658</v>
      </c>
      <c r="H26" s="14">
        <v>45665</v>
      </c>
      <c r="I26">
        <v>3092.23</v>
      </c>
      <c r="J26">
        <v>21112.27</v>
      </c>
      <c r="K26">
        <v>682.75</v>
      </c>
      <c r="L26">
        <v>357</v>
      </c>
      <c r="M26" s="13" t="s">
        <v>3366</v>
      </c>
    </row>
    <row r="27" spans="1:13" x14ac:dyDescent="0.35">
      <c r="A27" s="13" t="s">
        <v>3391</v>
      </c>
      <c r="B27" s="13" t="s">
        <v>309</v>
      </c>
      <c r="C27" s="13" t="s">
        <v>310</v>
      </c>
      <c r="D27" s="13" t="s">
        <v>67</v>
      </c>
      <c r="E27" s="13" t="s">
        <v>104</v>
      </c>
      <c r="F27" s="13" t="s">
        <v>122</v>
      </c>
      <c r="G27" s="14">
        <v>45654</v>
      </c>
      <c r="H27" s="14">
        <v>45666</v>
      </c>
      <c r="I27">
        <v>867.88</v>
      </c>
      <c r="J27">
        <v>2388.16</v>
      </c>
      <c r="K27">
        <v>275.17</v>
      </c>
      <c r="L27">
        <v>356</v>
      </c>
      <c r="M27" s="13" t="s">
        <v>3366</v>
      </c>
    </row>
    <row r="28" spans="1:13" x14ac:dyDescent="0.35">
      <c r="A28" s="13" t="s">
        <v>3392</v>
      </c>
      <c r="B28" s="13" t="s">
        <v>1430</v>
      </c>
      <c r="C28" s="13" t="s">
        <v>1431</v>
      </c>
      <c r="D28" s="13" t="s">
        <v>55</v>
      </c>
      <c r="E28" s="13" t="s">
        <v>76</v>
      </c>
      <c r="F28" s="13" t="s">
        <v>94</v>
      </c>
      <c r="G28" s="14">
        <v>45652</v>
      </c>
      <c r="H28" s="14">
        <v>45666</v>
      </c>
      <c r="I28">
        <v>986.08</v>
      </c>
      <c r="J28">
        <v>1880.88</v>
      </c>
      <c r="K28">
        <v>190.74</v>
      </c>
      <c r="L28">
        <v>356</v>
      </c>
      <c r="M28" s="13" t="s">
        <v>3366</v>
      </c>
    </row>
    <row r="29" spans="1:13" x14ac:dyDescent="0.35">
      <c r="A29" s="13" t="s">
        <v>3393</v>
      </c>
      <c r="B29" s="13" t="s">
        <v>994</v>
      </c>
      <c r="C29" s="13" t="s">
        <v>995</v>
      </c>
      <c r="D29" s="13" t="s">
        <v>67</v>
      </c>
      <c r="E29" s="13" t="s">
        <v>52</v>
      </c>
      <c r="F29" s="13" t="s">
        <v>87</v>
      </c>
      <c r="G29" s="14">
        <v>45661</v>
      </c>
      <c r="H29" s="14">
        <v>45666</v>
      </c>
      <c r="I29">
        <v>1560.19</v>
      </c>
      <c r="J29">
        <v>1667.15</v>
      </c>
      <c r="K29">
        <v>106.86</v>
      </c>
      <c r="L29">
        <v>356</v>
      </c>
      <c r="M29" s="13" t="s">
        <v>3366</v>
      </c>
    </row>
    <row r="30" spans="1:13" x14ac:dyDescent="0.35">
      <c r="A30" s="13" t="s">
        <v>3394</v>
      </c>
      <c r="B30" s="13" t="s">
        <v>949</v>
      </c>
      <c r="C30" s="13" t="s">
        <v>950</v>
      </c>
      <c r="D30" s="13" t="s">
        <v>67</v>
      </c>
      <c r="E30" s="13" t="s">
        <v>52</v>
      </c>
      <c r="F30" s="13" t="s">
        <v>57</v>
      </c>
      <c r="G30" s="14">
        <v>45658</v>
      </c>
      <c r="H30" s="14">
        <v>45666</v>
      </c>
      <c r="I30">
        <v>6274.01</v>
      </c>
      <c r="J30">
        <v>6474.49</v>
      </c>
      <c r="K30">
        <v>103.2</v>
      </c>
      <c r="L30">
        <v>356</v>
      </c>
      <c r="M30" s="13" t="s">
        <v>3366</v>
      </c>
    </row>
    <row r="31" spans="1:13" x14ac:dyDescent="0.35">
      <c r="A31" s="13" t="s">
        <v>3395</v>
      </c>
      <c r="B31" s="13" t="s">
        <v>3396</v>
      </c>
      <c r="C31" s="13" t="s">
        <v>3397</v>
      </c>
      <c r="D31" s="13" t="s">
        <v>92</v>
      </c>
      <c r="E31" s="13" t="s">
        <v>104</v>
      </c>
      <c r="F31" s="13" t="s">
        <v>122</v>
      </c>
      <c r="G31" s="14">
        <v>45658</v>
      </c>
      <c r="H31" s="14">
        <v>45666</v>
      </c>
      <c r="I31">
        <v>1283.8499999999999</v>
      </c>
      <c r="J31">
        <v>1321.56</v>
      </c>
      <c r="K31">
        <v>102.94</v>
      </c>
      <c r="L31">
        <v>356</v>
      </c>
      <c r="M31" s="13" t="s">
        <v>3366</v>
      </c>
    </row>
    <row r="32" spans="1:13" x14ac:dyDescent="0.35">
      <c r="A32" s="13" t="s">
        <v>3398</v>
      </c>
      <c r="B32" s="13" t="s">
        <v>866</v>
      </c>
      <c r="C32" s="13" t="s">
        <v>867</v>
      </c>
      <c r="D32" s="13" t="s">
        <v>55</v>
      </c>
      <c r="E32" s="13" t="s">
        <v>104</v>
      </c>
      <c r="F32" s="13" t="s">
        <v>106</v>
      </c>
      <c r="G32" s="14">
        <v>45665</v>
      </c>
      <c r="H32" s="14">
        <v>45667</v>
      </c>
      <c r="I32">
        <v>2014</v>
      </c>
      <c r="J32">
        <v>7463.6</v>
      </c>
      <c r="K32">
        <v>370.59</v>
      </c>
      <c r="L32">
        <v>355</v>
      </c>
      <c r="M32" s="13" t="s">
        <v>3366</v>
      </c>
    </row>
    <row r="33" spans="1:13" x14ac:dyDescent="0.35">
      <c r="A33" s="13" t="s">
        <v>3399</v>
      </c>
      <c r="B33" s="13" t="s">
        <v>422</v>
      </c>
      <c r="C33" s="13" t="s">
        <v>423</v>
      </c>
      <c r="D33" s="13" t="s">
        <v>67</v>
      </c>
      <c r="E33" s="13" t="s">
        <v>126</v>
      </c>
      <c r="F33" s="13" t="s">
        <v>106</v>
      </c>
      <c r="G33" s="14">
        <v>45663</v>
      </c>
      <c r="H33" s="14">
        <v>45668</v>
      </c>
      <c r="I33">
        <v>1113.3800000000001</v>
      </c>
      <c r="J33">
        <v>3214.07</v>
      </c>
      <c r="K33">
        <v>288.68</v>
      </c>
      <c r="L33">
        <v>354</v>
      </c>
      <c r="M33" s="13" t="s">
        <v>3366</v>
      </c>
    </row>
    <row r="34" spans="1:13" x14ac:dyDescent="0.35">
      <c r="A34" s="13" t="s">
        <v>3400</v>
      </c>
      <c r="B34" s="13" t="s">
        <v>263</v>
      </c>
      <c r="C34" s="13" t="s">
        <v>264</v>
      </c>
      <c r="D34" s="13" t="s">
        <v>55</v>
      </c>
      <c r="E34" s="13" t="s">
        <v>52</v>
      </c>
      <c r="F34" s="13" t="s">
        <v>87</v>
      </c>
      <c r="G34" s="14">
        <v>45662</v>
      </c>
      <c r="H34" s="14">
        <v>45668</v>
      </c>
      <c r="I34">
        <v>13313.11</v>
      </c>
      <c r="J34">
        <v>16869.23</v>
      </c>
      <c r="K34">
        <v>126.71</v>
      </c>
      <c r="L34">
        <v>354</v>
      </c>
      <c r="M34" s="13" t="s">
        <v>3366</v>
      </c>
    </row>
    <row r="35" spans="1:13" x14ac:dyDescent="0.35">
      <c r="A35" s="13" t="s">
        <v>3401</v>
      </c>
      <c r="B35" s="13" t="s">
        <v>50</v>
      </c>
      <c r="C35" s="13" t="s">
        <v>51</v>
      </c>
      <c r="D35" s="13" t="s">
        <v>55</v>
      </c>
      <c r="E35" s="13" t="s">
        <v>52</v>
      </c>
      <c r="F35" s="13" t="s">
        <v>57</v>
      </c>
      <c r="G35" s="14">
        <v>45658</v>
      </c>
      <c r="H35" s="14">
        <v>45669</v>
      </c>
      <c r="I35">
        <v>2506.77</v>
      </c>
      <c r="J35">
        <v>3856.68</v>
      </c>
      <c r="K35">
        <v>153.85</v>
      </c>
      <c r="L35">
        <v>353</v>
      </c>
      <c r="M35" s="13" t="s">
        <v>3366</v>
      </c>
    </row>
    <row r="36" spans="1:13" x14ac:dyDescent="0.35">
      <c r="A36" s="13" t="s">
        <v>3402</v>
      </c>
      <c r="B36" s="13" t="s">
        <v>862</v>
      </c>
      <c r="C36" s="13" t="s">
        <v>863</v>
      </c>
      <c r="D36" s="13" t="s">
        <v>67</v>
      </c>
      <c r="E36" s="13" t="s">
        <v>126</v>
      </c>
      <c r="F36" s="13" t="s">
        <v>106</v>
      </c>
      <c r="G36" s="14">
        <v>45665</v>
      </c>
      <c r="H36" s="14">
        <v>45669</v>
      </c>
      <c r="I36">
        <v>6947.98</v>
      </c>
      <c r="J36">
        <v>7118.29</v>
      </c>
      <c r="K36">
        <v>102.45</v>
      </c>
      <c r="L36">
        <v>353</v>
      </c>
      <c r="M36" s="13" t="s">
        <v>3366</v>
      </c>
    </row>
    <row r="37" spans="1:13" x14ac:dyDescent="0.35">
      <c r="A37" s="13" t="s">
        <v>3403</v>
      </c>
      <c r="B37" s="13" t="s">
        <v>312</v>
      </c>
      <c r="C37" s="13" t="s">
        <v>313</v>
      </c>
      <c r="D37" s="13" t="s">
        <v>55</v>
      </c>
      <c r="E37" s="13" t="s">
        <v>52</v>
      </c>
      <c r="F37" s="13" t="s">
        <v>57</v>
      </c>
      <c r="G37" s="14">
        <v>45660</v>
      </c>
      <c r="H37" s="14">
        <v>45669</v>
      </c>
      <c r="I37">
        <v>16161.83</v>
      </c>
      <c r="J37">
        <v>16395.09</v>
      </c>
      <c r="K37">
        <v>101.44</v>
      </c>
      <c r="L37">
        <v>353</v>
      </c>
      <c r="M37" s="13" t="s">
        <v>3366</v>
      </c>
    </row>
    <row r="38" spans="1:13" x14ac:dyDescent="0.35">
      <c r="A38" s="13" t="s">
        <v>3404</v>
      </c>
      <c r="B38" s="13" t="s">
        <v>2642</v>
      </c>
      <c r="C38" s="13" t="s">
        <v>2643</v>
      </c>
      <c r="D38" s="13" t="s">
        <v>92</v>
      </c>
      <c r="E38" s="13" t="s">
        <v>76</v>
      </c>
      <c r="F38" s="13" t="s">
        <v>94</v>
      </c>
      <c r="G38" s="14">
        <v>45663</v>
      </c>
      <c r="H38" s="14">
        <v>45669</v>
      </c>
      <c r="I38">
        <v>1896.2</v>
      </c>
      <c r="J38">
        <v>1955.74</v>
      </c>
      <c r="K38">
        <v>103.14</v>
      </c>
      <c r="L38">
        <v>353</v>
      </c>
      <c r="M38" s="13" t="s">
        <v>3366</v>
      </c>
    </row>
    <row r="39" spans="1:13" x14ac:dyDescent="0.35">
      <c r="A39" s="13" t="s">
        <v>3405</v>
      </c>
      <c r="B39" s="13" t="s">
        <v>596</v>
      </c>
      <c r="C39" s="13" t="s">
        <v>597</v>
      </c>
      <c r="D39" s="13" t="s">
        <v>67</v>
      </c>
      <c r="E39" s="13" t="s">
        <v>126</v>
      </c>
      <c r="F39" s="13" t="s">
        <v>57</v>
      </c>
      <c r="G39" s="14">
        <v>45656</v>
      </c>
      <c r="H39" s="14">
        <v>45669</v>
      </c>
      <c r="I39">
        <v>1088.23</v>
      </c>
      <c r="J39">
        <v>1134.75</v>
      </c>
      <c r="K39">
        <v>104.27</v>
      </c>
      <c r="L39">
        <v>353</v>
      </c>
      <c r="M39" s="13" t="s">
        <v>3366</v>
      </c>
    </row>
    <row r="40" spans="1:13" x14ac:dyDescent="0.35">
      <c r="A40" s="13" t="s">
        <v>3406</v>
      </c>
      <c r="B40" s="13" t="s">
        <v>2138</v>
      </c>
      <c r="C40" s="13" t="s">
        <v>2139</v>
      </c>
      <c r="D40" s="13" t="s">
        <v>55</v>
      </c>
      <c r="E40" s="13" t="s">
        <v>76</v>
      </c>
      <c r="F40" s="13" t="s">
        <v>80</v>
      </c>
      <c r="G40" s="14">
        <v>45661</v>
      </c>
      <c r="H40" s="14">
        <v>45670</v>
      </c>
      <c r="I40">
        <v>4608.33</v>
      </c>
      <c r="J40">
        <v>4716.17</v>
      </c>
      <c r="K40">
        <v>102.34</v>
      </c>
      <c r="L40">
        <v>352</v>
      </c>
      <c r="M40" s="13" t="s">
        <v>3366</v>
      </c>
    </row>
    <row r="41" spans="1:13" x14ac:dyDescent="0.35">
      <c r="A41" s="13" t="s">
        <v>3407</v>
      </c>
      <c r="B41" s="13" t="s">
        <v>1097</v>
      </c>
      <c r="C41" s="13" t="s">
        <v>1098</v>
      </c>
      <c r="D41" s="13" t="s">
        <v>67</v>
      </c>
      <c r="E41" s="13" t="s">
        <v>52</v>
      </c>
      <c r="F41" s="13" t="s">
        <v>87</v>
      </c>
      <c r="G41" s="14">
        <v>45659</v>
      </c>
      <c r="H41" s="14">
        <v>45670</v>
      </c>
      <c r="I41">
        <v>11887.51</v>
      </c>
      <c r="J41">
        <v>19261.21</v>
      </c>
      <c r="K41">
        <v>162.03</v>
      </c>
      <c r="L41">
        <v>352</v>
      </c>
      <c r="M41" s="13" t="s">
        <v>3366</v>
      </c>
    </row>
    <row r="42" spans="1:13" x14ac:dyDescent="0.35">
      <c r="A42" s="13" t="s">
        <v>3408</v>
      </c>
      <c r="B42" s="13" t="s">
        <v>2171</v>
      </c>
      <c r="C42" s="13" t="s">
        <v>2172</v>
      </c>
      <c r="D42" s="13" t="s">
        <v>55</v>
      </c>
      <c r="E42" s="13" t="s">
        <v>76</v>
      </c>
      <c r="F42" s="13" t="s">
        <v>94</v>
      </c>
      <c r="G42" s="14">
        <v>45660</v>
      </c>
      <c r="H42" s="14">
        <v>45670</v>
      </c>
      <c r="I42">
        <v>3851.84</v>
      </c>
      <c r="J42">
        <v>8432.67</v>
      </c>
      <c r="K42">
        <v>218.93</v>
      </c>
      <c r="L42">
        <v>352</v>
      </c>
      <c r="M42" s="13" t="s">
        <v>3366</v>
      </c>
    </row>
    <row r="43" spans="1:13" x14ac:dyDescent="0.35">
      <c r="A43" s="13" t="s">
        <v>3409</v>
      </c>
      <c r="B43" s="13" t="s">
        <v>673</v>
      </c>
      <c r="C43" s="13" t="s">
        <v>674</v>
      </c>
      <c r="D43" s="13" t="s">
        <v>67</v>
      </c>
      <c r="E43" s="13" t="s">
        <v>52</v>
      </c>
      <c r="F43" s="13" t="s">
        <v>87</v>
      </c>
      <c r="G43" s="14">
        <v>45667</v>
      </c>
      <c r="H43" s="14">
        <v>45671</v>
      </c>
      <c r="I43">
        <v>3211.41</v>
      </c>
      <c r="J43">
        <v>3566.64</v>
      </c>
      <c r="K43">
        <v>111.06</v>
      </c>
      <c r="L43">
        <v>351</v>
      </c>
      <c r="M43" s="13" t="s">
        <v>3366</v>
      </c>
    </row>
    <row r="44" spans="1:13" x14ac:dyDescent="0.35">
      <c r="A44" s="13" t="s">
        <v>3410</v>
      </c>
      <c r="B44" s="13" t="s">
        <v>2171</v>
      </c>
      <c r="C44" s="13" t="s">
        <v>2172</v>
      </c>
      <c r="D44" s="13" t="s">
        <v>55</v>
      </c>
      <c r="E44" s="13" t="s">
        <v>76</v>
      </c>
      <c r="F44" s="13" t="s">
        <v>94</v>
      </c>
      <c r="G44" s="14">
        <v>45664</v>
      </c>
      <c r="H44" s="14">
        <v>45672</v>
      </c>
      <c r="I44">
        <v>3954.66</v>
      </c>
      <c r="J44">
        <v>8432.67</v>
      </c>
      <c r="K44">
        <v>213.23</v>
      </c>
      <c r="L44">
        <v>350</v>
      </c>
      <c r="M44" s="13" t="s">
        <v>3366</v>
      </c>
    </row>
    <row r="45" spans="1:13" x14ac:dyDescent="0.35">
      <c r="A45" s="13" t="s">
        <v>3411</v>
      </c>
      <c r="B45" s="13" t="s">
        <v>1247</v>
      </c>
      <c r="C45" s="13" t="s">
        <v>1248</v>
      </c>
      <c r="D45" s="13" t="s">
        <v>55</v>
      </c>
      <c r="E45" s="13" t="s">
        <v>52</v>
      </c>
      <c r="F45" s="13" t="s">
        <v>57</v>
      </c>
      <c r="G45" s="14">
        <v>45664</v>
      </c>
      <c r="H45" s="14">
        <v>45672</v>
      </c>
      <c r="I45">
        <v>10721.12</v>
      </c>
      <c r="J45">
        <v>28776.7</v>
      </c>
      <c r="K45">
        <v>268.41000000000003</v>
      </c>
      <c r="L45">
        <v>350</v>
      </c>
      <c r="M45" s="13" t="s">
        <v>3366</v>
      </c>
    </row>
    <row r="46" spans="1:13" x14ac:dyDescent="0.35">
      <c r="A46" s="13" t="s">
        <v>3412</v>
      </c>
      <c r="B46" s="13" t="s">
        <v>1553</v>
      </c>
      <c r="C46" s="13" t="s">
        <v>1554</v>
      </c>
      <c r="D46" s="13" t="s">
        <v>55</v>
      </c>
      <c r="E46" s="13" t="s">
        <v>76</v>
      </c>
      <c r="F46" s="13" t="s">
        <v>80</v>
      </c>
      <c r="G46" s="14">
        <v>45664</v>
      </c>
      <c r="H46" s="14">
        <v>45673</v>
      </c>
      <c r="I46">
        <v>1543.33</v>
      </c>
      <c r="J46">
        <v>2148.13</v>
      </c>
      <c r="K46">
        <v>139.19</v>
      </c>
      <c r="L46">
        <v>349</v>
      </c>
      <c r="M46" s="13" t="s">
        <v>3366</v>
      </c>
    </row>
    <row r="47" spans="1:13" x14ac:dyDescent="0.35">
      <c r="A47" s="13" t="s">
        <v>3413</v>
      </c>
      <c r="B47" s="13" t="s">
        <v>1288</v>
      </c>
      <c r="C47" s="13" t="s">
        <v>1289</v>
      </c>
      <c r="D47" s="13" t="s">
        <v>67</v>
      </c>
      <c r="E47" s="13" t="s">
        <v>52</v>
      </c>
      <c r="F47" s="13" t="s">
        <v>57</v>
      </c>
      <c r="G47" s="14">
        <v>45670</v>
      </c>
      <c r="H47" s="14">
        <v>45673</v>
      </c>
      <c r="I47">
        <v>1723.84</v>
      </c>
      <c r="J47">
        <v>1741.37</v>
      </c>
      <c r="K47">
        <v>101.02</v>
      </c>
      <c r="L47">
        <v>349</v>
      </c>
      <c r="M47" s="13" t="s">
        <v>3366</v>
      </c>
    </row>
    <row r="48" spans="1:13" x14ac:dyDescent="0.35">
      <c r="A48" s="13" t="s">
        <v>3414</v>
      </c>
      <c r="B48" s="13" t="s">
        <v>1753</v>
      </c>
      <c r="C48" s="13" t="s">
        <v>1754</v>
      </c>
      <c r="D48" s="13" t="s">
        <v>67</v>
      </c>
      <c r="E48" s="13" t="s">
        <v>126</v>
      </c>
      <c r="F48" s="13" t="s">
        <v>122</v>
      </c>
      <c r="G48" s="14">
        <v>45665</v>
      </c>
      <c r="H48" s="14">
        <v>45673</v>
      </c>
      <c r="I48">
        <v>3918.97</v>
      </c>
      <c r="J48">
        <v>3946.43</v>
      </c>
      <c r="K48">
        <v>100.7</v>
      </c>
      <c r="L48">
        <v>349</v>
      </c>
      <c r="M48" s="13" t="s">
        <v>3366</v>
      </c>
    </row>
    <row r="49" spans="1:13" x14ac:dyDescent="0.35">
      <c r="A49" s="13" t="s">
        <v>3415</v>
      </c>
      <c r="B49" s="13" t="s">
        <v>212</v>
      </c>
      <c r="C49" s="13" t="s">
        <v>213</v>
      </c>
      <c r="D49" s="13" t="s">
        <v>92</v>
      </c>
      <c r="E49" s="13" t="s">
        <v>52</v>
      </c>
      <c r="F49" s="13" t="s">
        <v>87</v>
      </c>
      <c r="G49" s="14">
        <v>45664</v>
      </c>
      <c r="H49" s="14">
        <v>45674</v>
      </c>
      <c r="I49">
        <v>3139.29</v>
      </c>
      <c r="J49">
        <v>10439.82</v>
      </c>
      <c r="K49">
        <v>332.55</v>
      </c>
      <c r="L49">
        <v>348</v>
      </c>
      <c r="M49" s="13" t="s">
        <v>3366</v>
      </c>
    </row>
    <row r="50" spans="1:13" x14ac:dyDescent="0.35">
      <c r="A50" s="13" t="s">
        <v>3416</v>
      </c>
      <c r="B50" s="13" t="s">
        <v>216</v>
      </c>
      <c r="C50" s="13" t="s">
        <v>217</v>
      </c>
      <c r="D50" s="13" t="s">
        <v>67</v>
      </c>
      <c r="E50" s="13" t="s">
        <v>52</v>
      </c>
      <c r="F50" s="13" t="s">
        <v>87</v>
      </c>
      <c r="G50" s="14">
        <v>45664</v>
      </c>
      <c r="H50" s="14">
        <v>45674</v>
      </c>
      <c r="I50">
        <v>2703.49</v>
      </c>
      <c r="J50">
        <v>2817.67</v>
      </c>
      <c r="K50">
        <v>104.22</v>
      </c>
      <c r="L50">
        <v>348</v>
      </c>
      <c r="M50" s="13" t="s">
        <v>3366</v>
      </c>
    </row>
    <row r="51" spans="1:13" x14ac:dyDescent="0.35">
      <c r="A51" s="13" t="s">
        <v>3417</v>
      </c>
      <c r="B51" s="13" t="s">
        <v>1665</v>
      </c>
      <c r="C51" s="13" t="s">
        <v>1666</v>
      </c>
      <c r="D51" s="13" t="s">
        <v>55</v>
      </c>
      <c r="E51" s="13" t="s">
        <v>76</v>
      </c>
      <c r="F51" s="13" t="s">
        <v>94</v>
      </c>
      <c r="G51" s="14">
        <v>45663</v>
      </c>
      <c r="H51" s="14">
        <v>45674</v>
      </c>
      <c r="I51">
        <v>4020.55</v>
      </c>
      <c r="J51">
        <v>4176.59</v>
      </c>
      <c r="K51">
        <v>103.88</v>
      </c>
      <c r="L51">
        <v>348</v>
      </c>
      <c r="M51" s="13" t="s">
        <v>3366</v>
      </c>
    </row>
    <row r="52" spans="1:13" x14ac:dyDescent="0.35">
      <c r="A52" s="13" t="s">
        <v>3418</v>
      </c>
      <c r="B52" s="13" t="s">
        <v>375</v>
      </c>
      <c r="C52" s="13" t="s">
        <v>376</v>
      </c>
      <c r="D52" s="13" t="s">
        <v>55</v>
      </c>
      <c r="E52" s="13" t="s">
        <v>52</v>
      </c>
      <c r="F52" s="13" t="s">
        <v>57</v>
      </c>
      <c r="G52" s="14">
        <v>45663</v>
      </c>
      <c r="H52" s="14">
        <v>45674</v>
      </c>
      <c r="I52">
        <v>1648.93</v>
      </c>
      <c r="J52">
        <v>14725.6</v>
      </c>
      <c r="K52">
        <v>893.04</v>
      </c>
      <c r="L52">
        <v>348</v>
      </c>
      <c r="M52" s="13" t="s">
        <v>3366</v>
      </c>
    </row>
    <row r="53" spans="1:13" x14ac:dyDescent="0.35">
      <c r="A53" s="13" t="s">
        <v>3419</v>
      </c>
      <c r="B53" s="13" t="s">
        <v>69</v>
      </c>
      <c r="C53" s="13" t="s">
        <v>70</v>
      </c>
      <c r="D53" s="13" t="s">
        <v>55</v>
      </c>
      <c r="E53" s="13" t="s">
        <v>52</v>
      </c>
      <c r="F53" s="13" t="s">
        <v>57</v>
      </c>
      <c r="G53" s="14">
        <v>45666</v>
      </c>
      <c r="H53" s="14">
        <v>45675</v>
      </c>
      <c r="I53">
        <v>1475.7</v>
      </c>
      <c r="J53">
        <v>15035.71</v>
      </c>
      <c r="K53">
        <v>1018.89</v>
      </c>
      <c r="L53">
        <v>347</v>
      </c>
      <c r="M53" s="13" t="s">
        <v>3366</v>
      </c>
    </row>
    <row r="54" spans="1:13" x14ac:dyDescent="0.35">
      <c r="A54" s="13" t="s">
        <v>3420</v>
      </c>
      <c r="B54" s="13" t="s">
        <v>796</v>
      </c>
      <c r="C54" s="13" t="s">
        <v>797</v>
      </c>
      <c r="D54" s="13" t="s">
        <v>55</v>
      </c>
      <c r="E54" s="13" t="s">
        <v>104</v>
      </c>
      <c r="F54" s="13" t="s">
        <v>106</v>
      </c>
      <c r="G54" s="14">
        <v>45663</v>
      </c>
      <c r="H54" s="14">
        <v>45675</v>
      </c>
      <c r="I54">
        <v>819.58</v>
      </c>
      <c r="J54">
        <v>908.64</v>
      </c>
      <c r="K54">
        <v>110.87</v>
      </c>
      <c r="L54">
        <v>347</v>
      </c>
      <c r="M54" s="13" t="s">
        <v>3366</v>
      </c>
    </row>
    <row r="55" spans="1:13" x14ac:dyDescent="0.35">
      <c r="A55" s="13" t="s">
        <v>3421</v>
      </c>
      <c r="B55" s="13" t="s">
        <v>676</v>
      </c>
      <c r="C55" s="13" t="s">
        <v>677</v>
      </c>
      <c r="D55" s="13" t="s">
        <v>67</v>
      </c>
      <c r="E55" s="13" t="s">
        <v>126</v>
      </c>
      <c r="F55" s="13" t="s">
        <v>122</v>
      </c>
      <c r="G55" s="14">
        <v>45670</v>
      </c>
      <c r="H55" s="14">
        <v>45676</v>
      </c>
      <c r="I55">
        <v>8632.26</v>
      </c>
      <c r="J55">
        <v>9278.49</v>
      </c>
      <c r="K55">
        <v>107.49</v>
      </c>
      <c r="L55">
        <v>346</v>
      </c>
      <c r="M55" s="13" t="s">
        <v>3366</v>
      </c>
    </row>
    <row r="56" spans="1:13" x14ac:dyDescent="0.35">
      <c r="A56" s="13" t="s">
        <v>3422</v>
      </c>
      <c r="B56" s="13" t="s">
        <v>1397</v>
      </c>
      <c r="C56" s="13" t="s">
        <v>1398</v>
      </c>
      <c r="D56" s="13" t="s">
        <v>55</v>
      </c>
      <c r="E56" s="13" t="s">
        <v>76</v>
      </c>
      <c r="F56" s="13" t="s">
        <v>80</v>
      </c>
      <c r="G56" s="14">
        <v>45668</v>
      </c>
      <c r="H56" s="14">
        <v>45676</v>
      </c>
      <c r="I56">
        <v>2377.19</v>
      </c>
      <c r="J56">
        <v>2464.5100000000002</v>
      </c>
      <c r="K56">
        <v>103.67</v>
      </c>
      <c r="L56">
        <v>346</v>
      </c>
      <c r="M56" s="13" t="s">
        <v>3366</v>
      </c>
    </row>
    <row r="57" spans="1:13" x14ac:dyDescent="0.35">
      <c r="A57" s="13" t="s">
        <v>3423</v>
      </c>
      <c r="B57" s="13" t="s">
        <v>587</v>
      </c>
      <c r="C57" s="13" t="s">
        <v>588</v>
      </c>
      <c r="D57" s="13" t="s">
        <v>67</v>
      </c>
      <c r="E57" s="13" t="s">
        <v>126</v>
      </c>
      <c r="F57" s="13" t="s">
        <v>87</v>
      </c>
      <c r="G57" s="14">
        <v>45672</v>
      </c>
      <c r="H57" s="14">
        <v>45676</v>
      </c>
      <c r="I57">
        <v>4597.2700000000004</v>
      </c>
      <c r="J57">
        <v>4770.04</v>
      </c>
      <c r="K57">
        <v>103.76</v>
      </c>
      <c r="L57">
        <v>346</v>
      </c>
      <c r="M57" s="13" t="s">
        <v>3366</v>
      </c>
    </row>
    <row r="58" spans="1:13" x14ac:dyDescent="0.35">
      <c r="A58" s="13" t="s">
        <v>3424</v>
      </c>
      <c r="B58" s="13" t="s">
        <v>63</v>
      </c>
      <c r="C58" s="13" t="s">
        <v>64</v>
      </c>
      <c r="D58" s="13" t="s">
        <v>67</v>
      </c>
      <c r="E58" s="13" t="s">
        <v>52</v>
      </c>
      <c r="F58" s="13" t="s">
        <v>57</v>
      </c>
      <c r="G58" s="14">
        <v>45673</v>
      </c>
      <c r="H58" s="14">
        <v>45676</v>
      </c>
      <c r="I58">
        <v>1909.53</v>
      </c>
      <c r="J58">
        <v>2007.75</v>
      </c>
      <c r="K58">
        <v>105.14</v>
      </c>
      <c r="L58">
        <v>346</v>
      </c>
      <c r="M58" s="13" t="s">
        <v>3366</v>
      </c>
    </row>
    <row r="59" spans="1:13" x14ac:dyDescent="0.35">
      <c r="A59" s="13" t="s">
        <v>3425</v>
      </c>
      <c r="B59" s="13" t="s">
        <v>130</v>
      </c>
      <c r="C59" s="13" t="s">
        <v>131</v>
      </c>
      <c r="D59" s="13" t="s">
        <v>55</v>
      </c>
      <c r="E59" s="13" t="s">
        <v>76</v>
      </c>
      <c r="F59" s="13" t="s">
        <v>80</v>
      </c>
      <c r="G59" s="14">
        <v>45667</v>
      </c>
      <c r="H59" s="14">
        <v>45676</v>
      </c>
      <c r="I59">
        <v>671.66</v>
      </c>
      <c r="J59">
        <v>681.62</v>
      </c>
      <c r="K59">
        <v>101.48</v>
      </c>
      <c r="L59">
        <v>346</v>
      </c>
      <c r="M59" s="13" t="s">
        <v>3366</v>
      </c>
    </row>
    <row r="60" spans="1:13" x14ac:dyDescent="0.35">
      <c r="A60" s="13" t="s">
        <v>3426</v>
      </c>
      <c r="B60" s="13" t="s">
        <v>1604</v>
      </c>
      <c r="C60" s="13" t="s">
        <v>1605</v>
      </c>
      <c r="D60" s="13" t="s">
        <v>55</v>
      </c>
      <c r="E60" s="13" t="s">
        <v>104</v>
      </c>
      <c r="F60" s="13" t="s">
        <v>122</v>
      </c>
      <c r="G60" s="14">
        <v>45665</v>
      </c>
      <c r="H60" s="14">
        <v>45677</v>
      </c>
      <c r="I60">
        <v>6087.22</v>
      </c>
      <c r="J60">
        <v>6619.47</v>
      </c>
      <c r="K60">
        <v>108.74</v>
      </c>
      <c r="L60">
        <v>345</v>
      </c>
      <c r="M60" s="13" t="s">
        <v>3366</v>
      </c>
    </row>
    <row r="61" spans="1:13" x14ac:dyDescent="0.35">
      <c r="A61" s="13" t="s">
        <v>3427</v>
      </c>
      <c r="B61" s="13" t="s">
        <v>2232</v>
      </c>
      <c r="C61" s="13" t="s">
        <v>2233</v>
      </c>
      <c r="D61" s="13" t="s">
        <v>67</v>
      </c>
      <c r="E61" s="13" t="s">
        <v>104</v>
      </c>
      <c r="F61" s="13" t="s">
        <v>106</v>
      </c>
      <c r="G61" s="14">
        <v>45668</v>
      </c>
      <c r="H61" s="14">
        <v>45677</v>
      </c>
      <c r="I61">
        <v>734.54</v>
      </c>
      <c r="J61">
        <v>800.16</v>
      </c>
      <c r="K61">
        <v>108.93</v>
      </c>
      <c r="L61">
        <v>345</v>
      </c>
      <c r="M61" s="13" t="s">
        <v>3366</v>
      </c>
    </row>
    <row r="62" spans="1:13" x14ac:dyDescent="0.35">
      <c r="A62" s="13" t="s">
        <v>3428</v>
      </c>
      <c r="B62" s="13" t="s">
        <v>1251</v>
      </c>
      <c r="C62" s="13" t="s">
        <v>1252</v>
      </c>
      <c r="D62" s="13" t="s">
        <v>92</v>
      </c>
      <c r="E62" s="13" t="s">
        <v>76</v>
      </c>
      <c r="F62" s="13" t="s">
        <v>94</v>
      </c>
      <c r="G62" s="14">
        <v>45671</v>
      </c>
      <c r="H62" s="14">
        <v>45678</v>
      </c>
      <c r="I62">
        <v>4520.24</v>
      </c>
      <c r="J62">
        <v>4738.1400000000003</v>
      </c>
      <c r="K62">
        <v>104.82</v>
      </c>
      <c r="L62">
        <v>344</v>
      </c>
      <c r="M62" s="13" t="s">
        <v>3366</v>
      </c>
    </row>
    <row r="63" spans="1:13" x14ac:dyDescent="0.35">
      <c r="A63" s="13" t="s">
        <v>3429</v>
      </c>
      <c r="B63" s="13" t="s">
        <v>1470</v>
      </c>
      <c r="C63" s="13" t="s">
        <v>1471</v>
      </c>
      <c r="D63" s="13" t="s">
        <v>67</v>
      </c>
      <c r="E63" s="13" t="s">
        <v>52</v>
      </c>
      <c r="F63" s="13" t="s">
        <v>87</v>
      </c>
      <c r="G63" s="14">
        <v>45677</v>
      </c>
      <c r="H63" s="14">
        <v>45679</v>
      </c>
      <c r="I63">
        <v>5024.55</v>
      </c>
      <c r="J63">
        <v>12200.92</v>
      </c>
      <c r="K63">
        <v>242.83</v>
      </c>
      <c r="L63">
        <v>343</v>
      </c>
      <c r="M63" s="13" t="s">
        <v>3366</v>
      </c>
    </row>
    <row r="64" spans="1:13" x14ac:dyDescent="0.35">
      <c r="A64" s="13" t="s">
        <v>3430</v>
      </c>
      <c r="B64" s="13" t="s">
        <v>702</v>
      </c>
      <c r="C64" s="13" t="s">
        <v>703</v>
      </c>
      <c r="D64" s="13" t="s">
        <v>67</v>
      </c>
      <c r="E64" s="13" t="s">
        <v>52</v>
      </c>
      <c r="F64" s="13" t="s">
        <v>87</v>
      </c>
      <c r="G64" s="14">
        <v>45675</v>
      </c>
      <c r="H64" s="14">
        <v>45679</v>
      </c>
      <c r="I64">
        <v>3842.49</v>
      </c>
      <c r="J64">
        <v>14671.21</v>
      </c>
      <c r="K64">
        <v>381.82</v>
      </c>
      <c r="L64">
        <v>343</v>
      </c>
      <c r="M64" s="13" t="s">
        <v>3366</v>
      </c>
    </row>
    <row r="65" spans="1:13" x14ac:dyDescent="0.35">
      <c r="A65" s="13" t="s">
        <v>3431</v>
      </c>
      <c r="B65" s="13" t="s">
        <v>902</v>
      </c>
      <c r="C65" s="13" t="s">
        <v>903</v>
      </c>
      <c r="D65" s="13" t="s">
        <v>67</v>
      </c>
      <c r="E65" s="13" t="s">
        <v>52</v>
      </c>
      <c r="F65" s="13" t="s">
        <v>57</v>
      </c>
      <c r="G65" s="14">
        <v>45668</v>
      </c>
      <c r="H65" s="14">
        <v>45679</v>
      </c>
      <c r="I65">
        <v>16151.09</v>
      </c>
      <c r="J65">
        <v>40693.120000000003</v>
      </c>
      <c r="K65">
        <v>251.95</v>
      </c>
      <c r="L65">
        <v>343</v>
      </c>
      <c r="M65" s="13" t="s">
        <v>3366</v>
      </c>
    </row>
    <row r="66" spans="1:13" x14ac:dyDescent="0.35">
      <c r="A66" s="13" t="s">
        <v>3432</v>
      </c>
      <c r="B66" s="13" t="s">
        <v>379</v>
      </c>
      <c r="C66" s="13" t="s">
        <v>380</v>
      </c>
      <c r="D66" s="13" t="s">
        <v>92</v>
      </c>
      <c r="E66" s="13" t="s">
        <v>52</v>
      </c>
      <c r="F66" s="13" t="s">
        <v>57</v>
      </c>
      <c r="G66" s="14">
        <v>45671</v>
      </c>
      <c r="H66" s="14">
        <v>45679</v>
      </c>
      <c r="I66">
        <v>16337.6</v>
      </c>
      <c r="J66">
        <v>16768.900000000001</v>
      </c>
      <c r="K66">
        <v>102.64</v>
      </c>
      <c r="L66">
        <v>343</v>
      </c>
      <c r="M66" s="13" t="s">
        <v>3366</v>
      </c>
    </row>
    <row r="67" spans="1:13" x14ac:dyDescent="0.35">
      <c r="A67" s="13" t="s">
        <v>3433</v>
      </c>
      <c r="B67" s="13" t="s">
        <v>317</v>
      </c>
      <c r="C67" s="13" t="s">
        <v>318</v>
      </c>
      <c r="D67" s="13" t="s">
        <v>67</v>
      </c>
      <c r="E67" s="13" t="s">
        <v>52</v>
      </c>
      <c r="F67" s="13" t="s">
        <v>57</v>
      </c>
      <c r="G67" s="14">
        <v>45673</v>
      </c>
      <c r="H67" s="14">
        <v>45679</v>
      </c>
      <c r="I67">
        <v>10221.83</v>
      </c>
      <c r="J67">
        <v>10607.22</v>
      </c>
      <c r="K67">
        <v>103.77</v>
      </c>
      <c r="L67">
        <v>343</v>
      </c>
      <c r="M67" s="13" t="s">
        <v>3366</v>
      </c>
    </row>
    <row r="68" spans="1:13" x14ac:dyDescent="0.35">
      <c r="A68" s="13" t="s">
        <v>3434</v>
      </c>
      <c r="B68" s="13" t="s">
        <v>958</v>
      </c>
      <c r="C68" s="13" t="s">
        <v>959</v>
      </c>
      <c r="D68" s="13" t="s">
        <v>55</v>
      </c>
      <c r="E68" s="13" t="s">
        <v>52</v>
      </c>
      <c r="F68" s="13" t="s">
        <v>57</v>
      </c>
      <c r="G68" s="14">
        <v>45674</v>
      </c>
      <c r="H68" s="14">
        <v>45679</v>
      </c>
      <c r="I68">
        <v>13090.87</v>
      </c>
      <c r="J68">
        <v>13253.99</v>
      </c>
      <c r="K68">
        <v>101.25</v>
      </c>
      <c r="L68">
        <v>343</v>
      </c>
      <c r="M68" s="13" t="s">
        <v>3366</v>
      </c>
    </row>
    <row r="69" spans="1:13" x14ac:dyDescent="0.35">
      <c r="A69" s="13" t="s">
        <v>3435</v>
      </c>
      <c r="B69" s="13" t="s">
        <v>1382</v>
      </c>
      <c r="C69" s="13" t="s">
        <v>1383</v>
      </c>
      <c r="D69" s="13" t="s">
        <v>92</v>
      </c>
      <c r="E69" s="13" t="s">
        <v>104</v>
      </c>
      <c r="F69" s="13" t="s">
        <v>106</v>
      </c>
      <c r="G69" s="14">
        <v>45676</v>
      </c>
      <c r="H69" s="14">
        <v>45680</v>
      </c>
      <c r="I69">
        <v>4831.04</v>
      </c>
      <c r="J69">
        <v>6269.96</v>
      </c>
      <c r="K69">
        <v>129.78</v>
      </c>
      <c r="L69">
        <v>342</v>
      </c>
      <c r="M69" s="13" t="s">
        <v>3366</v>
      </c>
    </row>
    <row r="70" spans="1:13" x14ac:dyDescent="0.35">
      <c r="A70" s="13" t="s">
        <v>3436</v>
      </c>
      <c r="B70" s="13" t="s">
        <v>193</v>
      </c>
      <c r="C70" s="13" t="s">
        <v>194</v>
      </c>
      <c r="D70" s="13" t="s">
        <v>67</v>
      </c>
      <c r="E70" s="13" t="s">
        <v>104</v>
      </c>
      <c r="F70" s="13" t="s">
        <v>122</v>
      </c>
      <c r="G70" s="14">
        <v>45668</v>
      </c>
      <c r="H70" s="14">
        <v>45680</v>
      </c>
      <c r="I70">
        <v>6926.5</v>
      </c>
      <c r="J70">
        <v>7397.52</v>
      </c>
      <c r="K70">
        <v>106.8</v>
      </c>
      <c r="L70">
        <v>342</v>
      </c>
      <c r="M70" s="13" t="s">
        <v>3366</v>
      </c>
    </row>
    <row r="71" spans="1:13" x14ac:dyDescent="0.35">
      <c r="A71" s="13" t="s">
        <v>3437</v>
      </c>
      <c r="B71" s="13" t="s">
        <v>137</v>
      </c>
      <c r="C71" s="13" t="s">
        <v>138</v>
      </c>
      <c r="D71" s="13" t="s">
        <v>92</v>
      </c>
      <c r="E71" s="13" t="s">
        <v>52</v>
      </c>
      <c r="F71" s="13" t="s">
        <v>57</v>
      </c>
      <c r="G71" s="14">
        <v>45675</v>
      </c>
      <c r="H71" s="14">
        <v>45681</v>
      </c>
      <c r="I71">
        <v>2005.65</v>
      </c>
      <c r="J71">
        <v>2009.78</v>
      </c>
      <c r="K71">
        <v>100.21</v>
      </c>
      <c r="L71">
        <v>341</v>
      </c>
      <c r="M71" s="13" t="s">
        <v>3366</v>
      </c>
    </row>
    <row r="72" spans="1:13" x14ac:dyDescent="0.35">
      <c r="A72" s="13" t="s">
        <v>3438</v>
      </c>
      <c r="B72" s="13" t="s">
        <v>636</v>
      </c>
      <c r="C72" s="13" t="s">
        <v>637</v>
      </c>
      <c r="D72" s="13" t="s">
        <v>67</v>
      </c>
      <c r="E72" s="13" t="s">
        <v>126</v>
      </c>
      <c r="F72" s="13" t="s">
        <v>106</v>
      </c>
      <c r="G72" s="14">
        <v>45676</v>
      </c>
      <c r="H72" s="14">
        <v>45681</v>
      </c>
      <c r="I72">
        <v>1248.97</v>
      </c>
      <c r="J72">
        <v>1306.32</v>
      </c>
      <c r="K72">
        <v>104.59</v>
      </c>
      <c r="L72">
        <v>341</v>
      </c>
      <c r="M72" s="13" t="s">
        <v>3366</v>
      </c>
    </row>
    <row r="73" spans="1:13" x14ac:dyDescent="0.35">
      <c r="A73" s="13" t="s">
        <v>3439</v>
      </c>
      <c r="B73" s="13" t="s">
        <v>144</v>
      </c>
      <c r="C73" s="13" t="s">
        <v>145</v>
      </c>
      <c r="D73" s="13" t="s">
        <v>55</v>
      </c>
      <c r="E73" s="13" t="s">
        <v>52</v>
      </c>
      <c r="F73" s="13" t="s">
        <v>57</v>
      </c>
      <c r="G73" s="14">
        <v>45668</v>
      </c>
      <c r="H73" s="14">
        <v>45681</v>
      </c>
      <c r="I73">
        <v>4644.34</v>
      </c>
      <c r="J73">
        <v>39002.33</v>
      </c>
      <c r="K73">
        <v>839.78</v>
      </c>
      <c r="L73">
        <v>341</v>
      </c>
      <c r="M73" s="13" t="s">
        <v>3366</v>
      </c>
    </row>
    <row r="74" spans="1:13" x14ac:dyDescent="0.35">
      <c r="A74" s="13" t="s">
        <v>3440</v>
      </c>
      <c r="B74" s="13" t="s">
        <v>1155</v>
      </c>
      <c r="C74" s="13" t="s">
        <v>1156</v>
      </c>
      <c r="D74" s="13" t="s">
        <v>67</v>
      </c>
      <c r="E74" s="13" t="s">
        <v>52</v>
      </c>
      <c r="F74" s="13" t="s">
        <v>87</v>
      </c>
      <c r="G74" s="14">
        <v>45674</v>
      </c>
      <c r="H74" s="14">
        <v>45682</v>
      </c>
      <c r="I74">
        <v>576.37</v>
      </c>
      <c r="J74">
        <v>604.51</v>
      </c>
      <c r="K74">
        <v>104.88</v>
      </c>
      <c r="L74">
        <v>340</v>
      </c>
      <c r="M74" s="13" t="s">
        <v>3366</v>
      </c>
    </row>
    <row r="75" spans="1:13" x14ac:dyDescent="0.35">
      <c r="A75" s="13" t="s">
        <v>3441</v>
      </c>
      <c r="B75" s="13" t="s">
        <v>1644</v>
      </c>
      <c r="C75" s="13" t="s">
        <v>1645</v>
      </c>
      <c r="D75" s="13" t="s">
        <v>55</v>
      </c>
      <c r="E75" s="13" t="s">
        <v>76</v>
      </c>
      <c r="F75" s="13" t="s">
        <v>80</v>
      </c>
      <c r="G75" s="14">
        <v>45673</v>
      </c>
      <c r="H75" s="14">
        <v>45682</v>
      </c>
      <c r="I75">
        <v>2448.3200000000002</v>
      </c>
      <c r="J75">
        <v>6545.88</v>
      </c>
      <c r="K75">
        <v>267.36</v>
      </c>
      <c r="L75">
        <v>340</v>
      </c>
      <c r="M75" s="13" t="s">
        <v>3366</v>
      </c>
    </row>
    <row r="76" spans="1:13" x14ac:dyDescent="0.35">
      <c r="A76" s="13" t="s">
        <v>3442</v>
      </c>
      <c r="B76" s="13" t="s">
        <v>3443</v>
      </c>
      <c r="C76" s="13" t="s">
        <v>3444</v>
      </c>
      <c r="D76" s="13" t="s">
        <v>55</v>
      </c>
      <c r="E76" s="13" t="s">
        <v>104</v>
      </c>
      <c r="F76" s="13" t="s">
        <v>106</v>
      </c>
      <c r="G76" s="14">
        <v>45677</v>
      </c>
      <c r="H76" s="14">
        <v>45683</v>
      </c>
      <c r="I76">
        <v>7432.19</v>
      </c>
      <c r="J76">
        <v>7982.69</v>
      </c>
      <c r="K76">
        <v>107.41</v>
      </c>
      <c r="L76">
        <v>339</v>
      </c>
      <c r="M76" s="13" t="s">
        <v>3366</v>
      </c>
    </row>
    <row r="77" spans="1:13" x14ac:dyDescent="0.35">
      <c r="A77" s="13" t="s">
        <v>3445</v>
      </c>
      <c r="B77" s="13" t="s">
        <v>156</v>
      </c>
      <c r="C77" s="13" t="s">
        <v>157</v>
      </c>
      <c r="D77" s="13" t="s">
        <v>92</v>
      </c>
      <c r="E77" s="13" t="s">
        <v>52</v>
      </c>
      <c r="F77" s="13" t="s">
        <v>57</v>
      </c>
      <c r="G77" s="14">
        <v>45671</v>
      </c>
      <c r="H77" s="14">
        <v>45684</v>
      </c>
      <c r="I77">
        <v>5444.68</v>
      </c>
      <c r="J77">
        <v>9295.82</v>
      </c>
      <c r="K77">
        <v>170.73</v>
      </c>
      <c r="L77">
        <v>338</v>
      </c>
      <c r="M77" s="13" t="s">
        <v>3366</v>
      </c>
    </row>
    <row r="78" spans="1:13" x14ac:dyDescent="0.35">
      <c r="A78" s="13" t="s">
        <v>3446</v>
      </c>
      <c r="B78" s="13" t="s">
        <v>1155</v>
      </c>
      <c r="C78" s="13" t="s">
        <v>1156</v>
      </c>
      <c r="D78" s="13" t="s">
        <v>67</v>
      </c>
      <c r="E78" s="13" t="s">
        <v>52</v>
      </c>
      <c r="F78" s="13" t="s">
        <v>87</v>
      </c>
      <c r="G78" s="14">
        <v>45677</v>
      </c>
      <c r="H78" s="14">
        <v>45684</v>
      </c>
      <c r="I78">
        <v>1573.76</v>
      </c>
      <c r="J78">
        <v>1628.76</v>
      </c>
      <c r="K78">
        <v>103.49</v>
      </c>
      <c r="L78">
        <v>338</v>
      </c>
      <c r="M78" s="13" t="s">
        <v>3366</v>
      </c>
    </row>
    <row r="79" spans="1:13" x14ac:dyDescent="0.35">
      <c r="A79" s="13" t="s">
        <v>3447</v>
      </c>
      <c r="B79" s="13" t="s">
        <v>434</v>
      </c>
      <c r="C79" s="13" t="s">
        <v>435</v>
      </c>
      <c r="D79" s="13" t="s">
        <v>55</v>
      </c>
      <c r="E79" s="13" t="s">
        <v>52</v>
      </c>
      <c r="F79" s="13" t="s">
        <v>57</v>
      </c>
      <c r="G79" s="14">
        <v>45682</v>
      </c>
      <c r="H79" s="14">
        <v>45685</v>
      </c>
      <c r="I79">
        <v>2612.33</v>
      </c>
      <c r="J79">
        <v>6735.93</v>
      </c>
      <c r="K79">
        <v>257.85000000000002</v>
      </c>
      <c r="L79">
        <v>337</v>
      </c>
      <c r="M79" s="13" t="s">
        <v>3366</v>
      </c>
    </row>
    <row r="80" spans="1:13" x14ac:dyDescent="0.35">
      <c r="A80" s="13" t="s">
        <v>3448</v>
      </c>
      <c r="B80" s="13" t="s">
        <v>137</v>
      </c>
      <c r="C80" s="13" t="s">
        <v>138</v>
      </c>
      <c r="D80" s="13" t="s">
        <v>92</v>
      </c>
      <c r="E80" s="13" t="s">
        <v>52</v>
      </c>
      <c r="F80" s="13" t="s">
        <v>57</v>
      </c>
      <c r="G80" s="14">
        <v>45678</v>
      </c>
      <c r="H80" s="14">
        <v>45685</v>
      </c>
      <c r="I80">
        <v>1659</v>
      </c>
      <c r="J80">
        <v>1717.78</v>
      </c>
      <c r="K80">
        <v>103.54</v>
      </c>
      <c r="L80">
        <v>337</v>
      </c>
      <c r="M80" s="13" t="s">
        <v>3366</v>
      </c>
    </row>
    <row r="81" spans="1:13" x14ac:dyDescent="0.35">
      <c r="A81" s="13" t="s">
        <v>3449</v>
      </c>
      <c r="B81" s="13" t="s">
        <v>550</v>
      </c>
      <c r="C81" s="13" t="s">
        <v>551</v>
      </c>
      <c r="D81" s="13" t="s">
        <v>55</v>
      </c>
      <c r="E81" s="13" t="s">
        <v>104</v>
      </c>
      <c r="F81" s="13" t="s">
        <v>122</v>
      </c>
      <c r="G81" s="14">
        <v>45682</v>
      </c>
      <c r="H81" s="14">
        <v>45685</v>
      </c>
      <c r="I81">
        <v>2975.77</v>
      </c>
      <c r="J81">
        <v>3302.4</v>
      </c>
      <c r="K81">
        <v>110.98</v>
      </c>
      <c r="L81">
        <v>337</v>
      </c>
      <c r="M81" s="13" t="s">
        <v>3366</v>
      </c>
    </row>
    <row r="82" spans="1:13" x14ac:dyDescent="0.35">
      <c r="A82" s="13" t="s">
        <v>3450</v>
      </c>
      <c r="B82" s="13" t="s">
        <v>90</v>
      </c>
      <c r="C82" s="13" t="s">
        <v>91</v>
      </c>
      <c r="D82" s="13" t="s">
        <v>92</v>
      </c>
      <c r="E82" s="13" t="s">
        <v>76</v>
      </c>
      <c r="F82" s="13" t="s">
        <v>94</v>
      </c>
      <c r="G82" s="14">
        <v>45678</v>
      </c>
      <c r="H82" s="14">
        <v>45686</v>
      </c>
      <c r="I82">
        <v>1129.3900000000001</v>
      </c>
      <c r="J82">
        <v>4700.8900000000003</v>
      </c>
      <c r="K82">
        <v>416.23</v>
      </c>
      <c r="L82">
        <v>336</v>
      </c>
      <c r="M82" s="13" t="s">
        <v>3366</v>
      </c>
    </row>
    <row r="83" spans="1:13" x14ac:dyDescent="0.35">
      <c r="A83" s="13" t="s">
        <v>3451</v>
      </c>
      <c r="B83" s="13" t="s">
        <v>222</v>
      </c>
      <c r="C83" s="13" t="s">
        <v>223</v>
      </c>
      <c r="D83" s="13" t="s">
        <v>92</v>
      </c>
      <c r="E83" s="13" t="s">
        <v>52</v>
      </c>
      <c r="F83" s="13" t="s">
        <v>57</v>
      </c>
      <c r="G83" s="14">
        <v>45684</v>
      </c>
      <c r="H83" s="14">
        <v>45686</v>
      </c>
      <c r="I83">
        <v>9546.52</v>
      </c>
      <c r="J83">
        <v>14445.92</v>
      </c>
      <c r="K83">
        <v>151.32</v>
      </c>
      <c r="L83">
        <v>336</v>
      </c>
      <c r="M83" s="13" t="s">
        <v>3366</v>
      </c>
    </row>
    <row r="84" spans="1:13" x14ac:dyDescent="0.35">
      <c r="A84" s="13" t="s">
        <v>3452</v>
      </c>
      <c r="B84" s="13" t="s">
        <v>418</v>
      </c>
      <c r="C84" s="13" t="s">
        <v>419</v>
      </c>
      <c r="D84" s="13" t="s">
        <v>67</v>
      </c>
      <c r="E84" s="13" t="s">
        <v>52</v>
      </c>
      <c r="F84" s="13" t="s">
        <v>87</v>
      </c>
      <c r="G84" s="14">
        <v>45677</v>
      </c>
      <c r="H84" s="14">
        <v>45686</v>
      </c>
      <c r="I84">
        <v>1627.05</v>
      </c>
      <c r="J84">
        <v>25442.29</v>
      </c>
      <c r="K84">
        <v>1563.71</v>
      </c>
      <c r="L84">
        <v>336</v>
      </c>
      <c r="M84" s="13" t="s">
        <v>3366</v>
      </c>
    </row>
    <row r="85" spans="1:13" x14ac:dyDescent="0.35">
      <c r="A85" s="13" t="s">
        <v>3453</v>
      </c>
      <c r="B85" s="13" t="s">
        <v>481</v>
      </c>
      <c r="C85" s="13" t="s">
        <v>482</v>
      </c>
      <c r="D85" s="13" t="s">
        <v>67</v>
      </c>
      <c r="E85" s="13" t="s">
        <v>76</v>
      </c>
      <c r="F85" s="13" t="s">
        <v>80</v>
      </c>
      <c r="G85" s="14">
        <v>45675</v>
      </c>
      <c r="H85" s="14">
        <v>45686</v>
      </c>
      <c r="I85">
        <v>1890.39</v>
      </c>
      <c r="J85">
        <v>1987.42</v>
      </c>
      <c r="K85">
        <v>105.13</v>
      </c>
      <c r="L85">
        <v>336</v>
      </c>
      <c r="M85" s="13" t="s">
        <v>3366</v>
      </c>
    </row>
    <row r="86" spans="1:13" x14ac:dyDescent="0.35">
      <c r="A86" s="13" t="s">
        <v>3454</v>
      </c>
      <c r="B86" s="13" t="s">
        <v>2384</v>
      </c>
      <c r="C86" s="13" t="s">
        <v>2385</v>
      </c>
      <c r="D86" s="13" t="s">
        <v>55</v>
      </c>
      <c r="E86" s="13" t="s">
        <v>76</v>
      </c>
      <c r="F86" s="13" t="s">
        <v>94</v>
      </c>
      <c r="G86" s="14">
        <v>45673</v>
      </c>
      <c r="H86" s="14">
        <v>45686</v>
      </c>
      <c r="I86">
        <v>1814.27</v>
      </c>
      <c r="J86">
        <v>1917.15</v>
      </c>
      <c r="K86">
        <v>105.67</v>
      </c>
      <c r="L86">
        <v>336</v>
      </c>
      <c r="M86" s="13" t="s">
        <v>3366</v>
      </c>
    </row>
    <row r="87" spans="1:13" x14ac:dyDescent="0.35">
      <c r="A87" s="13" t="s">
        <v>3455</v>
      </c>
      <c r="B87" s="13" t="s">
        <v>1241</v>
      </c>
      <c r="C87" s="13" t="s">
        <v>1242</v>
      </c>
      <c r="D87" s="13" t="s">
        <v>55</v>
      </c>
      <c r="E87" s="13" t="s">
        <v>76</v>
      </c>
      <c r="F87" s="13" t="s">
        <v>94</v>
      </c>
      <c r="G87" s="14">
        <v>45682</v>
      </c>
      <c r="H87" s="14">
        <v>45687</v>
      </c>
      <c r="I87">
        <v>2372.9499999999998</v>
      </c>
      <c r="J87">
        <v>2433.7199999999998</v>
      </c>
      <c r="K87">
        <v>102.56</v>
      </c>
      <c r="L87">
        <v>335</v>
      </c>
      <c r="M87" s="13" t="s">
        <v>3366</v>
      </c>
    </row>
    <row r="88" spans="1:13" x14ac:dyDescent="0.35">
      <c r="A88" s="13" t="s">
        <v>3456</v>
      </c>
      <c r="B88" s="13" t="s">
        <v>1849</v>
      </c>
      <c r="C88" s="13" t="s">
        <v>1850</v>
      </c>
      <c r="D88" s="13" t="s">
        <v>67</v>
      </c>
      <c r="E88" s="13" t="s">
        <v>76</v>
      </c>
      <c r="F88" s="13" t="s">
        <v>94</v>
      </c>
      <c r="G88" s="14">
        <v>45682</v>
      </c>
      <c r="H88" s="14">
        <v>45687</v>
      </c>
      <c r="I88">
        <v>873.1</v>
      </c>
      <c r="J88">
        <v>887.2</v>
      </c>
      <c r="K88">
        <v>101.61</v>
      </c>
      <c r="L88">
        <v>335</v>
      </c>
      <c r="M88" s="13" t="s">
        <v>3366</v>
      </c>
    </row>
    <row r="89" spans="1:13" x14ac:dyDescent="0.35">
      <c r="A89" s="13" t="s">
        <v>3457</v>
      </c>
      <c r="B89" s="13" t="s">
        <v>1092</v>
      </c>
      <c r="C89" s="13" t="s">
        <v>1093</v>
      </c>
      <c r="D89" s="13" t="s">
        <v>55</v>
      </c>
      <c r="E89" s="13" t="s">
        <v>76</v>
      </c>
      <c r="F89" s="13" t="s">
        <v>94</v>
      </c>
      <c r="G89" s="14">
        <v>45680</v>
      </c>
      <c r="H89" s="14">
        <v>45688</v>
      </c>
      <c r="I89">
        <v>1847.11</v>
      </c>
      <c r="J89">
        <v>2014.95</v>
      </c>
      <c r="K89">
        <v>109.09</v>
      </c>
      <c r="L89">
        <v>334</v>
      </c>
      <c r="M89" s="13" t="s">
        <v>3366</v>
      </c>
    </row>
    <row r="90" spans="1:13" x14ac:dyDescent="0.35">
      <c r="A90" s="13" t="s">
        <v>3458</v>
      </c>
      <c r="B90" s="13" t="s">
        <v>676</v>
      </c>
      <c r="C90" s="13" t="s">
        <v>677</v>
      </c>
      <c r="D90" s="13" t="s">
        <v>67</v>
      </c>
      <c r="E90" s="13" t="s">
        <v>126</v>
      </c>
      <c r="F90" s="13" t="s">
        <v>122</v>
      </c>
      <c r="G90" s="14">
        <v>45677</v>
      </c>
      <c r="H90" s="14">
        <v>45688</v>
      </c>
      <c r="I90">
        <v>1336.3</v>
      </c>
      <c r="J90">
        <v>1467.07</v>
      </c>
      <c r="K90">
        <v>109.79</v>
      </c>
      <c r="L90">
        <v>334</v>
      </c>
      <c r="M90" s="13" t="s">
        <v>3366</v>
      </c>
    </row>
    <row r="91" spans="1:13" x14ac:dyDescent="0.35">
      <c r="A91" s="13" t="s">
        <v>3459</v>
      </c>
      <c r="B91" s="13" t="s">
        <v>516</v>
      </c>
      <c r="C91" s="13" t="s">
        <v>517</v>
      </c>
      <c r="D91" s="13" t="s">
        <v>55</v>
      </c>
      <c r="E91" s="13" t="s">
        <v>52</v>
      </c>
      <c r="F91" s="13" t="s">
        <v>57</v>
      </c>
      <c r="G91" s="14">
        <v>45686</v>
      </c>
      <c r="H91" s="14">
        <v>45689</v>
      </c>
      <c r="I91">
        <v>12933.22</v>
      </c>
      <c r="J91">
        <v>13300.97</v>
      </c>
      <c r="K91">
        <v>102.84</v>
      </c>
      <c r="L91">
        <v>333</v>
      </c>
      <c r="M91" s="13" t="s">
        <v>3366</v>
      </c>
    </row>
    <row r="92" spans="1:13" x14ac:dyDescent="0.35">
      <c r="A92" s="13" t="s">
        <v>3460</v>
      </c>
      <c r="B92" s="13" t="s">
        <v>761</v>
      </c>
      <c r="C92" s="13" t="s">
        <v>762</v>
      </c>
      <c r="D92" s="13" t="s">
        <v>67</v>
      </c>
      <c r="E92" s="13" t="s">
        <v>52</v>
      </c>
      <c r="F92" s="13" t="s">
        <v>87</v>
      </c>
      <c r="G92" s="14">
        <v>45684</v>
      </c>
      <c r="H92" s="14">
        <v>45689</v>
      </c>
      <c r="I92">
        <v>1829.09</v>
      </c>
      <c r="J92">
        <v>6167.7</v>
      </c>
      <c r="K92">
        <v>337.2</v>
      </c>
      <c r="L92">
        <v>333</v>
      </c>
      <c r="M92" s="13" t="s">
        <v>3366</v>
      </c>
    </row>
    <row r="93" spans="1:13" x14ac:dyDescent="0.35">
      <c r="A93" s="13" t="s">
        <v>3461</v>
      </c>
      <c r="B93" s="13" t="s">
        <v>312</v>
      </c>
      <c r="C93" s="13" t="s">
        <v>313</v>
      </c>
      <c r="D93" s="13" t="s">
        <v>55</v>
      </c>
      <c r="E93" s="13" t="s">
        <v>52</v>
      </c>
      <c r="F93" s="13" t="s">
        <v>57</v>
      </c>
      <c r="G93" s="14">
        <v>45679</v>
      </c>
      <c r="H93" s="14">
        <v>45689</v>
      </c>
      <c r="I93">
        <v>742.52</v>
      </c>
      <c r="J93">
        <v>2828.83</v>
      </c>
      <c r="K93">
        <v>380.98</v>
      </c>
      <c r="L93">
        <v>333</v>
      </c>
      <c r="M93" s="13" t="s">
        <v>3366</v>
      </c>
    </row>
    <row r="94" spans="1:13" x14ac:dyDescent="0.35">
      <c r="A94" s="13" t="s">
        <v>3462</v>
      </c>
      <c r="B94" s="13" t="s">
        <v>1251</v>
      </c>
      <c r="C94" s="13" t="s">
        <v>1252</v>
      </c>
      <c r="D94" s="13" t="s">
        <v>92</v>
      </c>
      <c r="E94" s="13" t="s">
        <v>76</v>
      </c>
      <c r="F94" s="13" t="s">
        <v>94</v>
      </c>
      <c r="G94" s="14">
        <v>45687</v>
      </c>
      <c r="H94" s="14">
        <v>45690</v>
      </c>
      <c r="I94">
        <v>821.59</v>
      </c>
      <c r="J94">
        <v>867.22</v>
      </c>
      <c r="K94">
        <v>105.55</v>
      </c>
      <c r="L94">
        <v>332</v>
      </c>
      <c r="M94" s="13" t="s">
        <v>3366</v>
      </c>
    </row>
    <row r="95" spans="1:13" x14ac:dyDescent="0.35">
      <c r="A95" s="13" t="s">
        <v>3463</v>
      </c>
      <c r="B95" s="13" t="s">
        <v>1553</v>
      </c>
      <c r="C95" s="13" t="s">
        <v>1554</v>
      </c>
      <c r="D95" s="13" t="s">
        <v>55</v>
      </c>
      <c r="E95" s="13" t="s">
        <v>76</v>
      </c>
      <c r="F95" s="13" t="s">
        <v>80</v>
      </c>
      <c r="G95" s="14">
        <v>45683</v>
      </c>
      <c r="H95" s="14">
        <v>45690</v>
      </c>
      <c r="I95">
        <v>4622.96</v>
      </c>
      <c r="J95">
        <v>5220.04</v>
      </c>
      <c r="K95">
        <v>112.92</v>
      </c>
      <c r="L95">
        <v>332</v>
      </c>
      <c r="M95" s="13" t="s">
        <v>3366</v>
      </c>
    </row>
    <row r="96" spans="1:13" x14ac:dyDescent="0.35">
      <c r="A96" s="13" t="s">
        <v>3464</v>
      </c>
      <c r="B96" s="13" t="s">
        <v>1358</v>
      </c>
      <c r="C96" s="13" t="s">
        <v>1359</v>
      </c>
      <c r="D96" s="13" t="s">
        <v>92</v>
      </c>
      <c r="E96" s="13" t="s">
        <v>76</v>
      </c>
      <c r="F96" s="13" t="s">
        <v>80</v>
      </c>
      <c r="G96" s="14">
        <v>45680</v>
      </c>
      <c r="H96" s="14">
        <v>45691</v>
      </c>
      <c r="I96">
        <v>1691.8</v>
      </c>
      <c r="J96">
        <v>1845.41</v>
      </c>
      <c r="K96">
        <v>109.08</v>
      </c>
      <c r="L96">
        <v>331</v>
      </c>
      <c r="M96" s="13" t="s">
        <v>3366</v>
      </c>
    </row>
    <row r="97" spans="1:13" x14ac:dyDescent="0.35">
      <c r="A97" s="13" t="s">
        <v>3465</v>
      </c>
      <c r="B97" s="13" t="s">
        <v>3466</v>
      </c>
      <c r="C97" s="13" t="s">
        <v>3467</v>
      </c>
      <c r="D97" s="13" t="s">
        <v>55</v>
      </c>
      <c r="E97" s="13" t="s">
        <v>104</v>
      </c>
      <c r="F97" s="13" t="s">
        <v>106</v>
      </c>
      <c r="G97" s="14">
        <v>45677</v>
      </c>
      <c r="H97" s="14">
        <v>45691</v>
      </c>
      <c r="I97">
        <v>7366.73</v>
      </c>
      <c r="J97">
        <v>10975.49</v>
      </c>
      <c r="K97">
        <v>148.99</v>
      </c>
      <c r="L97">
        <v>331</v>
      </c>
      <c r="M97" s="13" t="s">
        <v>3366</v>
      </c>
    </row>
    <row r="98" spans="1:13" x14ac:dyDescent="0.35">
      <c r="A98" s="13" t="s">
        <v>3468</v>
      </c>
      <c r="B98" s="13" t="s">
        <v>1155</v>
      </c>
      <c r="C98" s="13" t="s">
        <v>1156</v>
      </c>
      <c r="D98" s="13" t="s">
        <v>67</v>
      </c>
      <c r="E98" s="13" t="s">
        <v>52</v>
      </c>
      <c r="F98" s="13" t="s">
        <v>87</v>
      </c>
      <c r="G98" s="14">
        <v>45688</v>
      </c>
      <c r="H98" s="14">
        <v>45692</v>
      </c>
      <c r="I98">
        <v>16462.46</v>
      </c>
      <c r="J98">
        <v>16472.68</v>
      </c>
      <c r="K98">
        <v>100.06</v>
      </c>
      <c r="L98">
        <v>330</v>
      </c>
      <c r="M98" s="13" t="s">
        <v>3366</v>
      </c>
    </row>
    <row r="99" spans="1:13" x14ac:dyDescent="0.35">
      <c r="A99" s="13" t="s">
        <v>3469</v>
      </c>
      <c r="B99" s="13" t="s">
        <v>499</v>
      </c>
      <c r="C99" s="13" t="s">
        <v>500</v>
      </c>
      <c r="D99" s="13" t="s">
        <v>67</v>
      </c>
      <c r="E99" s="13" t="s">
        <v>104</v>
      </c>
      <c r="F99" s="13" t="s">
        <v>106</v>
      </c>
      <c r="G99" s="14">
        <v>45688</v>
      </c>
      <c r="H99" s="14">
        <v>45692</v>
      </c>
      <c r="I99">
        <v>1274.21</v>
      </c>
      <c r="J99">
        <v>1386.61</v>
      </c>
      <c r="K99">
        <v>108.82</v>
      </c>
      <c r="L99">
        <v>330</v>
      </c>
      <c r="M99" s="13" t="s">
        <v>3366</v>
      </c>
    </row>
    <row r="100" spans="1:13" x14ac:dyDescent="0.35">
      <c r="A100" s="13" t="s">
        <v>3470</v>
      </c>
      <c r="B100" s="13" t="s">
        <v>216</v>
      </c>
      <c r="C100" s="13" t="s">
        <v>217</v>
      </c>
      <c r="D100" s="13" t="s">
        <v>67</v>
      </c>
      <c r="E100" s="13" t="s">
        <v>52</v>
      </c>
      <c r="F100" s="13" t="s">
        <v>87</v>
      </c>
      <c r="G100" s="14">
        <v>45685</v>
      </c>
      <c r="H100" s="14">
        <v>45692</v>
      </c>
      <c r="I100">
        <v>3691.77</v>
      </c>
      <c r="J100">
        <v>30210.94</v>
      </c>
      <c r="K100">
        <v>818.33</v>
      </c>
      <c r="L100">
        <v>330</v>
      </c>
      <c r="M100" s="13" t="s">
        <v>3366</v>
      </c>
    </row>
    <row r="101" spans="1:13" x14ac:dyDescent="0.35">
      <c r="A101" s="13" t="s">
        <v>3471</v>
      </c>
      <c r="B101" s="13" t="s">
        <v>156</v>
      </c>
      <c r="C101" s="13" t="s">
        <v>157</v>
      </c>
      <c r="D101" s="13" t="s">
        <v>92</v>
      </c>
      <c r="E101" s="13" t="s">
        <v>52</v>
      </c>
      <c r="F101" s="13" t="s">
        <v>57</v>
      </c>
      <c r="G101" s="14">
        <v>45681</v>
      </c>
      <c r="H101" s="14">
        <v>45692</v>
      </c>
      <c r="I101">
        <v>9903.57</v>
      </c>
      <c r="J101">
        <v>15278.13</v>
      </c>
      <c r="K101">
        <v>154.27000000000001</v>
      </c>
      <c r="L101">
        <v>330</v>
      </c>
      <c r="M101" s="13" t="s">
        <v>3366</v>
      </c>
    </row>
    <row r="102" spans="1:13" x14ac:dyDescent="0.35">
      <c r="A102" s="13" t="s">
        <v>3472</v>
      </c>
      <c r="B102" s="13" t="s">
        <v>2413</v>
      </c>
      <c r="C102" s="13" t="s">
        <v>2414</v>
      </c>
      <c r="D102" s="13" t="s">
        <v>55</v>
      </c>
      <c r="E102" s="13" t="s">
        <v>76</v>
      </c>
      <c r="F102" s="13" t="s">
        <v>80</v>
      </c>
      <c r="G102" s="14">
        <v>45687</v>
      </c>
      <c r="H102" s="14">
        <v>45692</v>
      </c>
      <c r="I102">
        <v>1217.51</v>
      </c>
      <c r="J102">
        <v>3238.36</v>
      </c>
      <c r="K102">
        <v>265.98</v>
      </c>
      <c r="L102">
        <v>330</v>
      </c>
      <c r="M102" s="13" t="s">
        <v>3366</v>
      </c>
    </row>
    <row r="103" spans="1:13" x14ac:dyDescent="0.35">
      <c r="A103" s="13" t="s">
        <v>3473</v>
      </c>
      <c r="B103" s="13" t="s">
        <v>340</v>
      </c>
      <c r="C103" s="13" t="s">
        <v>341</v>
      </c>
      <c r="D103" s="13" t="s">
        <v>92</v>
      </c>
      <c r="E103" s="13" t="s">
        <v>52</v>
      </c>
      <c r="F103" s="13" t="s">
        <v>57</v>
      </c>
      <c r="G103" s="14">
        <v>45688</v>
      </c>
      <c r="H103" s="14">
        <v>45693</v>
      </c>
      <c r="I103">
        <v>3910.69</v>
      </c>
      <c r="J103">
        <v>18352.62</v>
      </c>
      <c r="K103">
        <v>469.29</v>
      </c>
      <c r="L103">
        <v>329</v>
      </c>
      <c r="M103" s="13" t="s">
        <v>3366</v>
      </c>
    </row>
    <row r="104" spans="1:13" x14ac:dyDescent="0.35">
      <c r="A104" s="13" t="s">
        <v>3474</v>
      </c>
      <c r="B104" s="13" t="s">
        <v>2642</v>
      </c>
      <c r="C104" s="13" t="s">
        <v>2643</v>
      </c>
      <c r="D104" s="13" t="s">
        <v>92</v>
      </c>
      <c r="E104" s="13" t="s">
        <v>76</v>
      </c>
      <c r="F104" s="13" t="s">
        <v>94</v>
      </c>
      <c r="G104" s="14">
        <v>45690</v>
      </c>
      <c r="H104" s="14">
        <v>45693</v>
      </c>
      <c r="I104">
        <v>1149.8800000000001</v>
      </c>
      <c r="J104">
        <v>2628.18</v>
      </c>
      <c r="K104">
        <v>228.56</v>
      </c>
      <c r="L104">
        <v>329</v>
      </c>
      <c r="M104" s="13" t="s">
        <v>3366</v>
      </c>
    </row>
    <row r="105" spans="1:13" x14ac:dyDescent="0.35">
      <c r="A105" s="13" t="s">
        <v>3475</v>
      </c>
      <c r="B105" s="13" t="s">
        <v>209</v>
      </c>
      <c r="C105" s="13" t="s">
        <v>210</v>
      </c>
      <c r="D105" s="13" t="s">
        <v>55</v>
      </c>
      <c r="E105" s="13" t="s">
        <v>52</v>
      </c>
      <c r="F105" s="13" t="s">
        <v>57</v>
      </c>
      <c r="G105" s="14">
        <v>45684</v>
      </c>
      <c r="H105" s="14">
        <v>45693</v>
      </c>
      <c r="I105">
        <v>1754.12</v>
      </c>
      <c r="J105">
        <v>1771.17</v>
      </c>
      <c r="K105">
        <v>100.97</v>
      </c>
      <c r="L105">
        <v>329</v>
      </c>
      <c r="M105" s="13" t="s">
        <v>3366</v>
      </c>
    </row>
    <row r="106" spans="1:13" x14ac:dyDescent="0.35">
      <c r="A106" s="13" t="s">
        <v>3476</v>
      </c>
      <c r="B106" s="13" t="s">
        <v>854</v>
      </c>
      <c r="C106" s="13" t="s">
        <v>855</v>
      </c>
      <c r="D106" s="13" t="s">
        <v>67</v>
      </c>
      <c r="E106" s="13" t="s">
        <v>52</v>
      </c>
      <c r="F106" s="13" t="s">
        <v>87</v>
      </c>
      <c r="G106" s="14">
        <v>45683</v>
      </c>
      <c r="H106" s="14">
        <v>45694</v>
      </c>
      <c r="I106">
        <v>5109.2</v>
      </c>
      <c r="J106">
        <v>12094.18</v>
      </c>
      <c r="K106">
        <v>236.71</v>
      </c>
      <c r="L106">
        <v>328</v>
      </c>
      <c r="M106" s="13" t="s">
        <v>3366</v>
      </c>
    </row>
    <row r="107" spans="1:13" x14ac:dyDescent="0.35">
      <c r="A107" s="13" t="s">
        <v>3477</v>
      </c>
      <c r="B107" s="13" t="s">
        <v>200</v>
      </c>
      <c r="C107" s="13" t="s">
        <v>201</v>
      </c>
      <c r="D107" s="13" t="s">
        <v>55</v>
      </c>
      <c r="E107" s="13" t="s">
        <v>104</v>
      </c>
      <c r="F107" s="13" t="s">
        <v>122</v>
      </c>
      <c r="G107" s="14">
        <v>45692</v>
      </c>
      <c r="H107" s="14">
        <v>45694</v>
      </c>
      <c r="I107">
        <v>5063.91</v>
      </c>
      <c r="J107">
        <v>5583.59</v>
      </c>
      <c r="K107">
        <v>110.26</v>
      </c>
      <c r="L107">
        <v>328</v>
      </c>
      <c r="M107" s="13" t="s">
        <v>3366</v>
      </c>
    </row>
    <row r="108" spans="1:13" x14ac:dyDescent="0.35">
      <c r="A108" s="13" t="s">
        <v>3478</v>
      </c>
      <c r="B108" s="13" t="s">
        <v>216</v>
      </c>
      <c r="C108" s="13" t="s">
        <v>217</v>
      </c>
      <c r="D108" s="13" t="s">
        <v>67</v>
      </c>
      <c r="E108" s="13" t="s">
        <v>52</v>
      </c>
      <c r="F108" s="13" t="s">
        <v>87</v>
      </c>
      <c r="G108" s="14">
        <v>45685</v>
      </c>
      <c r="H108" s="14">
        <v>45694</v>
      </c>
      <c r="I108">
        <v>4294.3599999999997</v>
      </c>
      <c r="J108">
        <v>23695.68</v>
      </c>
      <c r="K108">
        <v>551.79</v>
      </c>
      <c r="L108">
        <v>328</v>
      </c>
      <c r="M108" s="13" t="s">
        <v>3366</v>
      </c>
    </row>
    <row r="109" spans="1:13" x14ac:dyDescent="0.35">
      <c r="A109" s="13" t="s">
        <v>3479</v>
      </c>
      <c r="B109" s="13" t="s">
        <v>958</v>
      </c>
      <c r="C109" s="13" t="s">
        <v>959</v>
      </c>
      <c r="D109" s="13" t="s">
        <v>55</v>
      </c>
      <c r="E109" s="13" t="s">
        <v>52</v>
      </c>
      <c r="F109" s="13" t="s">
        <v>57</v>
      </c>
      <c r="G109" s="14">
        <v>45686</v>
      </c>
      <c r="H109" s="14">
        <v>45694</v>
      </c>
      <c r="I109">
        <v>2704.98</v>
      </c>
      <c r="J109">
        <v>10841.47</v>
      </c>
      <c r="K109">
        <v>400.8</v>
      </c>
      <c r="L109">
        <v>328</v>
      </c>
      <c r="M109" s="13" t="s">
        <v>3366</v>
      </c>
    </row>
    <row r="110" spans="1:13" x14ac:dyDescent="0.35">
      <c r="A110" s="13" t="s">
        <v>3480</v>
      </c>
      <c r="B110" s="13" t="s">
        <v>1875</v>
      </c>
      <c r="C110" s="13" t="s">
        <v>1876</v>
      </c>
      <c r="D110" s="13" t="s">
        <v>67</v>
      </c>
      <c r="E110" s="13" t="s">
        <v>104</v>
      </c>
      <c r="F110" s="13" t="s">
        <v>106</v>
      </c>
      <c r="G110" s="14">
        <v>45691</v>
      </c>
      <c r="H110" s="14">
        <v>45695</v>
      </c>
      <c r="I110">
        <v>783.56</v>
      </c>
      <c r="J110">
        <v>800.6</v>
      </c>
      <c r="K110">
        <v>102.17</v>
      </c>
      <c r="L110">
        <v>327</v>
      </c>
      <c r="M110" s="13" t="s">
        <v>3366</v>
      </c>
    </row>
    <row r="111" spans="1:13" x14ac:dyDescent="0.35">
      <c r="A111" s="13" t="s">
        <v>3481</v>
      </c>
      <c r="B111" s="13" t="s">
        <v>636</v>
      </c>
      <c r="C111" s="13" t="s">
        <v>637</v>
      </c>
      <c r="D111" s="13" t="s">
        <v>67</v>
      </c>
      <c r="E111" s="13" t="s">
        <v>126</v>
      </c>
      <c r="F111" s="13" t="s">
        <v>106</v>
      </c>
      <c r="G111" s="14">
        <v>45688</v>
      </c>
      <c r="H111" s="14">
        <v>45695</v>
      </c>
      <c r="I111">
        <v>4738.54</v>
      </c>
      <c r="J111">
        <v>4772.33</v>
      </c>
      <c r="K111">
        <v>100.71</v>
      </c>
      <c r="L111">
        <v>327</v>
      </c>
      <c r="M111" s="13" t="s">
        <v>3366</v>
      </c>
    </row>
    <row r="112" spans="1:13" x14ac:dyDescent="0.35">
      <c r="A112" s="13" t="s">
        <v>3482</v>
      </c>
      <c r="B112" s="13" t="s">
        <v>156</v>
      </c>
      <c r="C112" s="13" t="s">
        <v>157</v>
      </c>
      <c r="D112" s="13" t="s">
        <v>92</v>
      </c>
      <c r="E112" s="13" t="s">
        <v>52</v>
      </c>
      <c r="F112" s="13" t="s">
        <v>57</v>
      </c>
      <c r="G112" s="14">
        <v>45681</v>
      </c>
      <c r="H112" s="14">
        <v>45695</v>
      </c>
      <c r="I112">
        <v>4212.95</v>
      </c>
      <c r="J112">
        <v>6581.35</v>
      </c>
      <c r="K112">
        <v>156.22</v>
      </c>
      <c r="L112">
        <v>327</v>
      </c>
      <c r="M112" s="13" t="s">
        <v>3366</v>
      </c>
    </row>
    <row r="113" spans="1:13" x14ac:dyDescent="0.35">
      <c r="A113" s="13" t="s">
        <v>3483</v>
      </c>
      <c r="B113" s="13" t="s">
        <v>225</v>
      </c>
      <c r="C113" s="13" t="s">
        <v>226</v>
      </c>
      <c r="D113" s="13" t="s">
        <v>55</v>
      </c>
      <c r="E113" s="13" t="s">
        <v>52</v>
      </c>
      <c r="F113" s="13" t="s">
        <v>57</v>
      </c>
      <c r="G113" s="14">
        <v>45683</v>
      </c>
      <c r="H113" s="14">
        <v>45695</v>
      </c>
      <c r="I113">
        <v>13198.59</v>
      </c>
      <c r="J113">
        <v>16178.43</v>
      </c>
      <c r="K113">
        <v>122.58</v>
      </c>
      <c r="L113">
        <v>327</v>
      </c>
      <c r="M113" s="13" t="s">
        <v>3366</v>
      </c>
    </row>
    <row r="114" spans="1:13" x14ac:dyDescent="0.35">
      <c r="A114" s="13" t="s">
        <v>3484</v>
      </c>
      <c r="B114" s="13" t="s">
        <v>438</v>
      </c>
      <c r="C114" s="13" t="s">
        <v>439</v>
      </c>
      <c r="D114" s="13" t="s">
        <v>67</v>
      </c>
      <c r="E114" s="13" t="s">
        <v>126</v>
      </c>
      <c r="F114" s="13" t="s">
        <v>87</v>
      </c>
      <c r="G114" s="14">
        <v>45686</v>
      </c>
      <c r="H114" s="14">
        <v>45695</v>
      </c>
      <c r="I114">
        <v>1048.22</v>
      </c>
      <c r="J114">
        <v>1152.57</v>
      </c>
      <c r="K114">
        <v>109.95</v>
      </c>
      <c r="L114">
        <v>327</v>
      </c>
      <c r="M114" s="13" t="s">
        <v>3366</v>
      </c>
    </row>
    <row r="115" spans="1:13" x14ac:dyDescent="0.35">
      <c r="A115" s="13" t="s">
        <v>3485</v>
      </c>
      <c r="B115" s="13" t="s">
        <v>206</v>
      </c>
      <c r="C115" s="13" t="s">
        <v>207</v>
      </c>
      <c r="D115" s="13" t="s">
        <v>92</v>
      </c>
      <c r="E115" s="13" t="s">
        <v>52</v>
      </c>
      <c r="F115" s="13" t="s">
        <v>87</v>
      </c>
      <c r="G115" s="14">
        <v>45689</v>
      </c>
      <c r="H115" s="14">
        <v>45696</v>
      </c>
      <c r="I115">
        <v>2361.92</v>
      </c>
      <c r="J115">
        <v>16067.71</v>
      </c>
      <c r="K115">
        <v>680.28</v>
      </c>
      <c r="L115">
        <v>326</v>
      </c>
      <c r="M115" s="13" t="s">
        <v>3366</v>
      </c>
    </row>
    <row r="116" spans="1:13" x14ac:dyDescent="0.35">
      <c r="A116" s="13" t="s">
        <v>3486</v>
      </c>
      <c r="B116" s="13" t="s">
        <v>1970</v>
      </c>
      <c r="C116" s="13" t="s">
        <v>1971</v>
      </c>
      <c r="D116" s="13" t="s">
        <v>67</v>
      </c>
      <c r="E116" s="13" t="s">
        <v>76</v>
      </c>
      <c r="F116" s="13" t="s">
        <v>94</v>
      </c>
      <c r="G116" s="14">
        <v>45687</v>
      </c>
      <c r="H116" s="14">
        <v>45696</v>
      </c>
      <c r="I116">
        <v>497.26</v>
      </c>
      <c r="J116">
        <v>1124.08</v>
      </c>
      <c r="K116">
        <v>226.05</v>
      </c>
      <c r="L116">
        <v>326</v>
      </c>
      <c r="M116" s="13" t="s">
        <v>3366</v>
      </c>
    </row>
    <row r="117" spans="1:13" x14ac:dyDescent="0.35">
      <c r="A117" s="13" t="s">
        <v>3487</v>
      </c>
      <c r="B117" s="13" t="s">
        <v>1763</v>
      </c>
      <c r="C117" s="13" t="s">
        <v>1764</v>
      </c>
      <c r="D117" s="13" t="s">
        <v>92</v>
      </c>
      <c r="E117" s="13" t="s">
        <v>104</v>
      </c>
      <c r="F117" s="13" t="s">
        <v>106</v>
      </c>
      <c r="G117" s="14">
        <v>45685</v>
      </c>
      <c r="H117" s="14">
        <v>45696</v>
      </c>
      <c r="I117">
        <v>4827.34</v>
      </c>
      <c r="J117">
        <v>4891.07</v>
      </c>
      <c r="K117">
        <v>101.32</v>
      </c>
      <c r="L117">
        <v>326</v>
      </c>
      <c r="M117" s="13" t="s">
        <v>3366</v>
      </c>
    </row>
    <row r="118" spans="1:13" x14ac:dyDescent="0.35">
      <c r="A118" s="13" t="s">
        <v>3488</v>
      </c>
      <c r="B118" s="13" t="s">
        <v>1115</v>
      </c>
      <c r="C118" s="13" t="s">
        <v>1116</v>
      </c>
      <c r="D118" s="13" t="s">
        <v>92</v>
      </c>
      <c r="E118" s="13" t="s">
        <v>52</v>
      </c>
      <c r="F118" s="13" t="s">
        <v>57</v>
      </c>
      <c r="G118" s="14">
        <v>45689</v>
      </c>
      <c r="H118" s="14">
        <v>45697</v>
      </c>
      <c r="I118">
        <v>9710.1</v>
      </c>
      <c r="J118">
        <v>13241.8</v>
      </c>
      <c r="K118">
        <v>136.37</v>
      </c>
      <c r="L118">
        <v>325</v>
      </c>
      <c r="M118" s="13" t="s">
        <v>3366</v>
      </c>
    </row>
    <row r="119" spans="1:13" x14ac:dyDescent="0.35">
      <c r="A119" s="13" t="s">
        <v>3489</v>
      </c>
      <c r="B119" s="13" t="s">
        <v>156</v>
      </c>
      <c r="C119" s="13" t="s">
        <v>157</v>
      </c>
      <c r="D119" s="13" t="s">
        <v>92</v>
      </c>
      <c r="E119" s="13" t="s">
        <v>52</v>
      </c>
      <c r="F119" s="13" t="s">
        <v>57</v>
      </c>
      <c r="G119" s="14">
        <v>45689</v>
      </c>
      <c r="H119" s="14">
        <v>45697</v>
      </c>
      <c r="I119">
        <v>1881.48</v>
      </c>
      <c r="J119">
        <v>4582.62</v>
      </c>
      <c r="K119">
        <v>243.56</v>
      </c>
      <c r="L119">
        <v>325</v>
      </c>
      <c r="M119" s="13" t="s">
        <v>3366</v>
      </c>
    </row>
    <row r="120" spans="1:13" x14ac:dyDescent="0.35">
      <c r="A120" s="13" t="s">
        <v>3490</v>
      </c>
      <c r="B120" s="13" t="s">
        <v>1077</v>
      </c>
      <c r="C120" s="13" t="s">
        <v>1078</v>
      </c>
      <c r="D120" s="13" t="s">
        <v>92</v>
      </c>
      <c r="E120" s="13" t="s">
        <v>104</v>
      </c>
      <c r="F120" s="13" t="s">
        <v>106</v>
      </c>
      <c r="G120" s="14">
        <v>45686</v>
      </c>
      <c r="H120" s="14">
        <v>45697</v>
      </c>
      <c r="I120">
        <v>3049.82</v>
      </c>
      <c r="J120">
        <v>3359.07</v>
      </c>
      <c r="K120">
        <v>110.14</v>
      </c>
      <c r="L120">
        <v>325</v>
      </c>
      <c r="M120" s="13" t="s">
        <v>3366</v>
      </c>
    </row>
    <row r="121" spans="1:13" x14ac:dyDescent="0.35">
      <c r="A121" s="13" t="s">
        <v>3491</v>
      </c>
      <c r="B121" s="13" t="s">
        <v>914</v>
      </c>
      <c r="C121" s="13" t="s">
        <v>915</v>
      </c>
      <c r="D121" s="13" t="s">
        <v>55</v>
      </c>
      <c r="E121" s="13" t="s">
        <v>76</v>
      </c>
      <c r="F121" s="13" t="s">
        <v>94</v>
      </c>
      <c r="G121" s="14">
        <v>45687</v>
      </c>
      <c r="H121" s="14">
        <v>45697</v>
      </c>
      <c r="I121">
        <v>893.79</v>
      </c>
      <c r="J121">
        <v>1946.85</v>
      </c>
      <c r="K121">
        <v>217.82</v>
      </c>
      <c r="L121">
        <v>325</v>
      </c>
      <c r="M121" s="13" t="s">
        <v>3366</v>
      </c>
    </row>
    <row r="122" spans="1:13" x14ac:dyDescent="0.35">
      <c r="A122" s="13" t="s">
        <v>3492</v>
      </c>
      <c r="B122" s="13" t="s">
        <v>2080</v>
      </c>
      <c r="C122" s="13" t="s">
        <v>2081</v>
      </c>
      <c r="D122" s="13" t="s">
        <v>55</v>
      </c>
      <c r="E122" s="13" t="s">
        <v>104</v>
      </c>
      <c r="F122" s="13" t="s">
        <v>57</v>
      </c>
      <c r="G122" s="14">
        <v>45689</v>
      </c>
      <c r="H122" s="14">
        <v>45697</v>
      </c>
      <c r="I122">
        <v>5030.09</v>
      </c>
      <c r="J122">
        <v>6597.34</v>
      </c>
      <c r="K122">
        <v>131.16</v>
      </c>
      <c r="L122">
        <v>325</v>
      </c>
      <c r="M122" s="13" t="s">
        <v>3366</v>
      </c>
    </row>
    <row r="123" spans="1:13" x14ac:dyDescent="0.35">
      <c r="A123" s="13" t="s">
        <v>3493</v>
      </c>
      <c r="B123" s="13" t="s">
        <v>2464</v>
      </c>
      <c r="C123" s="13" t="s">
        <v>2465</v>
      </c>
      <c r="D123" s="13" t="s">
        <v>67</v>
      </c>
      <c r="E123" s="13" t="s">
        <v>126</v>
      </c>
      <c r="F123" s="13" t="s">
        <v>106</v>
      </c>
      <c r="G123" s="14">
        <v>45690</v>
      </c>
      <c r="H123" s="14">
        <v>45697</v>
      </c>
      <c r="I123">
        <v>5124.3500000000004</v>
      </c>
      <c r="J123">
        <v>6561.92</v>
      </c>
      <c r="K123">
        <v>128.05000000000001</v>
      </c>
      <c r="L123">
        <v>325</v>
      </c>
      <c r="M123" s="13" t="s">
        <v>3366</v>
      </c>
    </row>
    <row r="124" spans="1:13" x14ac:dyDescent="0.35">
      <c r="A124" s="13" t="s">
        <v>3494</v>
      </c>
      <c r="B124" s="13" t="s">
        <v>625</v>
      </c>
      <c r="C124" s="13" t="s">
        <v>626</v>
      </c>
      <c r="D124" s="13" t="s">
        <v>67</v>
      </c>
      <c r="E124" s="13" t="s">
        <v>104</v>
      </c>
      <c r="F124" s="13" t="s">
        <v>106</v>
      </c>
      <c r="G124" s="14">
        <v>45692</v>
      </c>
      <c r="H124" s="14">
        <v>45697</v>
      </c>
      <c r="I124">
        <v>862.78</v>
      </c>
      <c r="J124">
        <v>902.01</v>
      </c>
      <c r="K124">
        <v>104.55</v>
      </c>
      <c r="L124">
        <v>325</v>
      </c>
      <c r="M124" s="13" t="s">
        <v>3366</v>
      </c>
    </row>
    <row r="125" spans="1:13" x14ac:dyDescent="0.35">
      <c r="A125" s="13" t="s">
        <v>3495</v>
      </c>
      <c r="B125" s="13" t="s">
        <v>837</v>
      </c>
      <c r="C125" s="13" t="s">
        <v>838</v>
      </c>
      <c r="D125" s="13" t="s">
        <v>67</v>
      </c>
      <c r="E125" s="13" t="s">
        <v>104</v>
      </c>
      <c r="F125" s="13" t="s">
        <v>106</v>
      </c>
      <c r="G125" s="14">
        <v>45694</v>
      </c>
      <c r="H125" s="14">
        <v>45698</v>
      </c>
      <c r="I125">
        <v>753.46</v>
      </c>
      <c r="J125">
        <v>806.81</v>
      </c>
      <c r="K125">
        <v>107.08</v>
      </c>
      <c r="L125">
        <v>324</v>
      </c>
      <c r="M125" s="13" t="s">
        <v>3366</v>
      </c>
    </row>
    <row r="126" spans="1:13" x14ac:dyDescent="0.35">
      <c r="A126" s="13" t="s">
        <v>3496</v>
      </c>
      <c r="B126" s="13" t="s">
        <v>506</v>
      </c>
      <c r="C126" s="13" t="s">
        <v>507</v>
      </c>
      <c r="D126" s="13" t="s">
        <v>67</v>
      </c>
      <c r="E126" s="13" t="s">
        <v>126</v>
      </c>
      <c r="F126" s="13" t="s">
        <v>87</v>
      </c>
      <c r="G126" s="14">
        <v>45687</v>
      </c>
      <c r="H126" s="14">
        <v>45698</v>
      </c>
      <c r="I126">
        <v>3604.98</v>
      </c>
      <c r="J126">
        <v>3709.11</v>
      </c>
      <c r="K126">
        <v>102.89</v>
      </c>
      <c r="L126">
        <v>324</v>
      </c>
      <c r="M126" s="13" t="s">
        <v>3366</v>
      </c>
    </row>
    <row r="127" spans="1:13" x14ac:dyDescent="0.35">
      <c r="A127" s="13" t="s">
        <v>3497</v>
      </c>
      <c r="B127" s="13" t="s">
        <v>3498</v>
      </c>
      <c r="C127" s="13" t="s">
        <v>3499</v>
      </c>
      <c r="D127" s="13" t="s">
        <v>67</v>
      </c>
      <c r="E127" s="13" t="s">
        <v>104</v>
      </c>
      <c r="F127" s="13" t="s">
        <v>106</v>
      </c>
      <c r="G127" s="14">
        <v>45692</v>
      </c>
      <c r="H127" s="14">
        <v>45698</v>
      </c>
      <c r="I127">
        <v>5153.8599999999997</v>
      </c>
      <c r="J127">
        <v>5675.4</v>
      </c>
      <c r="K127">
        <v>110.12</v>
      </c>
      <c r="L127">
        <v>324</v>
      </c>
      <c r="M127" s="13" t="s">
        <v>3366</v>
      </c>
    </row>
    <row r="128" spans="1:13" x14ac:dyDescent="0.35">
      <c r="A128" s="13" t="s">
        <v>3500</v>
      </c>
      <c r="B128" s="13" t="s">
        <v>312</v>
      </c>
      <c r="C128" s="13" t="s">
        <v>313</v>
      </c>
      <c r="D128" s="13" t="s">
        <v>55</v>
      </c>
      <c r="E128" s="13" t="s">
        <v>52</v>
      </c>
      <c r="F128" s="13" t="s">
        <v>57</v>
      </c>
      <c r="G128" s="14">
        <v>45695</v>
      </c>
      <c r="H128" s="14">
        <v>45698</v>
      </c>
      <c r="I128">
        <v>4017.68</v>
      </c>
      <c r="J128">
        <v>12124.32</v>
      </c>
      <c r="K128">
        <v>301.77</v>
      </c>
      <c r="L128">
        <v>324</v>
      </c>
      <c r="M128" s="13" t="s">
        <v>3366</v>
      </c>
    </row>
    <row r="129" spans="1:13" x14ac:dyDescent="0.35">
      <c r="A129" s="13" t="s">
        <v>3501</v>
      </c>
      <c r="B129" s="13" t="s">
        <v>695</v>
      </c>
      <c r="C129" s="13" t="s">
        <v>696</v>
      </c>
      <c r="D129" s="13" t="s">
        <v>92</v>
      </c>
      <c r="E129" s="13" t="s">
        <v>52</v>
      </c>
      <c r="F129" s="13" t="s">
        <v>57</v>
      </c>
      <c r="G129" s="14">
        <v>45686</v>
      </c>
      <c r="H129" s="14">
        <v>45699</v>
      </c>
      <c r="I129">
        <v>8052.51</v>
      </c>
      <c r="J129">
        <v>9389.65</v>
      </c>
      <c r="K129">
        <v>116.61</v>
      </c>
      <c r="L129">
        <v>323</v>
      </c>
      <c r="M129" s="13" t="s">
        <v>3366</v>
      </c>
    </row>
    <row r="130" spans="1:13" x14ac:dyDescent="0.35">
      <c r="A130" s="13" t="s">
        <v>3502</v>
      </c>
      <c r="B130" s="13" t="s">
        <v>1165</v>
      </c>
      <c r="C130" s="13" t="s">
        <v>1166</v>
      </c>
      <c r="D130" s="13" t="s">
        <v>67</v>
      </c>
      <c r="E130" s="13" t="s">
        <v>52</v>
      </c>
      <c r="F130" s="13" t="s">
        <v>57</v>
      </c>
      <c r="G130" s="14">
        <v>45686</v>
      </c>
      <c r="H130" s="14">
        <v>45699</v>
      </c>
      <c r="I130">
        <v>6651.74</v>
      </c>
      <c r="J130">
        <v>9280.0499999999993</v>
      </c>
      <c r="K130">
        <v>139.51</v>
      </c>
      <c r="L130">
        <v>323</v>
      </c>
      <c r="M130" s="13" t="s">
        <v>3366</v>
      </c>
    </row>
    <row r="131" spans="1:13" x14ac:dyDescent="0.35">
      <c r="A131" s="13" t="s">
        <v>3503</v>
      </c>
      <c r="B131" s="13" t="s">
        <v>949</v>
      </c>
      <c r="C131" s="13" t="s">
        <v>950</v>
      </c>
      <c r="D131" s="13" t="s">
        <v>67</v>
      </c>
      <c r="E131" s="13" t="s">
        <v>52</v>
      </c>
      <c r="F131" s="13" t="s">
        <v>57</v>
      </c>
      <c r="G131" s="14">
        <v>45696</v>
      </c>
      <c r="H131" s="14">
        <v>45700</v>
      </c>
      <c r="I131">
        <v>2868.12</v>
      </c>
      <c r="J131">
        <v>5127.83</v>
      </c>
      <c r="K131">
        <v>178.79</v>
      </c>
      <c r="L131">
        <v>322</v>
      </c>
      <c r="M131" s="13" t="s">
        <v>3366</v>
      </c>
    </row>
    <row r="132" spans="1:13" x14ac:dyDescent="0.35">
      <c r="A132" s="13" t="s">
        <v>3504</v>
      </c>
      <c r="B132" s="13" t="s">
        <v>225</v>
      </c>
      <c r="C132" s="13" t="s">
        <v>226</v>
      </c>
      <c r="D132" s="13" t="s">
        <v>55</v>
      </c>
      <c r="E132" s="13" t="s">
        <v>52</v>
      </c>
      <c r="F132" s="13" t="s">
        <v>57</v>
      </c>
      <c r="G132" s="14">
        <v>45686</v>
      </c>
      <c r="H132" s="14">
        <v>45700</v>
      </c>
      <c r="I132">
        <v>4801.17</v>
      </c>
      <c r="J132">
        <v>35127.46</v>
      </c>
      <c r="K132">
        <v>731.64</v>
      </c>
      <c r="L132">
        <v>322</v>
      </c>
      <c r="M132" s="13" t="s">
        <v>3366</v>
      </c>
    </row>
    <row r="133" spans="1:13" x14ac:dyDescent="0.35">
      <c r="A133" s="13" t="s">
        <v>3505</v>
      </c>
      <c r="B133" s="13" t="s">
        <v>1553</v>
      </c>
      <c r="C133" s="13" t="s">
        <v>1554</v>
      </c>
      <c r="D133" s="13" t="s">
        <v>55</v>
      </c>
      <c r="E133" s="13" t="s">
        <v>76</v>
      </c>
      <c r="F133" s="13" t="s">
        <v>80</v>
      </c>
      <c r="G133" s="14">
        <v>45690</v>
      </c>
      <c r="H133" s="14">
        <v>45700</v>
      </c>
      <c r="I133">
        <v>1575.78</v>
      </c>
      <c r="J133">
        <v>1671.34</v>
      </c>
      <c r="K133">
        <v>106.06</v>
      </c>
      <c r="L133">
        <v>322</v>
      </c>
      <c r="M133" s="13" t="s">
        <v>3366</v>
      </c>
    </row>
    <row r="134" spans="1:13" x14ac:dyDescent="0.35">
      <c r="A134" s="13" t="s">
        <v>3506</v>
      </c>
      <c r="B134" s="13" t="s">
        <v>186</v>
      </c>
      <c r="C134" s="13" t="s">
        <v>187</v>
      </c>
      <c r="D134" s="13" t="s">
        <v>55</v>
      </c>
      <c r="E134" s="13" t="s">
        <v>76</v>
      </c>
      <c r="F134" s="13" t="s">
        <v>94</v>
      </c>
      <c r="G134" s="14">
        <v>45690</v>
      </c>
      <c r="H134" s="14">
        <v>45701</v>
      </c>
      <c r="I134">
        <v>607.03</v>
      </c>
      <c r="J134">
        <v>636.41999999999996</v>
      </c>
      <c r="K134">
        <v>104.84</v>
      </c>
      <c r="L134">
        <v>321</v>
      </c>
      <c r="M134" s="13" t="s">
        <v>3366</v>
      </c>
    </row>
    <row r="135" spans="1:13" x14ac:dyDescent="0.35">
      <c r="A135" s="13" t="s">
        <v>3507</v>
      </c>
      <c r="B135" s="13" t="s">
        <v>1150</v>
      </c>
      <c r="C135" s="13" t="s">
        <v>1151</v>
      </c>
      <c r="D135" s="13" t="s">
        <v>92</v>
      </c>
      <c r="E135" s="13" t="s">
        <v>76</v>
      </c>
      <c r="F135" s="13" t="s">
        <v>80</v>
      </c>
      <c r="G135" s="14">
        <v>45697</v>
      </c>
      <c r="H135" s="14">
        <v>45701</v>
      </c>
      <c r="I135">
        <v>489.81</v>
      </c>
      <c r="J135">
        <v>2244.59</v>
      </c>
      <c r="K135">
        <v>458.26</v>
      </c>
      <c r="L135">
        <v>321</v>
      </c>
      <c r="M135" s="13" t="s">
        <v>3366</v>
      </c>
    </row>
    <row r="136" spans="1:13" x14ac:dyDescent="0.35">
      <c r="A136" s="13" t="s">
        <v>3508</v>
      </c>
      <c r="B136" s="13" t="s">
        <v>876</v>
      </c>
      <c r="C136" s="13" t="s">
        <v>877</v>
      </c>
      <c r="D136" s="13" t="s">
        <v>67</v>
      </c>
      <c r="E136" s="13" t="s">
        <v>126</v>
      </c>
      <c r="F136" s="13" t="s">
        <v>122</v>
      </c>
      <c r="G136" s="14">
        <v>45692</v>
      </c>
      <c r="H136" s="14">
        <v>45701</v>
      </c>
      <c r="I136">
        <v>1196.96</v>
      </c>
      <c r="J136">
        <v>1275.8800000000001</v>
      </c>
      <c r="K136">
        <v>106.59</v>
      </c>
      <c r="L136">
        <v>321</v>
      </c>
      <c r="M136" s="13" t="s">
        <v>3366</v>
      </c>
    </row>
    <row r="137" spans="1:13" x14ac:dyDescent="0.35">
      <c r="A137" s="13" t="s">
        <v>3509</v>
      </c>
      <c r="B137" s="13" t="s">
        <v>1957</v>
      </c>
      <c r="C137" s="13" t="s">
        <v>1958</v>
      </c>
      <c r="D137" s="13" t="s">
        <v>55</v>
      </c>
      <c r="E137" s="13" t="s">
        <v>76</v>
      </c>
      <c r="F137" s="13" t="s">
        <v>94</v>
      </c>
      <c r="G137" s="14">
        <v>45693</v>
      </c>
      <c r="H137" s="14">
        <v>45702</v>
      </c>
      <c r="I137">
        <v>3567.88</v>
      </c>
      <c r="J137">
        <v>3589.92</v>
      </c>
      <c r="K137">
        <v>100.62</v>
      </c>
      <c r="L137">
        <v>320</v>
      </c>
      <c r="M137" s="13" t="s">
        <v>3366</v>
      </c>
    </row>
    <row r="138" spans="1:13" x14ac:dyDescent="0.35">
      <c r="A138" s="13" t="s">
        <v>3510</v>
      </c>
      <c r="B138" s="13" t="s">
        <v>3443</v>
      </c>
      <c r="C138" s="13" t="s">
        <v>3444</v>
      </c>
      <c r="D138" s="13" t="s">
        <v>55</v>
      </c>
      <c r="E138" s="13" t="s">
        <v>104</v>
      </c>
      <c r="F138" s="13" t="s">
        <v>106</v>
      </c>
      <c r="G138" s="14">
        <v>45695</v>
      </c>
      <c r="H138" s="14">
        <v>45702</v>
      </c>
      <c r="I138">
        <v>943.34</v>
      </c>
      <c r="J138">
        <v>2613.4299999999998</v>
      </c>
      <c r="K138">
        <v>277.04000000000002</v>
      </c>
      <c r="L138">
        <v>320</v>
      </c>
      <c r="M138" s="13" t="s">
        <v>3366</v>
      </c>
    </row>
    <row r="139" spans="1:13" x14ac:dyDescent="0.35">
      <c r="A139" s="13" t="s">
        <v>3511</v>
      </c>
      <c r="B139" s="13" t="s">
        <v>277</v>
      </c>
      <c r="C139" s="13" t="s">
        <v>278</v>
      </c>
      <c r="D139" s="13" t="s">
        <v>92</v>
      </c>
      <c r="E139" s="13" t="s">
        <v>104</v>
      </c>
      <c r="F139" s="13" t="s">
        <v>106</v>
      </c>
      <c r="G139" s="14">
        <v>45694</v>
      </c>
      <c r="H139" s="14">
        <v>45702</v>
      </c>
      <c r="I139">
        <v>422.14</v>
      </c>
      <c r="J139">
        <v>0</v>
      </c>
      <c r="K139">
        <v>0</v>
      </c>
      <c r="L139">
        <v>320</v>
      </c>
      <c r="M139" s="13" t="s">
        <v>3512</v>
      </c>
    </row>
    <row r="140" spans="1:13" x14ac:dyDescent="0.35">
      <c r="A140" s="13" t="s">
        <v>3513</v>
      </c>
      <c r="B140" s="13" t="s">
        <v>702</v>
      </c>
      <c r="C140" s="13" t="s">
        <v>703</v>
      </c>
      <c r="D140" s="13" t="s">
        <v>67</v>
      </c>
      <c r="E140" s="13" t="s">
        <v>52</v>
      </c>
      <c r="F140" s="13" t="s">
        <v>87</v>
      </c>
      <c r="G140" s="14">
        <v>45692</v>
      </c>
      <c r="H140" s="14">
        <v>45703</v>
      </c>
      <c r="I140">
        <v>4257.03</v>
      </c>
      <c r="J140">
        <v>10691.43</v>
      </c>
      <c r="K140">
        <v>251.15</v>
      </c>
      <c r="L140">
        <v>319</v>
      </c>
      <c r="M140" s="13" t="s">
        <v>3366</v>
      </c>
    </row>
    <row r="141" spans="1:13" x14ac:dyDescent="0.35">
      <c r="A141" s="13" t="s">
        <v>3514</v>
      </c>
      <c r="B141" s="13" t="s">
        <v>1288</v>
      </c>
      <c r="C141" s="13" t="s">
        <v>1289</v>
      </c>
      <c r="D141" s="13" t="s">
        <v>67</v>
      </c>
      <c r="E141" s="13" t="s">
        <v>52</v>
      </c>
      <c r="F141" s="13" t="s">
        <v>57</v>
      </c>
      <c r="G141" s="14">
        <v>45700</v>
      </c>
      <c r="H141" s="14">
        <v>45703</v>
      </c>
      <c r="I141">
        <v>6314.76</v>
      </c>
      <c r="J141">
        <v>25392.84</v>
      </c>
      <c r="K141">
        <v>402.12</v>
      </c>
      <c r="L141">
        <v>319</v>
      </c>
      <c r="M141" s="13" t="s">
        <v>3366</v>
      </c>
    </row>
    <row r="142" spans="1:13" x14ac:dyDescent="0.35">
      <c r="A142" s="13" t="s">
        <v>3515</v>
      </c>
      <c r="B142" s="13" t="s">
        <v>761</v>
      </c>
      <c r="C142" s="13" t="s">
        <v>762</v>
      </c>
      <c r="D142" s="13" t="s">
        <v>67</v>
      </c>
      <c r="E142" s="13" t="s">
        <v>52</v>
      </c>
      <c r="F142" s="13" t="s">
        <v>87</v>
      </c>
      <c r="G142" s="14">
        <v>45695</v>
      </c>
      <c r="H142" s="14">
        <v>45703</v>
      </c>
      <c r="I142">
        <v>4233.1499999999996</v>
      </c>
      <c r="J142">
        <v>4654.03</v>
      </c>
      <c r="K142">
        <v>109.94</v>
      </c>
      <c r="L142">
        <v>319</v>
      </c>
      <c r="M142" s="13" t="s">
        <v>3366</v>
      </c>
    </row>
    <row r="143" spans="1:13" x14ac:dyDescent="0.35">
      <c r="A143" s="13" t="s">
        <v>3516</v>
      </c>
      <c r="B143" s="13" t="s">
        <v>590</v>
      </c>
      <c r="C143" s="13" t="s">
        <v>591</v>
      </c>
      <c r="D143" s="13" t="s">
        <v>67</v>
      </c>
      <c r="E143" s="13" t="s">
        <v>52</v>
      </c>
      <c r="F143" s="13" t="s">
        <v>87</v>
      </c>
      <c r="G143" s="14">
        <v>45692</v>
      </c>
      <c r="H143" s="14">
        <v>45703</v>
      </c>
      <c r="I143">
        <v>11777.67</v>
      </c>
      <c r="J143">
        <v>12516.9</v>
      </c>
      <c r="K143">
        <v>106.28</v>
      </c>
      <c r="L143">
        <v>319</v>
      </c>
      <c r="M143" s="13" t="s">
        <v>3366</v>
      </c>
    </row>
    <row r="144" spans="1:13" x14ac:dyDescent="0.35">
      <c r="A144" s="13" t="s">
        <v>3517</v>
      </c>
      <c r="B144" s="13" t="s">
        <v>1064</v>
      </c>
      <c r="C144" s="13" t="s">
        <v>1065</v>
      </c>
      <c r="D144" s="13" t="s">
        <v>55</v>
      </c>
      <c r="E144" s="13" t="s">
        <v>76</v>
      </c>
      <c r="F144" s="13" t="s">
        <v>94</v>
      </c>
      <c r="G144" s="14">
        <v>45694</v>
      </c>
      <c r="H144" s="14">
        <v>45704</v>
      </c>
      <c r="I144">
        <v>730.89</v>
      </c>
      <c r="J144">
        <v>745.31</v>
      </c>
      <c r="K144">
        <v>101.97</v>
      </c>
      <c r="L144">
        <v>318</v>
      </c>
      <c r="M144" s="13" t="s">
        <v>3366</v>
      </c>
    </row>
    <row r="145" spans="1:13" x14ac:dyDescent="0.35">
      <c r="A145" s="13" t="s">
        <v>3518</v>
      </c>
      <c r="B145" s="13" t="s">
        <v>1723</v>
      </c>
      <c r="C145" s="13" t="s">
        <v>1724</v>
      </c>
      <c r="D145" s="13" t="s">
        <v>92</v>
      </c>
      <c r="E145" s="13" t="s">
        <v>76</v>
      </c>
      <c r="F145" s="13" t="s">
        <v>94</v>
      </c>
      <c r="G145" s="14">
        <v>45697</v>
      </c>
      <c r="H145" s="14">
        <v>45704</v>
      </c>
      <c r="I145">
        <v>1599.03</v>
      </c>
      <c r="J145">
        <v>1772.25</v>
      </c>
      <c r="K145">
        <v>110.83</v>
      </c>
      <c r="L145">
        <v>318</v>
      </c>
      <c r="M145" s="13" t="s">
        <v>3366</v>
      </c>
    </row>
    <row r="146" spans="1:13" x14ac:dyDescent="0.35">
      <c r="A146" s="13" t="s">
        <v>3519</v>
      </c>
      <c r="B146" s="13" t="s">
        <v>290</v>
      </c>
      <c r="C146" s="13" t="s">
        <v>291</v>
      </c>
      <c r="D146" s="13" t="s">
        <v>92</v>
      </c>
      <c r="E146" s="13" t="s">
        <v>104</v>
      </c>
      <c r="F146" s="13" t="s">
        <v>122</v>
      </c>
      <c r="G146" s="14">
        <v>45690</v>
      </c>
      <c r="H146" s="14">
        <v>45704</v>
      </c>
      <c r="I146">
        <v>3073.77</v>
      </c>
      <c r="J146">
        <v>0</v>
      </c>
      <c r="K146">
        <v>0</v>
      </c>
      <c r="L146">
        <v>318</v>
      </c>
      <c r="M146" s="13" t="s">
        <v>3512</v>
      </c>
    </row>
    <row r="147" spans="1:13" x14ac:dyDescent="0.35">
      <c r="A147" s="13" t="s">
        <v>3520</v>
      </c>
      <c r="B147" s="13" t="s">
        <v>222</v>
      </c>
      <c r="C147" s="13" t="s">
        <v>223</v>
      </c>
      <c r="D147" s="13" t="s">
        <v>92</v>
      </c>
      <c r="E147" s="13" t="s">
        <v>52</v>
      </c>
      <c r="F147" s="13" t="s">
        <v>57</v>
      </c>
      <c r="G147" s="14">
        <v>45692</v>
      </c>
      <c r="H147" s="14">
        <v>45705</v>
      </c>
      <c r="I147">
        <v>2941.1</v>
      </c>
      <c r="J147">
        <v>3164.76</v>
      </c>
      <c r="K147">
        <v>107.6</v>
      </c>
      <c r="L147">
        <v>317</v>
      </c>
      <c r="M147" s="13" t="s">
        <v>3366</v>
      </c>
    </row>
    <row r="148" spans="1:13" x14ac:dyDescent="0.35">
      <c r="A148" s="13" t="s">
        <v>3521</v>
      </c>
      <c r="B148" s="13" t="s">
        <v>449</v>
      </c>
      <c r="C148" s="13" t="s">
        <v>450</v>
      </c>
      <c r="D148" s="13" t="s">
        <v>67</v>
      </c>
      <c r="E148" s="13" t="s">
        <v>126</v>
      </c>
      <c r="F148" s="13" t="s">
        <v>122</v>
      </c>
      <c r="G148" s="14">
        <v>45699</v>
      </c>
      <c r="H148" s="14">
        <v>45705</v>
      </c>
      <c r="I148">
        <v>7702.97</v>
      </c>
      <c r="J148">
        <v>8388.14</v>
      </c>
      <c r="K148">
        <v>108.89</v>
      </c>
      <c r="L148">
        <v>317</v>
      </c>
      <c r="M148" s="13" t="s">
        <v>3366</v>
      </c>
    </row>
    <row r="149" spans="1:13" x14ac:dyDescent="0.35">
      <c r="A149" s="13" t="s">
        <v>3522</v>
      </c>
      <c r="B149" s="13" t="s">
        <v>1414</v>
      </c>
      <c r="C149" s="13" t="s">
        <v>1415</v>
      </c>
      <c r="D149" s="13" t="s">
        <v>55</v>
      </c>
      <c r="E149" s="13" t="s">
        <v>104</v>
      </c>
      <c r="F149" s="13" t="s">
        <v>122</v>
      </c>
      <c r="G149" s="14">
        <v>45692</v>
      </c>
      <c r="H149" s="14">
        <v>45705</v>
      </c>
      <c r="I149">
        <v>1233.1600000000001</v>
      </c>
      <c r="J149">
        <v>1356.35</v>
      </c>
      <c r="K149">
        <v>109.99</v>
      </c>
      <c r="L149">
        <v>317</v>
      </c>
      <c r="M149" s="13" t="s">
        <v>3366</v>
      </c>
    </row>
    <row r="150" spans="1:13" x14ac:dyDescent="0.35">
      <c r="A150" s="13" t="s">
        <v>3523</v>
      </c>
      <c r="B150" s="13" t="s">
        <v>575</v>
      </c>
      <c r="C150" s="13" t="s">
        <v>576</v>
      </c>
      <c r="D150" s="13" t="s">
        <v>55</v>
      </c>
      <c r="E150" s="13" t="s">
        <v>126</v>
      </c>
      <c r="F150" s="13" t="s">
        <v>87</v>
      </c>
      <c r="G150" s="14">
        <v>45697</v>
      </c>
      <c r="H150" s="14">
        <v>45705</v>
      </c>
      <c r="I150">
        <v>5361.82</v>
      </c>
      <c r="J150">
        <v>6950.15</v>
      </c>
      <c r="K150">
        <v>129.62</v>
      </c>
      <c r="L150">
        <v>317</v>
      </c>
      <c r="M150" s="13" t="s">
        <v>3366</v>
      </c>
    </row>
    <row r="151" spans="1:13" x14ac:dyDescent="0.35">
      <c r="A151" s="13" t="s">
        <v>3524</v>
      </c>
      <c r="B151" s="13" t="s">
        <v>565</v>
      </c>
      <c r="C151" s="13" t="s">
        <v>566</v>
      </c>
      <c r="D151" s="13" t="s">
        <v>67</v>
      </c>
      <c r="E151" s="13" t="s">
        <v>126</v>
      </c>
      <c r="F151" s="13" t="s">
        <v>122</v>
      </c>
      <c r="G151" s="14">
        <v>45701</v>
      </c>
      <c r="H151" s="14">
        <v>45706</v>
      </c>
      <c r="I151">
        <v>3388.32</v>
      </c>
      <c r="J151">
        <v>5127.53</v>
      </c>
      <c r="K151">
        <v>151.33000000000001</v>
      </c>
      <c r="L151">
        <v>316</v>
      </c>
      <c r="M151" s="13" t="s">
        <v>3366</v>
      </c>
    </row>
    <row r="152" spans="1:13" x14ac:dyDescent="0.35">
      <c r="A152" s="13" t="s">
        <v>3525</v>
      </c>
      <c r="B152" s="13" t="s">
        <v>1165</v>
      </c>
      <c r="C152" s="13" t="s">
        <v>1166</v>
      </c>
      <c r="D152" s="13" t="s">
        <v>67</v>
      </c>
      <c r="E152" s="13" t="s">
        <v>52</v>
      </c>
      <c r="F152" s="13" t="s">
        <v>57</v>
      </c>
      <c r="G152" s="14">
        <v>45694</v>
      </c>
      <c r="H152" s="14">
        <v>45706</v>
      </c>
      <c r="I152">
        <v>10574.76</v>
      </c>
      <c r="J152">
        <v>10936.58</v>
      </c>
      <c r="K152">
        <v>103.42</v>
      </c>
      <c r="L152">
        <v>316</v>
      </c>
      <c r="M152" s="13" t="s">
        <v>3366</v>
      </c>
    </row>
    <row r="153" spans="1:13" x14ac:dyDescent="0.35">
      <c r="A153" s="13" t="s">
        <v>3526</v>
      </c>
      <c r="B153" s="13" t="s">
        <v>2413</v>
      </c>
      <c r="C153" s="13" t="s">
        <v>2414</v>
      </c>
      <c r="D153" s="13" t="s">
        <v>55</v>
      </c>
      <c r="E153" s="13" t="s">
        <v>76</v>
      </c>
      <c r="F153" s="13" t="s">
        <v>80</v>
      </c>
      <c r="G153" s="14">
        <v>45701</v>
      </c>
      <c r="H153" s="14">
        <v>45706</v>
      </c>
      <c r="I153">
        <v>764.38</v>
      </c>
      <c r="J153">
        <v>1437.59</v>
      </c>
      <c r="K153">
        <v>188.07</v>
      </c>
      <c r="L153">
        <v>316</v>
      </c>
      <c r="M153" s="13" t="s">
        <v>3366</v>
      </c>
    </row>
    <row r="154" spans="1:13" x14ac:dyDescent="0.35">
      <c r="A154" s="13" t="s">
        <v>3527</v>
      </c>
      <c r="B154" s="13" t="s">
        <v>994</v>
      </c>
      <c r="C154" s="13" t="s">
        <v>995</v>
      </c>
      <c r="D154" s="13" t="s">
        <v>67</v>
      </c>
      <c r="E154" s="13" t="s">
        <v>52</v>
      </c>
      <c r="F154" s="13" t="s">
        <v>87</v>
      </c>
      <c r="G154" s="14">
        <v>45701</v>
      </c>
      <c r="H154" s="14">
        <v>45706</v>
      </c>
      <c r="I154">
        <v>12021.53</v>
      </c>
      <c r="J154">
        <v>18540.57</v>
      </c>
      <c r="K154">
        <v>154.22999999999999</v>
      </c>
      <c r="L154">
        <v>316</v>
      </c>
      <c r="M154" s="13" t="s">
        <v>3366</v>
      </c>
    </row>
    <row r="155" spans="1:13" x14ac:dyDescent="0.35">
      <c r="A155" s="13" t="s">
        <v>3528</v>
      </c>
      <c r="B155" s="13" t="s">
        <v>3529</v>
      </c>
      <c r="C155" s="13" t="s">
        <v>3530</v>
      </c>
      <c r="D155" s="13" t="s">
        <v>55</v>
      </c>
      <c r="E155" s="13" t="s">
        <v>104</v>
      </c>
      <c r="F155" s="13" t="s">
        <v>106</v>
      </c>
      <c r="G155" s="14">
        <v>45702</v>
      </c>
      <c r="H155" s="14">
        <v>45706</v>
      </c>
      <c r="I155">
        <v>3891.68</v>
      </c>
      <c r="J155">
        <v>4222.68</v>
      </c>
      <c r="K155">
        <v>108.51</v>
      </c>
      <c r="L155">
        <v>316</v>
      </c>
      <c r="M155" s="13" t="s">
        <v>3366</v>
      </c>
    </row>
    <row r="156" spans="1:13" x14ac:dyDescent="0.35">
      <c r="A156" s="13" t="s">
        <v>3531</v>
      </c>
      <c r="B156" s="13" t="s">
        <v>997</v>
      </c>
      <c r="C156" s="13" t="s">
        <v>998</v>
      </c>
      <c r="D156" s="13" t="s">
        <v>55</v>
      </c>
      <c r="E156" s="13" t="s">
        <v>52</v>
      </c>
      <c r="F156" s="13" t="s">
        <v>87</v>
      </c>
      <c r="G156" s="14">
        <v>45703</v>
      </c>
      <c r="H156" s="14">
        <v>45707</v>
      </c>
      <c r="I156">
        <v>1653.06</v>
      </c>
      <c r="J156">
        <v>1740.37</v>
      </c>
      <c r="K156">
        <v>105.28</v>
      </c>
      <c r="L156">
        <v>315</v>
      </c>
      <c r="M156" s="13" t="s">
        <v>3366</v>
      </c>
    </row>
    <row r="157" spans="1:13" x14ac:dyDescent="0.35">
      <c r="A157" s="13" t="s">
        <v>3532</v>
      </c>
      <c r="B157" s="13" t="s">
        <v>283</v>
      </c>
      <c r="C157" s="13" t="s">
        <v>284</v>
      </c>
      <c r="D157" s="13" t="s">
        <v>92</v>
      </c>
      <c r="E157" s="13" t="s">
        <v>104</v>
      </c>
      <c r="F157" s="13" t="s">
        <v>106</v>
      </c>
      <c r="G157" s="14">
        <v>45688</v>
      </c>
      <c r="H157" s="14">
        <v>45708</v>
      </c>
      <c r="I157">
        <v>2761.78</v>
      </c>
      <c r="J157">
        <v>0</v>
      </c>
      <c r="K157">
        <v>0</v>
      </c>
      <c r="L157">
        <v>314</v>
      </c>
      <c r="M157" s="13" t="s">
        <v>3512</v>
      </c>
    </row>
    <row r="158" spans="1:13" x14ac:dyDescent="0.35">
      <c r="A158" s="13" t="s">
        <v>3533</v>
      </c>
      <c r="B158" s="13" t="s">
        <v>1374</v>
      </c>
      <c r="C158" s="13" t="s">
        <v>1375</v>
      </c>
      <c r="D158" s="13" t="s">
        <v>67</v>
      </c>
      <c r="E158" s="13" t="s">
        <v>76</v>
      </c>
      <c r="F158" s="13" t="s">
        <v>94</v>
      </c>
      <c r="G158" s="14">
        <v>45704</v>
      </c>
      <c r="H158" s="14">
        <v>45710</v>
      </c>
      <c r="I158">
        <v>2350.4499999999998</v>
      </c>
      <c r="J158">
        <v>2385.06</v>
      </c>
      <c r="K158">
        <v>101.47</v>
      </c>
      <c r="L158">
        <v>312</v>
      </c>
      <c r="M158" s="13" t="s">
        <v>3366</v>
      </c>
    </row>
    <row r="159" spans="1:13" x14ac:dyDescent="0.35">
      <c r="A159" s="13" t="s">
        <v>3534</v>
      </c>
      <c r="B159" s="13" t="s">
        <v>442</v>
      </c>
      <c r="C159" s="13" t="s">
        <v>443</v>
      </c>
      <c r="D159" s="13" t="s">
        <v>92</v>
      </c>
      <c r="E159" s="13" t="s">
        <v>104</v>
      </c>
      <c r="F159" s="13" t="s">
        <v>122</v>
      </c>
      <c r="G159" s="14">
        <v>45699</v>
      </c>
      <c r="H159" s="14">
        <v>45710</v>
      </c>
      <c r="I159">
        <v>2826.64</v>
      </c>
      <c r="J159">
        <v>2955.62</v>
      </c>
      <c r="K159">
        <v>104.56</v>
      </c>
      <c r="L159">
        <v>312</v>
      </c>
      <c r="M159" s="13" t="s">
        <v>3366</v>
      </c>
    </row>
    <row r="160" spans="1:13" x14ac:dyDescent="0.35">
      <c r="A160" s="13" t="s">
        <v>3535</v>
      </c>
      <c r="B160" s="13" t="s">
        <v>780</v>
      </c>
      <c r="C160" s="13" t="s">
        <v>781</v>
      </c>
      <c r="D160" s="13" t="s">
        <v>55</v>
      </c>
      <c r="E160" s="13" t="s">
        <v>52</v>
      </c>
      <c r="F160" s="13" t="s">
        <v>87</v>
      </c>
      <c r="G160" s="14">
        <v>45697</v>
      </c>
      <c r="H160" s="14">
        <v>45710</v>
      </c>
      <c r="I160">
        <v>7516.49</v>
      </c>
      <c r="J160">
        <v>9291.6299999999992</v>
      </c>
      <c r="K160">
        <v>123.62</v>
      </c>
      <c r="L160">
        <v>312</v>
      </c>
      <c r="M160" s="13" t="s">
        <v>3366</v>
      </c>
    </row>
    <row r="161" spans="1:13" x14ac:dyDescent="0.35">
      <c r="A161" s="13" t="s">
        <v>3536</v>
      </c>
      <c r="B161" s="13" t="s">
        <v>1703</v>
      </c>
      <c r="C161" s="13" t="s">
        <v>1704</v>
      </c>
      <c r="D161" s="13" t="s">
        <v>55</v>
      </c>
      <c r="E161" s="13" t="s">
        <v>76</v>
      </c>
      <c r="F161" s="13" t="s">
        <v>94</v>
      </c>
      <c r="G161" s="14">
        <v>45702</v>
      </c>
      <c r="H161" s="14">
        <v>45710</v>
      </c>
      <c r="I161">
        <v>1444.17</v>
      </c>
      <c r="J161">
        <v>5014.46</v>
      </c>
      <c r="K161">
        <v>347.22</v>
      </c>
      <c r="L161">
        <v>312</v>
      </c>
      <c r="M161" s="13" t="s">
        <v>3366</v>
      </c>
    </row>
    <row r="162" spans="1:13" x14ac:dyDescent="0.35">
      <c r="A162" s="13" t="s">
        <v>3537</v>
      </c>
      <c r="B162" s="13" t="s">
        <v>263</v>
      </c>
      <c r="C162" s="13" t="s">
        <v>264</v>
      </c>
      <c r="D162" s="13" t="s">
        <v>55</v>
      </c>
      <c r="E162" s="13" t="s">
        <v>52</v>
      </c>
      <c r="F162" s="13" t="s">
        <v>87</v>
      </c>
      <c r="G162" s="14">
        <v>45700</v>
      </c>
      <c r="H162" s="14">
        <v>45710</v>
      </c>
      <c r="I162">
        <v>6922.7</v>
      </c>
      <c r="J162">
        <v>19908.72</v>
      </c>
      <c r="K162">
        <v>287.58999999999997</v>
      </c>
      <c r="L162">
        <v>312</v>
      </c>
      <c r="M162" s="13" t="s">
        <v>3366</v>
      </c>
    </row>
    <row r="163" spans="1:13" x14ac:dyDescent="0.35">
      <c r="A163" s="13" t="s">
        <v>3538</v>
      </c>
      <c r="B163" s="13" t="s">
        <v>1589</v>
      </c>
      <c r="C163" s="13" t="s">
        <v>1590</v>
      </c>
      <c r="D163" s="13" t="s">
        <v>67</v>
      </c>
      <c r="E163" s="13" t="s">
        <v>76</v>
      </c>
      <c r="F163" s="13" t="s">
        <v>80</v>
      </c>
      <c r="G163" s="14">
        <v>45708</v>
      </c>
      <c r="H163" s="14">
        <v>45710</v>
      </c>
      <c r="I163">
        <v>3654.63</v>
      </c>
      <c r="J163">
        <v>3995.87</v>
      </c>
      <c r="K163">
        <v>109.34</v>
      </c>
      <c r="L163">
        <v>312</v>
      </c>
      <c r="M163" s="13" t="s">
        <v>3366</v>
      </c>
    </row>
    <row r="164" spans="1:13" x14ac:dyDescent="0.35">
      <c r="A164" s="13" t="s">
        <v>3539</v>
      </c>
      <c r="B164" s="13" t="s">
        <v>1115</v>
      </c>
      <c r="C164" s="13" t="s">
        <v>1116</v>
      </c>
      <c r="D164" s="13" t="s">
        <v>92</v>
      </c>
      <c r="E164" s="13" t="s">
        <v>52</v>
      </c>
      <c r="F164" s="13" t="s">
        <v>57</v>
      </c>
      <c r="G164" s="14">
        <v>45699</v>
      </c>
      <c r="H164" s="14">
        <v>45711</v>
      </c>
      <c r="I164">
        <v>5293.65</v>
      </c>
      <c r="J164">
        <v>5773.61</v>
      </c>
      <c r="K164">
        <v>109.07</v>
      </c>
      <c r="L164">
        <v>311</v>
      </c>
      <c r="M164" s="13" t="s">
        <v>3366</v>
      </c>
    </row>
    <row r="165" spans="1:13" x14ac:dyDescent="0.35">
      <c r="A165" s="13" t="s">
        <v>3540</v>
      </c>
      <c r="B165" s="13" t="s">
        <v>506</v>
      </c>
      <c r="C165" s="13" t="s">
        <v>507</v>
      </c>
      <c r="D165" s="13" t="s">
        <v>67</v>
      </c>
      <c r="E165" s="13" t="s">
        <v>126</v>
      </c>
      <c r="F165" s="13" t="s">
        <v>87</v>
      </c>
      <c r="G165" s="14">
        <v>45702</v>
      </c>
      <c r="H165" s="14">
        <v>45711</v>
      </c>
      <c r="I165">
        <v>3428.99</v>
      </c>
      <c r="J165">
        <v>3536.39</v>
      </c>
      <c r="K165">
        <v>103.13</v>
      </c>
      <c r="L165">
        <v>311</v>
      </c>
      <c r="M165" s="13" t="s">
        <v>3366</v>
      </c>
    </row>
    <row r="166" spans="1:13" x14ac:dyDescent="0.35">
      <c r="A166" s="13" t="s">
        <v>3541</v>
      </c>
      <c r="B166" s="13" t="s">
        <v>766</v>
      </c>
      <c r="C166" s="13" t="s">
        <v>767</v>
      </c>
      <c r="D166" s="13" t="s">
        <v>92</v>
      </c>
      <c r="E166" s="13" t="s">
        <v>104</v>
      </c>
      <c r="F166" s="13" t="s">
        <v>106</v>
      </c>
      <c r="G166" s="14">
        <v>45702</v>
      </c>
      <c r="H166" s="14">
        <v>45711</v>
      </c>
      <c r="I166">
        <v>6906.31</v>
      </c>
      <c r="J166">
        <v>7335.79</v>
      </c>
      <c r="K166">
        <v>106.22</v>
      </c>
      <c r="L166">
        <v>311</v>
      </c>
      <c r="M166" s="13" t="s">
        <v>3366</v>
      </c>
    </row>
    <row r="167" spans="1:13" x14ac:dyDescent="0.35">
      <c r="A167" s="13" t="s">
        <v>3542</v>
      </c>
      <c r="B167" s="13" t="s">
        <v>241</v>
      </c>
      <c r="C167" s="13" t="s">
        <v>242</v>
      </c>
      <c r="D167" s="13" t="s">
        <v>67</v>
      </c>
      <c r="E167" s="13" t="s">
        <v>76</v>
      </c>
      <c r="F167" s="13" t="s">
        <v>94</v>
      </c>
      <c r="G167" s="14">
        <v>45705</v>
      </c>
      <c r="H167" s="14">
        <v>45711</v>
      </c>
      <c r="I167">
        <v>3182.6</v>
      </c>
      <c r="J167">
        <v>3243.66</v>
      </c>
      <c r="K167">
        <v>101.92</v>
      </c>
      <c r="L167">
        <v>311</v>
      </c>
      <c r="M167" s="13" t="s">
        <v>3366</v>
      </c>
    </row>
    <row r="168" spans="1:13" x14ac:dyDescent="0.35">
      <c r="A168" s="13" t="s">
        <v>3543</v>
      </c>
      <c r="B168" s="13" t="s">
        <v>379</v>
      </c>
      <c r="C168" s="13" t="s">
        <v>380</v>
      </c>
      <c r="D168" s="13" t="s">
        <v>92</v>
      </c>
      <c r="E168" s="13" t="s">
        <v>52</v>
      </c>
      <c r="F168" s="13" t="s">
        <v>57</v>
      </c>
      <c r="G168" s="14">
        <v>45698</v>
      </c>
      <c r="H168" s="14">
        <v>45711</v>
      </c>
      <c r="I168">
        <v>13675.44</v>
      </c>
      <c r="J168">
        <v>13853.65</v>
      </c>
      <c r="K168">
        <v>101.3</v>
      </c>
      <c r="L168">
        <v>311</v>
      </c>
      <c r="M168" s="13" t="s">
        <v>3366</v>
      </c>
    </row>
    <row r="169" spans="1:13" x14ac:dyDescent="0.35">
      <c r="A169" s="13" t="s">
        <v>3544</v>
      </c>
      <c r="B169" s="13" t="s">
        <v>296</v>
      </c>
      <c r="C169" s="13" t="s">
        <v>297</v>
      </c>
      <c r="D169" s="13" t="s">
        <v>92</v>
      </c>
      <c r="E169" s="13" t="s">
        <v>104</v>
      </c>
      <c r="F169" s="13" t="s">
        <v>106</v>
      </c>
      <c r="G169" s="14">
        <v>45692</v>
      </c>
      <c r="H169" s="14">
        <v>45712</v>
      </c>
      <c r="I169">
        <v>688.31</v>
      </c>
      <c r="J169">
        <v>0</v>
      </c>
      <c r="K169">
        <v>0</v>
      </c>
      <c r="L169">
        <v>310</v>
      </c>
      <c r="M169" s="13" t="s">
        <v>3512</v>
      </c>
    </row>
    <row r="170" spans="1:13" x14ac:dyDescent="0.35">
      <c r="A170" s="13" t="s">
        <v>3545</v>
      </c>
      <c r="B170" s="13" t="s">
        <v>749</v>
      </c>
      <c r="C170" s="13" t="s">
        <v>750</v>
      </c>
      <c r="D170" s="13" t="s">
        <v>67</v>
      </c>
      <c r="E170" s="13" t="s">
        <v>76</v>
      </c>
      <c r="F170" s="13" t="s">
        <v>80</v>
      </c>
      <c r="G170" s="14">
        <v>45708</v>
      </c>
      <c r="H170" s="14">
        <v>45712</v>
      </c>
      <c r="I170">
        <v>2061.0700000000002</v>
      </c>
      <c r="J170">
        <v>5905.14</v>
      </c>
      <c r="K170">
        <v>286.51</v>
      </c>
      <c r="L170">
        <v>310</v>
      </c>
      <c r="M170" s="13" t="s">
        <v>3366</v>
      </c>
    </row>
    <row r="171" spans="1:13" x14ac:dyDescent="0.35">
      <c r="A171" s="13" t="s">
        <v>3546</v>
      </c>
      <c r="B171" s="13" t="s">
        <v>2094</v>
      </c>
      <c r="C171" s="13" t="s">
        <v>2095</v>
      </c>
      <c r="D171" s="13" t="s">
        <v>55</v>
      </c>
      <c r="E171" s="13" t="s">
        <v>104</v>
      </c>
      <c r="F171" s="13" t="s">
        <v>106</v>
      </c>
      <c r="G171" s="14">
        <v>45708</v>
      </c>
      <c r="H171" s="14">
        <v>45712</v>
      </c>
      <c r="I171">
        <v>3613.87</v>
      </c>
      <c r="J171">
        <v>3696.82</v>
      </c>
      <c r="K171">
        <v>102.3</v>
      </c>
      <c r="L171">
        <v>310</v>
      </c>
      <c r="M171" s="13" t="s">
        <v>3366</v>
      </c>
    </row>
    <row r="172" spans="1:13" x14ac:dyDescent="0.35">
      <c r="A172" s="13" t="s">
        <v>3547</v>
      </c>
      <c r="B172" s="13" t="s">
        <v>1214</v>
      </c>
      <c r="C172" s="13" t="s">
        <v>1215</v>
      </c>
      <c r="D172" s="13" t="s">
        <v>92</v>
      </c>
      <c r="E172" s="13" t="s">
        <v>76</v>
      </c>
      <c r="F172" s="13" t="s">
        <v>80</v>
      </c>
      <c r="G172" s="14">
        <v>45701</v>
      </c>
      <c r="H172" s="14">
        <v>45712</v>
      </c>
      <c r="I172">
        <v>1520.06</v>
      </c>
      <c r="J172">
        <v>6397.56</v>
      </c>
      <c r="K172">
        <v>420.88</v>
      </c>
      <c r="L172">
        <v>310</v>
      </c>
      <c r="M172" s="13" t="s">
        <v>3366</v>
      </c>
    </row>
    <row r="173" spans="1:13" x14ac:dyDescent="0.35">
      <c r="A173" s="13" t="s">
        <v>3548</v>
      </c>
      <c r="B173" s="13" t="s">
        <v>914</v>
      </c>
      <c r="C173" s="13" t="s">
        <v>915</v>
      </c>
      <c r="D173" s="13" t="s">
        <v>55</v>
      </c>
      <c r="E173" s="13" t="s">
        <v>76</v>
      </c>
      <c r="F173" s="13" t="s">
        <v>94</v>
      </c>
      <c r="G173" s="14">
        <v>45707</v>
      </c>
      <c r="H173" s="14">
        <v>45712</v>
      </c>
      <c r="I173">
        <v>4352.2</v>
      </c>
      <c r="J173">
        <v>4380.28</v>
      </c>
      <c r="K173">
        <v>100.65</v>
      </c>
      <c r="L173">
        <v>310</v>
      </c>
      <c r="M173" s="13" t="s">
        <v>3366</v>
      </c>
    </row>
    <row r="174" spans="1:13" x14ac:dyDescent="0.35">
      <c r="A174" s="13" t="s">
        <v>3549</v>
      </c>
      <c r="B174" s="13" t="s">
        <v>216</v>
      </c>
      <c r="C174" s="13" t="s">
        <v>217</v>
      </c>
      <c r="D174" s="13" t="s">
        <v>67</v>
      </c>
      <c r="E174" s="13" t="s">
        <v>52</v>
      </c>
      <c r="F174" s="13" t="s">
        <v>87</v>
      </c>
      <c r="G174" s="14">
        <v>45706</v>
      </c>
      <c r="H174" s="14">
        <v>45712</v>
      </c>
      <c r="I174">
        <v>2652.68</v>
      </c>
      <c r="J174">
        <v>14815.89</v>
      </c>
      <c r="K174">
        <v>558.53</v>
      </c>
      <c r="L174">
        <v>310</v>
      </c>
      <c r="M174" s="13" t="s">
        <v>3366</v>
      </c>
    </row>
    <row r="175" spans="1:13" x14ac:dyDescent="0.35">
      <c r="A175" s="13" t="s">
        <v>3550</v>
      </c>
      <c r="B175" s="13" t="s">
        <v>277</v>
      </c>
      <c r="C175" s="13" t="s">
        <v>278</v>
      </c>
      <c r="D175" s="13" t="s">
        <v>92</v>
      </c>
      <c r="E175" s="13" t="s">
        <v>104</v>
      </c>
      <c r="F175" s="13" t="s">
        <v>106</v>
      </c>
      <c r="G175" s="14">
        <v>45688</v>
      </c>
      <c r="H175" s="14">
        <v>45713</v>
      </c>
      <c r="I175">
        <v>2062.13</v>
      </c>
      <c r="J175">
        <v>0</v>
      </c>
      <c r="K175">
        <v>0</v>
      </c>
      <c r="L175">
        <v>309</v>
      </c>
      <c r="M175" s="13" t="s">
        <v>3512</v>
      </c>
    </row>
    <row r="176" spans="1:13" x14ac:dyDescent="0.35">
      <c r="A176" s="13" t="s">
        <v>3551</v>
      </c>
      <c r="B176" s="13" t="s">
        <v>1898</v>
      </c>
      <c r="C176" s="13" t="s">
        <v>1899</v>
      </c>
      <c r="D176" s="13" t="s">
        <v>67</v>
      </c>
      <c r="E176" s="13" t="s">
        <v>104</v>
      </c>
      <c r="F176" s="13" t="s">
        <v>106</v>
      </c>
      <c r="G176" s="14">
        <v>45709</v>
      </c>
      <c r="H176" s="14">
        <v>45713</v>
      </c>
      <c r="I176">
        <v>4029.98</v>
      </c>
      <c r="J176">
        <v>7688.48</v>
      </c>
      <c r="K176">
        <v>190.78</v>
      </c>
      <c r="L176">
        <v>309</v>
      </c>
      <c r="M176" s="13" t="s">
        <v>3366</v>
      </c>
    </row>
    <row r="177" spans="1:13" x14ac:dyDescent="0.35">
      <c r="A177" s="13" t="s">
        <v>3552</v>
      </c>
      <c r="B177" s="13" t="s">
        <v>293</v>
      </c>
      <c r="C177" s="13" t="s">
        <v>294</v>
      </c>
      <c r="D177" s="13" t="s">
        <v>92</v>
      </c>
      <c r="E177" s="13" t="s">
        <v>104</v>
      </c>
      <c r="F177" s="13" t="s">
        <v>122</v>
      </c>
      <c r="G177" s="14">
        <v>45705</v>
      </c>
      <c r="H177" s="14">
        <v>45713</v>
      </c>
      <c r="I177">
        <v>690.88</v>
      </c>
      <c r="J177">
        <v>0</v>
      </c>
      <c r="K177">
        <v>0</v>
      </c>
      <c r="L177">
        <v>309</v>
      </c>
      <c r="M177" s="13" t="s">
        <v>3512</v>
      </c>
    </row>
    <row r="178" spans="1:13" x14ac:dyDescent="0.35">
      <c r="A178" s="13" t="s">
        <v>3553</v>
      </c>
      <c r="B178" s="13" t="s">
        <v>565</v>
      </c>
      <c r="C178" s="13" t="s">
        <v>566</v>
      </c>
      <c r="D178" s="13" t="s">
        <v>67</v>
      </c>
      <c r="E178" s="13" t="s">
        <v>126</v>
      </c>
      <c r="F178" s="13" t="s">
        <v>122</v>
      </c>
      <c r="G178" s="14">
        <v>45701</v>
      </c>
      <c r="H178" s="14">
        <v>45713</v>
      </c>
      <c r="I178">
        <v>5899.64</v>
      </c>
      <c r="J178">
        <v>6031.9</v>
      </c>
      <c r="K178">
        <v>102.24</v>
      </c>
      <c r="L178">
        <v>309</v>
      </c>
      <c r="M178" s="13" t="s">
        <v>3366</v>
      </c>
    </row>
    <row r="179" spans="1:13" x14ac:dyDescent="0.35">
      <c r="A179" s="13" t="s">
        <v>3554</v>
      </c>
      <c r="B179" s="13" t="s">
        <v>463</v>
      </c>
      <c r="C179" s="13" t="s">
        <v>464</v>
      </c>
      <c r="D179" s="13" t="s">
        <v>55</v>
      </c>
      <c r="E179" s="13" t="s">
        <v>76</v>
      </c>
      <c r="F179" s="13" t="s">
        <v>94</v>
      </c>
      <c r="G179" s="14">
        <v>45708</v>
      </c>
      <c r="H179" s="14">
        <v>45715</v>
      </c>
      <c r="I179">
        <v>1320.78</v>
      </c>
      <c r="J179">
        <v>1385.23</v>
      </c>
      <c r="K179">
        <v>104.88</v>
      </c>
      <c r="L179">
        <v>307</v>
      </c>
      <c r="M179" s="13" t="s">
        <v>3366</v>
      </c>
    </row>
    <row r="180" spans="1:13" x14ac:dyDescent="0.35">
      <c r="A180" s="13" t="s">
        <v>3555</v>
      </c>
      <c r="B180" s="13" t="s">
        <v>641</v>
      </c>
      <c r="C180" s="13" t="s">
        <v>642</v>
      </c>
      <c r="D180" s="13" t="s">
        <v>67</v>
      </c>
      <c r="E180" s="13" t="s">
        <v>52</v>
      </c>
      <c r="F180" s="13" t="s">
        <v>57</v>
      </c>
      <c r="G180" s="14">
        <v>45705</v>
      </c>
      <c r="H180" s="14">
        <v>45715</v>
      </c>
      <c r="I180">
        <v>7723.96</v>
      </c>
      <c r="J180">
        <v>20412.55</v>
      </c>
      <c r="K180">
        <v>264.27999999999997</v>
      </c>
      <c r="L180">
        <v>307</v>
      </c>
      <c r="M180" s="13" t="s">
        <v>3366</v>
      </c>
    </row>
    <row r="181" spans="1:13" x14ac:dyDescent="0.35">
      <c r="A181" s="13" t="s">
        <v>3556</v>
      </c>
      <c r="B181" s="13" t="s">
        <v>216</v>
      </c>
      <c r="C181" s="13" t="s">
        <v>217</v>
      </c>
      <c r="D181" s="13" t="s">
        <v>67</v>
      </c>
      <c r="E181" s="13" t="s">
        <v>52</v>
      </c>
      <c r="F181" s="13" t="s">
        <v>87</v>
      </c>
      <c r="G181" s="14">
        <v>45711</v>
      </c>
      <c r="H181" s="14">
        <v>45716</v>
      </c>
      <c r="I181">
        <v>7920.17</v>
      </c>
      <c r="J181">
        <v>10458.09</v>
      </c>
      <c r="K181">
        <v>132.04</v>
      </c>
      <c r="L181">
        <v>306</v>
      </c>
      <c r="M181" s="13" t="s">
        <v>3366</v>
      </c>
    </row>
    <row r="182" spans="1:13" x14ac:dyDescent="0.35">
      <c r="A182" s="13" t="s">
        <v>3557</v>
      </c>
      <c r="B182" s="13" t="s">
        <v>312</v>
      </c>
      <c r="C182" s="13" t="s">
        <v>313</v>
      </c>
      <c r="D182" s="13" t="s">
        <v>55</v>
      </c>
      <c r="E182" s="13" t="s">
        <v>52</v>
      </c>
      <c r="F182" s="13" t="s">
        <v>57</v>
      </c>
      <c r="G182" s="14">
        <v>45711</v>
      </c>
      <c r="H182" s="14">
        <v>45717</v>
      </c>
      <c r="I182">
        <v>2418.61</v>
      </c>
      <c r="J182">
        <v>2455.2199999999998</v>
      </c>
      <c r="K182">
        <v>101.51</v>
      </c>
      <c r="L182">
        <v>305</v>
      </c>
      <c r="M182" s="13" t="s">
        <v>3366</v>
      </c>
    </row>
    <row r="183" spans="1:13" x14ac:dyDescent="0.35">
      <c r="A183" s="13" t="s">
        <v>3558</v>
      </c>
      <c r="B183" s="13" t="s">
        <v>232</v>
      </c>
      <c r="C183" s="13" t="s">
        <v>233</v>
      </c>
      <c r="D183" s="13" t="s">
        <v>55</v>
      </c>
      <c r="E183" s="13" t="s">
        <v>76</v>
      </c>
      <c r="F183" s="13" t="s">
        <v>94</v>
      </c>
      <c r="G183" s="14">
        <v>45714</v>
      </c>
      <c r="H183" s="14">
        <v>45717</v>
      </c>
      <c r="I183">
        <v>576.84</v>
      </c>
      <c r="J183">
        <v>3954.52</v>
      </c>
      <c r="K183">
        <v>685.55</v>
      </c>
      <c r="L183">
        <v>305</v>
      </c>
      <c r="M183" s="13" t="s">
        <v>3366</v>
      </c>
    </row>
    <row r="184" spans="1:13" x14ac:dyDescent="0.35">
      <c r="A184" s="13" t="s">
        <v>3559</v>
      </c>
      <c r="B184" s="13" t="s">
        <v>270</v>
      </c>
      <c r="C184" s="13" t="s">
        <v>271</v>
      </c>
      <c r="D184" s="13" t="s">
        <v>67</v>
      </c>
      <c r="E184" s="13" t="s">
        <v>52</v>
      </c>
      <c r="F184" s="13" t="s">
        <v>57</v>
      </c>
      <c r="G184" s="14">
        <v>45709</v>
      </c>
      <c r="H184" s="14">
        <v>45717</v>
      </c>
      <c r="I184">
        <v>7524.02</v>
      </c>
      <c r="J184">
        <v>20766.66</v>
      </c>
      <c r="K184">
        <v>276</v>
      </c>
      <c r="L184">
        <v>305</v>
      </c>
      <c r="M184" s="13" t="s">
        <v>3366</v>
      </c>
    </row>
    <row r="185" spans="1:13" x14ac:dyDescent="0.35">
      <c r="A185" s="13" t="s">
        <v>3560</v>
      </c>
      <c r="B185" s="13" t="s">
        <v>1150</v>
      </c>
      <c r="C185" s="13" t="s">
        <v>1151</v>
      </c>
      <c r="D185" s="13" t="s">
        <v>92</v>
      </c>
      <c r="E185" s="13" t="s">
        <v>76</v>
      </c>
      <c r="F185" s="13" t="s">
        <v>80</v>
      </c>
      <c r="G185" s="14">
        <v>45706</v>
      </c>
      <c r="H185" s="14">
        <v>45717</v>
      </c>
      <c r="I185">
        <v>947.5</v>
      </c>
      <c r="J185">
        <v>997.35</v>
      </c>
      <c r="K185">
        <v>105.26</v>
      </c>
      <c r="L185">
        <v>305</v>
      </c>
      <c r="M185" s="13" t="s">
        <v>3366</v>
      </c>
    </row>
    <row r="186" spans="1:13" x14ac:dyDescent="0.35">
      <c r="A186" s="13" t="s">
        <v>3561</v>
      </c>
      <c r="B186" s="13" t="s">
        <v>124</v>
      </c>
      <c r="C186" s="13" t="s">
        <v>125</v>
      </c>
      <c r="D186" s="13" t="s">
        <v>67</v>
      </c>
      <c r="E186" s="13" t="s">
        <v>126</v>
      </c>
      <c r="F186" s="13" t="s">
        <v>87</v>
      </c>
      <c r="G186" s="14">
        <v>45707</v>
      </c>
      <c r="H186" s="14">
        <v>45717</v>
      </c>
      <c r="I186">
        <v>867.82</v>
      </c>
      <c r="J186">
        <v>4299.24</v>
      </c>
      <c r="K186">
        <v>495.41</v>
      </c>
      <c r="L186">
        <v>305</v>
      </c>
      <c r="M186" s="13" t="s">
        <v>3366</v>
      </c>
    </row>
    <row r="187" spans="1:13" x14ac:dyDescent="0.35">
      <c r="A187" s="13" t="s">
        <v>3562</v>
      </c>
      <c r="B187" s="13" t="s">
        <v>2232</v>
      </c>
      <c r="C187" s="13" t="s">
        <v>2233</v>
      </c>
      <c r="D187" s="13" t="s">
        <v>67</v>
      </c>
      <c r="E187" s="13" t="s">
        <v>104</v>
      </c>
      <c r="F187" s="13" t="s">
        <v>106</v>
      </c>
      <c r="G187" s="14">
        <v>45703</v>
      </c>
      <c r="H187" s="14">
        <v>45717</v>
      </c>
      <c r="I187">
        <v>1581.1</v>
      </c>
      <c r="J187">
        <v>0</v>
      </c>
      <c r="K187">
        <v>0</v>
      </c>
      <c r="L187">
        <v>305</v>
      </c>
      <c r="M187" s="13" t="s">
        <v>3512</v>
      </c>
    </row>
    <row r="188" spans="1:13" x14ac:dyDescent="0.35">
      <c r="A188" s="13" t="s">
        <v>3563</v>
      </c>
      <c r="B188" s="13" t="s">
        <v>280</v>
      </c>
      <c r="C188" s="13" t="s">
        <v>281</v>
      </c>
      <c r="D188" s="13" t="s">
        <v>92</v>
      </c>
      <c r="E188" s="13" t="s">
        <v>104</v>
      </c>
      <c r="F188" s="13" t="s">
        <v>122</v>
      </c>
      <c r="G188" s="14">
        <v>45708</v>
      </c>
      <c r="H188" s="14">
        <v>45718</v>
      </c>
      <c r="I188">
        <v>3275.77</v>
      </c>
      <c r="J188">
        <v>0</v>
      </c>
      <c r="K188">
        <v>0</v>
      </c>
      <c r="L188">
        <v>304</v>
      </c>
      <c r="M188" s="13" t="s">
        <v>3512</v>
      </c>
    </row>
    <row r="189" spans="1:13" x14ac:dyDescent="0.35">
      <c r="A189" s="13" t="s">
        <v>3564</v>
      </c>
      <c r="B189" s="13" t="s">
        <v>290</v>
      </c>
      <c r="C189" s="13" t="s">
        <v>291</v>
      </c>
      <c r="D189" s="13" t="s">
        <v>92</v>
      </c>
      <c r="E189" s="13" t="s">
        <v>104</v>
      </c>
      <c r="F189" s="13" t="s">
        <v>122</v>
      </c>
      <c r="G189" s="14">
        <v>45696</v>
      </c>
      <c r="H189" s="14">
        <v>45718</v>
      </c>
      <c r="I189">
        <v>2934.3</v>
      </c>
      <c r="J189">
        <v>0</v>
      </c>
      <c r="K189">
        <v>0</v>
      </c>
      <c r="L189">
        <v>304</v>
      </c>
      <c r="M189" s="13" t="s">
        <v>3512</v>
      </c>
    </row>
    <row r="190" spans="1:13" x14ac:dyDescent="0.35">
      <c r="A190" s="13" t="s">
        <v>3565</v>
      </c>
      <c r="B190" s="13" t="s">
        <v>256</v>
      </c>
      <c r="C190" s="13" t="s">
        <v>257</v>
      </c>
      <c r="D190" s="13" t="s">
        <v>55</v>
      </c>
      <c r="E190" s="13" t="s">
        <v>76</v>
      </c>
      <c r="F190" s="13" t="s">
        <v>80</v>
      </c>
      <c r="G190" s="14">
        <v>45705</v>
      </c>
      <c r="H190" s="14">
        <v>45718</v>
      </c>
      <c r="I190">
        <v>2826.39</v>
      </c>
      <c r="J190">
        <v>3997.39</v>
      </c>
      <c r="K190">
        <v>141.43</v>
      </c>
      <c r="L190">
        <v>304</v>
      </c>
      <c r="M190" s="13" t="s">
        <v>3366</v>
      </c>
    </row>
    <row r="191" spans="1:13" x14ac:dyDescent="0.35">
      <c r="A191" s="13" t="s">
        <v>3566</v>
      </c>
      <c r="B191" s="13" t="s">
        <v>1366</v>
      </c>
      <c r="C191" s="13" t="s">
        <v>1367</v>
      </c>
      <c r="D191" s="13" t="s">
        <v>67</v>
      </c>
      <c r="E191" s="13" t="s">
        <v>126</v>
      </c>
      <c r="F191" s="13" t="s">
        <v>57</v>
      </c>
      <c r="G191" s="14">
        <v>45713</v>
      </c>
      <c r="H191" s="14">
        <v>45718</v>
      </c>
      <c r="I191">
        <v>6959.87</v>
      </c>
      <c r="J191">
        <v>7217.47</v>
      </c>
      <c r="K191">
        <v>103.7</v>
      </c>
      <c r="L191">
        <v>304</v>
      </c>
      <c r="M191" s="13" t="s">
        <v>3366</v>
      </c>
    </row>
    <row r="192" spans="1:13" x14ac:dyDescent="0.35">
      <c r="A192" s="13" t="s">
        <v>3567</v>
      </c>
      <c r="B192" s="13" t="s">
        <v>286</v>
      </c>
      <c r="C192" s="13" t="s">
        <v>287</v>
      </c>
      <c r="D192" s="13" t="s">
        <v>92</v>
      </c>
      <c r="E192" s="13" t="s">
        <v>104</v>
      </c>
      <c r="F192" s="13" t="s">
        <v>87</v>
      </c>
      <c r="G192" s="14">
        <v>45706</v>
      </c>
      <c r="H192" s="14">
        <v>45719</v>
      </c>
      <c r="I192">
        <v>4019.82</v>
      </c>
      <c r="J192">
        <v>0</v>
      </c>
      <c r="K192">
        <v>0</v>
      </c>
      <c r="L192">
        <v>303</v>
      </c>
      <c r="M192" s="13" t="s">
        <v>3512</v>
      </c>
    </row>
    <row r="193" spans="1:13" x14ac:dyDescent="0.35">
      <c r="A193" s="13" t="s">
        <v>3568</v>
      </c>
      <c r="B193" s="13" t="s">
        <v>452</v>
      </c>
      <c r="C193" s="13" t="s">
        <v>453</v>
      </c>
      <c r="D193" s="13" t="s">
        <v>67</v>
      </c>
      <c r="E193" s="13" t="s">
        <v>126</v>
      </c>
      <c r="F193" s="13" t="s">
        <v>122</v>
      </c>
      <c r="G193" s="14">
        <v>45707</v>
      </c>
      <c r="H193" s="14">
        <v>45719</v>
      </c>
      <c r="I193">
        <v>5290.34</v>
      </c>
      <c r="J193">
        <v>5769.23</v>
      </c>
      <c r="K193">
        <v>109.05</v>
      </c>
      <c r="L193">
        <v>303</v>
      </c>
      <c r="M193" s="13" t="s">
        <v>3366</v>
      </c>
    </row>
    <row r="194" spans="1:13" x14ac:dyDescent="0.35">
      <c r="A194" s="13" t="s">
        <v>3569</v>
      </c>
      <c r="B194" s="13" t="s">
        <v>825</v>
      </c>
      <c r="C194" s="13" t="s">
        <v>826</v>
      </c>
      <c r="D194" s="13" t="s">
        <v>55</v>
      </c>
      <c r="E194" s="13" t="s">
        <v>104</v>
      </c>
      <c r="F194" s="13" t="s">
        <v>106</v>
      </c>
      <c r="G194" s="14">
        <v>45717</v>
      </c>
      <c r="H194" s="14">
        <v>45719</v>
      </c>
      <c r="I194">
        <v>787.72</v>
      </c>
      <c r="J194">
        <v>814.44</v>
      </c>
      <c r="K194">
        <v>103.39</v>
      </c>
      <c r="L194">
        <v>303</v>
      </c>
      <c r="M194" s="13" t="s">
        <v>3366</v>
      </c>
    </row>
    <row r="195" spans="1:13" x14ac:dyDescent="0.35">
      <c r="A195" s="13" t="s">
        <v>3570</v>
      </c>
      <c r="B195" s="13" t="s">
        <v>434</v>
      </c>
      <c r="C195" s="13" t="s">
        <v>435</v>
      </c>
      <c r="D195" s="13" t="s">
        <v>55</v>
      </c>
      <c r="E195" s="13" t="s">
        <v>52</v>
      </c>
      <c r="F195" s="13" t="s">
        <v>57</v>
      </c>
      <c r="G195" s="14">
        <v>45718</v>
      </c>
      <c r="H195" s="14">
        <v>45720</v>
      </c>
      <c r="I195">
        <v>1789.57</v>
      </c>
      <c r="J195">
        <v>1796.19</v>
      </c>
      <c r="K195">
        <v>100.37</v>
      </c>
      <c r="L195">
        <v>302</v>
      </c>
      <c r="M195" s="13" t="s">
        <v>3366</v>
      </c>
    </row>
    <row r="196" spans="1:13" x14ac:dyDescent="0.35">
      <c r="A196" s="13" t="s">
        <v>3571</v>
      </c>
      <c r="B196" s="13" t="s">
        <v>692</v>
      </c>
      <c r="C196" s="13" t="s">
        <v>693</v>
      </c>
      <c r="D196" s="13" t="s">
        <v>55</v>
      </c>
      <c r="E196" s="13" t="s">
        <v>52</v>
      </c>
      <c r="F196" s="13" t="s">
        <v>57</v>
      </c>
      <c r="G196" s="14">
        <v>45708</v>
      </c>
      <c r="H196" s="14">
        <v>45720</v>
      </c>
      <c r="I196">
        <v>2771.65</v>
      </c>
      <c r="J196">
        <v>2910.6</v>
      </c>
      <c r="K196">
        <v>105.01</v>
      </c>
      <c r="L196">
        <v>302</v>
      </c>
      <c r="M196" s="13" t="s">
        <v>3366</v>
      </c>
    </row>
    <row r="197" spans="1:13" x14ac:dyDescent="0.35">
      <c r="A197" s="13" t="s">
        <v>3572</v>
      </c>
      <c r="B197" s="13" t="s">
        <v>296</v>
      </c>
      <c r="C197" s="13" t="s">
        <v>297</v>
      </c>
      <c r="D197" s="13" t="s">
        <v>92</v>
      </c>
      <c r="E197" s="13" t="s">
        <v>104</v>
      </c>
      <c r="F197" s="13" t="s">
        <v>106</v>
      </c>
      <c r="G197" s="14">
        <v>45706</v>
      </c>
      <c r="H197" s="14">
        <v>45720</v>
      </c>
      <c r="I197">
        <v>6098.52</v>
      </c>
      <c r="J197">
        <v>0</v>
      </c>
      <c r="K197">
        <v>0</v>
      </c>
      <c r="L197">
        <v>302</v>
      </c>
      <c r="M197" s="13" t="s">
        <v>3512</v>
      </c>
    </row>
    <row r="198" spans="1:13" x14ac:dyDescent="0.35">
      <c r="A198" s="13" t="s">
        <v>3573</v>
      </c>
      <c r="B198" s="13" t="s">
        <v>438</v>
      </c>
      <c r="C198" s="13" t="s">
        <v>439</v>
      </c>
      <c r="D198" s="13" t="s">
        <v>67</v>
      </c>
      <c r="E198" s="13" t="s">
        <v>126</v>
      </c>
      <c r="F198" s="13" t="s">
        <v>87</v>
      </c>
      <c r="G198" s="14">
        <v>45712</v>
      </c>
      <c r="H198" s="14">
        <v>45721</v>
      </c>
      <c r="I198">
        <v>1718.5</v>
      </c>
      <c r="J198">
        <v>1875.13</v>
      </c>
      <c r="K198">
        <v>109.11</v>
      </c>
      <c r="L198">
        <v>301</v>
      </c>
      <c r="M198" s="13" t="s">
        <v>3366</v>
      </c>
    </row>
    <row r="199" spans="1:13" x14ac:dyDescent="0.35">
      <c r="A199" s="13" t="s">
        <v>3574</v>
      </c>
      <c r="B199" s="13" t="s">
        <v>357</v>
      </c>
      <c r="C199" s="13" t="s">
        <v>358</v>
      </c>
      <c r="D199" s="13" t="s">
        <v>92</v>
      </c>
      <c r="E199" s="13" t="s">
        <v>104</v>
      </c>
      <c r="F199" s="13" t="s">
        <v>106</v>
      </c>
      <c r="G199" s="14">
        <v>45696</v>
      </c>
      <c r="H199" s="14">
        <v>45721</v>
      </c>
      <c r="I199">
        <v>2398.92</v>
      </c>
      <c r="J199">
        <v>0</v>
      </c>
      <c r="K199">
        <v>0</v>
      </c>
      <c r="L199">
        <v>301</v>
      </c>
      <c r="M199" s="13" t="s">
        <v>3512</v>
      </c>
    </row>
    <row r="200" spans="1:13" x14ac:dyDescent="0.35">
      <c r="A200" s="13" t="s">
        <v>3575</v>
      </c>
      <c r="B200" s="13" t="s">
        <v>711</v>
      </c>
      <c r="C200" s="13" t="s">
        <v>712</v>
      </c>
      <c r="D200" s="13" t="s">
        <v>67</v>
      </c>
      <c r="E200" s="13" t="s">
        <v>126</v>
      </c>
      <c r="F200" s="13" t="s">
        <v>57</v>
      </c>
      <c r="G200" s="14">
        <v>45718</v>
      </c>
      <c r="H200" s="14">
        <v>45721</v>
      </c>
      <c r="I200">
        <v>3038.1</v>
      </c>
      <c r="J200">
        <v>3348.37</v>
      </c>
      <c r="K200">
        <v>110.21</v>
      </c>
      <c r="L200">
        <v>301</v>
      </c>
      <c r="M200" s="13" t="s">
        <v>3366</v>
      </c>
    </row>
    <row r="201" spans="1:13" x14ac:dyDescent="0.35">
      <c r="A201" s="13" t="s">
        <v>3576</v>
      </c>
      <c r="B201" s="13" t="s">
        <v>1223</v>
      </c>
      <c r="C201" s="13" t="s">
        <v>1224</v>
      </c>
      <c r="D201" s="13" t="s">
        <v>67</v>
      </c>
      <c r="E201" s="13" t="s">
        <v>52</v>
      </c>
      <c r="F201" s="13" t="s">
        <v>87</v>
      </c>
      <c r="G201" s="14">
        <v>45708</v>
      </c>
      <c r="H201" s="14">
        <v>45721</v>
      </c>
      <c r="I201">
        <v>1224.72</v>
      </c>
      <c r="J201">
        <v>1251.43</v>
      </c>
      <c r="K201">
        <v>102.18</v>
      </c>
      <c r="L201">
        <v>301</v>
      </c>
      <c r="M201" s="13" t="s">
        <v>3366</v>
      </c>
    </row>
    <row r="202" spans="1:13" x14ac:dyDescent="0.35">
      <c r="A202" s="13" t="s">
        <v>3577</v>
      </c>
      <c r="B202" s="13" t="s">
        <v>283</v>
      </c>
      <c r="C202" s="13" t="s">
        <v>284</v>
      </c>
      <c r="D202" s="13" t="s">
        <v>92</v>
      </c>
      <c r="E202" s="13" t="s">
        <v>104</v>
      </c>
      <c r="F202" s="13" t="s">
        <v>106</v>
      </c>
      <c r="G202" s="14">
        <v>45700</v>
      </c>
      <c r="H202" s="14">
        <v>45721</v>
      </c>
      <c r="I202">
        <v>720.07</v>
      </c>
      <c r="J202">
        <v>0</v>
      </c>
      <c r="K202">
        <v>0</v>
      </c>
      <c r="L202">
        <v>301</v>
      </c>
      <c r="M202" s="13" t="s">
        <v>3512</v>
      </c>
    </row>
    <row r="203" spans="1:13" x14ac:dyDescent="0.35">
      <c r="A203" s="13" t="s">
        <v>3578</v>
      </c>
      <c r="B203" s="13" t="s">
        <v>290</v>
      </c>
      <c r="C203" s="13" t="s">
        <v>291</v>
      </c>
      <c r="D203" s="13" t="s">
        <v>92</v>
      </c>
      <c r="E203" s="13" t="s">
        <v>104</v>
      </c>
      <c r="F203" s="13" t="s">
        <v>122</v>
      </c>
      <c r="G203" s="14">
        <v>45698</v>
      </c>
      <c r="H203" s="14">
        <v>45721</v>
      </c>
      <c r="I203">
        <v>4044.05</v>
      </c>
      <c r="J203">
        <v>0</v>
      </c>
      <c r="K203">
        <v>0</v>
      </c>
      <c r="L203">
        <v>301</v>
      </c>
      <c r="M203" s="13" t="s">
        <v>3512</v>
      </c>
    </row>
    <row r="204" spans="1:13" x14ac:dyDescent="0.35">
      <c r="A204" s="13" t="s">
        <v>3579</v>
      </c>
      <c r="B204" s="13" t="s">
        <v>930</v>
      </c>
      <c r="C204" s="13" t="s">
        <v>931</v>
      </c>
      <c r="D204" s="13" t="s">
        <v>55</v>
      </c>
      <c r="E204" s="13" t="s">
        <v>104</v>
      </c>
      <c r="F204" s="13" t="s">
        <v>122</v>
      </c>
      <c r="G204" s="14">
        <v>45714</v>
      </c>
      <c r="H204" s="14">
        <v>45722</v>
      </c>
      <c r="I204">
        <v>6085.79</v>
      </c>
      <c r="J204">
        <v>6146.19</v>
      </c>
      <c r="K204">
        <v>100.99</v>
      </c>
      <c r="L204">
        <v>300</v>
      </c>
      <c r="M204" s="13" t="s">
        <v>3366</v>
      </c>
    </row>
    <row r="205" spans="1:13" x14ac:dyDescent="0.35">
      <c r="A205" s="13" t="s">
        <v>3580</v>
      </c>
      <c r="B205" s="13" t="s">
        <v>300</v>
      </c>
      <c r="C205" s="13" t="s">
        <v>301</v>
      </c>
      <c r="D205" s="13" t="s">
        <v>92</v>
      </c>
      <c r="E205" s="13" t="s">
        <v>104</v>
      </c>
      <c r="F205" s="13" t="s">
        <v>106</v>
      </c>
      <c r="G205" s="14">
        <v>45703</v>
      </c>
      <c r="H205" s="14">
        <v>45723</v>
      </c>
      <c r="I205">
        <v>427.19</v>
      </c>
      <c r="J205">
        <v>0</v>
      </c>
      <c r="K205">
        <v>0</v>
      </c>
      <c r="L205">
        <v>299</v>
      </c>
      <c r="M205" s="13" t="s">
        <v>3512</v>
      </c>
    </row>
    <row r="206" spans="1:13" x14ac:dyDescent="0.35">
      <c r="A206" s="13" t="s">
        <v>3581</v>
      </c>
      <c r="B206" s="13" t="s">
        <v>780</v>
      </c>
      <c r="C206" s="13" t="s">
        <v>781</v>
      </c>
      <c r="D206" s="13" t="s">
        <v>55</v>
      </c>
      <c r="E206" s="13" t="s">
        <v>52</v>
      </c>
      <c r="F206" s="13" t="s">
        <v>87</v>
      </c>
      <c r="G206" s="14">
        <v>45713</v>
      </c>
      <c r="H206" s="14">
        <v>45723</v>
      </c>
      <c r="I206">
        <v>4002.19</v>
      </c>
      <c r="J206">
        <v>5953.02</v>
      </c>
      <c r="K206">
        <v>148.74</v>
      </c>
      <c r="L206">
        <v>299</v>
      </c>
      <c r="M206" s="13" t="s">
        <v>3366</v>
      </c>
    </row>
    <row r="207" spans="1:13" x14ac:dyDescent="0.35">
      <c r="A207" s="13" t="s">
        <v>3582</v>
      </c>
      <c r="B207" s="13" t="s">
        <v>212</v>
      </c>
      <c r="C207" s="13" t="s">
        <v>213</v>
      </c>
      <c r="D207" s="13" t="s">
        <v>92</v>
      </c>
      <c r="E207" s="13" t="s">
        <v>52</v>
      </c>
      <c r="F207" s="13" t="s">
        <v>87</v>
      </c>
      <c r="G207" s="14">
        <v>45706</v>
      </c>
      <c r="H207" s="14">
        <v>45723</v>
      </c>
      <c r="I207">
        <v>3790.47</v>
      </c>
      <c r="J207">
        <v>0</v>
      </c>
      <c r="K207">
        <v>0</v>
      </c>
      <c r="L207">
        <v>299</v>
      </c>
      <c r="M207" s="13" t="s">
        <v>3512</v>
      </c>
    </row>
    <row r="208" spans="1:13" x14ac:dyDescent="0.35">
      <c r="A208" s="13" t="s">
        <v>3583</v>
      </c>
      <c r="B208" s="13" t="s">
        <v>90</v>
      </c>
      <c r="C208" s="13" t="s">
        <v>91</v>
      </c>
      <c r="D208" s="13" t="s">
        <v>92</v>
      </c>
      <c r="E208" s="13" t="s">
        <v>76</v>
      </c>
      <c r="F208" s="13" t="s">
        <v>94</v>
      </c>
      <c r="G208" s="14">
        <v>45713</v>
      </c>
      <c r="H208" s="14">
        <v>45724</v>
      </c>
      <c r="I208">
        <v>786.52</v>
      </c>
      <c r="J208">
        <v>2773.78</v>
      </c>
      <c r="K208">
        <v>352.66</v>
      </c>
      <c r="L208">
        <v>298</v>
      </c>
      <c r="M208" s="13" t="s">
        <v>3366</v>
      </c>
    </row>
    <row r="209" spans="1:13" x14ac:dyDescent="0.35">
      <c r="A209" s="13" t="s">
        <v>3584</v>
      </c>
      <c r="B209" s="13" t="s">
        <v>232</v>
      </c>
      <c r="C209" s="13" t="s">
        <v>233</v>
      </c>
      <c r="D209" s="13" t="s">
        <v>55</v>
      </c>
      <c r="E209" s="13" t="s">
        <v>76</v>
      </c>
      <c r="F209" s="13" t="s">
        <v>94</v>
      </c>
      <c r="G209" s="14">
        <v>45713</v>
      </c>
      <c r="H209" s="14">
        <v>45724</v>
      </c>
      <c r="I209">
        <v>2319.0700000000002</v>
      </c>
      <c r="J209">
        <v>2430.5100000000002</v>
      </c>
      <c r="K209">
        <v>104.81</v>
      </c>
      <c r="L209">
        <v>298</v>
      </c>
      <c r="M209" s="13" t="s">
        <v>3366</v>
      </c>
    </row>
    <row r="210" spans="1:13" x14ac:dyDescent="0.35">
      <c r="A210" s="13" t="s">
        <v>3585</v>
      </c>
      <c r="B210" s="13" t="s">
        <v>914</v>
      </c>
      <c r="C210" s="13" t="s">
        <v>915</v>
      </c>
      <c r="D210" s="13" t="s">
        <v>55</v>
      </c>
      <c r="E210" s="13" t="s">
        <v>76</v>
      </c>
      <c r="F210" s="13" t="s">
        <v>94</v>
      </c>
      <c r="G210" s="14">
        <v>45717</v>
      </c>
      <c r="H210" s="14">
        <v>45725</v>
      </c>
      <c r="I210">
        <v>632.19000000000005</v>
      </c>
      <c r="J210">
        <v>641.70000000000005</v>
      </c>
      <c r="K210">
        <v>101.5</v>
      </c>
      <c r="L210">
        <v>297</v>
      </c>
      <c r="M210" s="13" t="s">
        <v>3366</v>
      </c>
    </row>
    <row r="211" spans="1:13" x14ac:dyDescent="0.35">
      <c r="A211" s="13" t="s">
        <v>3586</v>
      </c>
      <c r="B211" s="13" t="s">
        <v>997</v>
      </c>
      <c r="C211" s="13" t="s">
        <v>998</v>
      </c>
      <c r="D211" s="13" t="s">
        <v>55</v>
      </c>
      <c r="E211" s="13" t="s">
        <v>52</v>
      </c>
      <c r="F211" s="13" t="s">
        <v>87</v>
      </c>
      <c r="G211" s="14">
        <v>45715</v>
      </c>
      <c r="H211" s="14">
        <v>45725</v>
      </c>
      <c r="I211">
        <v>1954.01</v>
      </c>
      <c r="J211">
        <v>2045.9</v>
      </c>
      <c r="K211">
        <v>104.7</v>
      </c>
      <c r="L211">
        <v>297</v>
      </c>
      <c r="M211" s="13" t="s">
        <v>3366</v>
      </c>
    </row>
    <row r="212" spans="1:13" x14ac:dyDescent="0.35">
      <c r="A212" s="13" t="s">
        <v>3587</v>
      </c>
      <c r="B212" s="13" t="s">
        <v>197</v>
      </c>
      <c r="C212" s="13" t="s">
        <v>198</v>
      </c>
      <c r="D212" s="13" t="s">
        <v>67</v>
      </c>
      <c r="E212" s="13" t="s">
        <v>76</v>
      </c>
      <c r="F212" s="13" t="s">
        <v>80</v>
      </c>
      <c r="G212" s="14">
        <v>45719</v>
      </c>
      <c r="H212" s="14">
        <v>45727</v>
      </c>
      <c r="I212">
        <v>341.82</v>
      </c>
      <c r="J212">
        <v>0</v>
      </c>
      <c r="K212">
        <v>0</v>
      </c>
      <c r="L212">
        <v>295</v>
      </c>
      <c r="M212" s="13" t="s">
        <v>3512</v>
      </c>
    </row>
    <row r="213" spans="1:13" x14ac:dyDescent="0.35">
      <c r="A213" s="13" t="s">
        <v>3588</v>
      </c>
      <c r="B213" s="13" t="s">
        <v>933</v>
      </c>
      <c r="C213" s="13" t="s">
        <v>934</v>
      </c>
      <c r="D213" s="13" t="s">
        <v>67</v>
      </c>
      <c r="E213" s="13" t="s">
        <v>76</v>
      </c>
      <c r="F213" s="13" t="s">
        <v>80</v>
      </c>
      <c r="G213" s="14">
        <v>45722</v>
      </c>
      <c r="H213" s="14">
        <v>45728</v>
      </c>
      <c r="I213">
        <v>1645.29</v>
      </c>
      <c r="J213">
        <v>1777.38</v>
      </c>
      <c r="K213">
        <v>108.03</v>
      </c>
      <c r="L213">
        <v>294</v>
      </c>
      <c r="M213" s="13" t="s">
        <v>3366</v>
      </c>
    </row>
    <row r="214" spans="1:13" x14ac:dyDescent="0.35">
      <c r="A214" s="13" t="s">
        <v>3589</v>
      </c>
      <c r="B214" s="13" t="s">
        <v>1027</v>
      </c>
      <c r="C214" s="13" t="s">
        <v>1028</v>
      </c>
      <c r="D214" s="13" t="s">
        <v>67</v>
      </c>
      <c r="E214" s="13" t="s">
        <v>104</v>
      </c>
      <c r="F214" s="13" t="s">
        <v>122</v>
      </c>
      <c r="G214" s="14">
        <v>45722</v>
      </c>
      <c r="H214" s="14">
        <v>45729</v>
      </c>
      <c r="I214">
        <v>8189.71</v>
      </c>
      <c r="J214">
        <v>8760.6</v>
      </c>
      <c r="K214">
        <v>106.97</v>
      </c>
      <c r="L214">
        <v>293</v>
      </c>
      <c r="M214" s="13" t="s">
        <v>3366</v>
      </c>
    </row>
    <row r="215" spans="1:13" x14ac:dyDescent="0.35">
      <c r="A215" s="13" t="s">
        <v>3590</v>
      </c>
      <c r="B215" s="13" t="s">
        <v>50</v>
      </c>
      <c r="C215" s="13" t="s">
        <v>51</v>
      </c>
      <c r="D215" s="13" t="s">
        <v>55</v>
      </c>
      <c r="E215" s="13" t="s">
        <v>52</v>
      </c>
      <c r="F215" s="13" t="s">
        <v>57</v>
      </c>
      <c r="G215" s="14">
        <v>45725</v>
      </c>
      <c r="H215" s="14">
        <v>45729</v>
      </c>
      <c r="I215">
        <v>8423.82</v>
      </c>
      <c r="J215">
        <v>9305.5300000000007</v>
      </c>
      <c r="K215">
        <v>110.47</v>
      </c>
      <c r="L215">
        <v>293</v>
      </c>
      <c r="M215" s="13" t="s">
        <v>3366</v>
      </c>
    </row>
    <row r="216" spans="1:13" x14ac:dyDescent="0.35">
      <c r="A216" s="13" t="s">
        <v>3591</v>
      </c>
      <c r="B216" s="13" t="s">
        <v>659</v>
      </c>
      <c r="C216" s="13" t="s">
        <v>660</v>
      </c>
      <c r="D216" s="13" t="s">
        <v>67</v>
      </c>
      <c r="E216" s="13" t="s">
        <v>126</v>
      </c>
      <c r="F216" s="13" t="s">
        <v>106</v>
      </c>
      <c r="G216" s="14">
        <v>45719</v>
      </c>
      <c r="H216" s="14">
        <v>45730</v>
      </c>
      <c r="I216">
        <v>1796.93</v>
      </c>
      <c r="J216">
        <v>1851.32</v>
      </c>
      <c r="K216">
        <v>103.03</v>
      </c>
      <c r="L216">
        <v>292</v>
      </c>
      <c r="M216" s="13" t="s">
        <v>3366</v>
      </c>
    </row>
    <row r="217" spans="1:13" x14ac:dyDescent="0.35">
      <c r="A217" s="13" t="s">
        <v>3592</v>
      </c>
      <c r="B217" s="13" t="s">
        <v>1015</v>
      </c>
      <c r="C217" s="13" t="s">
        <v>1016</v>
      </c>
      <c r="D217" s="13" t="s">
        <v>55</v>
      </c>
      <c r="E217" s="13" t="s">
        <v>52</v>
      </c>
      <c r="F217" s="13" t="s">
        <v>57</v>
      </c>
      <c r="G217" s="14">
        <v>45719</v>
      </c>
      <c r="H217" s="14">
        <v>45730</v>
      </c>
      <c r="I217">
        <v>3890.15</v>
      </c>
      <c r="J217">
        <v>27714.15</v>
      </c>
      <c r="K217">
        <v>712.42</v>
      </c>
      <c r="L217">
        <v>292</v>
      </c>
      <c r="M217" s="13" t="s">
        <v>3366</v>
      </c>
    </row>
    <row r="218" spans="1:13" x14ac:dyDescent="0.35">
      <c r="A218" s="13" t="s">
        <v>3593</v>
      </c>
      <c r="B218" s="13" t="s">
        <v>422</v>
      </c>
      <c r="C218" s="13" t="s">
        <v>423</v>
      </c>
      <c r="D218" s="13" t="s">
        <v>67</v>
      </c>
      <c r="E218" s="13" t="s">
        <v>126</v>
      </c>
      <c r="F218" s="13" t="s">
        <v>106</v>
      </c>
      <c r="G218" s="14">
        <v>45723</v>
      </c>
      <c r="H218" s="14">
        <v>45730</v>
      </c>
      <c r="I218">
        <v>8163.11</v>
      </c>
      <c r="J218">
        <v>8329.8700000000008</v>
      </c>
      <c r="K218">
        <v>102.04</v>
      </c>
      <c r="L218">
        <v>292</v>
      </c>
      <c r="M218" s="13" t="s">
        <v>3366</v>
      </c>
    </row>
    <row r="219" spans="1:13" x14ac:dyDescent="0.35">
      <c r="A219" s="13" t="s">
        <v>3594</v>
      </c>
      <c r="B219" s="13" t="s">
        <v>890</v>
      </c>
      <c r="C219" s="13" t="s">
        <v>891</v>
      </c>
      <c r="D219" s="13" t="s">
        <v>67</v>
      </c>
      <c r="E219" s="13" t="s">
        <v>76</v>
      </c>
      <c r="F219" s="13" t="s">
        <v>80</v>
      </c>
      <c r="G219" s="14">
        <v>45718</v>
      </c>
      <c r="H219" s="14">
        <v>45731</v>
      </c>
      <c r="I219">
        <v>570.34</v>
      </c>
      <c r="J219">
        <v>11914.75</v>
      </c>
      <c r="K219">
        <v>2089.06</v>
      </c>
      <c r="L219">
        <v>291</v>
      </c>
      <c r="M219" s="13" t="s">
        <v>3366</v>
      </c>
    </row>
    <row r="220" spans="1:13" x14ac:dyDescent="0.35">
      <c r="A220" s="13" t="s">
        <v>3595</v>
      </c>
      <c r="B220" s="13" t="s">
        <v>1018</v>
      </c>
      <c r="C220" s="13" t="s">
        <v>1019</v>
      </c>
      <c r="D220" s="13" t="s">
        <v>67</v>
      </c>
      <c r="E220" s="13" t="s">
        <v>52</v>
      </c>
      <c r="F220" s="13" t="s">
        <v>87</v>
      </c>
      <c r="G220" s="14">
        <v>45727</v>
      </c>
      <c r="H220" s="14">
        <v>45731</v>
      </c>
      <c r="I220">
        <v>4485.58</v>
      </c>
      <c r="J220">
        <v>11421.62</v>
      </c>
      <c r="K220">
        <v>254.63</v>
      </c>
      <c r="L220">
        <v>291</v>
      </c>
      <c r="M220" s="13" t="s">
        <v>3366</v>
      </c>
    </row>
    <row r="221" spans="1:13" x14ac:dyDescent="0.35">
      <c r="A221" s="13" t="s">
        <v>3596</v>
      </c>
      <c r="B221" s="13" t="s">
        <v>1227</v>
      </c>
      <c r="C221" s="13" t="s">
        <v>1228</v>
      </c>
      <c r="D221" s="13" t="s">
        <v>55</v>
      </c>
      <c r="E221" s="13" t="s">
        <v>76</v>
      </c>
      <c r="F221" s="13" t="s">
        <v>94</v>
      </c>
      <c r="G221" s="14">
        <v>45728</v>
      </c>
      <c r="H221" s="14">
        <v>45731</v>
      </c>
      <c r="I221">
        <v>669.23</v>
      </c>
      <c r="J221">
        <v>2174.79</v>
      </c>
      <c r="K221">
        <v>324.97000000000003</v>
      </c>
      <c r="L221">
        <v>291</v>
      </c>
      <c r="M221" s="13" t="s">
        <v>3366</v>
      </c>
    </row>
    <row r="222" spans="1:13" x14ac:dyDescent="0.35">
      <c r="A222" s="13" t="s">
        <v>3597</v>
      </c>
      <c r="B222" s="13" t="s">
        <v>197</v>
      </c>
      <c r="C222" s="13" t="s">
        <v>198</v>
      </c>
      <c r="D222" s="13" t="s">
        <v>67</v>
      </c>
      <c r="E222" s="13" t="s">
        <v>76</v>
      </c>
      <c r="F222" s="13" t="s">
        <v>80</v>
      </c>
      <c r="G222" s="14">
        <v>45724</v>
      </c>
      <c r="H222" s="14">
        <v>45731</v>
      </c>
      <c r="I222">
        <v>557.24</v>
      </c>
      <c r="J222">
        <v>6197.04</v>
      </c>
      <c r="K222">
        <v>1112.0999999999999</v>
      </c>
      <c r="L222">
        <v>291</v>
      </c>
      <c r="M222" s="13" t="s">
        <v>3366</v>
      </c>
    </row>
    <row r="223" spans="1:13" x14ac:dyDescent="0.35">
      <c r="A223" s="13" t="s">
        <v>3598</v>
      </c>
      <c r="B223" s="13" t="s">
        <v>286</v>
      </c>
      <c r="C223" s="13" t="s">
        <v>287</v>
      </c>
      <c r="D223" s="13" t="s">
        <v>92</v>
      </c>
      <c r="E223" s="13" t="s">
        <v>104</v>
      </c>
      <c r="F223" s="13" t="s">
        <v>87</v>
      </c>
      <c r="G223" s="14">
        <v>45714</v>
      </c>
      <c r="H223" s="14">
        <v>45731</v>
      </c>
      <c r="I223">
        <v>3098.62</v>
      </c>
      <c r="J223">
        <v>0</v>
      </c>
      <c r="K223">
        <v>0</v>
      </c>
      <c r="L223">
        <v>291</v>
      </c>
      <c r="M223" s="13" t="s">
        <v>3512</v>
      </c>
    </row>
    <row r="224" spans="1:13" x14ac:dyDescent="0.35">
      <c r="A224" s="13" t="s">
        <v>3599</v>
      </c>
      <c r="B224" s="13" t="s">
        <v>1470</v>
      </c>
      <c r="C224" s="13" t="s">
        <v>1471</v>
      </c>
      <c r="D224" s="13" t="s">
        <v>67</v>
      </c>
      <c r="E224" s="13" t="s">
        <v>52</v>
      </c>
      <c r="F224" s="13" t="s">
        <v>87</v>
      </c>
      <c r="G224" s="14">
        <v>45720</v>
      </c>
      <c r="H224" s="14">
        <v>45731</v>
      </c>
      <c r="I224">
        <v>15300.4</v>
      </c>
      <c r="J224">
        <v>16348.78</v>
      </c>
      <c r="K224">
        <v>106.85</v>
      </c>
      <c r="L224">
        <v>291</v>
      </c>
      <c r="M224" s="13" t="s">
        <v>3366</v>
      </c>
    </row>
    <row r="225" spans="1:13" x14ac:dyDescent="0.35">
      <c r="A225" s="13" t="s">
        <v>3600</v>
      </c>
      <c r="B225" s="13" t="s">
        <v>2384</v>
      </c>
      <c r="C225" s="13" t="s">
        <v>2385</v>
      </c>
      <c r="D225" s="13" t="s">
        <v>55</v>
      </c>
      <c r="E225" s="13" t="s">
        <v>76</v>
      </c>
      <c r="F225" s="13" t="s">
        <v>94</v>
      </c>
      <c r="G225" s="14">
        <v>45723</v>
      </c>
      <c r="H225" s="14">
        <v>45731</v>
      </c>
      <c r="I225">
        <v>4314.8</v>
      </c>
      <c r="J225">
        <v>4759.03</v>
      </c>
      <c r="K225">
        <v>110.3</v>
      </c>
      <c r="L225">
        <v>291</v>
      </c>
      <c r="M225" s="13" t="s">
        <v>3366</v>
      </c>
    </row>
    <row r="226" spans="1:13" x14ac:dyDescent="0.35">
      <c r="A226" s="13" t="s">
        <v>3601</v>
      </c>
      <c r="B226" s="13" t="s">
        <v>277</v>
      </c>
      <c r="C226" s="13" t="s">
        <v>278</v>
      </c>
      <c r="D226" s="13" t="s">
        <v>92</v>
      </c>
      <c r="E226" s="13" t="s">
        <v>104</v>
      </c>
      <c r="F226" s="13" t="s">
        <v>106</v>
      </c>
      <c r="G226" s="14">
        <v>45720</v>
      </c>
      <c r="H226" s="14">
        <v>45732</v>
      </c>
      <c r="I226">
        <v>1902.67</v>
      </c>
      <c r="J226">
        <v>0</v>
      </c>
      <c r="K226">
        <v>0</v>
      </c>
      <c r="L226">
        <v>290</v>
      </c>
      <c r="M226" s="13" t="s">
        <v>3512</v>
      </c>
    </row>
    <row r="227" spans="1:13" x14ac:dyDescent="0.35">
      <c r="A227" s="13" t="s">
        <v>3602</v>
      </c>
      <c r="B227" s="13" t="s">
        <v>1227</v>
      </c>
      <c r="C227" s="13" t="s">
        <v>1228</v>
      </c>
      <c r="D227" s="13" t="s">
        <v>55</v>
      </c>
      <c r="E227" s="13" t="s">
        <v>76</v>
      </c>
      <c r="F227" s="13" t="s">
        <v>94</v>
      </c>
      <c r="G227" s="14">
        <v>45722</v>
      </c>
      <c r="H227" s="14">
        <v>45732</v>
      </c>
      <c r="I227">
        <v>1343.18</v>
      </c>
      <c r="J227">
        <v>2174.79</v>
      </c>
      <c r="K227">
        <v>161.91</v>
      </c>
      <c r="L227">
        <v>290</v>
      </c>
      <c r="M227" s="13" t="s">
        <v>3366</v>
      </c>
    </row>
    <row r="228" spans="1:13" x14ac:dyDescent="0.35">
      <c r="A228" s="13" t="s">
        <v>3603</v>
      </c>
      <c r="B228" s="13" t="s">
        <v>172</v>
      </c>
      <c r="C228" s="13" t="s">
        <v>173</v>
      </c>
      <c r="D228" s="13" t="s">
        <v>67</v>
      </c>
      <c r="E228" s="13" t="s">
        <v>52</v>
      </c>
      <c r="F228" s="13" t="s">
        <v>57</v>
      </c>
      <c r="G228" s="14">
        <v>45723</v>
      </c>
      <c r="H228" s="14">
        <v>45732</v>
      </c>
      <c r="I228">
        <v>5979.12</v>
      </c>
      <c r="J228">
        <v>14349.88</v>
      </c>
      <c r="K228">
        <v>240</v>
      </c>
      <c r="L228">
        <v>290</v>
      </c>
      <c r="M228" s="13" t="s">
        <v>3366</v>
      </c>
    </row>
    <row r="229" spans="1:13" x14ac:dyDescent="0.35">
      <c r="A229" s="13" t="s">
        <v>3604</v>
      </c>
      <c r="B229" s="13" t="s">
        <v>300</v>
      </c>
      <c r="C229" s="13" t="s">
        <v>301</v>
      </c>
      <c r="D229" s="13" t="s">
        <v>92</v>
      </c>
      <c r="E229" s="13" t="s">
        <v>104</v>
      </c>
      <c r="F229" s="13" t="s">
        <v>106</v>
      </c>
      <c r="G229" s="14">
        <v>45721</v>
      </c>
      <c r="H229" s="14">
        <v>45732</v>
      </c>
      <c r="I229">
        <v>906.23</v>
      </c>
      <c r="J229">
        <v>0</v>
      </c>
      <c r="K229">
        <v>0</v>
      </c>
      <c r="L229">
        <v>290</v>
      </c>
      <c r="M229" s="13" t="s">
        <v>3512</v>
      </c>
    </row>
    <row r="230" spans="1:13" x14ac:dyDescent="0.35">
      <c r="A230" s="13" t="s">
        <v>3605</v>
      </c>
      <c r="B230" s="13" t="s">
        <v>238</v>
      </c>
      <c r="C230" s="13" t="s">
        <v>239</v>
      </c>
      <c r="D230" s="13" t="s">
        <v>92</v>
      </c>
      <c r="E230" s="13" t="s">
        <v>76</v>
      </c>
      <c r="F230" s="13" t="s">
        <v>94</v>
      </c>
      <c r="G230" s="14">
        <v>45725</v>
      </c>
      <c r="H230" s="14">
        <v>45732</v>
      </c>
      <c r="I230">
        <v>1518.5</v>
      </c>
      <c r="J230">
        <v>2354.69</v>
      </c>
      <c r="K230">
        <v>155.07</v>
      </c>
      <c r="L230">
        <v>290</v>
      </c>
      <c r="M230" s="13" t="s">
        <v>3366</v>
      </c>
    </row>
    <row r="231" spans="1:13" x14ac:dyDescent="0.35">
      <c r="A231" s="13" t="s">
        <v>3606</v>
      </c>
      <c r="B231" s="13" t="s">
        <v>263</v>
      </c>
      <c r="C231" s="13" t="s">
        <v>264</v>
      </c>
      <c r="D231" s="13" t="s">
        <v>55</v>
      </c>
      <c r="E231" s="13" t="s">
        <v>52</v>
      </c>
      <c r="F231" s="13" t="s">
        <v>87</v>
      </c>
      <c r="G231" s="14">
        <v>45726</v>
      </c>
      <c r="H231" s="14">
        <v>45732</v>
      </c>
      <c r="I231">
        <v>6128.62</v>
      </c>
      <c r="J231">
        <v>16747.759999999998</v>
      </c>
      <c r="K231">
        <v>273.27</v>
      </c>
      <c r="L231">
        <v>290</v>
      </c>
      <c r="M231" s="13" t="s">
        <v>3366</v>
      </c>
    </row>
    <row r="232" spans="1:13" x14ac:dyDescent="0.35">
      <c r="A232" s="13" t="s">
        <v>3607</v>
      </c>
      <c r="B232" s="13" t="s">
        <v>474</v>
      </c>
      <c r="C232" s="13" t="s">
        <v>475</v>
      </c>
      <c r="D232" s="13" t="s">
        <v>67</v>
      </c>
      <c r="E232" s="13" t="s">
        <v>126</v>
      </c>
      <c r="F232" s="13" t="s">
        <v>57</v>
      </c>
      <c r="G232" s="14">
        <v>45722</v>
      </c>
      <c r="H232" s="14">
        <v>45733</v>
      </c>
      <c r="I232">
        <v>2642.66</v>
      </c>
      <c r="J232">
        <v>2725.23</v>
      </c>
      <c r="K232">
        <v>103.12</v>
      </c>
      <c r="L232">
        <v>289</v>
      </c>
      <c r="M232" s="13" t="s">
        <v>3366</v>
      </c>
    </row>
    <row r="233" spans="1:13" x14ac:dyDescent="0.35">
      <c r="A233" s="13" t="s">
        <v>3608</v>
      </c>
      <c r="B233" s="13" t="s">
        <v>1819</v>
      </c>
      <c r="C233" s="13" t="s">
        <v>1820</v>
      </c>
      <c r="D233" s="13" t="s">
        <v>67</v>
      </c>
      <c r="E233" s="13" t="s">
        <v>126</v>
      </c>
      <c r="F233" s="13" t="s">
        <v>106</v>
      </c>
      <c r="G233" s="14">
        <v>45730</v>
      </c>
      <c r="H233" s="14">
        <v>45733</v>
      </c>
      <c r="I233">
        <v>5535.01</v>
      </c>
      <c r="J233">
        <v>5840.11</v>
      </c>
      <c r="K233">
        <v>105.51</v>
      </c>
      <c r="L233">
        <v>289</v>
      </c>
      <c r="M233" s="13" t="s">
        <v>3366</v>
      </c>
    </row>
    <row r="234" spans="1:13" x14ac:dyDescent="0.35">
      <c r="A234" s="13" t="s">
        <v>3609</v>
      </c>
      <c r="B234" s="13" t="s">
        <v>393</v>
      </c>
      <c r="C234" s="13" t="s">
        <v>394</v>
      </c>
      <c r="D234" s="13" t="s">
        <v>55</v>
      </c>
      <c r="E234" s="13" t="s">
        <v>76</v>
      </c>
      <c r="F234" s="13" t="s">
        <v>94</v>
      </c>
      <c r="G234" s="14">
        <v>45723</v>
      </c>
      <c r="H234" s="14">
        <v>45733</v>
      </c>
      <c r="I234">
        <v>2259.19</v>
      </c>
      <c r="J234">
        <v>2381.48</v>
      </c>
      <c r="K234">
        <v>105.41</v>
      </c>
      <c r="L234">
        <v>289</v>
      </c>
      <c r="M234" s="13" t="s">
        <v>3366</v>
      </c>
    </row>
    <row r="235" spans="1:13" x14ac:dyDescent="0.35">
      <c r="A235" s="13" t="s">
        <v>3610</v>
      </c>
      <c r="B235" s="13" t="s">
        <v>558</v>
      </c>
      <c r="C235" s="13" t="s">
        <v>559</v>
      </c>
      <c r="D235" s="13" t="s">
        <v>55</v>
      </c>
      <c r="E235" s="13" t="s">
        <v>52</v>
      </c>
      <c r="F235" s="13" t="s">
        <v>57</v>
      </c>
      <c r="G235" s="14">
        <v>45724</v>
      </c>
      <c r="H235" s="14">
        <v>45733</v>
      </c>
      <c r="I235">
        <v>2020.51</v>
      </c>
      <c r="J235">
        <v>15693.26</v>
      </c>
      <c r="K235">
        <v>776.7</v>
      </c>
      <c r="L235">
        <v>289</v>
      </c>
      <c r="M235" s="13" t="s">
        <v>3366</v>
      </c>
    </row>
    <row r="236" spans="1:13" x14ac:dyDescent="0.35">
      <c r="A236" s="13" t="s">
        <v>3611</v>
      </c>
      <c r="B236" s="13" t="s">
        <v>2316</v>
      </c>
      <c r="C236" s="13" t="s">
        <v>2317</v>
      </c>
      <c r="D236" s="13" t="s">
        <v>67</v>
      </c>
      <c r="E236" s="13" t="s">
        <v>76</v>
      </c>
      <c r="F236" s="13" t="s">
        <v>94</v>
      </c>
      <c r="G236" s="14">
        <v>45724</v>
      </c>
      <c r="H236" s="14">
        <v>45734</v>
      </c>
      <c r="I236">
        <v>1013.61</v>
      </c>
      <c r="J236">
        <v>1084.8399999999999</v>
      </c>
      <c r="K236">
        <v>107.03</v>
      </c>
      <c r="L236">
        <v>288</v>
      </c>
      <c r="M236" s="13" t="s">
        <v>3366</v>
      </c>
    </row>
    <row r="237" spans="1:13" x14ac:dyDescent="0.35">
      <c r="A237" s="13" t="s">
        <v>3612</v>
      </c>
      <c r="B237" s="13" t="s">
        <v>1251</v>
      </c>
      <c r="C237" s="13" t="s">
        <v>1252</v>
      </c>
      <c r="D237" s="13" t="s">
        <v>92</v>
      </c>
      <c r="E237" s="13" t="s">
        <v>76</v>
      </c>
      <c r="F237" s="13" t="s">
        <v>94</v>
      </c>
      <c r="G237" s="14">
        <v>45722</v>
      </c>
      <c r="H237" s="14">
        <v>45734</v>
      </c>
      <c r="I237">
        <v>1780.88</v>
      </c>
      <c r="J237">
        <v>1872.99</v>
      </c>
      <c r="K237">
        <v>105.17</v>
      </c>
      <c r="L237">
        <v>288</v>
      </c>
      <c r="M237" s="13" t="s">
        <v>3366</v>
      </c>
    </row>
    <row r="238" spans="1:13" x14ac:dyDescent="0.35">
      <c r="A238" s="13" t="s">
        <v>3613</v>
      </c>
      <c r="B238" s="13" t="s">
        <v>124</v>
      </c>
      <c r="C238" s="13" t="s">
        <v>125</v>
      </c>
      <c r="D238" s="13" t="s">
        <v>67</v>
      </c>
      <c r="E238" s="13" t="s">
        <v>126</v>
      </c>
      <c r="F238" s="13" t="s">
        <v>87</v>
      </c>
      <c r="G238" s="14">
        <v>45726</v>
      </c>
      <c r="H238" s="14">
        <v>45734</v>
      </c>
      <c r="I238">
        <v>7960.22</v>
      </c>
      <c r="J238">
        <v>8624.1</v>
      </c>
      <c r="K238">
        <v>108.34</v>
      </c>
      <c r="L238">
        <v>288</v>
      </c>
      <c r="M238" s="13" t="s">
        <v>3366</v>
      </c>
    </row>
    <row r="239" spans="1:13" x14ac:dyDescent="0.35">
      <c r="A239" s="13" t="s">
        <v>3614</v>
      </c>
      <c r="B239" s="13" t="s">
        <v>290</v>
      </c>
      <c r="C239" s="13" t="s">
        <v>291</v>
      </c>
      <c r="D239" s="13" t="s">
        <v>92</v>
      </c>
      <c r="E239" s="13" t="s">
        <v>104</v>
      </c>
      <c r="F239" s="13" t="s">
        <v>122</v>
      </c>
      <c r="G239" s="14">
        <v>45712</v>
      </c>
      <c r="H239" s="14">
        <v>45734</v>
      </c>
      <c r="I239">
        <v>395.43</v>
      </c>
      <c r="J239">
        <v>0</v>
      </c>
      <c r="K239">
        <v>0</v>
      </c>
      <c r="L239">
        <v>288</v>
      </c>
      <c r="M239" s="13" t="s">
        <v>3512</v>
      </c>
    </row>
    <row r="240" spans="1:13" x14ac:dyDescent="0.35">
      <c r="A240" s="13" t="s">
        <v>3615</v>
      </c>
      <c r="B240" s="13" t="s">
        <v>340</v>
      </c>
      <c r="C240" s="13" t="s">
        <v>341</v>
      </c>
      <c r="D240" s="13" t="s">
        <v>92</v>
      </c>
      <c r="E240" s="13" t="s">
        <v>52</v>
      </c>
      <c r="F240" s="13" t="s">
        <v>57</v>
      </c>
      <c r="G240" s="14">
        <v>45723</v>
      </c>
      <c r="H240" s="14">
        <v>45734</v>
      </c>
      <c r="I240">
        <v>1963.29</v>
      </c>
      <c r="J240">
        <v>4297.58</v>
      </c>
      <c r="K240">
        <v>218.9</v>
      </c>
      <c r="L240">
        <v>288</v>
      </c>
      <c r="M240" s="13" t="s">
        <v>3366</v>
      </c>
    </row>
    <row r="241" spans="1:13" x14ac:dyDescent="0.35">
      <c r="A241" s="13" t="s">
        <v>3616</v>
      </c>
      <c r="B241" s="13" t="s">
        <v>280</v>
      </c>
      <c r="C241" s="13" t="s">
        <v>281</v>
      </c>
      <c r="D241" s="13" t="s">
        <v>92</v>
      </c>
      <c r="E241" s="13" t="s">
        <v>104</v>
      </c>
      <c r="F241" s="13" t="s">
        <v>122</v>
      </c>
      <c r="G241" s="14">
        <v>45720</v>
      </c>
      <c r="H241" s="14">
        <v>45734</v>
      </c>
      <c r="I241">
        <v>655.72</v>
      </c>
      <c r="J241">
        <v>0</v>
      </c>
      <c r="K241">
        <v>0</v>
      </c>
      <c r="L241">
        <v>288</v>
      </c>
      <c r="M241" s="13" t="s">
        <v>3512</v>
      </c>
    </row>
    <row r="242" spans="1:13" x14ac:dyDescent="0.35">
      <c r="A242" s="13" t="s">
        <v>3617</v>
      </c>
      <c r="B242" s="13" t="s">
        <v>312</v>
      </c>
      <c r="C242" s="13" t="s">
        <v>313</v>
      </c>
      <c r="D242" s="13" t="s">
        <v>55</v>
      </c>
      <c r="E242" s="13" t="s">
        <v>52</v>
      </c>
      <c r="F242" s="13" t="s">
        <v>57</v>
      </c>
      <c r="G242" s="14">
        <v>45724</v>
      </c>
      <c r="H242" s="14">
        <v>45735</v>
      </c>
      <c r="I242">
        <v>12826.02</v>
      </c>
      <c r="J242">
        <v>28068.67</v>
      </c>
      <c r="K242">
        <v>218.84</v>
      </c>
      <c r="L242">
        <v>287</v>
      </c>
      <c r="M242" s="13" t="s">
        <v>3366</v>
      </c>
    </row>
    <row r="243" spans="1:13" x14ac:dyDescent="0.35">
      <c r="A243" s="13" t="s">
        <v>3618</v>
      </c>
      <c r="B243" s="13" t="s">
        <v>1288</v>
      </c>
      <c r="C243" s="13" t="s">
        <v>1289</v>
      </c>
      <c r="D243" s="13" t="s">
        <v>67</v>
      </c>
      <c r="E243" s="13" t="s">
        <v>52</v>
      </c>
      <c r="F243" s="13" t="s">
        <v>57</v>
      </c>
      <c r="G243" s="14">
        <v>45722</v>
      </c>
      <c r="H243" s="14">
        <v>45735</v>
      </c>
      <c r="I243">
        <v>10220.85</v>
      </c>
      <c r="J243">
        <v>12883.6</v>
      </c>
      <c r="K243">
        <v>126.05</v>
      </c>
      <c r="L243">
        <v>287</v>
      </c>
      <c r="M243" s="13" t="s">
        <v>3366</v>
      </c>
    </row>
    <row r="244" spans="1:13" x14ac:dyDescent="0.35">
      <c r="A244" s="13" t="s">
        <v>3619</v>
      </c>
      <c r="B244" s="13" t="s">
        <v>222</v>
      </c>
      <c r="C244" s="13" t="s">
        <v>223</v>
      </c>
      <c r="D244" s="13" t="s">
        <v>92</v>
      </c>
      <c r="E244" s="13" t="s">
        <v>52</v>
      </c>
      <c r="F244" s="13" t="s">
        <v>57</v>
      </c>
      <c r="G244" s="14">
        <v>45728</v>
      </c>
      <c r="H244" s="14">
        <v>45735</v>
      </c>
      <c r="I244">
        <v>3675.82</v>
      </c>
      <c r="J244">
        <v>3968.14</v>
      </c>
      <c r="K244">
        <v>107.95</v>
      </c>
      <c r="L244">
        <v>287</v>
      </c>
      <c r="M244" s="13" t="s">
        <v>3366</v>
      </c>
    </row>
    <row r="245" spans="1:13" x14ac:dyDescent="0.35">
      <c r="A245" s="13" t="s">
        <v>3620</v>
      </c>
      <c r="B245" s="13" t="s">
        <v>267</v>
      </c>
      <c r="C245" s="13" t="s">
        <v>268</v>
      </c>
      <c r="D245" s="13" t="s">
        <v>67</v>
      </c>
      <c r="E245" s="13" t="s">
        <v>52</v>
      </c>
      <c r="F245" s="13" t="s">
        <v>87</v>
      </c>
      <c r="G245" s="14">
        <v>45726</v>
      </c>
      <c r="H245" s="14">
        <v>45735</v>
      </c>
      <c r="I245">
        <v>6515.43</v>
      </c>
      <c r="J245">
        <v>15987.19</v>
      </c>
      <c r="K245">
        <v>245.37</v>
      </c>
      <c r="L245">
        <v>287</v>
      </c>
      <c r="M245" s="13" t="s">
        <v>3366</v>
      </c>
    </row>
    <row r="246" spans="1:13" x14ac:dyDescent="0.35">
      <c r="A246" s="13" t="s">
        <v>3621</v>
      </c>
      <c r="B246" s="13" t="s">
        <v>259</v>
      </c>
      <c r="C246" s="13" t="s">
        <v>260</v>
      </c>
      <c r="D246" s="13" t="s">
        <v>67</v>
      </c>
      <c r="E246" s="13" t="s">
        <v>104</v>
      </c>
      <c r="F246" s="13" t="s">
        <v>122</v>
      </c>
      <c r="G246" s="14">
        <v>45732</v>
      </c>
      <c r="H246" s="14">
        <v>45736</v>
      </c>
      <c r="I246">
        <v>865.71</v>
      </c>
      <c r="J246">
        <v>884.91</v>
      </c>
      <c r="K246">
        <v>102.22</v>
      </c>
      <c r="L246">
        <v>286</v>
      </c>
      <c r="M246" s="13" t="s">
        <v>3366</v>
      </c>
    </row>
    <row r="247" spans="1:13" x14ac:dyDescent="0.35">
      <c r="A247" s="13" t="s">
        <v>3622</v>
      </c>
      <c r="B247" s="13" t="s">
        <v>286</v>
      </c>
      <c r="C247" s="13" t="s">
        <v>287</v>
      </c>
      <c r="D247" s="13" t="s">
        <v>92</v>
      </c>
      <c r="E247" s="13" t="s">
        <v>104</v>
      </c>
      <c r="F247" s="13" t="s">
        <v>87</v>
      </c>
      <c r="G247" s="14">
        <v>45712</v>
      </c>
      <c r="H247" s="14">
        <v>45736</v>
      </c>
      <c r="I247">
        <v>2568.73</v>
      </c>
      <c r="J247">
        <v>0</v>
      </c>
      <c r="K247">
        <v>0</v>
      </c>
      <c r="L247">
        <v>286</v>
      </c>
      <c r="M247" s="13" t="s">
        <v>3512</v>
      </c>
    </row>
    <row r="248" spans="1:13" x14ac:dyDescent="0.35">
      <c r="A248" s="13" t="s">
        <v>3623</v>
      </c>
      <c r="B248" s="13" t="s">
        <v>695</v>
      </c>
      <c r="C248" s="13" t="s">
        <v>696</v>
      </c>
      <c r="D248" s="13" t="s">
        <v>92</v>
      </c>
      <c r="E248" s="13" t="s">
        <v>52</v>
      </c>
      <c r="F248" s="13" t="s">
        <v>57</v>
      </c>
      <c r="G248" s="14">
        <v>45727</v>
      </c>
      <c r="H248" s="14">
        <v>45736</v>
      </c>
      <c r="I248">
        <v>6314.8</v>
      </c>
      <c r="J248">
        <v>12513.41</v>
      </c>
      <c r="K248">
        <v>198.16</v>
      </c>
      <c r="L248">
        <v>286</v>
      </c>
      <c r="M248" s="13" t="s">
        <v>3366</v>
      </c>
    </row>
    <row r="249" spans="1:13" x14ac:dyDescent="0.35">
      <c r="A249" s="13" t="s">
        <v>3624</v>
      </c>
      <c r="B249" s="13" t="s">
        <v>1397</v>
      </c>
      <c r="C249" s="13" t="s">
        <v>1398</v>
      </c>
      <c r="D249" s="13" t="s">
        <v>55</v>
      </c>
      <c r="E249" s="13" t="s">
        <v>76</v>
      </c>
      <c r="F249" s="13" t="s">
        <v>80</v>
      </c>
      <c r="G249" s="14">
        <v>45724</v>
      </c>
      <c r="H249" s="14">
        <v>45736</v>
      </c>
      <c r="I249">
        <v>3255.77</v>
      </c>
      <c r="J249">
        <v>6790.02</v>
      </c>
      <c r="K249">
        <v>208.55</v>
      </c>
      <c r="L249">
        <v>286</v>
      </c>
      <c r="M249" s="13" t="s">
        <v>3366</v>
      </c>
    </row>
    <row r="250" spans="1:13" x14ac:dyDescent="0.35">
      <c r="A250" s="13" t="s">
        <v>3625</v>
      </c>
      <c r="B250" s="13" t="s">
        <v>1227</v>
      </c>
      <c r="C250" s="13" t="s">
        <v>1228</v>
      </c>
      <c r="D250" s="13" t="s">
        <v>55</v>
      </c>
      <c r="E250" s="13" t="s">
        <v>76</v>
      </c>
      <c r="F250" s="13" t="s">
        <v>94</v>
      </c>
      <c r="G250" s="14">
        <v>45725</v>
      </c>
      <c r="H250" s="14">
        <v>45736</v>
      </c>
      <c r="I250">
        <v>3540.14</v>
      </c>
      <c r="J250">
        <v>3913.42</v>
      </c>
      <c r="K250">
        <v>110.54</v>
      </c>
      <c r="L250">
        <v>286</v>
      </c>
      <c r="M250" s="13" t="s">
        <v>3366</v>
      </c>
    </row>
    <row r="251" spans="1:13" x14ac:dyDescent="0.35">
      <c r="A251" s="13" t="s">
        <v>3626</v>
      </c>
      <c r="B251" s="13" t="s">
        <v>601</v>
      </c>
      <c r="C251" s="13" t="s">
        <v>602</v>
      </c>
      <c r="D251" s="13" t="s">
        <v>67</v>
      </c>
      <c r="E251" s="13" t="s">
        <v>52</v>
      </c>
      <c r="F251" s="13" t="s">
        <v>87</v>
      </c>
      <c r="G251" s="14">
        <v>45733</v>
      </c>
      <c r="H251" s="14">
        <v>45737</v>
      </c>
      <c r="I251">
        <v>1930.5</v>
      </c>
      <c r="J251">
        <v>50294.99</v>
      </c>
      <c r="K251">
        <v>2605.2800000000002</v>
      </c>
      <c r="L251">
        <v>285</v>
      </c>
      <c r="M251" s="13" t="s">
        <v>3366</v>
      </c>
    </row>
    <row r="252" spans="1:13" x14ac:dyDescent="0.35">
      <c r="A252" s="13" t="s">
        <v>3627</v>
      </c>
      <c r="B252" s="13" t="s">
        <v>719</v>
      </c>
      <c r="C252" s="13" t="s">
        <v>720</v>
      </c>
      <c r="D252" s="13" t="s">
        <v>67</v>
      </c>
      <c r="E252" s="13" t="s">
        <v>126</v>
      </c>
      <c r="F252" s="13" t="s">
        <v>87</v>
      </c>
      <c r="G252" s="14">
        <v>45723</v>
      </c>
      <c r="H252" s="14">
        <v>45737</v>
      </c>
      <c r="I252">
        <v>10377.83</v>
      </c>
      <c r="J252">
        <v>21870.06</v>
      </c>
      <c r="K252">
        <v>210.74</v>
      </c>
      <c r="L252">
        <v>285</v>
      </c>
      <c r="M252" s="13" t="s">
        <v>3366</v>
      </c>
    </row>
    <row r="253" spans="1:13" x14ac:dyDescent="0.35">
      <c r="A253" s="13" t="s">
        <v>3628</v>
      </c>
      <c r="B253" s="13" t="s">
        <v>761</v>
      </c>
      <c r="C253" s="13" t="s">
        <v>762</v>
      </c>
      <c r="D253" s="13" t="s">
        <v>67</v>
      </c>
      <c r="E253" s="13" t="s">
        <v>52</v>
      </c>
      <c r="F253" s="13" t="s">
        <v>87</v>
      </c>
      <c r="G253" s="14">
        <v>45726</v>
      </c>
      <c r="H253" s="14">
        <v>45738</v>
      </c>
      <c r="I253">
        <v>2493.0100000000002</v>
      </c>
      <c r="J253">
        <v>2627.42</v>
      </c>
      <c r="K253">
        <v>105.39</v>
      </c>
      <c r="L253">
        <v>284</v>
      </c>
      <c r="M253" s="13" t="s">
        <v>3366</v>
      </c>
    </row>
    <row r="254" spans="1:13" x14ac:dyDescent="0.35">
      <c r="A254" s="13" t="s">
        <v>3629</v>
      </c>
      <c r="B254" s="13" t="s">
        <v>293</v>
      </c>
      <c r="C254" s="13" t="s">
        <v>294</v>
      </c>
      <c r="D254" s="13" t="s">
        <v>92</v>
      </c>
      <c r="E254" s="13" t="s">
        <v>104</v>
      </c>
      <c r="F254" s="13" t="s">
        <v>122</v>
      </c>
      <c r="G254" s="14">
        <v>45722</v>
      </c>
      <c r="H254" s="14">
        <v>45738</v>
      </c>
      <c r="I254">
        <v>2001.51</v>
      </c>
      <c r="J254">
        <v>0</v>
      </c>
      <c r="K254">
        <v>0</v>
      </c>
      <c r="L254">
        <v>284</v>
      </c>
      <c r="M254" s="13" t="s">
        <v>3512</v>
      </c>
    </row>
    <row r="255" spans="1:13" x14ac:dyDescent="0.35">
      <c r="A255" s="13" t="s">
        <v>3630</v>
      </c>
      <c r="B255" s="13" t="s">
        <v>547</v>
      </c>
      <c r="C255" s="13" t="s">
        <v>548</v>
      </c>
      <c r="D255" s="13" t="s">
        <v>92</v>
      </c>
      <c r="E255" s="13" t="s">
        <v>52</v>
      </c>
      <c r="F255" s="13" t="s">
        <v>87</v>
      </c>
      <c r="G255" s="14">
        <v>45725</v>
      </c>
      <c r="H255" s="14">
        <v>45738</v>
      </c>
      <c r="I255">
        <v>6359.52</v>
      </c>
      <c r="J255">
        <v>6581.36</v>
      </c>
      <c r="K255">
        <v>103.49</v>
      </c>
      <c r="L255">
        <v>284</v>
      </c>
      <c r="M255" s="13" t="s">
        <v>3366</v>
      </c>
    </row>
    <row r="256" spans="1:13" x14ac:dyDescent="0.35">
      <c r="A256" s="13" t="s">
        <v>3631</v>
      </c>
      <c r="B256" s="13" t="s">
        <v>113</v>
      </c>
      <c r="C256" s="13" t="s">
        <v>114</v>
      </c>
      <c r="D256" s="13" t="s">
        <v>92</v>
      </c>
      <c r="E256" s="13" t="s">
        <v>52</v>
      </c>
      <c r="F256" s="13" t="s">
        <v>87</v>
      </c>
      <c r="G256" s="14">
        <v>45733</v>
      </c>
      <c r="H256" s="14">
        <v>45738</v>
      </c>
      <c r="I256">
        <v>3102.29</v>
      </c>
      <c r="J256">
        <v>12325.21</v>
      </c>
      <c r="K256">
        <v>397.29</v>
      </c>
      <c r="L256">
        <v>284</v>
      </c>
      <c r="M256" s="13" t="s">
        <v>3366</v>
      </c>
    </row>
    <row r="257" spans="1:13" x14ac:dyDescent="0.35">
      <c r="A257" s="13" t="s">
        <v>3632</v>
      </c>
      <c r="B257" s="13" t="s">
        <v>390</v>
      </c>
      <c r="C257" s="13" t="s">
        <v>391</v>
      </c>
      <c r="D257" s="13" t="s">
        <v>55</v>
      </c>
      <c r="E257" s="13" t="s">
        <v>52</v>
      </c>
      <c r="F257" s="13" t="s">
        <v>87</v>
      </c>
      <c r="G257" s="14">
        <v>45737</v>
      </c>
      <c r="H257" s="14">
        <v>45739</v>
      </c>
      <c r="I257">
        <v>6514.29</v>
      </c>
      <c r="J257">
        <v>16330.54</v>
      </c>
      <c r="K257">
        <v>250.69</v>
      </c>
      <c r="L257">
        <v>283</v>
      </c>
      <c r="M257" s="13" t="s">
        <v>3366</v>
      </c>
    </row>
    <row r="258" spans="1:13" x14ac:dyDescent="0.35">
      <c r="A258" s="13" t="s">
        <v>3633</v>
      </c>
      <c r="B258" s="13" t="s">
        <v>241</v>
      </c>
      <c r="C258" s="13" t="s">
        <v>242</v>
      </c>
      <c r="D258" s="13" t="s">
        <v>67</v>
      </c>
      <c r="E258" s="13" t="s">
        <v>76</v>
      </c>
      <c r="F258" s="13" t="s">
        <v>94</v>
      </c>
      <c r="G258" s="14">
        <v>45736</v>
      </c>
      <c r="H258" s="14">
        <v>45739</v>
      </c>
      <c r="I258">
        <v>3861.94</v>
      </c>
      <c r="J258">
        <v>6604.22</v>
      </c>
      <c r="K258">
        <v>171.01</v>
      </c>
      <c r="L258">
        <v>283</v>
      </c>
      <c r="M258" s="13" t="s">
        <v>3366</v>
      </c>
    </row>
    <row r="259" spans="1:13" x14ac:dyDescent="0.35">
      <c r="A259" s="13" t="s">
        <v>3634</v>
      </c>
      <c r="B259" s="13" t="s">
        <v>2316</v>
      </c>
      <c r="C259" s="13" t="s">
        <v>2317</v>
      </c>
      <c r="D259" s="13" t="s">
        <v>67</v>
      </c>
      <c r="E259" s="13" t="s">
        <v>76</v>
      </c>
      <c r="F259" s="13" t="s">
        <v>94</v>
      </c>
      <c r="G259" s="14">
        <v>45729</v>
      </c>
      <c r="H259" s="14">
        <v>45739</v>
      </c>
      <c r="I259">
        <v>1115.9100000000001</v>
      </c>
      <c r="J259">
        <v>1136.1400000000001</v>
      </c>
      <c r="K259">
        <v>101.81</v>
      </c>
      <c r="L259">
        <v>283</v>
      </c>
      <c r="M259" s="13" t="s">
        <v>3366</v>
      </c>
    </row>
    <row r="260" spans="1:13" x14ac:dyDescent="0.35">
      <c r="A260" s="13" t="s">
        <v>3635</v>
      </c>
      <c r="B260" s="13" t="s">
        <v>293</v>
      </c>
      <c r="C260" s="13" t="s">
        <v>294</v>
      </c>
      <c r="D260" s="13" t="s">
        <v>92</v>
      </c>
      <c r="E260" s="13" t="s">
        <v>104</v>
      </c>
      <c r="F260" s="13" t="s">
        <v>122</v>
      </c>
      <c r="G260" s="14">
        <v>45731</v>
      </c>
      <c r="H260" s="14">
        <v>45740</v>
      </c>
      <c r="I260">
        <v>460.51</v>
      </c>
      <c r="J260">
        <v>0</v>
      </c>
      <c r="K260">
        <v>0</v>
      </c>
      <c r="L260">
        <v>282</v>
      </c>
      <c r="M260" s="13" t="s">
        <v>3512</v>
      </c>
    </row>
    <row r="261" spans="1:13" x14ac:dyDescent="0.35">
      <c r="A261" s="13" t="s">
        <v>3636</v>
      </c>
      <c r="B261" s="13" t="s">
        <v>2477</v>
      </c>
      <c r="C261" s="13" t="s">
        <v>2478</v>
      </c>
      <c r="D261" s="13" t="s">
        <v>67</v>
      </c>
      <c r="E261" s="13" t="s">
        <v>104</v>
      </c>
      <c r="F261" s="13" t="s">
        <v>106</v>
      </c>
      <c r="G261" s="14">
        <v>45726</v>
      </c>
      <c r="H261" s="14">
        <v>45740</v>
      </c>
      <c r="I261">
        <v>2051.39</v>
      </c>
      <c r="J261">
        <v>2074</v>
      </c>
      <c r="K261">
        <v>101.1</v>
      </c>
      <c r="L261">
        <v>282</v>
      </c>
      <c r="M261" s="13" t="s">
        <v>3366</v>
      </c>
    </row>
    <row r="262" spans="1:13" x14ac:dyDescent="0.35">
      <c r="A262" s="13" t="s">
        <v>3637</v>
      </c>
      <c r="B262" s="13" t="s">
        <v>293</v>
      </c>
      <c r="C262" s="13" t="s">
        <v>294</v>
      </c>
      <c r="D262" s="13" t="s">
        <v>92</v>
      </c>
      <c r="E262" s="13" t="s">
        <v>104</v>
      </c>
      <c r="F262" s="13" t="s">
        <v>122</v>
      </c>
      <c r="G262" s="14">
        <v>45721</v>
      </c>
      <c r="H262" s="14">
        <v>45741</v>
      </c>
      <c r="I262">
        <v>1059.28</v>
      </c>
      <c r="J262">
        <v>0</v>
      </c>
      <c r="K262">
        <v>0</v>
      </c>
      <c r="L262">
        <v>281</v>
      </c>
      <c r="M262" s="13" t="s">
        <v>3512</v>
      </c>
    </row>
    <row r="263" spans="1:13" x14ac:dyDescent="0.35">
      <c r="A263" s="13" t="s">
        <v>3638</v>
      </c>
      <c r="B263" s="13" t="s">
        <v>902</v>
      </c>
      <c r="C263" s="13" t="s">
        <v>903</v>
      </c>
      <c r="D263" s="13" t="s">
        <v>67</v>
      </c>
      <c r="E263" s="13" t="s">
        <v>52</v>
      </c>
      <c r="F263" s="13" t="s">
        <v>57</v>
      </c>
      <c r="G263" s="14">
        <v>45735</v>
      </c>
      <c r="H263" s="14">
        <v>45741</v>
      </c>
      <c r="I263">
        <v>16193.6</v>
      </c>
      <c r="J263">
        <v>27524.13</v>
      </c>
      <c r="K263">
        <v>169.97</v>
      </c>
      <c r="L263">
        <v>281</v>
      </c>
      <c r="M263" s="13" t="s">
        <v>3366</v>
      </c>
    </row>
    <row r="264" spans="1:13" x14ac:dyDescent="0.35">
      <c r="A264" s="13" t="s">
        <v>3639</v>
      </c>
      <c r="B264" s="13" t="s">
        <v>290</v>
      </c>
      <c r="C264" s="13" t="s">
        <v>291</v>
      </c>
      <c r="D264" s="13" t="s">
        <v>92</v>
      </c>
      <c r="E264" s="13" t="s">
        <v>104</v>
      </c>
      <c r="F264" s="13" t="s">
        <v>122</v>
      </c>
      <c r="G264" s="14">
        <v>45733</v>
      </c>
      <c r="H264" s="14">
        <v>45741</v>
      </c>
      <c r="I264">
        <v>485.44</v>
      </c>
      <c r="J264">
        <v>0</v>
      </c>
      <c r="K264">
        <v>0</v>
      </c>
      <c r="L264">
        <v>281</v>
      </c>
      <c r="M264" s="13" t="s">
        <v>3512</v>
      </c>
    </row>
    <row r="265" spans="1:13" x14ac:dyDescent="0.35">
      <c r="A265" s="13" t="s">
        <v>3640</v>
      </c>
      <c r="B265" s="13" t="s">
        <v>290</v>
      </c>
      <c r="C265" s="13" t="s">
        <v>291</v>
      </c>
      <c r="D265" s="13" t="s">
        <v>92</v>
      </c>
      <c r="E265" s="13" t="s">
        <v>104</v>
      </c>
      <c r="F265" s="13" t="s">
        <v>122</v>
      </c>
      <c r="G265" s="14">
        <v>45727</v>
      </c>
      <c r="H265" s="14">
        <v>45742</v>
      </c>
      <c r="I265">
        <v>4150.26</v>
      </c>
      <c r="J265">
        <v>0</v>
      </c>
      <c r="K265">
        <v>0</v>
      </c>
      <c r="L265">
        <v>280</v>
      </c>
      <c r="M265" s="13" t="s">
        <v>3512</v>
      </c>
    </row>
    <row r="266" spans="1:13" x14ac:dyDescent="0.35">
      <c r="A266" s="13" t="s">
        <v>3641</v>
      </c>
      <c r="B266" s="13" t="s">
        <v>156</v>
      </c>
      <c r="C266" s="13" t="s">
        <v>157</v>
      </c>
      <c r="D266" s="13" t="s">
        <v>92</v>
      </c>
      <c r="E266" s="13" t="s">
        <v>52</v>
      </c>
      <c r="F266" s="13" t="s">
        <v>57</v>
      </c>
      <c r="G266" s="14">
        <v>45728</v>
      </c>
      <c r="H266" s="14">
        <v>45743</v>
      </c>
      <c r="I266">
        <v>1843.05</v>
      </c>
      <c r="J266">
        <v>4187.5200000000004</v>
      </c>
      <c r="K266">
        <v>227.21</v>
      </c>
      <c r="L266">
        <v>279</v>
      </c>
      <c r="M266" s="13" t="s">
        <v>3366</v>
      </c>
    </row>
    <row r="267" spans="1:13" x14ac:dyDescent="0.35">
      <c r="A267" s="13" t="s">
        <v>3642</v>
      </c>
      <c r="B267" s="13" t="s">
        <v>994</v>
      </c>
      <c r="C267" s="13" t="s">
        <v>995</v>
      </c>
      <c r="D267" s="13" t="s">
        <v>67</v>
      </c>
      <c r="E267" s="13" t="s">
        <v>52</v>
      </c>
      <c r="F267" s="13" t="s">
        <v>87</v>
      </c>
      <c r="G267" s="14">
        <v>45738</v>
      </c>
      <c r="H267" s="14">
        <v>45744</v>
      </c>
      <c r="I267">
        <v>4016.89</v>
      </c>
      <c r="J267">
        <v>20296.689999999999</v>
      </c>
      <c r="K267">
        <v>505.28</v>
      </c>
      <c r="L267">
        <v>278</v>
      </c>
      <c r="M267" s="13" t="s">
        <v>3366</v>
      </c>
    </row>
    <row r="268" spans="1:13" x14ac:dyDescent="0.35">
      <c r="A268" s="13" t="s">
        <v>3643</v>
      </c>
      <c r="B268" s="13" t="s">
        <v>277</v>
      </c>
      <c r="C268" s="13" t="s">
        <v>278</v>
      </c>
      <c r="D268" s="13" t="s">
        <v>92</v>
      </c>
      <c r="E268" s="13" t="s">
        <v>104</v>
      </c>
      <c r="F268" s="13" t="s">
        <v>106</v>
      </c>
      <c r="G268" s="14">
        <v>45730</v>
      </c>
      <c r="H268" s="14">
        <v>45744</v>
      </c>
      <c r="I268">
        <v>1942.77</v>
      </c>
      <c r="J268">
        <v>0</v>
      </c>
      <c r="K268">
        <v>0</v>
      </c>
      <c r="L268">
        <v>278</v>
      </c>
      <c r="M268" s="13" t="s">
        <v>3512</v>
      </c>
    </row>
    <row r="269" spans="1:13" x14ac:dyDescent="0.35">
      <c r="A269" s="13" t="s">
        <v>3644</v>
      </c>
      <c r="B269" s="13" t="s">
        <v>1038</v>
      </c>
      <c r="C269" s="13" t="s">
        <v>1039</v>
      </c>
      <c r="D269" s="13" t="s">
        <v>67</v>
      </c>
      <c r="E269" s="13" t="s">
        <v>52</v>
      </c>
      <c r="F269" s="13" t="s">
        <v>57</v>
      </c>
      <c r="G269" s="14">
        <v>45732</v>
      </c>
      <c r="H269" s="14">
        <v>45744</v>
      </c>
      <c r="I269">
        <v>5970.72</v>
      </c>
      <c r="J269">
        <v>10902.88</v>
      </c>
      <c r="K269">
        <v>182.61</v>
      </c>
      <c r="L269">
        <v>278</v>
      </c>
      <c r="M269" s="13" t="s">
        <v>3366</v>
      </c>
    </row>
    <row r="270" spans="1:13" x14ac:dyDescent="0.35">
      <c r="A270" s="13" t="s">
        <v>3645</v>
      </c>
      <c r="B270" s="13" t="s">
        <v>69</v>
      </c>
      <c r="C270" s="13" t="s">
        <v>70</v>
      </c>
      <c r="D270" s="13" t="s">
        <v>55</v>
      </c>
      <c r="E270" s="13" t="s">
        <v>52</v>
      </c>
      <c r="F270" s="13" t="s">
        <v>57</v>
      </c>
      <c r="G270" s="14">
        <v>45736</v>
      </c>
      <c r="H270" s="14">
        <v>45744</v>
      </c>
      <c r="I270">
        <v>1785.11</v>
      </c>
      <c r="J270">
        <v>3633.11</v>
      </c>
      <c r="K270">
        <v>203.52</v>
      </c>
      <c r="L270">
        <v>278</v>
      </c>
      <c r="M270" s="13" t="s">
        <v>3366</v>
      </c>
    </row>
    <row r="271" spans="1:13" x14ac:dyDescent="0.35">
      <c r="A271" s="13" t="s">
        <v>3646</v>
      </c>
      <c r="B271" s="13" t="s">
        <v>2155</v>
      </c>
      <c r="C271" s="13" t="s">
        <v>2156</v>
      </c>
      <c r="D271" s="13" t="s">
        <v>67</v>
      </c>
      <c r="E271" s="13" t="s">
        <v>76</v>
      </c>
      <c r="F271" s="13" t="s">
        <v>80</v>
      </c>
      <c r="G271" s="14">
        <v>45737</v>
      </c>
      <c r="H271" s="14">
        <v>45745</v>
      </c>
      <c r="I271">
        <v>1325.01</v>
      </c>
      <c r="J271">
        <v>1454.95</v>
      </c>
      <c r="K271">
        <v>109.81</v>
      </c>
      <c r="L271">
        <v>277</v>
      </c>
      <c r="M271" s="13" t="s">
        <v>3366</v>
      </c>
    </row>
    <row r="272" spans="1:13" x14ac:dyDescent="0.35">
      <c r="A272" s="13" t="s">
        <v>3647</v>
      </c>
      <c r="B272" s="13" t="s">
        <v>379</v>
      </c>
      <c r="C272" s="13" t="s">
        <v>380</v>
      </c>
      <c r="D272" s="13" t="s">
        <v>92</v>
      </c>
      <c r="E272" s="13" t="s">
        <v>52</v>
      </c>
      <c r="F272" s="13" t="s">
        <v>57</v>
      </c>
      <c r="G272" s="14">
        <v>45735</v>
      </c>
      <c r="H272" s="14">
        <v>45745</v>
      </c>
      <c r="I272">
        <v>1108.02</v>
      </c>
      <c r="J272">
        <v>13144.59</v>
      </c>
      <c r="K272">
        <v>1186.31</v>
      </c>
      <c r="L272">
        <v>277</v>
      </c>
      <c r="M272" s="13" t="s">
        <v>3366</v>
      </c>
    </row>
    <row r="273" spans="1:13" x14ac:dyDescent="0.35">
      <c r="A273" s="13" t="s">
        <v>3648</v>
      </c>
      <c r="B273" s="13" t="s">
        <v>286</v>
      </c>
      <c r="C273" s="13" t="s">
        <v>287</v>
      </c>
      <c r="D273" s="13" t="s">
        <v>92</v>
      </c>
      <c r="E273" s="13" t="s">
        <v>104</v>
      </c>
      <c r="F273" s="13" t="s">
        <v>87</v>
      </c>
      <c r="G273" s="14">
        <v>45724</v>
      </c>
      <c r="H273" s="14">
        <v>45745</v>
      </c>
      <c r="I273">
        <v>1905.54</v>
      </c>
      <c r="J273">
        <v>0</v>
      </c>
      <c r="K273">
        <v>0</v>
      </c>
      <c r="L273">
        <v>277</v>
      </c>
      <c r="M273" s="13" t="s">
        <v>3512</v>
      </c>
    </row>
    <row r="274" spans="1:13" x14ac:dyDescent="0.35">
      <c r="A274" s="13" t="s">
        <v>3649</v>
      </c>
      <c r="B274" s="13" t="s">
        <v>478</v>
      </c>
      <c r="C274" s="13" t="s">
        <v>479</v>
      </c>
      <c r="D274" s="13" t="s">
        <v>55</v>
      </c>
      <c r="E274" s="13" t="s">
        <v>52</v>
      </c>
      <c r="F274" s="13" t="s">
        <v>87</v>
      </c>
      <c r="G274" s="14">
        <v>45737</v>
      </c>
      <c r="H274" s="14">
        <v>45745</v>
      </c>
      <c r="I274">
        <v>3385.52</v>
      </c>
      <c r="J274">
        <v>3736.46</v>
      </c>
      <c r="K274">
        <v>110.37</v>
      </c>
      <c r="L274">
        <v>277</v>
      </c>
      <c r="M274" s="13" t="s">
        <v>3366</v>
      </c>
    </row>
    <row r="275" spans="1:13" x14ac:dyDescent="0.35">
      <c r="A275" s="13" t="s">
        <v>3650</v>
      </c>
      <c r="B275" s="13" t="s">
        <v>1247</v>
      </c>
      <c r="C275" s="13" t="s">
        <v>1248</v>
      </c>
      <c r="D275" s="13" t="s">
        <v>55</v>
      </c>
      <c r="E275" s="13" t="s">
        <v>52</v>
      </c>
      <c r="F275" s="13" t="s">
        <v>57</v>
      </c>
      <c r="G275" s="14">
        <v>45734</v>
      </c>
      <c r="H275" s="14">
        <v>45745</v>
      </c>
      <c r="I275">
        <v>2956.94</v>
      </c>
      <c r="J275">
        <v>3067.61</v>
      </c>
      <c r="K275">
        <v>103.74</v>
      </c>
      <c r="L275">
        <v>277</v>
      </c>
      <c r="M275" s="13" t="s">
        <v>3366</v>
      </c>
    </row>
    <row r="276" spans="1:13" x14ac:dyDescent="0.35">
      <c r="A276" s="13" t="s">
        <v>3651</v>
      </c>
      <c r="B276" s="13" t="s">
        <v>2117</v>
      </c>
      <c r="C276" s="13" t="s">
        <v>2118</v>
      </c>
      <c r="D276" s="13" t="s">
        <v>67</v>
      </c>
      <c r="E276" s="13" t="s">
        <v>104</v>
      </c>
      <c r="F276" s="13" t="s">
        <v>122</v>
      </c>
      <c r="G276" s="14">
        <v>45741</v>
      </c>
      <c r="H276" s="14">
        <v>45745</v>
      </c>
      <c r="I276">
        <v>3058.1</v>
      </c>
      <c r="J276">
        <v>3067.66</v>
      </c>
      <c r="K276">
        <v>100.31</v>
      </c>
      <c r="L276">
        <v>277</v>
      </c>
      <c r="M276" s="13" t="s">
        <v>3366</v>
      </c>
    </row>
    <row r="277" spans="1:13" x14ac:dyDescent="0.35">
      <c r="A277" s="13" t="s">
        <v>3652</v>
      </c>
      <c r="B277" s="13" t="s">
        <v>521</v>
      </c>
      <c r="C277" s="13" t="s">
        <v>522</v>
      </c>
      <c r="D277" s="13" t="s">
        <v>67</v>
      </c>
      <c r="E277" s="13" t="s">
        <v>126</v>
      </c>
      <c r="F277" s="13" t="s">
        <v>87</v>
      </c>
      <c r="G277" s="14">
        <v>45734</v>
      </c>
      <c r="H277" s="14">
        <v>45746</v>
      </c>
      <c r="I277">
        <v>3922.97</v>
      </c>
      <c r="J277">
        <v>4032.58</v>
      </c>
      <c r="K277">
        <v>102.79</v>
      </c>
      <c r="L277">
        <v>276</v>
      </c>
      <c r="M277" s="13" t="s">
        <v>3366</v>
      </c>
    </row>
    <row r="278" spans="1:13" x14ac:dyDescent="0.35">
      <c r="A278" s="13" t="s">
        <v>3653</v>
      </c>
      <c r="B278" s="13" t="s">
        <v>162</v>
      </c>
      <c r="C278" s="13" t="s">
        <v>163</v>
      </c>
      <c r="D278" s="13" t="s">
        <v>67</v>
      </c>
      <c r="E278" s="13" t="s">
        <v>76</v>
      </c>
      <c r="F278" s="13" t="s">
        <v>80</v>
      </c>
      <c r="G278" s="14">
        <v>45737</v>
      </c>
      <c r="H278" s="14">
        <v>45746</v>
      </c>
      <c r="I278">
        <v>1030.03</v>
      </c>
      <c r="J278">
        <v>1063.67</v>
      </c>
      <c r="K278">
        <v>103.27</v>
      </c>
      <c r="L278">
        <v>276</v>
      </c>
      <c r="M278" s="13" t="s">
        <v>3366</v>
      </c>
    </row>
    <row r="279" spans="1:13" x14ac:dyDescent="0.35">
      <c r="A279" s="13" t="s">
        <v>3654</v>
      </c>
      <c r="B279" s="13" t="s">
        <v>981</v>
      </c>
      <c r="C279" s="13" t="s">
        <v>982</v>
      </c>
      <c r="D279" s="13" t="s">
        <v>67</v>
      </c>
      <c r="E279" s="13" t="s">
        <v>52</v>
      </c>
      <c r="F279" s="13" t="s">
        <v>87</v>
      </c>
      <c r="G279" s="14">
        <v>45733</v>
      </c>
      <c r="H279" s="14">
        <v>45747</v>
      </c>
      <c r="I279">
        <v>1712.41</v>
      </c>
      <c r="J279">
        <v>3884.95</v>
      </c>
      <c r="K279">
        <v>226.87</v>
      </c>
      <c r="L279">
        <v>275</v>
      </c>
      <c r="M279" s="13" t="s">
        <v>3366</v>
      </c>
    </row>
    <row r="280" spans="1:13" x14ac:dyDescent="0.35">
      <c r="A280" s="13" t="s">
        <v>3655</v>
      </c>
      <c r="B280" s="13" t="s">
        <v>997</v>
      </c>
      <c r="C280" s="13" t="s">
        <v>998</v>
      </c>
      <c r="D280" s="13" t="s">
        <v>55</v>
      </c>
      <c r="E280" s="13" t="s">
        <v>52</v>
      </c>
      <c r="F280" s="13" t="s">
        <v>87</v>
      </c>
      <c r="G280" s="14">
        <v>45741</v>
      </c>
      <c r="H280" s="14">
        <v>45747</v>
      </c>
      <c r="I280">
        <v>1735.49</v>
      </c>
      <c r="J280">
        <v>2429.85</v>
      </c>
      <c r="K280">
        <v>140.01</v>
      </c>
      <c r="L280">
        <v>275</v>
      </c>
      <c r="M280" s="13" t="s">
        <v>3366</v>
      </c>
    </row>
    <row r="281" spans="1:13" x14ac:dyDescent="0.35">
      <c r="A281" s="13" t="s">
        <v>3656</v>
      </c>
      <c r="B281" s="13" t="s">
        <v>994</v>
      </c>
      <c r="C281" s="13" t="s">
        <v>995</v>
      </c>
      <c r="D281" s="13" t="s">
        <v>67</v>
      </c>
      <c r="E281" s="13" t="s">
        <v>52</v>
      </c>
      <c r="F281" s="13" t="s">
        <v>87</v>
      </c>
      <c r="G281" s="14">
        <v>45738</v>
      </c>
      <c r="H281" s="14">
        <v>45747</v>
      </c>
      <c r="I281">
        <v>2902.43</v>
      </c>
      <c r="J281">
        <v>20296.689999999999</v>
      </c>
      <c r="K281">
        <v>699.3</v>
      </c>
      <c r="L281">
        <v>275</v>
      </c>
      <c r="M281" s="13" t="s">
        <v>3366</v>
      </c>
    </row>
    <row r="282" spans="1:13" x14ac:dyDescent="0.35">
      <c r="A282" s="13" t="s">
        <v>3657</v>
      </c>
      <c r="B282" s="13" t="s">
        <v>280</v>
      </c>
      <c r="C282" s="13" t="s">
        <v>281</v>
      </c>
      <c r="D282" s="13" t="s">
        <v>92</v>
      </c>
      <c r="E282" s="13" t="s">
        <v>104</v>
      </c>
      <c r="F282" s="13" t="s">
        <v>122</v>
      </c>
      <c r="G282" s="14">
        <v>45736</v>
      </c>
      <c r="H282" s="14">
        <v>45747</v>
      </c>
      <c r="I282">
        <v>2443.06</v>
      </c>
      <c r="J282">
        <v>0</v>
      </c>
      <c r="K282">
        <v>0</v>
      </c>
      <c r="L282">
        <v>275</v>
      </c>
      <c r="M282" s="13" t="s">
        <v>3512</v>
      </c>
    </row>
    <row r="283" spans="1:13" x14ac:dyDescent="0.35">
      <c r="A283" s="13" t="s">
        <v>3658</v>
      </c>
      <c r="B283" s="13" t="s">
        <v>283</v>
      </c>
      <c r="C283" s="13" t="s">
        <v>284</v>
      </c>
      <c r="D283" s="13" t="s">
        <v>92</v>
      </c>
      <c r="E283" s="13" t="s">
        <v>104</v>
      </c>
      <c r="F283" s="13" t="s">
        <v>106</v>
      </c>
      <c r="G283" s="14">
        <v>45724</v>
      </c>
      <c r="H283" s="14">
        <v>45749</v>
      </c>
      <c r="I283">
        <v>2171.09</v>
      </c>
      <c r="J283">
        <v>0</v>
      </c>
      <c r="K283">
        <v>0</v>
      </c>
      <c r="L283">
        <v>273</v>
      </c>
      <c r="M283" s="13" t="s">
        <v>3512</v>
      </c>
    </row>
    <row r="284" spans="1:13" x14ac:dyDescent="0.35">
      <c r="A284" s="13" t="s">
        <v>3659</v>
      </c>
      <c r="B284" s="13" t="s">
        <v>293</v>
      </c>
      <c r="C284" s="13" t="s">
        <v>294</v>
      </c>
      <c r="D284" s="13" t="s">
        <v>92</v>
      </c>
      <c r="E284" s="13" t="s">
        <v>104</v>
      </c>
      <c r="F284" s="13" t="s">
        <v>122</v>
      </c>
      <c r="G284" s="14">
        <v>45736</v>
      </c>
      <c r="H284" s="14">
        <v>45750</v>
      </c>
      <c r="I284">
        <v>1687.59</v>
      </c>
      <c r="J284">
        <v>0</v>
      </c>
      <c r="K284">
        <v>0</v>
      </c>
      <c r="L284">
        <v>272</v>
      </c>
      <c r="M284" s="13" t="s">
        <v>3512</v>
      </c>
    </row>
    <row r="285" spans="1:13" x14ac:dyDescent="0.35">
      <c r="A285" s="13" t="s">
        <v>3660</v>
      </c>
      <c r="B285" s="13" t="s">
        <v>1296</v>
      </c>
      <c r="C285" s="13" t="s">
        <v>1297</v>
      </c>
      <c r="D285" s="13" t="s">
        <v>55</v>
      </c>
      <c r="E285" s="13" t="s">
        <v>104</v>
      </c>
      <c r="F285" s="13" t="s">
        <v>122</v>
      </c>
      <c r="G285" s="14">
        <v>45748</v>
      </c>
      <c r="H285" s="14">
        <v>45750</v>
      </c>
      <c r="I285">
        <v>7697.04</v>
      </c>
      <c r="J285">
        <v>8236.14</v>
      </c>
      <c r="K285">
        <v>107</v>
      </c>
      <c r="L285">
        <v>272</v>
      </c>
      <c r="M285" s="13" t="s">
        <v>3366</v>
      </c>
    </row>
    <row r="286" spans="1:13" x14ac:dyDescent="0.35">
      <c r="A286" s="13" t="s">
        <v>3661</v>
      </c>
      <c r="B286" s="13" t="s">
        <v>1520</v>
      </c>
      <c r="C286" s="13" t="s">
        <v>1521</v>
      </c>
      <c r="D286" s="13" t="s">
        <v>55</v>
      </c>
      <c r="E286" s="13" t="s">
        <v>76</v>
      </c>
      <c r="F286" s="13" t="s">
        <v>80</v>
      </c>
      <c r="G286" s="14">
        <v>45742</v>
      </c>
      <c r="H286" s="14">
        <v>45750</v>
      </c>
      <c r="I286">
        <v>726.75</v>
      </c>
      <c r="J286">
        <v>1217.1400000000001</v>
      </c>
      <c r="K286">
        <v>167.48</v>
      </c>
      <c r="L286">
        <v>272</v>
      </c>
      <c r="M286" s="13" t="s">
        <v>3366</v>
      </c>
    </row>
    <row r="287" spans="1:13" x14ac:dyDescent="0.35">
      <c r="A287" s="13" t="s">
        <v>3662</v>
      </c>
      <c r="B287" s="13" t="s">
        <v>212</v>
      </c>
      <c r="C287" s="13" t="s">
        <v>213</v>
      </c>
      <c r="D287" s="13" t="s">
        <v>92</v>
      </c>
      <c r="E287" s="13" t="s">
        <v>52</v>
      </c>
      <c r="F287" s="13" t="s">
        <v>87</v>
      </c>
      <c r="G287" s="14">
        <v>45742</v>
      </c>
      <c r="H287" s="14">
        <v>45750</v>
      </c>
      <c r="I287">
        <v>6486.47</v>
      </c>
      <c r="J287">
        <v>20129.57</v>
      </c>
      <c r="K287">
        <v>310.33</v>
      </c>
      <c r="L287">
        <v>272</v>
      </c>
      <c r="M287" s="13" t="s">
        <v>3366</v>
      </c>
    </row>
    <row r="288" spans="1:13" x14ac:dyDescent="0.35">
      <c r="A288" s="13" t="s">
        <v>3663</v>
      </c>
      <c r="B288" s="13" t="s">
        <v>280</v>
      </c>
      <c r="C288" s="13" t="s">
        <v>281</v>
      </c>
      <c r="D288" s="13" t="s">
        <v>92</v>
      </c>
      <c r="E288" s="13" t="s">
        <v>104</v>
      </c>
      <c r="F288" s="13" t="s">
        <v>122</v>
      </c>
      <c r="G288" s="14">
        <v>45729</v>
      </c>
      <c r="H288" s="14">
        <v>45751</v>
      </c>
      <c r="I288">
        <v>1760.96</v>
      </c>
      <c r="J288">
        <v>0</v>
      </c>
      <c r="K288">
        <v>0</v>
      </c>
      <c r="L288">
        <v>271</v>
      </c>
      <c r="M288" s="13" t="s">
        <v>3512</v>
      </c>
    </row>
    <row r="289" spans="1:13" x14ac:dyDescent="0.35">
      <c r="A289" s="13" t="s">
        <v>3664</v>
      </c>
      <c r="B289" s="13" t="s">
        <v>971</v>
      </c>
      <c r="C289" s="13" t="s">
        <v>972</v>
      </c>
      <c r="D289" s="13" t="s">
        <v>55</v>
      </c>
      <c r="E289" s="13" t="s">
        <v>104</v>
      </c>
      <c r="F289" s="13" t="s">
        <v>122</v>
      </c>
      <c r="G289" s="14">
        <v>45738</v>
      </c>
      <c r="H289" s="14">
        <v>45751</v>
      </c>
      <c r="I289">
        <v>896.33</v>
      </c>
      <c r="J289">
        <v>917.41</v>
      </c>
      <c r="K289">
        <v>102.35</v>
      </c>
      <c r="L289">
        <v>271</v>
      </c>
      <c r="M289" s="13" t="s">
        <v>3366</v>
      </c>
    </row>
    <row r="290" spans="1:13" x14ac:dyDescent="0.35">
      <c r="A290" s="13" t="s">
        <v>3665</v>
      </c>
      <c r="B290" s="13" t="s">
        <v>219</v>
      </c>
      <c r="C290" s="13" t="s">
        <v>220</v>
      </c>
      <c r="D290" s="13" t="s">
        <v>55</v>
      </c>
      <c r="E290" s="13" t="s">
        <v>76</v>
      </c>
      <c r="F290" s="13" t="s">
        <v>80</v>
      </c>
      <c r="G290" s="14">
        <v>45742</v>
      </c>
      <c r="H290" s="14">
        <v>45751</v>
      </c>
      <c r="I290">
        <v>1022.23</v>
      </c>
      <c r="J290">
        <v>1645.3</v>
      </c>
      <c r="K290">
        <v>160.94999999999999</v>
      </c>
      <c r="L290">
        <v>271</v>
      </c>
      <c r="M290" s="13" t="s">
        <v>3366</v>
      </c>
    </row>
    <row r="291" spans="1:13" x14ac:dyDescent="0.35">
      <c r="A291" s="13" t="s">
        <v>3666</v>
      </c>
      <c r="B291" s="13" t="s">
        <v>293</v>
      </c>
      <c r="C291" s="13" t="s">
        <v>294</v>
      </c>
      <c r="D291" s="13" t="s">
        <v>92</v>
      </c>
      <c r="E291" s="13" t="s">
        <v>104</v>
      </c>
      <c r="F291" s="13" t="s">
        <v>122</v>
      </c>
      <c r="G291" s="14">
        <v>45741</v>
      </c>
      <c r="H291" s="14">
        <v>45751</v>
      </c>
      <c r="I291">
        <v>2952.69</v>
      </c>
      <c r="J291">
        <v>0</v>
      </c>
      <c r="K291">
        <v>0</v>
      </c>
      <c r="L291">
        <v>271</v>
      </c>
      <c r="M291" s="13" t="s">
        <v>3512</v>
      </c>
    </row>
    <row r="292" spans="1:13" x14ac:dyDescent="0.35">
      <c r="A292" s="13" t="s">
        <v>3667</v>
      </c>
      <c r="B292" s="13" t="s">
        <v>3198</v>
      </c>
      <c r="C292" s="13" t="s">
        <v>3199</v>
      </c>
      <c r="D292" s="13" t="s">
        <v>67</v>
      </c>
      <c r="E292" s="13" t="s">
        <v>76</v>
      </c>
      <c r="F292" s="13" t="s">
        <v>80</v>
      </c>
      <c r="G292" s="14">
        <v>45743</v>
      </c>
      <c r="H292" s="14">
        <v>45751</v>
      </c>
      <c r="I292">
        <v>3951.56</v>
      </c>
      <c r="J292">
        <v>7242.58</v>
      </c>
      <c r="K292">
        <v>183.28</v>
      </c>
      <c r="L292">
        <v>271</v>
      </c>
      <c r="M292" s="13" t="s">
        <v>3366</v>
      </c>
    </row>
    <row r="293" spans="1:13" x14ac:dyDescent="0.35">
      <c r="A293" s="13" t="s">
        <v>3668</v>
      </c>
      <c r="B293" s="13" t="s">
        <v>1102</v>
      </c>
      <c r="C293" s="13" t="s">
        <v>1103</v>
      </c>
      <c r="D293" s="13" t="s">
        <v>67</v>
      </c>
      <c r="E293" s="13" t="s">
        <v>52</v>
      </c>
      <c r="F293" s="13" t="s">
        <v>87</v>
      </c>
      <c r="G293" s="14">
        <v>45741</v>
      </c>
      <c r="H293" s="14">
        <v>45751</v>
      </c>
      <c r="I293">
        <v>14283.61</v>
      </c>
      <c r="J293">
        <v>15677.31</v>
      </c>
      <c r="K293">
        <v>109.76</v>
      </c>
      <c r="L293">
        <v>271</v>
      </c>
      <c r="M293" s="13" t="s">
        <v>3366</v>
      </c>
    </row>
    <row r="294" spans="1:13" x14ac:dyDescent="0.35">
      <c r="A294" s="13" t="s">
        <v>3669</v>
      </c>
      <c r="B294" s="13" t="s">
        <v>2138</v>
      </c>
      <c r="C294" s="13" t="s">
        <v>2139</v>
      </c>
      <c r="D294" s="13" t="s">
        <v>55</v>
      </c>
      <c r="E294" s="13" t="s">
        <v>76</v>
      </c>
      <c r="F294" s="13" t="s">
        <v>80</v>
      </c>
      <c r="G294" s="14">
        <v>45748</v>
      </c>
      <c r="H294" s="14">
        <v>45752</v>
      </c>
      <c r="I294">
        <v>1594.32</v>
      </c>
      <c r="J294">
        <v>2888.38</v>
      </c>
      <c r="K294">
        <v>181.17</v>
      </c>
      <c r="L294">
        <v>270</v>
      </c>
      <c r="M294" s="13" t="s">
        <v>3366</v>
      </c>
    </row>
    <row r="295" spans="1:13" x14ac:dyDescent="0.35">
      <c r="A295" s="13" t="s">
        <v>3670</v>
      </c>
      <c r="B295" s="13" t="s">
        <v>286</v>
      </c>
      <c r="C295" s="13" t="s">
        <v>287</v>
      </c>
      <c r="D295" s="13" t="s">
        <v>92</v>
      </c>
      <c r="E295" s="13" t="s">
        <v>104</v>
      </c>
      <c r="F295" s="13" t="s">
        <v>87</v>
      </c>
      <c r="G295" s="14">
        <v>45744</v>
      </c>
      <c r="H295" s="14">
        <v>45752</v>
      </c>
      <c r="I295">
        <v>4013.88</v>
      </c>
      <c r="J295">
        <v>0</v>
      </c>
      <c r="K295">
        <v>0</v>
      </c>
      <c r="L295">
        <v>270</v>
      </c>
      <c r="M295" s="13" t="s">
        <v>3512</v>
      </c>
    </row>
    <row r="296" spans="1:13" x14ac:dyDescent="0.35">
      <c r="A296" s="13" t="s">
        <v>3671</v>
      </c>
      <c r="B296" s="13" t="s">
        <v>2043</v>
      </c>
      <c r="C296" s="13" t="s">
        <v>2044</v>
      </c>
      <c r="D296" s="13" t="s">
        <v>55</v>
      </c>
      <c r="E296" s="13" t="s">
        <v>76</v>
      </c>
      <c r="F296" s="13" t="s">
        <v>94</v>
      </c>
      <c r="G296" s="14">
        <v>45746</v>
      </c>
      <c r="H296" s="14">
        <v>45753</v>
      </c>
      <c r="I296">
        <v>922.96</v>
      </c>
      <c r="J296">
        <v>6019.7</v>
      </c>
      <c r="K296">
        <v>652.22</v>
      </c>
      <c r="L296">
        <v>269</v>
      </c>
      <c r="M296" s="13" t="s">
        <v>3366</v>
      </c>
    </row>
    <row r="297" spans="1:13" x14ac:dyDescent="0.35">
      <c r="A297" s="13" t="s">
        <v>3672</v>
      </c>
      <c r="B297" s="13" t="s">
        <v>1957</v>
      </c>
      <c r="C297" s="13" t="s">
        <v>1958</v>
      </c>
      <c r="D297" s="13" t="s">
        <v>55</v>
      </c>
      <c r="E297" s="13" t="s">
        <v>76</v>
      </c>
      <c r="F297" s="13" t="s">
        <v>94</v>
      </c>
      <c r="G297" s="14">
        <v>45749</v>
      </c>
      <c r="H297" s="14">
        <v>45753</v>
      </c>
      <c r="I297">
        <v>684.39</v>
      </c>
      <c r="J297">
        <v>705.64</v>
      </c>
      <c r="K297">
        <v>103.1</v>
      </c>
      <c r="L297">
        <v>269</v>
      </c>
      <c r="M297" s="13" t="s">
        <v>3366</v>
      </c>
    </row>
    <row r="298" spans="1:13" x14ac:dyDescent="0.35">
      <c r="A298" s="13" t="s">
        <v>3673</v>
      </c>
      <c r="B298" s="13" t="s">
        <v>159</v>
      </c>
      <c r="C298" s="13" t="s">
        <v>160</v>
      </c>
      <c r="D298" s="13" t="s">
        <v>67</v>
      </c>
      <c r="E298" s="13" t="s">
        <v>104</v>
      </c>
      <c r="F298" s="13" t="s">
        <v>106</v>
      </c>
      <c r="G298" s="14">
        <v>45743</v>
      </c>
      <c r="H298" s="14">
        <v>45754</v>
      </c>
      <c r="I298">
        <v>1994.11</v>
      </c>
      <c r="J298">
        <v>2906.62</v>
      </c>
      <c r="K298">
        <v>145.76</v>
      </c>
      <c r="L298">
        <v>268</v>
      </c>
      <c r="M298" s="13" t="s">
        <v>3366</v>
      </c>
    </row>
    <row r="299" spans="1:13" x14ac:dyDescent="0.35">
      <c r="A299" s="13" t="s">
        <v>3674</v>
      </c>
      <c r="B299" s="13" t="s">
        <v>50</v>
      </c>
      <c r="C299" s="13" t="s">
        <v>51</v>
      </c>
      <c r="D299" s="13" t="s">
        <v>55</v>
      </c>
      <c r="E299" s="13" t="s">
        <v>52</v>
      </c>
      <c r="F299" s="13" t="s">
        <v>57</v>
      </c>
      <c r="G299" s="14">
        <v>45741</v>
      </c>
      <c r="H299" s="14">
        <v>45754</v>
      </c>
      <c r="I299">
        <v>9229.93</v>
      </c>
      <c r="J299">
        <v>11738.92</v>
      </c>
      <c r="K299">
        <v>127.18</v>
      </c>
      <c r="L299">
        <v>268</v>
      </c>
      <c r="M299" s="13" t="s">
        <v>3366</v>
      </c>
    </row>
    <row r="300" spans="1:13" x14ac:dyDescent="0.35">
      <c r="A300" s="13" t="s">
        <v>3675</v>
      </c>
      <c r="B300" s="13" t="s">
        <v>283</v>
      </c>
      <c r="C300" s="13" t="s">
        <v>284</v>
      </c>
      <c r="D300" s="13" t="s">
        <v>92</v>
      </c>
      <c r="E300" s="13" t="s">
        <v>104</v>
      </c>
      <c r="F300" s="13" t="s">
        <v>106</v>
      </c>
      <c r="G300" s="14">
        <v>45733</v>
      </c>
      <c r="H300" s="14">
        <v>45755</v>
      </c>
      <c r="I300">
        <v>4397.07</v>
      </c>
      <c r="J300">
        <v>0</v>
      </c>
      <c r="K300">
        <v>0</v>
      </c>
      <c r="L300">
        <v>267</v>
      </c>
      <c r="M300" s="13" t="s">
        <v>3512</v>
      </c>
    </row>
    <row r="301" spans="1:13" x14ac:dyDescent="0.35">
      <c r="A301" s="13" t="s">
        <v>3676</v>
      </c>
      <c r="B301" s="13" t="s">
        <v>587</v>
      </c>
      <c r="C301" s="13" t="s">
        <v>588</v>
      </c>
      <c r="D301" s="13" t="s">
        <v>67</v>
      </c>
      <c r="E301" s="13" t="s">
        <v>126</v>
      </c>
      <c r="F301" s="13" t="s">
        <v>87</v>
      </c>
      <c r="G301" s="14">
        <v>45751</v>
      </c>
      <c r="H301" s="14">
        <v>45755</v>
      </c>
      <c r="I301">
        <v>6733.07</v>
      </c>
      <c r="J301">
        <v>6735.08</v>
      </c>
      <c r="K301">
        <v>100.03</v>
      </c>
      <c r="L301">
        <v>267</v>
      </c>
      <c r="M301" s="13" t="s">
        <v>3366</v>
      </c>
    </row>
    <row r="302" spans="1:13" x14ac:dyDescent="0.35">
      <c r="A302" s="13" t="s">
        <v>3677</v>
      </c>
      <c r="B302" s="13" t="s">
        <v>981</v>
      </c>
      <c r="C302" s="13" t="s">
        <v>982</v>
      </c>
      <c r="D302" s="13" t="s">
        <v>67</v>
      </c>
      <c r="E302" s="13" t="s">
        <v>52</v>
      </c>
      <c r="F302" s="13" t="s">
        <v>87</v>
      </c>
      <c r="G302" s="14">
        <v>45751</v>
      </c>
      <c r="H302" s="14">
        <v>45756</v>
      </c>
      <c r="I302">
        <v>12569.5</v>
      </c>
      <c r="J302">
        <v>19380.689999999999</v>
      </c>
      <c r="K302">
        <v>154.19</v>
      </c>
      <c r="L302">
        <v>266</v>
      </c>
      <c r="M302" s="13" t="s">
        <v>3366</v>
      </c>
    </row>
    <row r="303" spans="1:13" x14ac:dyDescent="0.35">
      <c r="A303" s="13" t="s">
        <v>3678</v>
      </c>
      <c r="B303" s="13" t="s">
        <v>692</v>
      </c>
      <c r="C303" s="13" t="s">
        <v>693</v>
      </c>
      <c r="D303" s="13" t="s">
        <v>55</v>
      </c>
      <c r="E303" s="13" t="s">
        <v>52</v>
      </c>
      <c r="F303" s="13" t="s">
        <v>57</v>
      </c>
      <c r="G303" s="14">
        <v>45745</v>
      </c>
      <c r="H303" s="14">
        <v>45757</v>
      </c>
      <c r="I303">
        <v>1604.69</v>
      </c>
      <c r="J303">
        <v>1645.5</v>
      </c>
      <c r="K303">
        <v>102.54</v>
      </c>
      <c r="L303">
        <v>265</v>
      </c>
      <c r="M303" s="13" t="s">
        <v>3366</v>
      </c>
    </row>
    <row r="304" spans="1:13" x14ac:dyDescent="0.35">
      <c r="A304" s="13" t="s">
        <v>3679</v>
      </c>
      <c r="B304" s="13" t="s">
        <v>434</v>
      </c>
      <c r="C304" s="13" t="s">
        <v>435</v>
      </c>
      <c r="D304" s="13" t="s">
        <v>55</v>
      </c>
      <c r="E304" s="13" t="s">
        <v>52</v>
      </c>
      <c r="F304" s="13" t="s">
        <v>57</v>
      </c>
      <c r="G304" s="14">
        <v>45749</v>
      </c>
      <c r="H304" s="14">
        <v>45758</v>
      </c>
      <c r="I304">
        <v>4479.4799999999996</v>
      </c>
      <c r="J304">
        <v>18339.29</v>
      </c>
      <c r="K304">
        <v>409.41</v>
      </c>
      <c r="L304">
        <v>264</v>
      </c>
      <c r="M304" s="13" t="s">
        <v>3366</v>
      </c>
    </row>
    <row r="305" spans="1:13" x14ac:dyDescent="0.35">
      <c r="A305" s="13" t="s">
        <v>3680</v>
      </c>
      <c r="B305" s="13" t="s">
        <v>761</v>
      </c>
      <c r="C305" s="13" t="s">
        <v>762</v>
      </c>
      <c r="D305" s="13" t="s">
        <v>67</v>
      </c>
      <c r="E305" s="13" t="s">
        <v>52</v>
      </c>
      <c r="F305" s="13" t="s">
        <v>87</v>
      </c>
      <c r="G305" s="14">
        <v>45754</v>
      </c>
      <c r="H305" s="14">
        <v>45758</v>
      </c>
      <c r="I305">
        <v>14395.28</v>
      </c>
      <c r="J305">
        <v>15454.67</v>
      </c>
      <c r="K305">
        <v>107.36</v>
      </c>
      <c r="L305">
        <v>264</v>
      </c>
      <c r="M305" s="13" t="s">
        <v>3366</v>
      </c>
    </row>
    <row r="306" spans="1:13" x14ac:dyDescent="0.35">
      <c r="A306" s="13" t="s">
        <v>3681</v>
      </c>
      <c r="B306" s="13" t="s">
        <v>84</v>
      </c>
      <c r="C306" s="13" t="s">
        <v>85</v>
      </c>
      <c r="D306" s="13" t="s">
        <v>67</v>
      </c>
      <c r="E306" s="13" t="s">
        <v>52</v>
      </c>
      <c r="F306" s="13" t="s">
        <v>87</v>
      </c>
      <c r="G306" s="14">
        <v>45750</v>
      </c>
      <c r="H306" s="14">
        <v>45758</v>
      </c>
      <c r="I306">
        <v>6839.18</v>
      </c>
      <c r="J306">
        <v>20527.900000000001</v>
      </c>
      <c r="K306">
        <v>300.14999999999998</v>
      </c>
      <c r="L306">
        <v>264</v>
      </c>
      <c r="M306" s="13" t="s">
        <v>3366</v>
      </c>
    </row>
    <row r="307" spans="1:13" x14ac:dyDescent="0.35">
      <c r="A307" s="13" t="s">
        <v>3682</v>
      </c>
      <c r="B307" s="13" t="s">
        <v>1604</v>
      </c>
      <c r="C307" s="13" t="s">
        <v>1605</v>
      </c>
      <c r="D307" s="13" t="s">
        <v>55</v>
      </c>
      <c r="E307" s="13" t="s">
        <v>104</v>
      </c>
      <c r="F307" s="13" t="s">
        <v>122</v>
      </c>
      <c r="G307" s="14">
        <v>45748</v>
      </c>
      <c r="H307" s="14">
        <v>45759</v>
      </c>
      <c r="I307">
        <v>5524.08</v>
      </c>
      <c r="J307">
        <v>5758.87</v>
      </c>
      <c r="K307">
        <v>104.25</v>
      </c>
      <c r="L307">
        <v>263</v>
      </c>
      <c r="M307" s="13" t="s">
        <v>3366</v>
      </c>
    </row>
    <row r="308" spans="1:13" x14ac:dyDescent="0.35">
      <c r="A308" s="13" t="s">
        <v>3683</v>
      </c>
      <c r="B308" s="13" t="s">
        <v>1553</v>
      </c>
      <c r="C308" s="13" t="s">
        <v>1554</v>
      </c>
      <c r="D308" s="13" t="s">
        <v>55</v>
      </c>
      <c r="E308" s="13" t="s">
        <v>76</v>
      </c>
      <c r="F308" s="13" t="s">
        <v>80</v>
      </c>
      <c r="G308" s="14">
        <v>45747</v>
      </c>
      <c r="H308" s="14">
        <v>45759</v>
      </c>
      <c r="I308">
        <v>1429.7</v>
      </c>
      <c r="J308">
        <v>1488.45</v>
      </c>
      <c r="K308">
        <v>104.11</v>
      </c>
      <c r="L308">
        <v>263</v>
      </c>
      <c r="M308" s="13" t="s">
        <v>3366</v>
      </c>
    </row>
    <row r="309" spans="1:13" x14ac:dyDescent="0.35">
      <c r="A309" s="13" t="s">
        <v>3684</v>
      </c>
      <c r="B309" s="13" t="s">
        <v>343</v>
      </c>
      <c r="C309" s="13" t="s">
        <v>344</v>
      </c>
      <c r="D309" s="13" t="s">
        <v>67</v>
      </c>
      <c r="E309" s="13" t="s">
        <v>104</v>
      </c>
      <c r="F309" s="13" t="s">
        <v>106</v>
      </c>
      <c r="G309" s="14">
        <v>45748</v>
      </c>
      <c r="H309" s="14">
        <v>45759</v>
      </c>
      <c r="I309">
        <v>1208.45</v>
      </c>
      <c r="J309">
        <v>9890.49</v>
      </c>
      <c r="K309">
        <v>818.44</v>
      </c>
      <c r="L309">
        <v>263</v>
      </c>
      <c r="M309" s="13" t="s">
        <v>3366</v>
      </c>
    </row>
    <row r="310" spans="1:13" x14ac:dyDescent="0.35">
      <c r="A310" s="13" t="s">
        <v>3685</v>
      </c>
      <c r="B310" s="13" t="s">
        <v>293</v>
      </c>
      <c r="C310" s="13" t="s">
        <v>294</v>
      </c>
      <c r="D310" s="13" t="s">
        <v>92</v>
      </c>
      <c r="E310" s="13" t="s">
        <v>104</v>
      </c>
      <c r="F310" s="13" t="s">
        <v>122</v>
      </c>
      <c r="G310" s="14">
        <v>45750</v>
      </c>
      <c r="H310" s="14">
        <v>45759</v>
      </c>
      <c r="I310">
        <v>967.85</v>
      </c>
      <c r="J310">
        <v>0</v>
      </c>
      <c r="K310">
        <v>0</v>
      </c>
      <c r="L310">
        <v>263</v>
      </c>
      <c r="M310" s="13" t="s">
        <v>3512</v>
      </c>
    </row>
    <row r="311" spans="1:13" x14ac:dyDescent="0.35">
      <c r="A311" s="13" t="s">
        <v>3686</v>
      </c>
      <c r="B311" s="13" t="s">
        <v>1059</v>
      </c>
      <c r="C311" s="13" t="s">
        <v>1060</v>
      </c>
      <c r="D311" s="13" t="s">
        <v>67</v>
      </c>
      <c r="E311" s="13" t="s">
        <v>52</v>
      </c>
      <c r="F311" s="13" t="s">
        <v>87</v>
      </c>
      <c r="G311" s="14">
        <v>45752</v>
      </c>
      <c r="H311" s="14">
        <v>45759</v>
      </c>
      <c r="I311">
        <v>3129.38</v>
      </c>
      <c r="J311">
        <v>5694.28</v>
      </c>
      <c r="K311">
        <v>181.96</v>
      </c>
      <c r="L311">
        <v>263</v>
      </c>
      <c r="M311" s="13" t="s">
        <v>3366</v>
      </c>
    </row>
    <row r="312" spans="1:13" x14ac:dyDescent="0.35">
      <c r="A312" s="13" t="s">
        <v>3687</v>
      </c>
      <c r="B312" s="13" t="s">
        <v>212</v>
      </c>
      <c r="C312" s="13" t="s">
        <v>213</v>
      </c>
      <c r="D312" s="13" t="s">
        <v>92</v>
      </c>
      <c r="E312" s="13" t="s">
        <v>52</v>
      </c>
      <c r="F312" s="13" t="s">
        <v>87</v>
      </c>
      <c r="G312" s="14">
        <v>45750</v>
      </c>
      <c r="H312" s="14">
        <v>45760</v>
      </c>
      <c r="I312">
        <v>5083.09</v>
      </c>
      <c r="J312">
        <v>26868.62</v>
      </c>
      <c r="K312">
        <v>528.59</v>
      </c>
      <c r="L312">
        <v>262</v>
      </c>
      <c r="M312" s="13" t="s">
        <v>3366</v>
      </c>
    </row>
    <row r="313" spans="1:13" x14ac:dyDescent="0.35">
      <c r="A313" s="13" t="s">
        <v>3688</v>
      </c>
      <c r="B313" s="13" t="s">
        <v>780</v>
      </c>
      <c r="C313" s="13" t="s">
        <v>781</v>
      </c>
      <c r="D313" s="13" t="s">
        <v>55</v>
      </c>
      <c r="E313" s="13" t="s">
        <v>52</v>
      </c>
      <c r="F313" s="13" t="s">
        <v>87</v>
      </c>
      <c r="G313" s="14">
        <v>45755</v>
      </c>
      <c r="H313" s="14">
        <v>45761</v>
      </c>
      <c r="I313">
        <v>3903.18</v>
      </c>
      <c r="J313">
        <v>4240.6000000000004</v>
      </c>
      <c r="K313">
        <v>108.64</v>
      </c>
      <c r="L313">
        <v>261</v>
      </c>
      <c r="M313" s="13" t="s">
        <v>3366</v>
      </c>
    </row>
    <row r="314" spans="1:13" x14ac:dyDescent="0.35">
      <c r="A314" s="13" t="s">
        <v>3689</v>
      </c>
      <c r="B314" s="13" t="s">
        <v>168</v>
      </c>
      <c r="C314" s="13" t="s">
        <v>169</v>
      </c>
      <c r="D314" s="13" t="s">
        <v>67</v>
      </c>
      <c r="E314" s="13" t="s">
        <v>52</v>
      </c>
      <c r="F314" s="13" t="s">
        <v>57</v>
      </c>
      <c r="G314" s="14">
        <v>45753</v>
      </c>
      <c r="H314" s="14">
        <v>45762</v>
      </c>
      <c r="I314">
        <v>1631.42</v>
      </c>
      <c r="J314">
        <v>9798.59</v>
      </c>
      <c r="K314">
        <v>600.62</v>
      </c>
      <c r="L314">
        <v>260</v>
      </c>
      <c r="M314" s="13" t="s">
        <v>3366</v>
      </c>
    </row>
    <row r="315" spans="1:13" x14ac:dyDescent="0.35">
      <c r="A315" s="13" t="s">
        <v>3690</v>
      </c>
      <c r="B315" s="13" t="s">
        <v>3691</v>
      </c>
      <c r="C315" s="13" t="s">
        <v>3692</v>
      </c>
      <c r="D315" s="13" t="s">
        <v>55</v>
      </c>
      <c r="E315" s="13" t="s">
        <v>104</v>
      </c>
      <c r="F315" s="13" t="s">
        <v>106</v>
      </c>
      <c r="G315" s="14">
        <v>45752</v>
      </c>
      <c r="H315" s="14">
        <v>45762</v>
      </c>
      <c r="I315">
        <v>2743.69</v>
      </c>
      <c r="J315">
        <v>2909.7</v>
      </c>
      <c r="K315">
        <v>106.05</v>
      </c>
      <c r="L315">
        <v>260</v>
      </c>
      <c r="M315" s="13" t="s">
        <v>3366</v>
      </c>
    </row>
    <row r="316" spans="1:13" x14ac:dyDescent="0.35">
      <c r="A316" s="13" t="s">
        <v>3693</v>
      </c>
      <c r="B316" s="13" t="s">
        <v>695</v>
      </c>
      <c r="C316" s="13" t="s">
        <v>696</v>
      </c>
      <c r="D316" s="13" t="s">
        <v>92</v>
      </c>
      <c r="E316" s="13" t="s">
        <v>52</v>
      </c>
      <c r="F316" s="13" t="s">
        <v>57</v>
      </c>
      <c r="G316" s="14">
        <v>45752</v>
      </c>
      <c r="H316" s="14">
        <v>45762</v>
      </c>
      <c r="I316">
        <v>9404.7000000000007</v>
      </c>
      <c r="J316">
        <v>7507.15</v>
      </c>
      <c r="K316">
        <v>79.819999999999993</v>
      </c>
      <c r="L316">
        <v>260</v>
      </c>
      <c r="M316" s="13" t="s">
        <v>3694</v>
      </c>
    </row>
    <row r="317" spans="1:13" x14ac:dyDescent="0.35">
      <c r="A317" s="13" t="s">
        <v>3695</v>
      </c>
      <c r="B317" s="13" t="s">
        <v>2024</v>
      </c>
      <c r="C317" s="13" t="s">
        <v>2025</v>
      </c>
      <c r="D317" s="13" t="s">
        <v>55</v>
      </c>
      <c r="E317" s="13" t="s">
        <v>104</v>
      </c>
      <c r="F317" s="13" t="s">
        <v>122</v>
      </c>
      <c r="G317" s="14">
        <v>45758</v>
      </c>
      <c r="H317" s="14">
        <v>45762</v>
      </c>
      <c r="I317">
        <v>3680.07</v>
      </c>
      <c r="J317">
        <v>9831.5</v>
      </c>
      <c r="K317">
        <v>267.16000000000003</v>
      </c>
      <c r="L317">
        <v>260</v>
      </c>
      <c r="M317" s="13" t="s">
        <v>3366</v>
      </c>
    </row>
    <row r="318" spans="1:13" x14ac:dyDescent="0.35">
      <c r="A318" s="13" t="s">
        <v>3696</v>
      </c>
      <c r="B318" s="13" t="s">
        <v>1127</v>
      </c>
      <c r="C318" s="13" t="s">
        <v>1128</v>
      </c>
      <c r="D318" s="13" t="s">
        <v>67</v>
      </c>
      <c r="E318" s="13" t="s">
        <v>52</v>
      </c>
      <c r="F318" s="13" t="s">
        <v>57</v>
      </c>
      <c r="G318" s="14">
        <v>45749</v>
      </c>
      <c r="H318" s="14">
        <v>45763</v>
      </c>
      <c r="I318">
        <v>8298.68</v>
      </c>
      <c r="J318">
        <v>23400.959999999999</v>
      </c>
      <c r="K318">
        <v>281.98</v>
      </c>
      <c r="L318">
        <v>259</v>
      </c>
      <c r="M318" s="13" t="s">
        <v>3366</v>
      </c>
    </row>
    <row r="319" spans="1:13" x14ac:dyDescent="0.35">
      <c r="A319" s="13" t="s">
        <v>3697</v>
      </c>
      <c r="B319" s="13" t="s">
        <v>1254</v>
      </c>
      <c r="C319" s="13" t="s">
        <v>1255</v>
      </c>
      <c r="D319" s="13" t="s">
        <v>67</v>
      </c>
      <c r="E319" s="13" t="s">
        <v>126</v>
      </c>
      <c r="F319" s="13" t="s">
        <v>87</v>
      </c>
      <c r="G319" s="14">
        <v>45760</v>
      </c>
      <c r="H319" s="14">
        <v>45763</v>
      </c>
      <c r="I319">
        <v>2600.61</v>
      </c>
      <c r="J319">
        <v>2675.01</v>
      </c>
      <c r="K319">
        <v>102.86</v>
      </c>
      <c r="L319">
        <v>259</v>
      </c>
      <c r="M319" s="13" t="s">
        <v>3366</v>
      </c>
    </row>
    <row r="320" spans="1:13" x14ac:dyDescent="0.35">
      <c r="A320" s="13" t="s">
        <v>3698</v>
      </c>
      <c r="B320" s="13" t="s">
        <v>2790</v>
      </c>
      <c r="C320" s="13" t="s">
        <v>2791</v>
      </c>
      <c r="D320" s="13" t="s">
        <v>67</v>
      </c>
      <c r="E320" s="13" t="s">
        <v>76</v>
      </c>
      <c r="F320" s="13" t="s">
        <v>80</v>
      </c>
      <c r="G320" s="14">
        <v>45759</v>
      </c>
      <c r="H320" s="14">
        <v>45763</v>
      </c>
      <c r="I320">
        <v>590.42999999999995</v>
      </c>
      <c r="J320">
        <v>605.29</v>
      </c>
      <c r="K320">
        <v>102.52</v>
      </c>
      <c r="L320">
        <v>259</v>
      </c>
      <c r="M320" s="13" t="s">
        <v>3366</v>
      </c>
    </row>
    <row r="321" spans="1:13" x14ac:dyDescent="0.35">
      <c r="A321" s="13" t="s">
        <v>3699</v>
      </c>
      <c r="B321" s="13" t="s">
        <v>102</v>
      </c>
      <c r="C321" s="13" t="s">
        <v>103</v>
      </c>
      <c r="D321" s="13" t="s">
        <v>55</v>
      </c>
      <c r="E321" s="13" t="s">
        <v>104</v>
      </c>
      <c r="F321" s="13" t="s">
        <v>106</v>
      </c>
      <c r="G321" s="14">
        <v>45750</v>
      </c>
      <c r="H321" s="14">
        <v>45764</v>
      </c>
      <c r="I321">
        <v>4240.3500000000004</v>
      </c>
      <c r="J321">
        <v>4710.29</v>
      </c>
      <c r="K321">
        <v>111.08</v>
      </c>
      <c r="L321">
        <v>258</v>
      </c>
      <c r="M321" s="13" t="s">
        <v>3366</v>
      </c>
    </row>
    <row r="322" spans="1:13" x14ac:dyDescent="0.35">
      <c r="A322" s="13" t="s">
        <v>3700</v>
      </c>
      <c r="B322" s="13" t="s">
        <v>238</v>
      </c>
      <c r="C322" s="13" t="s">
        <v>239</v>
      </c>
      <c r="D322" s="13" t="s">
        <v>92</v>
      </c>
      <c r="E322" s="13" t="s">
        <v>76</v>
      </c>
      <c r="F322" s="13" t="s">
        <v>94</v>
      </c>
      <c r="G322" s="14">
        <v>45762</v>
      </c>
      <c r="H322" s="14">
        <v>45764</v>
      </c>
      <c r="I322">
        <v>620.48</v>
      </c>
      <c r="J322">
        <v>5702.77</v>
      </c>
      <c r="K322">
        <v>919.09</v>
      </c>
      <c r="L322">
        <v>258</v>
      </c>
      <c r="M322" s="13" t="s">
        <v>3366</v>
      </c>
    </row>
    <row r="323" spans="1:13" x14ac:dyDescent="0.35">
      <c r="A323" s="13" t="s">
        <v>3701</v>
      </c>
      <c r="B323" s="13" t="s">
        <v>1405</v>
      </c>
      <c r="C323" s="13" t="s">
        <v>1406</v>
      </c>
      <c r="D323" s="13" t="s">
        <v>67</v>
      </c>
      <c r="E323" s="13" t="s">
        <v>52</v>
      </c>
      <c r="F323" s="13" t="s">
        <v>87</v>
      </c>
      <c r="G323" s="14">
        <v>45753</v>
      </c>
      <c r="H323" s="14">
        <v>45764</v>
      </c>
      <c r="I323">
        <v>9206.7900000000009</v>
      </c>
      <c r="J323">
        <v>13509.33</v>
      </c>
      <c r="K323">
        <v>146.72999999999999</v>
      </c>
      <c r="L323">
        <v>258</v>
      </c>
      <c r="M323" s="13" t="s">
        <v>3366</v>
      </c>
    </row>
    <row r="324" spans="1:13" x14ac:dyDescent="0.35">
      <c r="A324" s="13" t="s">
        <v>3702</v>
      </c>
      <c r="B324" s="13" t="s">
        <v>296</v>
      </c>
      <c r="C324" s="13" t="s">
        <v>297</v>
      </c>
      <c r="D324" s="13" t="s">
        <v>92</v>
      </c>
      <c r="E324" s="13" t="s">
        <v>104</v>
      </c>
      <c r="F324" s="13" t="s">
        <v>106</v>
      </c>
      <c r="G324" s="14">
        <v>45750</v>
      </c>
      <c r="H324" s="14">
        <v>45765</v>
      </c>
      <c r="I324">
        <v>4021.97</v>
      </c>
      <c r="J324">
        <v>0</v>
      </c>
      <c r="K324">
        <v>0</v>
      </c>
      <c r="L324">
        <v>257</v>
      </c>
      <c r="M324" s="13" t="s">
        <v>3512</v>
      </c>
    </row>
    <row r="325" spans="1:13" x14ac:dyDescent="0.35">
      <c r="A325" s="13" t="s">
        <v>3703</v>
      </c>
      <c r="B325" s="13" t="s">
        <v>296</v>
      </c>
      <c r="C325" s="13" t="s">
        <v>297</v>
      </c>
      <c r="D325" s="13" t="s">
        <v>92</v>
      </c>
      <c r="E325" s="13" t="s">
        <v>104</v>
      </c>
      <c r="F325" s="13" t="s">
        <v>106</v>
      </c>
      <c r="G325" s="14">
        <v>45741</v>
      </c>
      <c r="H325" s="14">
        <v>45765</v>
      </c>
      <c r="I325">
        <v>5068.8900000000003</v>
      </c>
      <c r="J325">
        <v>0</v>
      </c>
      <c r="K325">
        <v>0</v>
      </c>
      <c r="L325">
        <v>257</v>
      </c>
      <c r="M325" s="13" t="s">
        <v>3512</v>
      </c>
    </row>
    <row r="326" spans="1:13" x14ac:dyDescent="0.35">
      <c r="A326" s="13" t="s">
        <v>3704</v>
      </c>
      <c r="B326" s="13" t="s">
        <v>130</v>
      </c>
      <c r="C326" s="13" t="s">
        <v>131</v>
      </c>
      <c r="D326" s="13" t="s">
        <v>55</v>
      </c>
      <c r="E326" s="13" t="s">
        <v>76</v>
      </c>
      <c r="F326" s="13" t="s">
        <v>80</v>
      </c>
      <c r="G326" s="14">
        <v>45759</v>
      </c>
      <c r="H326" s="14">
        <v>45765</v>
      </c>
      <c r="I326">
        <v>662.03</v>
      </c>
      <c r="J326">
        <v>729.71</v>
      </c>
      <c r="K326">
        <v>110.22</v>
      </c>
      <c r="L326">
        <v>257</v>
      </c>
      <c r="M326" s="13" t="s">
        <v>3366</v>
      </c>
    </row>
    <row r="327" spans="1:13" x14ac:dyDescent="0.35">
      <c r="A327" s="13" t="s">
        <v>3705</v>
      </c>
      <c r="B327" s="13" t="s">
        <v>1414</v>
      </c>
      <c r="C327" s="13" t="s">
        <v>1415</v>
      </c>
      <c r="D327" s="13" t="s">
        <v>55</v>
      </c>
      <c r="E327" s="13" t="s">
        <v>104</v>
      </c>
      <c r="F327" s="13" t="s">
        <v>122</v>
      </c>
      <c r="G327" s="14">
        <v>45761</v>
      </c>
      <c r="H327" s="14">
        <v>45765</v>
      </c>
      <c r="I327">
        <v>5932.94</v>
      </c>
      <c r="J327">
        <v>5962</v>
      </c>
      <c r="K327">
        <v>100.49</v>
      </c>
      <c r="L327">
        <v>257</v>
      </c>
      <c r="M327" s="13" t="s">
        <v>3366</v>
      </c>
    </row>
    <row r="328" spans="1:13" x14ac:dyDescent="0.35">
      <c r="A328" s="13" t="s">
        <v>3706</v>
      </c>
      <c r="B328" s="13" t="s">
        <v>667</v>
      </c>
      <c r="C328" s="13" t="s">
        <v>668</v>
      </c>
      <c r="D328" s="13" t="s">
        <v>67</v>
      </c>
      <c r="E328" s="13" t="s">
        <v>126</v>
      </c>
      <c r="F328" s="13" t="s">
        <v>87</v>
      </c>
      <c r="G328" s="14">
        <v>45761</v>
      </c>
      <c r="H328" s="14">
        <v>45766</v>
      </c>
      <c r="I328">
        <v>7860.65</v>
      </c>
      <c r="J328">
        <v>7946.51</v>
      </c>
      <c r="K328">
        <v>101.09</v>
      </c>
      <c r="L328">
        <v>256</v>
      </c>
      <c r="M328" s="13" t="s">
        <v>3366</v>
      </c>
    </row>
    <row r="329" spans="1:13" x14ac:dyDescent="0.35">
      <c r="A329" s="13" t="s">
        <v>3707</v>
      </c>
      <c r="B329" s="13" t="s">
        <v>296</v>
      </c>
      <c r="C329" s="13" t="s">
        <v>297</v>
      </c>
      <c r="D329" s="13" t="s">
        <v>92</v>
      </c>
      <c r="E329" s="13" t="s">
        <v>104</v>
      </c>
      <c r="F329" s="13" t="s">
        <v>106</v>
      </c>
      <c r="G329" s="14">
        <v>45753</v>
      </c>
      <c r="H329" s="14">
        <v>45766</v>
      </c>
      <c r="I329">
        <v>1137.1099999999999</v>
      </c>
      <c r="J329">
        <v>0</v>
      </c>
      <c r="K329">
        <v>0</v>
      </c>
      <c r="L329">
        <v>256</v>
      </c>
      <c r="M329" s="13" t="s">
        <v>3512</v>
      </c>
    </row>
    <row r="330" spans="1:13" x14ac:dyDescent="0.35">
      <c r="A330" s="13" t="s">
        <v>3708</v>
      </c>
      <c r="B330" s="13" t="s">
        <v>1179</v>
      </c>
      <c r="C330" s="13" t="s">
        <v>1180</v>
      </c>
      <c r="D330" s="13" t="s">
        <v>67</v>
      </c>
      <c r="E330" s="13" t="s">
        <v>104</v>
      </c>
      <c r="F330" s="13" t="s">
        <v>106</v>
      </c>
      <c r="G330" s="14">
        <v>45752</v>
      </c>
      <c r="H330" s="14">
        <v>45766</v>
      </c>
      <c r="I330">
        <v>784.78</v>
      </c>
      <c r="J330">
        <v>823.51</v>
      </c>
      <c r="K330">
        <v>104.94</v>
      </c>
      <c r="L330">
        <v>256</v>
      </c>
      <c r="M330" s="13" t="s">
        <v>3366</v>
      </c>
    </row>
    <row r="331" spans="1:13" x14ac:dyDescent="0.35">
      <c r="A331" s="13" t="s">
        <v>3709</v>
      </c>
      <c r="B331" s="13" t="s">
        <v>1963</v>
      </c>
      <c r="C331" s="13" t="s">
        <v>1964</v>
      </c>
      <c r="D331" s="13" t="s">
        <v>55</v>
      </c>
      <c r="E331" s="13" t="s">
        <v>104</v>
      </c>
      <c r="F331" s="13" t="s">
        <v>122</v>
      </c>
      <c r="G331" s="14">
        <v>45755</v>
      </c>
      <c r="H331" s="14">
        <v>45766</v>
      </c>
      <c r="I331">
        <v>795.24</v>
      </c>
      <c r="J331">
        <v>828.95</v>
      </c>
      <c r="K331">
        <v>104.24</v>
      </c>
      <c r="L331">
        <v>256</v>
      </c>
      <c r="M331" s="13" t="s">
        <v>3366</v>
      </c>
    </row>
    <row r="332" spans="1:13" x14ac:dyDescent="0.35">
      <c r="A332" s="13" t="s">
        <v>3710</v>
      </c>
      <c r="B332" s="13" t="s">
        <v>69</v>
      </c>
      <c r="C332" s="13" t="s">
        <v>70</v>
      </c>
      <c r="D332" s="13" t="s">
        <v>55</v>
      </c>
      <c r="E332" s="13" t="s">
        <v>52</v>
      </c>
      <c r="F332" s="13" t="s">
        <v>57</v>
      </c>
      <c r="G332" s="14">
        <v>45754</v>
      </c>
      <c r="H332" s="14">
        <v>45767</v>
      </c>
      <c r="I332">
        <v>1602.1</v>
      </c>
      <c r="J332">
        <v>1635.46</v>
      </c>
      <c r="K332">
        <v>102.08</v>
      </c>
      <c r="L332">
        <v>255</v>
      </c>
      <c r="M332" s="13" t="s">
        <v>3366</v>
      </c>
    </row>
    <row r="333" spans="1:13" x14ac:dyDescent="0.35">
      <c r="A333" s="13" t="s">
        <v>3711</v>
      </c>
      <c r="B333" s="13" t="s">
        <v>788</v>
      </c>
      <c r="C333" s="13" t="s">
        <v>789</v>
      </c>
      <c r="D333" s="13" t="s">
        <v>67</v>
      </c>
      <c r="E333" s="13" t="s">
        <v>52</v>
      </c>
      <c r="F333" s="13" t="s">
        <v>87</v>
      </c>
      <c r="G333" s="14">
        <v>45749</v>
      </c>
      <c r="H333" s="14">
        <v>45767</v>
      </c>
      <c r="I333">
        <v>1593.19</v>
      </c>
      <c r="J333">
        <v>8481.0300000000007</v>
      </c>
      <c r="K333">
        <v>532.33000000000004</v>
      </c>
      <c r="L333">
        <v>255</v>
      </c>
      <c r="M333" s="13" t="s">
        <v>3366</v>
      </c>
    </row>
    <row r="334" spans="1:13" x14ac:dyDescent="0.35">
      <c r="A334" s="13" t="s">
        <v>3712</v>
      </c>
      <c r="B334" s="13" t="s">
        <v>283</v>
      </c>
      <c r="C334" s="13" t="s">
        <v>284</v>
      </c>
      <c r="D334" s="13" t="s">
        <v>92</v>
      </c>
      <c r="E334" s="13" t="s">
        <v>104</v>
      </c>
      <c r="F334" s="13" t="s">
        <v>106</v>
      </c>
      <c r="G334" s="14">
        <v>45745</v>
      </c>
      <c r="H334" s="14">
        <v>45768</v>
      </c>
      <c r="I334">
        <v>3232.23</v>
      </c>
      <c r="J334">
        <v>0</v>
      </c>
      <c r="K334">
        <v>0</v>
      </c>
      <c r="L334">
        <v>254</v>
      </c>
      <c r="M334" s="13" t="s">
        <v>3512</v>
      </c>
    </row>
    <row r="335" spans="1:13" x14ac:dyDescent="0.35">
      <c r="A335" s="13" t="s">
        <v>3713</v>
      </c>
      <c r="B335" s="13" t="s">
        <v>203</v>
      </c>
      <c r="C335" s="13" t="s">
        <v>204</v>
      </c>
      <c r="D335" s="13" t="s">
        <v>67</v>
      </c>
      <c r="E335" s="13" t="s">
        <v>52</v>
      </c>
      <c r="F335" s="13" t="s">
        <v>57</v>
      </c>
      <c r="G335" s="14">
        <v>45755</v>
      </c>
      <c r="H335" s="14">
        <v>45768</v>
      </c>
      <c r="I335">
        <v>5575.55</v>
      </c>
      <c r="J335">
        <v>13306.48</v>
      </c>
      <c r="K335">
        <v>238.66</v>
      </c>
      <c r="L335">
        <v>254</v>
      </c>
      <c r="M335" s="13" t="s">
        <v>3366</v>
      </c>
    </row>
    <row r="336" spans="1:13" x14ac:dyDescent="0.35">
      <c r="A336" s="13" t="s">
        <v>3714</v>
      </c>
      <c r="B336" s="13" t="s">
        <v>390</v>
      </c>
      <c r="C336" s="13" t="s">
        <v>391</v>
      </c>
      <c r="D336" s="13" t="s">
        <v>55</v>
      </c>
      <c r="E336" s="13" t="s">
        <v>52</v>
      </c>
      <c r="F336" s="13" t="s">
        <v>87</v>
      </c>
      <c r="G336" s="14">
        <v>45758</v>
      </c>
      <c r="H336" s="14">
        <v>45768</v>
      </c>
      <c r="I336">
        <v>4062.44</v>
      </c>
      <c r="J336">
        <v>6887.26</v>
      </c>
      <c r="K336">
        <v>169.54</v>
      </c>
      <c r="L336">
        <v>254</v>
      </c>
      <c r="M336" s="13" t="s">
        <v>3366</v>
      </c>
    </row>
    <row r="337" spans="1:13" x14ac:dyDescent="0.35">
      <c r="A337" s="13" t="s">
        <v>3715</v>
      </c>
      <c r="B337" s="13" t="s">
        <v>2790</v>
      </c>
      <c r="C337" s="13" t="s">
        <v>2791</v>
      </c>
      <c r="D337" s="13" t="s">
        <v>67</v>
      </c>
      <c r="E337" s="13" t="s">
        <v>76</v>
      </c>
      <c r="F337" s="13" t="s">
        <v>80</v>
      </c>
      <c r="G337" s="14">
        <v>45761</v>
      </c>
      <c r="H337" s="14">
        <v>45768</v>
      </c>
      <c r="I337">
        <v>1026.92</v>
      </c>
      <c r="J337">
        <v>6779.51</v>
      </c>
      <c r="K337">
        <v>660.18</v>
      </c>
      <c r="L337">
        <v>254</v>
      </c>
      <c r="M337" s="13" t="s">
        <v>3366</v>
      </c>
    </row>
    <row r="338" spans="1:13" x14ac:dyDescent="0.35">
      <c r="A338" s="13" t="s">
        <v>3716</v>
      </c>
      <c r="B338" s="13" t="s">
        <v>1165</v>
      </c>
      <c r="C338" s="13" t="s">
        <v>1166</v>
      </c>
      <c r="D338" s="13" t="s">
        <v>67</v>
      </c>
      <c r="E338" s="13" t="s">
        <v>52</v>
      </c>
      <c r="F338" s="13" t="s">
        <v>57</v>
      </c>
      <c r="G338" s="14">
        <v>45760</v>
      </c>
      <c r="H338" s="14">
        <v>45769</v>
      </c>
      <c r="I338">
        <v>3611.87</v>
      </c>
      <c r="J338">
        <v>9901.25</v>
      </c>
      <c r="K338">
        <v>274.13</v>
      </c>
      <c r="L338">
        <v>253</v>
      </c>
      <c r="M338" s="13" t="s">
        <v>3366</v>
      </c>
    </row>
    <row r="339" spans="1:13" x14ac:dyDescent="0.35">
      <c r="A339" s="13" t="s">
        <v>3717</v>
      </c>
      <c r="B339" s="13" t="s">
        <v>1115</v>
      </c>
      <c r="C339" s="13" t="s">
        <v>1116</v>
      </c>
      <c r="D339" s="13" t="s">
        <v>92</v>
      </c>
      <c r="E339" s="13" t="s">
        <v>52</v>
      </c>
      <c r="F339" s="13" t="s">
        <v>57</v>
      </c>
      <c r="G339" s="14">
        <v>45757</v>
      </c>
      <c r="H339" s="14">
        <v>45769</v>
      </c>
      <c r="I339">
        <v>8203.32</v>
      </c>
      <c r="J339">
        <v>21668.639999999999</v>
      </c>
      <c r="K339">
        <v>264.14</v>
      </c>
      <c r="L339">
        <v>253</v>
      </c>
      <c r="M339" s="13" t="s">
        <v>3366</v>
      </c>
    </row>
    <row r="340" spans="1:13" x14ac:dyDescent="0.35">
      <c r="A340" s="13" t="s">
        <v>3718</v>
      </c>
      <c r="B340" s="13" t="s">
        <v>1482</v>
      </c>
      <c r="C340" s="13" t="s">
        <v>1483</v>
      </c>
      <c r="D340" s="13" t="s">
        <v>92</v>
      </c>
      <c r="E340" s="13" t="s">
        <v>76</v>
      </c>
      <c r="F340" s="13" t="s">
        <v>94</v>
      </c>
      <c r="G340" s="14">
        <v>45762</v>
      </c>
      <c r="H340" s="14">
        <v>45769</v>
      </c>
      <c r="I340">
        <v>2266.98</v>
      </c>
      <c r="J340">
        <v>2345.8200000000002</v>
      </c>
      <c r="K340">
        <v>103.48</v>
      </c>
      <c r="L340">
        <v>253</v>
      </c>
      <c r="M340" s="13" t="s">
        <v>3366</v>
      </c>
    </row>
    <row r="341" spans="1:13" x14ac:dyDescent="0.35">
      <c r="A341" s="13" t="s">
        <v>3719</v>
      </c>
      <c r="B341" s="13" t="s">
        <v>1155</v>
      </c>
      <c r="C341" s="13" t="s">
        <v>1156</v>
      </c>
      <c r="D341" s="13" t="s">
        <v>67</v>
      </c>
      <c r="E341" s="13" t="s">
        <v>52</v>
      </c>
      <c r="F341" s="13" t="s">
        <v>87</v>
      </c>
      <c r="G341" s="14">
        <v>45760</v>
      </c>
      <c r="H341" s="14">
        <v>45769</v>
      </c>
      <c r="I341">
        <v>5547.29</v>
      </c>
      <c r="J341">
        <v>6069.26</v>
      </c>
      <c r="K341">
        <v>109.41</v>
      </c>
      <c r="L341">
        <v>253</v>
      </c>
      <c r="M341" s="13" t="s">
        <v>3366</v>
      </c>
    </row>
    <row r="342" spans="1:13" x14ac:dyDescent="0.35">
      <c r="A342" s="13" t="s">
        <v>3720</v>
      </c>
      <c r="B342" s="13" t="s">
        <v>722</v>
      </c>
      <c r="C342" s="13" t="s">
        <v>723</v>
      </c>
      <c r="D342" s="13" t="s">
        <v>67</v>
      </c>
      <c r="E342" s="13" t="s">
        <v>104</v>
      </c>
      <c r="F342" s="13" t="s">
        <v>106</v>
      </c>
      <c r="G342" s="14">
        <v>45758</v>
      </c>
      <c r="H342" s="14">
        <v>45769</v>
      </c>
      <c r="I342">
        <v>1535.47</v>
      </c>
      <c r="J342">
        <v>1614.44</v>
      </c>
      <c r="K342">
        <v>105.14</v>
      </c>
      <c r="L342">
        <v>253</v>
      </c>
      <c r="M342" s="13" t="s">
        <v>3366</v>
      </c>
    </row>
    <row r="343" spans="1:13" x14ac:dyDescent="0.35">
      <c r="A343" s="13" t="s">
        <v>3721</v>
      </c>
      <c r="B343" s="13" t="s">
        <v>676</v>
      </c>
      <c r="C343" s="13" t="s">
        <v>677</v>
      </c>
      <c r="D343" s="13" t="s">
        <v>67</v>
      </c>
      <c r="E343" s="13" t="s">
        <v>126</v>
      </c>
      <c r="F343" s="13" t="s">
        <v>122</v>
      </c>
      <c r="G343" s="14">
        <v>45756</v>
      </c>
      <c r="H343" s="14">
        <v>45770</v>
      </c>
      <c r="I343">
        <v>8309.33</v>
      </c>
      <c r="J343">
        <v>10001.41</v>
      </c>
      <c r="K343">
        <v>120.36</v>
      </c>
      <c r="L343">
        <v>252</v>
      </c>
      <c r="M343" s="13" t="s">
        <v>3366</v>
      </c>
    </row>
    <row r="344" spans="1:13" x14ac:dyDescent="0.35">
      <c r="A344" s="13" t="s">
        <v>3722</v>
      </c>
      <c r="B344" s="13" t="s">
        <v>761</v>
      </c>
      <c r="C344" s="13" t="s">
        <v>762</v>
      </c>
      <c r="D344" s="13" t="s">
        <v>67</v>
      </c>
      <c r="E344" s="13" t="s">
        <v>52</v>
      </c>
      <c r="F344" s="13" t="s">
        <v>87</v>
      </c>
      <c r="G344" s="14">
        <v>45757</v>
      </c>
      <c r="H344" s="14">
        <v>45770</v>
      </c>
      <c r="I344">
        <v>16938.87</v>
      </c>
      <c r="J344">
        <v>17028.46</v>
      </c>
      <c r="K344">
        <v>100.53</v>
      </c>
      <c r="L344">
        <v>252</v>
      </c>
      <c r="M344" s="13" t="s">
        <v>3366</v>
      </c>
    </row>
    <row r="345" spans="1:13" x14ac:dyDescent="0.35">
      <c r="A345" s="13" t="s">
        <v>3723</v>
      </c>
      <c r="B345" s="13" t="s">
        <v>1288</v>
      </c>
      <c r="C345" s="13" t="s">
        <v>1289</v>
      </c>
      <c r="D345" s="13" t="s">
        <v>67</v>
      </c>
      <c r="E345" s="13" t="s">
        <v>52</v>
      </c>
      <c r="F345" s="13" t="s">
        <v>57</v>
      </c>
      <c r="G345" s="14">
        <v>45762</v>
      </c>
      <c r="H345" s="14">
        <v>45771</v>
      </c>
      <c r="I345">
        <v>2008.39</v>
      </c>
      <c r="J345">
        <v>27418.880000000001</v>
      </c>
      <c r="K345">
        <v>1365.22</v>
      </c>
      <c r="L345">
        <v>251</v>
      </c>
      <c r="M345" s="13" t="s">
        <v>3366</v>
      </c>
    </row>
    <row r="346" spans="1:13" x14ac:dyDescent="0.35">
      <c r="A346" s="13" t="s">
        <v>3724</v>
      </c>
      <c r="B346" s="13" t="s">
        <v>283</v>
      </c>
      <c r="C346" s="13" t="s">
        <v>284</v>
      </c>
      <c r="D346" s="13" t="s">
        <v>92</v>
      </c>
      <c r="E346" s="13" t="s">
        <v>104</v>
      </c>
      <c r="F346" s="13" t="s">
        <v>106</v>
      </c>
      <c r="G346" s="14">
        <v>45754</v>
      </c>
      <c r="H346" s="14">
        <v>45771</v>
      </c>
      <c r="I346">
        <v>3590.23</v>
      </c>
      <c r="J346">
        <v>0</v>
      </c>
      <c r="K346">
        <v>0</v>
      </c>
      <c r="L346">
        <v>251</v>
      </c>
      <c r="M346" s="13" t="s">
        <v>3512</v>
      </c>
    </row>
    <row r="347" spans="1:13" x14ac:dyDescent="0.35">
      <c r="A347" s="13" t="s">
        <v>3725</v>
      </c>
      <c r="B347" s="13" t="s">
        <v>2171</v>
      </c>
      <c r="C347" s="13" t="s">
        <v>2172</v>
      </c>
      <c r="D347" s="13" t="s">
        <v>55</v>
      </c>
      <c r="E347" s="13" t="s">
        <v>76</v>
      </c>
      <c r="F347" s="13" t="s">
        <v>94</v>
      </c>
      <c r="G347" s="14">
        <v>45760</v>
      </c>
      <c r="H347" s="14">
        <v>45771</v>
      </c>
      <c r="I347">
        <v>495.21</v>
      </c>
      <c r="J347">
        <v>507.44</v>
      </c>
      <c r="K347">
        <v>102.47</v>
      </c>
      <c r="L347">
        <v>251</v>
      </c>
      <c r="M347" s="13" t="s">
        <v>3366</v>
      </c>
    </row>
    <row r="348" spans="1:13" x14ac:dyDescent="0.35">
      <c r="A348" s="13" t="s">
        <v>3726</v>
      </c>
      <c r="B348" s="13" t="s">
        <v>587</v>
      </c>
      <c r="C348" s="13" t="s">
        <v>588</v>
      </c>
      <c r="D348" s="13" t="s">
        <v>67</v>
      </c>
      <c r="E348" s="13" t="s">
        <v>126</v>
      </c>
      <c r="F348" s="13" t="s">
        <v>87</v>
      </c>
      <c r="G348" s="14">
        <v>45759</v>
      </c>
      <c r="H348" s="14">
        <v>45773</v>
      </c>
      <c r="I348">
        <v>935.27</v>
      </c>
      <c r="J348">
        <v>8279.7000000000007</v>
      </c>
      <c r="K348">
        <v>885.27</v>
      </c>
      <c r="L348">
        <v>249</v>
      </c>
      <c r="M348" s="13" t="s">
        <v>3366</v>
      </c>
    </row>
    <row r="349" spans="1:13" x14ac:dyDescent="0.35">
      <c r="A349" s="13" t="s">
        <v>3727</v>
      </c>
      <c r="B349" s="13" t="s">
        <v>673</v>
      </c>
      <c r="C349" s="13" t="s">
        <v>674</v>
      </c>
      <c r="D349" s="13" t="s">
        <v>67</v>
      </c>
      <c r="E349" s="13" t="s">
        <v>52</v>
      </c>
      <c r="F349" s="13" t="s">
        <v>87</v>
      </c>
      <c r="G349" s="14">
        <v>45767</v>
      </c>
      <c r="H349" s="14">
        <v>45773</v>
      </c>
      <c r="I349">
        <v>2050.23</v>
      </c>
      <c r="J349">
        <v>7964.08</v>
      </c>
      <c r="K349">
        <v>388.45</v>
      </c>
      <c r="L349">
        <v>249</v>
      </c>
      <c r="M349" s="13" t="s">
        <v>3366</v>
      </c>
    </row>
    <row r="350" spans="1:13" x14ac:dyDescent="0.35">
      <c r="A350" s="13" t="s">
        <v>3728</v>
      </c>
      <c r="B350" s="13" t="s">
        <v>695</v>
      </c>
      <c r="C350" s="13" t="s">
        <v>696</v>
      </c>
      <c r="D350" s="13" t="s">
        <v>92</v>
      </c>
      <c r="E350" s="13" t="s">
        <v>52</v>
      </c>
      <c r="F350" s="13" t="s">
        <v>57</v>
      </c>
      <c r="G350" s="14">
        <v>45756</v>
      </c>
      <c r="H350" s="14">
        <v>45773</v>
      </c>
      <c r="I350">
        <v>9478.7099999999991</v>
      </c>
      <c r="J350">
        <v>21399.06</v>
      </c>
      <c r="K350">
        <v>225.76</v>
      </c>
      <c r="L350">
        <v>249</v>
      </c>
      <c r="M350" s="13" t="s">
        <v>3366</v>
      </c>
    </row>
    <row r="351" spans="1:13" x14ac:dyDescent="0.35">
      <c r="A351" s="13" t="s">
        <v>3729</v>
      </c>
      <c r="B351" s="13" t="s">
        <v>1520</v>
      </c>
      <c r="C351" s="13" t="s">
        <v>1521</v>
      </c>
      <c r="D351" s="13" t="s">
        <v>55</v>
      </c>
      <c r="E351" s="13" t="s">
        <v>76</v>
      </c>
      <c r="F351" s="13" t="s">
        <v>80</v>
      </c>
      <c r="G351" s="14">
        <v>45770</v>
      </c>
      <c r="H351" s="14">
        <v>45773</v>
      </c>
      <c r="I351">
        <v>484.76</v>
      </c>
      <c r="J351">
        <v>2593.86</v>
      </c>
      <c r="K351">
        <v>535.08000000000004</v>
      </c>
      <c r="L351">
        <v>249</v>
      </c>
      <c r="M351" s="13" t="s">
        <v>3366</v>
      </c>
    </row>
    <row r="352" spans="1:13" x14ac:dyDescent="0.35">
      <c r="A352" s="13" t="s">
        <v>3730</v>
      </c>
      <c r="B352" s="13" t="s">
        <v>1520</v>
      </c>
      <c r="C352" s="13" t="s">
        <v>1521</v>
      </c>
      <c r="D352" s="13" t="s">
        <v>55</v>
      </c>
      <c r="E352" s="13" t="s">
        <v>76</v>
      </c>
      <c r="F352" s="13" t="s">
        <v>80</v>
      </c>
      <c r="G352" s="14">
        <v>45771</v>
      </c>
      <c r="H352" s="14">
        <v>45773</v>
      </c>
      <c r="I352">
        <v>1976.51</v>
      </c>
      <c r="J352">
        <v>2593.86</v>
      </c>
      <c r="K352">
        <v>131.22999999999999</v>
      </c>
      <c r="L352">
        <v>249</v>
      </c>
      <c r="M352" s="13" t="s">
        <v>3366</v>
      </c>
    </row>
    <row r="353" spans="1:13" x14ac:dyDescent="0.35">
      <c r="A353" s="13" t="s">
        <v>3731</v>
      </c>
      <c r="B353" s="13" t="s">
        <v>1001</v>
      </c>
      <c r="C353" s="13" t="s">
        <v>1002</v>
      </c>
      <c r="D353" s="13" t="s">
        <v>55</v>
      </c>
      <c r="E353" s="13" t="s">
        <v>76</v>
      </c>
      <c r="F353" s="13" t="s">
        <v>94</v>
      </c>
      <c r="G353" s="14">
        <v>45762</v>
      </c>
      <c r="H353" s="14">
        <v>45774</v>
      </c>
      <c r="I353">
        <v>951.43</v>
      </c>
      <c r="J353">
        <v>1493.41</v>
      </c>
      <c r="K353">
        <v>156.96</v>
      </c>
      <c r="L353">
        <v>248</v>
      </c>
      <c r="M353" s="13" t="s">
        <v>3366</v>
      </c>
    </row>
    <row r="354" spans="1:13" x14ac:dyDescent="0.35">
      <c r="A354" s="13" t="s">
        <v>3732</v>
      </c>
      <c r="B354" s="13" t="s">
        <v>1782</v>
      </c>
      <c r="C354" s="13" t="s">
        <v>1783</v>
      </c>
      <c r="D354" s="13" t="s">
        <v>67</v>
      </c>
      <c r="E354" s="13" t="s">
        <v>76</v>
      </c>
      <c r="F354" s="13" t="s">
        <v>94</v>
      </c>
      <c r="G354" s="14">
        <v>45770</v>
      </c>
      <c r="H354" s="14">
        <v>45774</v>
      </c>
      <c r="I354">
        <v>4528.8500000000004</v>
      </c>
      <c r="J354">
        <v>6936.43</v>
      </c>
      <c r="K354">
        <v>153.16</v>
      </c>
      <c r="L354">
        <v>248</v>
      </c>
      <c r="M354" s="13" t="s">
        <v>3366</v>
      </c>
    </row>
    <row r="355" spans="1:13" x14ac:dyDescent="0.35">
      <c r="A355" s="13" t="s">
        <v>3733</v>
      </c>
      <c r="B355" s="13" t="s">
        <v>90</v>
      </c>
      <c r="C355" s="13" t="s">
        <v>91</v>
      </c>
      <c r="D355" s="13" t="s">
        <v>92</v>
      </c>
      <c r="E355" s="13" t="s">
        <v>76</v>
      </c>
      <c r="F355" s="13" t="s">
        <v>94</v>
      </c>
      <c r="G355" s="14">
        <v>45767</v>
      </c>
      <c r="H355" s="14">
        <v>45774</v>
      </c>
      <c r="I355">
        <v>1906.55</v>
      </c>
      <c r="J355">
        <v>2030.13</v>
      </c>
      <c r="K355">
        <v>106.48</v>
      </c>
      <c r="L355">
        <v>248</v>
      </c>
      <c r="M355" s="13" t="s">
        <v>3366</v>
      </c>
    </row>
    <row r="356" spans="1:13" x14ac:dyDescent="0.35">
      <c r="A356" s="13" t="s">
        <v>3734</v>
      </c>
      <c r="B356" s="13" t="s">
        <v>1018</v>
      </c>
      <c r="C356" s="13" t="s">
        <v>1019</v>
      </c>
      <c r="D356" s="13" t="s">
        <v>67</v>
      </c>
      <c r="E356" s="13" t="s">
        <v>52</v>
      </c>
      <c r="F356" s="13" t="s">
        <v>87</v>
      </c>
      <c r="G356" s="14">
        <v>45762</v>
      </c>
      <c r="H356" s="14">
        <v>45775</v>
      </c>
      <c r="I356">
        <v>5623.16</v>
      </c>
      <c r="J356">
        <v>5858.18</v>
      </c>
      <c r="K356">
        <v>104.18</v>
      </c>
      <c r="L356">
        <v>247</v>
      </c>
      <c r="M356" s="13" t="s">
        <v>3366</v>
      </c>
    </row>
    <row r="357" spans="1:13" x14ac:dyDescent="0.35">
      <c r="A357" s="13" t="s">
        <v>3735</v>
      </c>
      <c r="B357" s="13" t="s">
        <v>1703</v>
      </c>
      <c r="C357" s="13" t="s">
        <v>1704</v>
      </c>
      <c r="D357" s="13" t="s">
        <v>55</v>
      </c>
      <c r="E357" s="13" t="s">
        <v>76</v>
      </c>
      <c r="F357" s="13" t="s">
        <v>94</v>
      </c>
      <c r="G357" s="14">
        <v>45764</v>
      </c>
      <c r="H357" s="14">
        <v>45775</v>
      </c>
      <c r="I357">
        <v>499.98</v>
      </c>
      <c r="J357">
        <v>505.62</v>
      </c>
      <c r="K357">
        <v>101.13</v>
      </c>
      <c r="L357">
        <v>247</v>
      </c>
      <c r="M357" s="13" t="s">
        <v>3366</v>
      </c>
    </row>
    <row r="358" spans="1:13" x14ac:dyDescent="0.35">
      <c r="A358" s="13" t="s">
        <v>3736</v>
      </c>
      <c r="B358" s="13" t="s">
        <v>1237</v>
      </c>
      <c r="C358" s="13" t="s">
        <v>1238</v>
      </c>
      <c r="D358" s="13" t="s">
        <v>67</v>
      </c>
      <c r="E358" s="13" t="s">
        <v>104</v>
      </c>
      <c r="F358" s="13" t="s">
        <v>122</v>
      </c>
      <c r="G358" s="14">
        <v>45770</v>
      </c>
      <c r="H358" s="14">
        <v>45776</v>
      </c>
      <c r="I358">
        <v>967.51</v>
      </c>
      <c r="J358">
        <v>977.49</v>
      </c>
      <c r="K358">
        <v>101.03</v>
      </c>
      <c r="L358">
        <v>246</v>
      </c>
      <c r="M358" s="13" t="s">
        <v>3366</v>
      </c>
    </row>
    <row r="359" spans="1:13" x14ac:dyDescent="0.35">
      <c r="A359" s="13" t="s">
        <v>3737</v>
      </c>
      <c r="B359" s="13" t="s">
        <v>971</v>
      </c>
      <c r="C359" s="13" t="s">
        <v>972</v>
      </c>
      <c r="D359" s="13" t="s">
        <v>55</v>
      </c>
      <c r="E359" s="13" t="s">
        <v>104</v>
      </c>
      <c r="F359" s="13" t="s">
        <v>122</v>
      </c>
      <c r="G359" s="14">
        <v>45764</v>
      </c>
      <c r="H359" s="14">
        <v>45776</v>
      </c>
      <c r="I359">
        <v>1751.58</v>
      </c>
      <c r="J359">
        <v>1921.63</v>
      </c>
      <c r="K359">
        <v>109.71</v>
      </c>
      <c r="L359">
        <v>246</v>
      </c>
      <c r="M359" s="13" t="s">
        <v>3366</v>
      </c>
    </row>
    <row r="360" spans="1:13" x14ac:dyDescent="0.35">
      <c r="A360" s="13" t="s">
        <v>3738</v>
      </c>
      <c r="B360" s="13" t="s">
        <v>1223</v>
      </c>
      <c r="C360" s="13" t="s">
        <v>1224</v>
      </c>
      <c r="D360" s="13" t="s">
        <v>67</v>
      </c>
      <c r="E360" s="13" t="s">
        <v>52</v>
      </c>
      <c r="F360" s="13" t="s">
        <v>87</v>
      </c>
      <c r="G360" s="14">
        <v>45768</v>
      </c>
      <c r="H360" s="14">
        <v>45776</v>
      </c>
      <c r="I360">
        <v>14721.23</v>
      </c>
      <c r="J360">
        <v>22760.16</v>
      </c>
      <c r="K360">
        <v>154.61000000000001</v>
      </c>
      <c r="L360">
        <v>246</v>
      </c>
      <c r="M360" s="13" t="s">
        <v>3366</v>
      </c>
    </row>
    <row r="361" spans="1:13" x14ac:dyDescent="0.35">
      <c r="A361" s="13" t="s">
        <v>3739</v>
      </c>
      <c r="B361" s="13" t="s">
        <v>293</v>
      </c>
      <c r="C361" s="13" t="s">
        <v>294</v>
      </c>
      <c r="D361" s="13" t="s">
        <v>92</v>
      </c>
      <c r="E361" s="13" t="s">
        <v>104</v>
      </c>
      <c r="F361" s="13" t="s">
        <v>122</v>
      </c>
      <c r="G361" s="14">
        <v>45768</v>
      </c>
      <c r="H361" s="14">
        <v>45776</v>
      </c>
      <c r="I361">
        <v>2998.19</v>
      </c>
      <c r="J361">
        <v>0</v>
      </c>
      <c r="K361">
        <v>0</v>
      </c>
      <c r="L361">
        <v>246</v>
      </c>
      <c r="M361" s="13" t="s">
        <v>3512</v>
      </c>
    </row>
    <row r="362" spans="1:13" x14ac:dyDescent="0.35">
      <c r="A362" s="13" t="s">
        <v>3740</v>
      </c>
      <c r="B362" s="13" t="s">
        <v>177</v>
      </c>
      <c r="C362" s="13" t="s">
        <v>178</v>
      </c>
      <c r="D362" s="13" t="s">
        <v>67</v>
      </c>
      <c r="E362" s="13" t="s">
        <v>52</v>
      </c>
      <c r="F362" s="13" t="s">
        <v>57</v>
      </c>
      <c r="G362" s="14">
        <v>45761</v>
      </c>
      <c r="H362" s="14">
        <v>45776</v>
      </c>
      <c r="I362">
        <v>3364.87</v>
      </c>
      <c r="J362">
        <v>4125.5200000000004</v>
      </c>
      <c r="K362">
        <v>122.61</v>
      </c>
      <c r="L362">
        <v>246</v>
      </c>
      <c r="M362" s="13" t="s">
        <v>3366</v>
      </c>
    </row>
    <row r="363" spans="1:13" x14ac:dyDescent="0.35">
      <c r="A363" s="13" t="s">
        <v>3741</v>
      </c>
      <c r="B363" s="13" t="s">
        <v>379</v>
      </c>
      <c r="C363" s="13" t="s">
        <v>380</v>
      </c>
      <c r="D363" s="13" t="s">
        <v>92</v>
      </c>
      <c r="E363" s="13" t="s">
        <v>52</v>
      </c>
      <c r="F363" s="13" t="s">
        <v>57</v>
      </c>
      <c r="G363" s="14">
        <v>45765</v>
      </c>
      <c r="H363" s="14">
        <v>45777</v>
      </c>
      <c r="I363">
        <v>1601.41</v>
      </c>
      <c r="J363">
        <v>1664.15</v>
      </c>
      <c r="K363">
        <v>103.92</v>
      </c>
      <c r="L363">
        <v>245</v>
      </c>
      <c r="M363" s="13" t="s">
        <v>3366</v>
      </c>
    </row>
    <row r="364" spans="1:13" x14ac:dyDescent="0.35">
      <c r="A364" s="13" t="s">
        <v>3742</v>
      </c>
      <c r="B364" s="13" t="s">
        <v>2024</v>
      </c>
      <c r="C364" s="13" t="s">
        <v>2025</v>
      </c>
      <c r="D364" s="13" t="s">
        <v>55</v>
      </c>
      <c r="E364" s="13" t="s">
        <v>104</v>
      </c>
      <c r="F364" s="13" t="s">
        <v>122</v>
      </c>
      <c r="G364" s="14">
        <v>45769</v>
      </c>
      <c r="H364" s="14">
        <v>45777</v>
      </c>
      <c r="I364">
        <v>658.29</v>
      </c>
      <c r="J364">
        <v>728.12</v>
      </c>
      <c r="K364">
        <v>110.61</v>
      </c>
      <c r="L364">
        <v>245</v>
      </c>
      <c r="M364" s="13" t="s">
        <v>3366</v>
      </c>
    </row>
    <row r="365" spans="1:13" x14ac:dyDescent="0.35">
      <c r="A365" s="13" t="s">
        <v>3743</v>
      </c>
      <c r="B365" s="13" t="s">
        <v>312</v>
      </c>
      <c r="C365" s="13" t="s">
        <v>313</v>
      </c>
      <c r="D365" s="13" t="s">
        <v>55</v>
      </c>
      <c r="E365" s="13" t="s">
        <v>52</v>
      </c>
      <c r="F365" s="13" t="s">
        <v>57</v>
      </c>
      <c r="G365" s="14">
        <v>45766</v>
      </c>
      <c r="H365" s="14">
        <v>45777</v>
      </c>
      <c r="I365">
        <v>14235.06</v>
      </c>
      <c r="J365">
        <v>15464.34</v>
      </c>
      <c r="K365">
        <v>108.64</v>
      </c>
      <c r="L365">
        <v>245</v>
      </c>
      <c r="M365" s="13" t="s">
        <v>3366</v>
      </c>
    </row>
    <row r="366" spans="1:13" x14ac:dyDescent="0.35">
      <c r="A366" s="13" t="s">
        <v>3744</v>
      </c>
      <c r="B366" s="13" t="s">
        <v>1559</v>
      </c>
      <c r="C366" s="13" t="s">
        <v>1560</v>
      </c>
      <c r="D366" s="13" t="s">
        <v>55</v>
      </c>
      <c r="E366" s="13" t="s">
        <v>104</v>
      </c>
      <c r="F366" s="13" t="s">
        <v>106</v>
      </c>
      <c r="G366" s="14">
        <v>45765</v>
      </c>
      <c r="H366" s="14">
        <v>45777</v>
      </c>
      <c r="I366">
        <v>7755.06</v>
      </c>
      <c r="J366">
        <v>16332.14</v>
      </c>
      <c r="K366">
        <v>210.6</v>
      </c>
      <c r="L366">
        <v>245</v>
      </c>
      <c r="M366" s="13" t="s">
        <v>3366</v>
      </c>
    </row>
    <row r="367" spans="1:13" x14ac:dyDescent="0.35">
      <c r="A367" s="13" t="s">
        <v>3745</v>
      </c>
      <c r="B367" s="13" t="s">
        <v>2622</v>
      </c>
      <c r="C367" s="13" t="s">
        <v>2623</v>
      </c>
      <c r="D367" s="13" t="s">
        <v>67</v>
      </c>
      <c r="E367" s="13" t="s">
        <v>104</v>
      </c>
      <c r="F367" s="13" t="s">
        <v>106</v>
      </c>
      <c r="G367" s="14">
        <v>45774</v>
      </c>
      <c r="H367" s="14">
        <v>45777</v>
      </c>
      <c r="I367">
        <v>793.76</v>
      </c>
      <c r="J367">
        <v>4064.11</v>
      </c>
      <c r="K367">
        <v>512.01</v>
      </c>
      <c r="L367">
        <v>245</v>
      </c>
      <c r="M367" s="13" t="s">
        <v>3366</v>
      </c>
    </row>
    <row r="368" spans="1:13" x14ac:dyDescent="0.35">
      <c r="A368" s="13" t="s">
        <v>3746</v>
      </c>
      <c r="B368" s="13" t="s">
        <v>1241</v>
      </c>
      <c r="C368" s="13" t="s">
        <v>1242</v>
      </c>
      <c r="D368" s="13" t="s">
        <v>55</v>
      </c>
      <c r="E368" s="13" t="s">
        <v>76</v>
      </c>
      <c r="F368" s="13" t="s">
        <v>94</v>
      </c>
      <c r="G368" s="14">
        <v>45766</v>
      </c>
      <c r="H368" s="14">
        <v>45777</v>
      </c>
      <c r="I368">
        <v>1757.41</v>
      </c>
      <c r="J368">
        <v>1822.16</v>
      </c>
      <c r="K368">
        <v>103.68</v>
      </c>
      <c r="L368">
        <v>245</v>
      </c>
      <c r="M368" s="13" t="s">
        <v>3366</v>
      </c>
    </row>
    <row r="369" spans="1:13" x14ac:dyDescent="0.35">
      <c r="A369" s="13" t="s">
        <v>3747</v>
      </c>
      <c r="B369" s="13" t="s">
        <v>446</v>
      </c>
      <c r="C369" s="13" t="s">
        <v>447</v>
      </c>
      <c r="D369" s="13" t="s">
        <v>67</v>
      </c>
      <c r="E369" s="13" t="s">
        <v>52</v>
      </c>
      <c r="F369" s="13" t="s">
        <v>87</v>
      </c>
      <c r="G369" s="14">
        <v>45766</v>
      </c>
      <c r="H369" s="14">
        <v>45778</v>
      </c>
      <c r="I369">
        <v>5432.16</v>
      </c>
      <c r="J369">
        <v>5901.85</v>
      </c>
      <c r="K369">
        <v>108.65</v>
      </c>
      <c r="L369">
        <v>244</v>
      </c>
      <c r="M369" s="13" t="s">
        <v>3366</v>
      </c>
    </row>
    <row r="370" spans="1:13" x14ac:dyDescent="0.35">
      <c r="A370" s="13" t="s">
        <v>3748</v>
      </c>
      <c r="B370" s="13" t="s">
        <v>375</v>
      </c>
      <c r="C370" s="13" t="s">
        <v>376</v>
      </c>
      <c r="D370" s="13" t="s">
        <v>55</v>
      </c>
      <c r="E370" s="13" t="s">
        <v>52</v>
      </c>
      <c r="F370" s="13" t="s">
        <v>57</v>
      </c>
      <c r="G370" s="14">
        <v>45767</v>
      </c>
      <c r="H370" s="14">
        <v>45778</v>
      </c>
      <c r="I370">
        <v>1359.53</v>
      </c>
      <c r="J370">
        <v>1492.85</v>
      </c>
      <c r="K370">
        <v>109.81</v>
      </c>
      <c r="L370">
        <v>244</v>
      </c>
      <c r="M370" s="13" t="s">
        <v>3366</v>
      </c>
    </row>
    <row r="371" spans="1:13" x14ac:dyDescent="0.35">
      <c r="A371" s="13" t="s">
        <v>3749</v>
      </c>
      <c r="B371" s="13" t="s">
        <v>180</v>
      </c>
      <c r="C371" s="13" t="s">
        <v>181</v>
      </c>
      <c r="D371" s="13" t="s">
        <v>55</v>
      </c>
      <c r="E371" s="13" t="s">
        <v>104</v>
      </c>
      <c r="F371" s="13" t="s">
        <v>122</v>
      </c>
      <c r="G371" s="14">
        <v>45773</v>
      </c>
      <c r="H371" s="14">
        <v>45779</v>
      </c>
      <c r="I371">
        <v>1141.0899999999999</v>
      </c>
      <c r="J371">
        <v>1221.03</v>
      </c>
      <c r="K371">
        <v>107.01</v>
      </c>
      <c r="L371">
        <v>243</v>
      </c>
      <c r="M371" s="13" t="s">
        <v>3366</v>
      </c>
    </row>
    <row r="372" spans="1:13" x14ac:dyDescent="0.35">
      <c r="A372" s="13" t="s">
        <v>3750</v>
      </c>
      <c r="B372" s="13" t="s">
        <v>1553</v>
      </c>
      <c r="C372" s="13" t="s">
        <v>1554</v>
      </c>
      <c r="D372" s="13" t="s">
        <v>55</v>
      </c>
      <c r="E372" s="13" t="s">
        <v>76</v>
      </c>
      <c r="F372" s="13" t="s">
        <v>80</v>
      </c>
      <c r="G372" s="14">
        <v>45775</v>
      </c>
      <c r="H372" s="14">
        <v>45779</v>
      </c>
      <c r="I372">
        <v>3751.31</v>
      </c>
      <c r="J372">
        <v>3860.28</v>
      </c>
      <c r="K372">
        <v>102.9</v>
      </c>
      <c r="L372">
        <v>243</v>
      </c>
      <c r="M372" s="13" t="s">
        <v>3366</v>
      </c>
    </row>
    <row r="373" spans="1:13" x14ac:dyDescent="0.35">
      <c r="A373" s="13" t="s">
        <v>3751</v>
      </c>
      <c r="B373" s="13" t="s">
        <v>625</v>
      </c>
      <c r="C373" s="13" t="s">
        <v>626</v>
      </c>
      <c r="D373" s="13" t="s">
        <v>67</v>
      </c>
      <c r="E373" s="13" t="s">
        <v>104</v>
      </c>
      <c r="F373" s="13" t="s">
        <v>106</v>
      </c>
      <c r="G373" s="14">
        <v>45774</v>
      </c>
      <c r="H373" s="14">
        <v>45779</v>
      </c>
      <c r="I373">
        <v>2456.1799999999998</v>
      </c>
      <c r="J373">
        <v>2478.14</v>
      </c>
      <c r="K373">
        <v>100.89</v>
      </c>
      <c r="L373">
        <v>243</v>
      </c>
      <c r="M373" s="13" t="s">
        <v>3366</v>
      </c>
    </row>
    <row r="374" spans="1:13" x14ac:dyDescent="0.35">
      <c r="A374" s="13" t="s">
        <v>3752</v>
      </c>
      <c r="B374" s="13" t="s">
        <v>286</v>
      </c>
      <c r="C374" s="13" t="s">
        <v>287</v>
      </c>
      <c r="D374" s="13" t="s">
        <v>92</v>
      </c>
      <c r="E374" s="13" t="s">
        <v>104</v>
      </c>
      <c r="F374" s="13" t="s">
        <v>87</v>
      </c>
      <c r="G374" s="14">
        <v>45760</v>
      </c>
      <c r="H374" s="14">
        <v>45780</v>
      </c>
      <c r="I374">
        <v>1003.55</v>
      </c>
      <c r="J374">
        <v>0</v>
      </c>
      <c r="K374">
        <v>0</v>
      </c>
      <c r="L374">
        <v>242</v>
      </c>
      <c r="M374" s="13" t="s">
        <v>3512</v>
      </c>
    </row>
    <row r="375" spans="1:13" x14ac:dyDescent="0.35">
      <c r="A375" s="13" t="s">
        <v>3753</v>
      </c>
      <c r="B375" s="13" t="s">
        <v>1288</v>
      </c>
      <c r="C375" s="13" t="s">
        <v>1289</v>
      </c>
      <c r="D375" s="13" t="s">
        <v>67</v>
      </c>
      <c r="E375" s="13" t="s">
        <v>52</v>
      </c>
      <c r="F375" s="13" t="s">
        <v>57</v>
      </c>
      <c r="G375" s="14">
        <v>45769</v>
      </c>
      <c r="H375" s="14">
        <v>45780</v>
      </c>
      <c r="I375">
        <v>2787.96</v>
      </c>
      <c r="J375">
        <v>4098.76</v>
      </c>
      <c r="K375">
        <v>147.02000000000001</v>
      </c>
      <c r="L375">
        <v>242</v>
      </c>
      <c r="M375" s="13" t="s">
        <v>3366</v>
      </c>
    </row>
    <row r="376" spans="1:13" x14ac:dyDescent="0.35">
      <c r="A376" s="13" t="s">
        <v>3754</v>
      </c>
      <c r="B376" s="13" t="s">
        <v>761</v>
      </c>
      <c r="C376" s="13" t="s">
        <v>762</v>
      </c>
      <c r="D376" s="13" t="s">
        <v>67</v>
      </c>
      <c r="E376" s="13" t="s">
        <v>52</v>
      </c>
      <c r="F376" s="13" t="s">
        <v>87</v>
      </c>
      <c r="G376" s="14">
        <v>45768</v>
      </c>
      <c r="H376" s="14">
        <v>45781</v>
      </c>
      <c r="I376">
        <v>12882.14</v>
      </c>
      <c r="J376">
        <v>29045.65</v>
      </c>
      <c r="K376">
        <v>225.47</v>
      </c>
      <c r="L376">
        <v>241</v>
      </c>
      <c r="M376" s="13" t="s">
        <v>3366</v>
      </c>
    </row>
    <row r="377" spans="1:13" x14ac:dyDescent="0.35">
      <c r="A377" s="13" t="s">
        <v>3755</v>
      </c>
      <c r="B377" s="13" t="s">
        <v>692</v>
      </c>
      <c r="C377" s="13" t="s">
        <v>693</v>
      </c>
      <c r="D377" s="13" t="s">
        <v>55</v>
      </c>
      <c r="E377" s="13" t="s">
        <v>52</v>
      </c>
      <c r="F377" s="13" t="s">
        <v>57</v>
      </c>
      <c r="G377" s="14">
        <v>45770</v>
      </c>
      <c r="H377" s="14">
        <v>45781</v>
      </c>
      <c r="I377">
        <v>1500.36</v>
      </c>
      <c r="J377">
        <v>35421.72</v>
      </c>
      <c r="K377">
        <v>2360.88</v>
      </c>
      <c r="L377">
        <v>241</v>
      </c>
      <c r="M377" s="13" t="s">
        <v>3366</v>
      </c>
    </row>
    <row r="378" spans="1:13" x14ac:dyDescent="0.35">
      <c r="A378" s="13" t="s">
        <v>3756</v>
      </c>
      <c r="B378" s="13" t="s">
        <v>692</v>
      </c>
      <c r="C378" s="13" t="s">
        <v>693</v>
      </c>
      <c r="D378" s="13" t="s">
        <v>55</v>
      </c>
      <c r="E378" s="13" t="s">
        <v>52</v>
      </c>
      <c r="F378" s="13" t="s">
        <v>57</v>
      </c>
      <c r="G378" s="14">
        <v>45771</v>
      </c>
      <c r="H378" s="14">
        <v>45782</v>
      </c>
      <c r="I378">
        <v>15600.46</v>
      </c>
      <c r="J378">
        <v>35421.72</v>
      </c>
      <c r="K378">
        <v>227.06</v>
      </c>
      <c r="L378">
        <v>240</v>
      </c>
      <c r="M378" s="13" t="s">
        <v>3366</v>
      </c>
    </row>
    <row r="379" spans="1:13" x14ac:dyDescent="0.35">
      <c r="A379" s="13" t="s">
        <v>3757</v>
      </c>
      <c r="B379" s="13" t="s">
        <v>241</v>
      </c>
      <c r="C379" s="13" t="s">
        <v>242</v>
      </c>
      <c r="D379" s="13" t="s">
        <v>67</v>
      </c>
      <c r="E379" s="13" t="s">
        <v>76</v>
      </c>
      <c r="F379" s="13" t="s">
        <v>94</v>
      </c>
      <c r="G379" s="14">
        <v>45777</v>
      </c>
      <c r="H379" s="14">
        <v>45782</v>
      </c>
      <c r="I379">
        <v>3145.19</v>
      </c>
      <c r="J379">
        <v>3229.46</v>
      </c>
      <c r="K379">
        <v>102.68</v>
      </c>
      <c r="L379">
        <v>240</v>
      </c>
      <c r="M379" s="13" t="s">
        <v>3366</v>
      </c>
    </row>
    <row r="380" spans="1:13" x14ac:dyDescent="0.35">
      <c r="A380" s="13" t="s">
        <v>3758</v>
      </c>
      <c r="B380" s="13" t="s">
        <v>2193</v>
      </c>
      <c r="C380" s="13" t="s">
        <v>2194</v>
      </c>
      <c r="D380" s="13" t="s">
        <v>55</v>
      </c>
      <c r="E380" s="13" t="s">
        <v>104</v>
      </c>
      <c r="F380" s="13" t="s">
        <v>122</v>
      </c>
      <c r="G380" s="14">
        <v>45769</v>
      </c>
      <c r="H380" s="14">
        <v>45782</v>
      </c>
      <c r="I380">
        <v>4333.42</v>
      </c>
      <c r="J380">
        <v>5266.67</v>
      </c>
      <c r="K380">
        <v>121.54</v>
      </c>
      <c r="L380">
        <v>240</v>
      </c>
      <c r="M380" s="13" t="s">
        <v>3366</v>
      </c>
    </row>
    <row r="381" spans="1:13" x14ac:dyDescent="0.35">
      <c r="A381" s="13" t="s">
        <v>3759</v>
      </c>
      <c r="B381" s="13" t="s">
        <v>2312</v>
      </c>
      <c r="C381" s="13" t="s">
        <v>2313</v>
      </c>
      <c r="D381" s="13" t="s">
        <v>67</v>
      </c>
      <c r="E381" s="13" t="s">
        <v>76</v>
      </c>
      <c r="F381" s="13" t="s">
        <v>80</v>
      </c>
      <c r="G381" s="14">
        <v>45779</v>
      </c>
      <c r="H381" s="14">
        <v>45782</v>
      </c>
      <c r="I381">
        <v>591.29999999999995</v>
      </c>
      <c r="J381">
        <v>600.61</v>
      </c>
      <c r="K381">
        <v>101.57</v>
      </c>
      <c r="L381">
        <v>240</v>
      </c>
      <c r="M381" s="13" t="s">
        <v>3366</v>
      </c>
    </row>
    <row r="382" spans="1:13" x14ac:dyDescent="0.35">
      <c r="A382" s="13" t="s">
        <v>3760</v>
      </c>
      <c r="B382" s="13" t="s">
        <v>309</v>
      </c>
      <c r="C382" s="13" t="s">
        <v>310</v>
      </c>
      <c r="D382" s="13" t="s">
        <v>67</v>
      </c>
      <c r="E382" s="13" t="s">
        <v>104</v>
      </c>
      <c r="F382" s="13" t="s">
        <v>122</v>
      </c>
      <c r="G382" s="14">
        <v>45770</v>
      </c>
      <c r="H382" s="14">
        <v>45782</v>
      </c>
      <c r="I382">
        <v>7754.12</v>
      </c>
      <c r="J382">
        <v>8238.89</v>
      </c>
      <c r="K382">
        <v>106.25</v>
      </c>
      <c r="L382">
        <v>240</v>
      </c>
      <c r="M382" s="13" t="s">
        <v>3366</v>
      </c>
    </row>
    <row r="383" spans="1:13" x14ac:dyDescent="0.35">
      <c r="A383" s="13" t="s">
        <v>3761</v>
      </c>
      <c r="B383" s="13" t="s">
        <v>2387</v>
      </c>
      <c r="C383" s="13" t="s">
        <v>2388</v>
      </c>
      <c r="D383" s="13" t="s">
        <v>55</v>
      </c>
      <c r="E383" s="13" t="s">
        <v>104</v>
      </c>
      <c r="F383" s="13" t="s">
        <v>87</v>
      </c>
      <c r="G383" s="14">
        <v>45776</v>
      </c>
      <c r="H383" s="14">
        <v>45782</v>
      </c>
      <c r="I383">
        <v>752.43</v>
      </c>
      <c r="J383">
        <v>809.33</v>
      </c>
      <c r="K383">
        <v>107.56</v>
      </c>
      <c r="L383">
        <v>240</v>
      </c>
      <c r="M383" s="13" t="s">
        <v>3366</v>
      </c>
    </row>
    <row r="384" spans="1:13" x14ac:dyDescent="0.35">
      <c r="A384" s="13" t="s">
        <v>3762</v>
      </c>
      <c r="B384" s="13" t="s">
        <v>719</v>
      </c>
      <c r="C384" s="13" t="s">
        <v>720</v>
      </c>
      <c r="D384" s="13" t="s">
        <v>67</v>
      </c>
      <c r="E384" s="13" t="s">
        <v>126</v>
      </c>
      <c r="F384" s="13" t="s">
        <v>87</v>
      </c>
      <c r="G384" s="14">
        <v>45777</v>
      </c>
      <c r="H384" s="14">
        <v>45783</v>
      </c>
      <c r="I384">
        <v>3403.5</v>
      </c>
      <c r="J384">
        <v>3500.26</v>
      </c>
      <c r="K384">
        <v>102.84</v>
      </c>
      <c r="L384">
        <v>239</v>
      </c>
      <c r="M384" s="13" t="s">
        <v>3366</v>
      </c>
    </row>
    <row r="385" spans="1:13" x14ac:dyDescent="0.35">
      <c r="A385" s="13" t="s">
        <v>3763</v>
      </c>
      <c r="B385" s="13" t="s">
        <v>2622</v>
      </c>
      <c r="C385" s="13" t="s">
        <v>2623</v>
      </c>
      <c r="D385" s="13" t="s">
        <v>67</v>
      </c>
      <c r="E385" s="13" t="s">
        <v>104</v>
      </c>
      <c r="F385" s="13" t="s">
        <v>106</v>
      </c>
      <c r="G385" s="14">
        <v>45777</v>
      </c>
      <c r="H385" s="14">
        <v>45783</v>
      </c>
      <c r="I385">
        <v>1014.17</v>
      </c>
      <c r="J385">
        <v>1345.09</v>
      </c>
      <c r="K385">
        <v>132.63</v>
      </c>
      <c r="L385">
        <v>239</v>
      </c>
      <c r="M385" s="13" t="s">
        <v>3366</v>
      </c>
    </row>
    <row r="386" spans="1:13" x14ac:dyDescent="0.35">
      <c r="A386" s="13" t="s">
        <v>3764</v>
      </c>
      <c r="B386" s="13" t="s">
        <v>1644</v>
      </c>
      <c r="C386" s="13" t="s">
        <v>1645</v>
      </c>
      <c r="D386" s="13" t="s">
        <v>55</v>
      </c>
      <c r="E386" s="13" t="s">
        <v>76</v>
      </c>
      <c r="F386" s="13" t="s">
        <v>80</v>
      </c>
      <c r="G386" s="14">
        <v>45779</v>
      </c>
      <c r="H386" s="14">
        <v>45783</v>
      </c>
      <c r="I386">
        <v>3958.63</v>
      </c>
      <c r="J386">
        <v>8843.6200000000008</v>
      </c>
      <c r="K386">
        <v>223.4</v>
      </c>
      <c r="L386">
        <v>239</v>
      </c>
      <c r="M386" s="13" t="s">
        <v>3366</v>
      </c>
    </row>
    <row r="387" spans="1:13" x14ac:dyDescent="0.35">
      <c r="A387" s="13" t="s">
        <v>3765</v>
      </c>
      <c r="B387" s="13" t="s">
        <v>375</v>
      </c>
      <c r="C387" s="13" t="s">
        <v>376</v>
      </c>
      <c r="D387" s="13" t="s">
        <v>55</v>
      </c>
      <c r="E387" s="13" t="s">
        <v>52</v>
      </c>
      <c r="F387" s="13" t="s">
        <v>57</v>
      </c>
      <c r="G387" s="14">
        <v>45770</v>
      </c>
      <c r="H387" s="14">
        <v>45783</v>
      </c>
      <c r="I387">
        <v>1516.08</v>
      </c>
      <c r="J387">
        <v>1639.75</v>
      </c>
      <c r="K387">
        <v>108.16</v>
      </c>
      <c r="L387">
        <v>239</v>
      </c>
      <c r="M387" s="13" t="s">
        <v>3366</v>
      </c>
    </row>
    <row r="388" spans="1:13" x14ac:dyDescent="0.35">
      <c r="A388" s="13" t="s">
        <v>3766</v>
      </c>
      <c r="B388" s="13" t="s">
        <v>1749</v>
      </c>
      <c r="C388" s="13" t="s">
        <v>1750</v>
      </c>
      <c r="D388" s="13" t="s">
        <v>92</v>
      </c>
      <c r="E388" s="13" t="s">
        <v>76</v>
      </c>
      <c r="F388" s="13" t="s">
        <v>94</v>
      </c>
      <c r="G388" s="14">
        <v>45769</v>
      </c>
      <c r="H388" s="14">
        <v>45783</v>
      </c>
      <c r="I388">
        <v>1787.61</v>
      </c>
      <c r="J388">
        <v>2580.81</v>
      </c>
      <c r="K388">
        <v>144.37</v>
      </c>
      <c r="L388">
        <v>239</v>
      </c>
      <c r="M388" s="13" t="s">
        <v>3366</v>
      </c>
    </row>
    <row r="389" spans="1:13" x14ac:dyDescent="0.35">
      <c r="A389" s="13" t="s">
        <v>3767</v>
      </c>
      <c r="B389" s="13" t="s">
        <v>280</v>
      </c>
      <c r="C389" s="13" t="s">
        <v>281</v>
      </c>
      <c r="D389" s="13" t="s">
        <v>92</v>
      </c>
      <c r="E389" s="13" t="s">
        <v>104</v>
      </c>
      <c r="F389" s="13" t="s">
        <v>122</v>
      </c>
      <c r="G389" s="14">
        <v>45770</v>
      </c>
      <c r="H389" s="14">
        <v>45784</v>
      </c>
      <c r="I389">
        <v>5919.83</v>
      </c>
      <c r="J389">
        <v>0</v>
      </c>
      <c r="K389">
        <v>0</v>
      </c>
      <c r="L389">
        <v>238</v>
      </c>
      <c r="M389" s="13" t="s">
        <v>3512</v>
      </c>
    </row>
    <row r="390" spans="1:13" x14ac:dyDescent="0.35">
      <c r="A390" s="13" t="s">
        <v>3768</v>
      </c>
      <c r="B390" s="13" t="s">
        <v>894</v>
      </c>
      <c r="C390" s="13" t="s">
        <v>895</v>
      </c>
      <c r="D390" s="13" t="s">
        <v>67</v>
      </c>
      <c r="E390" s="13" t="s">
        <v>104</v>
      </c>
      <c r="F390" s="13" t="s">
        <v>106</v>
      </c>
      <c r="G390" s="14">
        <v>45773</v>
      </c>
      <c r="H390" s="14">
        <v>45784</v>
      </c>
      <c r="I390">
        <v>4908.88</v>
      </c>
      <c r="J390">
        <v>7327.9</v>
      </c>
      <c r="K390">
        <v>149.28</v>
      </c>
      <c r="L390">
        <v>238</v>
      </c>
      <c r="M390" s="13" t="s">
        <v>3366</v>
      </c>
    </row>
    <row r="391" spans="1:13" x14ac:dyDescent="0.35">
      <c r="A391" s="13" t="s">
        <v>3769</v>
      </c>
      <c r="B391" s="13" t="s">
        <v>3770</v>
      </c>
      <c r="C391" s="13" t="s">
        <v>3771</v>
      </c>
      <c r="D391" s="13" t="s">
        <v>67</v>
      </c>
      <c r="E391" s="13" t="s">
        <v>104</v>
      </c>
      <c r="F391" s="13" t="s">
        <v>122</v>
      </c>
      <c r="G391" s="14">
        <v>45778</v>
      </c>
      <c r="H391" s="14">
        <v>45784</v>
      </c>
      <c r="I391">
        <v>1975.41</v>
      </c>
      <c r="J391">
        <v>3763.65</v>
      </c>
      <c r="K391">
        <v>190.53</v>
      </c>
      <c r="L391">
        <v>238</v>
      </c>
      <c r="M391" s="13" t="s">
        <v>3366</v>
      </c>
    </row>
    <row r="392" spans="1:13" x14ac:dyDescent="0.35">
      <c r="A392" s="13" t="s">
        <v>3772</v>
      </c>
      <c r="B392" s="13" t="s">
        <v>109</v>
      </c>
      <c r="C392" s="13" t="s">
        <v>110</v>
      </c>
      <c r="D392" s="13" t="s">
        <v>67</v>
      </c>
      <c r="E392" s="13" t="s">
        <v>52</v>
      </c>
      <c r="F392" s="13" t="s">
        <v>87</v>
      </c>
      <c r="G392" s="14">
        <v>45775</v>
      </c>
      <c r="H392" s="14">
        <v>45784</v>
      </c>
      <c r="I392">
        <v>1985.97</v>
      </c>
      <c r="J392">
        <v>2078.58</v>
      </c>
      <c r="K392">
        <v>104.66</v>
      </c>
      <c r="L392">
        <v>238</v>
      </c>
      <c r="M392" s="13" t="s">
        <v>3366</v>
      </c>
    </row>
    <row r="393" spans="1:13" x14ac:dyDescent="0.35">
      <c r="A393" s="13" t="s">
        <v>3773</v>
      </c>
      <c r="B393" s="13" t="s">
        <v>225</v>
      </c>
      <c r="C393" s="13" t="s">
        <v>226</v>
      </c>
      <c r="D393" s="13" t="s">
        <v>55</v>
      </c>
      <c r="E393" s="13" t="s">
        <v>52</v>
      </c>
      <c r="F393" s="13" t="s">
        <v>57</v>
      </c>
      <c r="G393" s="14">
        <v>45775</v>
      </c>
      <c r="H393" s="14">
        <v>45785</v>
      </c>
      <c r="I393">
        <v>3062.72</v>
      </c>
      <c r="J393">
        <v>5919.68</v>
      </c>
      <c r="K393">
        <v>193.28</v>
      </c>
      <c r="L393">
        <v>237</v>
      </c>
      <c r="M393" s="13" t="s">
        <v>3366</v>
      </c>
    </row>
    <row r="394" spans="1:13" x14ac:dyDescent="0.35">
      <c r="A394" s="13" t="s">
        <v>3774</v>
      </c>
      <c r="B394" s="13" t="s">
        <v>726</v>
      </c>
      <c r="C394" s="13" t="s">
        <v>727</v>
      </c>
      <c r="D394" s="13" t="s">
        <v>55</v>
      </c>
      <c r="E394" s="13" t="s">
        <v>104</v>
      </c>
      <c r="F394" s="13" t="s">
        <v>106</v>
      </c>
      <c r="G394" s="14">
        <v>45774</v>
      </c>
      <c r="H394" s="14">
        <v>45785</v>
      </c>
      <c r="I394">
        <v>796.93</v>
      </c>
      <c r="J394">
        <v>803.12</v>
      </c>
      <c r="K394">
        <v>100.78</v>
      </c>
      <c r="L394">
        <v>237</v>
      </c>
      <c r="M394" s="13" t="s">
        <v>3366</v>
      </c>
    </row>
    <row r="395" spans="1:13" x14ac:dyDescent="0.35">
      <c r="A395" s="13" t="s">
        <v>3775</v>
      </c>
      <c r="B395" s="13" t="s">
        <v>1220</v>
      </c>
      <c r="C395" s="13" t="s">
        <v>1221</v>
      </c>
      <c r="D395" s="13" t="s">
        <v>67</v>
      </c>
      <c r="E395" s="13" t="s">
        <v>52</v>
      </c>
      <c r="F395" s="13" t="s">
        <v>87</v>
      </c>
      <c r="G395" s="14">
        <v>45776</v>
      </c>
      <c r="H395" s="14">
        <v>45785</v>
      </c>
      <c r="I395">
        <v>704.44</v>
      </c>
      <c r="J395">
        <v>10598.77</v>
      </c>
      <c r="K395">
        <v>1504.57</v>
      </c>
      <c r="L395">
        <v>237</v>
      </c>
      <c r="M395" s="13" t="s">
        <v>3366</v>
      </c>
    </row>
    <row r="396" spans="1:13" x14ac:dyDescent="0.35">
      <c r="A396" s="13" t="s">
        <v>3776</v>
      </c>
      <c r="B396" s="13" t="s">
        <v>1223</v>
      </c>
      <c r="C396" s="13" t="s">
        <v>1224</v>
      </c>
      <c r="D396" s="13" t="s">
        <v>67</v>
      </c>
      <c r="E396" s="13" t="s">
        <v>52</v>
      </c>
      <c r="F396" s="13" t="s">
        <v>87</v>
      </c>
      <c r="G396" s="14">
        <v>45777</v>
      </c>
      <c r="H396" s="14">
        <v>45785</v>
      </c>
      <c r="I396">
        <v>3817.31</v>
      </c>
      <c r="J396">
        <v>4084.63</v>
      </c>
      <c r="K396">
        <v>107</v>
      </c>
      <c r="L396">
        <v>237</v>
      </c>
      <c r="M396" s="13" t="s">
        <v>3366</v>
      </c>
    </row>
    <row r="397" spans="1:13" x14ac:dyDescent="0.35">
      <c r="A397" s="13" t="s">
        <v>3777</v>
      </c>
      <c r="B397" s="13" t="s">
        <v>1493</v>
      </c>
      <c r="C397" s="13" t="s">
        <v>1494</v>
      </c>
      <c r="D397" s="13" t="s">
        <v>55</v>
      </c>
      <c r="E397" s="13" t="s">
        <v>52</v>
      </c>
      <c r="F397" s="13" t="s">
        <v>87</v>
      </c>
      <c r="G397" s="14">
        <v>45777</v>
      </c>
      <c r="H397" s="14">
        <v>45786</v>
      </c>
      <c r="I397">
        <v>16460.3</v>
      </c>
      <c r="J397">
        <v>20871.150000000001</v>
      </c>
      <c r="K397">
        <v>126.8</v>
      </c>
      <c r="L397">
        <v>236</v>
      </c>
      <c r="M397" s="13" t="s">
        <v>3366</v>
      </c>
    </row>
    <row r="398" spans="1:13" x14ac:dyDescent="0.35">
      <c r="A398" s="13" t="s">
        <v>3778</v>
      </c>
      <c r="B398" s="13" t="s">
        <v>949</v>
      </c>
      <c r="C398" s="13" t="s">
        <v>950</v>
      </c>
      <c r="D398" s="13" t="s">
        <v>67</v>
      </c>
      <c r="E398" s="13" t="s">
        <v>52</v>
      </c>
      <c r="F398" s="13" t="s">
        <v>57</v>
      </c>
      <c r="G398" s="14">
        <v>45773</v>
      </c>
      <c r="H398" s="14">
        <v>45786</v>
      </c>
      <c r="I398">
        <v>11899.47</v>
      </c>
      <c r="J398">
        <v>29362.13</v>
      </c>
      <c r="K398">
        <v>246.75</v>
      </c>
      <c r="L398">
        <v>236</v>
      </c>
      <c r="M398" s="13" t="s">
        <v>3366</v>
      </c>
    </row>
    <row r="399" spans="1:13" x14ac:dyDescent="0.35">
      <c r="A399" s="13" t="s">
        <v>3779</v>
      </c>
      <c r="B399" s="13" t="s">
        <v>902</v>
      </c>
      <c r="C399" s="13" t="s">
        <v>903</v>
      </c>
      <c r="D399" s="13" t="s">
        <v>67</v>
      </c>
      <c r="E399" s="13" t="s">
        <v>52</v>
      </c>
      <c r="F399" s="13" t="s">
        <v>57</v>
      </c>
      <c r="G399" s="14">
        <v>45783</v>
      </c>
      <c r="H399" s="14">
        <v>45787</v>
      </c>
      <c r="I399">
        <v>990.82</v>
      </c>
      <c r="J399">
        <v>14596.69</v>
      </c>
      <c r="K399">
        <v>1473.19</v>
      </c>
      <c r="L399">
        <v>235</v>
      </c>
      <c r="M399" s="13" t="s">
        <v>3366</v>
      </c>
    </row>
    <row r="400" spans="1:13" x14ac:dyDescent="0.35">
      <c r="A400" s="13" t="s">
        <v>3780</v>
      </c>
      <c r="B400" s="13" t="s">
        <v>695</v>
      </c>
      <c r="C400" s="13" t="s">
        <v>696</v>
      </c>
      <c r="D400" s="13" t="s">
        <v>92</v>
      </c>
      <c r="E400" s="13" t="s">
        <v>52</v>
      </c>
      <c r="F400" s="13" t="s">
        <v>57</v>
      </c>
      <c r="G400" s="14">
        <v>45781</v>
      </c>
      <c r="H400" s="14">
        <v>45787</v>
      </c>
      <c r="I400">
        <v>15277.94</v>
      </c>
      <c r="J400">
        <v>19363.830000000002</v>
      </c>
      <c r="K400">
        <v>126.74</v>
      </c>
      <c r="L400">
        <v>235</v>
      </c>
      <c r="M400" s="13" t="s">
        <v>3366</v>
      </c>
    </row>
    <row r="401" spans="1:13" x14ac:dyDescent="0.35">
      <c r="A401" s="13" t="s">
        <v>3781</v>
      </c>
      <c r="B401" s="13" t="s">
        <v>290</v>
      </c>
      <c r="C401" s="13" t="s">
        <v>291</v>
      </c>
      <c r="D401" s="13" t="s">
        <v>92</v>
      </c>
      <c r="E401" s="13" t="s">
        <v>104</v>
      </c>
      <c r="F401" s="13" t="s">
        <v>122</v>
      </c>
      <c r="G401" s="14">
        <v>45766</v>
      </c>
      <c r="H401" s="14">
        <v>45787</v>
      </c>
      <c r="I401">
        <v>2448.44</v>
      </c>
      <c r="J401">
        <v>0</v>
      </c>
      <c r="K401">
        <v>0</v>
      </c>
      <c r="L401">
        <v>235</v>
      </c>
      <c r="M401" s="13" t="s">
        <v>3512</v>
      </c>
    </row>
    <row r="402" spans="1:13" x14ac:dyDescent="0.35">
      <c r="A402" s="13" t="s">
        <v>3782</v>
      </c>
      <c r="B402" s="13" t="s">
        <v>2524</v>
      </c>
      <c r="C402" s="13" t="s">
        <v>2525</v>
      </c>
      <c r="D402" s="13" t="s">
        <v>67</v>
      </c>
      <c r="E402" s="13" t="s">
        <v>104</v>
      </c>
      <c r="F402" s="13" t="s">
        <v>122</v>
      </c>
      <c r="G402" s="14">
        <v>45775</v>
      </c>
      <c r="H402" s="14">
        <v>45787</v>
      </c>
      <c r="I402">
        <v>4480.76</v>
      </c>
      <c r="J402">
        <v>21373.86</v>
      </c>
      <c r="K402">
        <v>477.01</v>
      </c>
      <c r="L402">
        <v>235</v>
      </c>
      <c r="M402" s="13" t="s">
        <v>3366</v>
      </c>
    </row>
    <row r="403" spans="1:13" x14ac:dyDescent="0.35">
      <c r="A403" s="13" t="s">
        <v>3783</v>
      </c>
      <c r="B403" s="13" t="s">
        <v>1115</v>
      </c>
      <c r="C403" s="13" t="s">
        <v>1116</v>
      </c>
      <c r="D403" s="13" t="s">
        <v>92</v>
      </c>
      <c r="E403" s="13" t="s">
        <v>52</v>
      </c>
      <c r="F403" s="13" t="s">
        <v>57</v>
      </c>
      <c r="G403" s="14">
        <v>45775</v>
      </c>
      <c r="H403" s="14">
        <v>45788</v>
      </c>
      <c r="I403">
        <v>9559.43</v>
      </c>
      <c r="J403">
        <v>0</v>
      </c>
      <c r="K403">
        <v>0</v>
      </c>
      <c r="L403">
        <v>234</v>
      </c>
      <c r="M403" s="13" t="s">
        <v>3512</v>
      </c>
    </row>
    <row r="404" spans="1:13" x14ac:dyDescent="0.35">
      <c r="A404" s="13" t="s">
        <v>3784</v>
      </c>
      <c r="B404" s="13" t="s">
        <v>156</v>
      </c>
      <c r="C404" s="13" t="s">
        <v>157</v>
      </c>
      <c r="D404" s="13" t="s">
        <v>92</v>
      </c>
      <c r="E404" s="13" t="s">
        <v>52</v>
      </c>
      <c r="F404" s="13" t="s">
        <v>57</v>
      </c>
      <c r="G404" s="14">
        <v>45779</v>
      </c>
      <c r="H404" s="14">
        <v>45788</v>
      </c>
      <c r="I404">
        <v>3836.49</v>
      </c>
      <c r="J404">
        <v>17636.14</v>
      </c>
      <c r="K404">
        <v>459.69</v>
      </c>
      <c r="L404">
        <v>234</v>
      </c>
      <c r="M404" s="13" t="s">
        <v>3366</v>
      </c>
    </row>
    <row r="405" spans="1:13" x14ac:dyDescent="0.35">
      <c r="A405" s="13" t="s">
        <v>3785</v>
      </c>
      <c r="B405" s="13" t="s">
        <v>862</v>
      </c>
      <c r="C405" s="13" t="s">
        <v>863</v>
      </c>
      <c r="D405" s="13" t="s">
        <v>67</v>
      </c>
      <c r="E405" s="13" t="s">
        <v>126</v>
      </c>
      <c r="F405" s="13" t="s">
        <v>106</v>
      </c>
      <c r="G405" s="14">
        <v>45779</v>
      </c>
      <c r="H405" s="14">
        <v>45788</v>
      </c>
      <c r="I405">
        <v>3623.18</v>
      </c>
      <c r="J405">
        <v>3868.73</v>
      </c>
      <c r="K405">
        <v>106.78</v>
      </c>
      <c r="L405">
        <v>234</v>
      </c>
      <c r="M405" s="13" t="s">
        <v>3366</v>
      </c>
    </row>
    <row r="406" spans="1:13" x14ac:dyDescent="0.35">
      <c r="A406" s="13" t="s">
        <v>3786</v>
      </c>
      <c r="B406" s="13" t="s">
        <v>2043</v>
      </c>
      <c r="C406" s="13" t="s">
        <v>2044</v>
      </c>
      <c r="D406" s="13" t="s">
        <v>55</v>
      </c>
      <c r="E406" s="13" t="s">
        <v>76</v>
      </c>
      <c r="F406" s="13" t="s">
        <v>94</v>
      </c>
      <c r="G406" s="14">
        <v>45784</v>
      </c>
      <c r="H406" s="14">
        <v>45789</v>
      </c>
      <c r="I406">
        <v>2596.37</v>
      </c>
      <c r="J406">
        <v>4715.45</v>
      </c>
      <c r="K406">
        <v>181.62</v>
      </c>
      <c r="L406">
        <v>233</v>
      </c>
      <c r="M406" s="13" t="s">
        <v>3366</v>
      </c>
    </row>
    <row r="407" spans="1:13" x14ac:dyDescent="0.35">
      <c r="A407" s="13" t="s">
        <v>3787</v>
      </c>
      <c r="B407" s="13" t="s">
        <v>225</v>
      </c>
      <c r="C407" s="13" t="s">
        <v>226</v>
      </c>
      <c r="D407" s="13" t="s">
        <v>55</v>
      </c>
      <c r="E407" s="13" t="s">
        <v>52</v>
      </c>
      <c r="F407" s="13" t="s">
        <v>57</v>
      </c>
      <c r="G407" s="14">
        <v>45766</v>
      </c>
      <c r="H407" s="14">
        <v>45789</v>
      </c>
      <c r="I407">
        <v>2476.2399999999998</v>
      </c>
      <c r="J407">
        <v>0</v>
      </c>
      <c r="K407">
        <v>0</v>
      </c>
      <c r="L407">
        <v>233</v>
      </c>
      <c r="M407" s="13" t="s">
        <v>3512</v>
      </c>
    </row>
    <row r="408" spans="1:13" x14ac:dyDescent="0.35">
      <c r="A408" s="13" t="s">
        <v>3788</v>
      </c>
      <c r="B408" s="13" t="s">
        <v>393</v>
      </c>
      <c r="C408" s="13" t="s">
        <v>394</v>
      </c>
      <c r="D408" s="13" t="s">
        <v>55</v>
      </c>
      <c r="E408" s="13" t="s">
        <v>76</v>
      </c>
      <c r="F408" s="13" t="s">
        <v>94</v>
      </c>
      <c r="G408" s="14">
        <v>45781</v>
      </c>
      <c r="H408" s="14">
        <v>45789</v>
      </c>
      <c r="I408">
        <v>811.99</v>
      </c>
      <c r="J408">
        <v>3705.35</v>
      </c>
      <c r="K408">
        <v>456.33</v>
      </c>
      <c r="L408">
        <v>233</v>
      </c>
      <c r="M408" s="13" t="s">
        <v>3366</v>
      </c>
    </row>
    <row r="409" spans="1:13" x14ac:dyDescent="0.35">
      <c r="A409" s="13" t="s">
        <v>3789</v>
      </c>
      <c r="B409" s="13" t="s">
        <v>3443</v>
      </c>
      <c r="C409" s="13" t="s">
        <v>3444</v>
      </c>
      <c r="D409" s="13" t="s">
        <v>55</v>
      </c>
      <c r="E409" s="13" t="s">
        <v>104</v>
      </c>
      <c r="F409" s="13" t="s">
        <v>106</v>
      </c>
      <c r="G409" s="14">
        <v>45783</v>
      </c>
      <c r="H409" s="14">
        <v>45790</v>
      </c>
      <c r="I409">
        <v>763.7</v>
      </c>
      <c r="J409">
        <v>8222.17</v>
      </c>
      <c r="K409">
        <v>1076.6199999999999</v>
      </c>
      <c r="L409">
        <v>232</v>
      </c>
      <c r="M409" s="13" t="s">
        <v>3366</v>
      </c>
    </row>
    <row r="410" spans="1:13" x14ac:dyDescent="0.35">
      <c r="A410" s="13" t="s">
        <v>3790</v>
      </c>
      <c r="B410" s="13" t="s">
        <v>994</v>
      </c>
      <c r="C410" s="13" t="s">
        <v>995</v>
      </c>
      <c r="D410" s="13" t="s">
        <v>67</v>
      </c>
      <c r="E410" s="13" t="s">
        <v>52</v>
      </c>
      <c r="F410" s="13" t="s">
        <v>87</v>
      </c>
      <c r="G410" s="14">
        <v>45780</v>
      </c>
      <c r="H410" s="14">
        <v>45790</v>
      </c>
      <c r="I410">
        <v>1743.6</v>
      </c>
      <c r="J410">
        <v>4795.3599999999997</v>
      </c>
      <c r="K410">
        <v>275.02999999999997</v>
      </c>
      <c r="L410">
        <v>232</v>
      </c>
      <c r="M410" s="13" t="s">
        <v>3366</v>
      </c>
    </row>
    <row r="411" spans="1:13" x14ac:dyDescent="0.35">
      <c r="A411" s="13" t="s">
        <v>3791</v>
      </c>
      <c r="B411" s="13" t="s">
        <v>1001</v>
      </c>
      <c r="C411" s="13" t="s">
        <v>1002</v>
      </c>
      <c r="D411" s="13" t="s">
        <v>55</v>
      </c>
      <c r="E411" s="13" t="s">
        <v>76</v>
      </c>
      <c r="F411" s="13" t="s">
        <v>94</v>
      </c>
      <c r="G411" s="14">
        <v>45783</v>
      </c>
      <c r="H411" s="14">
        <v>45791</v>
      </c>
      <c r="I411">
        <v>2164.6799999999998</v>
      </c>
      <c r="J411">
        <v>3955.85</v>
      </c>
      <c r="K411">
        <v>182.75</v>
      </c>
      <c r="L411">
        <v>231</v>
      </c>
      <c r="M411" s="13" t="s">
        <v>3366</v>
      </c>
    </row>
    <row r="412" spans="1:13" x14ac:dyDescent="0.35">
      <c r="A412" s="13" t="s">
        <v>3792</v>
      </c>
      <c r="B412" s="13" t="s">
        <v>695</v>
      </c>
      <c r="C412" s="13" t="s">
        <v>696</v>
      </c>
      <c r="D412" s="13" t="s">
        <v>92</v>
      </c>
      <c r="E412" s="13" t="s">
        <v>52</v>
      </c>
      <c r="F412" s="13" t="s">
        <v>57</v>
      </c>
      <c r="G412" s="14">
        <v>45768</v>
      </c>
      <c r="H412" s="14">
        <v>45791</v>
      </c>
      <c r="I412">
        <v>3894.26</v>
      </c>
      <c r="J412">
        <v>903.77</v>
      </c>
      <c r="K412">
        <v>23.21</v>
      </c>
      <c r="L412">
        <v>231</v>
      </c>
      <c r="M412" s="13" t="s">
        <v>3512</v>
      </c>
    </row>
    <row r="413" spans="1:13" x14ac:dyDescent="0.35">
      <c r="A413" s="13" t="s">
        <v>3793</v>
      </c>
      <c r="B413" s="13" t="s">
        <v>1414</v>
      </c>
      <c r="C413" s="13" t="s">
        <v>1415</v>
      </c>
      <c r="D413" s="13" t="s">
        <v>55</v>
      </c>
      <c r="E413" s="13" t="s">
        <v>104</v>
      </c>
      <c r="F413" s="13" t="s">
        <v>122</v>
      </c>
      <c r="G413" s="14">
        <v>45787</v>
      </c>
      <c r="H413" s="14">
        <v>45791</v>
      </c>
      <c r="I413">
        <v>1276.8599999999999</v>
      </c>
      <c r="J413">
        <v>1402.18</v>
      </c>
      <c r="K413">
        <v>109.81</v>
      </c>
      <c r="L413">
        <v>231</v>
      </c>
      <c r="M413" s="13" t="s">
        <v>3366</v>
      </c>
    </row>
    <row r="414" spans="1:13" x14ac:dyDescent="0.35">
      <c r="A414" s="13" t="s">
        <v>3794</v>
      </c>
      <c r="B414" s="13" t="s">
        <v>1015</v>
      </c>
      <c r="C414" s="13" t="s">
        <v>1016</v>
      </c>
      <c r="D414" s="13" t="s">
        <v>55</v>
      </c>
      <c r="E414" s="13" t="s">
        <v>52</v>
      </c>
      <c r="F414" s="13" t="s">
        <v>57</v>
      </c>
      <c r="G414" s="14">
        <v>45785</v>
      </c>
      <c r="H414" s="14">
        <v>45792</v>
      </c>
      <c r="I414">
        <v>4163.34</v>
      </c>
      <c r="J414">
        <v>6134.38</v>
      </c>
      <c r="K414">
        <v>147.34</v>
      </c>
      <c r="L414">
        <v>230</v>
      </c>
      <c r="M414" s="13" t="s">
        <v>3366</v>
      </c>
    </row>
    <row r="415" spans="1:13" x14ac:dyDescent="0.35">
      <c r="A415" s="13" t="s">
        <v>3795</v>
      </c>
      <c r="B415" s="13" t="s">
        <v>286</v>
      </c>
      <c r="C415" s="13" t="s">
        <v>287</v>
      </c>
      <c r="D415" s="13" t="s">
        <v>92</v>
      </c>
      <c r="E415" s="13" t="s">
        <v>104</v>
      </c>
      <c r="F415" s="13" t="s">
        <v>87</v>
      </c>
      <c r="G415" s="14">
        <v>45780</v>
      </c>
      <c r="H415" s="14">
        <v>45792</v>
      </c>
      <c r="I415">
        <v>723.05</v>
      </c>
      <c r="J415">
        <v>0</v>
      </c>
      <c r="K415">
        <v>0</v>
      </c>
      <c r="L415">
        <v>230</v>
      </c>
      <c r="M415" s="13" t="s">
        <v>3512</v>
      </c>
    </row>
    <row r="416" spans="1:13" x14ac:dyDescent="0.35">
      <c r="A416" s="13" t="s">
        <v>3796</v>
      </c>
      <c r="B416" s="13" t="s">
        <v>478</v>
      </c>
      <c r="C416" s="13" t="s">
        <v>479</v>
      </c>
      <c r="D416" s="13" t="s">
        <v>55</v>
      </c>
      <c r="E416" s="13" t="s">
        <v>52</v>
      </c>
      <c r="F416" s="13" t="s">
        <v>87</v>
      </c>
      <c r="G416" s="14">
        <v>45780</v>
      </c>
      <c r="H416" s="14">
        <v>45793</v>
      </c>
      <c r="I416">
        <v>3407.38</v>
      </c>
      <c r="J416">
        <v>3601.79</v>
      </c>
      <c r="K416">
        <v>105.71</v>
      </c>
      <c r="L416">
        <v>229</v>
      </c>
      <c r="M416" s="13" t="s">
        <v>3366</v>
      </c>
    </row>
    <row r="417" spans="1:13" x14ac:dyDescent="0.35">
      <c r="A417" s="13" t="s">
        <v>3797</v>
      </c>
      <c r="B417" s="13" t="s">
        <v>300</v>
      </c>
      <c r="C417" s="13" t="s">
        <v>301</v>
      </c>
      <c r="D417" s="13" t="s">
        <v>92</v>
      </c>
      <c r="E417" s="13" t="s">
        <v>104</v>
      </c>
      <c r="F417" s="13" t="s">
        <v>106</v>
      </c>
      <c r="G417" s="14">
        <v>45770</v>
      </c>
      <c r="H417" s="14">
        <v>45793</v>
      </c>
      <c r="I417">
        <v>3930.66</v>
      </c>
      <c r="J417">
        <v>0</v>
      </c>
      <c r="K417">
        <v>0</v>
      </c>
      <c r="L417">
        <v>229</v>
      </c>
      <c r="M417" s="13" t="s">
        <v>3512</v>
      </c>
    </row>
    <row r="418" spans="1:13" x14ac:dyDescent="0.35">
      <c r="A418" s="13" t="s">
        <v>3798</v>
      </c>
      <c r="B418" s="13" t="s">
        <v>1703</v>
      </c>
      <c r="C418" s="13" t="s">
        <v>1704</v>
      </c>
      <c r="D418" s="13" t="s">
        <v>55</v>
      </c>
      <c r="E418" s="13" t="s">
        <v>76</v>
      </c>
      <c r="F418" s="13" t="s">
        <v>94</v>
      </c>
      <c r="G418" s="14">
        <v>45786</v>
      </c>
      <c r="H418" s="14">
        <v>45794</v>
      </c>
      <c r="I418">
        <v>4735.5</v>
      </c>
      <c r="J418">
        <v>4863.55</v>
      </c>
      <c r="K418">
        <v>102.7</v>
      </c>
      <c r="L418">
        <v>228</v>
      </c>
      <c r="M418" s="13" t="s">
        <v>3366</v>
      </c>
    </row>
    <row r="419" spans="1:13" x14ac:dyDescent="0.35">
      <c r="A419" s="13" t="s">
        <v>3799</v>
      </c>
      <c r="B419" s="13" t="s">
        <v>1241</v>
      </c>
      <c r="C419" s="13" t="s">
        <v>1242</v>
      </c>
      <c r="D419" s="13" t="s">
        <v>55</v>
      </c>
      <c r="E419" s="13" t="s">
        <v>76</v>
      </c>
      <c r="F419" s="13" t="s">
        <v>94</v>
      </c>
      <c r="G419" s="14">
        <v>45789</v>
      </c>
      <c r="H419" s="14">
        <v>45795</v>
      </c>
      <c r="I419">
        <v>1374.3</v>
      </c>
      <c r="J419">
        <v>1456.55</v>
      </c>
      <c r="K419">
        <v>105.98</v>
      </c>
      <c r="L419">
        <v>227</v>
      </c>
      <c r="M419" s="13" t="s">
        <v>3366</v>
      </c>
    </row>
    <row r="420" spans="1:13" x14ac:dyDescent="0.35">
      <c r="A420" s="13" t="s">
        <v>3800</v>
      </c>
      <c r="B420" s="13" t="s">
        <v>1766</v>
      </c>
      <c r="C420" s="13" t="s">
        <v>1767</v>
      </c>
      <c r="D420" s="13" t="s">
        <v>67</v>
      </c>
      <c r="E420" s="13" t="s">
        <v>52</v>
      </c>
      <c r="F420" s="13" t="s">
        <v>57</v>
      </c>
      <c r="G420" s="14">
        <v>45785</v>
      </c>
      <c r="H420" s="14">
        <v>45795</v>
      </c>
      <c r="I420">
        <v>4780.3900000000003</v>
      </c>
      <c r="J420">
        <v>10645.36</v>
      </c>
      <c r="K420">
        <v>222.69</v>
      </c>
      <c r="L420">
        <v>227</v>
      </c>
      <c r="M420" s="13" t="s">
        <v>3366</v>
      </c>
    </row>
    <row r="421" spans="1:13" x14ac:dyDescent="0.35">
      <c r="A421" s="13" t="s">
        <v>3801</v>
      </c>
      <c r="B421" s="13" t="s">
        <v>914</v>
      </c>
      <c r="C421" s="13" t="s">
        <v>915</v>
      </c>
      <c r="D421" s="13" t="s">
        <v>55</v>
      </c>
      <c r="E421" s="13" t="s">
        <v>76</v>
      </c>
      <c r="F421" s="13" t="s">
        <v>94</v>
      </c>
      <c r="G421" s="14">
        <v>45787</v>
      </c>
      <c r="H421" s="14">
        <v>45795</v>
      </c>
      <c r="I421">
        <v>4006.55</v>
      </c>
      <c r="J421">
        <v>5671.53</v>
      </c>
      <c r="K421">
        <v>141.56</v>
      </c>
      <c r="L421">
        <v>227</v>
      </c>
      <c r="M421" s="13" t="s">
        <v>3366</v>
      </c>
    </row>
    <row r="422" spans="1:13" x14ac:dyDescent="0.35">
      <c r="A422" s="13" t="s">
        <v>3802</v>
      </c>
      <c r="B422" s="13" t="s">
        <v>340</v>
      </c>
      <c r="C422" s="13" t="s">
        <v>341</v>
      </c>
      <c r="D422" s="13" t="s">
        <v>92</v>
      </c>
      <c r="E422" s="13" t="s">
        <v>52</v>
      </c>
      <c r="F422" s="13" t="s">
        <v>57</v>
      </c>
      <c r="G422" s="14">
        <v>45785</v>
      </c>
      <c r="H422" s="14">
        <v>45795</v>
      </c>
      <c r="I422">
        <v>3048.69</v>
      </c>
      <c r="J422">
        <v>8761.25</v>
      </c>
      <c r="K422">
        <v>287.38</v>
      </c>
      <c r="L422">
        <v>227</v>
      </c>
      <c r="M422" s="13" t="s">
        <v>3366</v>
      </c>
    </row>
    <row r="423" spans="1:13" x14ac:dyDescent="0.35">
      <c r="A423" s="13" t="s">
        <v>3803</v>
      </c>
      <c r="B423" s="13" t="s">
        <v>113</v>
      </c>
      <c r="C423" s="13" t="s">
        <v>114</v>
      </c>
      <c r="D423" s="13" t="s">
        <v>92</v>
      </c>
      <c r="E423" s="13" t="s">
        <v>52</v>
      </c>
      <c r="F423" s="13" t="s">
        <v>87</v>
      </c>
      <c r="G423" s="14">
        <v>45792</v>
      </c>
      <c r="H423" s="14">
        <v>45795</v>
      </c>
      <c r="I423">
        <v>10275.219999999999</v>
      </c>
      <c r="J423">
        <v>10797.12</v>
      </c>
      <c r="K423">
        <v>105.08</v>
      </c>
      <c r="L423">
        <v>227</v>
      </c>
      <c r="M423" s="13" t="s">
        <v>3366</v>
      </c>
    </row>
    <row r="424" spans="1:13" x14ac:dyDescent="0.35">
      <c r="A424" s="13" t="s">
        <v>3804</v>
      </c>
      <c r="B424" s="13" t="s">
        <v>90</v>
      </c>
      <c r="C424" s="13" t="s">
        <v>91</v>
      </c>
      <c r="D424" s="13" t="s">
        <v>92</v>
      </c>
      <c r="E424" s="13" t="s">
        <v>76</v>
      </c>
      <c r="F424" s="13" t="s">
        <v>94</v>
      </c>
      <c r="G424" s="14">
        <v>45787</v>
      </c>
      <c r="H424" s="14">
        <v>45796</v>
      </c>
      <c r="I424">
        <v>483.71</v>
      </c>
      <c r="J424">
        <v>9968.68</v>
      </c>
      <c r="K424">
        <v>2060.88</v>
      </c>
      <c r="L424">
        <v>226</v>
      </c>
      <c r="M424" s="13" t="s">
        <v>3366</v>
      </c>
    </row>
    <row r="425" spans="1:13" x14ac:dyDescent="0.35">
      <c r="A425" s="13" t="s">
        <v>3805</v>
      </c>
      <c r="B425" s="13" t="s">
        <v>667</v>
      </c>
      <c r="C425" s="13" t="s">
        <v>668</v>
      </c>
      <c r="D425" s="13" t="s">
        <v>67</v>
      </c>
      <c r="E425" s="13" t="s">
        <v>126</v>
      </c>
      <c r="F425" s="13" t="s">
        <v>87</v>
      </c>
      <c r="G425" s="14">
        <v>45787</v>
      </c>
      <c r="H425" s="14">
        <v>45796</v>
      </c>
      <c r="I425">
        <v>1281.69</v>
      </c>
      <c r="J425">
        <v>1360.19</v>
      </c>
      <c r="K425">
        <v>106.12</v>
      </c>
      <c r="L425">
        <v>226</v>
      </c>
      <c r="M425" s="13" t="s">
        <v>3366</v>
      </c>
    </row>
    <row r="426" spans="1:13" x14ac:dyDescent="0.35">
      <c r="A426" s="13" t="s">
        <v>3806</v>
      </c>
      <c r="B426" s="13" t="s">
        <v>232</v>
      </c>
      <c r="C426" s="13" t="s">
        <v>233</v>
      </c>
      <c r="D426" s="13" t="s">
        <v>55</v>
      </c>
      <c r="E426" s="13" t="s">
        <v>76</v>
      </c>
      <c r="F426" s="13" t="s">
        <v>94</v>
      </c>
      <c r="G426" s="14">
        <v>45790</v>
      </c>
      <c r="H426" s="14">
        <v>45796</v>
      </c>
      <c r="I426">
        <v>492.19</v>
      </c>
      <c r="J426">
        <v>945.94</v>
      </c>
      <c r="K426">
        <v>192.19</v>
      </c>
      <c r="L426">
        <v>226</v>
      </c>
      <c r="M426" s="13" t="s">
        <v>3366</v>
      </c>
    </row>
    <row r="427" spans="1:13" x14ac:dyDescent="0.35">
      <c r="A427" s="13" t="s">
        <v>3807</v>
      </c>
      <c r="B427" s="13" t="s">
        <v>244</v>
      </c>
      <c r="C427" s="13" t="s">
        <v>245</v>
      </c>
      <c r="D427" s="13" t="s">
        <v>55</v>
      </c>
      <c r="E427" s="13" t="s">
        <v>52</v>
      </c>
      <c r="F427" s="13" t="s">
        <v>87</v>
      </c>
      <c r="G427" s="14">
        <v>45785</v>
      </c>
      <c r="H427" s="14">
        <v>45796</v>
      </c>
      <c r="I427">
        <v>826.74</v>
      </c>
      <c r="J427">
        <v>16451.13</v>
      </c>
      <c r="K427">
        <v>1989.88</v>
      </c>
      <c r="L427">
        <v>226</v>
      </c>
      <c r="M427" s="13" t="s">
        <v>3366</v>
      </c>
    </row>
    <row r="428" spans="1:13" x14ac:dyDescent="0.35">
      <c r="A428" s="13" t="s">
        <v>3808</v>
      </c>
      <c r="B428" s="13" t="s">
        <v>203</v>
      </c>
      <c r="C428" s="13" t="s">
        <v>204</v>
      </c>
      <c r="D428" s="13" t="s">
        <v>67</v>
      </c>
      <c r="E428" s="13" t="s">
        <v>52</v>
      </c>
      <c r="F428" s="13" t="s">
        <v>57</v>
      </c>
      <c r="G428" s="14">
        <v>45786</v>
      </c>
      <c r="H428" s="14">
        <v>45796</v>
      </c>
      <c r="I428">
        <v>2417.9699999999998</v>
      </c>
      <c r="J428">
        <v>33409.22</v>
      </c>
      <c r="K428">
        <v>1381.71</v>
      </c>
      <c r="L428">
        <v>226</v>
      </c>
      <c r="M428" s="13" t="s">
        <v>3366</v>
      </c>
    </row>
    <row r="429" spans="1:13" x14ac:dyDescent="0.35">
      <c r="A429" s="13" t="s">
        <v>3809</v>
      </c>
      <c r="B429" s="13" t="s">
        <v>357</v>
      </c>
      <c r="C429" s="13" t="s">
        <v>358</v>
      </c>
      <c r="D429" s="13" t="s">
        <v>92</v>
      </c>
      <c r="E429" s="13" t="s">
        <v>104</v>
      </c>
      <c r="F429" s="13" t="s">
        <v>106</v>
      </c>
      <c r="G429" s="14">
        <v>45778</v>
      </c>
      <c r="H429" s="14">
        <v>45796</v>
      </c>
      <c r="I429">
        <v>1086.5999999999999</v>
      </c>
      <c r="J429">
        <v>0</v>
      </c>
      <c r="K429">
        <v>0</v>
      </c>
      <c r="L429">
        <v>226</v>
      </c>
      <c r="M429" s="13" t="s">
        <v>3512</v>
      </c>
    </row>
    <row r="430" spans="1:13" x14ac:dyDescent="0.35">
      <c r="A430" s="13" t="s">
        <v>3810</v>
      </c>
      <c r="B430" s="13" t="s">
        <v>290</v>
      </c>
      <c r="C430" s="13" t="s">
        <v>291</v>
      </c>
      <c r="D430" s="13" t="s">
        <v>92</v>
      </c>
      <c r="E430" s="13" t="s">
        <v>104</v>
      </c>
      <c r="F430" s="13" t="s">
        <v>122</v>
      </c>
      <c r="G430" s="14">
        <v>45779</v>
      </c>
      <c r="H430" s="14">
        <v>45796</v>
      </c>
      <c r="I430">
        <v>3493.18</v>
      </c>
      <c r="J430">
        <v>0</v>
      </c>
      <c r="K430">
        <v>0</v>
      </c>
      <c r="L430">
        <v>226</v>
      </c>
      <c r="M430" s="13" t="s">
        <v>3512</v>
      </c>
    </row>
    <row r="431" spans="1:13" x14ac:dyDescent="0.35">
      <c r="A431" s="13" t="s">
        <v>3811</v>
      </c>
      <c r="B431" s="13" t="s">
        <v>235</v>
      </c>
      <c r="C431" s="13" t="s">
        <v>236</v>
      </c>
      <c r="D431" s="13" t="s">
        <v>55</v>
      </c>
      <c r="E431" s="13" t="s">
        <v>76</v>
      </c>
      <c r="F431" s="13" t="s">
        <v>80</v>
      </c>
      <c r="G431" s="14">
        <v>45788</v>
      </c>
      <c r="H431" s="14">
        <v>45796</v>
      </c>
      <c r="I431">
        <v>2619.36</v>
      </c>
      <c r="J431">
        <v>2764.41</v>
      </c>
      <c r="K431">
        <v>105.54</v>
      </c>
      <c r="L431">
        <v>226</v>
      </c>
      <c r="M431" s="13" t="s">
        <v>3366</v>
      </c>
    </row>
    <row r="432" spans="1:13" x14ac:dyDescent="0.35">
      <c r="A432" s="13" t="s">
        <v>3812</v>
      </c>
      <c r="B432" s="13" t="s">
        <v>290</v>
      </c>
      <c r="C432" s="13" t="s">
        <v>291</v>
      </c>
      <c r="D432" s="13" t="s">
        <v>92</v>
      </c>
      <c r="E432" s="13" t="s">
        <v>104</v>
      </c>
      <c r="F432" s="13" t="s">
        <v>122</v>
      </c>
      <c r="G432" s="14">
        <v>45775</v>
      </c>
      <c r="H432" s="14">
        <v>45797</v>
      </c>
      <c r="I432">
        <v>2116.63</v>
      </c>
      <c r="J432">
        <v>0</v>
      </c>
      <c r="K432">
        <v>0</v>
      </c>
      <c r="L432">
        <v>225</v>
      </c>
      <c r="M432" s="13" t="s">
        <v>3512</v>
      </c>
    </row>
    <row r="433" spans="1:13" x14ac:dyDescent="0.35">
      <c r="A433" s="13" t="s">
        <v>3813</v>
      </c>
      <c r="B433" s="13" t="s">
        <v>209</v>
      </c>
      <c r="C433" s="13" t="s">
        <v>210</v>
      </c>
      <c r="D433" s="13" t="s">
        <v>55</v>
      </c>
      <c r="E433" s="13" t="s">
        <v>52</v>
      </c>
      <c r="F433" s="13" t="s">
        <v>57</v>
      </c>
      <c r="G433" s="14">
        <v>45773</v>
      </c>
      <c r="H433" s="14">
        <v>45797</v>
      </c>
      <c r="I433">
        <v>3762.23</v>
      </c>
      <c r="J433">
        <v>2006.61</v>
      </c>
      <c r="K433">
        <v>53.34</v>
      </c>
      <c r="L433">
        <v>225</v>
      </c>
      <c r="M433" s="13" t="s">
        <v>3694</v>
      </c>
    </row>
    <row r="434" spans="1:13" x14ac:dyDescent="0.35">
      <c r="A434" s="13" t="s">
        <v>3814</v>
      </c>
      <c r="B434" s="13" t="s">
        <v>144</v>
      </c>
      <c r="C434" s="13" t="s">
        <v>145</v>
      </c>
      <c r="D434" s="13" t="s">
        <v>55</v>
      </c>
      <c r="E434" s="13" t="s">
        <v>52</v>
      </c>
      <c r="F434" s="13" t="s">
        <v>57</v>
      </c>
      <c r="G434" s="14">
        <v>45793</v>
      </c>
      <c r="H434" s="14">
        <v>45797</v>
      </c>
      <c r="I434">
        <v>3050.45</v>
      </c>
      <c r="J434">
        <v>3135.52</v>
      </c>
      <c r="K434">
        <v>102.79</v>
      </c>
      <c r="L434">
        <v>225</v>
      </c>
      <c r="M434" s="13" t="s">
        <v>3366</v>
      </c>
    </row>
    <row r="435" spans="1:13" x14ac:dyDescent="0.35">
      <c r="A435" s="13" t="s">
        <v>3815</v>
      </c>
      <c r="B435" s="13" t="s">
        <v>986</v>
      </c>
      <c r="C435" s="13" t="s">
        <v>987</v>
      </c>
      <c r="D435" s="13" t="s">
        <v>67</v>
      </c>
      <c r="E435" s="13" t="s">
        <v>104</v>
      </c>
      <c r="F435" s="13" t="s">
        <v>106</v>
      </c>
      <c r="G435" s="14">
        <v>45785</v>
      </c>
      <c r="H435" s="14">
        <v>45797</v>
      </c>
      <c r="I435">
        <v>8322.76</v>
      </c>
      <c r="J435">
        <v>8326.2000000000007</v>
      </c>
      <c r="K435">
        <v>100.04</v>
      </c>
      <c r="L435">
        <v>225</v>
      </c>
      <c r="M435" s="13" t="s">
        <v>3366</v>
      </c>
    </row>
    <row r="436" spans="1:13" x14ac:dyDescent="0.35">
      <c r="A436" s="13" t="s">
        <v>3816</v>
      </c>
      <c r="B436" s="13" t="s">
        <v>1288</v>
      </c>
      <c r="C436" s="13" t="s">
        <v>1289</v>
      </c>
      <c r="D436" s="13" t="s">
        <v>67</v>
      </c>
      <c r="E436" s="13" t="s">
        <v>52</v>
      </c>
      <c r="F436" s="13" t="s">
        <v>57</v>
      </c>
      <c r="G436" s="14">
        <v>45789</v>
      </c>
      <c r="H436" s="14">
        <v>45797</v>
      </c>
      <c r="I436">
        <v>5093.24</v>
      </c>
      <c r="J436">
        <v>7936.72</v>
      </c>
      <c r="K436">
        <v>155.83000000000001</v>
      </c>
      <c r="L436">
        <v>225</v>
      </c>
      <c r="M436" s="13" t="s">
        <v>3366</v>
      </c>
    </row>
    <row r="437" spans="1:13" x14ac:dyDescent="0.35">
      <c r="A437" s="13" t="s">
        <v>3817</v>
      </c>
      <c r="B437" s="13" t="s">
        <v>244</v>
      </c>
      <c r="C437" s="13" t="s">
        <v>245</v>
      </c>
      <c r="D437" s="13" t="s">
        <v>55</v>
      </c>
      <c r="E437" s="13" t="s">
        <v>52</v>
      </c>
      <c r="F437" s="13" t="s">
        <v>87</v>
      </c>
      <c r="G437" s="14">
        <v>45785</v>
      </c>
      <c r="H437" s="14">
        <v>45798</v>
      </c>
      <c r="I437">
        <v>4139.4799999999996</v>
      </c>
      <c r="J437">
        <v>10274.950000000001</v>
      </c>
      <c r="K437">
        <v>248.22</v>
      </c>
      <c r="L437">
        <v>224</v>
      </c>
      <c r="M437" s="13" t="s">
        <v>3366</v>
      </c>
    </row>
    <row r="438" spans="1:13" x14ac:dyDescent="0.35">
      <c r="A438" s="13" t="s">
        <v>3818</v>
      </c>
      <c r="B438" s="13" t="s">
        <v>1004</v>
      </c>
      <c r="C438" s="13" t="s">
        <v>1005</v>
      </c>
      <c r="D438" s="13" t="s">
        <v>55</v>
      </c>
      <c r="E438" s="13" t="s">
        <v>104</v>
      </c>
      <c r="F438" s="13" t="s">
        <v>122</v>
      </c>
      <c r="G438" s="14">
        <v>45795</v>
      </c>
      <c r="H438" s="14">
        <v>45798</v>
      </c>
      <c r="I438">
        <v>5401.17</v>
      </c>
      <c r="J438">
        <v>5571.04</v>
      </c>
      <c r="K438">
        <v>103.15</v>
      </c>
      <c r="L438">
        <v>224</v>
      </c>
      <c r="M438" s="13" t="s">
        <v>3366</v>
      </c>
    </row>
    <row r="439" spans="1:13" x14ac:dyDescent="0.35">
      <c r="A439" s="13" t="s">
        <v>3819</v>
      </c>
      <c r="B439" s="13" t="s">
        <v>1382</v>
      </c>
      <c r="C439" s="13" t="s">
        <v>1383</v>
      </c>
      <c r="D439" s="13" t="s">
        <v>92</v>
      </c>
      <c r="E439" s="13" t="s">
        <v>104</v>
      </c>
      <c r="F439" s="13" t="s">
        <v>106</v>
      </c>
      <c r="G439" s="14">
        <v>45795</v>
      </c>
      <c r="H439" s="14">
        <v>45798</v>
      </c>
      <c r="I439">
        <v>778.02</v>
      </c>
      <c r="J439">
        <v>814.15</v>
      </c>
      <c r="K439">
        <v>104.64</v>
      </c>
      <c r="L439">
        <v>224</v>
      </c>
      <c r="M439" s="13" t="s">
        <v>3366</v>
      </c>
    </row>
    <row r="440" spans="1:13" x14ac:dyDescent="0.35">
      <c r="A440" s="13" t="s">
        <v>3820</v>
      </c>
      <c r="B440" s="13" t="s">
        <v>1523</v>
      </c>
      <c r="C440" s="13" t="s">
        <v>1524</v>
      </c>
      <c r="D440" s="13" t="s">
        <v>55</v>
      </c>
      <c r="E440" s="13" t="s">
        <v>76</v>
      </c>
      <c r="F440" s="13" t="s">
        <v>94</v>
      </c>
      <c r="G440" s="14">
        <v>45785</v>
      </c>
      <c r="H440" s="14">
        <v>45798</v>
      </c>
      <c r="I440">
        <v>2878.41</v>
      </c>
      <c r="J440">
        <v>2985.47</v>
      </c>
      <c r="K440">
        <v>103.72</v>
      </c>
      <c r="L440">
        <v>224</v>
      </c>
      <c r="M440" s="13" t="s">
        <v>3366</v>
      </c>
    </row>
    <row r="441" spans="1:13" x14ac:dyDescent="0.35">
      <c r="A441" s="13" t="s">
        <v>3821</v>
      </c>
      <c r="B441" s="13" t="s">
        <v>601</v>
      </c>
      <c r="C441" s="13" t="s">
        <v>602</v>
      </c>
      <c r="D441" s="13" t="s">
        <v>67</v>
      </c>
      <c r="E441" s="13" t="s">
        <v>52</v>
      </c>
      <c r="F441" s="13" t="s">
        <v>87</v>
      </c>
      <c r="G441" s="14">
        <v>45791</v>
      </c>
      <c r="H441" s="14">
        <v>45798</v>
      </c>
      <c r="I441">
        <v>1905.65</v>
      </c>
      <c r="J441">
        <v>14316.44</v>
      </c>
      <c r="K441">
        <v>751.26</v>
      </c>
      <c r="L441">
        <v>224</v>
      </c>
      <c r="M441" s="13" t="s">
        <v>3366</v>
      </c>
    </row>
    <row r="442" spans="1:13" x14ac:dyDescent="0.35">
      <c r="A442" s="13" t="s">
        <v>3822</v>
      </c>
      <c r="B442" s="13" t="s">
        <v>290</v>
      </c>
      <c r="C442" s="13" t="s">
        <v>291</v>
      </c>
      <c r="D442" s="13" t="s">
        <v>92</v>
      </c>
      <c r="E442" s="13" t="s">
        <v>104</v>
      </c>
      <c r="F442" s="13" t="s">
        <v>122</v>
      </c>
      <c r="G442" s="14">
        <v>45774</v>
      </c>
      <c r="H442" s="14">
        <v>45798</v>
      </c>
      <c r="I442">
        <v>757.97</v>
      </c>
      <c r="J442">
        <v>0</v>
      </c>
      <c r="K442">
        <v>0</v>
      </c>
      <c r="L442">
        <v>224</v>
      </c>
      <c r="M442" s="13" t="s">
        <v>3512</v>
      </c>
    </row>
    <row r="443" spans="1:13" x14ac:dyDescent="0.35">
      <c r="A443" s="13" t="s">
        <v>3823</v>
      </c>
      <c r="B443" s="13" t="s">
        <v>533</v>
      </c>
      <c r="C443" s="13" t="s">
        <v>534</v>
      </c>
      <c r="D443" s="13" t="s">
        <v>67</v>
      </c>
      <c r="E443" s="13" t="s">
        <v>126</v>
      </c>
      <c r="F443" s="13" t="s">
        <v>87</v>
      </c>
      <c r="G443" s="14">
        <v>45794</v>
      </c>
      <c r="H443" s="14">
        <v>45798</v>
      </c>
      <c r="I443">
        <v>1790.79</v>
      </c>
      <c r="J443">
        <v>1793.12</v>
      </c>
      <c r="K443">
        <v>100.13</v>
      </c>
      <c r="L443">
        <v>224</v>
      </c>
      <c r="M443" s="13" t="s">
        <v>3366</v>
      </c>
    </row>
    <row r="444" spans="1:13" x14ac:dyDescent="0.35">
      <c r="A444" s="13" t="s">
        <v>3824</v>
      </c>
      <c r="B444" s="13" t="s">
        <v>219</v>
      </c>
      <c r="C444" s="13" t="s">
        <v>220</v>
      </c>
      <c r="D444" s="13" t="s">
        <v>55</v>
      </c>
      <c r="E444" s="13" t="s">
        <v>76</v>
      </c>
      <c r="F444" s="13" t="s">
        <v>80</v>
      </c>
      <c r="G444" s="14">
        <v>45788</v>
      </c>
      <c r="H444" s="14">
        <v>45799</v>
      </c>
      <c r="I444">
        <v>639.4</v>
      </c>
      <c r="J444">
        <v>679.74</v>
      </c>
      <c r="K444">
        <v>106.31</v>
      </c>
      <c r="L444">
        <v>223</v>
      </c>
      <c r="M444" s="13" t="s">
        <v>3366</v>
      </c>
    </row>
    <row r="445" spans="1:13" x14ac:dyDescent="0.35">
      <c r="A445" s="13" t="s">
        <v>3825</v>
      </c>
      <c r="B445" s="13" t="s">
        <v>1001</v>
      </c>
      <c r="C445" s="13" t="s">
        <v>1002</v>
      </c>
      <c r="D445" s="13" t="s">
        <v>55</v>
      </c>
      <c r="E445" s="13" t="s">
        <v>76</v>
      </c>
      <c r="F445" s="13" t="s">
        <v>94</v>
      </c>
      <c r="G445" s="14">
        <v>45792</v>
      </c>
      <c r="H445" s="14">
        <v>45800</v>
      </c>
      <c r="I445">
        <v>2871.86</v>
      </c>
      <c r="J445">
        <v>8457.27</v>
      </c>
      <c r="K445">
        <v>294.49</v>
      </c>
      <c r="L445">
        <v>222</v>
      </c>
      <c r="M445" s="13" t="s">
        <v>3366</v>
      </c>
    </row>
    <row r="446" spans="1:13" x14ac:dyDescent="0.35">
      <c r="A446" s="13" t="s">
        <v>3826</v>
      </c>
      <c r="B446" s="13" t="s">
        <v>1553</v>
      </c>
      <c r="C446" s="13" t="s">
        <v>1554</v>
      </c>
      <c r="D446" s="13" t="s">
        <v>55</v>
      </c>
      <c r="E446" s="13" t="s">
        <v>76</v>
      </c>
      <c r="F446" s="13" t="s">
        <v>80</v>
      </c>
      <c r="G446" s="14">
        <v>45790</v>
      </c>
      <c r="H446" s="14">
        <v>45800</v>
      </c>
      <c r="I446">
        <v>2827.57</v>
      </c>
      <c r="J446">
        <v>2931.09</v>
      </c>
      <c r="K446">
        <v>103.66</v>
      </c>
      <c r="L446">
        <v>222</v>
      </c>
      <c r="M446" s="13" t="s">
        <v>3366</v>
      </c>
    </row>
    <row r="447" spans="1:13" x14ac:dyDescent="0.35">
      <c r="A447" s="13" t="s">
        <v>3827</v>
      </c>
      <c r="B447" s="13" t="s">
        <v>283</v>
      </c>
      <c r="C447" s="13" t="s">
        <v>284</v>
      </c>
      <c r="D447" s="13" t="s">
        <v>92</v>
      </c>
      <c r="E447" s="13" t="s">
        <v>104</v>
      </c>
      <c r="F447" s="13" t="s">
        <v>106</v>
      </c>
      <c r="G447" s="14">
        <v>45775</v>
      </c>
      <c r="H447" s="14">
        <v>45800</v>
      </c>
      <c r="I447">
        <v>711.74</v>
      </c>
      <c r="J447">
        <v>0</v>
      </c>
      <c r="K447">
        <v>0</v>
      </c>
      <c r="L447">
        <v>222</v>
      </c>
      <c r="M447" s="13" t="s">
        <v>3512</v>
      </c>
    </row>
    <row r="448" spans="1:13" x14ac:dyDescent="0.35">
      <c r="A448" s="13" t="s">
        <v>3828</v>
      </c>
      <c r="B448" s="13" t="s">
        <v>280</v>
      </c>
      <c r="C448" s="13" t="s">
        <v>281</v>
      </c>
      <c r="D448" s="13" t="s">
        <v>92</v>
      </c>
      <c r="E448" s="13" t="s">
        <v>104</v>
      </c>
      <c r="F448" s="13" t="s">
        <v>122</v>
      </c>
      <c r="G448" s="14">
        <v>45780</v>
      </c>
      <c r="H448" s="14">
        <v>45800</v>
      </c>
      <c r="I448">
        <v>6312.41</v>
      </c>
      <c r="J448">
        <v>0</v>
      </c>
      <c r="K448">
        <v>0</v>
      </c>
      <c r="L448">
        <v>222</v>
      </c>
      <c r="M448" s="13" t="s">
        <v>3512</v>
      </c>
    </row>
    <row r="449" spans="1:13" x14ac:dyDescent="0.35">
      <c r="A449" s="13" t="s">
        <v>3829</v>
      </c>
      <c r="B449" s="13" t="s">
        <v>280</v>
      </c>
      <c r="C449" s="13" t="s">
        <v>281</v>
      </c>
      <c r="D449" s="13" t="s">
        <v>92</v>
      </c>
      <c r="E449" s="13" t="s">
        <v>104</v>
      </c>
      <c r="F449" s="13" t="s">
        <v>122</v>
      </c>
      <c r="G449" s="14">
        <v>45791</v>
      </c>
      <c r="H449" s="14">
        <v>45801</v>
      </c>
      <c r="I449">
        <v>1817.05</v>
      </c>
      <c r="J449">
        <v>0</v>
      </c>
      <c r="K449">
        <v>0</v>
      </c>
      <c r="L449">
        <v>221</v>
      </c>
      <c r="M449" s="13" t="s">
        <v>3512</v>
      </c>
    </row>
    <row r="450" spans="1:13" x14ac:dyDescent="0.35">
      <c r="A450" s="13" t="s">
        <v>3830</v>
      </c>
      <c r="B450" s="13" t="s">
        <v>2879</v>
      </c>
      <c r="C450" s="13" t="s">
        <v>2880</v>
      </c>
      <c r="D450" s="13" t="s">
        <v>55</v>
      </c>
      <c r="E450" s="13" t="s">
        <v>104</v>
      </c>
      <c r="F450" s="13" t="s">
        <v>106</v>
      </c>
      <c r="G450" s="14">
        <v>45792</v>
      </c>
      <c r="H450" s="14">
        <v>45801</v>
      </c>
      <c r="I450">
        <v>816.59</v>
      </c>
      <c r="J450">
        <v>833.31</v>
      </c>
      <c r="K450">
        <v>102.05</v>
      </c>
      <c r="L450">
        <v>221</v>
      </c>
      <c r="M450" s="13" t="s">
        <v>3366</v>
      </c>
    </row>
    <row r="451" spans="1:13" x14ac:dyDescent="0.35">
      <c r="A451" s="13" t="s">
        <v>3831</v>
      </c>
      <c r="B451" s="13" t="s">
        <v>1842</v>
      </c>
      <c r="C451" s="13" t="s">
        <v>1843</v>
      </c>
      <c r="D451" s="13" t="s">
        <v>67</v>
      </c>
      <c r="E451" s="13" t="s">
        <v>104</v>
      </c>
      <c r="F451" s="13" t="s">
        <v>106</v>
      </c>
      <c r="G451" s="14">
        <v>45797</v>
      </c>
      <c r="H451" s="14">
        <v>45801</v>
      </c>
      <c r="I451">
        <v>1518.86</v>
      </c>
      <c r="J451">
        <v>1659.56</v>
      </c>
      <c r="K451">
        <v>109.26</v>
      </c>
      <c r="L451">
        <v>221</v>
      </c>
      <c r="M451" s="13" t="s">
        <v>3366</v>
      </c>
    </row>
    <row r="452" spans="1:13" x14ac:dyDescent="0.35">
      <c r="A452" s="13" t="s">
        <v>3832</v>
      </c>
      <c r="B452" s="13" t="s">
        <v>2171</v>
      </c>
      <c r="C452" s="13" t="s">
        <v>2172</v>
      </c>
      <c r="D452" s="13" t="s">
        <v>55</v>
      </c>
      <c r="E452" s="13" t="s">
        <v>76</v>
      </c>
      <c r="F452" s="13" t="s">
        <v>94</v>
      </c>
      <c r="G452" s="14">
        <v>45788</v>
      </c>
      <c r="H452" s="14">
        <v>45801</v>
      </c>
      <c r="I452">
        <v>2221.84</v>
      </c>
      <c r="J452">
        <v>2305.4299999999998</v>
      </c>
      <c r="K452">
        <v>103.76</v>
      </c>
      <c r="L452">
        <v>221</v>
      </c>
      <c r="M452" s="13" t="s">
        <v>3366</v>
      </c>
    </row>
    <row r="453" spans="1:13" x14ac:dyDescent="0.35">
      <c r="A453" s="13" t="s">
        <v>3833</v>
      </c>
      <c r="B453" s="13" t="s">
        <v>1881</v>
      </c>
      <c r="C453" s="13" t="s">
        <v>1882</v>
      </c>
      <c r="D453" s="13" t="s">
        <v>67</v>
      </c>
      <c r="E453" s="13" t="s">
        <v>76</v>
      </c>
      <c r="F453" s="13" t="s">
        <v>94</v>
      </c>
      <c r="G453" s="14">
        <v>45795</v>
      </c>
      <c r="H453" s="14">
        <v>45801</v>
      </c>
      <c r="I453">
        <v>1909.74</v>
      </c>
      <c r="J453">
        <v>2115.31</v>
      </c>
      <c r="K453">
        <v>110.76</v>
      </c>
      <c r="L453">
        <v>221</v>
      </c>
      <c r="M453" s="13" t="s">
        <v>3366</v>
      </c>
    </row>
    <row r="454" spans="1:13" x14ac:dyDescent="0.35">
      <c r="A454" s="13" t="s">
        <v>3834</v>
      </c>
      <c r="B454" s="13" t="s">
        <v>253</v>
      </c>
      <c r="C454" s="13" t="s">
        <v>254</v>
      </c>
      <c r="D454" s="13" t="s">
        <v>55</v>
      </c>
      <c r="E454" s="13" t="s">
        <v>52</v>
      </c>
      <c r="F454" s="13" t="s">
        <v>57</v>
      </c>
      <c r="G454" s="14">
        <v>45795</v>
      </c>
      <c r="H454" s="14">
        <v>45801</v>
      </c>
      <c r="I454">
        <v>10580.77</v>
      </c>
      <c r="J454">
        <v>11024.45</v>
      </c>
      <c r="K454">
        <v>104.19</v>
      </c>
      <c r="L454">
        <v>221</v>
      </c>
      <c r="M454" s="13" t="s">
        <v>3366</v>
      </c>
    </row>
    <row r="455" spans="1:13" x14ac:dyDescent="0.35">
      <c r="A455" s="13" t="s">
        <v>3835</v>
      </c>
      <c r="B455" s="13" t="s">
        <v>1703</v>
      </c>
      <c r="C455" s="13" t="s">
        <v>1704</v>
      </c>
      <c r="D455" s="13" t="s">
        <v>55</v>
      </c>
      <c r="E455" s="13" t="s">
        <v>76</v>
      </c>
      <c r="F455" s="13" t="s">
        <v>94</v>
      </c>
      <c r="G455" s="14">
        <v>45789</v>
      </c>
      <c r="H455" s="14">
        <v>45802</v>
      </c>
      <c r="I455">
        <v>1213.04</v>
      </c>
      <c r="J455">
        <v>1276.6199999999999</v>
      </c>
      <c r="K455">
        <v>105.24</v>
      </c>
      <c r="L455">
        <v>220</v>
      </c>
      <c r="M455" s="13" t="s">
        <v>3366</v>
      </c>
    </row>
    <row r="456" spans="1:13" x14ac:dyDescent="0.35">
      <c r="A456" s="13" t="s">
        <v>3836</v>
      </c>
      <c r="B456" s="13" t="s">
        <v>2622</v>
      </c>
      <c r="C456" s="13" t="s">
        <v>2623</v>
      </c>
      <c r="D456" s="13" t="s">
        <v>67</v>
      </c>
      <c r="E456" s="13" t="s">
        <v>104</v>
      </c>
      <c r="F456" s="13" t="s">
        <v>106</v>
      </c>
      <c r="G456" s="14">
        <v>45792</v>
      </c>
      <c r="H456" s="14">
        <v>45802</v>
      </c>
      <c r="I456">
        <v>6066.43</v>
      </c>
      <c r="J456">
        <v>6456.07</v>
      </c>
      <c r="K456">
        <v>106.42</v>
      </c>
      <c r="L456">
        <v>220</v>
      </c>
      <c r="M456" s="13" t="s">
        <v>3366</v>
      </c>
    </row>
    <row r="457" spans="1:13" x14ac:dyDescent="0.35">
      <c r="A457" s="13" t="s">
        <v>3837</v>
      </c>
      <c r="B457" s="13" t="s">
        <v>418</v>
      </c>
      <c r="C457" s="13" t="s">
        <v>419</v>
      </c>
      <c r="D457" s="13" t="s">
        <v>67</v>
      </c>
      <c r="E457" s="13" t="s">
        <v>52</v>
      </c>
      <c r="F457" s="13" t="s">
        <v>87</v>
      </c>
      <c r="G457" s="14">
        <v>45800</v>
      </c>
      <c r="H457" s="14">
        <v>45802</v>
      </c>
      <c r="I457">
        <v>17174.96</v>
      </c>
      <c r="J457">
        <v>17336.23</v>
      </c>
      <c r="K457">
        <v>100.94</v>
      </c>
      <c r="L457">
        <v>220</v>
      </c>
      <c r="M457" s="13" t="s">
        <v>3366</v>
      </c>
    </row>
    <row r="458" spans="1:13" x14ac:dyDescent="0.35">
      <c r="A458" s="13" t="s">
        <v>3838</v>
      </c>
      <c r="B458" s="13" t="s">
        <v>2790</v>
      </c>
      <c r="C458" s="13" t="s">
        <v>2791</v>
      </c>
      <c r="D458" s="13" t="s">
        <v>67</v>
      </c>
      <c r="E458" s="13" t="s">
        <v>76</v>
      </c>
      <c r="F458" s="13" t="s">
        <v>80</v>
      </c>
      <c r="G458" s="14">
        <v>45795</v>
      </c>
      <c r="H458" s="14">
        <v>45802</v>
      </c>
      <c r="I458">
        <v>2372.63</v>
      </c>
      <c r="J458">
        <v>6996.17</v>
      </c>
      <c r="K458">
        <v>294.87</v>
      </c>
      <c r="L458">
        <v>220</v>
      </c>
      <c r="M458" s="13" t="s">
        <v>3366</v>
      </c>
    </row>
    <row r="459" spans="1:13" x14ac:dyDescent="0.35">
      <c r="A459" s="13" t="s">
        <v>3839</v>
      </c>
      <c r="B459" s="13" t="s">
        <v>1520</v>
      </c>
      <c r="C459" s="13" t="s">
        <v>1521</v>
      </c>
      <c r="D459" s="13" t="s">
        <v>55</v>
      </c>
      <c r="E459" s="13" t="s">
        <v>76</v>
      </c>
      <c r="F459" s="13" t="s">
        <v>80</v>
      </c>
      <c r="G459" s="14">
        <v>45794</v>
      </c>
      <c r="H459" s="14">
        <v>45803</v>
      </c>
      <c r="I459">
        <v>1571.22</v>
      </c>
      <c r="J459">
        <v>8188.87</v>
      </c>
      <c r="K459">
        <v>521.17999999999995</v>
      </c>
      <c r="L459">
        <v>219</v>
      </c>
      <c r="M459" s="13" t="s">
        <v>3366</v>
      </c>
    </row>
    <row r="460" spans="1:13" x14ac:dyDescent="0.35">
      <c r="A460" s="13" t="s">
        <v>3840</v>
      </c>
      <c r="B460" s="13" t="s">
        <v>2117</v>
      </c>
      <c r="C460" s="13" t="s">
        <v>2118</v>
      </c>
      <c r="D460" s="13" t="s">
        <v>67</v>
      </c>
      <c r="E460" s="13" t="s">
        <v>104</v>
      </c>
      <c r="F460" s="13" t="s">
        <v>122</v>
      </c>
      <c r="G460" s="14">
        <v>45801</v>
      </c>
      <c r="H460" s="14">
        <v>45803</v>
      </c>
      <c r="I460">
        <v>3757.22</v>
      </c>
      <c r="J460">
        <v>4146.6000000000004</v>
      </c>
      <c r="K460">
        <v>110.36</v>
      </c>
      <c r="L460">
        <v>219</v>
      </c>
      <c r="M460" s="13" t="s">
        <v>3366</v>
      </c>
    </row>
    <row r="461" spans="1:13" x14ac:dyDescent="0.35">
      <c r="A461" s="13" t="s">
        <v>3841</v>
      </c>
      <c r="B461" s="13" t="s">
        <v>1601</v>
      </c>
      <c r="C461" s="13" t="s">
        <v>1602</v>
      </c>
      <c r="D461" s="13" t="s">
        <v>55</v>
      </c>
      <c r="E461" s="13" t="s">
        <v>76</v>
      </c>
      <c r="F461" s="13" t="s">
        <v>94</v>
      </c>
      <c r="G461" s="14">
        <v>45799</v>
      </c>
      <c r="H461" s="14">
        <v>45803</v>
      </c>
      <c r="I461">
        <v>921.97</v>
      </c>
      <c r="J461">
        <v>937.96</v>
      </c>
      <c r="K461">
        <v>101.73</v>
      </c>
      <c r="L461">
        <v>219</v>
      </c>
      <c r="M461" s="13" t="s">
        <v>3366</v>
      </c>
    </row>
    <row r="462" spans="1:13" x14ac:dyDescent="0.35">
      <c r="A462" s="13" t="s">
        <v>3842</v>
      </c>
      <c r="B462" s="13" t="s">
        <v>1916</v>
      </c>
      <c r="C462" s="13" t="s">
        <v>1917</v>
      </c>
      <c r="D462" s="13" t="s">
        <v>67</v>
      </c>
      <c r="E462" s="13" t="s">
        <v>104</v>
      </c>
      <c r="F462" s="13" t="s">
        <v>122</v>
      </c>
      <c r="G462" s="14">
        <v>45797</v>
      </c>
      <c r="H462" s="14">
        <v>45803</v>
      </c>
      <c r="I462">
        <v>1596.44</v>
      </c>
      <c r="J462">
        <v>5597.26</v>
      </c>
      <c r="K462">
        <v>350.61</v>
      </c>
      <c r="L462">
        <v>219</v>
      </c>
      <c r="M462" s="13" t="s">
        <v>3366</v>
      </c>
    </row>
    <row r="463" spans="1:13" x14ac:dyDescent="0.35">
      <c r="A463" s="13" t="s">
        <v>3843</v>
      </c>
      <c r="B463" s="13" t="s">
        <v>422</v>
      </c>
      <c r="C463" s="13" t="s">
        <v>423</v>
      </c>
      <c r="D463" s="13" t="s">
        <v>67</v>
      </c>
      <c r="E463" s="13" t="s">
        <v>126</v>
      </c>
      <c r="F463" s="13" t="s">
        <v>106</v>
      </c>
      <c r="G463" s="14">
        <v>45796</v>
      </c>
      <c r="H463" s="14">
        <v>45803</v>
      </c>
      <c r="I463">
        <v>2953.1</v>
      </c>
      <c r="J463">
        <v>3261.01</v>
      </c>
      <c r="K463">
        <v>110.43</v>
      </c>
      <c r="L463">
        <v>219</v>
      </c>
      <c r="M463" s="13" t="s">
        <v>3366</v>
      </c>
    </row>
    <row r="464" spans="1:13" x14ac:dyDescent="0.35">
      <c r="A464" s="13" t="s">
        <v>3844</v>
      </c>
      <c r="B464" s="13" t="s">
        <v>2107</v>
      </c>
      <c r="C464" s="13" t="s">
        <v>2108</v>
      </c>
      <c r="D464" s="13" t="s">
        <v>67</v>
      </c>
      <c r="E464" s="13" t="s">
        <v>76</v>
      </c>
      <c r="F464" s="13" t="s">
        <v>94</v>
      </c>
      <c r="G464" s="14">
        <v>45801</v>
      </c>
      <c r="H464" s="14">
        <v>45804</v>
      </c>
      <c r="I464">
        <v>3716.34</v>
      </c>
      <c r="J464">
        <v>3938.4</v>
      </c>
      <c r="K464">
        <v>105.98</v>
      </c>
      <c r="L464">
        <v>218</v>
      </c>
      <c r="M464" s="13" t="s">
        <v>3366</v>
      </c>
    </row>
    <row r="465" spans="1:13" x14ac:dyDescent="0.35">
      <c r="A465" s="13" t="s">
        <v>3845</v>
      </c>
      <c r="B465" s="13" t="s">
        <v>222</v>
      </c>
      <c r="C465" s="13" t="s">
        <v>223</v>
      </c>
      <c r="D465" s="13" t="s">
        <v>92</v>
      </c>
      <c r="E465" s="13" t="s">
        <v>52</v>
      </c>
      <c r="F465" s="13" t="s">
        <v>57</v>
      </c>
      <c r="G465" s="14">
        <v>45790</v>
      </c>
      <c r="H465" s="14">
        <v>45804</v>
      </c>
      <c r="I465">
        <v>4086.89</v>
      </c>
      <c r="J465">
        <v>1763.48</v>
      </c>
      <c r="K465">
        <v>43.15</v>
      </c>
      <c r="L465">
        <v>218</v>
      </c>
      <c r="M465" s="13" t="s">
        <v>3694</v>
      </c>
    </row>
    <row r="466" spans="1:13" x14ac:dyDescent="0.35">
      <c r="A466" s="13" t="s">
        <v>3846</v>
      </c>
      <c r="B466" s="13" t="s">
        <v>1042</v>
      </c>
      <c r="C466" s="13" t="s">
        <v>1043</v>
      </c>
      <c r="D466" s="13" t="s">
        <v>67</v>
      </c>
      <c r="E466" s="13" t="s">
        <v>104</v>
      </c>
      <c r="F466" s="13" t="s">
        <v>122</v>
      </c>
      <c r="G466" s="14">
        <v>45793</v>
      </c>
      <c r="H466" s="14">
        <v>45804</v>
      </c>
      <c r="I466">
        <v>645.91999999999996</v>
      </c>
      <c r="J466">
        <v>1901.53</v>
      </c>
      <c r="K466">
        <v>294.39</v>
      </c>
      <c r="L466">
        <v>218</v>
      </c>
      <c r="M466" s="13" t="s">
        <v>3366</v>
      </c>
    </row>
    <row r="467" spans="1:13" x14ac:dyDescent="0.35">
      <c r="A467" s="13" t="s">
        <v>3847</v>
      </c>
      <c r="B467" s="13" t="s">
        <v>286</v>
      </c>
      <c r="C467" s="13" t="s">
        <v>287</v>
      </c>
      <c r="D467" s="13" t="s">
        <v>92</v>
      </c>
      <c r="E467" s="13" t="s">
        <v>104</v>
      </c>
      <c r="F467" s="13" t="s">
        <v>87</v>
      </c>
      <c r="G467" s="14">
        <v>45797</v>
      </c>
      <c r="H467" s="14">
        <v>45805</v>
      </c>
      <c r="I467">
        <v>5611.11</v>
      </c>
      <c r="J467">
        <v>0</v>
      </c>
      <c r="K467">
        <v>0</v>
      </c>
      <c r="L467">
        <v>217</v>
      </c>
      <c r="M467" s="13" t="s">
        <v>3512</v>
      </c>
    </row>
    <row r="468" spans="1:13" x14ac:dyDescent="0.35">
      <c r="A468" s="13" t="s">
        <v>3848</v>
      </c>
      <c r="B468" s="13" t="s">
        <v>478</v>
      </c>
      <c r="C468" s="13" t="s">
        <v>479</v>
      </c>
      <c r="D468" s="13" t="s">
        <v>55</v>
      </c>
      <c r="E468" s="13" t="s">
        <v>52</v>
      </c>
      <c r="F468" s="13" t="s">
        <v>87</v>
      </c>
      <c r="G468" s="14">
        <v>45800</v>
      </c>
      <c r="H468" s="14">
        <v>45805</v>
      </c>
      <c r="I468">
        <v>4155.3900000000003</v>
      </c>
      <c r="J468">
        <v>4215.84</v>
      </c>
      <c r="K468">
        <v>101.45</v>
      </c>
      <c r="L468">
        <v>217</v>
      </c>
      <c r="M468" s="13" t="s">
        <v>3366</v>
      </c>
    </row>
    <row r="469" spans="1:13" x14ac:dyDescent="0.35">
      <c r="A469" s="13" t="s">
        <v>3849</v>
      </c>
      <c r="B469" s="13" t="s">
        <v>156</v>
      </c>
      <c r="C469" s="13" t="s">
        <v>157</v>
      </c>
      <c r="D469" s="13" t="s">
        <v>92</v>
      </c>
      <c r="E469" s="13" t="s">
        <v>52</v>
      </c>
      <c r="F469" s="13" t="s">
        <v>57</v>
      </c>
      <c r="G469" s="14">
        <v>45800</v>
      </c>
      <c r="H469" s="14">
        <v>45805</v>
      </c>
      <c r="I469">
        <v>5626.69</v>
      </c>
      <c r="J469">
        <v>20842.62</v>
      </c>
      <c r="K469">
        <v>370.42</v>
      </c>
      <c r="L469">
        <v>217</v>
      </c>
      <c r="M469" s="13" t="s">
        <v>3366</v>
      </c>
    </row>
    <row r="470" spans="1:13" x14ac:dyDescent="0.35">
      <c r="A470" s="13" t="s">
        <v>3850</v>
      </c>
      <c r="B470" s="13" t="s">
        <v>379</v>
      </c>
      <c r="C470" s="13" t="s">
        <v>380</v>
      </c>
      <c r="D470" s="13" t="s">
        <v>92</v>
      </c>
      <c r="E470" s="13" t="s">
        <v>52</v>
      </c>
      <c r="F470" s="13" t="s">
        <v>57</v>
      </c>
      <c r="G470" s="14">
        <v>45793</v>
      </c>
      <c r="H470" s="14">
        <v>45805</v>
      </c>
      <c r="I470">
        <v>2525.87</v>
      </c>
      <c r="J470">
        <v>2748.59</v>
      </c>
      <c r="K470">
        <v>108.82</v>
      </c>
      <c r="L470">
        <v>217</v>
      </c>
      <c r="M470" s="13" t="s">
        <v>3366</v>
      </c>
    </row>
    <row r="471" spans="1:13" x14ac:dyDescent="0.35">
      <c r="A471" s="13" t="s">
        <v>3851</v>
      </c>
      <c r="B471" s="13" t="s">
        <v>499</v>
      </c>
      <c r="C471" s="13" t="s">
        <v>500</v>
      </c>
      <c r="D471" s="13" t="s">
        <v>67</v>
      </c>
      <c r="E471" s="13" t="s">
        <v>104</v>
      </c>
      <c r="F471" s="13" t="s">
        <v>106</v>
      </c>
      <c r="G471" s="14">
        <v>45801</v>
      </c>
      <c r="H471" s="14">
        <v>45805</v>
      </c>
      <c r="I471">
        <v>4379.09</v>
      </c>
      <c r="J471">
        <v>4671.24</v>
      </c>
      <c r="K471">
        <v>106.67</v>
      </c>
      <c r="L471">
        <v>217</v>
      </c>
      <c r="M471" s="13" t="s">
        <v>3366</v>
      </c>
    </row>
    <row r="472" spans="1:13" x14ac:dyDescent="0.35">
      <c r="A472" s="13" t="s">
        <v>3852</v>
      </c>
      <c r="B472" s="13" t="s">
        <v>2084</v>
      </c>
      <c r="C472" s="13" t="s">
        <v>2085</v>
      </c>
      <c r="D472" s="13" t="s">
        <v>67</v>
      </c>
      <c r="E472" s="13" t="s">
        <v>76</v>
      </c>
      <c r="F472" s="13" t="s">
        <v>94</v>
      </c>
      <c r="G472" s="14">
        <v>45796</v>
      </c>
      <c r="H472" s="14">
        <v>45805</v>
      </c>
      <c r="I472">
        <v>4309.16</v>
      </c>
      <c r="J472">
        <v>6460.82</v>
      </c>
      <c r="K472">
        <v>149.93</v>
      </c>
      <c r="L472">
        <v>217</v>
      </c>
      <c r="M472" s="13" t="s">
        <v>3366</v>
      </c>
    </row>
    <row r="473" spans="1:13" x14ac:dyDescent="0.35">
      <c r="A473" s="13" t="s">
        <v>3853</v>
      </c>
      <c r="B473" s="13" t="s">
        <v>890</v>
      </c>
      <c r="C473" s="13" t="s">
        <v>891</v>
      </c>
      <c r="D473" s="13" t="s">
        <v>67</v>
      </c>
      <c r="E473" s="13" t="s">
        <v>76</v>
      </c>
      <c r="F473" s="13" t="s">
        <v>80</v>
      </c>
      <c r="G473" s="14">
        <v>45799</v>
      </c>
      <c r="H473" s="14">
        <v>45806</v>
      </c>
      <c r="I473">
        <v>562.20000000000005</v>
      </c>
      <c r="J473">
        <v>585.53</v>
      </c>
      <c r="K473">
        <v>104.15</v>
      </c>
      <c r="L473">
        <v>216</v>
      </c>
      <c r="M473" s="13" t="s">
        <v>3366</v>
      </c>
    </row>
    <row r="474" spans="1:13" x14ac:dyDescent="0.35">
      <c r="A474" s="13" t="s">
        <v>3854</v>
      </c>
      <c r="B474" s="13" t="s">
        <v>695</v>
      </c>
      <c r="C474" s="13" t="s">
        <v>696</v>
      </c>
      <c r="D474" s="13" t="s">
        <v>92</v>
      </c>
      <c r="E474" s="13" t="s">
        <v>52</v>
      </c>
      <c r="F474" s="13" t="s">
        <v>57</v>
      </c>
      <c r="G474" s="14">
        <v>45796</v>
      </c>
      <c r="H474" s="14">
        <v>45806</v>
      </c>
      <c r="I474">
        <v>8016.15</v>
      </c>
      <c r="J474">
        <v>8783.8700000000008</v>
      </c>
      <c r="K474">
        <v>109.58</v>
      </c>
      <c r="L474">
        <v>216</v>
      </c>
      <c r="M474" s="13" t="s">
        <v>3366</v>
      </c>
    </row>
    <row r="475" spans="1:13" x14ac:dyDescent="0.35">
      <c r="A475" s="13" t="s">
        <v>3855</v>
      </c>
      <c r="B475" s="13" t="s">
        <v>434</v>
      </c>
      <c r="C475" s="13" t="s">
        <v>435</v>
      </c>
      <c r="D475" s="13" t="s">
        <v>55</v>
      </c>
      <c r="E475" s="13" t="s">
        <v>52</v>
      </c>
      <c r="F475" s="13" t="s">
        <v>57</v>
      </c>
      <c r="G475" s="14">
        <v>45799</v>
      </c>
      <c r="H475" s="14">
        <v>45806</v>
      </c>
      <c r="I475">
        <v>2041.02</v>
      </c>
      <c r="J475">
        <v>4534.7700000000004</v>
      </c>
      <c r="K475">
        <v>222.18</v>
      </c>
      <c r="L475">
        <v>216</v>
      </c>
      <c r="M475" s="13" t="s">
        <v>3366</v>
      </c>
    </row>
    <row r="476" spans="1:13" x14ac:dyDescent="0.35">
      <c r="A476" s="13" t="s">
        <v>3856</v>
      </c>
      <c r="B476" s="13" t="s">
        <v>555</v>
      </c>
      <c r="C476" s="13" t="s">
        <v>556</v>
      </c>
      <c r="D476" s="13" t="s">
        <v>55</v>
      </c>
      <c r="E476" s="13" t="s">
        <v>104</v>
      </c>
      <c r="F476" s="13" t="s">
        <v>122</v>
      </c>
      <c r="G476" s="14">
        <v>45800</v>
      </c>
      <c r="H476" s="14">
        <v>45806</v>
      </c>
      <c r="I476">
        <v>7348.9</v>
      </c>
      <c r="J476">
        <v>8164.71</v>
      </c>
      <c r="K476">
        <v>111.1</v>
      </c>
      <c r="L476">
        <v>216</v>
      </c>
      <c r="M476" s="13" t="s">
        <v>3366</v>
      </c>
    </row>
    <row r="477" spans="1:13" x14ac:dyDescent="0.35">
      <c r="A477" s="13" t="s">
        <v>3857</v>
      </c>
      <c r="B477" s="13" t="s">
        <v>997</v>
      </c>
      <c r="C477" s="13" t="s">
        <v>998</v>
      </c>
      <c r="D477" s="13" t="s">
        <v>55</v>
      </c>
      <c r="E477" s="13" t="s">
        <v>52</v>
      </c>
      <c r="F477" s="13" t="s">
        <v>87</v>
      </c>
      <c r="G477" s="14">
        <v>45796</v>
      </c>
      <c r="H477" s="14">
        <v>45807</v>
      </c>
      <c r="I477">
        <v>1855.67</v>
      </c>
      <c r="J477">
        <v>3139.02</v>
      </c>
      <c r="K477">
        <v>169.16</v>
      </c>
      <c r="L477">
        <v>215</v>
      </c>
      <c r="M477" s="13" t="s">
        <v>3366</v>
      </c>
    </row>
    <row r="478" spans="1:13" x14ac:dyDescent="0.35">
      <c r="A478" s="13" t="s">
        <v>3858</v>
      </c>
      <c r="B478" s="13" t="s">
        <v>200</v>
      </c>
      <c r="C478" s="13" t="s">
        <v>201</v>
      </c>
      <c r="D478" s="13" t="s">
        <v>55</v>
      </c>
      <c r="E478" s="13" t="s">
        <v>104</v>
      </c>
      <c r="F478" s="13" t="s">
        <v>122</v>
      </c>
      <c r="G478" s="14">
        <v>45795</v>
      </c>
      <c r="H478" s="14">
        <v>45807</v>
      </c>
      <c r="I478">
        <v>6929.04</v>
      </c>
      <c r="J478">
        <v>13595.96</v>
      </c>
      <c r="K478">
        <v>196.22</v>
      </c>
      <c r="L478">
        <v>215</v>
      </c>
      <c r="M478" s="13" t="s">
        <v>3366</v>
      </c>
    </row>
    <row r="479" spans="1:13" x14ac:dyDescent="0.35">
      <c r="A479" s="13" t="s">
        <v>3859</v>
      </c>
      <c r="B479" s="13" t="s">
        <v>1115</v>
      </c>
      <c r="C479" s="13" t="s">
        <v>1116</v>
      </c>
      <c r="D479" s="13" t="s">
        <v>92</v>
      </c>
      <c r="E479" s="13" t="s">
        <v>52</v>
      </c>
      <c r="F479" s="13" t="s">
        <v>57</v>
      </c>
      <c r="G479" s="14">
        <v>45796</v>
      </c>
      <c r="H479" s="14">
        <v>45807</v>
      </c>
      <c r="I479">
        <v>7425.28</v>
      </c>
      <c r="J479">
        <v>7797.43</v>
      </c>
      <c r="K479">
        <v>105.01</v>
      </c>
      <c r="L479">
        <v>215</v>
      </c>
      <c r="M479" s="13" t="s">
        <v>3366</v>
      </c>
    </row>
    <row r="480" spans="1:13" x14ac:dyDescent="0.35">
      <c r="A480" s="13" t="s">
        <v>3860</v>
      </c>
      <c r="B480" s="13" t="s">
        <v>1237</v>
      </c>
      <c r="C480" s="13" t="s">
        <v>1238</v>
      </c>
      <c r="D480" s="13" t="s">
        <v>67</v>
      </c>
      <c r="E480" s="13" t="s">
        <v>104</v>
      </c>
      <c r="F480" s="13" t="s">
        <v>122</v>
      </c>
      <c r="G480" s="14">
        <v>45803</v>
      </c>
      <c r="H480" s="14">
        <v>45807</v>
      </c>
      <c r="I480">
        <v>4977.41</v>
      </c>
      <c r="J480">
        <v>13604.06</v>
      </c>
      <c r="K480">
        <v>273.32</v>
      </c>
      <c r="L480">
        <v>215</v>
      </c>
      <c r="M480" s="13" t="s">
        <v>3366</v>
      </c>
    </row>
    <row r="481" spans="1:13" x14ac:dyDescent="0.35">
      <c r="A481" s="13" t="s">
        <v>3861</v>
      </c>
      <c r="B481" s="13" t="s">
        <v>296</v>
      </c>
      <c r="C481" s="13" t="s">
        <v>297</v>
      </c>
      <c r="D481" s="13" t="s">
        <v>92</v>
      </c>
      <c r="E481" s="13" t="s">
        <v>104</v>
      </c>
      <c r="F481" s="13" t="s">
        <v>106</v>
      </c>
      <c r="G481" s="14">
        <v>45796</v>
      </c>
      <c r="H481" s="14">
        <v>45807</v>
      </c>
      <c r="I481">
        <v>542.91</v>
      </c>
      <c r="J481">
        <v>0</v>
      </c>
      <c r="K481">
        <v>0</v>
      </c>
      <c r="L481">
        <v>215</v>
      </c>
      <c r="M481" s="13" t="s">
        <v>3512</v>
      </c>
    </row>
    <row r="482" spans="1:13" x14ac:dyDescent="0.35">
      <c r="A482" s="13" t="s">
        <v>3862</v>
      </c>
      <c r="B482" s="13" t="s">
        <v>206</v>
      </c>
      <c r="C482" s="13" t="s">
        <v>207</v>
      </c>
      <c r="D482" s="13" t="s">
        <v>92</v>
      </c>
      <c r="E482" s="13" t="s">
        <v>52</v>
      </c>
      <c r="F482" s="13" t="s">
        <v>87</v>
      </c>
      <c r="G482" s="14">
        <v>45790</v>
      </c>
      <c r="H482" s="14">
        <v>45807</v>
      </c>
      <c r="I482">
        <v>7045.21</v>
      </c>
      <c r="J482">
        <v>0</v>
      </c>
      <c r="K482">
        <v>0</v>
      </c>
      <c r="L482">
        <v>215</v>
      </c>
      <c r="M482" s="13" t="s">
        <v>3512</v>
      </c>
    </row>
    <row r="483" spans="1:13" x14ac:dyDescent="0.35">
      <c r="A483" s="13" t="s">
        <v>3863</v>
      </c>
      <c r="B483" s="13" t="s">
        <v>879</v>
      </c>
      <c r="C483" s="13" t="s">
        <v>880</v>
      </c>
      <c r="D483" s="13" t="s">
        <v>67</v>
      </c>
      <c r="E483" s="13" t="s">
        <v>104</v>
      </c>
      <c r="F483" s="13" t="s">
        <v>122</v>
      </c>
      <c r="G483" s="14">
        <v>45801</v>
      </c>
      <c r="H483" s="14">
        <v>45807</v>
      </c>
      <c r="I483">
        <v>3232.81</v>
      </c>
      <c r="J483">
        <v>5929.62</v>
      </c>
      <c r="K483">
        <v>183.42</v>
      </c>
      <c r="L483">
        <v>215</v>
      </c>
      <c r="M483" s="13" t="s">
        <v>3366</v>
      </c>
    </row>
    <row r="484" spans="1:13" x14ac:dyDescent="0.35">
      <c r="A484" s="13" t="s">
        <v>3864</v>
      </c>
      <c r="B484" s="13" t="s">
        <v>575</v>
      </c>
      <c r="C484" s="13" t="s">
        <v>576</v>
      </c>
      <c r="D484" s="13" t="s">
        <v>55</v>
      </c>
      <c r="E484" s="13" t="s">
        <v>126</v>
      </c>
      <c r="F484" s="13" t="s">
        <v>87</v>
      </c>
      <c r="G484" s="14">
        <v>45798</v>
      </c>
      <c r="H484" s="14">
        <v>45808</v>
      </c>
      <c r="I484">
        <v>8858.01</v>
      </c>
      <c r="J484">
        <v>9128.51</v>
      </c>
      <c r="K484">
        <v>103.05</v>
      </c>
      <c r="L484">
        <v>214</v>
      </c>
      <c r="M484" s="13" t="s">
        <v>3366</v>
      </c>
    </row>
    <row r="485" spans="1:13" x14ac:dyDescent="0.35">
      <c r="A485" s="13" t="s">
        <v>3865</v>
      </c>
      <c r="B485" s="13" t="s">
        <v>1105</v>
      </c>
      <c r="C485" s="13" t="s">
        <v>1106</v>
      </c>
      <c r="D485" s="13" t="s">
        <v>67</v>
      </c>
      <c r="E485" s="13" t="s">
        <v>52</v>
      </c>
      <c r="F485" s="13" t="s">
        <v>57</v>
      </c>
      <c r="G485" s="14">
        <v>45801</v>
      </c>
      <c r="H485" s="14">
        <v>45808</v>
      </c>
      <c r="I485">
        <v>13742.49</v>
      </c>
      <c r="J485">
        <v>14207.35</v>
      </c>
      <c r="K485">
        <v>103.38</v>
      </c>
      <c r="L485">
        <v>214</v>
      </c>
      <c r="M485" s="13" t="s">
        <v>3366</v>
      </c>
    </row>
    <row r="486" spans="1:13" x14ac:dyDescent="0.35">
      <c r="A486" s="13" t="s">
        <v>3866</v>
      </c>
      <c r="B486" s="13" t="s">
        <v>812</v>
      </c>
      <c r="C486" s="13" t="s">
        <v>813</v>
      </c>
      <c r="D486" s="13" t="s">
        <v>67</v>
      </c>
      <c r="E486" s="13" t="s">
        <v>126</v>
      </c>
      <c r="F486" s="13" t="s">
        <v>57</v>
      </c>
      <c r="G486" s="14">
        <v>45801</v>
      </c>
      <c r="H486" s="14">
        <v>45808</v>
      </c>
      <c r="I486">
        <v>858.5</v>
      </c>
      <c r="J486">
        <v>890.93</v>
      </c>
      <c r="K486">
        <v>103.78</v>
      </c>
      <c r="L486">
        <v>214</v>
      </c>
      <c r="M486" s="13" t="s">
        <v>3366</v>
      </c>
    </row>
    <row r="487" spans="1:13" x14ac:dyDescent="0.35">
      <c r="A487" s="13" t="s">
        <v>3867</v>
      </c>
      <c r="B487" s="13" t="s">
        <v>1995</v>
      </c>
      <c r="C487" s="13" t="s">
        <v>1996</v>
      </c>
      <c r="D487" s="13" t="s">
        <v>55</v>
      </c>
      <c r="E487" s="13" t="s">
        <v>76</v>
      </c>
      <c r="F487" s="13" t="s">
        <v>80</v>
      </c>
      <c r="G487" s="14">
        <v>45798</v>
      </c>
      <c r="H487" s="14">
        <v>45808</v>
      </c>
      <c r="I487">
        <v>2272.48</v>
      </c>
      <c r="J487">
        <v>2310.5500000000002</v>
      </c>
      <c r="K487">
        <v>101.68</v>
      </c>
      <c r="L487">
        <v>214</v>
      </c>
      <c r="M487" s="13" t="s">
        <v>3366</v>
      </c>
    </row>
    <row r="488" spans="1:13" x14ac:dyDescent="0.35">
      <c r="A488" s="13" t="s">
        <v>3868</v>
      </c>
      <c r="B488" s="13" t="s">
        <v>286</v>
      </c>
      <c r="C488" s="13" t="s">
        <v>287</v>
      </c>
      <c r="D488" s="13" t="s">
        <v>92</v>
      </c>
      <c r="E488" s="13" t="s">
        <v>104</v>
      </c>
      <c r="F488" s="13" t="s">
        <v>87</v>
      </c>
      <c r="G488" s="14">
        <v>45785</v>
      </c>
      <c r="H488" s="14">
        <v>45808</v>
      </c>
      <c r="I488">
        <v>2385.48</v>
      </c>
      <c r="J488">
        <v>0</v>
      </c>
      <c r="K488">
        <v>0</v>
      </c>
      <c r="L488">
        <v>214</v>
      </c>
      <c r="M488" s="13" t="s">
        <v>3512</v>
      </c>
    </row>
    <row r="489" spans="1:13" x14ac:dyDescent="0.35">
      <c r="A489" s="13" t="s">
        <v>3869</v>
      </c>
      <c r="B489" s="13" t="s">
        <v>165</v>
      </c>
      <c r="C489" s="13" t="s">
        <v>166</v>
      </c>
      <c r="D489" s="13" t="s">
        <v>67</v>
      </c>
      <c r="E489" s="13" t="s">
        <v>104</v>
      </c>
      <c r="F489" s="13" t="s">
        <v>122</v>
      </c>
      <c r="G489" s="14">
        <v>45798</v>
      </c>
      <c r="H489" s="14">
        <v>45808</v>
      </c>
      <c r="I489">
        <v>1343.39</v>
      </c>
      <c r="J489">
        <v>1434.07</v>
      </c>
      <c r="K489">
        <v>106.75</v>
      </c>
      <c r="L489">
        <v>214</v>
      </c>
      <c r="M489" s="13" t="s">
        <v>3366</v>
      </c>
    </row>
    <row r="490" spans="1:13" x14ac:dyDescent="0.35">
      <c r="A490" s="13" t="s">
        <v>3870</v>
      </c>
      <c r="B490" s="13" t="s">
        <v>1300</v>
      </c>
      <c r="C490" s="13" t="s">
        <v>1301</v>
      </c>
      <c r="D490" s="13" t="s">
        <v>67</v>
      </c>
      <c r="E490" s="13" t="s">
        <v>126</v>
      </c>
      <c r="F490" s="13" t="s">
        <v>122</v>
      </c>
      <c r="G490" s="14">
        <v>45801</v>
      </c>
      <c r="H490" s="14">
        <v>45808</v>
      </c>
      <c r="I490">
        <v>10116.709999999999</v>
      </c>
      <c r="J490">
        <v>11186.44</v>
      </c>
      <c r="K490">
        <v>110.57</v>
      </c>
      <c r="L490">
        <v>214</v>
      </c>
      <c r="M490" s="13" t="s">
        <v>3366</v>
      </c>
    </row>
    <row r="491" spans="1:13" x14ac:dyDescent="0.35">
      <c r="A491" s="13" t="s">
        <v>3871</v>
      </c>
      <c r="B491" s="13" t="s">
        <v>920</v>
      </c>
      <c r="C491" s="13" t="s">
        <v>921</v>
      </c>
      <c r="D491" s="13" t="s">
        <v>92</v>
      </c>
      <c r="E491" s="13" t="s">
        <v>104</v>
      </c>
      <c r="F491" s="13" t="s">
        <v>122</v>
      </c>
      <c r="G491" s="14">
        <v>45797</v>
      </c>
      <c r="H491" s="14">
        <v>45808</v>
      </c>
      <c r="I491">
        <v>6794.48</v>
      </c>
      <c r="J491">
        <v>6999.46</v>
      </c>
      <c r="K491">
        <v>103.02</v>
      </c>
      <c r="L491">
        <v>214</v>
      </c>
      <c r="M491" s="13" t="s">
        <v>3366</v>
      </c>
    </row>
    <row r="492" spans="1:13" x14ac:dyDescent="0.35">
      <c r="A492" s="13" t="s">
        <v>3872</v>
      </c>
      <c r="B492" s="13" t="s">
        <v>857</v>
      </c>
      <c r="C492" s="13" t="s">
        <v>858</v>
      </c>
      <c r="D492" s="13" t="s">
        <v>55</v>
      </c>
      <c r="E492" s="13" t="s">
        <v>126</v>
      </c>
      <c r="F492" s="13" t="s">
        <v>57</v>
      </c>
      <c r="G492" s="14">
        <v>45797</v>
      </c>
      <c r="H492" s="14">
        <v>45808</v>
      </c>
      <c r="I492">
        <v>4480.03</v>
      </c>
      <c r="J492">
        <v>6990.59</v>
      </c>
      <c r="K492">
        <v>156.04</v>
      </c>
      <c r="L492">
        <v>214</v>
      </c>
      <c r="M492" s="13" t="s">
        <v>3366</v>
      </c>
    </row>
    <row r="493" spans="1:13" x14ac:dyDescent="0.35">
      <c r="A493" s="13" t="s">
        <v>3873</v>
      </c>
      <c r="B493" s="13" t="s">
        <v>225</v>
      </c>
      <c r="C493" s="13" t="s">
        <v>226</v>
      </c>
      <c r="D493" s="13" t="s">
        <v>55</v>
      </c>
      <c r="E493" s="13" t="s">
        <v>52</v>
      </c>
      <c r="F493" s="13" t="s">
        <v>57</v>
      </c>
      <c r="G493" s="14">
        <v>45803</v>
      </c>
      <c r="H493" s="14">
        <v>45809</v>
      </c>
      <c r="I493">
        <v>10535.41</v>
      </c>
      <c r="J493">
        <v>19878.27</v>
      </c>
      <c r="K493">
        <v>188.68</v>
      </c>
      <c r="L493">
        <v>213</v>
      </c>
      <c r="M493" s="13" t="s">
        <v>3366</v>
      </c>
    </row>
    <row r="494" spans="1:13" x14ac:dyDescent="0.35">
      <c r="A494" s="13" t="s">
        <v>3874</v>
      </c>
      <c r="B494" s="13" t="s">
        <v>3770</v>
      </c>
      <c r="C494" s="13" t="s">
        <v>3771</v>
      </c>
      <c r="D494" s="13" t="s">
        <v>67</v>
      </c>
      <c r="E494" s="13" t="s">
        <v>104</v>
      </c>
      <c r="F494" s="13" t="s">
        <v>122</v>
      </c>
      <c r="G494" s="14">
        <v>45805</v>
      </c>
      <c r="H494" s="14">
        <v>45809</v>
      </c>
      <c r="I494">
        <v>5320.3</v>
      </c>
      <c r="J494">
        <v>5344.27</v>
      </c>
      <c r="K494">
        <v>100.45</v>
      </c>
      <c r="L494">
        <v>213</v>
      </c>
      <c r="M494" s="13" t="s">
        <v>3366</v>
      </c>
    </row>
    <row r="495" spans="1:13" x14ac:dyDescent="0.35">
      <c r="A495" s="13" t="s">
        <v>3875</v>
      </c>
      <c r="B495" s="13" t="s">
        <v>927</v>
      </c>
      <c r="C495" s="13" t="s">
        <v>928</v>
      </c>
      <c r="D495" s="13" t="s">
        <v>67</v>
      </c>
      <c r="E495" s="13" t="s">
        <v>52</v>
      </c>
      <c r="F495" s="13" t="s">
        <v>57</v>
      </c>
      <c r="G495" s="14">
        <v>45798</v>
      </c>
      <c r="H495" s="14">
        <v>45809</v>
      </c>
      <c r="I495">
        <v>14011.92</v>
      </c>
      <c r="J495">
        <v>14861</v>
      </c>
      <c r="K495">
        <v>106.06</v>
      </c>
      <c r="L495">
        <v>213</v>
      </c>
      <c r="M495" s="13" t="s">
        <v>3366</v>
      </c>
    </row>
    <row r="496" spans="1:13" x14ac:dyDescent="0.35">
      <c r="A496" s="13" t="s">
        <v>3876</v>
      </c>
      <c r="B496" s="13" t="s">
        <v>50</v>
      </c>
      <c r="C496" s="13" t="s">
        <v>51</v>
      </c>
      <c r="D496" s="13" t="s">
        <v>55</v>
      </c>
      <c r="E496" s="13" t="s">
        <v>52</v>
      </c>
      <c r="F496" s="13" t="s">
        <v>57</v>
      </c>
      <c r="G496" s="14">
        <v>45803</v>
      </c>
      <c r="H496" s="14">
        <v>45809</v>
      </c>
      <c r="I496">
        <v>5267.74</v>
      </c>
      <c r="J496">
        <v>21631.17</v>
      </c>
      <c r="K496">
        <v>410.63</v>
      </c>
      <c r="L496">
        <v>213</v>
      </c>
      <c r="M496" s="13" t="s">
        <v>3366</v>
      </c>
    </row>
    <row r="497" spans="1:13" x14ac:dyDescent="0.35">
      <c r="A497" s="13" t="s">
        <v>3877</v>
      </c>
      <c r="B497" s="13" t="s">
        <v>305</v>
      </c>
      <c r="C497" s="13" t="s">
        <v>306</v>
      </c>
      <c r="D497" s="13" t="s">
        <v>67</v>
      </c>
      <c r="E497" s="13" t="s">
        <v>76</v>
      </c>
      <c r="F497" s="13" t="s">
        <v>94</v>
      </c>
      <c r="G497" s="14">
        <v>45797</v>
      </c>
      <c r="H497" s="14">
        <v>45810</v>
      </c>
      <c r="I497">
        <v>567.76</v>
      </c>
      <c r="J497">
        <v>624.47</v>
      </c>
      <c r="K497">
        <v>109.99</v>
      </c>
      <c r="L497">
        <v>212</v>
      </c>
      <c r="M497" s="13" t="s">
        <v>3366</v>
      </c>
    </row>
    <row r="498" spans="1:13" x14ac:dyDescent="0.35">
      <c r="A498" s="13" t="s">
        <v>3878</v>
      </c>
      <c r="B498" s="13" t="s">
        <v>286</v>
      </c>
      <c r="C498" s="13" t="s">
        <v>287</v>
      </c>
      <c r="D498" s="13" t="s">
        <v>92</v>
      </c>
      <c r="E498" s="13" t="s">
        <v>104</v>
      </c>
      <c r="F498" s="13" t="s">
        <v>87</v>
      </c>
      <c r="G498" s="14">
        <v>45788</v>
      </c>
      <c r="H498" s="14">
        <v>45810</v>
      </c>
      <c r="I498">
        <v>4564.3599999999997</v>
      </c>
      <c r="J498">
        <v>0</v>
      </c>
      <c r="K498">
        <v>0</v>
      </c>
      <c r="L498">
        <v>212</v>
      </c>
      <c r="M498" s="13" t="s">
        <v>3512</v>
      </c>
    </row>
    <row r="499" spans="1:13" x14ac:dyDescent="0.35">
      <c r="A499" s="13" t="s">
        <v>3879</v>
      </c>
      <c r="B499" s="13" t="s">
        <v>1195</v>
      </c>
      <c r="C499" s="13" t="s">
        <v>1196</v>
      </c>
      <c r="D499" s="13" t="s">
        <v>67</v>
      </c>
      <c r="E499" s="13" t="s">
        <v>104</v>
      </c>
      <c r="F499" s="13" t="s">
        <v>106</v>
      </c>
      <c r="G499" s="14">
        <v>45801</v>
      </c>
      <c r="H499" s="14">
        <v>45810</v>
      </c>
      <c r="I499">
        <v>996.83</v>
      </c>
      <c r="J499">
        <v>1025.58</v>
      </c>
      <c r="K499">
        <v>102.88</v>
      </c>
      <c r="L499">
        <v>212</v>
      </c>
      <c r="M499" s="13" t="s">
        <v>3366</v>
      </c>
    </row>
    <row r="500" spans="1:13" x14ac:dyDescent="0.35">
      <c r="A500" s="13" t="s">
        <v>3880</v>
      </c>
      <c r="B500" s="13" t="s">
        <v>596</v>
      </c>
      <c r="C500" s="13" t="s">
        <v>597</v>
      </c>
      <c r="D500" s="13" t="s">
        <v>67</v>
      </c>
      <c r="E500" s="13" t="s">
        <v>126</v>
      </c>
      <c r="F500" s="13" t="s">
        <v>57</v>
      </c>
      <c r="G500" s="14">
        <v>45805</v>
      </c>
      <c r="H500" s="14">
        <v>45811</v>
      </c>
      <c r="I500">
        <v>1123.28</v>
      </c>
      <c r="J500">
        <v>1166.3800000000001</v>
      </c>
      <c r="K500">
        <v>103.84</v>
      </c>
      <c r="L500">
        <v>211</v>
      </c>
      <c r="M500" s="13" t="s">
        <v>3366</v>
      </c>
    </row>
    <row r="501" spans="1:13" x14ac:dyDescent="0.35">
      <c r="A501" s="13" t="s">
        <v>3881</v>
      </c>
      <c r="B501" s="13" t="s">
        <v>2138</v>
      </c>
      <c r="C501" s="13" t="s">
        <v>2139</v>
      </c>
      <c r="D501" s="13" t="s">
        <v>55</v>
      </c>
      <c r="E501" s="13" t="s">
        <v>76</v>
      </c>
      <c r="F501" s="13" t="s">
        <v>80</v>
      </c>
      <c r="G501" s="14">
        <v>45799</v>
      </c>
      <c r="H501" s="14">
        <v>45811</v>
      </c>
      <c r="I501">
        <v>752.76</v>
      </c>
      <c r="J501">
        <v>811.69</v>
      </c>
      <c r="K501">
        <v>107.83</v>
      </c>
      <c r="L501">
        <v>211</v>
      </c>
      <c r="M501" s="13" t="s">
        <v>3366</v>
      </c>
    </row>
    <row r="502" spans="1:13" x14ac:dyDescent="0.35">
      <c r="A502" s="13" t="s">
        <v>3882</v>
      </c>
      <c r="B502" s="13" t="s">
        <v>238</v>
      </c>
      <c r="C502" s="13" t="s">
        <v>239</v>
      </c>
      <c r="D502" s="13" t="s">
        <v>92</v>
      </c>
      <c r="E502" s="13" t="s">
        <v>76</v>
      </c>
      <c r="F502" s="13" t="s">
        <v>94</v>
      </c>
      <c r="G502" s="14">
        <v>45805</v>
      </c>
      <c r="H502" s="14">
        <v>45811</v>
      </c>
      <c r="I502">
        <v>503.74</v>
      </c>
      <c r="J502">
        <v>519.66</v>
      </c>
      <c r="K502">
        <v>103.16</v>
      </c>
      <c r="L502">
        <v>211</v>
      </c>
      <c r="M502" s="13" t="s">
        <v>3366</v>
      </c>
    </row>
    <row r="503" spans="1:13" x14ac:dyDescent="0.35">
      <c r="A503" s="13" t="s">
        <v>3883</v>
      </c>
      <c r="B503" s="13" t="s">
        <v>1898</v>
      </c>
      <c r="C503" s="13" t="s">
        <v>1899</v>
      </c>
      <c r="D503" s="13" t="s">
        <v>67</v>
      </c>
      <c r="E503" s="13" t="s">
        <v>104</v>
      </c>
      <c r="F503" s="13" t="s">
        <v>106</v>
      </c>
      <c r="G503" s="14">
        <v>45803</v>
      </c>
      <c r="H503" s="14">
        <v>45811</v>
      </c>
      <c r="I503">
        <v>6678.83</v>
      </c>
      <c r="J503">
        <v>16179.63</v>
      </c>
      <c r="K503">
        <v>242.25</v>
      </c>
      <c r="L503">
        <v>211</v>
      </c>
      <c r="M503" s="13" t="s">
        <v>3366</v>
      </c>
    </row>
    <row r="504" spans="1:13" x14ac:dyDescent="0.35">
      <c r="A504" s="13" t="s">
        <v>3884</v>
      </c>
      <c r="B504" s="13" t="s">
        <v>177</v>
      </c>
      <c r="C504" s="13" t="s">
        <v>178</v>
      </c>
      <c r="D504" s="13" t="s">
        <v>67</v>
      </c>
      <c r="E504" s="13" t="s">
        <v>52</v>
      </c>
      <c r="F504" s="13" t="s">
        <v>57</v>
      </c>
      <c r="G504" s="14">
        <v>45807</v>
      </c>
      <c r="H504" s="14">
        <v>45811</v>
      </c>
      <c r="I504">
        <v>13509.63</v>
      </c>
      <c r="J504">
        <v>17587.330000000002</v>
      </c>
      <c r="K504">
        <v>130.18</v>
      </c>
      <c r="L504">
        <v>211</v>
      </c>
      <c r="M504" s="13" t="s">
        <v>3366</v>
      </c>
    </row>
    <row r="505" spans="1:13" x14ac:dyDescent="0.35">
      <c r="A505" s="13" t="s">
        <v>3885</v>
      </c>
      <c r="B505" s="13" t="s">
        <v>958</v>
      </c>
      <c r="C505" s="13" t="s">
        <v>959</v>
      </c>
      <c r="D505" s="13" t="s">
        <v>55</v>
      </c>
      <c r="E505" s="13" t="s">
        <v>52</v>
      </c>
      <c r="F505" s="13" t="s">
        <v>57</v>
      </c>
      <c r="G505" s="14">
        <v>45801</v>
      </c>
      <c r="H505" s="14">
        <v>45812</v>
      </c>
      <c r="I505">
        <v>13062.1</v>
      </c>
      <c r="J505">
        <v>14864.46</v>
      </c>
      <c r="K505">
        <v>113.8</v>
      </c>
      <c r="L505">
        <v>210</v>
      </c>
      <c r="M505" s="13" t="s">
        <v>3366</v>
      </c>
    </row>
    <row r="506" spans="1:13" x14ac:dyDescent="0.35">
      <c r="A506" s="13" t="s">
        <v>3886</v>
      </c>
      <c r="B506" s="13" t="s">
        <v>159</v>
      </c>
      <c r="C506" s="13" t="s">
        <v>160</v>
      </c>
      <c r="D506" s="13" t="s">
        <v>67</v>
      </c>
      <c r="E506" s="13" t="s">
        <v>104</v>
      </c>
      <c r="F506" s="13" t="s">
        <v>106</v>
      </c>
      <c r="G506" s="14">
        <v>45802</v>
      </c>
      <c r="H506" s="14">
        <v>45812</v>
      </c>
      <c r="I506">
        <v>1276.69</v>
      </c>
      <c r="J506">
        <v>1347.8</v>
      </c>
      <c r="K506">
        <v>105.57</v>
      </c>
      <c r="L506">
        <v>210</v>
      </c>
      <c r="M506" s="13" t="s">
        <v>3366</v>
      </c>
    </row>
    <row r="507" spans="1:13" x14ac:dyDescent="0.35">
      <c r="A507" s="13" t="s">
        <v>3887</v>
      </c>
      <c r="B507" s="13" t="s">
        <v>1092</v>
      </c>
      <c r="C507" s="13" t="s">
        <v>1093</v>
      </c>
      <c r="D507" s="13" t="s">
        <v>55</v>
      </c>
      <c r="E507" s="13" t="s">
        <v>76</v>
      </c>
      <c r="F507" s="13" t="s">
        <v>94</v>
      </c>
      <c r="G507" s="14">
        <v>45806</v>
      </c>
      <c r="H507" s="14">
        <v>45812</v>
      </c>
      <c r="I507">
        <v>498.3</v>
      </c>
      <c r="J507">
        <v>984.12</v>
      </c>
      <c r="K507">
        <v>197.5</v>
      </c>
      <c r="L507">
        <v>210</v>
      </c>
      <c r="M507" s="13" t="s">
        <v>3366</v>
      </c>
    </row>
    <row r="508" spans="1:13" x14ac:dyDescent="0.35">
      <c r="A508" s="13" t="s">
        <v>3888</v>
      </c>
      <c r="B508" s="13" t="s">
        <v>283</v>
      </c>
      <c r="C508" s="13" t="s">
        <v>284</v>
      </c>
      <c r="D508" s="13" t="s">
        <v>92</v>
      </c>
      <c r="E508" s="13" t="s">
        <v>104</v>
      </c>
      <c r="F508" s="13" t="s">
        <v>106</v>
      </c>
      <c r="G508" s="14">
        <v>45798</v>
      </c>
      <c r="H508" s="14">
        <v>45813</v>
      </c>
      <c r="I508">
        <v>1618.08</v>
      </c>
      <c r="J508">
        <v>0</v>
      </c>
      <c r="K508">
        <v>0</v>
      </c>
      <c r="L508">
        <v>209</v>
      </c>
      <c r="M508" s="13" t="s">
        <v>3512</v>
      </c>
    </row>
    <row r="509" spans="1:13" x14ac:dyDescent="0.35">
      <c r="A509" s="13" t="s">
        <v>3889</v>
      </c>
      <c r="B509" s="13" t="s">
        <v>1541</v>
      </c>
      <c r="C509" s="13" t="s">
        <v>1542</v>
      </c>
      <c r="D509" s="13" t="s">
        <v>92</v>
      </c>
      <c r="E509" s="13" t="s">
        <v>104</v>
      </c>
      <c r="F509" s="13" t="s">
        <v>57</v>
      </c>
      <c r="G509" s="14">
        <v>45806</v>
      </c>
      <c r="H509" s="14">
        <v>45813</v>
      </c>
      <c r="I509">
        <v>733.76</v>
      </c>
      <c r="J509">
        <v>1836.5</v>
      </c>
      <c r="K509">
        <v>250.29</v>
      </c>
      <c r="L509">
        <v>209</v>
      </c>
      <c r="M509" s="13" t="s">
        <v>3366</v>
      </c>
    </row>
    <row r="510" spans="1:13" x14ac:dyDescent="0.35">
      <c r="A510" s="13" t="s">
        <v>3890</v>
      </c>
      <c r="B510" s="13" t="s">
        <v>2094</v>
      </c>
      <c r="C510" s="13" t="s">
        <v>2095</v>
      </c>
      <c r="D510" s="13" t="s">
        <v>55</v>
      </c>
      <c r="E510" s="13" t="s">
        <v>104</v>
      </c>
      <c r="F510" s="13" t="s">
        <v>106</v>
      </c>
      <c r="G510" s="14">
        <v>45806</v>
      </c>
      <c r="H510" s="14">
        <v>45814</v>
      </c>
      <c r="I510">
        <v>3697.5</v>
      </c>
      <c r="J510">
        <v>9178.89</v>
      </c>
      <c r="K510">
        <v>248.25</v>
      </c>
      <c r="L510">
        <v>208</v>
      </c>
      <c r="M510" s="13" t="s">
        <v>3366</v>
      </c>
    </row>
    <row r="511" spans="1:13" x14ac:dyDescent="0.35">
      <c r="A511" s="13" t="s">
        <v>3891</v>
      </c>
      <c r="B511" s="13" t="s">
        <v>180</v>
      </c>
      <c r="C511" s="13" t="s">
        <v>181</v>
      </c>
      <c r="D511" s="13" t="s">
        <v>55</v>
      </c>
      <c r="E511" s="13" t="s">
        <v>104</v>
      </c>
      <c r="F511" s="13" t="s">
        <v>122</v>
      </c>
      <c r="G511" s="14">
        <v>45803</v>
      </c>
      <c r="H511" s="14">
        <v>45814</v>
      </c>
      <c r="I511">
        <v>1514.52</v>
      </c>
      <c r="J511">
        <v>11190.65</v>
      </c>
      <c r="K511">
        <v>738.89</v>
      </c>
      <c r="L511">
        <v>208</v>
      </c>
      <c r="M511" s="13" t="s">
        <v>3366</v>
      </c>
    </row>
    <row r="512" spans="1:13" x14ac:dyDescent="0.35">
      <c r="A512" s="13" t="s">
        <v>3892</v>
      </c>
      <c r="B512" s="13" t="s">
        <v>296</v>
      </c>
      <c r="C512" s="13" t="s">
        <v>297</v>
      </c>
      <c r="D512" s="13" t="s">
        <v>92</v>
      </c>
      <c r="E512" s="13" t="s">
        <v>104</v>
      </c>
      <c r="F512" s="13" t="s">
        <v>106</v>
      </c>
      <c r="G512" s="14">
        <v>45804</v>
      </c>
      <c r="H512" s="14">
        <v>45814</v>
      </c>
      <c r="I512">
        <v>5173.55</v>
      </c>
      <c r="J512">
        <v>0</v>
      </c>
      <c r="K512">
        <v>0</v>
      </c>
      <c r="L512">
        <v>208</v>
      </c>
      <c r="M512" s="13" t="s">
        <v>3512</v>
      </c>
    </row>
    <row r="513" spans="1:13" x14ac:dyDescent="0.35">
      <c r="A513" s="13" t="s">
        <v>3893</v>
      </c>
      <c r="B513" s="13" t="s">
        <v>986</v>
      </c>
      <c r="C513" s="13" t="s">
        <v>987</v>
      </c>
      <c r="D513" s="13" t="s">
        <v>67</v>
      </c>
      <c r="E513" s="13" t="s">
        <v>104</v>
      </c>
      <c r="F513" s="13" t="s">
        <v>106</v>
      </c>
      <c r="G513" s="14">
        <v>45811</v>
      </c>
      <c r="H513" s="14">
        <v>45815</v>
      </c>
      <c r="I513">
        <v>2888.96</v>
      </c>
      <c r="J513">
        <v>2993.56</v>
      </c>
      <c r="K513">
        <v>103.62</v>
      </c>
      <c r="L513">
        <v>207</v>
      </c>
      <c r="M513" s="13" t="s">
        <v>3366</v>
      </c>
    </row>
    <row r="514" spans="1:13" x14ac:dyDescent="0.35">
      <c r="A514" s="13" t="s">
        <v>3894</v>
      </c>
      <c r="B514" s="13" t="s">
        <v>2032</v>
      </c>
      <c r="C514" s="13" t="s">
        <v>2033</v>
      </c>
      <c r="D514" s="13" t="s">
        <v>67</v>
      </c>
      <c r="E514" s="13" t="s">
        <v>76</v>
      </c>
      <c r="F514" s="13" t="s">
        <v>80</v>
      </c>
      <c r="G514" s="14">
        <v>45807</v>
      </c>
      <c r="H514" s="14">
        <v>45815</v>
      </c>
      <c r="I514">
        <v>482.49</v>
      </c>
      <c r="J514">
        <v>505.27</v>
      </c>
      <c r="K514">
        <v>104.72</v>
      </c>
      <c r="L514">
        <v>207</v>
      </c>
      <c r="M514" s="13" t="s">
        <v>3366</v>
      </c>
    </row>
    <row r="515" spans="1:13" x14ac:dyDescent="0.35">
      <c r="A515" s="13" t="s">
        <v>3895</v>
      </c>
      <c r="B515" s="13" t="s">
        <v>1898</v>
      </c>
      <c r="C515" s="13" t="s">
        <v>1899</v>
      </c>
      <c r="D515" s="13" t="s">
        <v>67</v>
      </c>
      <c r="E515" s="13" t="s">
        <v>104</v>
      </c>
      <c r="F515" s="13" t="s">
        <v>106</v>
      </c>
      <c r="G515" s="14">
        <v>45809</v>
      </c>
      <c r="H515" s="14">
        <v>45815</v>
      </c>
      <c r="I515">
        <v>4525.93</v>
      </c>
      <c r="J515">
        <v>4766.9799999999996</v>
      </c>
      <c r="K515">
        <v>105.33</v>
      </c>
      <c r="L515">
        <v>207</v>
      </c>
      <c r="M515" s="13" t="s">
        <v>3366</v>
      </c>
    </row>
    <row r="516" spans="1:13" x14ac:dyDescent="0.35">
      <c r="A516" s="13" t="s">
        <v>3896</v>
      </c>
      <c r="B516" s="13" t="s">
        <v>2253</v>
      </c>
      <c r="C516" s="13" t="s">
        <v>2254</v>
      </c>
      <c r="D516" s="13" t="s">
        <v>67</v>
      </c>
      <c r="E516" s="13" t="s">
        <v>76</v>
      </c>
      <c r="F516" s="13" t="s">
        <v>94</v>
      </c>
      <c r="G516" s="14">
        <v>45811</v>
      </c>
      <c r="H516" s="14">
        <v>45815</v>
      </c>
      <c r="I516">
        <v>1819.62</v>
      </c>
      <c r="J516">
        <v>1979.38</v>
      </c>
      <c r="K516">
        <v>108.78</v>
      </c>
      <c r="L516">
        <v>207</v>
      </c>
      <c r="M516" s="13" t="s">
        <v>3366</v>
      </c>
    </row>
    <row r="517" spans="1:13" x14ac:dyDescent="0.35">
      <c r="A517" s="13" t="s">
        <v>3897</v>
      </c>
      <c r="B517" s="13" t="s">
        <v>442</v>
      </c>
      <c r="C517" s="13" t="s">
        <v>443</v>
      </c>
      <c r="D517" s="13" t="s">
        <v>92</v>
      </c>
      <c r="E517" s="13" t="s">
        <v>104</v>
      </c>
      <c r="F517" s="13" t="s">
        <v>122</v>
      </c>
      <c r="G517" s="14">
        <v>45808</v>
      </c>
      <c r="H517" s="14">
        <v>45815</v>
      </c>
      <c r="I517">
        <v>3837.97</v>
      </c>
      <c r="J517">
        <v>4191.13</v>
      </c>
      <c r="K517">
        <v>109.2</v>
      </c>
      <c r="L517">
        <v>207</v>
      </c>
      <c r="M517" s="13" t="s">
        <v>3366</v>
      </c>
    </row>
    <row r="518" spans="1:13" x14ac:dyDescent="0.35">
      <c r="A518" s="13" t="s">
        <v>3898</v>
      </c>
      <c r="B518" s="13" t="s">
        <v>277</v>
      </c>
      <c r="C518" s="13" t="s">
        <v>278</v>
      </c>
      <c r="D518" s="13" t="s">
        <v>92</v>
      </c>
      <c r="E518" s="13" t="s">
        <v>104</v>
      </c>
      <c r="F518" s="13" t="s">
        <v>106</v>
      </c>
      <c r="G518" s="14">
        <v>45793</v>
      </c>
      <c r="H518" s="14">
        <v>45815</v>
      </c>
      <c r="I518">
        <v>2304.52</v>
      </c>
      <c r="J518">
        <v>0</v>
      </c>
      <c r="K518">
        <v>0</v>
      </c>
      <c r="L518">
        <v>207</v>
      </c>
      <c r="M518" s="13" t="s">
        <v>3512</v>
      </c>
    </row>
    <row r="519" spans="1:13" x14ac:dyDescent="0.35">
      <c r="A519" s="13" t="s">
        <v>3899</v>
      </c>
      <c r="B519" s="13" t="s">
        <v>1766</v>
      </c>
      <c r="C519" s="13" t="s">
        <v>1767</v>
      </c>
      <c r="D519" s="13" t="s">
        <v>67</v>
      </c>
      <c r="E519" s="13" t="s">
        <v>52</v>
      </c>
      <c r="F519" s="13" t="s">
        <v>57</v>
      </c>
      <c r="G519" s="14">
        <v>45807</v>
      </c>
      <c r="H519" s="14">
        <v>45816</v>
      </c>
      <c r="I519">
        <v>2649.17</v>
      </c>
      <c r="J519">
        <v>40311.480000000003</v>
      </c>
      <c r="K519">
        <v>1521.66</v>
      </c>
      <c r="L519">
        <v>206</v>
      </c>
      <c r="M519" s="13" t="s">
        <v>3366</v>
      </c>
    </row>
    <row r="520" spans="1:13" x14ac:dyDescent="0.35">
      <c r="A520" s="13" t="s">
        <v>3900</v>
      </c>
      <c r="B520" s="13" t="s">
        <v>784</v>
      </c>
      <c r="C520" s="13" t="s">
        <v>785</v>
      </c>
      <c r="D520" s="13" t="s">
        <v>55</v>
      </c>
      <c r="E520" s="13" t="s">
        <v>104</v>
      </c>
      <c r="F520" s="13" t="s">
        <v>122</v>
      </c>
      <c r="G520" s="14">
        <v>45811</v>
      </c>
      <c r="H520" s="14">
        <v>45816</v>
      </c>
      <c r="I520">
        <v>1218.9000000000001</v>
      </c>
      <c r="J520">
        <v>2676.68</v>
      </c>
      <c r="K520">
        <v>219.6</v>
      </c>
      <c r="L520">
        <v>206</v>
      </c>
      <c r="M520" s="13" t="s">
        <v>3366</v>
      </c>
    </row>
    <row r="521" spans="1:13" x14ac:dyDescent="0.35">
      <c r="A521" s="13" t="s">
        <v>3901</v>
      </c>
      <c r="B521" s="13" t="s">
        <v>403</v>
      </c>
      <c r="C521" s="13" t="s">
        <v>404</v>
      </c>
      <c r="D521" s="13" t="s">
        <v>67</v>
      </c>
      <c r="E521" s="13" t="s">
        <v>126</v>
      </c>
      <c r="F521" s="13" t="s">
        <v>57</v>
      </c>
      <c r="G521" s="14">
        <v>45808</v>
      </c>
      <c r="H521" s="14">
        <v>45816</v>
      </c>
      <c r="I521">
        <v>8887.92</v>
      </c>
      <c r="J521">
        <v>14877</v>
      </c>
      <c r="K521">
        <v>167.38</v>
      </c>
      <c r="L521">
        <v>206</v>
      </c>
      <c r="M521" s="13" t="s">
        <v>3366</v>
      </c>
    </row>
    <row r="522" spans="1:13" x14ac:dyDescent="0.35">
      <c r="A522" s="13" t="s">
        <v>3902</v>
      </c>
      <c r="B522" s="13" t="s">
        <v>2171</v>
      </c>
      <c r="C522" s="13" t="s">
        <v>2172</v>
      </c>
      <c r="D522" s="13" t="s">
        <v>55</v>
      </c>
      <c r="E522" s="13" t="s">
        <v>76</v>
      </c>
      <c r="F522" s="13" t="s">
        <v>94</v>
      </c>
      <c r="G522" s="14">
        <v>45805</v>
      </c>
      <c r="H522" s="14">
        <v>45817</v>
      </c>
      <c r="I522">
        <v>4566.59</v>
      </c>
      <c r="J522">
        <v>4939.97</v>
      </c>
      <c r="K522">
        <v>108.18</v>
      </c>
      <c r="L522">
        <v>205</v>
      </c>
      <c r="M522" s="13" t="s">
        <v>3366</v>
      </c>
    </row>
    <row r="523" spans="1:13" x14ac:dyDescent="0.35">
      <c r="A523" s="13" t="s">
        <v>3903</v>
      </c>
      <c r="B523" s="13" t="s">
        <v>1397</v>
      </c>
      <c r="C523" s="13" t="s">
        <v>1398</v>
      </c>
      <c r="D523" s="13" t="s">
        <v>55</v>
      </c>
      <c r="E523" s="13" t="s">
        <v>76</v>
      </c>
      <c r="F523" s="13" t="s">
        <v>80</v>
      </c>
      <c r="G523" s="14">
        <v>45812</v>
      </c>
      <c r="H523" s="14">
        <v>45817</v>
      </c>
      <c r="I523">
        <v>1205.56</v>
      </c>
      <c r="J523">
        <v>3519.43</v>
      </c>
      <c r="K523">
        <v>291.93</v>
      </c>
      <c r="L523">
        <v>205</v>
      </c>
      <c r="M523" s="13" t="s">
        <v>3366</v>
      </c>
    </row>
    <row r="524" spans="1:13" x14ac:dyDescent="0.35">
      <c r="A524" s="13" t="s">
        <v>3904</v>
      </c>
      <c r="B524" s="13" t="s">
        <v>601</v>
      </c>
      <c r="C524" s="13" t="s">
        <v>602</v>
      </c>
      <c r="D524" s="13" t="s">
        <v>67</v>
      </c>
      <c r="E524" s="13" t="s">
        <v>52</v>
      </c>
      <c r="F524" s="13" t="s">
        <v>87</v>
      </c>
      <c r="G524" s="14">
        <v>45810</v>
      </c>
      <c r="H524" s="14">
        <v>45817</v>
      </c>
      <c r="I524">
        <v>4428.97</v>
      </c>
      <c r="J524">
        <v>4458.6400000000003</v>
      </c>
      <c r="K524">
        <v>100.67</v>
      </c>
      <c r="L524">
        <v>205</v>
      </c>
      <c r="M524" s="13" t="s">
        <v>3366</v>
      </c>
    </row>
    <row r="525" spans="1:13" x14ac:dyDescent="0.35">
      <c r="A525" s="13" t="s">
        <v>3905</v>
      </c>
      <c r="B525" s="13" t="s">
        <v>1307</v>
      </c>
      <c r="C525" s="13" t="s">
        <v>1308</v>
      </c>
      <c r="D525" s="13" t="s">
        <v>67</v>
      </c>
      <c r="E525" s="13" t="s">
        <v>52</v>
      </c>
      <c r="F525" s="13" t="s">
        <v>87</v>
      </c>
      <c r="G525" s="14">
        <v>45808</v>
      </c>
      <c r="H525" s="14">
        <v>45817</v>
      </c>
      <c r="I525">
        <v>4315.96</v>
      </c>
      <c r="J525">
        <v>4698.72</v>
      </c>
      <c r="K525">
        <v>108.87</v>
      </c>
      <c r="L525">
        <v>205</v>
      </c>
      <c r="M525" s="13" t="s">
        <v>3366</v>
      </c>
    </row>
    <row r="526" spans="1:13" x14ac:dyDescent="0.35">
      <c r="A526" s="13" t="s">
        <v>3906</v>
      </c>
      <c r="B526" s="13" t="s">
        <v>400</v>
      </c>
      <c r="C526" s="13" t="s">
        <v>401</v>
      </c>
      <c r="D526" s="13" t="s">
        <v>67</v>
      </c>
      <c r="E526" s="13" t="s">
        <v>126</v>
      </c>
      <c r="F526" s="13" t="s">
        <v>87</v>
      </c>
      <c r="G526" s="14">
        <v>45807</v>
      </c>
      <c r="H526" s="14">
        <v>45817</v>
      </c>
      <c r="I526">
        <v>794.25</v>
      </c>
      <c r="J526">
        <v>815.66</v>
      </c>
      <c r="K526">
        <v>102.7</v>
      </c>
      <c r="L526">
        <v>205</v>
      </c>
      <c r="M526" s="13" t="s">
        <v>3366</v>
      </c>
    </row>
    <row r="527" spans="1:13" x14ac:dyDescent="0.35">
      <c r="A527" s="13" t="s">
        <v>3907</v>
      </c>
      <c r="B527" s="13" t="s">
        <v>1296</v>
      </c>
      <c r="C527" s="13" t="s">
        <v>1297</v>
      </c>
      <c r="D527" s="13" t="s">
        <v>55</v>
      </c>
      <c r="E527" s="13" t="s">
        <v>104</v>
      </c>
      <c r="F527" s="13" t="s">
        <v>122</v>
      </c>
      <c r="G527" s="14">
        <v>45814</v>
      </c>
      <c r="H527" s="14">
        <v>45818</v>
      </c>
      <c r="I527">
        <v>5605.76</v>
      </c>
      <c r="J527">
        <v>5956.91</v>
      </c>
      <c r="K527">
        <v>106.26</v>
      </c>
      <c r="L527">
        <v>204</v>
      </c>
      <c r="M527" s="13" t="s">
        <v>3366</v>
      </c>
    </row>
    <row r="528" spans="1:13" x14ac:dyDescent="0.35">
      <c r="A528" s="13" t="s">
        <v>3908</v>
      </c>
      <c r="B528" s="13" t="s">
        <v>695</v>
      </c>
      <c r="C528" s="13" t="s">
        <v>696</v>
      </c>
      <c r="D528" s="13" t="s">
        <v>92</v>
      </c>
      <c r="E528" s="13" t="s">
        <v>52</v>
      </c>
      <c r="F528" s="13" t="s">
        <v>57</v>
      </c>
      <c r="G528" s="14">
        <v>45809</v>
      </c>
      <c r="H528" s="14">
        <v>45818</v>
      </c>
      <c r="I528">
        <v>15288.02</v>
      </c>
      <c r="J528">
        <v>28853.37</v>
      </c>
      <c r="K528">
        <v>188.73</v>
      </c>
      <c r="L528">
        <v>204</v>
      </c>
      <c r="M528" s="13" t="s">
        <v>3366</v>
      </c>
    </row>
    <row r="529" spans="1:13" x14ac:dyDescent="0.35">
      <c r="A529" s="13" t="s">
        <v>3909</v>
      </c>
      <c r="B529" s="13" t="s">
        <v>1018</v>
      </c>
      <c r="C529" s="13" t="s">
        <v>1019</v>
      </c>
      <c r="D529" s="13" t="s">
        <v>67</v>
      </c>
      <c r="E529" s="13" t="s">
        <v>52</v>
      </c>
      <c r="F529" s="13" t="s">
        <v>87</v>
      </c>
      <c r="G529" s="14">
        <v>45807</v>
      </c>
      <c r="H529" s="14">
        <v>45818</v>
      </c>
      <c r="I529">
        <v>673.19</v>
      </c>
      <c r="J529">
        <v>4410.58</v>
      </c>
      <c r="K529">
        <v>655.17999999999995</v>
      </c>
      <c r="L529">
        <v>204</v>
      </c>
      <c r="M529" s="13" t="s">
        <v>3366</v>
      </c>
    </row>
    <row r="530" spans="1:13" x14ac:dyDescent="0.35">
      <c r="A530" s="13" t="s">
        <v>3910</v>
      </c>
      <c r="B530" s="13" t="s">
        <v>357</v>
      </c>
      <c r="C530" s="13" t="s">
        <v>358</v>
      </c>
      <c r="D530" s="13" t="s">
        <v>92</v>
      </c>
      <c r="E530" s="13" t="s">
        <v>104</v>
      </c>
      <c r="F530" s="13" t="s">
        <v>106</v>
      </c>
      <c r="G530" s="14">
        <v>45795</v>
      </c>
      <c r="H530" s="14">
        <v>45819</v>
      </c>
      <c r="I530">
        <v>3345.01</v>
      </c>
      <c r="J530">
        <v>0</v>
      </c>
      <c r="K530">
        <v>0</v>
      </c>
      <c r="L530">
        <v>203</v>
      </c>
      <c r="M530" s="13" t="s">
        <v>3512</v>
      </c>
    </row>
    <row r="531" spans="1:13" x14ac:dyDescent="0.35">
      <c r="A531" s="13" t="s">
        <v>3911</v>
      </c>
      <c r="B531" s="13" t="s">
        <v>102</v>
      </c>
      <c r="C531" s="13" t="s">
        <v>103</v>
      </c>
      <c r="D531" s="13" t="s">
        <v>55</v>
      </c>
      <c r="E531" s="13" t="s">
        <v>104</v>
      </c>
      <c r="F531" s="13" t="s">
        <v>106</v>
      </c>
      <c r="G531" s="14">
        <v>45813</v>
      </c>
      <c r="H531" s="14">
        <v>45819</v>
      </c>
      <c r="I531">
        <v>2468.79</v>
      </c>
      <c r="J531">
        <v>2480.41</v>
      </c>
      <c r="K531">
        <v>100.47</v>
      </c>
      <c r="L531">
        <v>203</v>
      </c>
      <c r="M531" s="13" t="s">
        <v>3366</v>
      </c>
    </row>
    <row r="532" spans="1:13" x14ac:dyDescent="0.35">
      <c r="A532" s="13" t="s">
        <v>3912</v>
      </c>
      <c r="B532" s="13" t="s">
        <v>113</v>
      </c>
      <c r="C532" s="13" t="s">
        <v>114</v>
      </c>
      <c r="D532" s="13" t="s">
        <v>92</v>
      </c>
      <c r="E532" s="13" t="s">
        <v>52</v>
      </c>
      <c r="F532" s="13" t="s">
        <v>87</v>
      </c>
      <c r="G532" s="14">
        <v>45813</v>
      </c>
      <c r="H532" s="14">
        <v>45819</v>
      </c>
      <c r="I532">
        <v>15884.52</v>
      </c>
      <c r="J532">
        <v>16015.31</v>
      </c>
      <c r="K532">
        <v>100.82</v>
      </c>
      <c r="L532">
        <v>203</v>
      </c>
      <c r="M532" s="13" t="s">
        <v>3366</v>
      </c>
    </row>
    <row r="533" spans="1:13" x14ac:dyDescent="0.35">
      <c r="A533" s="13" t="s">
        <v>3913</v>
      </c>
      <c r="B533" s="13" t="s">
        <v>340</v>
      </c>
      <c r="C533" s="13" t="s">
        <v>341</v>
      </c>
      <c r="D533" s="13" t="s">
        <v>92</v>
      </c>
      <c r="E533" s="13" t="s">
        <v>52</v>
      </c>
      <c r="F533" s="13" t="s">
        <v>57</v>
      </c>
      <c r="G533" s="14">
        <v>45818</v>
      </c>
      <c r="H533" s="14">
        <v>45821</v>
      </c>
      <c r="I533">
        <v>6329.49</v>
      </c>
      <c r="J533">
        <v>22071.8</v>
      </c>
      <c r="K533">
        <v>348.71</v>
      </c>
      <c r="L533">
        <v>201</v>
      </c>
      <c r="M533" s="13" t="s">
        <v>3366</v>
      </c>
    </row>
    <row r="534" spans="1:13" x14ac:dyDescent="0.35">
      <c r="A534" s="13" t="s">
        <v>3914</v>
      </c>
      <c r="B534" s="13" t="s">
        <v>263</v>
      </c>
      <c r="C534" s="13" t="s">
        <v>264</v>
      </c>
      <c r="D534" s="13" t="s">
        <v>55</v>
      </c>
      <c r="E534" s="13" t="s">
        <v>52</v>
      </c>
      <c r="F534" s="13" t="s">
        <v>87</v>
      </c>
      <c r="G534" s="14">
        <v>45810</v>
      </c>
      <c r="H534" s="14">
        <v>45821</v>
      </c>
      <c r="I534">
        <v>3457.26</v>
      </c>
      <c r="J534">
        <v>7955.53</v>
      </c>
      <c r="K534">
        <v>230.11</v>
      </c>
      <c r="L534">
        <v>201</v>
      </c>
      <c r="M534" s="13" t="s">
        <v>3366</v>
      </c>
    </row>
    <row r="535" spans="1:13" x14ac:dyDescent="0.35">
      <c r="A535" s="13" t="s">
        <v>3915</v>
      </c>
      <c r="B535" s="13" t="s">
        <v>1785</v>
      </c>
      <c r="C535" s="13" t="s">
        <v>1786</v>
      </c>
      <c r="D535" s="13" t="s">
        <v>67</v>
      </c>
      <c r="E535" s="13" t="s">
        <v>104</v>
      </c>
      <c r="F535" s="13" t="s">
        <v>122</v>
      </c>
      <c r="G535" s="14">
        <v>45816</v>
      </c>
      <c r="H535" s="14">
        <v>45821</v>
      </c>
      <c r="I535">
        <v>5360.53</v>
      </c>
      <c r="J535">
        <v>5710.98</v>
      </c>
      <c r="K535">
        <v>106.54</v>
      </c>
      <c r="L535">
        <v>201</v>
      </c>
      <c r="M535" s="13" t="s">
        <v>3366</v>
      </c>
    </row>
    <row r="536" spans="1:13" x14ac:dyDescent="0.35">
      <c r="A536" s="13" t="s">
        <v>3916</v>
      </c>
      <c r="B536" s="13" t="s">
        <v>692</v>
      </c>
      <c r="C536" s="13" t="s">
        <v>693</v>
      </c>
      <c r="D536" s="13" t="s">
        <v>55</v>
      </c>
      <c r="E536" s="13" t="s">
        <v>52</v>
      </c>
      <c r="F536" s="13" t="s">
        <v>57</v>
      </c>
      <c r="G536" s="14">
        <v>45814</v>
      </c>
      <c r="H536" s="14">
        <v>45821</v>
      </c>
      <c r="I536">
        <v>17016.03</v>
      </c>
      <c r="J536">
        <v>17739.189999999999</v>
      </c>
      <c r="K536">
        <v>104.25</v>
      </c>
      <c r="L536">
        <v>201</v>
      </c>
      <c r="M536" s="13" t="s">
        <v>3366</v>
      </c>
    </row>
    <row r="537" spans="1:13" x14ac:dyDescent="0.35">
      <c r="A537" s="13" t="s">
        <v>3917</v>
      </c>
      <c r="B537" s="13" t="s">
        <v>1304</v>
      </c>
      <c r="C537" s="13" t="s">
        <v>1305</v>
      </c>
      <c r="D537" s="13" t="s">
        <v>67</v>
      </c>
      <c r="E537" s="13" t="s">
        <v>76</v>
      </c>
      <c r="F537" s="13" t="s">
        <v>94</v>
      </c>
      <c r="G537" s="14">
        <v>45812</v>
      </c>
      <c r="H537" s="14">
        <v>45822</v>
      </c>
      <c r="I537">
        <v>2051.7199999999998</v>
      </c>
      <c r="J537">
        <v>2172.42</v>
      </c>
      <c r="K537">
        <v>105.88</v>
      </c>
      <c r="L537">
        <v>200</v>
      </c>
      <c r="M537" s="13" t="s">
        <v>3366</v>
      </c>
    </row>
    <row r="538" spans="1:13" x14ac:dyDescent="0.35">
      <c r="A538" s="13" t="s">
        <v>3918</v>
      </c>
      <c r="B538" s="13" t="s">
        <v>270</v>
      </c>
      <c r="C538" s="13" t="s">
        <v>271</v>
      </c>
      <c r="D538" s="13" t="s">
        <v>67</v>
      </c>
      <c r="E538" s="13" t="s">
        <v>52</v>
      </c>
      <c r="F538" s="13" t="s">
        <v>57</v>
      </c>
      <c r="G538" s="14">
        <v>45811</v>
      </c>
      <c r="H538" s="14">
        <v>45822</v>
      </c>
      <c r="I538">
        <v>1500.71</v>
      </c>
      <c r="J538">
        <v>11362.96</v>
      </c>
      <c r="K538">
        <v>757.17</v>
      </c>
      <c r="L538">
        <v>200</v>
      </c>
      <c r="M538" s="13" t="s">
        <v>3366</v>
      </c>
    </row>
    <row r="539" spans="1:13" x14ac:dyDescent="0.35">
      <c r="A539" s="13" t="s">
        <v>3919</v>
      </c>
      <c r="B539" s="13" t="s">
        <v>390</v>
      </c>
      <c r="C539" s="13" t="s">
        <v>391</v>
      </c>
      <c r="D539" s="13" t="s">
        <v>55</v>
      </c>
      <c r="E539" s="13" t="s">
        <v>52</v>
      </c>
      <c r="F539" s="13" t="s">
        <v>87</v>
      </c>
      <c r="G539" s="14">
        <v>45818</v>
      </c>
      <c r="H539" s="14">
        <v>45822</v>
      </c>
      <c r="I539">
        <v>5317.11</v>
      </c>
      <c r="J539">
        <v>5355.64</v>
      </c>
      <c r="K539">
        <v>100.72</v>
      </c>
      <c r="L539">
        <v>200</v>
      </c>
      <c r="M539" s="13" t="s">
        <v>3366</v>
      </c>
    </row>
    <row r="540" spans="1:13" x14ac:dyDescent="0.35">
      <c r="A540" s="13" t="s">
        <v>3920</v>
      </c>
      <c r="B540" s="13" t="s">
        <v>340</v>
      </c>
      <c r="C540" s="13" t="s">
        <v>341</v>
      </c>
      <c r="D540" s="13" t="s">
        <v>92</v>
      </c>
      <c r="E540" s="13" t="s">
        <v>52</v>
      </c>
      <c r="F540" s="13" t="s">
        <v>57</v>
      </c>
      <c r="G540" s="14">
        <v>45809</v>
      </c>
      <c r="H540" s="14">
        <v>45823</v>
      </c>
      <c r="I540">
        <v>12552.17</v>
      </c>
      <c r="J540">
        <v>21210.74</v>
      </c>
      <c r="K540">
        <v>168.98</v>
      </c>
      <c r="L540">
        <v>199</v>
      </c>
      <c r="M540" s="13" t="s">
        <v>3366</v>
      </c>
    </row>
    <row r="541" spans="1:13" x14ac:dyDescent="0.35">
      <c r="A541" s="13" t="s">
        <v>3921</v>
      </c>
      <c r="B541" s="13" t="s">
        <v>590</v>
      </c>
      <c r="C541" s="13" t="s">
        <v>591</v>
      </c>
      <c r="D541" s="13" t="s">
        <v>67</v>
      </c>
      <c r="E541" s="13" t="s">
        <v>52</v>
      </c>
      <c r="F541" s="13" t="s">
        <v>87</v>
      </c>
      <c r="G541" s="14">
        <v>45814</v>
      </c>
      <c r="H541" s="14">
        <v>45823</v>
      </c>
      <c r="I541">
        <v>4308.28</v>
      </c>
      <c r="J541">
        <v>4456.96</v>
      </c>
      <c r="K541">
        <v>103.45</v>
      </c>
      <c r="L541">
        <v>199</v>
      </c>
      <c r="M541" s="13" t="s">
        <v>3366</v>
      </c>
    </row>
    <row r="542" spans="1:13" x14ac:dyDescent="0.35">
      <c r="A542" s="13" t="s">
        <v>3922</v>
      </c>
      <c r="B542" s="13" t="s">
        <v>90</v>
      </c>
      <c r="C542" s="13" t="s">
        <v>91</v>
      </c>
      <c r="D542" s="13" t="s">
        <v>92</v>
      </c>
      <c r="E542" s="13" t="s">
        <v>76</v>
      </c>
      <c r="F542" s="13" t="s">
        <v>94</v>
      </c>
      <c r="G542" s="14">
        <v>45811</v>
      </c>
      <c r="H542" s="14">
        <v>45823</v>
      </c>
      <c r="I542">
        <v>493.56</v>
      </c>
      <c r="J542">
        <v>527.30999999999995</v>
      </c>
      <c r="K542">
        <v>106.84</v>
      </c>
      <c r="L542">
        <v>199</v>
      </c>
      <c r="M542" s="13" t="s">
        <v>3366</v>
      </c>
    </row>
    <row r="543" spans="1:13" x14ac:dyDescent="0.35">
      <c r="A543" s="13" t="s">
        <v>3923</v>
      </c>
      <c r="B543" s="13" t="s">
        <v>293</v>
      </c>
      <c r="C543" s="13" t="s">
        <v>294</v>
      </c>
      <c r="D543" s="13" t="s">
        <v>92</v>
      </c>
      <c r="E543" s="13" t="s">
        <v>104</v>
      </c>
      <c r="F543" s="13" t="s">
        <v>122</v>
      </c>
      <c r="G543" s="14">
        <v>45807</v>
      </c>
      <c r="H543" s="14">
        <v>45823</v>
      </c>
      <c r="I543">
        <v>6172.54</v>
      </c>
      <c r="J543">
        <v>0</v>
      </c>
      <c r="K543">
        <v>0</v>
      </c>
      <c r="L543">
        <v>199</v>
      </c>
      <c r="M543" s="13" t="s">
        <v>3512</v>
      </c>
    </row>
    <row r="544" spans="1:13" x14ac:dyDescent="0.35">
      <c r="A544" s="13" t="s">
        <v>3924</v>
      </c>
      <c r="B544" s="13" t="s">
        <v>296</v>
      </c>
      <c r="C544" s="13" t="s">
        <v>297</v>
      </c>
      <c r="D544" s="13" t="s">
        <v>92</v>
      </c>
      <c r="E544" s="13" t="s">
        <v>104</v>
      </c>
      <c r="F544" s="13" t="s">
        <v>106</v>
      </c>
      <c r="G544" s="14">
        <v>45806</v>
      </c>
      <c r="H544" s="14">
        <v>45824</v>
      </c>
      <c r="I544">
        <v>5057.49</v>
      </c>
      <c r="J544">
        <v>0</v>
      </c>
      <c r="K544">
        <v>0</v>
      </c>
      <c r="L544">
        <v>198</v>
      </c>
      <c r="M544" s="13" t="s">
        <v>3512</v>
      </c>
    </row>
    <row r="545" spans="1:13" x14ac:dyDescent="0.35">
      <c r="A545" s="13" t="s">
        <v>3925</v>
      </c>
      <c r="B545" s="13" t="s">
        <v>250</v>
      </c>
      <c r="C545" s="13" t="s">
        <v>251</v>
      </c>
      <c r="D545" s="13" t="s">
        <v>55</v>
      </c>
      <c r="E545" s="13" t="s">
        <v>104</v>
      </c>
      <c r="F545" s="13" t="s">
        <v>106</v>
      </c>
      <c r="G545" s="14">
        <v>45813</v>
      </c>
      <c r="H545" s="14">
        <v>45824</v>
      </c>
      <c r="I545">
        <v>6218.36</v>
      </c>
      <c r="J545">
        <v>6282.14</v>
      </c>
      <c r="K545">
        <v>101.03</v>
      </c>
      <c r="L545">
        <v>198</v>
      </c>
      <c r="M545" s="13" t="s">
        <v>3366</v>
      </c>
    </row>
    <row r="546" spans="1:13" x14ac:dyDescent="0.35">
      <c r="A546" s="13" t="s">
        <v>3926</v>
      </c>
      <c r="B546" s="13" t="s">
        <v>2312</v>
      </c>
      <c r="C546" s="13" t="s">
        <v>2313</v>
      </c>
      <c r="D546" s="13" t="s">
        <v>67</v>
      </c>
      <c r="E546" s="13" t="s">
        <v>76</v>
      </c>
      <c r="F546" s="13" t="s">
        <v>80</v>
      </c>
      <c r="G546" s="14">
        <v>45812</v>
      </c>
      <c r="H546" s="14">
        <v>45824</v>
      </c>
      <c r="I546">
        <v>1417.93</v>
      </c>
      <c r="J546">
        <v>1990.49</v>
      </c>
      <c r="K546">
        <v>140.38</v>
      </c>
      <c r="L546">
        <v>198</v>
      </c>
      <c r="M546" s="13" t="s">
        <v>3366</v>
      </c>
    </row>
    <row r="547" spans="1:13" x14ac:dyDescent="0.35">
      <c r="A547" s="13" t="s">
        <v>3927</v>
      </c>
      <c r="B547" s="13" t="s">
        <v>434</v>
      </c>
      <c r="C547" s="13" t="s">
        <v>435</v>
      </c>
      <c r="D547" s="13" t="s">
        <v>55</v>
      </c>
      <c r="E547" s="13" t="s">
        <v>52</v>
      </c>
      <c r="F547" s="13" t="s">
        <v>57</v>
      </c>
      <c r="G547" s="14">
        <v>45815</v>
      </c>
      <c r="H547" s="14">
        <v>45824</v>
      </c>
      <c r="I547">
        <v>1791.65</v>
      </c>
      <c r="J547">
        <v>15593.48</v>
      </c>
      <c r="K547">
        <v>870.34</v>
      </c>
      <c r="L547">
        <v>198</v>
      </c>
      <c r="M547" s="13" t="s">
        <v>3366</v>
      </c>
    </row>
    <row r="548" spans="1:13" x14ac:dyDescent="0.35">
      <c r="A548" s="13" t="s">
        <v>3928</v>
      </c>
      <c r="B548" s="13" t="s">
        <v>222</v>
      </c>
      <c r="C548" s="13" t="s">
        <v>223</v>
      </c>
      <c r="D548" s="13" t="s">
        <v>92</v>
      </c>
      <c r="E548" s="13" t="s">
        <v>52</v>
      </c>
      <c r="F548" s="13" t="s">
        <v>57</v>
      </c>
      <c r="G548" s="14">
        <v>45810</v>
      </c>
      <c r="H548" s="14">
        <v>45824</v>
      </c>
      <c r="I548">
        <v>7939.82</v>
      </c>
      <c r="J548">
        <v>8433.1299999999992</v>
      </c>
      <c r="K548">
        <v>106.21</v>
      </c>
      <c r="L548">
        <v>198</v>
      </c>
      <c r="M548" s="13" t="s">
        <v>3366</v>
      </c>
    </row>
    <row r="549" spans="1:13" x14ac:dyDescent="0.35">
      <c r="A549" s="13" t="s">
        <v>3929</v>
      </c>
      <c r="B549" s="13" t="s">
        <v>478</v>
      </c>
      <c r="C549" s="13" t="s">
        <v>479</v>
      </c>
      <c r="D549" s="13" t="s">
        <v>55</v>
      </c>
      <c r="E549" s="13" t="s">
        <v>52</v>
      </c>
      <c r="F549" s="13" t="s">
        <v>87</v>
      </c>
      <c r="G549" s="14">
        <v>45820</v>
      </c>
      <c r="H549" s="14">
        <v>45825</v>
      </c>
      <c r="I549">
        <v>1587.93</v>
      </c>
      <c r="J549">
        <v>1634.12</v>
      </c>
      <c r="K549">
        <v>102.91</v>
      </c>
      <c r="L549">
        <v>197</v>
      </c>
      <c r="M549" s="13" t="s">
        <v>3366</v>
      </c>
    </row>
    <row r="550" spans="1:13" x14ac:dyDescent="0.35">
      <c r="A550" s="13" t="s">
        <v>3930</v>
      </c>
      <c r="B550" s="13" t="s">
        <v>3443</v>
      </c>
      <c r="C550" s="13" t="s">
        <v>3444</v>
      </c>
      <c r="D550" s="13" t="s">
        <v>55</v>
      </c>
      <c r="E550" s="13" t="s">
        <v>104</v>
      </c>
      <c r="F550" s="13" t="s">
        <v>106</v>
      </c>
      <c r="G550" s="14">
        <v>45815</v>
      </c>
      <c r="H550" s="14">
        <v>45825</v>
      </c>
      <c r="I550">
        <v>2909.57</v>
      </c>
      <c r="J550">
        <v>3188.44</v>
      </c>
      <c r="K550">
        <v>109.58</v>
      </c>
      <c r="L550">
        <v>197</v>
      </c>
      <c r="M550" s="13" t="s">
        <v>3366</v>
      </c>
    </row>
    <row r="551" spans="1:13" x14ac:dyDescent="0.35">
      <c r="A551" s="13" t="s">
        <v>3931</v>
      </c>
      <c r="B551" s="13" t="s">
        <v>317</v>
      </c>
      <c r="C551" s="13" t="s">
        <v>318</v>
      </c>
      <c r="D551" s="13" t="s">
        <v>67</v>
      </c>
      <c r="E551" s="13" t="s">
        <v>52</v>
      </c>
      <c r="F551" s="13" t="s">
        <v>57</v>
      </c>
      <c r="G551" s="14">
        <v>45822</v>
      </c>
      <c r="H551" s="14">
        <v>45825</v>
      </c>
      <c r="I551">
        <v>4368.84</v>
      </c>
      <c r="J551">
        <v>16366.44</v>
      </c>
      <c r="K551">
        <v>374.62</v>
      </c>
      <c r="L551">
        <v>197</v>
      </c>
      <c r="M551" s="13" t="s">
        <v>3366</v>
      </c>
    </row>
    <row r="552" spans="1:13" x14ac:dyDescent="0.35">
      <c r="A552" s="13" t="s">
        <v>3932</v>
      </c>
      <c r="B552" s="13" t="s">
        <v>300</v>
      </c>
      <c r="C552" s="13" t="s">
        <v>301</v>
      </c>
      <c r="D552" s="13" t="s">
        <v>92</v>
      </c>
      <c r="E552" s="13" t="s">
        <v>104</v>
      </c>
      <c r="F552" s="13" t="s">
        <v>106</v>
      </c>
      <c r="G552" s="14">
        <v>45802</v>
      </c>
      <c r="H552" s="14">
        <v>45825</v>
      </c>
      <c r="I552">
        <v>666.16</v>
      </c>
      <c r="J552">
        <v>0</v>
      </c>
      <c r="K552">
        <v>0</v>
      </c>
      <c r="L552">
        <v>197</v>
      </c>
      <c r="M552" s="13" t="s">
        <v>3512</v>
      </c>
    </row>
    <row r="553" spans="1:13" x14ac:dyDescent="0.35">
      <c r="A553" s="13" t="s">
        <v>3933</v>
      </c>
      <c r="B553" s="13" t="s">
        <v>293</v>
      </c>
      <c r="C553" s="13" t="s">
        <v>294</v>
      </c>
      <c r="D553" s="13" t="s">
        <v>92</v>
      </c>
      <c r="E553" s="13" t="s">
        <v>104</v>
      </c>
      <c r="F553" s="13" t="s">
        <v>122</v>
      </c>
      <c r="G553" s="14">
        <v>45804</v>
      </c>
      <c r="H553" s="14">
        <v>45825</v>
      </c>
      <c r="I553">
        <v>4513.5</v>
      </c>
      <c r="J553">
        <v>0</v>
      </c>
      <c r="K553">
        <v>0</v>
      </c>
      <c r="L553">
        <v>197</v>
      </c>
      <c r="M553" s="13" t="s">
        <v>3512</v>
      </c>
    </row>
    <row r="554" spans="1:13" x14ac:dyDescent="0.35">
      <c r="A554" s="13" t="s">
        <v>3934</v>
      </c>
      <c r="B554" s="13" t="s">
        <v>902</v>
      </c>
      <c r="C554" s="13" t="s">
        <v>903</v>
      </c>
      <c r="D554" s="13" t="s">
        <v>67</v>
      </c>
      <c r="E554" s="13" t="s">
        <v>52</v>
      </c>
      <c r="F554" s="13" t="s">
        <v>57</v>
      </c>
      <c r="G554" s="14">
        <v>45816</v>
      </c>
      <c r="H554" s="14">
        <v>45826</v>
      </c>
      <c r="I554">
        <v>3979.38</v>
      </c>
      <c r="J554">
        <v>4346.43</v>
      </c>
      <c r="K554">
        <v>109.22</v>
      </c>
      <c r="L554">
        <v>196</v>
      </c>
      <c r="M554" s="13" t="s">
        <v>3366</v>
      </c>
    </row>
    <row r="555" spans="1:13" x14ac:dyDescent="0.35">
      <c r="A555" s="13" t="s">
        <v>3935</v>
      </c>
      <c r="B555" s="13" t="s">
        <v>147</v>
      </c>
      <c r="C555" s="13" t="s">
        <v>148</v>
      </c>
      <c r="D555" s="13" t="s">
        <v>67</v>
      </c>
      <c r="E555" s="13" t="s">
        <v>104</v>
      </c>
      <c r="F555" s="13" t="s">
        <v>106</v>
      </c>
      <c r="G555" s="14">
        <v>45815</v>
      </c>
      <c r="H555" s="14">
        <v>45826</v>
      </c>
      <c r="I555">
        <v>4065.37</v>
      </c>
      <c r="J555">
        <v>4253.57</v>
      </c>
      <c r="K555">
        <v>104.63</v>
      </c>
      <c r="L555">
        <v>196</v>
      </c>
      <c r="M555" s="13" t="s">
        <v>3366</v>
      </c>
    </row>
    <row r="556" spans="1:13" x14ac:dyDescent="0.35">
      <c r="A556" s="13" t="s">
        <v>3936</v>
      </c>
      <c r="B556" s="13" t="s">
        <v>144</v>
      </c>
      <c r="C556" s="13" t="s">
        <v>145</v>
      </c>
      <c r="D556" s="13" t="s">
        <v>55</v>
      </c>
      <c r="E556" s="13" t="s">
        <v>52</v>
      </c>
      <c r="F556" s="13" t="s">
        <v>57</v>
      </c>
      <c r="G556" s="14">
        <v>45819</v>
      </c>
      <c r="H556" s="14">
        <v>45826</v>
      </c>
      <c r="I556">
        <v>634.98</v>
      </c>
      <c r="J556">
        <v>20649.55</v>
      </c>
      <c r="K556">
        <v>3252</v>
      </c>
      <c r="L556">
        <v>196</v>
      </c>
      <c r="M556" s="13" t="s">
        <v>3366</v>
      </c>
    </row>
    <row r="557" spans="1:13" x14ac:dyDescent="0.35">
      <c r="A557" s="13" t="s">
        <v>3937</v>
      </c>
      <c r="B557" s="13" t="s">
        <v>280</v>
      </c>
      <c r="C557" s="13" t="s">
        <v>281</v>
      </c>
      <c r="D557" s="13" t="s">
        <v>92</v>
      </c>
      <c r="E557" s="13" t="s">
        <v>104</v>
      </c>
      <c r="F557" s="13" t="s">
        <v>122</v>
      </c>
      <c r="G557" s="14">
        <v>45813</v>
      </c>
      <c r="H557" s="14">
        <v>45826</v>
      </c>
      <c r="I557">
        <v>2374.77</v>
      </c>
      <c r="J557">
        <v>0</v>
      </c>
      <c r="K557">
        <v>0</v>
      </c>
      <c r="L557">
        <v>196</v>
      </c>
      <c r="M557" s="13" t="s">
        <v>3512</v>
      </c>
    </row>
    <row r="558" spans="1:13" x14ac:dyDescent="0.35">
      <c r="A558" s="13" t="s">
        <v>3938</v>
      </c>
      <c r="B558" s="13" t="s">
        <v>177</v>
      </c>
      <c r="C558" s="13" t="s">
        <v>178</v>
      </c>
      <c r="D558" s="13" t="s">
        <v>67</v>
      </c>
      <c r="E558" s="13" t="s">
        <v>52</v>
      </c>
      <c r="F558" s="13" t="s">
        <v>57</v>
      </c>
      <c r="G558" s="14">
        <v>45823</v>
      </c>
      <c r="H558" s="14">
        <v>45827</v>
      </c>
      <c r="I558">
        <v>10535.28</v>
      </c>
      <c r="J558">
        <v>10869.67</v>
      </c>
      <c r="K558">
        <v>103.17</v>
      </c>
      <c r="L558">
        <v>195</v>
      </c>
      <c r="M558" s="13" t="s">
        <v>3366</v>
      </c>
    </row>
    <row r="559" spans="1:13" x14ac:dyDescent="0.35">
      <c r="A559" s="13" t="s">
        <v>3939</v>
      </c>
      <c r="B559" s="13" t="s">
        <v>2473</v>
      </c>
      <c r="C559" s="13" t="s">
        <v>2474</v>
      </c>
      <c r="D559" s="13" t="s">
        <v>55</v>
      </c>
      <c r="E559" s="13" t="s">
        <v>104</v>
      </c>
      <c r="F559" s="13" t="s">
        <v>122</v>
      </c>
      <c r="G559" s="14">
        <v>45820</v>
      </c>
      <c r="H559" s="14">
        <v>45827</v>
      </c>
      <c r="I559">
        <v>3461.36</v>
      </c>
      <c r="J559">
        <v>3503.03</v>
      </c>
      <c r="K559">
        <v>101.2</v>
      </c>
      <c r="L559">
        <v>195</v>
      </c>
      <c r="M559" s="13" t="s">
        <v>3366</v>
      </c>
    </row>
    <row r="560" spans="1:13" x14ac:dyDescent="0.35">
      <c r="A560" s="13" t="s">
        <v>3940</v>
      </c>
      <c r="B560" s="13" t="s">
        <v>659</v>
      </c>
      <c r="C560" s="13" t="s">
        <v>660</v>
      </c>
      <c r="D560" s="13" t="s">
        <v>67</v>
      </c>
      <c r="E560" s="13" t="s">
        <v>126</v>
      </c>
      <c r="F560" s="13" t="s">
        <v>106</v>
      </c>
      <c r="G560" s="14">
        <v>45820</v>
      </c>
      <c r="H560" s="14">
        <v>45827</v>
      </c>
      <c r="I560">
        <v>1058.51</v>
      </c>
      <c r="J560">
        <v>1058.74</v>
      </c>
      <c r="K560">
        <v>100.02</v>
      </c>
      <c r="L560">
        <v>195</v>
      </c>
      <c r="M560" s="13" t="s">
        <v>3366</v>
      </c>
    </row>
    <row r="561" spans="1:13" x14ac:dyDescent="0.35">
      <c r="A561" s="13" t="s">
        <v>3941</v>
      </c>
      <c r="B561" s="13" t="s">
        <v>2138</v>
      </c>
      <c r="C561" s="13" t="s">
        <v>2139</v>
      </c>
      <c r="D561" s="13" t="s">
        <v>55</v>
      </c>
      <c r="E561" s="13" t="s">
        <v>76</v>
      </c>
      <c r="F561" s="13" t="s">
        <v>80</v>
      </c>
      <c r="G561" s="14">
        <v>45821</v>
      </c>
      <c r="H561" s="14">
        <v>45827</v>
      </c>
      <c r="I561">
        <v>3536.17</v>
      </c>
      <c r="J561">
        <v>3702.69</v>
      </c>
      <c r="K561">
        <v>104.71</v>
      </c>
      <c r="L561">
        <v>195</v>
      </c>
      <c r="M561" s="13" t="s">
        <v>3366</v>
      </c>
    </row>
    <row r="562" spans="1:13" x14ac:dyDescent="0.35">
      <c r="A562" s="13" t="s">
        <v>3942</v>
      </c>
      <c r="B562" s="13" t="s">
        <v>156</v>
      </c>
      <c r="C562" s="13" t="s">
        <v>157</v>
      </c>
      <c r="D562" s="13" t="s">
        <v>92</v>
      </c>
      <c r="E562" s="13" t="s">
        <v>52</v>
      </c>
      <c r="F562" s="13" t="s">
        <v>57</v>
      </c>
      <c r="G562" s="14">
        <v>45822</v>
      </c>
      <c r="H562" s="14">
        <v>45827</v>
      </c>
      <c r="I562">
        <v>2079.81</v>
      </c>
      <c r="J562">
        <v>2108.73</v>
      </c>
      <c r="K562">
        <v>101.39</v>
      </c>
      <c r="L562">
        <v>195</v>
      </c>
      <c r="M562" s="13" t="s">
        <v>3366</v>
      </c>
    </row>
    <row r="563" spans="1:13" x14ac:dyDescent="0.35">
      <c r="A563" s="13" t="s">
        <v>3943</v>
      </c>
      <c r="B563" s="13" t="s">
        <v>3691</v>
      </c>
      <c r="C563" s="13" t="s">
        <v>3692</v>
      </c>
      <c r="D563" s="13" t="s">
        <v>55</v>
      </c>
      <c r="E563" s="13" t="s">
        <v>104</v>
      </c>
      <c r="F563" s="13" t="s">
        <v>106</v>
      </c>
      <c r="G563" s="14">
        <v>45821</v>
      </c>
      <c r="H563" s="14">
        <v>45827</v>
      </c>
      <c r="I563">
        <v>2692.54</v>
      </c>
      <c r="J563">
        <v>2821.95</v>
      </c>
      <c r="K563">
        <v>104.81</v>
      </c>
      <c r="L563">
        <v>195</v>
      </c>
      <c r="M563" s="13" t="s">
        <v>3366</v>
      </c>
    </row>
    <row r="564" spans="1:13" x14ac:dyDescent="0.35">
      <c r="A564" s="13" t="s">
        <v>3944</v>
      </c>
      <c r="B564" s="13" t="s">
        <v>253</v>
      </c>
      <c r="C564" s="13" t="s">
        <v>254</v>
      </c>
      <c r="D564" s="13" t="s">
        <v>55</v>
      </c>
      <c r="E564" s="13" t="s">
        <v>52</v>
      </c>
      <c r="F564" s="13" t="s">
        <v>57</v>
      </c>
      <c r="G564" s="14">
        <v>45823</v>
      </c>
      <c r="H564" s="14">
        <v>45828</v>
      </c>
      <c r="I564">
        <v>2241.0100000000002</v>
      </c>
      <c r="J564">
        <v>19392.23</v>
      </c>
      <c r="K564">
        <v>865.33</v>
      </c>
      <c r="L564">
        <v>194</v>
      </c>
      <c r="M564" s="13" t="s">
        <v>3366</v>
      </c>
    </row>
    <row r="565" spans="1:13" x14ac:dyDescent="0.35">
      <c r="A565" s="13" t="s">
        <v>3945</v>
      </c>
      <c r="B565" s="13" t="s">
        <v>296</v>
      </c>
      <c r="C565" s="13" t="s">
        <v>297</v>
      </c>
      <c r="D565" s="13" t="s">
        <v>92</v>
      </c>
      <c r="E565" s="13" t="s">
        <v>104</v>
      </c>
      <c r="F565" s="13" t="s">
        <v>106</v>
      </c>
      <c r="G565" s="14">
        <v>45814</v>
      </c>
      <c r="H565" s="14">
        <v>45828</v>
      </c>
      <c r="I565">
        <v>1077.67</v>
      </c>
      <c r="J565">
        <v>0</v>
      </c>
      <c r="K565">
        <v>0</v>
      </c>
      <c r="L565">
        <v>194</v>
      </c>
      <c r="M565" s="13" t="s">
        <v>3512</v>
      </c>
    </row>
    <row r="566" spans="1:13" x14ac:dyDescent="0.35">
      <c r="A566" s="13" t="s">
        <v>3946</v>
      </c>
      <c r="B566" s="13" t="s">
        <v>290</v>
      </c>
      <c r="C566" s="13" t="s">
        <v>291</v>
      </c>
      <c r="D566" s="13" t="s">
        <v>92</v>
      </c>
      <c r="E566" s="13" t="s">
        <v>104</v>
      </c>
      <c r="F566" s="13" t="s">
        <v>122</v>
      </c>
      <c r="G566" s="14">
        <v>45804</v>
      </c>
      <c r="H566" s="14">
        <v>45828</v>
      </c>
      <c r="I566">
        <v>1972.86</v>
      </c>
      <c r="J566">
        <v>0</v>
      </c>
      <c r="K566">
        <v>0</v>
      </c>
      <c r="L566">
        <v>194</v>
      </c>
      <c r="M566" s="13" t="s">
        <v>3512</v>
      </c>
    </row>
    <row r="567" spans="1:13" x14ac:dyDescent="0.35">
      <c r="A567" s="13" t="s">
        <v>3947</v>
      </c>
      <c r="B567" s="13" t="s">
        <v>766</v>
      </c>
      <c r="C567" s="13" t="s">
        <v>767</v>
      </c>
      <c r="D567" s="13" t="s">
        <v>92</v>
      </c>
      <c r="E567" s="13" t="s">
        <v>104</v>
      </c>
      <c r="F567" s="13" t="s">
        <v>106</v>
      </c>
      <c r="G567" s="14">
        <v>45818</v>
      </c>
      <c r="H567" s="14">
        <v>45829</v>
      </c>
      <c r="I567">
        <v>5075.97</v>
      </c>
      <c r="J567">
        <v>5182.25</v>
      </c>
      <c r="K567">
        <v>102.09</v>
      </c>
      <c r="L567">
        <v>193</v>
      </c>
      <c r="M567" s="13" t="s">
        <v>3366</v>
      </c>
    </row>
    <row r="568" spans="1:13" x14ac:dyDescent="0.35">
      <c r="A568" s="13" t="s">
        <v>3948</v>
      </c>
      <c r="B568" s="13" t="s">
        <v>379</v>
      </c>
      <c r="C568" s="13" t="s">
        <v>380</v>
      </c>
      <c r="D568" s="13" t="s">
        <v>92</v>
      </c>
      <c r="E568" s="13" t="s">
        <v>52</v>
      </c>
      <c r="F568" s="13" t="s">
        <v>57</v>
      </c>
      <c r="G568" s="14">
        <v>45820</v>
      </c>
      <c r="H568" s="14">
        <v>45829</v>
      </c>
      <c r="I568">
        <v>15749.36</v>
      </c>
      <c r="J568">
        <v>16335.2</v>
      </c>
      <c r="K568">
        <v>103.72</v>
      </c>
      <c r="L568">
        <v>193</v>
      </c>
      <c r="M568" s="13" t="s">
        <v>3366</v>
      </c>
    </row>
    <row r="569" spans="1:13" x14ac:dyDescent="0.35">
      <c r="A569" s="13" t="s">
        <v>3949</v>
      </c>
      <c r="B569" s="13" t="s">
        <v>2413</v>
      </c>
      <c r="C569" s="13" t="s">
        <v>2414</v>
      </c>
      <c r="D569" s="13" t="s">
        <v>55</v>
      </c>
      <c r="E569" s="13" t="s">
        <v>76</v>
      </c>
      <c r="F569" s="13" t="s">
        <v>80</v>
      </c>
      <c r="G569" s="14">
        <v>45818</v>
      </c>
      <c r="H569" s="14">
        <v>45829</v>
      </c>
      <c r="I569">
        <v>1862.21</v>
      </c>
      <c r="J569">
        <v>4993.21</v>
      </c>
      <c r="K569">
        <v>268.13</v>
      </c>
      <c r="L569">
        <v>193</v>
      </c>
      <c r="M569" s="13" t="s">
        <v>3366</v>
      </c>
    </row>
    <row r="570" spans="1:13" x14ac:dyDescent="0.35">
      <c r="A570" s="13" t="s">
        <v>3950</v>
      </c>
      <c r="B570" s="13" t="s">
        <v>2413</v>
      </c>
      <c r="C570" s="13" t="s">
        <v>2414</v>
      </c>
      <c r="D570" s="13" t="s">
        <v>55</v>
      </c>
      <c r="E570" s="13" t="s">
        <v>76</v>
      </c>
      <c r="F570" s="13" t="s">
        <v>80</v>
      </c>
      <c r="G570" s="14">
        <v>45820</v>
      </c>
      <c r="H570" s="14">
        <v>45829</v>
      </c>
      <c r="I570">
        <v>2677.05</v>
      </c>
      <c r="J570">
        <v>4993.21</v>
      </c>
      <c r="K570">
        <v>186.52</v>
      </c>
      <c r="L570">
        <v>193</v>
      </c>
      <c r="M570" s="13" t="s">
        <v>3366</v>
      </c>
    </row>
    <row r="571" spans="1:13" x14ac:dyDescent="0.35">
      <c r="A571" s="13" t="s">
        <v>3951</v>
      </c>
      <c r="B571" s="13" t="s">
        <v>50</v>
      </c>
      <c r="C571" s="13" t="s">
        <v>51</v>
      </c>
      <c r="D571" s="13" t="s">
        <v>55</v>
      </c>
      <c r="E571" s="13" t="s">
        <v>52</v>
      </c>
      <c r="F571" s="13" t="s">
        <v>57</v>
      </c>
      <c r="G571" s="14">
        <v>45814</v>
      </c>
      <c r="H571" s="14">
        <v>45829</v>
      </c>
      <c r="I571">
        <v>5970.72</v>
      </c>
      <c r="J571">
        <v>7944.7</v>
      </c>
      <c r="K571">
        <v>133.06</v>
      </c>
      <c r="L571">
        <v>193</v>
      </c>
      <c r="M571" s="13" t="s">
        <v>3366</v>
      </c>
    </row>
    <row r="572" spans="1:13" x14ac:dyDescent="0.35">
      <c r="A572" s="13" t="s">
        <v>3952</v>
      </c>
      <c r="B572" s="13" t="s">
        <v>63</v>
      </c>
      <c r="C572" s="13" t="s">
        <v>64</v>
      </c>
      <c r="D572" s="13" t="s">
        <v>67</v>
      </c>
      <c r="E572" s="13" t="s">
        <v>52</v>
      </c>
      <c r="F572" s="13" t="s">
        <v>57</v>
      </c>
      <c r="G572" s="14">
        <v>45827</v>
      </c>
      <c r="H572" s="14">
        <v>45830</v>
      </c>
      <c r="I572">
        <v>1946.94</v>
      </c>
      <c r="J572">
        <v>2019.09</v>
      </c>
      <c r="K572">
        <v>103.71</v>
      </c>
      <c r="L572">
        <v>192</v>
      </c>
      <c r="M572" s="13" t="s">
        <v>3366</v>
      </c>
    </row>
    <row r="573" spans="1:13" x14ac:dyDescent="0.35">
      <c r="A573" s="13" t="s">
        <v>3953</v>
      </c>
      <c r="B573" s="13" t="s">
        <v>286</v>
      </c>
      <c r="C573" s="13" t="s">
        <v>287</v>
      </c>
      <c r="D573" s="13" t="s">
        <v>92</v>
      </c>
      <c r="E573" s="13" t="s">
        <v>104</v>
      </c>
      <c r="F573" s="13" t="s">
        <v>87</v>
      </c>
      <c r="G573" s="14">
        <v>45811</v>
      </c>
      <c r="H573" s="14">
        <v>45830</v>
      </c>
      <c r="I573">
        <v>1060.3</v>
      </c>
      <c r="J573">
        <v>0</v>
      </c>
      <c r="K573">
        <v>0</v>
      </c>
      <c r="L573">
        <v>192</v>
      </c>
      <c r="M573" s="13" t="s">
        <v>3512</v>
      </c>
    </row>
    <row r="574" spans="1:13" x14ac:dyDescent="0.35">
      <c r="A574" s="13" t="s">
        <v>3954</v>
      </c>
      <c r="B574" s="13" t="s">
        <v>286</v>
      </c>
      <c r="C574" s="13" t="s">
        <v>287</v>
      </c>
      <c r="D574" s="13" t="s">
        <v>92</v>
      </c>
      <c r="E574" s="13" t="s">
        <v>104</v>
      </c>
      <c r="F574" s="13" t="s">
        <v>87</v>
      </c>
      <c r="G574" s="14">
        <v>45819</v>
      </c>
      <c r="H574" s="14">
        <v>45830</v>
      </c>
      <c r="I574">
        <v>2508.12</v>
      </c>
      <c r="J574">
        <v>0</v>
      </c>
      <c r="K574">
        <v>0</v>
      </c>
      <c r="L574">
        <v>192</v>
      </c>
      <c r="M574" s="13" t="s">
        <v>3512</v>
      </c>
    </row>
    <row r="575" spans="1:13" x14ac:dyDescent="0.35">
      <c r="A575" s="13" t="s">
        <v>3955</v>
      </c>
      <c r="B575" s="13" t="s">
        <v>229</v>
      </c>
      <c r="C575" s="13" t="s">
        <v>230</v>
      </c>
      <c r="D575" s="13" t="s">
        <v>67</v>
      </c>
      <c r="E575" s="13" t="s">
        <v>104</v>
      </c>
      <c r="F575" s="13" t="s">
        <v>106</v>
      </c>
      <c r="G575" s="14">
        <v>45819</v>
      </c>
      <c r="H575" s="14">
        <v>45830</v>
      </c>
      <c r="I575">
        <v>1136.5999999999999</v>
      </c>
      <c r="J575">
        <v>2565.13</v>
      </c>
      <c r="K575">
        <v>225.68</v>
      </c>
      <c r="L575">
        <v>192</v>
      </c>
      <c r="M575" s="13" t="s">
        <v>3366</v>
      </c>
    </row>
    <row r="576" spans="1:13" x14ac:dyDescent="0.35">
      <c r="A576" s="13" t="s">
        <v>3956</v>
      </c>
      <c r="B576" s="13" t="s">
        <v>2524</v>
      </c>
      <c r="C576" s="13" t="s">
        <v>2525</v>
      </c>
      <c r="D576" s="13" t="s">
        <v>67</v>
      </c>
      <c r="E576" s="13" t="s">
        <v>104</v>
      </c>
      <c r="F576" s="13" t="s">
        <v>122</v>
      </c>
      <c r="G576" s="14">
        <v>45827</v>
      </c>
      <c r="H576" s="14">
        <v>45830</v>
      </c>
      <c r="I576">
        <v>3112.78</v>
      </c>
      <c r="J576">
        <v>3139.73</v>
      </c>
      <c r="K576">
        <v>100.87</v>
      </c>
      <c r="L576">
        <v>192</v>
      </c>
      <c r="M576" s="13" t="s">
        <v>3366</v>
      </c>
    </row>
    <row r="577" spans="1:13" x14ac:dyDescent="0.35">
      <c r="A577" s="13" t="s">
        <v>3957</v>
      </c>
      <c r="B577" s="13" t="s">
        <v>247</v>
      </c>
      <c r="C577" s="13" t="s">
        <v>248</v>
      </c>
      <c r="D577" s="13" t="s">
        <v>55</v>
      </c>
      <c r="E577" s="13" t="s">
        <v>104</v>
      </c>
      <c r="F577" s="13" t="s">
        <v>106</v>
      </c>
      <c r="G577" s="14">
        <v>45826</v>
      </c>
      <c r="H577" s="14">
        <v>45830</v>
      </c>
      <c r="I577">
        <v>3282.82</v>
      </c>
      <c r="J577">
        <v>7807.2</v>
      </c>
      <c r="K577">
        <v>237.82</v>
      </c>
      <c r="L577">
        <v>192</v>
      </c>
      <c r="M577" s="13" t="s">
        <v>3366</v>
      </c>
    </row>
    <row r="578" spans="1:13" x14ac:dyDescent="0.35">
      <c r="A578" s="13" t="s">
        <v>3958</v>
      </c>
      <c r="B578" s="13" t="s">
        <v>641</v>
      </c>
      <c r="C578" s="13" t="s">
        <v>642</v>
      </c>
      <c r="D578" s="13" t="s">
        <v>67</v>
      </c>
      <c r="E578" s="13" t="s">
        <v>52</v>
      </c>
      <c r="F578" s="13" t="s">
        <v>57</v>
      </c>
      <c r="G578" s="14">
        <v>45819</v>
      </c>
      <c r="H578" s="14">
        <v>45831</v>
      </c>
      <c r="I578">
        <v>2525.79</v>
      </c>
      <c r="J578">
        <v>2686.7</v>
      </c>
      <c r="K578">
        <v>106.37</v>
      </c>
      <c r="L578">
        <v>191</v>
      </c>
      <c r="M578" s="13" t="s">
        <v>3366</v>
      </c>
    </row>
    <row r="579" spans="1:13" x14ac:dyDescent="0.35">
      <c r="A579" s="13" t="s">
        <v>3959</v>
      </c>
      <c r="B579" s="13" t="s">
        <v>203</v>
      </c>
      <c r="C579" s="13" t="s">
        <v>204</v>
      </c>
      <c r="D579" s="13" t="s">
        <v>67</v>
      </c>
      <c r="E579" s="13" t="s">
        <v>52</v>
      </c>
      <c r="F579" s="13" t="s">
        <v>57</v>
      </c>
      <c r="G579" s="14">
        <v>45825</v>
      </c>
      <c r="H579" s="14">
        <v>45831</v>
      </c>
      <c r="I579">
        <v>1644.15</v>
      </c>
      <c r="J579">
        <v>24235.7</v>
      </c>
      <c r="K579">
        <v>1474.06</v>
      </c>
      <c r="L579">
        <v>191</v>
      </c>
      <c r="M579" s="13" t="s">
        <v>3366</v>
      </c>
    </row>
    <row r="580" spans="1:13" x14ac:dyDescent="0.35">
      <c r="A580" s="13" t="s">
        <v>3960</v>
      </c>
      <c r="B580" s="13" t="s">
        <v>2393</v>
      </c>
      <c r="C580" s="13" t="s">
        <v>2394</v>
      </c>
      <c r="D580" s="13" t="s">
        <v>55</v>
      </c>
      <c r="E580" s="13" t="s">
        <v>104</v>
      </c>
      <c r="F580" s="13" t="s">
        <v>106</v>
      </c>
      <c r="G580" s="14">
        <v>45818</v>
      </c>
      <c r="H580" s="14">
        <v>45831</v>
      </c>
      <c r="I580">
        <v>6931.71</v>
      </c>
      <c r="J580">
        <v>7606.09</v>
      </c>
      <c r="K580">
        <v>109.73</v>
      </c>
      <c r="L580">
        <v>191</v>
      </c>
      <c r="M580" s="13" t="s">
        <v>3366</v>
      </c>
    </row>
    <row r="581" spans="1:13" x14ac:dyDescent="0.35">
      <c r="A581" s="13" t="s">
        <v>3961</v>
      </c>
      <c r="B581" s="13" t="s">
        <v>1482</v>
      </c>
      <c r="C581" s="13" t="s">
        <v>1483</v>
      </c>
      <c r="D581" s="13" t="s">
        <v>92</v>
      </c>
      <c r="E581" s="13" t="s">
        <v>76</v>
      </c>
      <c r="F581" s="13" t="s">
        <v>94</v>
      </c>
      <c r="G581" s="14">
        <v>45823</v>
      </c>
      <c r="H581" s="14">
        <v>45831</v>
      </c>
      <c r="I581">
        <v>476.8</v>
      </c>
      <c r="J581">
        <v>526.85</v>
      </c>
      <c r="K581">
        <v>110.5</v>
      </c>
      <c r="L581">
        <v>191</v>
      </c>
      <c r="M581" s="13" t="s">
        <v>3366</v>
      </c>
    </row>
    <row r="582" spans="1:13" x14ac:dyDescent="0.35">
      <c r="A582" s="13" t="s">
        <v>3962</v>
      </c>
      <c r="B582" s="13" t="s">
        <v>1414</v>
      </c>
      <c r="C582" s="13" t="s">
        <v>1415</v>
      </c>
      <c r="D582" s="13" t="s">
        <v>55</v>
      </c>
      <c r="E582" s="13" t="s">
        <v>104</v>
      </c>
      <c r="F582" s="13" t="s">
        <v>122</v>
      </c>
      <c r="G582" s="14">
        <v>45809</v>
      </c>
      <c r="H582" s="14">
        <v>45831</v>
      </c>
      <c r="I582">
        <v>1296.42</v>
      </c>
      <c r="J582">
        <v>1375.95</v>
      </c>
      <c r="K582">
        <v>106.13</v>
      </c>
      <c r="L582">
        <v>191</v>
      </c>
      <c r="M582" s="13" t="s">
        <v>3366</v>
      </c>
    </row>
    <row r="583" spans="1:13" x14ac:dyDescent="0.35">
      <c r="A583" s="13" t="s">
        <v>3963</v>
      </c>
      <c r="B583" s="13" t="s">
        <v>605</v>
      </c>
      <c r="C583" s="13" t="s">
        <v>606</v>
      </c>
      <c r="D583" s="13" t="s">
        <v>67</v>
      </c>
      <c r="E583" s="13" t="s">
        <v>52</v>
      </c>
      <c r="F583" s="13" t="s">
        <v>87</v>
      </c>
      <c r="G583" s="14">
        <v>45826</v>
      </c>
      <c r="H583" s="14">
        <v>45831</v>
      </c>
      <c r="I583">
        <v>1662.27</v>
      </c>
      <c r="J583">
        <v>1729.57</v>
      </c>
      <c r="K583">
        <v>104.05</v>
      </c>
      <c r="L583">
        <v>191</v>
      </c>
      <c r="M583" s="13" t="s">
        <v>3366</v>
      </c>
    </row>
    <row r="584" spans="1:13" x14ac:dyDescent="0.35">
      <c r="A584" s="13" t="s">
        <v>3964</v>
      </c>
      <c r="B584" s="13" t="s">
        <v>1546</v>
      </c>
      <c r="C584" s="13" t="s">
        <v>1547</v>
      </c>
      <c r="D584" s="13" t="s">
        <v>92</v>
      </c>
      <c r="E584" s="13" t="s">
        <v>76</v>
      </c>
      <c r="F584" s="13" t="s">
        <v>94</v>
      </c>
      <c r="G584" s="14">
        <v>45826</v>
      </c>
      <c r="H584" s="14">
        <v>45831</v>
      </c>
      <c r="I584">
        <v>1692.21</v>
      </c>
      <c r="J584">
        <v>1874.94</v>
      </c>
      <c r="K584">
        <v>110.8</v>
      </c>
      <c r="L584">
        <v>191</v>
      </c>
      <c r="M584" s="13" t="s">
        <v>3366</v>
      </c>
    </row>
    <row r="585" spans="1:13" x14ac:dyDescent="0.35">
      <c r="A585" s="13" t="s">
        <v>3965</v>
      </c>
      <c r="B585" s="13" t="s">
        <v>1105</v>
      </c>
      <c r="C585" s="13" t="s">
        <v>1106</v>
      </c>
      <c r="D585" s="13" t="s">
        <v>67</v>
      </c>
      <c r="E585" s="13" t="s">
        <v>52</v>
      </c>
      <c r="F585" s="13" t="s">
        <v>57</v>
      </c>
      <c r="G585" s="14">
        <v>45821</v>
      </c>
      <c r="H585" s="14">
        <v>45832</v>
      </c>
      <c r="I585">
        <v>2406.9299999999998</v>
      </c>
      <c r="J585">
        <v>2598.39</v>
      </c>
      <c r="K585">
        <v>107.95</v>
      </c>
      <c r="L585">
        <v>190</v>
      </c>
      <c r="M585" s="13" t="s">
        <v>3366</v>
      </c>
    </row>
    <row r="586" spans="1:13" x14ac:dyDescent="0.35">
      <c r="A586" s="13" t="s">
        <v>3966</v>
      </c>
      <c r="B586" s="13" t="s">
        <v>902</v>
      </c>
      <c r="C586" s="13" t="s">
        <v>903</v>
      </c>
      <c r="D586" s="13" t="s">
        <v>67</v>
      </c>
      <c r="E586" s="13" t="s">
        <v>52</v>
      </c>
      <c r="F586" s="13" t="s">
        <v>57</v>
      </c>
      <c r="G586" s="14">
        <v>45822</v>
      </c>
      <c r="H586" s="14">
        <v>45832</v>
      </c>
      <c r="I586">
        <v>720.7</v>
      </c>
      <c r="J586">
        <v>7596.52</v>
      </c>
      <c r="K586">
        <v>1054.05</v>
      </c>
      <c r="L586">
        <v>190</v>
      </c>
      <c r="M586" s="13" t="s">
        <v>3366</v>
      </c>
    </row>
    <row r="587" spans="1:13" x14ac:dyDescent="0.35">
      <c r="A587" s="13" t="s">
        <v>3967</v>
      </c>
      <c r="B587" s="13" t="s">
        <v>902</v>
      </c>
      <c r="C587" s="13" t="s">
        <v>903</v>
      </c>
      <c r="D587" s="13" t="s">
        <v>67</v>
      </c>
      <c r="E587" s="13" t="s">
        <v>52</v>
      </c>
      <c r="F587" s="13" t="s">
        <v>57</v>
      </c>
      <c r="G587" s="14">
        <v>45819</v>
      </c>
      <c r="H587" s="14">
        <v>45832</v>
      </c>
      <c r="I587">
        <v>4860.1400000000003</v>
      </c>
      <c r="J587">
        <v>7596.52</v>
      </c>
      <c r="K587">
        <v>156.30000000000001</v>
      </c>
      <c r="L587">
        <v>190</v>
      </c>
      <c r="M587" s="13" t="s">
        <v>3366</v>
      </c>
    </row>
    <row r="588" spans="1:13" x14ac:dyDescent="0.35">
      <c r="A588" s="13" t="s">
        <v>3968</v>
      </c>
      <c r="B588" s="13" t="s">
        <v>180</v>
      </c>
      <c r="C588" s="13" t="s">
        <v>181</v>
      </c>
      <c r="D588" s="13" t="s">
        <v>55</v>
      </c>
      <c r="E588" s="13" t="s">
        <v>104</v>
      </c>
      <c r="F588" s="13" t="s">
        <v>122</v>
      </c>
      <c r="G588" s="14">
        <v>45824</v>
      </c>
      <c r="H588" s="14">
        <v>45832</v>
      </c>
      <c r="I588">
        <v>3546.64</v>
      </c>
      <c r="J588">
        <v>3924.83</v>
      </c>
      <c r="K588">
        <v>110.66</v>
      </c>
      <c r="L588">
        <v>190</v>
      </c>
      <c r="M588" s="13" t="s">
        <v>3366</v>
      </c>
    </row>
    <row r="589" spans="1:13" x14ac:dyDescent="0.35">
      <c r="A589" s="13" t="s">
        <v>3969</v>
      </c>
      <c r="B589" s="13" t="s">
        <v>403</v>
      </c>
      <c r="C589" s="13" t="s">
        <v>404</v>
      </c>
      <c r="D589" s="13" t="s">
        <v>67</v>
      </c>
      <c r="E589" s="13" t="s">
        <v>126</v>
      </c>
      <c r="F589" s="13" t="s">
        <v>57</v>
      </c>
      <c r="G589" s="14">
        <v>45825</v>
      </c>
      <c r="H589" s="14">
        <v>45832</v>
      </c>
      <c r="I589">
        <v>5023.68</v>
      </c>
      <c r="J589">
        <v>5503.3</v>
      </c>
      <c r="K589">
        <v>109.55</v>
      </c>
      <c r="L589">
        <v>190</v>
      </c>
      <c r="M589" s="13" t="s">
        <v>3366</v>
      </c>
    </row>
    <row r="590" spans="1:13" x14ac:dyDescent="0.35">
      <c r="A590" s="13" t="s">
        <v>3970</v>
      </c>
      <c r="B590" s="13" t="s">
        <v>238</v>
      </c>
      <c r="C590" s="13" t="s">
        <v>239</v>
      </c>
      <c r="D590" s="13" t="s">
        <v>92</v>
      </c>
      <c r="E590" s="13" t="s">
        <v>76</v>
      </c>
      <c r="F590" s="13" t="s">
        <v>94</v>
      </c>
      <c r="G590" s="14">
        <v>45826</v>
      </c>
      <c r="H590" s="14">
        <v>45832</v>
      </c>
      <c r="I590">
        <v>554.28</v>
      </c>
      <c r="J590">
        <v>1684.34</v>
      </c>
      <c r="K590">
        <v>303.88</v>
      </c>
      <c r="L590">
        <v>190</v>
      </c>
      <c r="M590" s="13" t="s">
        <v>3366</v>
      </c>
    </row>
    <row r="591" spans="1:13" x14ac:dyDescent="0.35">
      <c r="A591" s="13" t="s">
        <v>3971</v>
      </c>
      <c r="B591" s="13" t="s">
        <v>1004</v>
      </c>
      <c r="C591" s="13" t="s">
        <v>1005</v>
      </c>
      <c r="D591" s="13" t="s">
        <v>55</v>
      </c>
      <c r="E591" s="13" t="s">
        <v>104</v>
      </c>
      <c r="F591" s="13" t="s">
        <v>122</v>
      </c>
      <c r="G591" s="14">
        <v>45828</v>
      </c>
      <c r="H591" s="14">
        <v>45832</v>
      </c>
      <c r="I591">
        <v>1237.08</v>
      </c>
      <c r="J591">
        <v>5983.46</v>
      </c>
      <c r="K591">
        <v>483.68</v>
      </c>
      <c r="L591">
        <v>190</v>
      </c>
      <c r="M591" s="13" t="s">
        <v>3366</v>
      </c>
    </row>
    <row r="592" spans="1:13" x14ac:dyDescent="0.35">
      <c r="A592" s="13" t="s">
        <v>3972</v>
      </c>
      <c r="B592" s="13" t="s">
        <v>834</v>
      </c>
      <c r="C592" s="13" t="s">
        <v>835</v>
      </c>
      <c r="D592" s="13" t="s">
        <v>67</v>
      </c>
      <c r="E592" s="13" t="s">
        <v>104</v>
      </c>
      <c r="F592" s="13" t="s">
        <v>106</v>
      </c>
      <c r="G592" s="14">
        <v>45825</v>
      </c>
      <c r="H592" s="14">
        <v>45832</v>
      </c>
      <c r="I592">
        <v>6592.84</v>
      </c>
      <c r="J592">
        <v>8849.1200000000008</v>
      </c>
      <c r="K592">
        <v>134.22</v>
      </c>
      <c r="L592">
        <v>190</v>
      </c>
      <c r="M592" s="13" t="s">
        <v>3366</v>
      </c>
    </row>
    <row r="593" spans="1:13" x14ac:dyDescent="0.35">
      <c r="A593" s="13" t="s">
        <v>3973</v>
      </c>
      <c r="B593" s="13" t="s">
        <v>133</v>
      </c>
      <c r="C593" s="13" t="s">
        <v>134</v>
      </c>
      <c r="D593" s="13" t="s">
        <v>67</v>
      </c>
      <c r="E593" s="13" t="s">
        <v>104</v>
      </c>
      <c r="F593" s="13" t="s">
        <v>122</v>
      </c>
      <c r="G593" s="14">
        <v>45819</v>
      </c>
      <c r="H593" s="14">
        <v>45833</v>
      </c>
      <c r="I593">
        <v>1915.45</v>
      </c>
      <c r="J593">
        <v>4312.8100000000004</v>
      </c>
      <c r="K593">
        <v>225.16</v>
      </c>
      <c r="L593">
        <v>189</v>
      </c>
      <c r="M593" s="13" t="s">
        <v>3366</v>
      </c>
    </row>
    <row r="594" spans="1:13" x14ac:dyDescent="0.35">
      <c r="A594" s="13" t="s">
        <v>3974</v>
      </c>
      <c r="B594" s="13" t="s">
        <v>1201</v>
      </c>
      <c r="C594" s="13" t="s">
        <v>1202</v>
      </c>
      <c r="D594" s="13" t="s">
        <v>67</v>
      </c>
      <c r="E594" s="13" t="s">
        <v>126</v>
      </c>
      <c r="F594" s="13" t="s">
        <v>87</v>
      </c>
      <c r="G594" s="14">
        <v>45825</v>
      </c>
      <c r="H594" s="14">
        <v>45833</v>
      </c>
      <c r="I594">
        <v>6213.79</v>
      </c>
      <c r="J594">
        <v>6732.81</v>
      </c>
      <c r="K594">
        <v>108.35</v>
      </c>
      <c r="L594">
        <v>189</v>
      </c>
      <c r="M594" s="13" t="s">
        <v>3366</v>
      </c>
    </row>
    <row r="595" spans="1:13" x14ac:dyDescent="0.35">
      <c r="A595" s="13" t="s">
        <v>3975</v>
      </c>
      <c r="B595" s="13" t="s">
        <v>277</v>
      </c>
      <c r="C595" s="13" t="s">
        <v>278</v>
      </c>
      <c r="D595" s="13" t="s">
        <v>92</v>
      </c>
      <c r="E595" s="13" t="s">
        <v>104</v>
      </c>
      <c r="F595" s="13" t="s">
        <v>106</v>
      </c>
      <c r="G595" s="14">
        <v>45808</v>
      </c>
      <c r="H595" s="14">
        <v>45833</v>
      </c>
      <c r="I595">
        <v>487.38</v>
      </c>
      <c r="J595">
        <v>0</v>
      </c>
      <c r="K595">
        <v>0</v>
      </c>
      <c r="L595">
        <v>189</v>
      </c>
      <c r="M595" s="13" t="s">
        <v>3512</v>
      </c>
    </row>
    <row r="596" spans="1:13" x14ac:dyDescent="0.35">
      <c r="A596" s="13" t="s">
        <v>3976</v>
      </c>
      <c r="B596" s="13" t="s">
        <v>2668</v>
      </c>
      <c r="C596" s="13" t="s">
        <v>2669</v>
      </c>
      <c r="D596" s="13" t="s">
        <v>55</v>
      </c>
      <c r="E596" s="13" t="s">
        <v>104</v>
      </c>
      <c r="F596" s="13" t="s">
        <v>122</v>
      </c>
      <c r="G596" s="14">
        <v>45822</v>
      </c>
      <c r="H596" s="14">
        <v>45833</v>
      </c>
      <c r="I596">
        <v>1256.03</v>
      </c>
      <c r="J596">
        <v>1314.61</v>
      </c>
      <c r="K596">
        <v>104.66</v>
      </c>
      <c r="L596">
        <v>189</v>
      </c>
      <c r="M596" s="13" t="s">
        <v>3366</v>
      </c>
    </row>
    <row r="597" spans="1:13" x14ac:dyDescent="0.35">
      <c r="A597" s="13" t="s">
        <v>3977</v>
      </c>
      <c r="B597" s="13" t="s">
        <v>300</v>
      </c>
      <c r="C597" s="13" t="s">
        <v>301</v>
      </c>
      <c r="D597" s="13" t="s">
        <v>92</v>
      </c>
      <c r="E597" s="13" t="s">
        <v>104</v>
      </c>
      <c r="F597" s="13" t="s">
        <v>106</v>
      </c>
      <c r="G597" s="14">
        <v>45809</v>
      </c>
      <c r="H597" s="14">
        <v>45834</v>
      </c>
      <c r="I597">
        <v>718.2</v>
      </c>
      <c r="J597">
        <v>0</v>
      </c>
      <c r="K597">
        <v>0</v>
      </c>
      <c r="L597">
        <v>188</v>
      </c>
      <c r="M597" s="13" t="s">
        <v>3512</v>
      </c>
    </row>
    <row r="598" spans="1:13" x14ac:dyDescent="0.35">
      <c r="A598" s="13" t="s">
        <v>3978</v>
      </c>
      <c r="B598" s="13" t="s">
        <v>1970</v>
      </c>
      <c r="C598" s="13" t="s">
        <v>1971</v>
      </c>
      <c r="D598" s="13" t="s">
        <v>67</v>
      </c>
      <c r="E598" s="13" t="s">
        <v>76</v>
      </c>
      <c r="F598" s="13" t="s">
        <v>94</v>
      </c>
      <c r="G598" s="14">
        <v>45831</v>
      </c>
      <c r="H598" s="14">
        <v>45834</v>
      </c>
      <c r="I598">
        <v>598.47</v>
      </c>
      <c r="J598">
        <v>602.82000000000005</v>
      </c>
      <c r="K598">
        <v>100.73</v>
      </c>
      <c r="L598">
        <v>188</v>
      </c>
      <c r="M598" s="13" t="s">
        <v>3366</v>
      </c>
    </row>
    <row r="599" spans="1:13" x14ac:dyDescent="0.35">
      <c r="A599" s="13" t="s">
        <v>3979</v>
      </c>
      <c r="B599" s="13" t="s">
        <v>1672</v>
      </c>
      <c r="C599" s="13" t="s">
        <v>1673</v>
      </c>
      <c r="D599" s="13" t="s">
        <v>67</v>
      </c>
      <c r="E599" s="13" t="s">
        <v>76</v>
      </c>
      <c r="F599" s="13" t="s">
        <v>80</v>
      </c>
      <c r="G599" s="14">
        <v>45830</v>
      </c>
      <c r="H599" s="14">
        <v>45834</v>
      </c>
      <c r="I599">
        <v>4436.6899999999996</v>
      </c>
      <c r="J599">
        <v>8302.51</v>
      </c>
      <c r="K599">
        <v>187.13</v>
      </c>
      <c r="L599">
        <v>188</v>
      </c>
      <c r="M599" s="13" t="s">
        <v>3366</v>
      </c>
    </row>
    <row r="600" spans="1:13" x14ac:dyDescent="0.35">
      <c r="A600" s="13" t="s">
        <v>3980</v>
      </c>
      <c r="B600" s="13" t="s">
        <v>283</v>
      </c>
      <c r="C600" s="13" t="s">
        <v>284</v>
      </c>
      <c r="D600" s="13" t="s">
        <v>92</v>
      </c>
      <c r="E600" s="13" t="s">
        <v>104</v>
      </c>
      <c r="F600" s="13" t="s">
        <v>106</v>
      </c>
      <c r="G600" s="14">
        <v>45813</v>
      </c>
      <c r="H600" s="14">
        <v>45835</v>
      </c>
      <c r="I600">
        <v>1319.45</v>
      </c>
      <c r="J600">
        <v>0</v>
      </c>
      <c r="K600">
        <v>0</v>
      </c>
      <c r="L600">
        <v>187</v>
      </c>
      <c r="M600" s="13" t="s">
        <v>3512</v>
      </c>
    </row>
    <row r="601" spans="1:13" x14ac:dyDescent="0.35">
      <c r="A601" s="13" t="s">
        <v>3981</v>
      </c>
      <c r="B601" s="13" t="s">
        <v>219</v>
      </c>
      <c r="C601" s="13" t="s">
        <v>220</v>
      </c>
      <c r="D601" s="13" t="s">
        <v>55</v>
      </c>
      <c r="E601" s="13" t="s">
        <v>76</v>
      </c>
      <c r="F601" s="13" t="s">
        <v>80</v>
      </c>
      <c r="G601" s="14">
        <v>45823</v>
      </c>
      <c r="H601" s="14">
        <v>45835</v>
      </c>
      <c r="I601">
        <v>963.15</v>
      </c>
      <c r="J601">
        <v>980.06</v>
      </c>
      <c r="K601">
        <v>101.76</v>
      </c>
      <c r="L601">
        <v>187</v>
      </c>
      <c r="M601" s="13" t="s">
        <v>3366</v>
      </c>
    </row>
    <row r="602" spans="1:13" x14ac:dyDescent="0.35">
      <c r="A602" s="13" t="s">
        <v>3982</v>
      </c>
      <c r="B602" s="13" t="s">
        <v>130</v>
      </c>
      <c r="C602" s="13" t="s">
        <v>131</v>
      </c>
      <c r="D602" s="13" t="s">
        <v>55</v>
      </c>
      <c r="E602" s="13" t="s">
        <v>76</v>
      </c>
      <c r="F602" s="13" t="s">
        <v>80</v>
      </c>
      <c r="G602" s="14">
        <v>45832</v>
      </c>
      <c r="H602" s="14">
        <v>45835</v>
      </c>
      <c r="I602">
        <v>2683.15</v>
      </c>
      <c r="J602">
        <v>4155.16</v>
      </c>
      <c r="K602">
        <v>154.86000000000001</v>
      </c>
      <c r="L602">
        <v>187</v>
      </c>
      <c r="M602" s="13" t="s">
        <v>3366</v>
      </c>
    </row>
    <row r="603" spans="1:13" x14ac:dyDescent="0.35">
      <c r="A603" s="13" t="s">
        <v>3983</v>
      </c>
      <c r="B603" s="13" t="s">
        <v>286</v>
      </c>
      <c r="C603" s="13" t="s">
        <v>287</v>
      </c>
      <c r="D603" s="13" t="s">
        <v>92</v>
      </c>
      <c r="E603" s="13" t="s">
        <v>104</v>
      </c>
      <c r="F603" s="13" t="s">
        <v>87</v>
      </c>
      <c r="G603" s="14">
        <v>45822</v>
      </c>
      <c r="H603" s="14">
        <v>45836</v>
      </c>
      <c r="I603">
        <v>462.08</v>
      </c>
      <c r="J603">
        <v>0</v>
      </c>
      <c r="K603">
        <v>0</v>
      </c>
      <c r="L603">
        <v>186</v>
      </c>
      <c r="M603" s="13" t="s">
        <v>3512</v>
      </c>
    </row>
    <row r="604" spans="1:13" x14ac:dyDescent="0.35">
      <c r="A604" s="13" t="s">
        <v>3984</v>
      </c>
      <c r="B604" s="13" t="s">
        <v>2024</v>
      </c>
      <c r="C604" s="13" t="s">
        <v>2025</v>
      </c>
      <c r="D604" s="13" t="s">
        <v>55</v>
      </c>
      <c r="E604" s="13" t="s">
        <v>104</v>
      </c>
      <c r="F604" s="13" t="s">
        <v>122</v>
      </c>
      <c r="G604" s="14">
        <v>45827</v>
      </c>
      <c r="H604" s="14">
        <v>45836</v>
      </c>
      <c r="I604">
        <v>4588.04</v>
      </c>
      <c r="J604">
        <v>12494.67</v>
      </c>
      <c r="K604">
        <v>272.33</v>
      </c>
      <c r="L604">
        <v>186</v>
      </c>
      <c r="M604" s="13" t="s">
        <v>3366</v>
      </c>
    </row>
    <row r="605" spans="1:13" x14ac:dyDescent="0.35">
      <c r="A605" s="13" t="s">
        <v>3985</v>
      </c>
      <c r="B605" s="13" t="s">
        <v>241</v>
      </c>
      <c r="C605" s="13" t="s">
        <v>242</v>
      </c>
      <c r="D605" s="13" t="s">
        <v>67</v>
      </c>
      <c r="E605" s="13" t="s">
        <v>76</v>
      </c>
      <c r="F605" s="13" t="s">
        <v>94</v>
      </c>
      <c r="G605" s="14">
        <v>45819</v>
      </c>
      <c r="H605" s="14">
        <v>45836</v>
      </c>
      <c r="I605">
        <v>889.32</v>
      </c>
      <c r="J605">
        <v>3505.83</v>
      </c>
      <c r="K605">
        <v>394.21</v>
      </c>
      <c r="L605">
        <v>186</v>
      </c>
      <c r="M605" s="13" t="s">
        <v>3366</v>
      </c>
    </row>
    <row r="606" spans="1:13" x14ac:dyDescent="0.35">
      <c r="A606" s="13" t="s">
        <v>3986</v>
      </c>
      <c r="B606" s="13" t="s">
        <v>290</v>
      </c>
      <c r="C606" s="13" t="s">
        <v>291</v>
      </c>
      <c r="D606" s="13" t="s">
        <v>92</v>
      </c>
      <c r="E606" s="13" t="s">
        <v>104</v>
      </c>
      <c r="F606" s="13" t="s">
        <v>122</v>
      </c>
      <c r="G606" s="14">
        <v>45814</v>
      </c>
      <c r="H606" s="14">
        <v>45836</v>
      </c>
      <c r="I606">
        <v>4882.58</v>
      </c>
      <c r="J606">
        <v>0</v>
      </c>
      <c r="K606">
        <v>0</v>
      </c>
      <c r="L606">
        <v>186</v>
      </c>
      <c r="M606" s="13" t="s">
        <v>3512</v>
      </c>
    </row>
    <row r="607" spans="1:13" x14ac:dyDescent="0.35">
      <c r="A607" s="13" t="s">
        <v>3987</v>
      </c>
      <c r="B607" s="13" t="s">
        <v>296</v>
      </c>
      <c r="C607" s="13" t="s">
        <v>297</v>
      </c>
      <c r="D607" s="13" t="s">
        <v>92</v>
      </c>
      <c r="E607" s="13" t="s">
        <v>104</v>
      </c>
      <c r="F607" s="13" t="s">
        <v>106</v>
      </c>
      <c r="G607" s="14">
        <v>45823</v>
      </c>
      <c r="H607" s="14">
        <v>45836</v>
      </c>
      <c r="I607">
        <v>5454.32</v>
      </c>
      <c r="J607">
        <v>0</v>
      </c>
      <c r="K607">
        <v>0</v>
      </c>
      <c r="L607">
        <v>186</v>
      </c>
      <c r="M607" s="13" t="s">
        <v>3512</v>
      </c>
    </row>
    <row r="608" spans="1:13" x14ac:dyDescent="0.35">
      <c r="A608" s="13" t="s">
        <v>3988</v>
      </c>
      <c r="B608" s="13" t="s">
        <v>463</v>
      </c>
      <c r="C608" s="13" t="s">
        <v>464</v>
      </c>
      <c r="D608" s="13" t="s">
        <v>55</v>
      </c>
      <c r="E608" s="13" t="s">
        <v>76</v>
      </c>
      <c r="F608" s="13" t="s">
        <v>94</v>
      </c>
      <c r="G608" s="14">
        <v>45826</v>
      </c>
      <c r="H608" s="14">
        <v>45836</v>
      </c>
      <c r="I608">
        <v>732.01</v>
      </c>
      <c r="J608">
        <v>791.24</v>
      </c>
      <c r="K608">
        <v>108.09</v>
      </c>
      <c r="L608">
        <v>186</v>
      </c>
      <c r="M608" s="13" t="s">
        <v>3366</v>
      </c>
    </row>
    <row r="609" spans="1:13" x14ac:dyDescent="0.35">
      <c r="A609" s="13" t="s">
        <v>3989</v>
      </c>
      <c r="B609" s="13" t="s">
        <v>212</v>
      </c>
      <c r="C609" s="13" t="s">
        <v>213</v>
      </c>
      <c r="D609" s="13" t="s">
        <v>92</v>
      </c>
      <c r="E609" s="13" t="s">
        <v>52</v>
      </c>
      <c r="F609" s="13" t="s">
        <v>87</v>
      </c>
      <c r="G609" s="14">
        <v>45829</v>
      </c>
      <c r="H609" s="14">
        <v>45836</v>
      </c>
      <c r="I609">
        <v>14612.3</v>
      </c>
      <c r="J609">
        <v>15203.47</v>
      </c>
      <c r="K609">
        <v>104.05</v>
      </c>
      <c r="L609">
        <v>186</v>
      </c>
      <c r="M609" s="13" t="s">
        <v>3366</v>
      </c>
    </row>
    <row r="610" spans="1:13" x14ac:dyDescent="0.35">
      <c r="A610" s="13" t="s">
        <v>3990</v>
      </c>
      <c r="B610" s="13" t="s">
        <v>788</v>
      </c>
      <c r="C610" s="13" t="s">
        <v>789</v>
      </c>
      <c r="D610" s="13" t="s">
        <v>67</v>
      </c>
      <c r="E610" s="13" t="s">
        <v>52</v>
      </c>
      <c r="F610" s="13" t="s">
        <v>87</v>
      </c>
      <c r="G610" s="14">
        <v>45826</v>
      </c>
      <c r="H610" s="14">
        <v>45837</v>
      </c>
      <c r="I610">
        <v>1606.89</v>
      </c>
      <c r="J610">
        <v>13946.97</v>
      </c>
      <c r="K610">
        <v>867.95</v>
      </c>
      <c r="L610">
        <v>185</v>
      </c>
      <c r="M610" s="13" t="s">
        <v>3366</v>
      </c>
    </row>
    <row r="611" spans="1:13" x14ac:dyDescent="0.35">
      <c r="A611" s="13" t="s">
        <v>3991</v>
      </c>
      <c r="B611" s="13" t="s">
        <v>241</v>
      </c>
      <c r="C611" s="13" t="s">
        <v>242</v>
      </c>
      <c r="D611" s="13" t="s">
        <v>67</v>
      </c>
      <c r="E611" s="13" t="s">
        <v>76</v>
      </c>
      <c r="F611" s="13" t="s">
        <v>94</v>
      </c>
      <c r="G611" s="14">
        <v>45826</v>
      </c>
      <c r="H611" s="14">
        <v>45837</v>
      </c>
      <c r="I611">
        <v>1569.8</v>
      </c>
      <c r="J611">
        <v>3505.83</v>
      </c>
      <c r="K611">
        <v>223.33</v>
      </c>
      <c r="L611">
        <v>185</v>
      </c>
      <c r="M611" s="13" t="s">
        <v>3366</v>
      </c>
    </row>
    <row r="612" spans="1:13" x14ac:dyDescent="0.35">
      <c r="A612" s="13" t="s">
        <v>3992</v>
      </c>
      <c r="B612" s="13" t="s">
        <v>692</v>
      </c>
      <c r="C612" s="13" t="s">
        <v>693</v>
      </c>
      <c r="D612" s="13" t="s">
        <v>55</v>
      </c>
      <c r="E612" s="13" t="s">
        <v>52</v>
      </c>
      <c r="F612" s="13" t="s">
        <v>57</v>
      </c>
      <c r="G612" s="14">
        <v>45831</v>
      </c>
      <c r="H612" s="14">
        <v>45837</v>
      </c>
      <c r="I612">
        <v>2577.4299999999998</v>
      </c>
      <c r="J612">
        <v>2856.37</v>
      </c>
      <c r="K612">
        <v>110.82</v>
      </c>
      <c r="L612">
        <v>185</v>
      </c>
      <c r="M612" s="13" t="s">
        <v>3366</v>
      </c>
    </row>
    <row r="613" spans="1:13" x14ac:dyDescent="0.35">
      <c r="A613" s="13" t="s">
        <v>3993</v>
      </c>
      <c r="B613" s="13" t="s">
        <v>203</v>
      </c>
      <c r="C613" s="13" t="s">
        <v>204</v>
      </c>
      <c r="D613" s="13" t="s">
        <v>67</v>
      </c>
      <c r="E613" s="13" t="s">
        <v>52</v>
      </c>
      <c r="F613" s="13" t="s">
        <v>57</v>
      </c>
      <c r="G613" s="14">
        <v>45824</v>
      </c>
      <c r="H613" s="14">
        <v>45837</v>
      </c>
      <c r="I613">
        <v>3161.28</v>
      </c>
      <c r="J613">
        <v>4963.3100000000004</v>
      </c>
      <c r="K613">
        <v>157</v>
      </c>
      <c r="L613">
        <v>185</v>
      </c>
      <c r="M613" s="13" t="s">
        <v>3366</v>
      </c>
    </row>
    <row r="614" spans="1:13" x14ac:dyDescent="0.35">
      <c r="A614" s="13" t="s">
        <v>3994</v>
      </c>
      <c r="B614" s="13" t="s">
        <v>2193</v>
      </c>
      <c r="C614" s="13" t="s">
        <v>2194</v>
      </c>
      <c r="D614" s="13" t="s">
        <v>55</v>
      </c>
      <c r="E614" s="13" t="s">
        <v>104</v>
      </c>
      <c r="F614" s="13" t="s">
        <v>122</v>
      </c>
      <c r="G614" s="14">
        <v>45827</v>
      </c>
      <c r="H614" s="14">
        <v>45837</v>
      </c>
      <c r="I614">
        <v>2044.56</v>
      </c>
      <c r="J614">
        <v>11183.29</v>
      </c>
      <c r="K614">
        <v>546.98</v>
      </c>
      <c r="L614">
        <v>185</v>
      </c>
      <c r="M614" s="13" t="s">
        <v>3366</v>
      </c>
    </row>
    <row r="615" spans="1:13" x14ac:dyDescent="0.35">
      <c r="A615" s="13" t="s">
        <v>3995</v>
      </c>
      <c r="B615" s="13" t="s">
        <v>150</v>
      </c>
      <c r="C615" s="13" t="s">
        <v>151</v>
      </c>
      <c r="D615" s="13" t="s">
        <v>67</v>
      </c>
      <c r="E615" s="13" t="s">
        <v>104</v>
      </c>
      <c r="F615" s="13" t="s">
        <v>122</v>
      </c>
      <c r="G615" s="14">
        <v>45827</v>
      </c>
      <c r="H615" s="14">
        <v>45837</v>
      </c>
      <c r="I615">
        <v>1470.78</v>
      </c>
      <c r="J615">
        <v>4243.24</v>
      </c>
      <c r="K615">
        <v>288.5</v>
      </c>
      <c r="L615">
        <v>185</v>
      </c>
      <c r="M615" s="13" t="s">
        <v>3366</v>
      </c>
    </row>
    <row r="616" spans="1:13" x14ac:dyDescent="0.35">
      <c r="A616" s="13" t="s">
        <v>3996</v>
      </c>
      <c r="B616" s="13" t="s">
        <v>343</v>
      </c>
      <c r="C616" s="13" t="s">
        <v>344</v>
      </c>
      <c r="D616" s="13" t="s">
        <v>67</v>
      </c>
      <c r="E616" s="13" t="s">
        <v>104</v>
      </c>
      <c r="F616" s="13" t="s">
        <v>106</v>
      </c>
      <c r="G616" s="14">
        <v>45833</v>
      </c>
      <c r="H616" s="14">
        <v>45838</v>
      </c>
      <c r="I616">
        <v>7425.07</v>
      </c>
      <c r="J616">
        <v>7844.29</v>
      </c>
      <c r="K616">
        <v>105.65</v>
      </c>
      <c r="L616">
        <v>184</v>
      </c>
      <c r="M616" s="13" t="s">
        <v>3366</v>
      </c>
    </row>
    <row r="617" spans="1:13" x14ac:dyDescent="0.35">
      <c r="A617" s="13" t="s">
        <v>3997</v>
      </c>
      <c r="B617" s="13" t="s">
        <v>812</v>
      </c>
      <c r="C617" s="13" t="s">
        <v>813</v>
      </c>
      <c r="D617" s="13" t="s">
        <v>67</v>
      </c>
      <c r="E617" s="13" t="s">
        <v>126</v>
      </c>
      <c r="F617" s="13" t="s">
        <v>57</v>
      </c>
      <c r="G617" s="14">
        <v>45833</v>
      </c>
      <c r="H617" s="14">
        <v>45838</v>
      </c>
      <c r="I617">
        <v>535.44000000000005</v>
      </c>
      <c r="J617">
        <v>1187.9000000000001</v>
      </c>
      <c r="K617">
        <v>221.85</v>
      </c>
      <c r="L617">
        <v>184</v>
      </c>
      <c r="M617" s="13" t="s">
        <v>3366</v>
      </c>
    </row>
    <row r="618" spans="1:13" x14ac:dyDescent="0.35">
      <c r="A618" s="13" t="s">
        <v>3998</v>
      </c>
      <c r="B618" s="13" t="s">
        <v>296</v>
      </c>
      <c r="C618" s="13" t="s">
        <v>297</v>
      </c>
      <c r="D618" s="13" t="s">
        <v>92</v>
      </c>
      <c r="E618" s="13" t="s">
        <v>104</v>
      </c>
      <c r="F618" s="13" t="s">
        <v>106</v>
      </c>
      <c r="G618" s="14">
        <v>45817</v>
      </c>
      <c r="H618" s="14">
        <v>45839</v>
      </c>
      <c r="I618">
        <v>5967.37</v>
      </c>
      <c r="J618">
        <v>0</v>
      </c>
      <c r="K618">
        <v>0</v>
      </c>
      <c r="L618">
        <v>183</v>
      </c>
      <c r="M618" s="13" t="s">
        <v>3512</v>
      </c>
    </row>
    <row r="619" spans="1:13" x14ac:dyDescent="0.35">
      <c r="A619" s="13" t="s">
        <v>3999</v>
      </c>
      <c r="B619" s="13" t="s">
        <v>902</v>
      </c>
      <c r="C619" s="13" t="s">
        <v>903</v>
      </c>
      <c r="D619" s="13" t="s">
        <v>67</v>
      </c>
      <c r="E619" s="13" t="s">
        <v>52</v>
      </c>
      <c r="F619" s="13" t="s">
        <v>57</v>
      </c>
      <c r="G619" s="14">
        <v>45830</v>
      </c>
      <c r="H619" s="14">
        <v>45839</v>
      </c>
      <c r="I619">
        <v>9028.86</v>
      </c>
      <c r="J619">
        <v>9848.1200000000008</v>
      </c>
      <c r="K619">
        <v>109.07</v>
      </c>
      <c r="L619">
        <v>183</v>
      </c>
      <c r="M619" s="13" t="s">
        <v>3366</v>
      </c>
    </row>
    <row r="620" spans="1:13" x14ac:dyDescent="0.35">
      <c r="A620" s="13" t="s">
        <v>4000</v>
      </c>
      <c r="B620" s="13" t="s">
        <v>293</v>
      </c>
      <c r="C620" s="13" t="s">
        <v>294</v>
      </c>
      <c r="D620" s="13" t="s">
        <v>92</v>
      </c>
      <c r="E620" s="13" t="s">
        <v>104</v>
      </c>
      <c r="F620" s="13" t="s">
        <v>122</v>
      </c>
      <c r="G620" s="14">
        <v>45828</v>
      </c>
      <c r="H620" s="14">
        <v>45839</v>
      </c>
      <c r="I620">
        <v>1605.63</v>
      </c>
      <c r="J620">
        <v>0</v>
      </c>
      <c r="K620">
        <v>0</v>
      </c>
      <c r="L620">
        <v>183</v>
      </c>
      <c r="M620" s="13" t="s">
        <v>3512</v>
      </c>
    </row>
    <row r="621" spans="1:13" x14ac:dyDescent="0.35">
      <c r="A621" s="13" t="s">
        <v>4001</v>
      </c>
      <c r="B621" s="13" t="s">
        <v>2464</v>
      </c>
      <c r="C621" s="13" t="s">
        <v>2465</v>
      </c>
      <c r="D621" s="13" t="s">
        <v>67</v>
      </c>
      <c r="E621" s="13" t="s">
        <v>126</v>
      </c>
      <c r="F621" s="13" t="s">
        <v>106</v>
      </c>
      <c r="G621" s="14">
        <v>45831</v>
      </c>
      <c r="H621" s="14">
        <v>45840</v>
      </c>
      <c r="I621">
        <v>1374.05</v>
      </c>
      <c r="J621">
        <v>1451.59</v>
      </c>
      <c r="K621">
        <v>105.64</v>
      </c>
      <c r="L621">
        <v>182</v>
      </c>
      <c r="M621" s="13" t="s">
        <v>3366</v>
      </c>
    </row>
    <row r="622" spans="1:13" x14ac:dyDescent="0.35">
      <c r="A622" s="13" t="s">
        <v>4002</v>
      </c>
      <c r="B622" s="13" t="s">
        <v>788</v>
      </c>
      <c r="C622" s="13" t="s">
        <v>789</v>
      </c>
      <c r="D622" s="13" t="s">
        <v>67</v>
      </c>
      <c r="E622" s="13" t="s">
        <v>52</v>
      </c>
      <c r="F622" s="13" t="s">
        <v>87</v>
      </c>
      <c r="G622" s="14">
        <v>45827</v>
      </c>
      <c r="H622" s="14">
        <v>45840</v>
      </c>
      <c r="I622">
        <v>12115.53</v>
      </c>
      <c r="J622">
        <v>12242.09</v>
      </c>
      <c r="K622">
        <v>101.04</v>
      </c>
      <c r="L622">
        <v>182</v>
      </c>
      <c r="M622" s="13" t="s">
        <v>3366</v>
      </c>
    </row>
    <row r="623" spans="1:13" x14ac:dyDescent="0.35">
      <c r="A623" s="13" t="s">
        <v>4003</v>
      </c>
      <c r="B623" s="13" t="s">
        <v>866</v>
      </c>
      <c r="C623" s="13" t="s">
        <v>867</v>
      </c>
      <c r="D623" s="13" t="s">
        <v>55</v>
      </c>
      <c r="E623" s="13" t="s">
        <v>104</v>
      </c>
      <c r="F623" s="13" t="s">
        <v>106</v>
      </c>
      <c r="G623" s="14">
        <v>45827</v>
      </c>
      <c r="H623" s="14">
        <v>45840</v>
      </c>
      <c r="I623">
        <v>3674.27</v>
      </c>
      <c r="J623">
        <v>3922.29</v>
      </c>
      <c r="K623">
        <v>106.75</v>
      </c>
      <c r="L623">
        <v>182</v>
      </c>
      <c r="M623" s="13" t="s">
        <v>3366</v>
      </c>
    </row>
    <row r="624" spans="1:13" x14ac:dyDescent="0.35">
      <c r="A624" s="13" t="s">
        <v>4004</v>
      </c>
      <c r="B624" s="13" t="s">
        <v>203</v>
      </c>
      <c r="C624" s="13" t="s">
        <v>204</v>
      </c>
      <c r="D624" s="13" t="s">
        <v>67</v>
      </c>
      <c r="E624" s="13" t="s">
        <v>52</v>
      </c>
      <c r="F624" s="13" t="s">
        <v>57</v>
      </c>
      <c r="G624" s="14">
        <v>45834</v>
      </c>
      <c r="H624" s="14">
        <v>45840</v>
      </c>
      <c r="I624">
        <v>1608.24</v>
      </c>
      <c r="J624">
        <v>1661.54</v>
      </c>
      <c r="K624">
        <v>103.31</v>
      </c>
      <c r="L624">
        <v>182</v>
      </c>
      <c r="M624" s="13" t="s">
        <v>3366</v>
      </c>
    </row>
    <row r="625" spans="1:13" x14ac:dyDescent="0.35">
      <c r="A625" s="13" t="s">
        <v>4005</v>
      </c>
      <c r="B625" s="13" t="s">
        <v>50</v>
      </c>
      <c r="C625" s="13" t="s">
        <v>51</v>
      </c>
      <c r="D625" s="13" t="s">
        <v>55</v>
      </c>
      <c r="E625" s="13" t="s">
        <v>52</v>
      </c>
      <c r="F625" s="13" t="s">
        <v>57</v>
      </c>
      <c r="G625" s="14">
        <v>45831</v>
      </c>
      <c r="H625" s="14">
        <v>45840</v>
      </c>
      <c r="I625">
        <v>6172.64</v>
      </c>
      <c r="J625">
        <v>10343.530000000001</v>
      </c>
      <c r="K625">
        <v>167.57</v>
      </c>
      <c r="L625">
        <v>182</v>
      </c>
      <c r="M625" s="13" t="s">
        <v>3366</v>
      </c>
    </row>
    <row r="626" spans="1:13" x14ac:dyDescent="0.35">
      <c r="A626" s="13" t="s">
        <v>4006</v>
      </c>
      <c r="B626" s="13" t="s">
        <v>1237</v>
      </c>
      <c r="C626" s="13" t="s">
        <v>1238</v>
      </c>
      <c r="D626" s="13" t="s">
        <v>67</v>
      </c>
      <c r="E626" s="13" t="s">
        <v>104</v>
      </c>
      <c r="F626" s="13" t="s">
        <v>122</v>
      </c>
      <c r="G626" s="14">
        <v>45837</v>
      </c>
      <c r="H626" s="14">
        <v>45841</v>
      </c>
      <c r="I626">
        <v>3710.08</v>
      </c>
      <c r="J626">
        <v>9416.7199999999993</v>
      </c>
      <c r="K626">
        <v>253.81</v>
      </c>
      <c r="L626">
        <v>181</v>
      </c>
      <c r="M626" s="13" t="s">
        <v>3366</v>
      </c>
    </row>
    <row r="627" spans="1:13" x14ac:dyDescent="0.35">
      <c r="A627" s="13" t="s">
        <v>4007</v>
      </c>
      <c r="B627" s="13" t="s">
        <v>256</v>
      </c>
      <c r="C627" s="13" t="s">
        <v>257</v>
      </c>
      <c r="D627" s="13" t="s">
        <v>55</v>
      </c>
      <c r="E627" s="13" t="s">
        <v>76</v>
      </c>
      <c r="F627" s="13" t="s">
        <v>80</v>
      </c>
      <c r="G627" s="14">
        <v>45830</v>
      </c>
      <c r="H627" s="14">
        <v>45841</v>
      </c>
      <c r="I627">
        <v>2984.09</v>
      </c>
      <c r="J627">
        <v>3309.03</v>
      </c>
      <c r="K627">
        <v>110.89</v>
      </c>
      <c r="L627">
        <v>181</v>
      </c>
      <c r="M627" s="13" t="s">
        <v>3366</v>
      </c>
    </row>
    <row r="628" spans="1:13" x14ac:dyDescent="0.35">
      <c r="A628" s="13" t="s">
        <v>4008</v>
      </c>
      <c r="B628" s="13" t="s">
        <v>277</v>
      </c>
      <c r="C628" s="13" t="s">
        <v>278</v>
      </c>
      <c r="D628" s="13" t="s">
        <v>92</v>
      </c>
      <c r="E628" s="13" t="s">
        <v>104</v>
      </c>
      <c r="F628" s="13" t="s">
        <v>106</v>
      </c>
      <c r="G628" s="14">
        <v>45831</v>
      </c>
      <c r="H628" s="14">
        <v>45841</v>
      </c>
      <c r="I628">
        <v>3852.33</v>
      </c>
      <c r="J628">
        <v>0</v>
      </c>
      <c r="K628">
        <v>0</v>
      </c>
      <c r="L628">
        <v>181</v>
      </c>
      <c r="M628" s="13" t="s">
        <v>3512</v>
      </c>
    </row>
    <row r="629" spans="1:13" x14ac:dyDescent="0.35">
      <c r="A629" s="13" t="s">
        <v>4009</v>
      </c>
      <c r="B629" s="13" t="s">
        <v>933</v>
      </c>
      <c r="C629" s="13" t="s">
        <v>934</v>
      </c>
      <c r="D629" s="13" t="s">
        <v>67</v>
      </c>
      <c r="E629" s="13" t="s">
        <v>76</v>
      </c>
      <c r="F629" s="13" t="s">
        <v>80</v>
      </c>
      <c r="G629" s="14">
        <v>45835</v>
      </c>
      <c r="H629" s="14">
        <v>45841</v>
      </c>
      <c r="I629">
        <v>3429.8</v>
      </c>
      <c r="J629">
        <v>3458.8</v>
      </c>
      <c r="K629">
        <v>100.85</v>
      </c>
      <c r="L629">
        <v>181</v>
      </c>
      <c r="M629" s="13" t="s">
        <v>3366</v>
      </c>
    </row>
    <row r="630" spans="1:13" x14ac:dyDescent="0.35">
      <c r="A630" s="13" t="s">
        <v>4010</v>
      </c>
      <c r="B630" s="13" t="s">
        <v>2107</v>
      </c>
      <c r="C630" s="13" t="s">
        <v>2108</v>
      </c>
      <c r="D630" s="13" t="s">
        <v>67</v>
      </c>
      <c r="E630" s="13" t="s">
        <v>76</v>
      </c>
      <c r="F630" s="13" t="s">
        <v>94</v>
      </c>
      <c r="G630" s="14">
        <v>45831</v>
      </c>
      <c r="H630" s="14">
        <v>45842</v>
      </c>
      <c r="I630">
        <v>1931.13</v>
      </c>
      <c r="J630">
        <v>2084.9899999999998</v>
      </c>
      <c r="K630">
        <v>107.97</v>
      </c>
      <c r="L630">
        <v>180</v>
      </c>
      <c r="M630" s="13" t="s">
        <v>3366</v>
      </c>
    </row>
    <row r="631" spans="1:13" x14ac:dyDescent="0.35">
      <c r="A631" s="13" t="s">
        <v>4011</v>
      </c>
      <c r="B631" s="13" t="s">
        <v>296</v>
      </c>
      <c r="C631" s="13" t="s">
        <v>297</v>
      </c>
      <c r="D631" s="13" t="s">
        <v>92</v>
      </c>
      <c r="E631" s="13" t="s">
        <v>104</v>
      </c>
      <c r="F631" s="13" t="s">
        <v>106</v>
      </c>
      <c r="G631" s="14">
        <v>45819</v>
      </c>
      <c r="H631" s="14">
        <v>45842</v>
      </c>
      <c r="I631">
        <v>3437.61</v>
      </c>
      <c r="J631">
        <v>0</v>
      </c>
      <c r="K631">
        <v>0</v>
      </c>
      <c r="L631">
        <v>180</v>
      </c>
      <c r="M631" s="13" t="s">
        <v>3512</v>
      </c>
    </row>
    <row r="632" spans="1:13" x14ac:dyDescent="0.35">
      <c r="A632" s="13" t="s">
        <v>4012</v>
      </c>
      <c r="B632" s="13" t="s">
        <v>2274</v>
      </c>
      <c r="C632" s="13" t="s">
        <v>2275</v>
      </c>
      <c r="D632" s="13" t="s">
        <v>55</v>
      </c>
      <c r="E632" s="13" t="s">
        <v>104</v>
      </c>
      <c r="F632" s="13" t="s">
        <v>122</v>
      </c>
      <c r="G632" s="14">
        <v>45834</v>
      </c>
      <c r="H632" s="14">
        <v>45842</v>
      </c>
      <c r="I632">
        <v>3117.75</v>
      </c>
      <c r="J632">
        <v>3122.99</v>
      </c>
      <c r="K632">
        <v>100.17</v>
      </c>
      <c r="L632">
        <v>180</v>
      </c>
      <c r="M632" s="13" t="s">
        <v>3366</v>
      </c>
    </row>
    <row r="633" spans="1:13" x14ac:dyDescent="0.35">
      <c r="A633" s="13" t="s">
        <v>4013</v>
      </c>
      <c r="B633" s="13" t="s">
        <v>1280</v>
      </c>
      <c r="C633" s="13" t="s">
        <v>1281</v>
      </c>
      <c r="D633" s="13" t="s">
        <v>67</v>
      </c>
      <c r="E633" s="13" t="s">
        <v>104</v>
      </c>
      <c r="F633" s="13" t="s">
        <v>122</v>
      </c>
      <c r="G633" s="14">
        <v>45831</v>
      </c>
      <c r="H633" s="14">
        <v>45842</v>
      </c>
      <c r="I633">
        <v>1131.1099999999999</v>
      </c>
      <c r="J633">
        <v>11240.07</v>
      </c>
      <c r="K633">
        <v>993.72</v>
      </c>
      <c r="L633">
        <v>180</v>
      </c>
      <c r="M633" s="13" t="s">
        <v>3366</v>
      </c>
    </row>
    <row r="634" spans="1:13" x14ac:dyDescent="0.35">
      <c r="A634" s="13" t="s">
        <v>4014</v>
      </c>
      <c r="B634" s="13" t="s">
        <v>340</v>
      </c>
      <c r="C634" s="13" t="s">
        <v>341</v>
      </c>
      <c r="D634" s="13" t="s">
        <v>92</v>
      </c>
      <c r="E634" s="13" t="s">
        <v>52</v>
      </c>
      <c r="F634" s="13" t="s">
        <v>57</v>
      </c>
      <c r="G634" s="14">
        <v>45835</v>
      </c>
      <c r="H634" s="14">
        <v>45843</v>
      </c>
      <c r="I634">
        <v>2155.85</v>
      </c>
      <c r="J634">
        <v>0</v>
      </c>
      <c r="K634">
        <v>0</v>
      </c>
      <c r="L634">
        <v>179</v>
      </c>
      <c r="M634" s="13" t="s">
        <v>3512</v>
      </c>
    </row>
    <row r="635" spans="1:13" x14ac:dyDescent="0.35">
      <c r="A635" s="13" t="s">
        <v>4015</v>
      </c>
      <c r="B635" s="13" t="s">
        <v>1008</v>
      </c>
      <c r="C635" s="13" t="s">
        <v>1009</v>
      </c>
      <c r="D635" s="13" t="s">
        <v>67</v>
      </c>
      <c r="E635" s="13" t="s">
        <v>104</v>
      </c>
      <c r="F635" s="13" t="s">
        <v>122</v>
      </c>
      <c r="G635" s="14">
        <v>45830</v>
      </c>
      <c r="H635" s="14">
        <v>45843</v>
      </c>
      <c r="I635">
        <v>3624.94</v>
      </c>
      <c r="J635">
        <v>4257.3599999999997</v>
      </c>
      <c r="K635">
        <v>117.45</v>
      </c>
      <c r="L635">
        <v>179</v>
      </c>
      <c r="M635" s="13" t="s">
        <v>3366</v>
      </c>
    </row>
    <row r="636" spans="1:13" x14ac:dyDescent="0.35">
      <c r="A636" s="13" t="s">
        <v>4016</v>
      </c>
      <c r="B636" s="13" t="s">
        <v>277</v>
      </c>
      <c r="C636" s="13" t="s">
        <v>278</v>
      </c>
      <c r="D636" s="13" t="s">
        <v>92</v>
      </c>
      <c r="E636" s="13" t="s">
        <v>104</v>
      </c>
      <c r="F636" s="13" t="s">
        <v>106</v>
      </c>
      <c r="G636" s="14">
        <v>45826</v>
      </c>
      <c r="H636" s="14">
        <v>45843</v>
      </c>
      <c r="I636">
        <v>4568.4399999999996</v>
      </c>
      <c r="J636">
        <v>0</v>
      </c>
      <c r="K636">
        <v>0</v>
      </c>
      <c r="L636">
        <v>179</v>
      </c>
      <c r="M636" s="13" t="s">
        <v>3512</v>
      </c>
    </row>
    <row r="637" spans="1:13" x14ac:dyDescent="0.35">
      <c r="A637" s="13" t="s">
        <v>4017</v>
      </c>
      <c r="B637" s="13" t="s">
        <v>1001</v>
      </c>
      <c r="C637" s="13" t="s">
        <v>1002</v>
      </c>
      <c r="D637" s="13" t="s">
        <v>55</v>
      </c>
      <c r="E637" s="13" t="s">
        <v>76</v>
      </c>
      <c r="F637" s="13" t="s">
        <v>94</v>
      </c>
      <c r="G637" s="14">
        <v>45839</v>
      </c>
      <c r="H637" s="14">
        <v>45843</v>
      </c>
      <c r="I637">
        <v>3399.73</v>
      </c>
      <c r="J637">
        <v>4276.46</v>
      </c>
      <c r="K637">
        <v>125.79</v>
      </c>
      <c r="L637">
        <v>179</v>
      </c>
      <c r="M637" s="13" t="s">
        <v>3366</v>
      </c>
    </row>
    <row r="638" spans="1:13" x14ac:dyDescent="0.35">
      <c r="A638" s="13" t="s">
        <v>4018</v>
      </c>
      <c r="B638" s="13" t="s">
        <v>219</v>
      </c>
      <c r="C638" s="13" t="s">
        <v>220</v>
      </c>
      <c r="D638" s="13" t="s">
        <v>55</v>
      </c>
      <c r="E638" s="13" t="s">
        <v>76</v>
      </c>
      <c r="F638" s="13" t="s">
        <v>80</v>
      </c>
      <c r="G638" s="14">
        <v>45826</v>
      </c>
      <c r="H638" s="14">
        <v>45844</v>
      </c>
      <c r="I638">
        <v>1524.28</v>
      </c>
      <c r="J638">
        <v>0</v>
      </c>
      <c r="K638">
        <v>0</v>
      </c>
      <c r="L638">
        <v>178</v>
      </c>
      <c r="M638" s="13" t="s">
        <v>3512</v>
      </c>
    </row>
    <row r="639" spans="1:13" x14ac:dyDescent="0.35">
      <c r="A639" s="13" t="s">
        <v>4019</v>
      </c>
      <c r="B639" s="13" t="s">
        <v>2253</v>
      </c>
      <c r="C639" s="13" t="s">
        <v>2254</v>
      </c>
      <c r="D639" s="13" t="s">
        <v>67</v>
      </c>
      <c r="E639" s="13" t="s">
        <v>76</v>
      </c>
      <c r="F639" s="13" t="s">
        <v>94</v>
      </c>
      <c r="G639" s="14">
        <v>45837</v>
      </c>
      <c r="H639" s="14">
        <v>45844</v>
      </c>
      <c r="I639">
        <v>744.05</v>
      </c>
      <c r="J639">
        <v>789.29</v>
      </c>
      <c r="K639">
        <v>106.08</v>
      </c>
      <c r="L639">
        <v>178</v>
      </c>
      <c r="M639" s="13" t="s">
        <v>3366</v>
      </c>
    </row>
    <row r="640" spans="1:13" x14ac:dyDescent="0.35">
      <c r="A640" s="13" t="s">
        <v>4020</v>
      </c>
      <c r="B640" s="13" t="s">
        <v>286</v>
      </c>
      <c r="C640" s="13" t="s">
        <v>287</v>
      </c>
      <c r="D640" s="13" t="s">
        <v>92</v>
      </c>
      <c r="E640" s="13" t="s">
        <v>104</v>
      </c>
      <c r="F640" s="13" t="s">
        <v>87</v>
      </c>
      <c r="G640" s="14">
        <v>45830</v>
      </c>
      <c r="H640" s="14">
        <v>45844</v>
      </c>
      <c r="I640">
        <v>2512.44</v>
      </c>
      <c r="J640">
        <v>0</v>
      </c>
      <c r="K640">
        <v>0</v>
      </c>
      <c r="L640">
        <v>178</v>
      </c>
      <c r="M640" s="13" t="s">
        <v>3512</v>
      </c>
    </row>
    <row r="641" spans="1:13" x14ac:dyDescent="0.35">
      <c r="A641" s="13" t="s">
        <v>4021</v>
      </c>
      <c r="B641" s="13" t="s">
        <v>784</v>
      </c>
      <c r="C641" s="13" t="s">
        <v>785</v>
      </c>
      <c r="D641" s="13" t="s">
        <v>55</v>
      </c>
      <c r="E641" s="13" t="s">
        <v>104</v>
      </c>
      <c r="F641" s="13" t="s">
        <v>122</v>
      </c>
      <c r="G641" s="14">
        <v>45838</v>
      </c>
      <c r="H641" s="14">
        <v>45844</v>
      </c>
      <c r="I641">
        <v>6992.56</v>
      </c>
      <c r="J641">
        <v>7669.05</v>
      </c>
      <c r="K641">
        <v>109.67</v>
      </c>
      <c r="L641">
        <v>178</v>
      </c>
      <c r="M641" s="13" t="s">
        <v>3366</v>
      </c>
    </row>
    <row r="642" spans="1:13" x14ac:dyDescent="0.35">
      <c r="A642" s="13" t="s">
        <v>4022</v>
      </c>
      <c r="B642" s="13" t="s">
        <v>1214</v>
      </c>
      <c r="C642" s="13" t="s">
        <v>1215</v>
      </c>
      <c r="D642" s="13" t="s">
        <v>92</v>
      </c>
      <c r="E642" s="13" t="s">
        <v>76</v>
      </c>
      <c r="F642" s="13" t="s">
        <v>80</v>
      </c>
      <c r="G642" s="14">
        <v>45839</v>
      </c>
      <c r="H642" s="14">
        <v>45844</v>
      </c>
      <c r="I642">
        <v>3646.93</v>
      </c>
      <c r="J642">
        <v>3945.42</v>
      </c>
      <c r="K642">
        <v>108.18</v>
      </c>
      <c r="L642">
        <v>178</v>
      </c>
      <c r="M642" s="13" t="s">
        <v>3366</v>
      </c>
    </row>
    <row r="643" spans="1:13" x14ac:dyDescent="0.35">
      <c r="A643" s="13" t="s">
        <v>4023</v>
      </c>
      <c r="B643" s="13" t="s">
        <v>235</v>
      </c>
      <c r="C643" s="13" t="s">
        <v>236</v>
      </c>
      <c r="D643" s="13" t="s">
        <v>55</v>
      </c>
      <c r="E643" s="13" t="s">
        <v>76</v>
      </c>
      <c r="F643" s="13" t="s">
        <v>80</v>
      </c>
      <c r="G643" s="14">
        <v>45834</v>
      </c>
      <c r="H643" s="14">
        <v>45844</v>
      </c>
      <c r="I643">
        <v>4486.8100000000004</v>
      </c>
      <c r="J643">
        <v>4909.34</v>
      </c>
      <c r="K643">
        <v>109.42</v>
      </c>
      <c r="L643">
        <v>178</v>
      </c>
      <c r="M643" s="13" t="s">
        <v>3366</v>
      </c>
    </row>
    <row r="644" spans="1:13" x14ac:dyDescent="0.35">
      <c r="A644" s="13" t="s">
        <v>4024</v>
      </c>
      <c r="B644" s="13" t="s">
        <v>2232</v>
      </c>
      <c r="C644" s="13" t="s">
        <v>2233</v>
      </c>
      <c r="D644" s="13" t="s">
        <v>67</v>
      </c>
      <c r="E644" s="13" t="s">
        <v>104</v>
      </c>
      <c r="F644" s="13" t="s">
        <v>106</v>
      </c>
      <c r="G644" s="14">
        <v>45840</v>
      </c>
      <c r="H644" s="14">
        <v>45844</v>
      </c>
      <c r="I644">
        <v>476.96</v>
      </c>
      <c r="J644">
        <v>514.09</v>
      </c>
      <c r="K644">
        <v>107.78</v>
      </c>
      <c r="L644">
        <v>178</v>
      </c>
      <c r="M644" s="13" t="s">
        <v>3366</v>
      </c>
    </row>
    <row r="645" spans="1:13" x14ac:dyDescent="0.35">
      <c r="A645" s="13" t="s">
        <v>4025</v>
      </c>
      <c r="B645" s="13" t="s">
        <v>902</v>
      </c>
      <c r="C645" s="13" t="s">
        <v>903</v>
      </c>
      <c r="D645" s="13" t="s">
        <v>67</v>
      </c>
      <c r="E645" s="13" t="s">
        <v>52</v>
      </c>
      <c r="F645" s="13" t="s">
        <v>57</v>
      </c>
      <c r="G645" s="14">
        <v>45820</v>
      </c>
      <c r="H645" s="14">
        <v>45845</v>
      </c>
      <c r="I645">
        <v>4922.03</v>
      </c>
      <c r="J645">
        <v>29205.51</v>
      </c>
      <c r="K645">
        <v>593.36</v>
      </c>
      <c r="L645">
        <v>177</v>
      </c>
      <c r="M645" s="13" t="s">
        <v>3366</v>
      </c>
    </row>
    <row r="646" spans="1:13" x14ac:dyDescent="0.35">
      <c r="A646" s="13" t="s">
        <v>4026</v>
      </c>
      <c r="B646" s="13" t="s">
        <v>1411</v>
      </c>
      <c r="C646" s="13" t="s">
        <v>1412</v>
      </c>
      <c r="D646" s="13" t="s">
        <v>55</v>
      </c>
      <c r="E646" s="13" t="s">
        <v>104</v>
      </c>
      <c r="F646" s="13" t="s">
        <v>122</v>
      </c>
      <c r="G646" s="14">
        <v>45838</v>
      </c>
      <c r="H646" s="14">
        <v>45845</v>
      </c>
      <c r="I646">
        <v>4951.72</v>
      </c>
      <c r="J646">
        <v>9410.83</v>
      </c>
      <c r="K646">
        <v>190.05</v>
      </c>
      <c r="L646">
        <v>177</v>
      </c>
      <c r="M646" s="13" t="s">
        <v>3366</v>
      </c>
    </row>
    <row r="647" spans="1:13" x14ac:dyDescent="0.35">
      <c r="A647" s="13" t="s">
        <v>4027</v>
      </c>
      <c r="B647" s="13" t="s">
        <v>280</v>
      </c>
      <c r="C647" s="13" t="s">
        <v>281</v>
      </c>
      <c r="D647" s="13" t="s">
        <v>92</v>
      </c>
      <c r="E647" s="13" t="s">
        <v>104</v>
      </c>
      <c r="F647" s="13" t="s">
        <v>122</v>
      </c>
      <c r="G647" s="14">
        <v>45836</v>
      </c>
      <c r="H647" s="14">
        <v>45846</v>
      </c>
      <c r="I647">
        <v>5472.59</v>
      </c>
      <c r="J647">
        <v>0</v>
      </c>
      <c r="K647">
        <v>0</v>
      </c>
      <c r="L647">
        <v>176</v>
      </c>
      <c r="M647" s="13" t="s">
        <v>3512</v>
      </c>
    </row>
    <row r="648" spans="1:13" x14ac:dyDescent="0.35">
      <c r="A648" s="13" t="s">
        <v>4028</v>
      </c>
      <c r="B648" s="13" t="s">
        <v>1541</v>
      </c>
      <c r="C648" s="13" t="s">
        <v>1542</v>
      </c>
      <c r="D648" s="13" t="s">
        <v>92</v>
      </c>
      <c r="E648" s="13" t="s">
        <v>104</v>
      </c>
      <c r="F648" s="13" t="s">
        <v>57</v>
      </c>
      <c r="G648" s="14">
        <v>45841</v>
      </c>
      <c r="H648" s="14">
        <v>45846</v>
      </c>
      <c r="I648">
        <v>3155.9</v>
      </c>
      <c r="J648">
        <v>10405.91</v>
      </c>
      <c r="K648">
        <v>329.73</v>
      </c>
      <c r="L648">
        <v>176</v>
      </c>
      <c r="M648" s="13" t="s">
        <v>3366</v>
      </c>
    </row>
    <row r="649" spans="1:13" x14ac:dyDescent="0.35">
      <c r="A649" s="13" t="s">
        <v>4029</v>
      </c>
      <c r="B649" s="13" t="s">
        <v>286</v>
      </c>
      <c r="C649" s="13" t="s">
        <v>287</v>
      </c>
      <c r="D649" s="13" t="s">
        <v>92</v>
      </c>
      <c r="E649" s="13" t="s">
        <v>104</v>
      </c>
      <c r="F649" s="13" t="s">
        <v>87</v>
      </c>
      <c r="G649" s="14">
        <v>45822</v>
      </c>
      <c r="H649" s="14">
        <v>45846</v>
      </c>
      <c r="I649">
        <v>5765.43</v>
      </c>
      <c r="J649">
        <v>0</v>
      </c>
      <c r="K649">
        <v>0</v>
      </c>
      <c r="L649">
        <v>176</v>
      </c>
      <c r="M649" s="13" t="s">
        <v>3512</v>
      </c>
    </row>
    <row r="650" spans="1:13" x14ac:dyDescent="0.35">
      <c r="A650" s="13" t="s">
        <v>4030</v>
      </c>
      <c r="B650" s="13" t="s">
        <v>253</v>
      </c>
      <c r="C650" s="13" t="s">
        <v>254</v>
      </c>
      <c r="D650" s="13" t="s">
        <v>55</v>
      </c>
      <c r="E650" s="13" t="s">
        <v>52</v>
      </c>
      <c r="F650" s="13" t="s">
        <v>57</v>
      </c>
      <c r="G650" s="14">
        <v>45840</v>
      </c>
      <c r="H650" s="14">
        <v>45847</v>
      </c>
      <c r="I650">
        <v>12333.36</v>
      </c>
      <c r="J650">
        <v>18916.830000000002</v>
      </c>
      <c r="K650">
        <v>153.38</v>
      </c>
      <c r="L650">
        <v>175</v>
      </c>
      <c r="M650" s="13" t="s">
        <v>3366</v>
      </c>
    </row>
    <row r="651" spans="1:13" x14ac:dyDescent="0.35">
      <c r="A651" s="13" t="s">
        <v>4031</v>
      </c>
      <c r="B651" s="13" t="s">
        <v>259</v>
      </c>
      <c r="C651" s="13" t="s">
        <v>260</v>
      </c>
      <c r="D651" s="13" t="s">
        <v>67</v>
      </c>
      <c r="E651" s="13" t="s">
        <v>104</v>
      </c>
      <c r="F651" s="13" t="s">
        <v>122</v>
      </c>
      <c r="G651" s="14">
        <v>45836</v>
      </c>
      <c r="H651" s="14">
        <v>45847</v>
      </c>
      <c r="I651">
        <v>912.32</v>
      </c>
      <c r="J651">
        <v>2144.56</v>
      </c>
      <c r="K651">
        <v>235.07</v>
      </c>
      <c r="L651">
        <v>175</v>
      </c>
      <c r="M651" s="13" t="s">
        <v>3366</v>
      </c>
    </row>
    <row r="652" spans="1:13" x14ac:dyDescent="0.35">
      <c r="A652" s="13" t="s">
        <v>4032</v>
      </c>
      <c r="B652" s="13" t="s">
        <v>2117</v>
      </c>
      <c r="C652" s="13" t="s">
        <v>2118</v>
      </c>
      <c r="D652" s="13" t="s">
        <v>67</v>
      </c>
      <c r="E652" s="13" t="s">
        <v>104</v>
      </c>
      <c r="F652" s="13" t="s">
        <v>122</v>
      </c>
      <c r="G652" s="14">
        <v>45836</v>
      </c>
      <c r="H652" s="14">
        <v>45848</v>
      </c>
      <c r="I652">
        <v>3424.39</v>
      </c>
      <c r="J652">
        <v>10201.09</v>
      </c>
      <c r="K652">
        <v>297.89999999999998</v>
      </c>
      <c r="L652">
        <v>174</v>
      </c>
      <c r="M652" s="13" t="s">
        <v>3366</v>
      </c>
    </row>
    <row r="653" spans="1:13" x14ac:dyDescent="0.35">
      <c r="A653" s="13" t="s">
        <v>4033</v>
      </c>
      <c r="B653" s="13" t="s">
        <v>2117</v>
      </c>
      <c r="C653" s="13" t="s">
        <v>2118</v>
      </c>
      <c r="D653" s="13" t="s">
        <v>67</v>
      </c>
      <c r="E653" s="13" t="s">
        <v>104</v>
      </c>
      <c r="F653" s="13" t="s">
        <v>122</v>
      </c>
      <c r="G653" s="14">
        <v>45838</v>
      </c>
      <c r="H653" s="14">
        <v>45848</v>
      </c>
      <c r="I653">
        <v>6198.61</v>
      </c>
      <c r="J653">
        <v>10201.09</v>
      </c>
      <c r="K653">
        <v>164.57</v>
      </c>
      <c r="L653">
        <v>174</v>
      </c>
      <c r="M653" s="13" t="s">
        <v>3366</v>
      </c>
    </row>
    <row r="654" spans="1:13" x14ac:dyDescent="0.35">
      <c r="A654" s="13" t="s">
        <v>4034</v>
      </c>
      <c r="B654" s="13" t="s">
        <v>409</v>
      </c>
      <c r="C654" s="13" t="s">
        <v>410</v>
      </c>
      <c r="D654" s="13" t="s">
        <v>67</v>
      </c>
      <c r="E654" s="13" t="s">
        <v>126</v>
      </c>
      <c r="F654" s="13" t="s">
        <v>57</v>
      </c>
      <c r="G654" s="14">
        <v>45835</v>
      </c>
      <c r="H654" s="14">
        <v>45848</v>
      </c>
      <c r="I654">
        <v>4343.87</v>
      </c>
      <c r="J654">
        <v>4594.84</v>
      </c>
      <c r="K654">
        <v>105.78</v>
      </c>
      <c r="L654">
        <v>174</v>
      </c>
      <c r="M654" s="13" t="s">
        <v>3366</v>
      </c>
    </row>
    <row r="655" spans="1:13" x14ac:dyDescent="0.35">
      <c r="A655" s="13" t="s">
        <v>4035</v>
      </c>
      <c r="B655" s="13" t="s">
        <v>2138</v>
      </c>
      <c r="C655" s="13" t="s">
        <v>2139</v>
      </c>
      <c r="D655" s="13" t="s">
        <v>55</v>
      </c>
      <c r="E655" s="13" t="s">
        <v>76</v>
      </c>
      <c r="F655" s="13" t="s">
        <v>80</v>
      </c>
      <c r="G655" s="14">
        <v>45844</v>
      </c>
      <c r="H655" s="14">
        <v>45848</v>
      </c>
      <c r="I655">
        <v>4344.59</v>
      </c>
      <c r="J655">
        <v>4437.76</v>
      </c>
      <c r="K655">
        <v>102.14</v>
      </c>
      <c r="L655">
        <v>174</v>
      </c>
      <c r="M655" s="13" t="s">
        <v>3366</v>
      </c>
    </row>
    <row r="656" spans="1:13" x14ac:dyDescent="0.35">
      <c r="A656" s="13" t="s">
        <v>4036</v>
      </c>
      <c r="B656" s="13" t="s">
        <v>280</v>
      </c>
      <c r="C656" s="13" t="s">
        <v>281</v>
      </c>
      <c r="D656" s="13" t="s">
        <v>92</v>
      </c>
      <c r="E656" s="13" t="s">
        <v>104</v>
      </c>
      <c r="F656" s="13" t="s">
        <v>122</v>
      </c>
      <c r="G656" s="14">
        <v>45837</v>
      </c>
      <c r="H656" s="14">
        <v>45848</v>
      </c>
      <c r="I656">
        <v>533.62</v>
      </c>
      <c r="J656">
        <v>0</v>
      </c>
      <c r="K656">
        <v>0</v>
      </c>
      <c r="L656">
        <v>174</v>
      </c>
      <c r="M656" s="13" t="s">
        <v>3512</v>
      </c>
    </row>
    <row r="657" spans="1:13" x14ac:dyDescent="0.35">
      <c r="A657" s="13" t="s">
        <v>4037</v>
      </c>
      <c r="B657" s="13" t="s">
        <v>1165</v>
      </c>
      <c r="C657" s="13" t="s">
        <v>1166</v>
      </c>
      <c r="D657" s="13" t="s">
        <v>67</v>
      </c>
      <c r="E657" s="13" t="s">
        <v>52</v>
      </c>
      <c r="F657" s="13" t="s">
        <v>57</v>
      </c>
      <c r="G657" s="14">
        <v>45844</v>
      </c>
      <c r="H657" s="14">
        <v>45848</v>
      </c>
      <c r="I657">
        <v>1485.03</v>
      </c>
      <c r="J657">
        <v>5081.8500000000004</v>
      </c>
      <c r="K657">
        <v>342.21</v>
      </c>
      <c r="L657">
        <v>174</v>
      </c>
      <c r="M657" s="13" t="s">
        <v>3366</v>
      </c>
    </row>
    <row r="658" spans="1:13" x14ac:dyDescent="0.35">
      <c r="A658" s="13" t="s">
        <v>4038</v>
      </c>
      <c r="B658" s="13" t="s">
        <v>280</v>
      </c>
      <c r="C658" s="13" t="s">
        <v>281</v>
      </c>
      <c r="D658" s="13" t="s">
        <v>92</v>
      </c>
      <c r="E658" s="13" t="s">
        <v>104</v>
      </c>
      <c r="F658" s="13" t="s">
        <v>122</v>
      </c>
      <c r="G658" s="14">
        <v>45830</v>
      </c>
      <c r="H658" s="14">
        <v>45849</v>
      </c>
      <c r="I658">
        <v>4528.8900000000003</v>
      </c>
      <c r="J658">
        <v>0</v>
      </c>
      <c r="K658">
        <v>0</v>
      </c>
      <c r="L658">
        <v>173</v>
      </c>
      <c r="M658" s="13" t="s">
        <v>3512</v>
      </c>
    </row>
    <row r="659" spans="1:13" x14ac:dyDescent="0.35">
      <c r="A659" s="13" t="s">
        <v>4039</v>
      </c>
      <c r="B659" s="13" t="s">
        <v>1254</v>
      </c>
      <c r="C659" s="13" t="s">
        <v>1255</v>
      </c>
      <c r="D659" s="13" t="s">
        <v>67</v>
      </c>
      <c r="E659" s="13" t="s">
        <v>126</v>
      </c>
      <c r="F659" s="13" t="s">
        <v>87</v>
      </c>
      <c r="G659" s="14">
        <v>45827</v>
      </c>
      <c r="H659" s="14">
        <v>45849</v>
      </c>
      <c r="I659">
        <v>2322.4699999999998</v>
      </c>
      <c r="J659">
        <v>0</v>
      </c>
      <c r="K659">
        <v>0</v>
      </c>
      <c r="L659">
        <v>173</v>
      </c>
      <c r="M659" s="13" t="s">
        <v>3512</v>
      </c>
    </row>
    <row r="660" spans="1:13" x14ac:dyDescent="0.35">
      <c r="A660" s="13" t="s">
        <v>4040</v>
      </c>
      <c r="B660" s="13" t="s">
        <v>357</v>
      </c>
      <c r="C660" s="13" t="s">
        <v>358</v>
      </c>
      <c r="D660" s="13" t="s">
        <v>92</v>
      </c>
      <c r="E660" s="13" t="s">
        <v>104</v>
      </c>
      <c r="F660" s="13" t="s">
        <v>106</v>
      </c>
      <c r="G660" s="14">
        <v>45839</v>
      </c>
      <c r="H660" s="14">
        <v>45849</v>
      </c>
      <c r="I660">
        <v>1719.31</v>
      </c>
      <c r="J660">
        <v>0</v>
      </c>
      <c r="K660">
        <v>0</v>
      </c>
      <c r="L660">
        <v>173</v>
      </c>
      <c r="M660" s="13" t="s">
        <v>3512</v>
      </c>
    </row>
    <row r="661" spans="1:13" x14ac:dyDescent="0.35">
      <c r="A661" s="13" t="s">
        <v>4041</v>
      </c>
      <c r="B661" s="13" t="s">
        <v>290</v>
      </c>
      <c r="C661" s="13" t="s">
        <v>291</v>
      </c>
      <c r="D661" s="13" t="s">
        <v>92</v>
      </c>
      <c r="E661" s="13" t="s">
        <v>104</v>
      </c>
      <c r="F661" s="13" t="s">
        <v>122</v>
      </c>
      <c r="G661" s="14">
        <v>45832</v>
      </c>
      <c r="H661" s="14">
        <v>45849</v>
      </c>
      <c r="I661">
        <v>1616.21</v>
      </c>
      <c r="J661">
        <v>0</v>
      </c>
      <c r="K661">
        <v>0</v>
      </c>
      <c r="L661">
        <v>173</v>
      </c>
      <c r="M661" s="13" t="s">
        <v>3512</v>
      </c>
    </row>
    <row r="662" spans="1:13" x14ac:dyDescent="0.35">
      <c r="A662" s="13" t="s">
        <v>4042</v>
      </c>
      <c r="B662" s="13" t="s">
        <v>1782</v>
      </c>
      <c r="C662" s="13" t="s">
        <v>1783</v>
      </c>
      <c r="D662" s="13" t="s">
        <v>67</v>
      </c>
      <c r="E662" s="13" t="s">
        <v>76</v>
      </c>
      <c r="F662" s="13" t="s">
        <v>94</v>
      </c>
      <c r="G662" s="14">
        <v>45839</v>
      </c>
      <c r="H662" s="14">
        <v>45849</v>
      </c>
      <c r="I662">
        <v>863.38</v>
      </c>
      <c r="J662">
        <v>892.92</v>
      </c>
      <c r="K662">
        <v>103.42</v>
      </c>
      <c r="L662">
        <v>173</v>
      </c>
      <c r="M662" s="13" t="s">
        <v>3366</v>
      </c>
    </row>
    <row r="663" spans="1:13" x14ac:dyDescent="0.35">
      <c r="A663" s="13" t="s">
        <v>4043</v>
      </c>
      <c r="B663" s="13" t="s">
        <v>144</v>
      </c>
      <c r="C663" s="13" t="s">
        <v>145</v>
      </c>
      <c r="D663" s="13" t="s">
        <v>55</v>
      </c>
      <c r="E663" s="13" t="s">
        <v>52</v>
      </c>
      <c r="F663" s="13" t="s">
        <v>57</v>
      </c>
      <c r="G663" s="14">
        <v>45846</v>
      </c>
      <c r="H663" s="14">
        <v>45850</v>
      </c>
      <c r="I663">
        <v>13253.46</v>
      </c>
      <c r="J663">
        <v>25981.73</v>
      </c>
      <c r="K663">
        <v>196.04</v>
      </c>
      <c r="L663">
        <v>172</v>
      </c>
      <c r="M663" s="13" t="s">
        <v>3366</v>
      </c>
    </row>
    <row r="664" spans="1:13" x14ac:dyDescent="0.35">
      <c r="A664" s="13" t="s">
        <v>4044</v>
      </c>
      <c r="B664" s="13" t="s">
        <v>1220</v>
      </c>
      <c r="C664" s="13" t="s">
        <v>1221</v>
      </c>
      <c r="D664" s="13" t="s">
        <v>67</v>
      </c>
      <c r="E664" s="13" t="s">
        <v>52</v>
      </c>
      <c r="F664" s="13" t="s">
        <v>87</v>
      </c>
      <c r="G664" s="14">
        <v>45841</v>
      </c>
      <c r="H664" s="14">
        <v>45850</v>
      </c>
      <c r="I664">
        <v>1676.4</v>
      </c>
      <c r="J664">
        <v>3940.71</v>
      </c>
      <c r="K664">
        <v>235.07</v>
      </c>
      <c r="L664">
        <v>172</v>
      </c>
      <c r="M664" s="13" t="s">
        <v>3366</v>
      </c>
    </row>
    <row r="665" spans="1:13" x14ac:dyDescent="0.35">
      <c r="A665" s="13" t="s">
        <v>4045</v>
      </c>
      <c r="B665" s="13" t="s">
        <v>1577</v>
      </c>
      <c r="C665" s="13" t="s">
        <v>1578</v>
      </c>
      <c r="D665" s="13" t="s">
        <v>67</v>
      </c>
      <c r="E665" s="13" t="s">
        <v>76</v>
      </c>
      <c r="F665" s="13" t="s">
        <v>80</v>
      </c>
      <c r="G665" s="14">
        <v>45845</v>
      </c>
      <c r="H665" s="14">
        <v>45850</v>
      </c>
      <c r="I665">
        <v>4458.34</v>
      </c>
      <c r="J665">
        <v>4952.08</v>
      </c>
      <c r="K665">
        <v>111.07</v>
      </c>
      <c r="L665">
        <v>172</v>
      </c>
      <c r="M665" s="13" t="s">
        <v>3366</v>
      </c>
    </row>
    <row r="666" spans="1:13" x14ac:dyDescent="0.35">
      <c r="A666" s="13" t="s">
        <v>4046</v>
      </c>
      <c r="B666" s="13" t="s">
        <v>293</v>
      </c>
      <c r="C666" s="13" t="s">
        <v>294</v>
      </c>
      <c r="D666" s="13" t="s">
        <v>92</v>
      </c>
      <c r="E666" s="13" t="s">
        <v>104</v>
      </c>
      <c r="F666" s="13" t="s">
        <v>122</v>
      </c>
      <c r="G666" s="14">
        <v>45839</v>
      </c>
      <c r="H666" s="14">
        <v>45850</v>
      </c>
      <c r="I666">
        <v>1928.56</v>
      </c>
      <c r="J666">
        <v>0</v>
      </c>
      <c r="K666">
        <v>0</v>
      </c>
      <c r="L666">
        <v>172</v>
      </c>
      <c r="M666" s="13" t="s">
        <v>3512</v>
      </c>
    </row>
    <row r="667" spans="1:13" x14ac:dyDescent="0.35">
      <c r="A667" s="13" t="s">
        <v>4047</v>
      </c>
      <c r="B667" s="13" t="s">
        <v>4048</v>
      </c>
      <c r="C667" s="13" t="s">
        <v>4049</v>
      </c>
      <c r="D667" s="13" t="s">
        <v>55</v>
      </c>
      <c r="E667" s="13" t="s">
        <v>76</v>
      </c>
      <c r="F667" s="13" t="s">
        <v>80</v>
      </c>
      <c r="G667" s="14">
        <v>45845</v>
      </c>
      <c r="H667" s="14">
        <v>45850</v>
      </c>
      <c r="I667">
        <v>2974.37</v>
      </c>
      <c r="J667">
        <v>5046.22</v>
      </c>
      <c r="K667">
        <v>169.66</v>
      </c>
      <c r="L667">
        <v>172</v>
      </c>
      <c r="M667" s="13" t="s">
        <v>3366</v>
      </c>
    </row>
    <row r="668" spans="1:13" x14ac:dyDescent="0.35">
      <c r="A668" s="13" t="s">
        <v>4050</v>
      </c>
      <c r="B668" s="13" t="s">
        <v>481</v>
      </c>
      <c r="C668" s="13" t="s">
        <v>482</v>
      </c>
      <c r="D668" s="13" t="s">
        <v>67</v>
      </c>
      <c r="E668" s="13" t="s">
        <v>76</v>
      </c>
      <c r="F668" s="13" t="s">
        <v>80</v>
      </c>
      <c r="G668" s="14">
        <v>45844</v>
      </c>
      <c r="H668" s="14">
        <v>45851</v>
      </c>
      <c r="I668">
        <v>3886.18</v>
      </c>
      <c r="J668">
        <v>4418.12</v>
      </c>
      <c r="K668">
        <v>113.69</v>
      </c>
      <c r="L668">
        <v>171</v>
      </c>
      <c r="M668" s="13" t="s">
        <v>3366</v>
      </c>
    </row>
    <row r="669" spans="1:13" x14ac:dyDescent="0.35">
      <c r="A669" s="13" t="s">
        <v>4051</v>
      </c>
      <c r="B669" s="13" t="s">
        <v>730</v>
      </c>
      <c r="C669" s="13" t="s">
        <v>731</v>
      </c>
      <c r="D669" s="13" t="s">
        <v>67</v>
      </c>
      <c r="E669" s="13" t="s">
        <v>126</v>
      </c>
      <c r="F669" s="13" t="s">
        <v>106</v>
      </c>
      <c r="G669" s="14">
        <v>45844</v>
      </c>
      <c r="H669" s="14">
        <v>45851</v>
      </c>
      <c r="I669">
        <v>5484.56</v>
      </c>
      <c r="J669">
        <v>5566.37</v>
      </c>
      <c r="K669">
        <v>101.49</v>
      </c>
      <c r="L669">
        <v>171</v>
      </c>
      <c r="M669" s="13" t="s">
        <v>3366</v>
      </c>
    </row>
    <row r="670" spans="1:13" x14ac:dyDescent="0.35">
      <c r="A670" s="13" t="s">
        <v>4052</v>
      </c>
      <c r="B670" s="13" t="s">
        <v>1397</v>
      </c>
      <c r="C670" s="13" t="s">
        <v>1398</v>
      </c>
      <c r="D670" s="13" t="s">
        <v>55</v>
      </c>
      <c r="E670" s="13" t="s">
        <v>76</v>
      </c>
      <c r="F670" s="13" t="s">
        <v>80</v>
      </c>
      <c r="G670" s="14">
        <v>45849</v>
      </c>
      <c r="H670" s="14">
        <v>45851</v>
      </c>
      <c r="I670">
        <v>1318.23</v>
      </c>
      <c r="J670">
        <v>1369.57</v>
      </c>
      <c r="K670">
        <v>103.89</v>
      </c>
      <c r="L670">
        <v>171</v>
      </c>
      <c r="M670" s="13" t="s">
        <v>3366</v>
      </c>
    </row>
    <row r="671" spans="1:13" x14ac:dyDescent="0.35">
      <c r="A671" s="13" t="s">
        <v>4053</v>
      </c>
      <c r="B671" s="13" t="s">
        <v>357</v>
      </c>
      <c r="C671" s="13" t="s">
        <v>358</v>
      </c>
      <c r="D671" s="13" t="s">
        <v>92</v>
      </c>
      <c r="E671" s="13" t="s">
        <v>104</v>
      </c>
      <c r="F671" s="13" t="s">
        <v>106</v>
      </c>
      <c r="G671" s="14">
        <v>45832</v>
      </c>
      <c r="H671" s="14">
        <v>45851</v>
      </c>
      <c r="I671">
        <v>1640.86</v>
      </c>
      <c r="J671">
        <v>0</v>
      </c>
      <c r="K671">
        <v>0</v>
      </c>
      <c r="L671">
        <v>171</v>
      </c>
      <c r="M671" s="13" t="s">
        <v>3512</v>
      </c>
    </row>
    <row r="672" spans="1:13" x14ac:dyDescent="0.35">
      <c r="A672" s="13" t="s">
        <v>4054</v>
      </c>
      <c r="B672" s="13" t="s">
        <v>144</v>
      </c>
      <c r="C672" s="13" t="s">
        <v>145</v>
      </c>
      <c r="D672" s="13" t="s">
        <v>55</v>
      </c>
      <c r="E672" s="13" t="s">
        <v>52</v>
      </c>
      <c r="F672" s="13" t="s">
        <v>57</v>
      </c>
      <c r="G672" s="14">
        <v>45848</v>
      </c>
      <c r="H672" s="14">
        <v>45852</v>
      </c>
      <c r="I672">
        <v>1831.62</v>
      </c>
      <c r="J672">
        <v>23339.56</v>
      </c>
      <c r="K672">
        <v>1274.26</v>
      </c>
      <c r="L672">
        <v>170</v>
      </c>
      <c r="M672" s="13" t="s">
        <v>3366</v>
      </c>
    </row>
    <row r="673" spans="1:13" x14ac:dyDescent="0.35">
      <c r="A673" s="13" t="s">
        <v>4055</v>
      </c>
      <c r="B673" s="13" t="s">
        <v>290</v>
      </c>
      <c r="C673" s="13" t="s">
        <v>291</v>
      </c>
      <c r="D673" s="13" t="s">
        <v>92</v>
      </c>
      <c r="E673" s="13" t="s">
        <v>104</v>
      </c>
      <c r="F673" s="13" t="s">
        <v>122</v>
      </c>
      <c r="G673" s="14">
        <v>45842</v>
      </c>
      <c r="H673" s="14">
        <v>45852</v>
      </c>
      <c r="I673">
        <v>1062.3499999999999</v>
      </c>
      <c r="J673">
        <v>0</v>
      </c>
      <c r="K673">
        <v>0</v>
      </c>
      <c r="L673">
        <v>170</v>
      </c>
      <c r="M673" s="13" t="s">
        <v>3512</v>
      </c>
    </row>
    <row r="674" spans="1:13" x14ac:dyDescent="0.35">
      <c r="A674" s="13" t="s">
        <v>4056</v>
      </c>
      <c r="B674" s="13" t="s">
        <v>458</v>
      </c>
      <c r="C674" s="13" t="s">
        <v>459</v>
      </c>
      <c r="D674" s="13" t="s">
        <v>67</v>
      </c>
      <c r="E674" s="13" t="s">
        <v>126</v>
      </c>
      <c r="F674" s="13" t="s">
        <v>122</v>
      </c>
      <c r="G674" s="14">
        <v>45841</v>
      </c>
      <c r="H674" s="14">
        <v>45852</v>
      </c>
      <c r="I674">
        <v>4042.82</v>
      </c>
      <c r="J674">
        <v>5450.54</v>
      </c>
      <c r="K674">
        <v>134.82</v>
      </c>
      <c r="L674">
        <v>170</v>
      </c>
      <c r="M674" s="13" t="s">
        <v>3366</v>
      </c>
    </row>
    <row r="675" spans="1:13" x14ac:dyDescent="0.35">
      <c r="A675" s="13" t="s">
        <v>4057</v>
      </c>
      <c r="B675" s="13" t="s">
        <v>834</v>
      </c>
      <c r="C675" s="13" t="s">
        <v>835</v>
      </c>
      <c r="D675" s="13" t="s">
        <v>67</v>
      </c>
      <c r="E675" s="13" t="s">
        <v>104</v>
      </c>
      <c r="F675" s="13" t="s">
        <v>106</v>
      </c>
      <c r="G675" s="14">
        <v>45845</v>
      </c>
      <c r="H675" s="14">
        <v>45852</v>
      </c>
      <c r="I675">
        <v>7945.2</v>
      </c>
      <c r="J675">
        <v>8646.48</v>
      </c>
      <c r="K675">
        <v>108.83</v>
      </c>
      <c r="L675">
        <v>170</v>
      </c>
      <c r="M675" s="13" t="s">
        <v>3366</v>
      </c>
    </row>
    <row r="676" spans="1:13" x14ac:dyDescent="0.35">
      <c r="A676" s="13" t="s">
        <v>4058</v>
      </c>
      <c r="B676" s="13" t="s">
        <v>1296</v>
      </c>
      <c r="C676" s="13" t="s">
        <v>1297</v>
      </c>
      <c r="D676" s="13" t="s">
        <v>55</v>
      </c>
      <c r="E676" s="13" t="s">
        <v>104</v>
      </c>
      <c r="F676" s="13" t="s">
        <v>122</v>
      </c>
      <c r="G676" s="14">
        <v>45843</v>
      </c>
      <c r="H676" s="14">
        <v>45852</v>
      </c>
      <c r="I676">
        <v>1933.49</v>
      </c>
      <c r="J676">
        <v>2095.5100000000002</v>
      </c>
      <c r="K676">
        <v>108.38</v>
      </c>
      <c r="L676">
        <v>170</v>
      </c>
      <c r="M676" s="13" t="s">
        <v>3366</v>
      </c>
    </row>
    <row r="677" spans="1:13" x14ac:dyDescent="0.35">
      <c r="A677" s="13" t="s">
        <v>4059</v>
      </c>
      <c r="B677" s="13" t="s">
        <v>1703</v>
      </c>
      <c r="C677" s="13" t="s">
        <v>1704</v>
      </c>
      <c r="D677" s="13" t="s">
        <v>55</v>
      </c>
      <c r="E677" s="13" t="s">
        <v>76</v>
      </c>
      <c r="F677" s="13" t="s">
        <v>94</v>
      </c>
      <c r="G677" s="14">
        <v>45845</v>
      </c>
      <c r="H677" s="14">
        <v>45852</v>
      </c>
      <c r="I677">
        <v>2131.3000000000002</v>
      </c>
      <c r="J677">
        <v>2315.19</v>
      </c>
      <c r="K677">
        <v>108.63</v>
      </c>
      <c r="L677">
        <v>170</v>
      </c>
      <c r="M677" s="13" t="s">
        <v>3366</v>
      </c>
    </row>
    <row r="678" spans="1:13" x14ac:dyDescent="0.35">
      <c r="A678" s="13" t="s">
        <v>4060</v>
      </c>
      <c r="B678" s="13" t="s">
        <v>2123</v>
      </c>
      <c r="C678" s="13" t="s">
        <v>2124</v>
      </c>
      <c r="D678" s="13" t="s">
        <v>67</v>
      </c>
      <c r="E678" s="13" t="s">
        <v>76</v>
      </c>
      <c r="F678" s="13" t="s">
        <v>94</v>
      </c>
      <c r="G678" s="14">
        <v>45847</v>
      </c>
      <c r="H678" s="14">
        <v>45853</v>
      </c>
      <c r="I678">
        <v>1396.89</v>
      </c>
      <c r="J678">
        <v>3391.45</v>
      </c>
      <c r="K678">
        <v>242.79</v>
      </c>
      <c r="L678">
        <v>169</v>
      </c>
      <c r="M678" s="13" t="s">
        <v>3366</v>
      </c>
    </row>
    <row r="679" spans="1:13" x14ac:dyDescent="0.35">
      <c r="A679" s="13" t="s">
        <v>4061</v>
      </c>
      <c r="B679" s="13" t="s">
        <v>1766</v>
      </c>
      <c r="C679" s="13" t="s">
        <v>1767</v>
      </c>
      <c r="D679" s="13" t="s">
        <v>67</v>
      </c>
      <c r="E679" s="13" t="s">
        <v>52</v>
      </c>
      <c r="F679" s="13" t="s">
        <v>57</v>
      </c>
      <c r="G679" s="14">
        <v>45849</v>
      </c>
      <c r="H679" s="14">
        <v>45853</v>
      </c>
      <c r="I679">
        <v>1963.42</v>
      </c>
      <c r="J679">
        <v>2056.06</v>
      </c>
      <c r="K679">
        <v>104.72</v>
      </c>
      <c r="L679">
        <v>169</v>
      </c>
      <c r="M679" s="13" t="s">
        <v>3366</v>
      </c>
    </row>
    <row r="680" spans="1:13" x14ac:dyDescent="0.35">
      <c r="A680" s="13" t="s">
        <v>4062</v>
      </c>
      <c r="B680" s="13" t="s">
        <v>286</v>
      </c>
      <c r="C680" s="13" t="s">
        <v>287</v>
      </c>
      <c r="D680" s="13" t="s">
        <v>92</v>
      </c>
      <c r="E680" s="13" t="s">
        <v>104</v>
      </c>
      <c r="F680" s="13" t="s">
        <v>87</v>
      </c>
      <c r="G680" s="14">
        <v>45828</v>
      </c>
      <c r="H680" s="14">
        <v>45853</v>
      </c>
      <c r="I680">
        <v>2010.88</v>
      </c>
      <c r="J680">
        <v>0</v>
      </c>
      <c r="K680">
        <v>0</v>
      </c>
      <c r="L680">
        <v>169</v>
      </c>
      <c r="M680" s="13" t="s">
        <v>3512</v>
      </c>
    </row>
    <row r="681" spans="1:13" x14ac:dyDescent="0.35">
      <c r="A681" s="13" t="s">
        <v>4063</v>
      </c>
      <c r="B681" s="13" t="s">
        <v>425</v>
      </c>
      <c r="C681" s="13" t="s">
        <v>426</v>
      </c>
      <c r="D681" s="13" t="s">
        <v>67</v>
      </c>
      <c r="E681" s="13" t="s">
        <v>126</v>
      </c>
      <c r="F681" s="13" t="s">
        <v>57</v>
      </c>
      <c r="G681" s="14">
        <v>45845</v>
      </c>
      <c r="H681" s="14">
        <v>45853</v>
      </c>
      <c r="I681">
        <v>1358</v>
      </c>
      <c r="J681">
        <v>1484.78</v>
      </c>
      <c r="K681">
        <v>109.34</v>
      </c>
      <c r="L681">
        <v>169</v>
      </c>
      <c r="M681" s="13" t="s">
        <v>3366</v>
      </c>
    </row>
    <row r="682" spans="1:13" x14ac:dyDescent="0.35">
      <c r="A682" s="13" t="s">
        <v>4064</v>
      </c>
      <c r="B682" s="13" t="s">
        <v>280</v>
      </c>
      <c r="C682" s="13" t="s">
        <v>281</v>
      </c>
      <c r="D682" s="13" t="s">
        <v>92</v>
      </c>
      <c r="E682" s="13" t="s">
        <v>104</v>
      </c>
      <c r="F682" s="13" t="s">
        <v>122</v>
      </c>
      <c r="G682" s="14">
        <v>45829</v>
      </c>
      <c r="H682" s="14">
        <v>45853</v>
      </c>
      <c r="I682">
        <v>3385.82</v>
      </c>
      <c r="J682">
        <v>0</v>
      </c>
      <c r="K682">
        <v>0</v>
      </c>
      <c r="L682">
        <v>169</v>
      </c>
      <c r="M682" s="13" t="s">
        <v>3512</v>
      </c>
    </row>
    <row r="683" spans="1:13" x14ac:dyDescent="0.35">
      <c r="A683" s="13" t="s">
        <v>4065</v>
      </c>
      <c r="B683" s="13" t="s">
        <v>1957</v>
      </c>
      <c r="C683" s="13" t="s">
        <v>1958</v>
      </c>
      <c r="D683" s="13" t="s">
        <v>55</v>
      </c>
      <c r="E683" s="13" t="s">
        <v>76</v>
      </c>
      <c r="F683" s="13" t="s">
        <v>94</v>
      </c>
      <c r="G683" s="14">
        <v>45846</v>
      </c>
      <c r="H683" s="14">
        <v>45854</v>
      </c>
      <c r="I683">
        <v>586.54</v>
      </c>
      <c r="J683">
        <v>1066.4100000000001</v>
      </c>
      <c r="K683">
        <v>181.81</v>
      </c>
      <c r="L683">
        <v>168</v>
      </c>
      <c r="M683" s="13" t="s">
        <v>3366</v>
      </c>
    </row>
    <row r="684" spans="1:13" x14ac:dyDescent="0.35">
      <c r="A684" s="13" t="s">
        <v>4066</v>
      </c>
      <c r="B684" s="13" t="s">
        <v>1247</v>
      </c>
      <c r="C684" s="13" t="s">
        <v>1248</v>
      </c>
      <c r="D684" s="13" t="s">
        <v>55</v>
      </c>
      <c r="E684" s="13" t="s">
        <v>52</v>
      </c>
      <c r="F684" s="13" t="s">
        <v>57</v>
      </c>
      <c r="G684" s="14">
        <v>45849</v>
      </c>
      <c r="H684" s="14">
        <v>45854</v>
      </c>
      <c r="I684">
        <v>2439.77</v>
      </c>
      <c r="J684">
        <v>4737.55</v>
      </c>
      <c r="K684">
        <v>194.18</v>
      </c>
      <c r="L684">
        <v>168</v>
      </c>
      <c r="M684" s="13" t="s">
        <v>3366</v>
      </c>
    </row>
    <row r="685" spans="1:13" x14ac:dyDescent="0.35">
      <c r="A685" s="13" t="s">
        <v>4067</v>
      </c>
      <c r="B685" s="13" t="s">
        <v>222</v>
      </c>
      <c r="C685" s="13" t="s">
        <v>223</v>
      </c>
      <c r="D685" s="13" t="s">
        <v>92</v>
      </c>
      <c r="E685" s="13" t="s">
        <v>52</v>
      </c>
      <c r="F685" s="13" t="s">
        <v>57</v>
      </c>
      <c r="G685" s="14">
        <v>45850</v>
      </c>
      <c r="H685" s="14">
        <v>45854</v>
      </c>
      <c r="I685">
        <v>2362.23</v>
      </c>
      <c r="J685">
        <v>24407.73</v>
      </c>
      <c r="K685">
        <v>1033.25</v>
      </c>
      <c r="L685">
        <v>168</v>
      </c>
      <c r="M685" s="13" t="s">
        <v>3366</v>
      </c>
    </row>
    <row r="686" spans="1:13" x14ac:dyDescent="0.35">
      <c r="A686" s="13" t="s">
        <v>4068</v>
      </c>
      <c r="B686" s="13" t="s">
        <v>1254</v>
      </c>
      <c r="C686" s="13" t="s">
        <v>1255</v>
      </c>
      <c r="D686" s="13" t="s">
        <v>67</v>
      </c>
      <c r="E686" s="13" t="s">
        <v>126</v>
      </c>
      <c r="F686" s="13" t="s">
        <v>87</v>
      </c>
      <c r="G686" s="14">
        <v>45844</v>
      </c>
      <c r="H686" s="14">
        <v>45854</v>
      </c>
      <c r="I686">
        <v>5586.19</v>
      </c>
      <c r="J686">
        <v>5873.88</v>
      </c>
      <c r="K686">
        <v>105.15</v>
      </c>
      <c r="L686">
        <v>168</v>
      </c>
      <c r="M686" s="13" t="s">
        <v>3366</v>
      </c>
    </row>
    <row r="687" spans="1:13" x14ac:dyDescent="0.35">
      <c r="A687" s="13" t="s">
        <v>4069</v>
      </c>
      <c r="B687" s="13" t="s">
        <v>277</v>
      </c>
      <c r="C687" s="13" t="s">
        <v>278</v>
      </c>
      <c r="D687" s="13" t="s">
        <v>92</v>
      </c>
      <c r="E687" s="13" t="s">
        <v>104</v>
      </c>
      <c r="F687" s="13" t="s">
        <v>106</v>
      </c>
      <c r="G687" s="14">
        <v>45840</v>
      </c>
      <c r="H687" s="14">
        <v>45855</v>
      </c>
      <c r="I687">
        <v>2903.12</v>
      </c>
      <c r="J687">
        <v>0</v>
      </c>
      <c r="K687">
        <v>0</v>
      </c>
      <c r="L687">
        <v>167</v>
      </c>
      <c r="M687" s="13" t="s">
        <v>3512</v>
      </c>
    </row>
    <row r="688" spans="1:13" x14ac:dyDescent="0.35">
      <c r="A688" s="13" t="s">
        <v>4070</v>
      </c>
      <c r="B688" s="13" t="s">
        <v>1015</v>
      </c>
      <c r="C688" s="13" t="s">
        <v>1016</v>
      </c>
      <c r="D688" s="13" t="s">
        <v>55</v>
      </c>
      <c r="E688" s="13" t="s">
        <v>52</v>
      </c>
      <c r="F688" s="13" t="s">
        <v>57</v>
      </c>
      <c r="G688" s="14">
        <v>45850</v>
      </c>
      <c r="H688" s="14">
        <v>45855</v>
      </c>
      <c r="I688">
        <v>3345.67</v>
      </c>
      <c r="J688">
        <v>11431.2</v>
      </c>
      <c r="K688">
        <v>341.67</v>
      </c>
      <c r="L688">
        <v>167</v>
      </c>
      <c r="M688" s="13" t="s">
        <v>3366</v>
      </c>
    </row>
    <row r="689" spans="1:13" x14ac:dyDescent="0.35">
      <c r="A689" s="13" t="s">
        <v>4071</v>
      </c>
      <c r="B689" s="13" t="s">
        <v>1015</v>
      </c>
      <c r="C689" s="13" t="s">
        <v>1016</v>
      </c>
      <c r="D689" s="13" t="s">
        <v>55</v>
      </c>
      <c r="E689" s="13" t="s">
        <v>52</v>
      </c>
      <c r="F689" s="13" t="s">
        <v>57</v>
      </c>
      <c r="G689" s="14">
        <v>45848</v>
      </c>
      <c r="H689" s="14">
        <v>45856</v>
      </c>
      <c r="I689">
        <v>4390.88</v>
      </c>
      <c r="J689">
        <v>11431.2</v>
      </c>
      <c r="K689">
        <v>260.33999999999997</v>
      </c>
      <c r="L689">
        <v>166</v>
      </c>
      <c r="M689" s="13" t="s">
        <v>3366</v>
      </c>
    </row>
    <row r="690" spans="1:13" x14ac:dyDescent="0.35">
      <c r="A690" s="13" t="s">
        <v>4072</v>
      </c>
      <c r="B690" s="13" t="s">
        <v>1678</v>
      </c>
      <c r="C690" s="13" t="s">
        <v>1679</v>
      </c>
      <c r="D690" s="13" t="s">
        <v>67</v>
      </c>
      <c r="E690" s="13" t="s">
        <v>126</v>
      </c>
      <c r="F690" s="13" t="s">
        <v>122</v>
      </c>
      <c r="G690" s="14">
        <v>45852</v>
      </c>
      <c r="H690" s="14">
        <v>45856</v>
      </c>
      <c r="I690">
        <v>3694.78</v>
      </c>
      <c r="J690">
        <v>4099.6899999999996</v>
      </c>
      <c r="K690">
        <v>110.96</v>
      </c>
      <c r="L690">
        <v>166</v>
      </c>
      <c r="M690" s="13" t="s">
        <v>3366</v>
      </c>
    </row>
    <row r="691" spans="1:13" x14ac:dyDescent="0.35">
      <c r="A691" s="13" t="s">
        <v>4073</v>
      </c>
      <c r="B691" s="13" t="s">
        <v>232</v>
      </c>
      <c r="C691" s="13" t="s">
        <v>233</v>
      </c>
      <c r="D691" s="13" t="s">
        <v>55</v>
      </c>
      <c r="E691" s="13" t="s">
        <v>76</v>
      </c>
      <c r="F691" s="13" t="s">
        <v>94</v>
      </c>
      <c r="G691" s="14">
        <v>45849</v>
      </c>
      <c r="H691" s="14">
        <v>45856</v>
      </c>
      <c r="I691">
        <v>1040.8599999999999</v>
      </c>
      <c r="J691">
        <v>1100.26</v>
      </c>
      <c r="K691">
        <v>105.71</v>
      </c>
      <c r="L691">
        <v>166</v>
      </c>
      <c r="M691" s="13" t="s">
        <v>3366</v>
      </c>
    </row>
    <row r="692" spans="1:13" x14ac:dyDescent="0.35">
      <c r="A692" s="13" t="s">
        <v>4074</v>
      </c>
      <c r="B692" s="13" t="s">
        <v>2622</v>
      </c>
      <c r="C692" s="13" t="s">
        <v>2623</v>
      </c>
      <c r="D692" s="13" t="s">
        <v>67</v>
      </c>
      <c r="E692" s="13" t="s">
        <v>104</v>
      </c>
      <c r="F692" s="13" t="s">
        <v>106</v>
      </c>
      <c r="G692" s="14">
        <v>45854</v>
      </c>
      <c r="H692" s="14">
        <v>45856</v>
      </c>
      <c r="I692">
        <v>6031.54</v>
      </c>
      <c r="J692">
        <v>9727.66</v>
      </c>
      <c r="K692">
        <v>161.28</v>
      </c>
      <c r="L692">
        <v>166</v>
      </c>
      <c r="M692" s="13" t="s">
        <v>3366</v>
      </c>
    </row>
    <row r="693" spans="1:13" x14ac:dyDescent="0.35">
      <c r="A693" s="13" t="s">
        <v>4075</v>
      </c>
      <c r="B693" s="13" t="s">
        <v>1753</v>
      </c>
      <c r="C693" s="13" t="s">
        <v>1754</v>
      </c>
      <c r="D693" s="13" t="s">
        <v>67</v>
      </c>
      <c r="E693" s="13" t="s">
        <v>126</v>
      </c>
      <c r="F693" s="13" t="s">
        <v>122</v>
      </c>
      <c r="G693" s="14">
        <v>45848</v>
      </c>
      <c r="H693" s="14">
        <v>45856</v>
      </c>
      <c r="I693">
        <v>10030.39</v>
      </c>
      <c r="J693">
        <v>10175.56</v>
      </c>
      <c r="K693">
        <v>101.45</v>
      </c>
      <c r="L693">
        <v>166</v>
      </c>
      <c r="M693" s="13" t="s">
        <v>3366</v>
      </c>
    </row>
    <row r="694" spans="1:13" x14ac:dyDescent="0.35">
      <c r="A694" s="13" t="s">
        <v>4076</v>
      </c>
      <c r="B694" s="13" t="s">
        <v>280</v>
      </c>
      <c r="C694" s="13" t="s">
        <v>281</v>
      </c>
      <c r="D694" s="13" t="s">
        <v>92</v>
      </c>
      <c r="E694" s="13" t="s">
        <v>104</v>
      </c>
      <c r="F694" s="13" t="s">
        <v>122</v>
      </c>
      <c r="G694" s="14">
        <v>45837</v>
      </c>
      <c r="H694" s="14">
        <v>45857</v>
      </c>
      <c r="I694">
        <v>1175.5</v>
      </c>
      <c r="J694">
        <v>0</v>
      </c>
      <c r="K694">
        <v>0</v>
      </c>
      <c r="L694">
        <v>165</v>
      </c>
      <c r="M694" s="13" t="s">
        <v>3512</v>
      </c>
    </row>
    <row r="695" spans="1:13" x14ac:dyDescent="0.35">
      <c r="A695" s="13" t="s">
        <v>4077</v>
      </c>
      <c r="B695" s="13" t="s">
        <v>286</v>
      </c>
      <c r="C695" s="13" t="s">
        <v>287</v>
      </c>
      <c r="D695" s="13" t="s">
        <v>92</v>
      </c>
      <c r="E695" s="13" t="s">
        <v>104</v>
      </c>
      <c r="F695" s="13" t="s">
        <v>87</v>
      </c>
      <c r="G695" s="14">
        <v>45843</v>
      </c>
      <c r="H695" s="14">
        <v>45857</v>
      </c>
      <c r="I695">
        <v>758.29</v>
      </c>
      <c r="J695">
        <v>0</v>
      </c>
      <c r="K695">
        <v>0</v>
      </c>
      <c r="L695">
        <v>165</v>
      </c>
      <c r="M695" s="13" t="s">
        <v>3512</v>
      </c>
    </row>
    <row r="696" spans="1:13" x14ac:dyDescent="0.35">
      <c r="A696" s="13" t="s">
        <v>4078</v>
      </c>
      <c r="B696" s="13" t="s">
        <v>601</v>
      </c>
      <c r="C696" s="13" t="s">
        <v>602</v>
      </c>
      <c r="D696" s="13" t="s">
        <v>67</v>
      </c>
      <c r="E696" s="13" t="s">
        <v>52</v>
      </c>
      <c r="F696" s="13" t="s">
        <v>87</v>
      </c>
      <c r="G696" s="14">
        <v>45848</v>
      </c>
      <c r="H696" s="14">
        <v>45857</v>
      </c>
      <c r="I696">
        <v>9644.23</v>
      </c>
      <c r="J696">
        <v>12005.64</v>
      </c>
      <c r="K696">
        <v>124.49</v>
      </c>
      <c r="L696">
        <v>165</v>
      </c>
      <c r="M696" s="13" t="s">
        <v>3366</v>
      </c>
    </row>
    <row r="697" spans="1:13" x14ac:dyDescent="0.35">
      <c r="A697" s="13" t="s">
        <v>4079</v>
      </c>
      <c r="B697" s="13" t="s">
        <v>283</v>
      </c>
      <c r="C697" s="13" t="s">
        <v>284</v>
      </c>
      <c r="D697" s="13" t="s">
        <v>92</v>
      </c>
      <c r="E697" s="13" t="s">
        <v>104</v>
      </c>
      <c r="F697" s="13" t="s">
        <v>106</v>
      </c>
      <c r="G697" s="14">
        <v>45843</v>
      </c>
      <c r="H697" s="14">
        <v>45857</v>
      </c>
      <c r="I697">
        <v>4368.2299999999996</v>
      </c>
      <c r="J697">
        <v>0</v>
      </c>
      <c r="K697">
        <v>0</v>
      </c>
      <c r="L697">
        <v>165</v>
      </c>
      <c r="M697" s="13" t="s">
        <v>3512</v>
      </c>
    </row>
    <row r="698" spans="1:13" x14ac:dyDescent="0.35">
      <c r="A698" s="13" t="s">
        <v>4080</v>
      </c>
      <c r="B698" s="13" t="s">
        <v>788</v>
      </c>
      <c r="C698" s="13" t="s">
        <v>789</v>
      </c>
      <c r="D698" s="13" t="s">
        <v>67</v>
      </c>
      <c r="E698" s="13" t="s">
        <v>52</v>
      </c>
      <c r="F698" s="13" t="s">
        <v>87</v>
      </c>
      <c r="G698" s="14">
        <v>45845</v>
      </c>
      <c r="H698" s="14">
        <v>45857</v>
      </c>
      <c r="I698">
        <v>1501.83</v>
      </c>
      <c r="J698">
        <v>6986.97</v>
      </c>
      <c r="K698">
        <v>465.23</v>
      </c>
      <c r="L698">
        <v>165</v>
      </c>
      <c r="M698" s="13" t="s">
        <v>3366</v>
      </c>
    </row>
    <row r="699" spans="1:13" x14ac:dyDescent="0.35">
      <c r="A699" s="13" t="s">
        <v>4081</v>
      </c>
      <c r="B699" s="13" t="s">
        <v>1022</v>
      </c>
      <c r="C699" s="13" t="s">
        <v>1023</v>
      </c>
      <c r="D699" s="13" t="s">
        <v>55</v>
      </c>
      <c r="E699" s="13" t="s">
        <v>126</v>
      </c>
      <c r="F699" s="13" t="s">
        <v>57</v>
      </c>
      <c r="G699" s="14">
        <v>45853</v>
      </c>
      <c r="H699" s="14">
        <v>45858</v>
      </c>
      <c r="I699">
        <v>5855.01</v>
      </c>
      <c r="J699">
        <v>6069.15</v>
      </c>
      <c r="K699">
        <v>103.66</v>
      </c>
      <c r="L699">
        <v>164</v>
      </c>
      <c r="M699" s="13" t="s">
        <v>3366</v>
      </c>
    </row>
    <row r="700" spans="1:13" x14ac:dyDescent="0.35">
      <c r="A700" s="13" t="s">
        <v>4082</v>
      </c>
      <c r="B700" s="13" t="s">
        <v>1703</v>
      </c>
      <c r="C700" s="13" t="s">
        <v>1704</v>
      </c>
      <c r="D700" s="13" t="s">
        <v>55</v>
      </c>
      <c r="E700" s="13" t="s">
        <v>76</v>
      </c>
      <c r="F700" s="13" t="s">
        <v>94</v>
      </c>
      <c r="G700" s="14">
        <v>45853</v>
      </c>
      <c r="H700" s="14">
        <v>45858</v>
      </c>
      <c r="I700">
        <v>2588.87</v>
      </c>
      <c r="J700">
        <v>2726.91</v>
      </c>
      <c r="K700">
        <v>105.33</v>
      </c>
      <c r="L700">
        <v>164</v>
      </c>
      <c r="M700" s="13" t="s">
        <v>3366</v>
      </c>
    </row>
    <row r="701" spans="1:13" x14ac:dyDescent="0.35">
      <c r="A701" s="13" t="s">
        <v>4083</v>
      </c>
      <c r="B701" s="13" t="s">
        <v>137</v>
      </c>
      <c r="C701" s="13" t="s">
        <v>138</v>
      </c>
      <c r="D701" s="13" t="s">
        <v>92</v>
      </c>
      <c r="E701" s="13" t="s">
        <v>52</v>
      </c>
      <c r="F701" s="13" t="s">
        <v>57</v>
      </c>
      <c r="G701" s="14">
        <v>45851</v>
      </c>
      <c r="H701" s="14">
        <v>45858</v>
      </c>
      <c r="I701">
        <v>8496.41</v>
      </c>
      <c r="J701">
        <v>16754.27</v>
      </c>
      <c r="K701">
        <v>197.19</v>
      </c>
      <c r="L701">
        <v>164</v>
      </c>
      <c r="M701" s="13" t="s">
        <v>3366</v>
      </c>
    </row>
    <row r="702" spans="1:13" x14ac:dyDescent="0.35">
      <c r="A702" s="13" t="s">
        <v>4084</v>
      </c>
      <c r="B702" s="13" t="s">
        <v>270</v>
      </c>
      <c r="C702" s="13" t="s">
        <v>271</v>
      </c>
      <c r="D702" s="13" t="s">
        <v>67</v>
      </c>
      <c r="E702" s="13" t="s">
        <v>52</v>
      </c>
      <c r="F702" s="13" t="s">
        <v>57</v>
      </c>
      <c r="G702" s="14">
        <v>45850</v>
      </c>
      <c r="H702" s="14">
        <v>45858</v>
      </c>
      <c r="I702">
        <v>4149.3</v>
      </c>
      <c r="J702">
        <v>12977.77</v>
      </c>
      <c r="K702">
        <v>312.77</v>
      </c>
      <c r="L702">
        <v>164</v>
      </c>
      <c r="M702" s="13" t="s">
        <v>3366</v>
      </c>
    </row>
    <row r="703" spans="1:13" x14ac:dyDescent="0.35">
      <c r="A703" s="13" t="s">
        <v>4085</v>
      </c>
      <c r="B703" s="13" t="s">
        <v>695</v>
      </c>
      <c r="C703" s="13" t="s">
        <v>696</v>
      </c>
      <c r="D703" s="13" t="s">
        <v>92</v>
      </c>
      <c r="E703" s="13" t="s">
        <v>52</v>
      </c>
      <c r="F703" s="13" t="s">
        <v>57</v>
      </c>
      <c r="G703" s="14">
        <v>45849</v>
      </c>
      <c r="H703" s="14">
        <v>45859</v>
      </c>
      <c r="I703">
        <v>1509.69</v>
      </c>
      <c r="J703">
        <v>11564.24</v>
      </c>
      <c r="K703">
        <v>766</v>
      </c>
      <c r="L703">
        <v>163</v>
      </c>
      <c r="M703" s="13" t="s">
        <v>3366</v>
      </c>
    </row>
    <row r="704" spans="1:13" x14ac:dyDescent="0.35">
      <c r="A704" s="13" t="s">
        <v>4086</v>
      </c>
      <c r="B704" s="13" t="s">
        <v>446</v>
      </c>
      <c r="C704" s="13" t="s">
        <v>447</v>
      </c>
      <c r="D704" s="13" t="s">
        <v>67</v>
      </c>
      <c r="E704" s="13" t="s">
        <v>52</v>
      </c>
      <c r="F704" s="13" t="s">
        <v>87</v>
      </c>
      <c r="G704" s="14">
        <v>45851</v>
      </c>
      <c r="H704" s="14">
        <v>45859</v>
      </c>
      <c r="I704">
        <v>720.5</v>
      </c>
      <c r="J704">
        <v>786.02</v>
      </c>
      <c r="K704">
        <v>109.09</v>
      </c>
      <c r="L704">
        <v>163</v>
      </c>
      <c r="M704" s="13" t="s">
        <v>3366</v>
      </c>
    </row>
    <row r="705" spans="1:13" x14ac:dyDescent="0.35">
      <c r="A705" s="13" t="s">
        <v>4087</v>
      </c>
      <c r="B705" s="13" t="s">
        <v>283</v>
      </c>
      <c r="C705" s="13" t="s">
        <v>284</v>
      </c>
      <c r="D705" s="13" t="s">
        <v>92</v>
      </c>
      <c r="E705" s="13" t="s">
        <v>104</v>
      </c>
      <c r="F705" s="13" t="s">
        <v>106</v>
      </c>
      <c r="G705" s="14">
        <v>45841</v>
      </c>
      <c r="H705" s="14">
        <v>45860</v>
      </c>
      <c r="I705">
        <v>3387.71</v>
      </c>
      <c r="J705">
        <v>0</v>
      </c>
      <c r="K705">
        <v>0</v>
      </c>
      <c r="L705">
        <v>162</v>
      </c>
      <c r="M705" s="13" t="s">
        <v>3512</v>
      </c>
    </row>
    <row r="706" spans="1:13" x14ac:dyDescent="0.35">
      <c r="A706" s="13" t="s">
        <v>4088</v>
      </c>
      <c r="B706" s="13" t="s">
        <v>1665</v>
      </c>
      <c r="C706" s="13" t="s">
        <v>1666</v>
      </c>
      <c r="D706" s="13" t="s">
        <v>55</v>
      </c>
      <c r="E706" s="13" t="s">
        <v>76</v>
      </c>
      <c r="F706" s="13" t="s">
        <v>94</v>
      </c>
      <c r="G706" s="14">
        <v>45851</v>
      </c>
      <c r="H706" s="14">
        <v>45860</v>
      </c>
      <c r="I706">
        <v>1063.95</v>
      </c>
      <c r="J706">
        <v>1167.9100000000001</v>
      </c>
      <c r="K706">
        <v>109.77</v>
      </c>
      <c r="L706">
        <v>162</v>
      </c>
      <c r="M706" s="13" t="s">
        <v>3366</v>
      </c>
    </row>
    <row r="707" spans="1:13" x14ac:dyDescent="0.35">
      <c r="A707" s="13" t="s">
        <v>4089</v>
      </c>
      <c r="B707" s="13" t="s">
        <v>499</v>
      </c>
      <c r="C707" s="13" t="s">
        <v>500</v>
      </c>
      <c r="D707" s="13" t="s">
        <v>67</v>
      </c>
      <c r="E707" s="13" t="s">
        <v>104</v>
      </c>
      <c r="F707" s="13" t="s">
        <v>106</v>
      </c>
      <c r="G707" s="14">
        <v>45847</v>
      </c>
      <c r="H707" s="14">
        <v>45860</v>
      </c>
      <c r="I707">
        <v>2216.15</v>
      </c>
      <c r="J707">
        <v>2333.7199999999998</v>
      </c>
      <c r="K707">
        <v>105.31</v>
      </c>
      <c r="L707">
        <v>162</v>
      </c>
      <c r="M707" s="13" t="s">
        <v>3366</v>
      </c>
    </row>
    <row r="708" spans="1:13" x14ac:dyDescent="0.35">
      <c r="A708" s="13" t="s">
        <v>4090</v>
      </c>
      <c r="B708" s="13" t="s">
        <v>1520</v>
      </c>
      <c r="C708" s="13" t="s">
        <v>1521</v>
      </c>
      <c r="D708" s="13" t="s">
        <v>55</v>
      </c>
      <c r="E708" s="13" t="s">
        <v>76</v>
      </c>
      <c r="F708" s="13" t="s">
        <v>80</v>
      </c>
      <c r="G708" s="14">
        <v>45848</v>
      </c>
      <c r="H708" s="14">
        <v>45860</v>
      </c>
      <c r="I708">
        <v>4064.42</v>
      </c>
      <c r="J708">
        <v>4499.17</v>
      </c>
      <c r="K708">
        <v>110.7</v>
      </c>
      <c r="L708">
        <v>162</v>
      </c>
      <c r="M708" s="13" t="s">
        <v>3366</v>
      </c>
    </row>
    <row r="709" spans="1:13" x14ac:dyDescent="0.35">
      <c r="A709" s="13" t="s">
        <v>4091</v>
      </c>
      <c r="B709" s="13" t="s">
        <v>225</v>
      </c>
      <c r="C709" s="13" t="s">
        <v>226</v>
      </c>
      <c r="D709" s="13" t="s">
        <v>55</v>
      </c>
      <c r="E709" s="13" t="s">
        <v>52</v>
      </c>
      <c r="F709" s="13" t="s">
        <v>57</v>
      </c>
      <c r="G709" s="14">
        <v>45849</v>
      </c>
      <c r="H709" s="14">
        <v>45861</v>
      </c>
      <c r="I709">
        <v>2169.5300000000002</v>
      </c>
      <c r="J709">
        <v>23889.43</v>
      </c>
      <c r="K709">
        <v>1101.1300000000001</v>
      </c>
      <c r="L709">
        <v>161</v>
      </c>
      <c r="M709" s="13" t="s">
        <v>3366</v>
      </c>
    </row>
    <row r="710" spans="1:13" x14ac:dyDescent="0.35">
      <c r="A710" s="13" t="s">
        <v>4092</v>
      </c>
      <c r="B710" s="13" t="s">
        <v>225</v>
      </c>
      <c r="C710" s="13" t="s">
        <v>226</v>
      </c>
      <c r="D710" s="13" t="s">
        <v>55</v>
      </c>
      <c r="E710" s="13" t="s">
        <v>52</v>
      </c>
      <c r="F710" s="13" t="s">
        <v>57</v>
      </c>
      <c r="G710" s="14">
        <v>45843</v>
      </c>
      <c r="H710" s="14">
        <v>45861</v>
      </c>
      <c r="I710">
        <v>2896.36</v>
      </c>
      <c r="J710">
        <v>23889.43</v>
      </c>
      <c r="K710">
        <v>824.81</v>
      </c>
      <c r="L710">
        <v>161</v>
      </c>
      <c r="M710" s="13" t="s">
        <v>3366</v>
      </c>
    </row>
    <row r="711" spans="1:13" x14ac:dyDescent="0.35">
      <c r="A711" s="13" t="s">
        <v>4093</v>
      </c>
      <c r="B711" s="13" t="s">
        <v>84</v>
      </c>
      <c r="C711" s="13" t="s">
        <v>85</v>
      </c>
      <c r="D711" s="13" t="s">
        <v>67</v>
      </c>
      <c r="E711" s="13" t="s">
        <v>52</v>
      </c>
      <c r="F711" s="13" t="s">
        <v>87</v>
      </c>
      <c r="G711" s="14">
        <v>45839</v>
      </c>
      <c r="H711" s="14">
        <v>45861</v>
      </c>
      <c r="I711">
        <v>3037.84</v>
      </c>
      <c r="J711">
        <v>26367.4</v>
      </c>
      <c r="K711">
        <v>867.97</v>
      </c>
      <c r="L711">
        <v>161</v>
      </c>
      <c r="M711" s="13" t="s">
        <v>3366</v>
      </c>
    </row>
    <row r="712" spans="1:13" x14ac:dyDescent="0.35">
      <c r="A712" s="13" t="s">
        <v>4094</v>
      </c>
      <c r="B712" s="13" t="s">
        <v>1241</v>
      </c>
      <c r="C712" s="13" t="s">
        <v>1242</v>
      </c>
      <c r="D712" s="13" t="s">
        <v>55</v>
      </c>
      <c r="E712" s="13" t="s">
        <v>76</v>
      </c>
      <c r="F712" s="13" t="s">
        <v>94</v>
      </c>
      <c r="G712" s="14">
        <v>45848</v>
      </c>
      <c r="H712" s="14">
        <v>45861</v>
      </c>
      <c r="I712">
        <v>292.66000000000003</v>
      </c>
      <c r="J712">
        <v>0</v>
      </c>
      <c r="K712">
        <v>0</v>
      </c>
      <c r="L712">
        <v>161</v>
      </c>
      <c r="M712" s="13" t="s">
        <v>3512</v>
      </c>
    </row>
    <row r="713" spans="1:13" x14ac:dyDescent="0.35">
      <c r="A713" s="13" t="s">
        <v>4095</v>
      </c>
      <c r="B713" s="13" t="s">
        <v>296</v>
      </c>
      <c r="C713" s="13" t="s">
        <v>297</v>
      </c>
      <c r="D713" s="13" t="s">
        <v>92</v>
      </c>
      <c r="E713" s="13" t="s">
        <v>104</v>
      </c>
      <c r="F713" s="13" t="s">
        <v>106</v>
      </c>
      <c r="G713" s="14">
        <v>45853</v>
      </c>
      <c r="H713" s="14">
        <v>45861</v>
      </c>
      <c r="I713">
        <v>881.45</v>
      </c>
      <c r="J713">
        <v>0</v>
      </c>
      <c r="K713">
        <v>0</v>
      </c>
      <c r="L713">
        <v>161</v>
      </c>
      <c r="M713" s="13" t="s">
        <v>3512</v>
      </c>
    </row>
    <row r="714" spans="1:13" x14ac:dyDescent="0.35">
      <c r="A714" s="13" t="s">
        <v>4096</v>
      </c>
      <c r="B714" s="13" t="s">
        <v>1444</v>
      </c>
      <c r="C714" s="13" t="s">
        <v>1445</v>
      </c>
      <c r="D714" s="13" t="s">
        <v>55</v>
      </c>
      <c r="E714" s="13" t="s">
        <v>104</v>
      </c>
      <c r="F714" s="13" t="s">
        <v>106</v>
      </c>
      <c r="G714" s="14">
        <v>45852</v>
      </c>
      <c r="H714" s="14">
        <v>45861</v>
      </c>
      <c r="I714">
        <v>1058.32</v>
      </c>
      <c r="J714">
        <v>1132.24</v>
      </c>
      <c r="K714">
        <v>106.98</v>
      </c>
      <c r="L714">
        <v>161</v>
      </c>
      <c r="M714" s="13" t="s">
        <v>3366</v>
      </c>
    </row>
    <row r="715" spans="1:13" x14ac:dyDescent="0.35">
      <c r="A715" s="13" t="s">
        <v>4097</v>
      </c>
      <c r="B715" s="13" t="s">
        <v>870</v>
      </c>
      <c r="C715" s="13" t="s">
        <v>871</v>
      </c>
      <c r="D715" s="13" t="s">
        <v>55</v>
      </c>
      <c r="E715" s="13" t="s">
        <v>104</v>
      </c>
      <c r="F715" s="13" t="s">
        <v>122</v>
      </c>
      <c r="G715" s="14">
        <v>45857</v>
      </c>
      <c r="H715" s="14">
        <v>45861</v>
      </c>
      <c r="I715">
        <v>5129.45</v>
      </c>
      <c r="J715">
        <v>10269.07</v>
      </c>
      <c r="K715">
        <v>200.2</v>
      </c>
      <c r="L715">
        <v>161</v>
      </c>
      <c r="M715" s="13" t="s">
        <v>3366</v>
      </c>
    </row>
    <row r="716" spans="1:13" x14ac:dyDescent="0.35">
      <c r="A716" s="13" t="s">
        <v>4098</v>
      </c>
      <c r="B716" s="13" t="s">
        <v>2889</v>
      </c>
      <c r="C716" s="13" t="s">
        <v>2890</v>
      </c>
      <c r="D716" s="13" t="s">
        <v>55</v>
      </c>
      <c r="E716" s="13" t="s">
        <v>104</v>
      </c>
      <c r="F716" s="13" t="s">
        <v>106</v>
      </c>
      <c r="G716" s="14">
        <v>45854</v>
      </c>
      <c r="H716" s="14">
        <v>45861</v>
      </c>
      <c r="I716">
        <v>2790.91</v>
      </c>
      <c r="J716">
        <v>2948.46</v>
      </c>
      <c r="K716">
        <v>105.65</v>
      </c>
      <c r="L716">
        <v>161</v>
      </c>
      <c r="M716" s="13" t="s">
        <v>3366</v>
      </c>
    </row>
    <row r="717" spans="1:13" x14ac:dyDescent="0.35">
      <c r="A717" s="13" t="s">
        <v>4099</v>
      </c>
      <c r="B717" s="13" t="s">
        <v>3189</v>
      </c>
      <c r="C717" s="13" t="s">
        <v>3190</v>
      </c>
      <c r="D717" s="13" t="s">
        <v>55</v>
      </c>
      <c r="E717" s="13" t="s">
        <v>104</v>
      </c>
      <c r="F717" s="13" t="s">
        <v>122</v>
      </c>
      <c r="G717" s="14">
        <v>45857</v>
      </c>
      <c r="H717" s="14">
        <v>45862</v>
      </c>
      <c r="I717">
        <v>802.25</v>
      </c>
      <c r="J717">
        <v>1800.16</v>
      </c>
      <c r="K717">
        <v>224.39</v>
      </c>
      <c r="L717">
        <v>160</v>
      </c>
      <c r="M717" s="13" t="s">
        <v>3366</v>
      </c>
    </row>
    <row r="718" spans="1:13" x14ac:dyDescent="0.35">
      <c r="A718" s="13" t="s">
        <v>4100</v>
      </c>
      <c r="B718" s="13" t="s">
        <v>1251</v>
      </c>
      <c r="C718" s="13" t="s">
        <v>1252</v>
      </c>
      <c r="D718" s="13" t="s">
        <v>92</v>
      </c>
      <c r="E718" s="13" t="s">
        <v>76</v>
      </c>
      <c r="F718" s="13" t="s">
        <v>94</v>
      </c>
      <c r="G718" s="14">
        <v>45859</v>
      </c>
      <c r="H718" s="14">
        <v>45862</v>
      </c>
      <c r="I718">
        <v>3586.75</v>
      </c>
      <c r="J718">
        <v>4819.1099999999997</v>
      </c>
      <c r="K718">
        <v>134.36000000000001</v>
      </c>
      <c r="L718">
        <v>160</v>
      </c>
      <c r="M718" s="13" t="s">
        <v>3366</v>
      </c>
    </row>
    <row r="719" spans="1:13" x14ac:dyDescent="0.35">
      <c r="A719" s="13" t="s">
        <v>4101</v>
      </c>
      <c r="B719" s="13" t="s">
        <v>1541</v>
      </c>
      <c r="C719" s="13" t="s">
        <v>1542</v>
      </c>
      <c r="D719" s="13" t="s">
        <v>92</v>
      </c>
      <c r="E719" s="13" t="s">
        <v>104</v>
      </c>
      <c r="F719" s="13" t="s">
        <v>57</v>
      </c>
      <c r="G719" s="14">
        <v>45850</v>
      </c>
      <c r="H719" s="14">
        <v>45862</v>
      </c>
      <c r="I719">
        <v>5903.68</v>
      </c>
      <c r="J719">
        <v>7817.88</v>
      </c>
      <c r="K719">
        <v>132.41999999999999</v>
      </c>
      <c r="L719">
        <v>160</v>
      </c>
      <c r="M719" s="13" t="s">
        <v>3366</v>
      </c>
    </row>
    <row r="720" spans="1:13" x14ac:dyDescent="0.35">
      <c r="A720" s="13" t="s">
        <v>4102</v>
      </c>
      <c r="B720" s="13" t="s">
        <v>1470</v>
      </c>
      <c r="C720" s="13" t="s">
        <v>1471</v>
      </c>
      <c r="D720" s="13" t="s">
        <v>67</v>
      </c>
      <c r="E720" s="13" t="s">
        <v>52</v>
      </c>
      <c r="F720" s="13" t="s">
        <v>87</v>
      </c>
      <c r="G720" s="14">
        <v>45847</v>
      </c>
      <c r="H720" s="14">
        <v>45863</v>
      </c>
      <c r="I720">
        <v>5369.47</v>
      </c>
      <c r="J720">
        <v>6982.38</v>
      </c>
      <c r="K720">
        <v>130.04</v>
      </c>
      <c r="L720">
        <v>159</v>
      </c>
      <c r="M720" s="13" t="s">
        <v>3366</v>
      </c>
    </row>
    <row r="721" spans="1:13" x14ac:dyDescent="0.35">
      <c r="A721" s="13" t="s">
        <v>4103</v>
      </c>
      <c r="B721" s="13" t="s">
        <v>418</v>
      </c>
      <c r="C721" s="13" t="s">
        <v>419</v>
      </c>
      <c r="D721" s="13" t="s">
        <v>67</v>
      </c>
      <c r="E721" s="13" t="s">
        <v>52</v>
      </c>
      <c r="F721" s="13" t="s">
        <v>87</v>
      </c>
      <c r="G721" s="14">
        <v>45854</v>
      </c>
      <c r="H721" s="14">
        <v>45863</v>
      </c>
      <c r="I721">
        <v>13959.03</v>
      </c>
      <c r="J721">
        <v>14805.13</v>
      </c>
      <c r="K721">
        <v>106.06</v>
      </c>
      <c r="L721">
        <v>159</v>
      </c>
      <c r="M721" s="13" t="s">
        <v>3366</v>
      </c>
    </row>
    <row r="722" spans="1:13" x14ac:dyDescent="0.35">
      <c r="A722" s="13" t="s">
        <v>4104</v>
      </c>
      <c r="B722" s="13" t="s">
        <v>290</v>
      </c>
      <c r="C722" s="13" t="s">
        <v>291</v>
      </c>
      <c r="D722" s="13" t="s">
        <v>92</v>
      </c>
      <c r="E722" s="13" t="s">
        <v>104</v>
      </c>
      <c r="F722" s="13" t="s">
        <v>122</v>
      </c>
      <c r="G722" s="14">
        <v>45847</v>
      </c>
      <c r="H722" s="14">
        <v>45863</v>
      </c>
      <c r="I722">
        <v>2180.81</v>
      </c>
      <c r="J722">
        <v>0</v>
      </c>
      <c r="K722">
        <v>0</v>
      </c>
      <c r="L722">
        <v>159</v>
      </c>
      <c r="M722" s="13" t="s">
        <v>3512</v>
      </c>
    </row>
    <row r="723" spans="1:13" x14ac:dyDescent="0.35">
      <c r="A723" s="13" t="s">
        <v>4105</v>
      </c>
      <c r="B723" s="13" t="s">
        <v>357</v>
      </c>
      <c r="C723" s="13" t="s">
        <v>358</v>
      </c>
      <c r="D723" s="13" t="s">
        <v>92</v>
      </c>
      <c r="E723" s="13" t="s">
        <v>104</v>
      </c>
      <c r="F723" s="13" t="s">
        <v>106</v>
      </c>
      <c r="G723" s="14">
        <v>45843</v>
      </c>
      <c r="H723" s="14">
        <v>45863</v>
      </c>
      <c r="I723">
        <v>2579.1799999999998</v>
      </c>
      <c r="J723">
        <v>0</v>
      </c>
      <c r="K723">
        <v>0</v>
      </c>
      <c r="L723">
        <v>159</v>
      </c>
      <c r="M723" s="13" t="s">
        <v>3512</v>
      </c>
    </row>
    <row r="724" spans="1:13" x14ac:dyDescent="0.35">
      <c r="A724" s="13" t="s">
        <v>4106</v>
      </c>
      <c r="B724" s="13" t="s">
        <v>296</v>
      </c>
      <c r="C724" s="13" t="s">
        <v>297</v>
      </c>
      <c r="D724" s="13" t="s">
        <v>92</v>
      </c>
      <c r="E724" s="13" t="s">
        <v>104</v>
      </c>
      <c r="F724" s="13" t="s">
        <v>106</v>
      </c>
      <c r="G724" s="14">
        <v>45851</v>
      </c>
      <c r="H724" s="14">
        <v>45863</v>
      </c>
      <c r="I724">
        <v>2590.94</v>
      </c>
      <c r="J724">
        <v>0</v>
      </c>
      <c r="K724">
        <v>0</v>
      </c>
      <c r="L724">
        <v>159</v>
      </c>
      <c r="M724" s="13" t="s">
        <v>3512</v>
      </c>
    </row>
    <row r="725" spans="1:13" x14ac:dyDescent="0.35">
      <c r="A725" s="13" t="s">
        <v>4107</v>
      </c>
      <c r="B725" s="13" t="s">
        <v>293</v>
      </c>
      <c r="C725" s="13" t="s">
        <v>294</v>
      </c>
      <c r="D725" s="13" t="s">
        <v>92</v>
      </c>
      <c r="E725" s="13" t="s">
        <v>104</v>
      </c>
      <c r="F725" s="13" t="s">
        <v>122</v>
      </c>
      <c r="G725" s="14">
        <v>45851</v>
      </c>
      <c r="H725" s="14">
        <v>45863</v>
      </c>
      <c r="I725">
        <v>5500.55</v>
      </c>
      <c r="J725">
        <v>0</v>
      </c>
      <c r="K725">
        <v>0</v>
      </c>
      <c r="L725">
        <v>159</v>
      </c>
      <c r="M725" s="13" t="s">
        <v>3512</v>
      </c>
    </row>
    <row r="726" spans="1:13" x14ac:dyDescent="0.35">
      <c r="A726" s="13" t="s">
        <v>4108</v>
      </c>
      <c r="B726" s="13" t="s">
        <v>2668</v>
      </c>
      <c r="C726" s="13" t="s">
        <v>2669</v>
      </c>
      <c r="D726" s="13" t="s">
        <v>55</v>
      </c>
      <c r="E726" s="13" t="s">
        <v>104</v>
      </c>
      <c r="F726" s="13" t="s">
        <v>122</v>
      </c>
      <c r="G726" s="14">
        <v>45853</v>
      </c>
      <c r="H726" s="14">
        <v>45864</v>
      </c>
      <c r="I726">
        <v>800.24</v>
      </c>
      <c r="J726">
        <v>805.56</v>
      </c>
      <c r="K726">
        <v>100.66</v>
      </c>
      <c r="L726">
        <v>158</v>
      </c>
      <c r="M726" s="13" t="s">
        <v>3366</v>
      </c>
    </row>
    <row r="727" spans="1:13" x14ac:dyDescent="0.35">
      <c r="A727" s="13" t="s">
        <v>4109</v>
      </c>
      <c r="B727" s="13" t="s">
        <v>920</v>
      </c>
      <c r="C727" s="13" t="s">
        <v>921</v>
      </c>
      <c r="D727" s="13" t="s">
        <v>92</v>
      </c>
      <c r="E727" s="13" t="s">
        <v>104</v>
      </c>
      <c r="F727" s="13" t="s">
        <v>122</v>
      </c>
      <c r="G727" s="14">
        <v>45852</v>
      </c>
      <c r="H727" s="14">
        <v>45864</v>
      </c>
      <c r="I727">
        <v>864.5</v>
      </c>
      <c r="J727">
        <v>940.11</v>
      </c>
      <c r="K727">
        <v>108.75</v>
      </c>
      <c r="L727">
        <v>158</v>
      </c>
      <c r="M727" s="13" t="s">
        <v>3366</v>
      </c>
    </row>
    <row r="728" spans="1:13" x14ac:dyDescent="0.35">
      <c r="A728" s="13" t="s">
        <v>4110</v>
      </c>
      <c r="B728" s="13" t="s">
        <v>340</v>
      </c>
      <c r="C728" s="13" t="s">
        <v>341</v>
      </c>
      <c r="D728" s="13" t="s">
        <v>92</v>
      </c>
      <c r="E728" s="13" t="s">
        <v>52</v>
      </c>
      <c r="F728" s="13" t="s">
        <v>57</v>
      </c>
      <c r="G728" s="14">
        <v>45859</v>
      </c>
      <c r="H728" s="14">
        <v>45864</v>
      </c>
      <c r="I728">
        <v>9933.0300000000007</v>
      </c>
      <c r="J728">
        <v>21635.31</v>
      </c>
      <c r="K728">
        <v>217.81</v>
      </c>
      <c r="L728">
        <v>158</v>
      </c>
      <c r="M728" s="13" t="s">
        <v>3366</v>
      </c>
    </row>
    <row r="729" spans="1:13" x14ac:dyDescent="0.35">
      <c r="A729" s="13" t="s">
        <v>4111</v>
      </c>
      <c r="B729" s="13" t="s">
        <v>340</v>
      </c>
      <c r="C729" s="13" t="s">
        <v>341</v>
      </c>
      <c r="D729" s="13" t="s">
        <v>92</v>
      </c>
      <c r="E729" s="13" t="s">
        <v>52</v>
      </c>
      <c r="F729" s="13" t="s">
        <v>57</v>
      </c>
      <c r="G729" s="14">
        <v>45863</v>
      </c>
      <c r="H729" s="14">
        <v>45865</v>
      </c>
      <c r="I729">
        <v>7154.29</v>
      </c>
      <c r="J729">
        <v>18204.04</v>
      </c>
      <c r="K729">
        <v>254.45</v>
      </c>
      <c r="L729">
        <v>157</v>
      </c>
      <c r="M729" s="13" t="s">
        <v>3366</v>
      </c>
    </row>
    <row r="730" spans="1:13" x14ac:dyDescent="0.35">
      <c r="A730" s="13" t="s">
        <v>4112</v>
      </c>
      <c r="B730" s="13" t="s">
        <v>280</v>
      </c>
      <c r="C730" s="13" t="s">
        <v>281</v>
      </c>
      <c r="D730" s="13" t="s">
        <v>92</v>
      </c>
      <c r="E730" s="13" t="s">
        <v>104</v>
      </c>
      <c r="F730" s="13" t="s">
        <v>122</v>
      </c>
      <c r="G730" s="14">
        <v>45841</v>
      </c>
      <c r="H730" s="14">
        <v>45865</v>
      </c>
      <c r="I730">
        <v>1351.25</v>
      </c>
      <c r="J730">
        <v>0</v>
      </c>
      <c r="K730">
        <v>0</v>
      </c>
      <c r="L730">
        <v>157</v>
      </c>
      <c r="M730" s="13" t="s">
        <v>3512</v>
      </c>
    </row>
    <row r="731" spans="1:13" x14ac:dyDescent="0.35">
      <c r="A731" s="13" t="s">
        <v>4113</v>
      </c>
      <c r="B731" s="13" t="s">
        <v>200</v>
      </c>
      <c r="C731" s="13" t="s">
        <v>201</v>
      </c>
      <c r="D731" s="13" t="s">
        <v>55</v>
      </c>
      <c r="E731" s="13" t="s">
        <v>104</v>
      </c>
      <c r="F731" s="13" t="s">
        <v>122</v>
      </c>
      <c r="G731" s="14">
        <v>45859</v>
      </c>
      <c r="H731" s="14">
        <v>45865</v>
      </c>
      <c r="I731">
        <v>833.35</v>
      </c>
      <c r="J731">
        <v>2246.84</v>
      </c>
      <c r="K731">
        <v>269.62</v>
      </c>
      <c r="L731">
        <v>157</v>
      </c>
      <c r="M731" s="13" t="s">
        <v>3366</v>
      </c>
    </row>
    <row r="732" spans="1:13" x14ac:dyDescent="0.35">
      <c r="A732" s="13" t="s">
        <v>4114</v>
      </c>
      <c r="B732" s="13" t="s">
        <v>293</v>
      </c>
      <c r="C732" s="13" t="s">
        <v>294</v>
      </c>
      <c r="D732" s="13" t="s">
        <v>92</v>
      </c>
      <c r="E732" s="13" t="s">
        <v>104</v>
      </c>
      <c r="F732" s="13" t="s">
        <v>122</v>
      </c>
      <c r="G732" s="14">
        <v>45845</v>
      </c>
      <c r="H732" s="14">
        <v>45865</v>
      </c>
      <c r="I732">
        <v>435.53</v>
      </c>
      <c r="J732">
        <v>0</v>
      </c>
      <c r="K732">
        <v>0</v>
      </c>
      <c r="L732">
        <v>157</v>
      </c>
      <c r="M732" s="13" t="s">
        <v>3512</v>
      </c>
    </row>
    <row r="733" spans="1:13" x14ac:dyDescent="0.35">
      <c r="A733" s="13" t="s">
        <v>4115</v>
      </c>
      <c r="B733" s="13" t="s">
        <v>379</v>
      </c>
      <c r="C733" s="13" t="s">
        <v>380</v>
      </c>
      <c r="D733" s="13" t="s">
        <v>92</v>
      </c>
      <c r="E733" s="13" t="s">
        <v>52</v>
      </c>
      <c r="F733" s="13" t="s">
        <v>57</v>
      </c>
      <c r="G733" s="14">
        <v>45860</v>
      </c>
      <c r="H733" s="14">
        <v>45866</v>
      </c>
      <c r="I733">
        <v>1798.31</v>
      </c>
      <c r="J733">
        <v>4070.89</v>
      </c>
      <c r="K733">
        <v>226.37</v>
      </c>
      <c r="L733">
        <v>156</v>
      </c>
      <c r="M733" s="13" t="s">
        <v>3366</v>
      </c>
    </row>
    <row r="734" spans="1:13" x14ac:dyDescent="0.35">
      <c r="A734" s="13" t="s">
        <v>4116</v>
      </c>
      <c r="B734" s="13" t="s">
        <v>296</v>
      </c>
      <c r="C734" s="13" t="s">
        <v>297</v>
      </c>
      <c r="D734" s="13" t="s">
        <v>92</v>
      </c>
      <c r="E734" s="13" t="s">
        <v>104</v>
      </c>
      <c r="F734" s="13" t="s">
        <v>106</v>
      </c>
      <c r="G734" s="14">
        <v>45853</v>
      </c>
      <c r="H734" s="14">
        <v>45866</v>
      </c>
      <c r="I734">
        <v>643.35</v>
      </c>
      <c r="J734">
        <v>0</v>
      </c>
      <c r="K734">
        <v>0</v>
      </c>
      <c r="L734">
        <v>156</v>
      </c>
      <c r="M734" s="13" t="s">
        <v>3512</v>
      </c>
    </row>
    <row r="735" spans="1:13" x14ac:dyDescent="0.35">
      <c r="A735" s="13" t="s">
        <v>4117</v>
      </c>
      <c r="B735" s="13" t="s">
        <v>695</v>
      </c>
      <c r="C735" s="13" t="s">
        <v>696</v>
      </c>
      <c r="D735" s="13" t="s">
        <v>92</v>
      </c>
      <c r="E735" s="13" t="s">
        <v>52</v>
      </c>
      <c r="F735" s="13" t="s">
        <v>57</v>
      </c>
      <c r="G735" s="14">
        <v>45856</v>
      </c>
      <c r="H735" s="14">
        <v>45866</v>
      </c>
      <c r="I735">
        <v>4042.11</v>
      </c>
      <c r="J735">
        <v>4189.7700000000004</v>
      </c>
      <c r="K735">
        <v>103.65</v>
      </c>
      <c r="L735">
        <v>156</v>
      </c>
      <c r="M735" s="13" t="s">
        <v>3366</v>
      </c>
    </row>
    <row r="736" spans="1:13" x14ac:dyDescent="0.35">
      <c r="A736" s="13" t="s">
        <v>4118</v>
      </c>
      <c r="B736" s="13" t="s">
        <v>1092</v>
      </c>
      <c r="C736" s="13" t="s">
        <v>1093</v>
      </c>
      <c r="D736" s="13" t="s">
        <v>55</v>
      </c>
      <c r="E736" s="13" t="s">
        <v>76</v>
      </c>
      <c r="F736" s="13" t="s">
        <v>94</v>
      </c>
      <c r="G736" s="14">
        <v>45862</v>
      </c>
      <c r="H736" s="14">
        <v>45866</v>
      </c>
      <c r="I736">
        <v>2864.9</v>
      </c>
      <c r="J736">
        <v>5003.2299999999996</v>
      </c>
      <c r="K736">
        <v>174.64</v>
      </c>
      <c r="L736">
        <v>156</v>
      </c>
      <c r="M736" s="13" t="s">
        <v>3366</v>
      </c>
    </row>
    <row r="737" spans="1:13" x14ac:dyDescent="0.35">
      <c r="A737" s="13" t="s">
        <v>4119</v>
      </c>
      <c r="B737" s="13" t="s">
        <v>250</v>
      </c>
      <c r="C737" s="13" t="s">
        <v>251</v>
      </c>
      <c r="D737" s="13" t="s">
        <v>55</v>
      </c>
      <c r="E737" s="13" t="s">
        <v>104</v>
      </c>
      <c r="F737" s="13" t="s">
        <v>106</v>
      </c>
      <c r="G737" s="14">
        <v>45864</v>
      </c>
      <c r="H737" s="14">
        <v>45866</v>
      </c>
      <c r="I737">
        <v>2634.13</v>
      </c>
      <c r="J737">
        <v>3859.05</v>
      </c>
      <c r="K737">
        <v>146.5</v>
      </c>
      <c r="L737">
        <v>156</v>
      </c>
      <c r="M737" s="13" t="s">
        <v>3366</v>
      </c>
    </row>
    <row r="738" spans="1:13" x14ac:dyDescent="0.35">
      <c r="A738" s="13" t="s">
        <v>4120</v>
      </c>
      <c r="B738" s="13" t="s">
        <v>1214</v>
      </c>
      <c r="C738" s="13" t="s">
        <v>1215</v>
      </c>
      <c r="D738" s="13" t="s">
        <v>92</v>
      </c>
      <c r="E738" s="13" t="s">
        <v>76</v>
      </c>
      <c r="F738" s="13" t="s">
        <v>80</v>
      </c>
      <c r="G738" s="14">
        <v>45854</v>
      </c>
      <c r="H738" s="14">
        <v>45866</v>
      </c>
      <c r="I738">
        <v>644.05999999999995</v>
      </c>
      <c r="J738">
        <v>697.89</v>
      </c>
      <c r="K738">
        <v>108.36</v>
      </c>
      <c r="L738">
        <v>156</v>
      </c>
      <c r="M738" s="13" t="s">
        <v>3366</v>
      </c>
    </row>
    <row r="739" spans="1:13" x14ac:dyDescent="0.35">
      <c r="A739" s="13" t="s">
        <v>4121</v>
      </c>
      <c r="B739" s="13" t="s">
        <v>197</v>
      </c>
      <c r="C739" s="13" t="s">
        <v>198</v>
      </c>
      <c r="D739" s="13" t="s">
        <v>67</v>
      </c>
      <c r="E739" s="13" t="s">
        <v>76</v>
      </c>
      <c r="F739" s="13" t="s">
        <v>80</v>
      </c>
      <c r="G739" s="14">
        <v>45854</v>
      </c>
      <c r="H739" s="14">
        <v>45866</v>
      </c>
      <c r="I739">
        <v>1748.36</v>
      </c>
      <c r="J739">
        <v>3437.21</v>
      </c>
      <c r="K739">
        <v>196.6</v>
      </c>
      <c r="L739">
        <v>156</v>
      </c>
      <c r="M739" s="13" t="s">
        <v>3366</v>
      </c>
    </row>
    <row r="740" spans="1:13" x14ac:dyDescent="0.35">
      <c r="A740" s="13" t="s">
        <v>4122</v>
      </c>
      <c r="B740" s="13" t="s">
        <v>442</v>
      </c>
      <c r="C740" s="13" t="s">
        <v>443</v>
      </c>
      <c r="D740" s="13" t="s">
        <v>92</v>
      </c>
      <c r="E740" s="13" t="s">
        <v>104</v>
      </c>
      <c r="F740" s="13" t="s">
        <v>122</v>
      </c>
      <c r="G740" s="14">
        <v>45858</v>
      </c>
      <c r="H740" s="14">
        <v>45867</v>
      </c>
      <c r="I740">
        <v>756.05</v>
      </c>
      <c r="J740">
        <v>5222.68</v>
      </c>
      <c r="K740">
        <v>690.79</v>
      </c>
      <c r="L740">
        <v>155</v>
      </c>
      <c r="M740" s="13" t="s">
        <v>3366</v>
      </c>
    </row>
    <row r="741" spans="1:13" x14ac:dyDescent="0.35">
      <c r="A741" s="13" t="s">
        <v>4123</v>
      </c>
      <c r="B741" s="13" t="s">
        <v>601</v>
      </c>
      <c r="C741" s="13" t="s">
        <v>602</v>
      </c>
      <c r="D741" s="13" t="s">
        <v>67</v>
      </c>
      <c r="E741" s="13" t="s">
        <v>52</v>
      </c>
      <c r="F741" s="13" t="s">
        <v>87</v>
      </c>
      <c r="G741" s="14">
        <v>45864</v>
      </c>
      <c r="H741" s="14">
        <v>45867</v>
      </c>
      <c r="I741">
        <v>13626.69</v>
      </c>
      <c r="J741">
        <v>29894.45</v>
      </c>
      <c r="K741">
        <v>219.38</v>
      </c>
      <c r="L741">
        <v>155</v>
      </c>
      <c r="M741" s="13" t="s">
        <v>3366</v>
      </c>
    </row>
    <row r="742" spans="1:13" x14ac:dyDescent="0.35">
      <c r="A742" s="13" t="s">
        <v>4124</v>
      </c>
      <c r="B742" s="13" t="s">
        <v>357</v>
      </c>
      <c r="C742" s="13" t="s">
        <v>358</v>
      </c>
      <c r="D742" s="13" t="s">
        <v>92</v>
      </c>
      <c r="E742" s="13" t="s">
        <v>104</v>
      </c>
      <c r="F742" s="13" t="s">
        <v>106</v>
      </c>
      <c r="G742" s="14">
        <v>45858</v>
      </c>
      <c r="H742" s="14">
        <v>45867</v>
      </c>
      <c r="I742">
        <v>944.09</v>
      </c>
      <c r="J742">
        <v>0</v>
      </c>
      <c r="K742">
        <v>0</v>
      </c>
      <c r="L742">
        <v>155</v>
      </c>
      <c r="M742" s="13" t="s">
        <v>3512</v>
      </c>
    </row>
    <row r="743" spans="1:13" x14ac:dyDescent="0.35">
      <c r="A743" s="13" t="s">
        <v>4125</v>
      </c>
      <c r="B743" s="13" t="s">
        <v>296</v>
      </c>
      <c r="C743" s="13" t="s">
        <v>297</v>
      </c>
      <c r="D743" s="13" t="s">
        <v>92</v>
      </c>
      <c r="E743" s="13" t="s">
        <v>104</v>
      </c>
      <c r="F743" s="13" t="s">
        <v>106</v>
      </c>
      <c r="G743" s="14">
        <v>45852</v>
      </c>
      <c r="H743" s="14">
        <v>45869</v>
      </c>
      <c r="I743">
        <v>6960.59</v>
      </c>
      <c r="J743">
        <v>0</v>
      </c>
      <c r="K743">
        <v>0</v>
      </c>
      <c r="L743">
        <v>153</v>
      </c>
      <c r="M743" s="13" t="s">
        <v>3512</v>
      </c>
    </row>
    <row r="744" spans="1:13" x14ac:dyDescent="0.35">
      <c r="A744" s="13" t="s">
        <v>4126</v>
      </c>
      <c r="B744" s="13" t="s">
        <v>144</v>
      </c>
      <c r="C744" s="13" t="s">
        <v>145</v>
      </c>
      <c r="D744" s="13" t="s">
        <v>55</v>
      </c>
      <c r="E744" s="13" t="s">
        <v>52</v>
      </c>
      <c r="F744" s="13" t="s">
        <v>57</v>
      </c>
      <c r="G744" s="14">
        <v>45857</v>
      </c>
      <c r="H744" s="14">
        <v>45869</v>
      </c>
      <c r="I744">
        <v>4603.58</v>
      </c>
      <c r="J744">
        <v>6451.43</v>
      </c>
      <c r="K744">
        <v>140.13999999999999</v>
      </c>
      <c r="L744">
        <v>153</v>
      </c>
      <c r="M744" s="13" t="s">
        <v>3366</v>
      </c>
    </row>
    <row r="745" spans="1:13" x14ac:dyDescent="0.35">
      <c r="A745" s="13" t="s">
        <v>4127</v>
      </c>
      <c r="B745" s="13" t="s">
        <v>250</v>
      </c>
      <c r="C745" s="13" t="s">
        <v>251</v>
      </c>
      <c r="D745" s="13" t="s">
        <v>55</v>
      </c>
      <c r="E745" s="13" t="s">
        <v>104</v>
      </c>
      <c r="F745" s="13" t="s">
        <v>106</v>
      </c>
      <c r="G745" s="14">
        <v>45846</v>
      </c>
      <c r="H745" s="14">
        <v>45869</v>
      </c>
      <c r="I745">
        <v>780.34</v>
      </c>
      <c r="J745">
        <v>2773.88</v>
      </c>
      <c r="K745">
        <v>355.47</v>
      </c>
      <c r="L745">
        <v>153</v>
      </c>
      <c r="M745" s="13" t="s">
        <v>3366</v>
      </c>
    </row>
    <row r="746" spans="1:13" x14ac:dyDescent="0.35">
      <c r="A746" s="13" t="s">
        <v>4128</v>
      </c>
      <c r="B746" s="13" t="s">
        <v>2138</v>
      </c>
      <c r="C746" s="13" t="s">
        <v>2139</v>
      </c>
      <c r="D746" s="13" t="s">
        <v>55</v>
      </c>
      <c r="E746" s="13" t="s">
        <v>76</v>
      </c>
      <c r="F746" s="13" t="s">
        <v>80</v>
      </c>
      <c r="G746" s="14">
        <v>45862</v>
      </c>
      <c r="H746" s="14">
        <v>45869</v>
      </c>
      <c r="I746">
        <v>2256.6</v>
      </c>
      <c r="J746">
        <v>2268.2600000000002</v>
      </c>
      <c r="K746">
        <v>100.52</v>
      </c>
      <c r="L746">
        <v>153</v>
      </c>
      <c r="M746" s="13" t="s">
        <v>3366</v>
      </c>
    </row>
    <row r="747" spans="1:13" x14ac:dyDescent="0.35">
      <c r="A747" s="13" t="s">
        <v>4129</v>
      </c>
      <c r="B747" s="13" t="s">
        <v>244</v>
      </c>
      <c r="C747" s="13" t="s">
        <v>245</v>
      </c>
      <c r="D747" s="13" t="s">
        <v>55</v>
      </c>
      <c r="E747" s="13" t="s">
        <v>52</v>
      </c>
      <c r="F747" s="13" t="s">
        <v>87</v>
      </c>
      <c r="G747" s="14">
        <v>45860</v>
      </c>
      <c r="H747" s="14">
        <v>45869</v>
      </c>
      <c r="I747">
        <v>4273.2</v>
      </c>
      <c r="J747">
        <v>6034.59</v>
      </c>
      <c r="K747">
        <v>141.22</v>
      </c>
      <c r="L747">
        <v>153</v>
      </c>
      <c r="M747" s="13" t="s">
        <v>3366</v>
      </c>
    </row>
    <row r="748" spans="1:13" x14ac:dyDescent="0.35">
      <c r="A748" s="13" t="s">
        <v>4130</v>
      </c>
      <c r="B748" s="13" t="s">
        <v>1247</v>
      </c>
      <c r="C748" s="13" t="s">
        <v>1248</v>
      </c>
      <c r="D748" s="13" t="s">
        <v>55</v>
      </c>
      <c r="E748" s="13" t="s">
        <v>52</v>
      </c>
      <c r="F748" s="13" t="s">
        <v>57</v>
      </c>
      <c r="G748" s="14">
        <v>45862</v>
      </c>
      <c r="H748" s="14">
        <v>45869</v>
      </c>
      <c r="I748">
        <v>6804.86</v>
      </c>
      <c r="J748">
        <v>26437.7</v>
      </c>
      <c r="K748">
        <v>388.51</v>
      </c>
      <c r="L748">
        <v>153</v>
      </c>
      <c r="M748" s="13" t="s">
        <v>3366</v>
      </c>
    </row>
    <row r="749" spans="1:13" x14ac:dyDescent="0.35">
      <c r="A749" s="13" t="s">
        <v>4131</v>
      </c>
      <c r="B749" s="13" t="s">
        <v>1703</v>
      </c>
      <c r="C749" s="13" t="s">
        <v>1704</v>
      </c>
      <c r="D749" s="13" t="s">
        <v>55</v>
      </c>
      <c r="E749" s="13" t="s">
        <v>76</v>
      </c>
      <c r="F749" s="13" t="s">
        <v>94</v>
      </c>
      <c r="G749" s="14">
        <v>45860</v>
      </c>
      <c r="H749" s="14">
        <v>45870</v>
      </c>
      <c r="I749">
        <v>1693.17</v>
      </c>
      <c r="J749">
        <v>1743.69</v>
      </c>
      <c r="K749">
        <v>102.98</v>
      </c>
      <c r="L749">
        <v>152</v>
      </c>
      <c r="M749" s="13" t="s">
        <v>3366</v>
      </c>
    </row>
    <row r="750" spans="1:13" x14ac:dyDescent="0.35">
      <c r="A750" s="13" t="s">
        <v>4132</v>
      </c>
      <c r="B750" s="13" t="s">
        <v>1081</v>
      </c>
      <c r="C750" s="13" t="s">
        <v>1082</v>
      </c>
      <c r="D750" s="13" t="s">
        <v>55</v>
      </c>
      <c r="E750" s="13" t="s">
        <v>104</v>
      </c>
      <c r="F750" s="13" t="s">
        <v>106</v>
      </c>
      <c r="G750" s="14">
        <v>45864</v>
      </c>
      <c r="H750" s="14">
        <v>45870</v>
      </c>
      <c r="I750">
        <v>733.77</v>
      </c>
      <c r="J750">
        <v>800.46</v>
      </c>
      <c r="K750">
        <v>109.09</v>
      </c>
      <c r="L750">
        <v>152</v>
      </c>
      <c r="M750" s="13" t="s">
        <v>3366</v>
      </c>
    </row>
    <row r="751" spans="1:13" x14ac:dyDescent="0.35">
      <c r="A751" s="13" t="s">
        <v>4133</v>
      </c>
      <c r="B751" s="13" t="s">
        <v>2312</v>
      </c>
      <c r="C751" s="13" t="s">
        <v>2313</v>
      </c>
      <c r="D751" s="13" t="s">
        <v>67</v>
      </c>
      <c r="E751" s="13" t="s">
        <v>76</v>
      </c>
      <c r="F751" s="13" t="s">
        <v>80</v>
      </c>
      <c r="G751" s="14">
        <v>45863</v>
      </c>
      <c r="H751" s="14">
        <v>45870</v>
      </c>
      <c r="I751">
        <v>3658.81</v>
      </c>
      <c r="J751">
        <v>6036.63</v>
      </c>
      <c r="K751">
        <v>164.99</v>
      </c>
      <c r="L751">
        <v>152</v>
      </c>
      <c r="M751" s="13" t="s">
        <v>3366</v>
      </c>
    </row>
    <row r="752" spans="1:13" x14ac:dyDescent="0.35">
      <c r="A752" s="13" t="s">
        <v>4134</v>
      </c>
      <c r="B752" s="13" t="s">
        <v>1397</v>
      </c>
      <c r="C752" s="13" t="s">
        <v>1398</v>
      </c>
      <c r="D752" s="13" t="s">
        <v>55</v>
      </c>
      <c r="E752" s="13" t="s">
        <v>76</v>
      </c>
      <c r="F752" s="13" t="s">
        <v>80</v>
      </c>
      <c r="G752" s="14">
        <v>45866</v>
      </c>
      <c r="H752" s="14">
        <v>45870</v>
      </c>
      <c r="I752">
        <v>2498.1799999999998</v>
      </c>
      <c r="J752">
        <v>4938.24</v>
      </c>
      <c r="K752">
        <v>197.67</v>
      </c>
      <c r="L752">
        <v>152</v>
      </c>
      <c r="M752" s="13" t="s">
        <v>3366</v>
      </c>
    </row>
    <row r="753" spans="1:13" x14ac:dyDescent="0.35">
      <c r="A753" s="13" t="s">
        <v>4135</v>
      </c>
      <c r="B753" s="13" t="s">
        <v>625</v>
      </c>
      <c r="C753" s="13" t="s">
        <v>626</v>
      </c>
      <c r="D753" s="13" t="s">
        <v>67</v>
      </c>
      <c r="E753" s="13" t="s">
        <v>104</v>
      </c>
      <c r="F753" s="13" t="s">
        <v>106</v>
      </c>
      <c r="G753" s="14">
        <v>45863</v>
      </c>
      <c r="H753" s="14">
        <v>45870</v>
      </c>
      <c r="I753">
        <v>1495.98</v>
      </c>
      <c r="J753">
        <v>1528.86</v>
      </c>
      <c r="K753">
        <v>102.2</v>
      </c>
      <c r="L753">
        <v>152</v>
      </c>
      <c r="M753" s="13" t="s">
        <v>3366</v>
      </c>
    </row>
    <row r="754" spans="1:13" x14ac:dyDescent="0.35">
      <c r="A754" s="13" t="s">
        <v>4136</v>
      </c>
      <c r="B754" s="13" t="s">
        <v>340</v>
      </c>
      <c r="C754" s="13" t="s">
        <v>341</v>
      </c>
      <c r="D754" s="13" t="s">
        <v>92</v>
      </c>
      <c r="E754" s="13" t="s">
        <v>52</v>
      </c>
      <c r="F754" s="13" t="s">
        <v>57</v>
      </c>
      <c r="G754" s="14">
        <v>45862</v>
      </c>
      <c r="H754" s="14">
        <v>45871</v>
      </c>
      <c r="I754">
        <v>5105.5200000000004</v>
      </c>
      <c r="J754">
        <v>8545.27</v>
      </c>
      <c r="K754">
        <v>167.37</v>
      </c>
      <c r="L754">
        <v>151</v>
      </c>
      <c r="M754" s="13" t="s">
        <v>3366</v>
      </c>
    </row>
    <row r="755" spans="1:13" x14ac:dyDescent="0.35">
      <c r="A755" s="13" t="s">
        <v>4137</v>
      </c>
      <c r="B755" s="13" t="s">
        <v>1490</v>
      </c>
      <c r="C755" s="13" t="s">
        <v>1491</v>
      </c>
      <c r="D755" s="13" t="s">
        <v>55</v>
      </c>
      <c r="E755" s="13" t="s">
        <v>104</v>
      </c>
      <c r="F755" s="13" t="s">
        <v>106</v>
      </c>
      <c r="G755" s="14">
        <v>45864</v>
      </c>
      <c r="H755" s="14">
        <v>45871</v>
      </c>
      <c r="I755">
        <v>6115.63</v>
      </c>
      <c r="J755">
        <v>6500.94</v>
      </c>
      <c r="K755">
        <v>106.3</v>
      </c>
      <c r="L755">
        <v>151</v>
      </c>
      <c r="M755" s="13" t="s">
        <v>3366</v>
      </c>
    </row>
    <row r="756" spans="1:13" x14ac:dyDescent="0.35">
      <c r="A756" s="13" t="s">
        <v>4138</v>
      </c>
      <c r="B756" s="13" t="s">
        <v>283</v>
      </c>
      <c r="C756" s="13" t="s">
        <v>284</v>
      </c>
      <c r="D756" s="13" t="s">
        <v>92</v>
      </c>
      <c r="E756" s="13" t="s">
        <v>104</v>
      </c>
      <c r="F756" s="13" t="s">
        <v>106</v>
      </c>
      <c r="G756" s="14">
        <v>45857</v>
      </c>
      <c r="H756" s="14">
        <v>45871</v>
      </c>
      <c r="I756">
        <v>1042.3699999999999</v>
      </c>
      <c r="J756">
        <v>0</v>
      </c>
      <c r="K756">
        <v>0</v>
      </c>
      <c r="L756">
        <v>151</v>
      </c>
      <c r="M756" s="13" t="s">
        <v>3512</v>
      </c>
    </row>
    <row r="757" spans="1:13" x14ac:dyDescent="0.35">
      <c r="A757" s="13" t="s">
        <v>4139</v>
      </c>
      <c r="B757" s="13" t="s">
        <v>2312</v>
      </c>
      <c r="C757" s="13" t="s">
        <v>2313</v>
      </c>
      <c r="D757" s="13" t="s">
        <v>67</v>
      </c>
      <c r="E757" s="13" t="s">
        <v>76</v>
      </c>
      <c r="F757" s="13" t="s">
        <v>80</v>
      </c>
      <c r="G757" s="14">
        <v>45867</v>
      </c>
      <c r="H757" s="14">
        <v>45871</v>
      </c>
      <c r="I757">
        <v>2040.83</v>
      </c>
      <c r="J757">
        <v>6036.63</v>
      </c>
      <c r="K757">
        <v>295.79000000000002</v>
      </c>
      <c r="L757">
        <v>151</v>
      </c>
      <c r="M757" s="13" t="s">
        <v>3366</v>
      </c>
    </row>
    <row r="758" spans="1:13" x14ac:dyDescent="0.35">
      <c r="A758" s="13" t="s">
        <v>4140</v>
      </c>
      <c r="B758" s="13" t="s">
        <v>216</v>
      </c>
      <c r="C758" s="13" t="s">
        <v>217</v>
      </c>
      <c r="D758" s="13" t="s">
        <v>67</v>
      </c>
      <c r="E758" s="13" t="s">
        <v>52</v>
      </c>
      <c r="F758" s="13" t="s">
        <v>87</v>
      </c>
      <c r="G758" s="14">
        <v>45864</v>
      </c>
      <c r="H758" s="14">
        <v>45871</v>
      </c>
      <c r="I758">
        <v>3557.04</v>
      </c>
      <c r="J758">
        <v>7691.57</v>
      </c>
      <c r="K758">
        <v>216.24</v>
      </c>
      <c r="L758">
        <v>151</v>
      </c>
      <c r="M758" s="13" t="s">
        <v>3366</v>
      </c>
    </row>
    <row r="759" spans="1:13" x14ac:dyDescent="0.35">
      <c r="A759" s="13" t="s">
        <v>4141</v>
      </c>
      <c r="B759" s="13" t="s">
        <v>2012</v>
      </c>
      <c r="C759" s="13" t="s">
        <v>2013</v>
      </c>
      <c r="D759" s="13" t="s">
        <v>92</v>
      </c>
      <c r="E759" s="13" t="s">
        <v>104</v>
      </c>
      <c r="F759" s="13" t="s">
        <v>122</v>
      </c>
      <c r="G759" s="14">
        <v>45861</v>
      </c>
      <c r="H759" s="14">
        <v>45871</v>
      </c>
      <c r="I759">
        <v>3268.23</v>
      </c>
      <c r="J759">
        <v>3368.13</v>
      </c>
      <c r="K759">
        <v>103.06</v>
      </c>
      <c r="L759">
        <v>151</v>
      </c>
      <c r="M759" s="13" t="s">
        <v>3366</v>
      </c>
    </row>
    <row r="760" spans="1:13" x14ac:dyDescent="0.35">
      <c r="A760" s="13" t="s">
        <v>4142</v>
      </c>
      <c r="B760" s="13" t="s">
        <v>3148</v>
      </c>
      <c r="C760" s="13" t="s">
        <v>3149</v>
      </c>
      <c r="D760" s="13" t="s">
        <v>67</v>
      </c>
      <c r="E760" s="13" t="s">
        <v>76</v>
      </c>
      <c r="F760" s="13" t="s">
        <v>94</v>
      </c>
      <c r="G760" s="14">
        <v>45860</v>
      </c>
      <c r="H760" s="14">
        <v>45871</v>
      </c>
      <c r="I760">
        <v>562.83000000000004</v>
      </c>
      <c r="J760">
        <v>6303.79</v>
      </c>
      <c r="K760">
        <v>1120.02</v>
      </c>
      <c r="L760">
        <v>151</v>
      </c>
      <c r="M760" s="13" t="s">
        <v>3366</v>
      </c>
    </row>
    <row r="761" spans="1:13" x14ac:dyDescent="0.35">
      <c r="A761" s="13" t="s">
        <v>4143</v>
      </c>
      <c r="B761" s="13" t="s">
        <v>267</v>
      </c>
      <c r="C761" s="13" t="s">
        <v>268</v>
      </c>
      <c r="D761" s="13" t="s">
        <v>67</v>
      </c>
      <c r="E761" s="13" t="s">
        <v>52</v>
      </c>
      <c r="F761" s="13" t="s">
        <v>87</v>
      </c>
      <c r="G761" s="14">
        <v>45866</v>
      </c>
      <c r="H761" s="14">
        <v>45872</v>
      </c>
      <c r="I761">
        <v>9037.1299999999992</v>
      </c>
      <c r="J761">
        <v>11050.21</v>
      </c>
      <c r="K761">
        <v>122.28</v>
      </c>
      <c r="L761">
        <v>150</v>
      </c>
      <c r="M761" s="13" t="s">
        <v>3366</v>
      </c>
    </row>
    <row r="762" spans="1:13" x14ac:dyDescent="0.35">
      <c r="A762" s="13" t="s">
        <v>4144</v>
      </c>
      <c r="B762" s="13" t="s">
        <v>1467</v>
      </c>
      <c r="C762" s="13" t="s">
        <v>1468</v>
      </c>
      <c r="D762" s="13" t="s">
        <v>55</v>
      </c>
      <c r="E762" s="13" t="s">
        <v>104</v>
      </c>
      <c r="F762" s="13" t="s">
        <v>122</v>
      </c>
      <c r="G762" s="14">
        <v>45864</v>
      </c>
      <c r="H762" s="14">
        <v>45872</v>
      </c>
      <c r="I762">
        <v>998.89</v>
      </c>
      <c r="J762">
        <v>1085.9100000000001</v>
      </c>
      <c r="K762">
        <v>108.71</v>
      </c>
      <c r="L762">
        <v>150</v>
      </c>
      <c r="M762" s="13" t="s">
        <v>3366</v>
      </c>
    </row>
    <row r="763" spans="1:13" x14ac:dyDescent="0.35">
      <c r="A763" s="13" t="s">
        <v>4145</v>
      </c>
      <c r="B763" s="13" t="s">
        <v>920</v>
      </c>
      <c r="C763" s="13" t="s">
        <v>921</v>
      </c>
      <c r="D763" s="13" t="s">
        <v>92</v>
      </c>
      <c r="E763" s="13" t="s">
        <v>104</v>
      </c>
      <c r="F763" s="13" t="s">
        <v>122</v>
      </c>
      <c r="G763" s="14">
        <v>45861</v>
      </c>
      <c r="H763" s="14">
        <v>45872</v>
      </c>
      <c r="I763">
        <v>5315.6</v>
      </c>
      <c r="J763">
        <v>5621.45</v>
      </c>
      <c r="K763">
        <v>105.75</v>
      </c>
      <c r="L763">
        <v>150</v>
      </c>
      <c r="M763" s="13" t="s">
        <v>3366</v>
      </c>
    </row>
    <row r="764" spans="1:13" x14ac:dyDescent="0.35">
      <c r="A764" s="13" t="s">
        <v>4146</v>
      </c>
      <c r="B764" s="13" t="s">
        <v>283</v>
      </c>
      <c r="C764" s="13" t="s">
        <v>284</v>
      </c>
      <c r="D764" s="13" t="s">
        <v>92</v>
      </c>
      <c r="E764" s="13" t="s">
        <v>104</v>
      </c>
      <c r="F764" s="13" t="s">
        <v>106</v>
      </c>
      <c r="G764" s="14">
        <v>45849</v>
      </c>
      <c r="H764" s="14">
        <v>45872</v>
      </c>
      <c r="I764">
        <v>5755.96</v>
      </c>
      <c r="J764">
        <v>0</v>
      </c>
      <c r="K764">
        <v>0</v>
      </c>
      <c r="L764">
        <v>150</v>
      </c>
      <c r="M764" s="13" t="s">
        <v>3512</v>
      </c>
    </row>
    <row r="765" spans="1:13" x14ac:dyDescent="0.35">
      <c r="A765" s="13" t="s">
        <v>4147</v>
      </c>
      <c r="B765" s="13" t="s">
        <v>1665</v>
      </c>
      <c r="C765" s="13" t="s">
        <v>1666</v>
      </c>
      <c r="D765" s="13" t="s">
        <v>55</v>
      </c>
      <c r="E765" s="13" t="s">
        <v>76</v>
      </c>
      <c r="F765" s="13" t="s">
        <v>94</v>
      </c>
      <c r="G765" s="14">
        <v>45868</v>
      </c>
      <c r="H765" s="14">
        <v>45872</v>
      </c>
      <c r="I765">
        <v>3782.67</v>
      </c>
      <c r="J765">
        <v>3956.06</v>
      </c>
      <c r="K765">
        <v>104.58</v>
      </c>
      <c r="L765">
        <v>150</v>
      </c>
      <c r="M765" s="13" t="s">
        <v>3366</v>
      </c>
    </row>
    <row r="766" spans="1:13" x14ac:dyDescent="0.35">
      <c r="A766" s="13" t="s">
        <v>4148</v>
      </c>
      <c r="B766" s="13" t="s">
        <v>300</v>
      </c>
      <c r="C766" s="13" t="s">
        <v>301</v>
      </c>
      <c r="D766" s="13" t="s">
        <v>92</v>
      </c>
      <c r="E766" s="13" t="s">
        <v>104</v>
      </c>
      <c r="F766" s="13" t="s">
        <v>106</v>
      </c>
      <c r="G766" s="14">
        <v>45862</v>
      </c>
      <c r="H766" s="14">
        <v>45872</v>
      </c>
      <c r="I766">
        <v>1498.09</v>
      </c>
      <c r="J766">
        <v>0</v>
      </c>
      <c r="K766">
        <v>0</v>
      </c>
      <c r="L766">
        <v>150</v>
      </c>
      <c r="M766" s="13" t="s">
        <v>3512</v>
      </c>
    </row>
    <row r="767" spans="1:13" x14ac:dyDescent="0.35">
      <c r="A767" s="13" t="s">
        <v>4149</v>
      </c>
      <c r="B767" s="13" t="s">
        <v>2776</v>
      </c>
      <c r="C767" s="13" t="s">
        <v>2777</v>
      </c>
      <c r="D767" s="13" t="s">
        <v>55</v>
      </c>
      <c r="E767" s="13" t="s">
        <v>76</v>
      </c>
      <c r="F767" s="13" t="s">
        <v>94</v>
      </c>
      <c r="G767" s="14">
        <v>45868</v>
      </c>
      <c r="H767" s="14">
        <v>45873</v>
      </c>
      <c r="I767">
        <v>495.38</v>
      </c>
      <c r="J767">
        <v>535.69000000000005</v>
      </c>
      <c r="K767">
        <v>108.14</v>
      </c>
      <c r="L767">
        <v>149</v>
      </c>
      <c r="M767" s="13" t="s">
        <v>3366</v>
      </c>
    </row>
    <row r="768" spans="1:13" x14ac:dyDescent="0.35">
      <c r="A768" s="13" t="s">
        <v>4150</v>
      </c>
      <c r="B768" s="13" t="s">
        <v>1444</v>
      </c>
      <c r="C768" s="13" t="s">
        <v>1445</v>
      </c>
      <c r="D768" s="13" t="s">
        <v>55</v>
      </c>
      <c r="E768" s="13" t="s">
        <v>104</v>
      </c>
      <c r="F768" s="13" t="s">
        <v>106</v>
      </c>
      <c r="G768" s="14">
        <v>45864</v>
      </c>
      <c r="H768" s="14">
        <v>45873</v>
      </c>
      <c r="I768">
        <v>6790.98</v>
      </c>
      <c r="J768">
        <v>7428.83</v>
      </c>
      <c r="K768">
        <v>109.39</v>
      </c>
      <c r="L768">
        <v>149</v>
      </c>
      <c r="M768" s="13" t="s">
        <v>3366</v>
      </c>
    </row>
    <row r="769" spans="1:13" x14ac:dyDescent="0.35">
      <c r="A769" s="13" t="s">
        <v>4151</v>
      </c>
      <c r="B769" s="13" t="s">
        <v>1102</v>
      </c>
      <c r="C769" s="13" t="s">
        <v>1103</v>
      </c>
      <c r="D769" s="13" t="s">
        <v>67</v>
      </c>
      <c r="E769" s="13" t="s">
        <v>52</v>
      </c>
      <c r="F769" s="13" t="s">
        <v>87</v>
      </c>
      <c r="G769" s="14">
        <v>45867</v>
      </c>
      <c r="H769" s="14">
        <v>45873</v>
      </c>
      <c r="I769">
        <v>4933.7</v>
      </c>
      <c r="J769">
        <v>5080.3500000000004</v>
      </c>
      <c r="K769">
        <v>102.97</v>
      </c>
      <c r="L769">
        <v>149</v>
      </c>
      <c r="M769" s="13" t="s">
        <v>3366</v>
      </c>
    </row>
    <row r="770" spans="1:13" x14ac:dyDescent="0.35">
      <c r="A770" s="13" t="s">
        <v>4152</v>
      </c>
      <c r="B770" s="13" t="s">
        <v>1227</v>
      </c>
      <c r="C770" s="13" t="s">
        <v>1228</v>
      </c>
      <c r="D770" s="13" t="s">
        <v>55</v>
      </c>
      <c r="E770" s="13" t="s">
        <v>76</v>
      </c>
      <c r="F770" s="13" t="s">
        <v>94</v>
      </c>
      <c r="G770" s="14">
        <v>45861</v>
      </c>
      <c r="H770" s="14">
        <v>45873</v>
      </c>
      <c r="I770">
        <v>3207.16</v>
      </c>
      <c r="J770">
        <v>3426.15</v>
      </c>
      <c r="K770">
        <v>106.83</v>
      </c>
      <c r="L770">
        <v>149</v>
      </c>
      <c r="M770" s="13" t="s">
        <v>3366</v>
      </c>
    </row>
    <row r="771" spans="1:13" x14ac:dyDescent="0.35">
      <c r="A771" s="13" t="s">
        <v>4153</v>
      </c>
      <c r="B771" s="13" t="s">
        <v>1430</v>
      </c>
      <c r="C771" s="13" t="s">
        <v>1431</v>
      </c>
      <c r="D771" s="13" t="s">
        <v>55</v>
      </c>
      <c r="E771" s="13" t="s">
        <v>76</v>
      </c>
      <c r="F771" s="13" t="s">
        <v>94</v>
      </c>
      <c r="G771" s="14">
        <v>45867</v>
      </c>
      <c r="H771" s="14">
        <v>45873</v>
      </c>
      <c r="I771">
        <v>3613.74</v>
      </c>
      <c r="J771">
        <v>3822.5</v>
      </c>
      <c r="K771">
        <v>105.78</v>
      </c>
      <c r="L771">
        <v>149</v>
      </c>
      <c r="M771" s="13" t="s">
        <v>3366</v>
      </c>
    </row>
    <row r="772" spans="1:13" x14ac:dyDescent="0.35">
      <c r="A772" s="13" t="s">
        <v>4154</v>
      </c>
      <c r="B772" s="13" t="s">
        <v>286</v>
      </c>
      <c r="C772" s="13" t="s">
        <v>287</v>
      </c>
      <c r="D772" s="13" t="s">
        <v>92</v>
      </c>
      <c r="E772" s="13" t="s">
        <v>104</v>
      </c>
      <c r="F772" s="13" t="s">
        <v>87</v>
      </c>
      <c r="G772" s="14">
        <v>45851</v>
      </c>
      <c r="H772" s="14">
        <v>45873</v>
      </c>
      <c r="I772">
        <v>4024</v>
      </c>
      <c r="J772">
        <v>0</v>
      </c>
      <c r="K772">
        <v>0</v>
      </c>
      <c r="L772">
        <v>149</v>
      </c>
      <c r="M772" s="13" t="s">
        <v>3512</v>
      </c>
    </row>
    <row r="773" spans="1:13" x14ac:dyDescent="0.35">
      <c r="A773" s="13" t="s">
        <v>4155</v>
      </c>
      <c r="B773" s="13" t="s">
        <v>197</v>
      </c>
      <c r="C773" s="13" t="s">
        <v>198</v>
      </c>
      <c r="D773" s="13" t="s">
        <v>67</v>
      </c>
      <c r="E773" s="13" t="s">
        <v>76</v>
      </c>
      <c r="F773" s="13" t="s">
        <v>80</v>
      </c>
      <c r="G773" s="14">
        <v>45865</v>
      </c>
      <c r="H773" s="14">
        <v>45873</v>
      </c>
      <c r="I773">
        <v>2911.15</v>
      </c>
      <c r="J773">
        <v>3570.74</v>
      </c>
      <c r="K773">
        <v>122.66</v>
      </c>
      <c r="L773">
        <v>149</v>
      </c>
      <c r="M773" s="13" t="s">
        <v>3366</v>
      </c>
    </row>
    <row r="774" spans="1:13" x14ac:dyDescent="0.35">
      <c r="A774" s="13" t="s">
        <v>4156</v>
      </c>
      <c r="B774" s="13" t="s">
        <v>1276</v>
      </c>
      <c r="C774" s="13" t="s">
        <v>1277</v>
      </c>
      <c r="D774" s="13" t="s">
        <v>67</v>
      </c>
      <c r="E774" s="13" t="s">
        <v>104</v>
      </c>
      <c r="F774" s="13" t="s">
        <v>106</v>
      </c>
      <c r="G774" s="14">
        <v>45864</v>
      </c>
      <c r="H774" s="14">
        <v>45873</v>
      </c>
      <c r="I774">
        <v>999.59</v>
      </c>
      <c r="J774">
        <v>1088.54</v>
      </c>
      <c r="K774">
        <v>108.9</v>
      </c>
      <c r="L774">
        <v>149</v>
      </c>
      <c r="M774" s="13" t="s">
        <v>3366</v>
      </c>
    </row>
    <row r="775" spans="1:13" x14ac:dyDescent="0.35">
      <c r="A775" s="13" t="s">
        <v>4157</v>
      </c>
      <c r="B775" s="13" t="s">
        <v>280</v>
      </c>
      <c r="C775" s="13" t="s">
        <v>281</v>
      </c>
      <c r="D775" s="13" t="s">
        <v>92</v>
      </c>
      <c r="E775" s="13" t="s">
        <v>104</v>
      </c>
      <c r="F775" s="13" t="s">
        <v>122</v>
      </c>
      <c r="G775" s="14">
        <v>45855</v>
      </c>
      <c r="H775" s="14">
        <v>45873</v>
      </c>
      <c r="I775">
        <v>1022.37</v>
      </c>
      <c r="J775">
        <v>0</v>
      </c>
      <c r="K775">
        <v>0</v>
      </c>
      <c r="L775">
        <v>149</v>
      </c>
      <c r="M775" s="13" t="s">
        <v>3512</v>
      </c>
    </row>
    <row r="776" spans="1:13" x14ac:dyDescent="0.35">
      <c r="A776" s="13" t="s">
        <v>4158</v>
      </c>
      <c r="B776" s="13" t="s">
        <v>1220</v>
      </c>
      <c r="C776" s="13" t="s">
        <v>1221</v>
      </c>
      <c r="D776" s="13" t="s">
        <v>67</v>
      </c>
      <c r="E776" s="13" t="s">
        <v>52</v>
      </c>
      <c r="F776" s="13" t="s">
        <v>87</v>
      </c>
      <c r="G776" s="14">
        <v>45871</v>
      </c>
      <c r="H776" s="14">
        <v>45874</v>
      </c>
      <c r="I776">
        <v>4292.08</v>
      </c>
      <c r="J776">
        <v>6694.94</v>
      </c>
      <c r="K776">
        <v>155.97999999999999</v>
      </c>
      <c r="L776">
        <v>148</v>
      </c>
      <c r="M776" s="13" t="s">
        <v>3366</v>
      </c>
    </row>
    <row r="777" spans="1:13" x14ac:dyDescent="0.35">
      <c r="A777" s="13" t="s">
        <v>4159</v>
      </c>
      <c r="B777" s="13" t="s">
        <v>343</v>
      </c>
      <c r="C777" s="13" t="s">
        <v>344</v>
      </c>
      <c r="D777" s="13" t="s">
        <v>67</v>
      </c>
      <c r="E777" s="13" t="s">
        <v>104</v>
      </c>
      <c r="F777" s="13" t="s">
        <v>106</v>
      </c>
      <c r="G777" s="14">
        <v>45863</v>
      </c>
      <c r="H777" s="14">
        <v>45874</v>
      </c>
      <c r="I777">
        <v>1554.11</v>
      </c>
      <c r="J777">
        <v>1620.92</v>
      </c>
      <c r="K777">
        <v>104.3</v>
      </c>
      <c r="L777">
        <v>148</v>
      </c>
      <c r="M777" s="13" t="s">
        <v>3366</v>
      </c>
    </row>
    <row r="778" spans="1:13" x14ac:dyDescent="0.35">
      <c r="A778" s="13" t="s">
        <v>4160</v>
      </c>
      <c r="B778" s="13" t="s">
        <v>1553</v>
      </c>
      <c r="C778" s="13" t="s">
        <v>1554</v>
      </c>
      <c r="D778" s="13" t="s">
        <v>55</v>
      </c>
      <c r="E778" s="13" t="s">
        <v>76</v>
      </c>
      <c r="F778" s="13" t="s">
        <v>80</v>
      </c>
      <c r="G778" s="14">
        <v>45867</v>
      </c>
      <c r="H778" s="14">
        <v>45875</v>
      </c>
      <c r="I778">
        <v>664.43</v>
      </c>
      <c r="J778">
        <v>681.01</v>
      </c>
      <c r="K778">
        <v>102.5</v>
      </c>
      <c r="L778">
        <v>147</v>
      </c>
      <c r="M778" s="13" t="s">
        <v>3366</v>
      </c>
    </row>
    <row r="779" spans="1:13" x14ac:dyDescent="0.35">
      <c r="A779" s="13" t="s">
        <v>4161</v>
      </c>
      <c r="B779" s="13" t="s">
        <v>1881</v>
      </c>
      <c r="C779" s="13" t="s">
        <v>1882</v>
      </c>
      <c r="D779" s="13" t="s">
        <v>67</v>
      </c>
      <c r="E779" s="13" t="s">
        <v>76</v>
      </c>
      <c r="F779" s="13" t="s">
        <v>94</v>
      </c>
      <c r="G779" s="14">
        <v>45871</v>
      </c>
      <c r="H779" s="14">
        <v>45875</v>
      </c>
      <c r="I779">
        <v>1484.87</v>
      </c>
      <c r="J779">
        <v>4652.93</v>
      </c>
      <c r="K779">
        <v>313.36</v>
      </c>
      <c r="L779">
        <v>147</v>
      </c>
      <c r="M779" s="13" t="s">
        <v>3366</v>
      </c>
    </row>
    <row r="780" spans="1:13" x14ac:dyDescent="0.35">
      <c r="A780" s="13" t="s">
        <v>4162</v>
      </c>
      <c r="B780" s="13" t="s">
        <v>418</v>
      </c>
      <c r="C780" s="13" t="s">
        <v>419</v>
      </c>
      <c r="D780" s="13" t="s">
        <v>67</v>
      </c>
      <c r="E780" s="13" t="s">
        <v>52</v>
      </c>
      <c r="F780" s="13" t="s">
        <v>87</v>
      </c>
      <c r="G780" s="14">
        <v>45867</v>
      </c>
      <c r="H780" s="14">
        <v>45875</v>
      </c>
      <c r="I780">
        <v>2740.6</v>
      </c>
      <c r="J780">
        <v>20060.02</v>
      </c>
      <c r="K780">
        <v>731.96</v>
      </c>
      <c r="L780">
        <v>147</v>
      </c>
      <c r="M780" s="13" t="s">
        <v>3366</v>
      </c>
    </row>
    <row r="781" spans="1:13" x14ac:dyDescent="0.35">
      <c r="A781" s="13" t="s">
        <v>4163</v>
      </c>
      <c r="B781" s="13" t="s">
        <v>418</v>
      </c>
      <c r="C781" s="13" t="s">
        <v>419</v>
      </c>
      <c r="D781" s="13" t="s">
        <v>67</v>
      </c>
      <c r="E781" s="13" t="s">
        <v>52</v>
      </c>
      <c r="F781" s="13" t="s">
        <v>87</v>
      </c>
      <c r="G781" s="14">
        <v>45871</v>
      </c>
      <c r="H781" s="14">
        <v>45875</v>
      </c>
      <c r="I781">
        <v>16135.4</v>
      </c>
      <c r="J781">
        <v>20060.02</v>
      </c>
      <c r="K781">
        <v>124.32</v>
      </c>
      <c r="L781">
        <v>147</v>
      </c>
      <c r="M781" s="13" t="s">
        <v>3366</v>
      </c>
    </row>
    <row r="782" spans="1:13" x14ac:dyDescent="0.35">
      <c r="A782" s="13" t="s">
        <v>4164</v>
      </c>
      <c r="B782" s="13" t="s">
        <v>854</v>
      </c>
      <c r="C782" s="13" t="s">
        <v>855</v>
      </c>
      <c r="D782" s="13" t="s">
        <v>67</v>
      </c>
      <c r="E782" s="13" t="s">
        <v>52</v>
      </c>
      <c r="F782" s="13" t="s">
        <v>87</v>
      </c>
      <c r="G782" s="14">
        <v>45871</v>
      </c>
      <c r="H782" s="14">
        <v>45876</v>
      </c>
      <c r="I782">
        <v>1655.1</v>
      </c>
      <c r="J782">
        <v>1709.66</v>
      </c>
      <c r="K782">
        <v>103.3</v>
      </c>
      <c r="L782">
        <v>146</v>
      </c>
      <c r="M782" s="13" t="s">
        <v>3366</v>
      </c>
    </row>
    <row r="783" spans="1:13" x14ac:dyDescent="0.35">
      <c r="A783" s="13" t="s">
        <v>4165</v>
      </c>
      <c r="B783" s="13" t="s">
        <v>156</v>
      </c>
      <c r="C783" s="13" t="s">
        <v>157</v>
      </c>
      <c r="D783" s="13" t="s">
        <v>92</v>
      </c>
      <c r="E783" s="13" t="s">
        <v>52</v>
      </c>
      <c r="F783" s="13" t="s">
        <v>57</v>
      </c>
      <c r="G783" s="14">
        <v>45872</v>
      </c>
      <c r="H783" s="14">
        <v>45876</v>
      </c>
      <c r="I783">
        <v>13231.06</v>
      </c>
      <c r="J783">
        <v>21829.22</v>
      </c>
      <c r="K783">
        <v>164.98</v>
      </c>
      <c r="L783">
        <v>146</v>
      </c>
      <c r="M783" s="13" t="s">
        <v>3366</v>
      </c>
    </row>
    <row r="784" spans="1:13" x14ac:dyDescent="0.35">
      <c r="A784" s="13" t="s">
        <v>4166</v>
      </c>
      <c r="B784" s="13" t="s">
        <v>267</v>
      </c>
      <c r="C784" s="13" t="s">
        <v>268</v>
      </c>
      <c r="D784" s="13" t="s">
        <v>67</v>
      </c>
      <c r="E784" s="13" t="s">
        <v>52</v>
      </c>
      <c r="F784" s="13" t="s">
        <v>87</v>
      </c>
      <c r="G784" s="14">
        <v>45863</v>
      </c>
      <c r="H784" s="14">
        <v>45876</v>
      </c>
      <c r="I784">
        <v>1495.53</v>
      </c>
      <c r="J784">
        <v>14811.42</v>
      </c>
      <c r="K784">
        <v>990.38</v>
      </c>
      <c r="L784">
        <v>146</v>
      </c>
      <c r="M784" s="13" t="s">
        <v>3366</v>
      </c>
    </row>
    <row r="785" spans="1:13" x14ac:dyDescent="0.35">
      <c r="A785" s="13" t="s">
        <v>4167</v>
      </c>
      <c r="B785" s="13" t="s">
        <v>286</v>
      </c>
      <c r="C785" s="13" t="s">
        <v>287</v>
      </c>
      <c r="D785" s="13" t="s">
        <v>92</v>
      </c>
      <c r="E785" s="13" t="s">
        <v>104</v>
      </c>
      <c r="F785" s="13" t="s">
        <v>87</v>
      </c>
      <c r="G785" s="14">
        <v>45854</v>
      </c>
      <c r="H785" s="14">
        <v>45877</v>
      </c>
      <c r="I785">
        <v>4112.0600000000004</v>
      </c>
      <c r="J785">
        <v>0</v>
      </c>
      <c r="K785">
        <v>0</v>
      </c>
      <c r="L785">
        <v>145</v>
      </c>
      <c r="M785" s="13" t="s">
        <v>3512</v>
      </c>
    </row>
    <row r="786" spans="1:13" x14ac:dyDescent="0.35">
      <c r="A786" s="13" t="s">
        <v>4168</v>
      </c>
      <c r="B786" s="13" t="s">
        <v>2316</v>
      </c>
      <c r="C786" s="13" t="s">
        <v>2317</v>
      </c>
      <c r="D786" s="13" t="s">
        <v>67</v>
      </c>
      <c r="E786" s="13" t="s">
        <v>76</v>
      </c>
      <c r="F786" s="13" t="s">
        <v>94</v>
      </c>
      <c r="G786" s="14">
        <v>45866</v>
      </c>
      <c r="H786" s="14">
        <v>45877</v>
      </c>
      <c r="I786">
        <v>3455.61</v>
      </c>
      <c r="J786">
        <v>4323.6099999999997</v>
      </c>
      <c r="K786">
        <v>125.12</v>
      </c>
      <c r="L786">
        <v>145</v>
      </c>
      <c r="M786" s="13" t="s">
        <v>3366</v>
      </c>
    </row>
    <row r="787" spans="1:13" x14ac:dyDescent="0.35">
      <c r="A787" s="13" t="s">
        <v>4169</v>
      </c>
      <c r="B787" s="13" t="s">
        <v>561</v>
      </c>
      <c r="C787" s="13" t="s">
        <v>562</v>
      </c>
      <c r="D787" s="13" t="s">
        <v>67</v>
      </c>
      <c r="E787" s="13" t="s">
        <v>126</v>
      </c>
      <c r="F787" s="13" t="s">
        <v>87</v>
      </c>
      <c r="G787" s="14">
        <v>45868</v>
      </c>
      <c r="H787" s="14">
        <v>45877</v>
      </c>
      <c r="I787">
        <v>3797.81</v>
      </c>
      <c r="J787">
        <v>4032.12</v>
      </c>
      <c r="K787">
        <v>106.17</v>
      </c>
      <c r="L787">
        <v>145</v>
      </c>
      <c r="M787" s="13" t="s">
        <v>3366</v>
      </c>
    </row>
    <row r="788" spans="1:13" x14ac:dyDescent="0.35">
      <c r="A788" s="13" t="s">
        <v>4170</v>
      </c>
      <c r="B788" s="13" t="s">
        <v>1753</v>
      </c>
      <c r="C788" s="13" t="s">
        <v>1754</v>
      </c>
      <c r="D788" s="13" t="s">
        <v>67</v>
      </c>
      <c r="E788" s="13" t="s">
        <v>126</v>
      </c>
      <c r="F788" s="13" t="s">
        <v>122</v>
      </c>
      <c r="G788" s="14">
        <v>45870</v>
      </c>
      <c r="H788" s="14">
        <v>45877</v>
      </c>
      <c r="I788">
        <v>4092.42</v>
      </c>
      <c r="J788">
        <v>4514.03</v>
      </c>
      <c r="K788">
        <v>110.3</v>
      </c>
      <c r="L788">
        <v>145</v>
      </c>
      <c r="M788" s="13" t="s">
        <v>3366</v>
      </c>
    </row>
    <row r="789" spans="1:13" x14ac:dyDescent="0.35">
      <c r="A789" s="13" t="s">
        <v>4171</v>
      </c>
      <c r="B789" s="13" t="s">
        <v>300</v>
      </c>
      <c r="C789" s="13" t="s">
        <v>301</v>
      </c>
      <c r="D789" s="13" t="s">
        <v>92</v>
      </c>
      <c r="E789" s="13" t="s">
        <v>104</v>
      </c>
      <c r="F789" s="13" t="s">
        <v>106</v>
      </c>
      <c r="G789" s="14">
        <v>45867</v>
      </c>
      <c r="H789" s="14">
        <v>45878</v>
      </c>
      <c r="I789">
        <v>2233.27</v>
      </c>
      <c r="J789">
        <v>0</v>
      </c>
      <c r="K789">
        <v>0</v>
      </c>
      <c r="L789">
        <v>144</v>
      </c>
      <c r="M789" s="13" t="s">
        <v>3512</v>
      </c>
    </row>
    <row r="790" spans="1:13" x14ac:dyDescent="0.35">
      <c r="A790" s="13" t="s">
        <v>4172</v>
      </c>
      <c r="B790" s="13" t="s">
        <v>293</v>
      </c>
      <c r="C790" s="13" t="s">
        <v>294</v>
      </c>
      <c r="D790" s="13" t="s">
        <v>92</v>
      </c>
      <c r="E790" s="13" t="s">
        <v>104</v>
      </c>
      <c r="F790" s="13" t="s">
        <v>122</v>
      </c>
      <c r="G790" s="14">
        <v>45868</v>
      </c>
      <c r="H790" s="14">
        <v>45878</v>
      </c>
      <c r="I790">
        <v>2644.27</v>
      </c>
      <c r="J790">
        <v>0</v>
      </c>
      <c r="K790">
        <v>0</v>
      </c>
      <c r="L790">
        <v>144</v>
      </c>
      <c r="M790" s="13" t="s">
        <v>3512</v>
      </c>
    </row>
    <row r="791" spans="1:13" x14ac:dyDescent="0.35">
      <c r="A791" s="13" t="s">
        <v>4173</v>
      </c>
      <c r="B791" s="13" t="s">
        <v>446</v>
      </c>
      <c r="C791" s="13" t="s">
        <v>447</v>
      </c>
      <c r="D791" s="13" t="s">
        <v>67</v>
      </c>
      <c r="E791" s="13" t="s">
        <v>52</v>
      </c>
      <c r="F791" s="13" t="s">
        <v>87</v>
      </c>
      <c r="G791" s="14">
        <v>45874</v>
      </c>
      <c r="H791" s="14">
        <v>45878</v>
      </c>
      <c r="I791">
        <v>4860.6000000000004</v>
      </c>
      <c r="J791">
        <v>10258.74</v>
      </c>
      <c r="K791">
        <v>211.06</v>
      </c>
      <c r="L791">
        <v>144</v>
      </c>
      <c r="M791" s="13" t="s">
        <v>3366</v>
      </c>
    </row>
    <row r="792" spans="1:13" x14ac:dyDescent="0.35">
      <c r="A792" s="13" t="s">
        <v>4174</v>
      </c>
      <c r="B792" s="13" t="s">
        <v>1288</v>
      </c>
      <c r="C792" s="13" t="s">
        <v>1289</v>
      </c>
      <c r="D792" s="13" t="s">
        <v>67</v>
      </c>
      <c r="E792" s="13" t="s">
        <v>52</v>
      </c>
      <c r="F792" s="13" t="s">
        <v>57</v>
      </c>
      <c r="G792" s="14">
        <v>45866</v>
      </c>
      <c r="H792" s="14">
        <v>45878</v>
      </c>
      <c r="I792">
        <v>1523.81</v>
      </c>
      <c r="J792">
        <v>9045.68</v>
      </c>
      <c r="K792">
        <v>593.62</v>
      </c>
      <c r="L792">
        <v>144</v>
      </c>
      <c r="M792" s="13" t="s">
        <v>3366</v>
      </c>
    </row>
    <row r="793" spans="1:13" x14ac:dyDescent="0.35">
      <c r="A793" s="13" t="s">
        <v>4175</v>
      </c>
      <c r="B793" s="13" t="s">
        <v>910</v>
      </c>
      <c r="C793" s="13" t="s">
        <v>911</v>
      </c>
      <c r="D793" s="13" t="s">
        <v>55</v>
      </c>
      <c r="E793" s="13" t="s">
        <v>52</v>
      </c>
      <c r="F793" s="13" t="s">
        <v>57</v>
      </c>
      <c r="G793" s="14">
        <v>45875</v>
      </c>
      <c r="H793" s="14">
        <v>45879</v>
      </c>
      <c r="I793">
        <v>6738.27</v>
      </c>
      <c r="J793">
        <v>23473.25</v>
      </c>
      <c r="K793">
        <v>348.36</v>
      </c>
      <c r="L793">
        <v>143</v>
      </c>
      <c r="M793" s="13" t="s">
        <v>3366</v>
      </c>
    </row>
    <row r="794" spans="1:13" x14ac:dyDescent="0.35">
      <c r="A794" s="13" t="s">
        <v>4176</v>
      </c>
      <c r="B794" s="13" t="s">
        <v>614</v>
      </c>
      <c r="C794" s="13" t="s">
        <v>615</v>
      </c>
      <c r="D794" s="13" t="s">
        <v>55</v>
      </c>
      <c r="E794" s="13" t="s">
        <v>126</v>
      </c>
      <c r="F794" s="13" t="s">
        <v>122</v>
      </c>
      <c r="G794" s="14">
        <v>45876</v>
      </c>
      <c r="H794" s="14">
        <v>45879</v>
      </c>
      <c r="I794">
        <v>8353.34</v>
      </c>
      <c r="J794">
        <v>14253.25</v>
      </c>
      <c r="K794">
        <v>170.63</v>
      </c>
      <c r="L794">
        <v>143</v>
      </c>
      <c r="M794" s="13" t="s">
        <v>3366</v>
      </c>
    </row>
    <row r="795" spans="1:13" x14ac:dyDescent="0.35">
      <c r="A795" s="13" t="s">
        <v>4177</v>
      </c>
      <c r="B795" s="13" t="s">
        <v>290</v>
      </c>
      <c r="C795" s="13" t="s">
        <v>291</v>
      </c>
      <c r="D795" s="13" t="s">
        <v>92</v>
      </c>
      <c r="E795" s="13" t="s">
        <v>104</v>
      </c>
      <c r="F795" s="13" t="s">
        <v>122</v>
      </c>
      <c r="G795" s="14">
        <v>45862</v>
      </c>
      <c r="H795" s="14">
        <v>45879</v>
      </c>
      <c r="I795">
        <v>556.65</v>
      </c>
      <c r="J795">
        <v>0</v>
      </c>
      <c r="K795">
        <v>0</v>
      </c>
      <c r="L795">
        <v>143</v>
      </c>
      <c r="M795" s="13" t="s">
        <v>3512</v>
      </c>
    </row>
    <row r="796" spans="1:13" x14ac:dyDescent="0.35">
      <c r="A796" s="13" t="s">
        <v>4178</v>
      </c>
      <c r="B796" s="13" t="s">
        <v>981</v>
      </c>
      <c r="C796" s="13" t="s">
        <v>982</v>
      </c>
      <c r="D796" s="13" t="s">
        <v>67</v>
      </c>
      <c r="E796" s="13" t="s">
        <v>52</v>
      </c>
      <c r="F796" s="13" t="s">
        <v>87</v>
      </c>
      <c r="G796" s="14">
        <v>45874</v>
      </c>
      <c r="H796" s="14">
        <v>45879</v>
      </c>
      <c r="I796">
        <v>6163.52</v>
      </c>
      <c r="J796">
        <v>6502.2</v>
      </c>
      <c r="K796">
        <v>105.49</v>
      </c>
      <c r="L796">
        <v>143</v>
      </c>
      <c r="M796" s="13" t="s">
        <v>3366</v>
      </c>
    </row>
    <row r="797" spans="1:13" x14ac:dyDescent="0.35">
      <c r="A797" s="13" t="s">
        <v>4179</v>
      </c>
      <c r="B797" s="13" t="s">
        <v>695</v>
      </c>
      <c r="C797" s="13" t="s">
        <v>696</v>
      </c>
      <c r="D797" s="13" t="s">
        <v>92</v>
      </c>
      <c r="E797" s="13" t="s">
        <v>52</v>
      </c>
      <c r="F797" s="13" t="s">
        <v>57</v>
      </c>
      <c r="G797" s="14">
        <v>45867</v>
      </c>
      <c r="H797" s="14">
        <v>45880</v>
      </c>
      <c r="I797">
        <v>3553.48</v>
      </c>
      <c r="J797">
        <v>28721.06</v>
      </c>
      <c r="K797">
        <v>808.25</v>
      </c>
      <c r="L797">
        <v>142</v>
      </c>
      <c r="M797" s="13" t="s">
        <v>3366</v>
      </c>
    </row>
    <row r="798" spans="1:13" x14ac:dyDescent="0.35">
      <c r="A798" s="13" t="s">
        <v>4180</v>
      </c>
      <c r="B798" s="13" t="s">
        <v>69</v>
      </c>
      <c r="C798" s="13" t="s">
        <v>70</v>
      </c>
      <c r="D798" s="13" t="s">
        <v>55</v>
      </c>
      <c r="E798" s="13" t="s">
        <v>52</v>
      </c>
      <c r="F798" s="13" t="s">
        <v>57</v>
      </c>
      <c r="G798" s="14">
        <v>45869</v>
      </c>
      <c r="H798" s="14">
        <v>45880</v>
      </c>
      <c r="I798">
        <v>7501.9</v>
      </c>
      <c r="J798">
        <v>8261.67</v>
      </c>
      <c r="K798">
        <v>110.13</v>
      </c>
      <c r="L798">
        <v>142</v>
      </c>
      <c r="M798" s="13" t="s">
        <v>3366</v>
      </c>
    </row>
    <row r="799" spans="1:13" x14ac:dyDescent="0.35">
      <c r="A799" s="13" t="s">
        <v>4181</v>
      </c>
      <c r="B799" s="13" t="s">
        <v>1655</v>
      </c>
      <c r="C799" s="13" t="s">
        <v>1656</v>
      </c>
      <c r="D799" s="13" t="s">
        <v>55</v>
      </c>
      <c r="E799" s="13" t="s">
        <v>104</v>
      </c>
      <c r="F799" s="13" t="s">
        <v>122</v>
      </c>
      <c r="G799" s="14">
        <v>45872</v>
      </c>
      <c r="H799" s="14">
        <v>45880</v>
      </c>
      <c r="I799">
        <v>4681.41</v>
      </c>
      <c r="J799">
        <v>4854.37</v>
      </c>
      <c r="K799">
        <v>103.69</v>
      </c>
      <c r="L799">
        <v>142</v>
      </c>
      <c r="M799" s="13" t="s">
        <v>3366</v>
      </c>
    </row>
    <row r="800" spans="1:13" x14ac:dyDescent="0.35">
      <c r="A800" s="13" t="s">
        <v>4182</v>
      </c>
      <c r="B800" s="13" t="s">
        <v>997</v>
      </c>
      <c r="C800" s="13" t="s">
        <v>998</v>
      </c>
      <c r="D800" s="13" t="s">
        <v>55</v>
      </c>
      <c r="E800" s="13" t="s">
        <v>52</v>
      </c>
      <c r="F800" s="13" t="s">
        <v>87</v>
      </c>
      <c r="G800" s="14">
        <v>45873</v>
      </c>
      <c r="H800" s="14">
        <v>45881</v>
      </c>
      <c r="I800">
        <v>13073.79</v>
      </c>
      <c r="J800">
        <v>20215.66</v>
      </c>
      <c r="K800">
        <v>154.63</v>
      </c>
      <c r="L800">
        <v>141</v>
      </c>
      <c r="M800" s="13" t="s">
        <v>3366</v>
      </c>
    </row>
    <row r="801" spans="1:13" x14ac:dyDescent="0.35">
      <c r="A801" s="13" t="s">
        <v>4183</v>
      </c>
      <c r="B801" s="13" t="s">
        <v>4184</v>
      </c>
      <c r="C801" s="13" t="s">
        <v>4185</v>
      </c>
      <c r="D801" s="13" t="s">
        <v>67</v>
      </c>
      <c r="E801" s="13" t="s">
        <v>76</v>
      </c>
      <c r="F801" s="13" t="s">
        <v>80</v>
      </c>
      <c r="G801" s="14">
        <v>45861</v>
      </c>
      <c r="H801" s="14">
        <v>45881</v>
      </c>
      <c r="I801">
        <v>1188.79</v>
      </c>
      <c r="J801">
        <v>0</v>
      </c>
      <c r="K801">
        <v>0</v>
      </c>
      <c r="L801">
        <v>141</v>
      </c>
      <c r="M801" s="13" t="s">
        <v>3512</v>
      </c>
    </row>
    <row r="802" spans="1:13" x14ac:dyDescent="0.35">
      <c r="A802" s="13" t="s">
        <v>4186</v>
      </c>
      <c r="B802" s="13" t="s">
        <v>1115</v>
      </c>
      <c r="C802" s="13" t="s">
        <v>1116</v>
      </c>
      <c r="D802" s="13" t="s">
        <v>92</v>
      </c>
      <c r="E802" s="13" t="s">
        <v>52</v>
      </c>
      <c r="F802" s="13" t="s">
        <v>57</v>
      </c>
      <c r="G802" s="14">
        <v>45872</v>
      </c>
      <c r="H802" s="14">
        <v>45881</v>
      </c>
      <c r="I802">
        <v>1737.98</v>
      </c>
      <c r="J802">
        <v>9622.7199999999993</v>
      </c>
      <c r="K802">
        <v>553.66999999999996</v>
      </c>
      <c r="L802">
        <v>141</v>
      </c>
      <c r="M802" s="13" t="s">
        <v>3366</v>
      </c>
    </row>
    <row r="803" spans="1:13" x14ac:dyDescent="0.35">
      <c r="A803" s="13" t="s">
        <v>4187</v>
      </c>
      <c r="B803" s="13" t="s">
        <v>1209</v>
      </c>
      <c r="C803" s="13" t="s">
        <v>1210</v>
      </c>
      <c r="D803" s="13" t="s">
        <v>55</v>
      </c>
      <c r="E803" s="13" t="s">
        <v>104</v>
      </c>
      <c r="F803" s="13" t="s">
        <v>106</v>
      </c>
      <c r="G803" s="14">
        <v>45877</v>
      </c>
      <c r="H803" s="14">
        <v>45881</v>
      </c>
      <c r="I803">
        <v>3377.77</v>
      </c>
      <c r="J803">
        <v>8860.99</v>
      </c>
      <c r="K803">
        <v>262.33</v>
      </c>
      <c r="L803">
        <v>141</v>
      </c>
      <c r="M803" s="13" t="s">
        <v>3366</v>
      </c>
    </row>
    <row r="804" spans="1:13" x14ac:dyDescent="0.35">
      <c r="A804" s="13" t="s">
        <v>4188</v>
      </c>
      <c r="B804" s="13" t="s">
        <v>1209</v>
      </c>
      <c r="C804" s="13" t="s">
        <v>1210</v>
      </c>
      <c r="D804" s="13" t="s">
        <v>55</v>
      </c>
      <c r="E804" s="13" t="s">
        <v>104</v>
      </c>
      <c r="F804" s="13" t="s">
        <v>106</v>
      </c>
      <c r="G804" s="14">
        <v>45870</v>
      </c>
      <c r="H804" s="14">
        <v>45881</v>
      </c>
      <c r="I804">
        <v>5182.96</v>
      </c>
      <c r="J804">
        <v>8860.99</v>
      </c>
      <c r="K804">
        <v>170.96</v>
      </c>
      <c r="L804">
        <v>141</v>
      </c>
      <c r="M804" s="13" t="s">
        <v>3366</v>
      </c>
    </row>
    <row r="805" spans="1:13" x14ac:dyDescent="0.35">
      <c r="A805" s="13" t="s">
        <v>4189</v>
      </c>
      <c r="B805" s="13" t="s">
        <v>438</v>
      </c>
      <c r="C805" s="13" t="s">
        <v>439</v>
      </c>
      <c r="D805" s="13" t="s">
        <v>67</v>
      </c>
      <c r="E805" s="13" t="s">
        <v>126</v>
      </c>
      <c r="F805" s="13" t="s">
        <v>87</v>
      </c>
      <c r="G805" s="14">
        <v>45878</v>
      </c>
      <c r="H805" s="14">
        <v>45881</v>
      </c>
      <c r="I805">
        <v>1830.65</v>
      </c>
      <c r="J805">
        <v>5213.6499999999996</v>
      </c>
      <c r="K805">
        <v>284.8</v>
      </c>
      <c r="L805">
        <v>141</v>
      </c>
      <c r="M805" s="13" t="s">
        <v>3366</v>
      </c>
    </row>
    <row r="806" spans="1:13" x14ac:dyDescent="0.35">
      <c r="A806" s="13" t="s">
        <v>4190</v>
      </c>
      <c r="B806" s="13" t="s">
        <v>296</v>
      </c>
      <c r="C806" s="13" t="s">
        <v>297</v>
      </c>
      <c r="D806" s="13" t="s">
        <v>92</v>
      </c>
      <c r="E806" s="13" t="s">
        <v>104</v>
      </c>
      <c r="F806" s="13" t="s">
        <v>106</v>
      </c>
      <c r="G806" s="14">
        <v>45863</v>
      </c>
      <c r="H806" s="14">
        <v>45881</v>
      </c>
      <c r="I806">
        <v>2659.14</v>
      </c>
      <c r="J806">
        <v>0</v>
      </c>
      <c r="K806">
        <v>0</v>
      </c>
      <c r="L806">
        <v>141</v>
      </c>
      <c r="M806" s="13" t="s">
        <v>3512</v>
      </c>
    </row>
    <row r="807" spans="1:13" x14ac:dyDescent="0.35">
      <c r="A807" s="13" t="s">
        <v>4191</v>
      </c>
      <c r="B807" s="13" t="s">
        <v>280</v>
      </c>
      <c r="C807" s="13" t="s">
        <v>281</v>
      </c>
      <c r="D807" s="13" t="s">
        <v>92</v>
      </c>
      <c r="E807" s="13" t="s">
        <v>104</v>
      </c>
      <c r="F807" s="13" t="s">
        <v>122</v>
      </c>
      <c r="G807" s="14">
        <v>45868</v>
      </c>
      <c r="H807" s="14">
        <v>45881</v>
      </c>
      <c r="I807">
        <v>1338.13</v>
      </c>
      <c r="J807">
        <v>0</v>
      </c>
      <c r="K807">
        <v>0</v>
      </c>
      <c r="L807">
        <v>141</v>
      </c>
      <c r="M807" s="13" t="s">
        <v>3512</v>
      </c>
    </row>
    <row r="808" spans="1:13" x14ac:dyDescent="0.35">
      <c r="A808" s="13" t="s">
        <v>4192</v>
      </c>
      <c r="B808" s="13" t="s">
        <v>113</v>
      </c>
      <c r="C808" s="13" t="s">
        <v>114</v>
      </c>
      <c r="D808" s="13" t="s">
        <v>92</v>
      </c>
      <c r="E808" s="13" t="s">
        <v>52</v>
      </c>
      <c r="F808" s="13" t="s">
        <v>87</v>
      </c>
      <c r="G808" s="14">
        <v>45877</v>
      </c>
      <c r="H808" s="14">
        <v>45881</v>
      </c>
      <c r="I808">
        <v>3994.79</v>
      </c>
      <c r="J808">
        <v>4344.32</v>
      </c>
      <c r="K808">
        <v>108.75</v>
      </c>
      <c r="L808">
        <v>141</v>
      </c>
      <c r="M808" s="13" t="s">
        <v>3366</v>
      </c>
    </row>
    <row r="809" spans="1:13" x14ac:dyDescent="0.35">
      <c r="A809" s="13" t="s">
        <v>4193</v>
      </c>
      <c r="B809" s="13" t="s">
        <v>1015</v>
      </c>
      <c r="C809" s="13" t="s">
        <v>1016</v>
      </c>
      <c r="D809" s="13" t="s">
        <v>55</v>
      </c>
      <c r="E809" s="13" t="s">
        <v>52</v>
      </c>
      <c r="F809" s="13" t="s">
        <v>57</v>
      </c>
      <c r="G809" s="14">
        <v>45870</v>
      </c>
      <c r="H809" s="14">
        <v>45882</v>
      </c>
      <c r="I809">
        <v>12386.96</v>
      </c>
      <c r="J809">
        <v>13370.01</v>
      </c>
      <c r="K809">
        <v>107.94</v>
      </c>
      <c r="L809">
        <v>140</v>
      </c>
      <c r="M809" s="13" t="s">
        <v>3366</v>
      </c>
    </row>
    <row r="810" spans="1:13" x14ac:dyDescent="0.35">
      <c r="A810" s="13" t="s">
        <v>4194</v>
      </c>
      <c r="B810" s="13" t="s">
        <v>446</v>
      </c>
      <c r="C810" s="13" t="s">
        <v>447</v>
      </c>
      <c r="D810" s="13" t="s">
        <v>67</v>
      </c>
      <c r="E810" s="13" t="s">
        <v>52</v>
      </c>
      <c r="F810" s="13" t="s">
        <v>87</v>
      </c>
      <c r="G810" s="14">
        <v>45876</v>
      </c>
      <c r="H810" s="14">
        <v>45882</v>
      </c>
      <c r="I810">
        <v>1632.73</v>
      </c>
      <c r="J810">
        <v>1632.88</v>
      </c>
      <c r="K810">
        <v>100.01</v>
      </c>
      <c r="L810">
        <v>140</v>
      </c>
      <c r="M810" s="13" t="s">
        <v>3366</v>
      </c>
    </row>
    <row r="811" spans="1:13" x14ac:dyDescent="0.35">
      <c r="A811" s="13" t="s">
        <v>4195</v>
      </c>
      <c r="B811" s="13" t="s">
        <v>1916</v>
      </c>
      <c r="C811" s="13" t="s">
        <v>1917</v>
      </c>
      <c r="D811" s="13" t="s">
        <v>67</v>
      </c>
      <c r="E811" s="13" t="s">
        <v>104</v>
      </c>
      <c r="F811" s="13" t="s">
        <v>122</v>
      </c>
      <c r="G811" s="14">
        <v>45875</v>
      </c>
      <c r="H811" s="14">
        <v>45883</v>
      </c>
      <c r="I811">
        <v>2932.64</v>
      </c>
      <c r="J811">
        <v>10254.99</v>
      </c>
      <c r="K811">
        <v>349.68</v>
      </c>
      <c r="L811">
        <v>139</v>
      </c>
      <c r="M811" s="13" t="s">
        <v>3366</v>
      </c>
    </row>
    <row r="812" spans="1:13" x14ac:dyDescent="0.35">
      <c r="A812" s="13" t="s">
        <v>4196</v>
      </c>
      <c r="B812" s="13" t="s">
        <v>296</v>
      </c>
      <c r="C812" s="13" t="s">
        <v>297</v>
      </c>
      <c r="D812" s="13" t="s">
        <v>92</v>
      </c>
      <c r="E812" s="13" t="s">
        <v>104</v>
      </c>
      <c r="F812" s="13" t="s">
        <v>106</v>
      </c>
      <c r="G812" s="14">
        <v>45871</v>
      </c>
      <c r="H812" s="14">
        <v>45883</v>
      </c>
      <c r="I812">
        <v>4181.92</v>
      </c>
      <c r="J812">
        <v>0</v>
      </c>
      <c r="K812">
        <v>0</v>
      </c>
      <c r="L812">
        <v>139</v>
      </c>
      <c r="M812" s="13" t="s">
        <v>3512</v>
      </c>
    </row>
    <row r="813" spans="1:13" x14ac:dyDescent="0.35">
      <c r="A813" s="13" t="s">
        <v>4197</v>
      </c>
      <c r="B813" s="13" t="s">
        <v>296</v>
      </c>
      <c r="C813" s="13" t="s">
        <v>297</v>
      </c>
      <c r="D813" s="13" t="s">
        <v>92</v>
      </c>
      <c r="E813" s="13" t="s">
        <v>104</v>
      </c>
      <c r="F813" s="13" t="s">
        <v>106</v>
      </c>
      <c r="G813" s="14">
        <v>45863</v>
      </c>
      <c r="H813" s="14">
        <v>45883</v>
      </c>
      <c r="I813">
        <v>5339.01</v>
      </c>
      <c r="J813">
        <v>0</v>
      </c>
      <c r="K813">
        <v>0</v>
      </c>
      <c r="L813">
        <v>139</v>
      </c>
      <c r="M813" s="13" t="s">
        <v>3512</v>
      </c>
    </row>
    <row r="814" spans="1:13" x14ac:dyDescent="0.35">
      <c r="A814" s="13" t="s">
        <v>4198</v>
      </c>
      <c r="B814" s="13" t="s">
        <v>222</v>
      </c>
      <c r="C814" s="13" t="s">
        <v>223</v>
      </c>
      <c r="D814" s="13" t="s">
        <v>92</v>
      </c>
      <c r="E814" s="13" t="s">
        <v>52</v>
      </c>
      <c r="F814" s="13" t="s">
        <v>57</v>
      </c>
      <c r="G814" s="14">
        <v>45871</v>
      </c>
      <c r="H814" s="14">
        <v>45883</v>
      </c>
      <c r="I814">
        <v>15349.58</v>
      </c>
      <c r="J814">
        <v>17007.669999999998</v>
      </c>
      <c r="K814">
        <v>110.8</v>
      </c>
      <c r="L814">
        <v>139</v>
      </c>
      <c r="M814" s="13" t="s">
        <v>3366</v>
      </c>
    </row>
    <row r="815" spans="1:13" x14ac:dyDescent="0.35">
      <c r="A815" s="13" t="s">
        <v>4199</v>
      </c>
      <c r="B815" s="13" t="s">
        <v>418</v>
      </c>
      <c r="C815" s="13" t="s">
        <v>419</v>
      </c>
      <c r="D815" s="13" t="s">
        <v>67</v>
      </c>
      <c r="E815" s="13" t="s">
        <v>52</v>
      </c>
      <c r="F815" s="13" t="s">
        <v>87</v>
      </c>
      <c r="G815" s="14">
        <v>45875</v>
      </c>
      <c r="H815" s="14">
        <v>45883</v>
      </c>
      <c r="I815">
        <v>4322.2</v>
      </c>
      <c r="J815">
        <v>8198.75</v>
      </c>
      <c r="K815">
        <v>189.69</v>
      </c>
      <c r="L815">
        <v>139</v>
      </c>
      <c r="M815" s="13" t="s">
        <v>3366</v>
      </c>
    </row>
    <row r="816" spans="1:13" x14ac:dyDescent="0.35">
      <c r="A816" s="13" t="s">
        <v>4200</v>
      </c>
      <c r="B816" s="13" t="s">
        <v>834</v>
      </c>
      <c r="C816" s="13" t="s">
        <v>835</v>
      </c>
      <c r="D816" s="13" t="s">
        <v>67</v>
      </c>
      <c r="E816" s="13" t="s">
        <v>104</v>
      </c>
      <c r="F816" s="13" t="s">
        <v>106</v>
      </c>
      <c r="G816" s="14">
        <v>45871</v>
      </c>
      <c r="H816" s="14">
        <v>45884</v>
      </c>
      <c r="I816">
        <v>2902.27</v>
      </c>
      <c r="J816">
        <v>4771.8100000000004</v>
      </c>
      <c r="K816">
        <v>164.42</v>
      </c>
      <c r="L816">
        <v>138</v>
      </c>
      <c r="M816" s="13" t="s">
        <v>3366</v>
      </c>
    </row>
    <row r="817" spans="1:13" x14ac:dyDescent="0.35">
      <c r="A817" s="13" t="s">
        <v>4201</v>
      </c>
      <c r="B817" s="13" t="s">
        <v>156</v>
      </c>
      <c r="C817" s="13" t="s">
        <v>157</v>
      </c>
      <c r="D817" s="13" t="s">
        <v>92</v>
      </c>
      <c r="E817" s="13" t="s">
        <v>52</v>
      </c>
      <c r="F817" s="13" t="s">
        <v>57</v>
      </c>
      <c r="G817" s="14">
        <v>45873</v>
      </c>
      <c r="H817" s="14">
        <v>45884</v>
      </c>
      <c r="I817">
        <v>615.98</v>
      </c>
      <c r="J817">
        <v>4902.76</v>
      </c>
      <c r="K817">
        <v>795.93</v>
      </c>
      <c r="L817">
        <v>138</v>
      </c>
      <c r="M817" s="13" t="s">
        <v>3366</v>
      </c>
    </row>
    <row r="818" spans="1:13" x14ac:dyDescent="0.35">
      <c r="A818" s="13" t="s">
        <v>4202</v>
      </c>
      <c r="B818" s="13" t="s">
        <v>280</v>
      </c>
      <c r="C818" s="13" t="s">
        <v>281</v>
      </c>
      <c r="D818" s="13" t="s">
        <v>92</v>
      </c>
      <c r="E818" s="13" t="s">
        <v>104</v>
      </c>
      <c r="F818" s="13" t="s">
        <v>122</v>
      </c>
      <c r="G818" s="14">
        <v>45867</v>
      </c>
      <c r="H818" s="14">
        <v>45884</v>
      </c>
      <c r="I818">
        <v>2122.6999999999998</v>
      </c>
      <c r="J818">
        <v>0</v>
      </c>
      <c r="K818">
        <v>0</v>
      </c>
      <c r="L818">
        <v>138</v>
      </c>
      <c r="M818" s="13" t="s">
        <v>3512</v>
      </c>
    </row>
    <row r="819" spans="1:13" x14ac:dyDescent="0.35">
      <c r="A819" s="13" t="s">
        <v>4203</v>
      </c>
      <c r="B819" s="13" t="s">
        <v>277</v>
      </c>
      <c r="C819" s="13" t="s">
        <v>278</v>
      </c>
      <c r="D819" s="13" t="s">
        <v>92</v>
      </c>
      <c r="E819" s="13" t="s">
        <v>104</v>
      </c>
      <c r="F819" s="13" t="s">
        <v>106</v>
      </c>
      <c r="G819" s="14">
        <v>45867</v>
      </c>
      <c r="H819" s="14">
        <v>45885</v>
      </c>
      <c r="I819">
        <v>1752.4</v>
      </c>
      <c r="J819">
        <v>0</v>
      </c>
      <c r="K819">
        <v>0</v>
      </c>
      <c r="L819">
        <v>137</v>
      </c>
      <c r="M819" s="13" t="s">
        <v>3512</v>
      </c>
    </row>
    <row r="820" spans="1:13" x14ac:dyDescent="0.35">
      <c r="A820" s="13" t="s">
        <v>4204</v>
      </c>
      <c r="B820" s="13" t="s">
        <v>290</v>
      </c>
      <c r="C820" s="13" t="s">
        <v>291</v>
      </c>
      <c r="D820" s="13" t="s">
        <v>92</v>
      </c>
      <c r="E820" s="13" t="s">
        <v>104</v>
      </c>
      <c r="F820" s="13" t="s">
        <v>122</v>
      </c>
      <c r="G820" s="14">
        <v>45861</v>
      </c>
      <c r="H820" s="14">
        <v>45885</v>
      </c>
      <c r="I820">
        <v>3376.93</v>
      </c>
      <c r="J820">
        <v>0</v>
      </c>
      <c r="K820">
        <v>0</v>
      </c>
      <c r="L820">
        <v>137</v>
      </c>
      <c r="M820" s="13" t="s">
        <v>3512</v>
      </c>
    </row>
    <row r="821" spans="1:13" x14ac:dyDescent="0.35">
      <c r="A821" s="13" t="s">
        <v>4205</v>
      </c>
      <c r="B821" s="13" t="s">
        <v>2761</v>
      </c>
      <c r="C821" s="13" t="s">
        <v>2762</v>
      </c>
      <c r="D821" s="13" t="s">
        <v>55</v>
      </c>
      <c r="E821" s="13" t="s">
        <v>76</v>
      </c>
      <c r="F821" s="13" t="s">
        <v>94</v>
      </c>
      <c r="G821" s="14">
        <v>45877</v>
      </c>
      <c r="H821" s="14">
        <v>45885</v>
      </c>
      <c r="I821">
        <v>529.95000000000005</v>
      </c>
      <c r="J821">
        <v>570.91</v>
      </c>
      <c r="K821">
        <v>107.73</v>
      </c>
      <c r="L821">
        <v>137</v>
      </c>
      <c r="M821" s="13" t="s">
        <v>3366</v>
      </c>
    </row>
    <row r="822" spans="1:13" x14ac:dyDescent="0.35">
      <c r="A822" s="13" t="s">
        <v>4206</v>
      </c>
      <c r="B822" s="13" t="s">
        <v>357</v>
      </c>
      <c r="C822" s="13" t="s">
        <v>358</v>
      </c>
      <c r="D822" s="13" t="s">
        <v>92</v>
      </c>
      <c r="E822" s="13" t="s">
        <v>104</v>
      </c>
      <c r="F822" s="13" t="s">
        <v>106</v>
      </c>
      <c r="G822" s="14">
        <v>45871</v>
      </c>
      <c r="H822" s="14">
        <v>45886</v>
      </c>
      <c r="I822">
        <v>819.97</v>
      </c>
      <c r="J822">
        <v>0</v>
      </c>
      <c r="K822">
        <v>0</v>
      </c>
      <c r="L822">
        <v>136</v>
      </c>
      <c r="M822" s="13" t="s">
        <v>3512</v>
      </c>
    </row>
    <row r="823" spans="1:13" x14ac:dyDescent="0.35">
      <c r="A823" s="13" t="s">
        <v>4207</v>
      </c>
      <c r="B823" s="13" t="s">
        <v>1227</v>
      </c>
      <c r="C823" s="13" t="s">
        <v>1228</v>
      </c>
      <c r="D823" s="13" t="s">
        <v>55</v>
      </c>
      <c r="E823" s="13" t="s">
        <v>76</v>
      </c>
      <c r="F823" s="13" t="s">
        <v>94</v>
      </c>
      <c r="G823" s="14">
        <v>45876</v>
      </c>
      <c r="H823" s="14">
        <v>45886</v>
      </c>
      <c r="I823">
        <v>626.97</v>
      </c>
      <c r="J823">
        <v>688.32</v>
      </c>
      <c r="K823">
        <v>109.79</v>
      </c>
      <c r="L823">
        <v>136</v>
      </c>
      <c r="M823" s="13" t="s">
        <v>3366</v>
      </c>
    </row>
    <row r="824" spans="1:13" x14ac:dyDescent="0.35">
      <c r="A824" s="13" t="s">
        <v>4208</v>
      </c>
      <c r="B824" s="13" t="s">
        <v>193</v>
      </c>
      <c r="C824" s="13" t="s">
        <v>194</v>
      </c>
      <c r="D824" s="13" t="s">
        <v>67</v>
      </c>
      <c r="E824" s="13" t="s">
        <v>104</v>
      </c>
      <c r="F824" s="13" t="s">
        <v>122</v>
      </c>
      <c r="G824" s="14">
        <v>45872</v>
      </c>
      <c r="H824" s="14">
        <v>45886</v>
      </c>
      <c r="I824">
        <v>7173.69</v>
      </c>
      <c r="J824">
        <v>7794.01</v>
      </c>
      <c r="K824">
        <v>108.65</v>
      </c>
      <c r="L824">
        <v>136</v>
      </c>
      <c r="M824" s="13" t="s">
        <v>3366</v>
      </c>
    </row>
    <row r="825" spans="1:13" x14ac:dyDescent="0.35">
      <c r="A825" s="13" t="s">
        <v>4209</v>
      </c>
      <c r="B825" s="13" t="s">
        <v>203</v>
      </c>
      <c r="C825" s="13" t="s">
        <v>204</v>
      </c>
      <c r="D825" s="13" t="s">
        <v>67</v>
      </c>
      <c r="E825" s="13" t="s">
        <v>52</v>
      </c>
      <c r="F825" s="13" t="s">
        <v>57</v>
      </c>
      <c r="G825" s="14">
        <v>45884</v>
      </c>
      <c r="H825" s="14">
        <v>45886</v>
      </c>
      <c r="I825">
        <v>5232.17</v>
      </c>
      <c r="J825">
        <v>5331.57</v>
      </c>
      <c r="K825">
        <v>101.9</v>
      </c>
      <c r="L825">
        <v>136</v>
      </c>
      <c r="M825" s="13" t="s">
        <v>3366</v>
      </c>
    </row>
    <row r="826" spans="1:13" x14ac:dyDescent="0.35">
      <c r="A826" s="13" t="s">
        <v>4210</v>
      </c>
      <c r="B826" s="13" t="s">
        <v>280</v>
      </c>
      <c r="C826" s="13" t="s">
        <v>281</v>
      </c>
      <c r="D826" s="13" t="s">
        <v>92</v>
      </c>
      <c r="E826" s="13" t="s">
        <v>104</v>
      </c>
      <c r="F826" s="13" t="s">
        <v>122</v>
      </c>
      <c r="G826" s="14">
        <v>45870</v>
      </c>
      <c r="H826" s="14">
        <v>45886</v>
      </c>
      <c r="I826">
        <v>3625.26</v>
      </c>
      <c r="J826">
        <v>0</v>
      </c>
      <c r="K826">
        <v>0</v>
      </c>
      <c r="L826">
        <v>136</v>
      </c>
      <c r="M826" s="13" t="s">
        <v>3512</v>
      </c>
    </row>
    <row r="827" spans="1:13" x14ac:dyDescent="0.35">
      <c r="A827" s="13" t="s">
        <v>4211</v>
      </c>
      <c r="B827" s="13" t="s">
        <v>2232</v>
      </c>
      <c r="C827" s="13" t="s">
        <v>2233</v>
      </c>
      <c r="D827" s="13" t="s">
        <v>67</v>
      </c>
      <c r="E827" s="13" t="s">
        <v>104</v>
      </c>
      <c r="F827" s="13" t="s">
        <v>106</v>
      </c>
      <c r="G827" s="14">
        <v>45875</v>
      </c>
      <c r="H827" s="14">
        <v>45887</v>
      </c>
      <c r="I827">
        <v>5014.26</v>
      </c>
      <c r="J827">
        <v>5451.16</v>
      </c>
      <c r="K827">
        <v>108.71</v>
      </c>
      <c r="L827">
        <v>135</v>
      </c>
      <c r="M827" s="13" t="s">
        <v>3366</v>
      </c>
    </row>
    <row r="828" spans="1:13" x14ac:dyDescent="0.35">
      <c r="A828" s="13" t="s">
        <v>4212</v>
      </c>
      <c r="B828" s="13" t="s">
        <v>393</v>
      </c>
      <c r="C828" s="13" t="s">
        <v>394</v>
      </c>
      <c r="D828" s="13" t="s">
        <v>55</v>
      </c>
      <c r="E828" s="13" t="s">
        <v>76</v>
      </c>
      <c r="F828" s="13" t="s">
        <v>94</v>
      </c>
      <c r="G828" s="14">
        <v>45876</v>
      </c>
      <c r="H828" s="14">
        <v>45887</v>
      </c>
      <c r="I828">
        <v>3103.41</v>
      </c>
      <c r="J828">
        <v>3502.02</v>
      </c>
      <c r="K828">
        <v>112.84</v>
      </c>
      <c r="L828">
        <v>135</v>
      </c>
      <c r="M828" s="13" t="s">
        <v>3366</v>
      </c>
    </row>
    <row r="829" spans="1:13" x14ac:dyDescent="0.35">
      <c r="A829" s="13" t="s">
        <v>4213</v>
      </c>
      <c r="B829" s="13" t="s">
        <v>403</v>
      </c>
      <c r="C829" s="13" t="s">
        <v>404</v>
      </c>
      <c r="D829" s="13" t="s">
        <v>67</v>
      </c>
      <c r="E829" s="13" t="s">
        <v>126</v>
      </c>
      <c r="F829" s="13" t="s">
        <v>57</v>
      </c>
      <c r="G829" s="14">
        <v>45880</v>
      </c>
      <c r="H829" s="14">
        <v>45887</v>
      </c>
      <c r="I829">
        <v>2960.9</v>
      </c>
      <c r="J829">
        <v>3177.5</v>
      </c>
      <c r="K829">
        <v>107.32</v>
      </c>
      <c r="L829">
        <v>135</v>
      </c>
      <c r="M829" s="13" t="s">
        <v>3366</v>
      </c>
    </row>
    <row r="830" spans="1:13" x14ac:dyDescent="0.35">
      <c r="A830" s="13" t="s">
        <v>4214</v>
      </c>
      <c r="B830" s="13" t="s">
        <v>162</v>
      </c>
      <c r="C830" s="13" t="s">
        <v>163</v>
      </c>
      <c r="D830" s="13" t="s">
        <v>67</v>
      </c>
      <c r="E830" s="13" t="s">
        <v>76</v>
      </c>
      <c r="F830" s="13" t="s">
        <v>80</v>
      </c>
      <c r="G830" s="14">
        <v>45881</v>
      </c>
      <c r="H830" s="14">
        <v>45887</v>
      </c>
      <c r="I830">
        <v>2855.41</v>
      </c>
      <c r="J830">
        <v>6075.8</v>
      </c>
      <c r="K830">
        <v>212.78</v>
      </c>
      <c r="L830">
        <v>135</v>
      </c>
      <c r="M830" s="13" t="s">
        <v>3366</v>
      </c>
    </row>
    <row r="831" spans="1:13" x14ac:dyDescent="0.35">
      <c r="A831" s="13" t="s">
        <v>4215</v>
      </c>
      <c r="B831" s="13" t="s">
        <v>927</v>
      </c>
      <c r="C831" s="13" t="s">
        <v>928</v>
      </c>
      <c r="D831" s="13" t="s">
        <v>67</v>
      </c>
      <c r="E831" s="13" t="s">
        <v>52</v>
      </c>
      <c r="F831" s="13" t="s">
        <v>57</v>
      </c>
      <c r="G831" s="14">
        <v>45879</v>
      </c>
      <c r="H831" s="14">
        <v>45887</v>
      </c>
      <c r="I831">
        <v>12740.58</v>
      </c>
      <c r="J831">
        <v>16077.89</v>
      </c>
      <c r="K831">
        <v>126.19</v>
      </c>
      <c r="L831">
        <v>135</v>
      </c>
      <c r="M831" s="13" t="s">
        <v>3366</v>
      </c>
    </row>
    <row r="832" spans="1:13" x14ac:dyDescent="0.35">
      <c r="A832" s="13" t="s">
        <v>4216</v>
      </c>
      <c r="B832" s="13" t="s">
        <v>283</v>
      </c>
      <c r="C832" s="13" t="s">
        <v>284</v>
      </c>
      <c r="D832" s="13" t="s">
        <v>92</v>
      </c>
      <c r="E832" s="13" t="s">
        <v>104</v>
      </c>
      <c r="F832" s="13" t="s">
        <v>106</v>
      </c>
      <c r="G832" s="14">
        <v>45868</v>
      </c>
      <c r="H832" s="14">
        <v>45888</v>
      </c>
      <c r="I832">
        <v>821.5</v>
      </c>
      <c r="J832">
        <v>0</v>
      </c>
      <c r="K832">
        <v>0</v>
      </c>
      <c r="L832">
        <v>134</v>
      </c>
      <c r="M832" s="13" t="s">
        <v>3512</v>
      </c>
    </row>
    <row r="833" spans="1:13" x14ac:dyDescent="0.35">
      <c r="A833" s="13" t="s">
        <v>4217</v>
      </c>
      <c r="B833" s="13" t="s">
        <v>225</v>
      </c>
      <c r="C833" s="13" t="s">
        <v>226</v>
      </c>
      <c r="D833" s="13" t="s">
        <v>55</v>
      </c>
      <c r="E833" s="13" t="s">
        <v>52</v>
      </c>
      <c r="F833" s="13" t="s">
        <v>57</v>
      </c>
      <c r="G833" s="14">
        <v>45885</v>
      </c>
      <c r="H833" s="14">
        <v>45888</v>
      </c>
      <c r="I833">
        <v>2310.4699999999998</v>
      </c>
      <c r="J833">
        <v>2325.91</v>
      </c>
      <c r="K833">
        <v>100.67</v>
      </c>
      <c r="L833">
        <v>134</v>
      </c>
      <c r="M833" s="13" t="s">
        <v>3366</v>
      </c>
    </row>
    <row r="834" spans="1:13" x14ac:dyDescent="0.35">
      <c r="A834" s="13" t="s">
        <v>4218</v>
      </c>
      <c r="B834" s="13" t="s">
        <v>719</v>
      </c>
      <c r="C834" s="13" t="s">
        <v>720</v>
      </c>
      <c r="D834" s="13" t="s">
        <v>67</v>
      </c>
      <c r="E834" s="13" t="s">
        <v>126</v>
      </c>
      <c r="F834" s="13" t="s">
        <v>87</v>
      </c>
      <c r="G834" s="14">
        <v>45881</v>
      </c>
      <c r="H834" s="14">
        <v>45888</v>
      </c>
      <c r="I834">
        <v>993.31</v>
      </c>
      <c r="J834">
        <v>1052.92</v>
      </c>
      <c r="K834">
        <v>106</v>
      </c>
      <c r="L834">
        <v>134</v>
      </c>
      <c r="M834" s="13" t="s">
        <v>3366</v>
      </c>
    </row>
    <row r="835" spans="1:13" x14ac:dyDescent="0.35">
      <c r="A835" s="13" t="s">
        <v>4219</v>
      </c>
      <c r="B835" s="13" t="s">
        <v>186</v>
      </c>
      <c r="C835" s="13" t="s">
        <v>187</v>
      </c>
      <c r="D835" s="13" t="s">
        <v>55</v>
      </c>
      <c r="E835" s="13" t="s">
        <v>76</v>
      </c>
      <c r="F835" s="13" t="s">
        <v>94</v>
      </c>
      <c r="G835" s="14">
        <v>45880</v>
      </c>
      <c r="H835" s="14">
        <v>45888</v>
      </c>
      <c r="I835">
        <v>3199.85</v>
      </c>
      <c r="J835">
        <v>4215.13</v>
      </c>
      <c r="K835">
        <v>131.72999999999999</v>
      </c>
      <c r="L835">
        <v>134</v>
      </c>
      <c r="M835" s="13" t="s">
        <v>3366</v>
      </c>
    </row>
    <row r="836" spans="1:13" x14ac:dyDescent="0.35">
      <c r="A836" s="13" t="s">
        <v>4220</v>
      </c>
      <c r="B836" s="13" t="s">
        <v>212</v>
      </c>
      <c r="C836" s="13" t="s">
        <v>213</v>
      </c>
      <c r="D836" s="13" t="s">
        <v>92</v>
      </c>
      <c r="E836" s="13" t="s">
        <v>52</v>
      </c>
      <c r="F836" s="13" t="s">
        <v>87</v>
      </c>
      <c r="G836" s="14">
        <v>45880</v>
      </c>
      <c r="H836" s="14">
        <v>45888</v>
      </c>
      <c r="I836">
        <v>1783.27</v>
      </c>
      <c r="J836">
        <v>7150.69</v>
      </c>
      <c r="K836">
        <v>400.99</v>
      </c>
      <c r="L836">
        <v>134</v>
      </c>
      <c r="M836" s="13" t="s">
        <v>3366</v>
      </c>
    </row>
    <row r="837" spans="1:13" x14ac:dyDescent="0.35">
      <c r="A837" s="13" t="s">
        <v>4221</v>
      </c>
      <c r="B837" s="13" t="s">
        <v>156</v>
      </c>
      <c r="C837" s="13" t="s">
        <v>157</v>
      </c>
      <c r="D837" s="13" t="s">
        <v>92</v>
      </c>
      <c r="E837" s="13" t="s">
        <v>52</v>
      </c>
      <c r="F837" s="13" t="s">
        <v>57</v>
      </c>
      <c r="G837" s="14">
        <v>45877</v>
      </c>
      <c r="H837" s="14">
        <v>45889</v>
      </c>
      <c r="I837">
        <v>10801.57</v>
      </c>
      <c r="J837">
        <v>13589.54</v>
      </c>
      <c r="K837">
        <v>125.81</v>
      </c>
      <c r="L837">
        <v>133</v>
      </c>
      <c r="M837" s="13" t="s">
        <v>3366</v>
      </c>
    </row>
    <row r="838" spans="1:13" x14ac:dyDescent="0.35">
      <c r="A838" s="13" t="s">
        <v>4222</v>
      </c>
      <c r="B838" s="13" t="s">
        <v>1102</v>
      </c>
      <c r="C838" s="13" t="s">
        <v>1103</v>
      </c>
      <c r="D838" s="13" t="s">
        <v>67</v>
      </c>
      <c r="E838" s="13" t="s">
        <v>52</v>
      </c>
      <c r="F838" s="13" t="s">
        <v>87</v>
      </c>
      <c r="G838" s="14">
        <v>45880</v>
      </c>
      <c r="H838" s="14">
        <v>45889</v>
      </c>
      <c r="I838">
        <v>1838.15</v>
      </c>
      <c r="J838">
        <v>3859.59</v>
      </c>
      <c r="K838">
        <v>209.97</v>
      </c>
      <c r="L838">
        <v>133</v>
      </c>
      <c r="M838" s="13" t="s">
        <v>3366</v>
      </c>
    </row>
    <row r="839" spans="1:13" x14ac:dyDescent="0.35">
      <c r="A839" s="13" t="s">
        <v>4223</v>
      </c>
      <c r="B839" s="13" t="s">
        <v>1247</v>
      </c>
      <c r="C839" s="13" t="s">
        <v>1248</v>
      </c>
      <c r="D839" s="13" t="s">
        <v>55</v>
      </c>
      <c r="E839" s="13" t="s">
        <v>52</v>
      </c>
      <c r="F839" s="13" t="s">
        <v>57</v>
      </c>
      <c r="G839" s="14">
        <v>45885</v>
      </c>
      <c r="H839" s="14">
        <v>45890</v>
      </c>
      <c r="I839">
        <v>8683.9599999999991</v>
      </c>
      <c r="J839">
        <v>15666.26</v>
      </c>
      <c r="K839">
        <v>180.4</v>
      </c>
      <c r="L839">
        <v>132</v>
      </c>
      <c r="M839" s="13" t="s">
        <v>3366</v>
      </c>
    </row>
    <row r="840" spans="1:13" x14ac:dyDescent="0.35">
      <c r="A840" s="13" t="s">
        <v>4224</v>
      </c>
      <c r="B840" s="13" t="s">
        <v>1655</v>
      </c>
      <c r="C840" s="13" t="s">
        <v>1656</v>
      </c>
      <c r="D840" s="13" t="s">
        <v>55</v>
      </c>
      <c r="E840" s="13" t="s">
        <v>104</v>
      </c>
      <c r="F840" s="13" t="s">
        <v>122</v>
      </c>
      <c r="G840" s="14">
        <v>45880</v>
      </c>
      <c r="H840" s="14">
        <v>45890</v>
      </c>
      <c r="I840">
        <v>876.95</v>
      </c>
      <c r="J840">
        <v>1401.78</v>
      </c>
      <c r="K840">
        <v>159.85</v>
      </c>
      <c r="L840">
        <v>132</v>
      </c>
      <c r="M840" s="13" t="s">
        <v>3366</v>
      </c>
    </row>
    <row r="841" spans="1:13" x14ac:dyDescent="0.35">
      <c r="A841" s="13" t="s">
        <v>4225</v>
      </c>
      <c r="B841" s="13" t="s">
        <v>4184</v>
      </c>
      <c r="C841" s="13" t="s">
        <v>4185</v>
      </c>
      <c r="D841" s="13" t="s">
        <v>67</v>
      </c>
      <c r="E841" s="13" t="s">
        <v>76</v>
      </c>
      <c r="F841" s="13" t="s">
        <v>80</v>
      </c>
      <c r="G841" s="14">
        <v>45887</v>
      </c>
      <c r="H841" s="14">
        <v>45891</v>
      </c>
      <c r="I841">
        <v>835.51</v>
      </c>
      <c r="J841">
        <v>907.7</v>
      </c>
      <c r="K841">
        <v>108.64</v>
      </c>
      <c r="L841">
        <v>131</v>
      </c>
      <c r="M841" s="13" t="s">
        <v>3366</v>
      </c>
    </row>
    <row r="842" spans="1:13" x14ac:dyDescent="0.35">
      <c r="A842" s="13" t="s">
        <v>4226</v>
      </c>
      <c r="B842" s="13" t="s">
        <v>862</v>
      </c>
      <c r="C842" s="13" t="s">
        <v>863</v>
      </c>
      <c r="D842" s="13" t="s">
        <v>67</v>
      </c>
      <c r="E842" s="13" t="s">
        <v>126</v>
      </c>
      <c r="F842" s="13" t="s">
        <v>106</v>
      </c>
      <c r="G842" s="14">
        <v>45885</v>
      </c>
      <c r="H842" s="14">
        <v>45891</v>
      </c>
      <c r="I842">
        <v>1736.58</v>
      </c>
      <c r="J842">
        <v>1750.18</v>
      </c>
      <c r="K842">
        <v>100.78</v>
      </c>
      <c r="L842">
        <v>131</v>
      </c>
      <c r="M842" s="13" t="s">
        <v>3366</v>
      </c>
    </row>
    <row r="843" spans="1:13" x14ac:dyDescent="0.35">
      <c r="A843" s="13" t="s">
        <v>4227</v>
      </c>
      <c r="B843" s="13" t="s">
        <v>1672</v>
      </c>
      <c r="C843" s="13" t="s">
        <v>1673</v>
      </c>
      <c r="D843" s="13" t="s">
        <v>67</v>
      </c>
      <c r="E843" s="13" t="s">
        <v>76</v>
      </c>
      <c r="F843" s="13" t="s">
        <v>80</v>
      </c>
      <c r="G843" s="14">
        <v>45881</v>
      </c>
      <c r="H843" s="14">
        <v>45892</v>
      </c>
      <c r="I843">
        <v>699.46</v>
      </c>
      <c r="J843">
        <v>711.78</v>
      </c>
      <c r="K843">
        <v>101.76</v>
      </c>
      <c r="L843">
        <v>130</v>
      </c>
      <c r="M843" s="13" t="s">
        <v>3366</v>
      </c>
    </row>
    <row r="844" spans="1:13" x14ac:dyDescent="0.35">
      <c r="A844" s="13" t="s">
        <v>4228</v>
      </c>
      <c r="B844" s="13" t="s">
        <v>300</v>
      </c>
      <c r="C844" s="13" t="s">
        <v>301</v>
      </c>
      <c r="D844" s="13" t="s">
        <v>92</v>
      </c>
      <c r="E844" s="13" t="s">
        <v>104</v>
      </c>
      <c r="F844" s="13" t="s">
        <v>106</v>
      </c>
      <c r="G844" s="14">
        <v>45884</v>
      </c>
      <c r="H844" s="14">
        <v>45892</v>
      </c>
      <c r="I844">
        <v>1786.71</v>
      </c>
      <c r="J844">
        <v>0</v>
      </c>
      <c r="K844">
        <v>0</v>
      </c>
      <c r="L844">
        <v>130</v>
      </c>
      <c r="M844" s="13" t="s">
        <v>3512</v>
      </c>
    </row>
    <row r="845" spans="1:13" x14ac:dyDescent="0.35">
      <c r="A845" s="13" t="s">
        <v>4229</v>
      </c>
      <c r="B845" s="13" t="s">
        <v>1875</v>
      </c>
      <c r="C845" s="13" t="s">
        <v>1876</v>
      </c>
      <c r="D845" s="13" t="s">
        <v>67</v>
      </c>
      <c r="E845" s="13" t="s">
        <v>104</v>
      </c>
      <c r="F845" s="13" t="s">
        <v>106</v>
      </c>
      <c r="G845" s="14">
        <v>45889</v>
      </c>
      <c r="H845" s="14">
        <v>45892</v>
      </c>
      <c r="I845">
        <v>5435.29</v>
      </c>
      <c r="J845">
        <v>5678.84</v>
      </c>
      <c r="K845">
        <v>104.48</v>
      </c>
      <c r="L845">
        <v>130</v>
      </c>
      <c r="M845" s="13" t="s">
        <v>3366</v>
      </c>
    </row>
    <row r="846" spans="1:13" x14ac:dyDescent="0.35">
      <c r="A846" s="13" t="s">
        <v>4230</v>
      </c>
      <c r="B846" s="13" t="s">
        <v>1766</v>
      </c>
      <c r="C846" s="13" t="s">
        <v>1767</v>
      </c>
      <c r="D846" s="13" t="s">
        <v>67</v>
      </c>
      <c r="E846" s="13" t="s">
        <v>52</v>
      </c>
      <c r="F846" s="13" t="s">
        <v>57</v>
      </c>
      <c r="G846" s="14">
        <v>45885</v>
      </c>
      <c r="H846" s="14">
        <v>45893</v>
      </c>
      <c r="I846">
        <v>10604.38</v>
      </c>
      <c r="J846">
        <v>14688.83</v>
      </c>
      <c r="K846">
        <v>138.52000000000001</v>
      </c>
      <c r="L846">
        <v>129</v>
      </c>
      <c r="M846" s="13" t="s">
        <v>3366</v>
      </c>
    </row>
    <row r="847" spans="1:13" x14ac:dyDescent="0.35">
      <c r="A847" s="13" t="s">
        <v>4231</v>
      </c>
      <c r="B847" s="13" t="s">
        <v>277</v>
      </c>
      <c r="C847" s="13" t="s">
        <v>278</v>
      </c>
      <c r="D847" s="13" t="s">
        <v>92</v>
      </c>
      <c r="E847" s="13" t="s">
        <v>104</v>
      </c>
      <c r="F847" s="13" t="s">
        <v>106</v>
      </c>
      <c r="G847" s="14">
        <v>45879</v>
      </c>
      <c r="H847" s="14">
        <v>45893</v>
      </c>
      <c r="I847">
        <v>2034.43</v>
      </c>
      <c r="J847">
        <v>0</v>
      </c>
      <c r="K847">
        <v>0</v>
      </c>
      <c r="L847">
        <v>129</v>
      </c>
      <c r="M847" s="13" t="s">
        <v>3512</v>
      </c>
    </row>
    <row r="848" spans="1:13" x14ac:dyDescent="0.35">
      <c r="A848" s="13" t="s">
        <v>4232</v>
      </c>
      <c r="B848" s="13" t="s">
        <v>601</v>
      </c>
      <c r="C848" s="13" t="s">
        <v>602</v>
      </c>
      <c r="D848" s="13" t="s">
        <v>67</v>
      </c>
      <c r="E848" s="13" t="s">
        <v>52</v>
      </c>
      <c r="F848" s="13" t="s">
        <v>87</v>
      </c>
      <c r="G848" s="14">
        <v>45881</v>
      </c>
      <c r="H848" s="14">
        <v>45893</v>
      </c>
      <c r="I848">
        <v>5291.9</v>
      </c>
      <c r="J848">
        <v>23110.66</v>
      </c>
      <c r="K848">
        <v>436.72</v>
      </c>
      <c r="L848">
        <v>129</v>
      </c>
      <c r="M848" s="13" t="s">
        <v>3366</v>
      </c>
    </row>
    <row r="849" spans="1:13" x14ac:dyDescent="0.35">
      <c r="A849" s="13" t="s">
        <v>4233</v>
      </c>
      <c r="B849" s="13" t="s">
        <v>283</v>
      </c>
      <c r="C849" s="13" t="s">
        <v>284</v>
      </c>
      <c r="D849" s="13" t="s">
        <v>92</v>
      </c>
      <c r="E849" s="13" t="s">
        <v>104</v>
      </c>
      <c r="F849" s="13" t="s">
        <v>106</v>
      </c>
      <c r="G849" s="14">
        <v>45875</v>
      </c>
      <c r="H849" s="14">
        <v>45893</v>
      </c>
      <c r="I849">
        <v>485.86</v>
      </c>
      <c r="J849">
        <v>0</v>
      </c>
      <c r="K849">
        <v>0</v>
      </c>
      <c r="L849">
        <v>129</v>
      </c>
      <c r="M849" s="13" t="s">
        <v>3512</v>
      </c>
    </row>
    <row r="850" spans="1:13" x14ac:dyDescent="0.35">
      <c r="A850" s="13" t="s">
        <v>4234</v>
      </c>
      <c r="B850" s="13" t="s">
        <v>390</v>
      </c>
      <c r="C850" s="13" t="s">
        <v>391</v>
      </c>
      <c r="D850" s="13" t="s">
        <v>55</v>
      </c>
      <c r="E850" s="13" t="s">
        <v>52</v>
      </c>
      <c r="F850" s="13" t="s">
        <v>87</v>
      </c>
      <c r="G850" s="14">
        <v>45884</v>
      </c>
      <c r="H850" s="14">
        <v>45893</v>
      </c>
      <c r="I850">
        <v>2805.61</v>
      </c>
      <c r="J850">
        <v>2817.2</v>
      </c>
      <c r="K850">
        <v>100.41</v>
      </c>
      <c r="L850">
        <v>129</v>
      </c>
      <c r="M850" s="13" t="s">
        <v>3366</v>
      </c>
    </row>
    <row r="851" spans="1:13" x14ac:dyDescent="0.35">
      <c r="A851" s="13" t="s">
        <v>4235</v>
      </c>
      <c r="B851" s="13" t="s">
        <v>1624</v>
      </c>
      <c r="C851" s="13" t="s">
        <v>1625</v>
      </c>
      <c r="D851" s="13" t="s">
        <v>67</v>
      </c>
      <c r="E851" s="13" t="s">
        <v>126</v>
      </c>
      <c r="F851" s="13" t="s">
        <v>106</v>
      </c>
      <c r="G851" s="14">
        <v>45885</v>
      </c>
      <c r="H851" s="14">
        <v>45894</v>
      </c>
      <c r="I851">
        <v>8092.38</v>
      </c>
      <c r="J851">
        <v>8198.39</v>
      </c>
      <c r="K851">
        <v>101.31</v>
      </c>
      <c r="L851">
        <v>128</v>
      </c>
      <c r="M851" s="13" t="s">
        <v>3366</v>
      </c>
    </row>
    <row r="852" spans="1:13" x14ac:dyDescent="0.35">
      <c r="A852" s="13" t="s">
        <v>4236</v>
      </c>
      <c r="B852" s="13" t="s">
        <v>2080</v>
      </c>
      <c r="C852" s="13" t="s">
        <v>2081</v>
      </c>
      <c r="D852" s="13" t="s">
        <v>55</v>
      </c>
      <c r="E852" s="13" t="s">
        <v>104</v>
      </c>
      <c r="F852" s="13" t="s">
        <v>57</v>
      </c>
      <c r="G852" s="14">
        <v>45887</v>
      </c>
      <c r="H852" s="14">
        <v>45894</v>
      </c>
      <c r="I852">
        <v>3709.78</v>
      </c>
      <c r="J852">
        <v>3717.72</v>
      </c>
      <c r="K852">
        <v>100.21</v>
      </c>
      <c r="L852">
        <v>128</v>
      </c>
      <c r="M852" s="13" t="s">
        <v>3366</v>
      </c>
    </row>
    <row r="853" spans="1:13" x14ac:dyDescent="0.35">
      <c r="A853" s="13" t="s">
        <v>4237</v>
      </c>
      <c r="B853" s="13" t="s">
        <v>1150</v>
      </c>
      <c r="C853" s="13" t="s">
        <v>1151</v>
      </c>
      <c r="D853" s="13" t="s">
        <v>92</v>
      </c>
      <c r="E853" s="13" t="s">
        <v>76</v>
      </c>
      <c r="F853" s="13" t="s">
        <v>80</v>
      </c>
      <c r="G853" s="14">
        <v>45884</v>
      </c>
      <c r="H853" s="14">
        <v>45894</v>
      </c>
      <c r="I853">
        <v>798.12</v>
      </c>
      <c r="J853">
        <v>1636.55</v>
      </c>
      <c r="K853">
        <v>205.05</v>
      </c>
      <c r="L853">
        <v>128</v>
      </c>
      <c r="M853" s="13" t="s">
        <v>3366</v>
      </c>
    </row>
    <row r="854" spans="1:13" x14ac:dyDescent="0.35">
      <c r="A854" s="13" t="s">
        <v>4238</v>
      </c>
      <c r="B854" s="13" t="s">
        <v>561</v>
      </c>
      <c r="C854" s="13" t="s">
        <v>562</v>
      </c>
      <c r="D854" s="13" t="s">
        <v>67</v>
      </c>
      <c r="E854" s="13" t="s">
        <v>126</v>
      </c>
      <c r="F854" s="13" t="s">
        <v>87</v>
      </c>
      <c r="G854" s="14">
        <v>45884</v>
      </c>
      <c r="H854" s="14">
        <v>45894</v>
      </c>
      <c r="I854">
        <v>3042.73</v>
      </c>
      <c r="J854">
        <v>6548</v>
      </c>
      <c r="K854">
        <v>215.2</v>
      </c>
      <c r="L854">
        <v>128</v>
      </c>
      <c r="M854" s="13" t="s">
        <v>3366</v>
      </c>
    </row>
    <row r="855" spans="1:13" x14ac:dyDescent="0.35">
      <c r="A855" s="13" t="s">
        <v>4239</v>
      </c>
      <c r="B855" s="13" t="s">
        <v>1723</v>
      </c>
      <c r="C855" s="13" t="s">
        <v>1724</v>
      </c>
      <c r="D855" s="13" t="s">
        <v>92</v>
      </c>
      <c r="E855" s="13" t="s">
        <v>76</v>
      </c>
      <c r="F855" s="13" t="s">
        <v>94</v>
      </c>
      <c r="G855" s="14">
        <v>45883</v>
      </c>
      <c r="H855" s="14">
        <v>45894</v>
      </c>
      <c r="I855">
        <v>2421.4</v>
      </c>
      <c r="J855">
        <v>4462.2</v>
      </c>
      <c r="K855">
        <v>184.28</v>
      </c>
      <c r="L855">
        <v>128</v>
      </c>
      <c r="M855" s="13" t="s">
        <v>3366</v>
      </c>
    </row>
    <row r="856" spans="1:13" x14ac:dyDescent="0.35">
      <c r="A856" s="13" t="s">
        <v>4240</v>
      </c>
      <c r="B856" s="13" t="s">
        <v>286</v>
      </c>
      <c r="C856" s="13" t="s">
        <v>287</v>
      </c>
      <c r="D856" s="13" t="s">
        <v>92</v>
      </c>
      <c r="E856" s="13" t="s">
        <v>104</v>
      </c>
      <c r="F856" s="13" t="s">
        <v>87</v>
      </c>
      <c r="G856" s="14">
        <v>45880</v>
      </c>
      <c r="H856" s="14">
        <v>45894</v>
      </c>
      <c r="I856">
        <v>1557.26</v>
      </c>
      <c r="J856">
        <v>0</v>
      </c>
      <c r="K856">
        <v>0</v>
      </c>
      <c r="L856">
        <v>128</v>
      </c>
      <c r="M856" s="13" t="s">
        <v>3512</v>
      </c>
    </row>
    <row r="857" spans="1:13" x14ac:dyDescent="0.35">
      <c r="A857" s="13" t="s">
        <v>4241</v>
      </c>
      <c r="B857" s="13" t="s">
        <v>1807</v>
      </c>
      <c r="C857" s="13" t="s">
        <v>1808</v>
      </c>
      <c r="D857" s="13" t="s">
        <v>55</v>
      </c>
      <c r="E857" s="13" t="s">
        <v>76</v>
      </c>
      <c r="F857" s="13" t="s">
        <v>94</v>
      </c>
      <c r="G857" s="14">
        <v>45885</v>
      </c>
      <c r="H857" s="14">
        <v>45895</v>
      </c>
      <c r="I857">
        <v>977.7</v>
      </c>
      <c r="J857">
        <v>982.47</v>
      </c>
      <c r="K857">
        <v>100.49</v>
      </c>
      <c r="L857">
        <v>127</v>
      </c>
      <c r="M857" s="13" t="s">
        <v>3366</v>
      </c>
    </row>
    <row r="858" spans="1:13" x14ac:dyDescent="0.35">
      <c r="A858" s="13" t="s">
        <v>4242</v>
      </c>
      <c r="B858" s="13" t="s">
        <v>235</v>
      </c>
      <c r="C858" s="13" t="s">
        <v>236</v>
      </c>
      <c r="D858" s="13" t="s">
        <v>55</v>
      </c>
      <c r="E858" s="13" t="s">
        <v>76</v>
      </c>
      <c r="F858" s="13" t="s">
        <v>80</v>
      </c>
      <c r="G858" s="14">
        <v>45886</v>
      </c>
      <c r="H858" s="14">
        <v>45895</v>
      </c>
      <c r="I858">
        <v>2509.52</v>
      </c>
      <c r="J858">
        <v>2609.31</v>
      </c>
      <c r="K858">
        <v>103.98</v>
      </c>
      <c r="L858">
        <v>127</v>
      </c>
      <c r="M858" s="13" t="s">
        <v>3366</v>
      </c>
    </row>
    <row r="859" spans="1:13" x14ac:dyDescent="0.35">
      <c r="A859" s="13" t="s">
        <v>4243</v>
      </c>
      <c r="B859" s="13" t="s">
        <v>605</v>
      </c>
      <c r="C859" s="13" t="s">
        <v>606</v>
      </c>
      <c r="D859" s="13" t="s">
        <v>67</v>
      </c>
      <c r="E859" s="13" t="s">
        <v>52</v>
      </c>
      <c r="F859" s="13" t="s">
        <v>87</v>
      </c>
      <c r="G859" s="14">
        <v>45884</v>
      </c>
      <c r="H859" s="14">
        <v>45895</v>
      </c>
      <c r="I859">
        <v>2320.89</v>
      </c>
      <c r="J859">
        <v>2442.9899999999998</v>
      </c>
      <c r="K859">
        <v>105.26</v>
      </c>
      <c r="L859">
        <v>127</v>
      </c>
      <c r="M859" s="13" t="s">
        <v>3366</v>
      </c>
    </row>
    <row r="860" spans="1:13" x14ac:dyDescent="0.35">
      <c r="A860" s="13" t="s">
        <v>4244</v>
      </c>
      <c r="B860" s="13" t="s">
        <v>293</v>
      </c>
      <c r="C860" s="13" t="s">
        <v>294</v>
      </c>
      <c r="D860" s="13" t="s">
        <v>92</v>
      </c>
      <c r="E860" s="13" t="s">
        <v>104</v>
      </c>
      <c r="F860" s="13" t="s">
        <v>122</v>
      </c>
      <c r="G860" s="14">
        <v>45878</v>
      </c>
      <c r="H860" s="14">
        <v>45896</v>
      </c>
      <c r="I860">
        <v>4889.5600000000004</v>
      </c>
      <c r="J860">
        <v>0</v>
      </c>
      <c r="K860">
        <v>0</v>
      </c>
      <c r="L860">
        <v>126</v>
      </c>
      <c r="M860" s="13" t="s">
        <v>3512</v>
      </c>
    </row>
    <row r="861" spans="1:13" x14ac:dyDescent="0.35">
      <c r="A861" s="13" t="s">
        <v>4245</v>
      </c>
      <c r="B861" s="13" t="s">
        <v>286</v>
      </c>
      <c r="C861" s="13" t="s">
        <v>287</v>
      </c>
      <c r="D861" s="13" t="s">
        <v>92</v>
      </c>
      <c r="E861" s="13" t="s">
        <v>104</v>
      </c>
      <c r="F861" s="13" t="s">
        <v>87</v>
      </c>
      <c r="G861" s="14">
        <v>45872</v>
      </c>
      <c r="H861" s="14">
        <v>45896</v>
      </c>
      <c r="I861">
        <v>767.46</v>
      </c>
      <c r="J861">
        <v>0</v>
      </c>
      <c r="K861">
        <v>0</v>
      </c>
      <c r="L861">
        <v>126</v>
      </c>
      <c r="M861" s="13" t="s">
        <v>3512</v>
      </c>
    </row>
    <row r="862" spans="1:13" x14ac:dyDescent="0.35">
      <c r="A862" s="13" t="s">
        <v>4246</v>
      </c>
      <c r="B862" s="13" t="s">
        <v>1470</v>
      </c>
      <c r="C862" s="13" t="s">
        <v>1471</v>
      </c>
      <c r="D862" s="13" t="s">
        <v>67</v>
      </c>
      <c r="E862" s="13" t="s">
        <v>52</v>
      </c>
      <c r="F862" s="13" t="s">
        <v>87</v>
      </c>
      <c r="G862" s="14">
        <v>45890</v>
      </c>
      <c r="H862" s="14">
        <v>45896</v>
      </c>
      <c r="I862">
        <v>1734.94</v>
      </c>
      <c r="J862">
        <v>1766.8</v>
      </c>
      <c r="K862">
        <v>101.84</v>
      </c>
      <c r="L862">
        <v>126</v>
      </c>
      <c r="M862" s="13" t="s">
        <v>3366</v>
      </c>
    </row>
    <row r="863" spans="1:13" x14ac:dyDescent="0.35">
      <c r="A863" s="13" t="s">
        <v>4247</v>
      </c>
      <c r="B863" s="13" t="s">
        <v>1001</v>
      </c>
      <c r="C863" s="13" t="s">
        <v>1002</v>
      </c>
      <c r="D863" s="13" t="s">
        <v>55</v>
      </c>
      <c r="E863" s="13" t="s">
        <v>76</v>
      </c>
      <c r="F863" s="13" t="s">
        <v>94</v>
      </c>
      <c r="G863" s="14">
        <v>45886</v>
      </c>
      <c r="H863" s="14">
        <v>45897</v>
      </c>
      <c r="I863">
        <v>701.18</v>
      </c>
      <c r="J863">
        <v>4308.8</v>
      </c>
      <c r="K863">
        <v>614.51</v>
      </c>
      <c r="L863">
        <v>125</v>
      </c>
      <c r="M863" s="13" t="s">
        <v>3366</v>
      </c>
    </row>
    <row r="864" spans="1:13" x14ac:dyDescent="0.35">
      <c r="A864" s="13" t="s">
        <v>4248</v>
      </c>
      <c r="B864" s="13" t="s">
        <v>1237</v>
      </c>
      <c r="C864" s="13" t="s">
        <v>1238</v>
      </c>
      <c r="D864" s="13" t="s">
        <v>67</v>
      </c>
      <c r="E864" s="13" t="s">
        <v>104</v>
      </c>
      <c r="F864" s="13" t="s">
        <v>122</v>
      </c>
      <c r="G864" s="14">
        <v>45885</v>
      </c>
      <c r="H864" s="14">
        <v>45897</v>
      </c>
      <c r="I864">
        <v>6604.85</v>
      </c>
      <c r="J864">
        <v>10246.290000000001</v>
      </c>
      <c r="K864">
        <v>155.13</v>
      </c>
      <c r="L864">
        <v>125</v>
      </c>
      <c r="M864" s="13" t="s">
        <v>3366</v>
      </c>
    </row>
    <row r="865" spans="1:13" x14ac:dyDescent="0.35">
      <c r="A865" s="13" t="s">
        <v>4249</v>
      </c>
      <c r="B865" s="13" t="s">
        <v>300</v>
      </c>
      <c r="C865" s="13" t="s">
        <v>301</v>
      </c>
      <c r="D865" s="13" t="s">
        <v>92</v>
      </c>
      <c r="E865" s="13" t="s">
        <v>104</v>
      </c>
      <c r="F865" s="13" t="s">
        <v>106</v>
      </c>
      <c r="G865" s="14">
        <v>45887</v>
      </c>
      <c r="H865" s="14">
        <v>45897</v>
      </c>
      <c r="I865">
        <v>837.45</v>
      </c>
      <c r="J865">
        <v>0</v>
      </c>
      <c r="K865">
        <v>0</v>
      </c>
      <c r="L865">
        <v>125</v>
      </c>
      <c r="M865" s="13" t="s">
        <v>3512</v>
      </c>
    </row>
    <row r="866" spans="1:13" x14ac:dyDescent="0.35">
      <c r="A866" s="13" t="s">
        <v>4250</v>
      </c>
      <c r="B866" s="13" t="s">
        <v>300</v>
      </c>
      <c r="C866" s="13" t="s">
        <v>301</v>
      </c>
      <c r="D866" s="13" t="s">
        <v>92</v>
      </c>
      <c r="E866" s="13" t="s">
        <v>104</v>
      </c>
      <c r="F866" s="13" t="s">
        <v>106</v>
      </c>
      <c r="G866" s="14">
        <v>45874</v>
      </c>
      <c r="H866" s="14">
        <v>45897</v>
      </c>
      <c r="I866">
        <v>3073.08</v>
      </c>
      <c r="J866">
        <v>0</v>
      </c>
      <c r="K866">
        <v>0</v>
      </c>
      <c r="L866">
        <v>125</v>
      </c>
      <c r="M866" s="13" t="s">
        <v>3512</v>
      </c>
    </row>
    <row r="867" spans="1:13" x14ac:dyDescent="0.35">
      <c r="A867" s="13" t="s">
        <v>4251</v>
      </c>
      <c r="B867" s="13" t="s">
        <v>1444</v>
      </c>
      <c r="C867" s="13" t="s">
        <v>1445</v>
      </c>
      <c r="D867" s="13" t="s">
        <v>55</v>
      </c>
      <c r="E867" s="13" t="s">
        <v>104</v>
      </c>
      <c r="F867" s="13" t="s">
        <v>106</v>
      </c>
      <c r="G867" s="14">
        <v>45884</v>
      </c>
      <c r="H867" s="14">
        <v>45897</v>
      </c>
      <c r="I867">
        <v>7312.78</v>
      </c>
      <c r="J867">
        <v>8114.27</v>
      </c>
      <c r="K867">
        <v>110.96</v>
      </c>
      <c r="L867">
        <v>125</v>
      </c>
      <c r="M867" s="13" t="s">
        <v>3366</v>
      </c>
    </row>
    <row r="868" spans="1:13" x14ac:dyDescent="0.35">
      <c r="A868" s="13" t="s">
        <v>4252</v>
      </c>
      <c r="B868" s="13" t="s">
        <v>614</v>
      </c>
      <c r="C868" s="13" t="s">
        <v>615</v>
      </c>
      <c r="D868" s="13" t="s">
        <v>55</v>
      </c>
      <c r="E868" s="13" t="s">
        <v>126</v>
      </c>
      <c r="F868" s="13" t="s">
        <v>122</v>
      </c>
      <c r="G868" s="14">
        <v>45892</v>
      </c>
      <c r="H868" s="14">
        <v>45898</v>
      </c>
      <c r="I868">
        <v>1231.02</v>
      </c>
      <c r="J868">
        <v>11971.64</v>
      </c>
      <c r="K868">
        <v>972.5</v>
      </c>
      <c r="L868">
        <v>124</v>
      </c>
      <c r="M868" s="13" t="s">
        <v>3366</v>
      </c>
    </row>
    <row r="869" spans="1:13" x14ac:dyDescent="0.35">
      <c r="A869" s="13" t="s">
        <v>4253</v>
      </c>
      <c r="B869" s="13" t="s">
        <v>283</v>
      </c>
      <c r="C869" s="13" t="s">
        <v>284</v>
      </c>
      <c r="D869" s="13" t="s">
        <v>92</v>
      </c>
      <c r="E869" s="13" t="s">
        <v>104</v>
      </c>
      <c r="F869" s="13" t="s">
        <v>106</v>
      </c>
      <c r="G869" s="14">
        <v>45880</v>
      </c>
      <c r="H869" s="14">
        <v>45898</v>
      </c>
      <c r="I869">
        <v>4526.96</v>
      </c>
      <c r="J869">
        <v>0</v>
      </c>
      <c r="K869">
        <v>0</v>
      </c>
      <c r="L869">
        <v>124</v>
      </c>
      <c r="M869" s="13" t="s">
        <v>3512</v>
      </c>
    </row>
    <row r="870" spans="1:13" x14ac:dyDescent="0.35">
      <c r="A870" s="13" t="s">
        <v>4254</v>
      </c>
      <c r="B870" s="13" t="s">
        <v>1237</v>
      </c>
      <c r="C870" s="13" t="s">
        <v>1238</v>
      </c>
      <c r="D870" s="13" t="s">
        <v>67</v>
      </c>
      <c r="E870" s="13" t="s">
        <v>104</v>
      </c>
      <c r="F870" s="13" t="s">
        <v>122</v>
      </c>
      <c r="G870" s="14">
        <v>45888</v>
      </c>
      <c r="H870" s="14">
        <v>45898</v>
      </c>
      <c r="I870">
        <v>1773.78</v>
      </c>
      <c r="J870">
        <v>10246.290000000001</v>
      </c>
      <c r="K870">
        <v>577.65</v>
      </c>
      <c r="L870">
        <v>124</v>
      </c>
      <c r="M870" s="13" t="s">
        <v>3366</v>
      </c>
    </row>
    <row r="871" spans="1:13" x14ac:dyDescent="0.35">
      <c r="A871" s="13" t="s">
        <v>4255</v>
      </c>
      <c r="B871" s="13" t="s">
        <v>2193</v>
      </c>
      <c r="C871" s="13" t="s">
        <v>2194</v>
      </c>
      <c r="D871" s="13" t="s">
        <v>55</v>
      </c>
      <c r="E871" s="13" t="s">
        <v>104</v>
      </c>
      <c r="F871" s="13" t="s">
        <v>122</v>
      </c>
      <c r="G871" s="14">
        <v>45886</v>
      </c>
      <c r="H871" s="14">
        <v>45898</v>
      </c>
      <c r="I871">
        <v>1167.44</v>
      </c>
      <c r="J871">
        <v>1292.5999999999999</v>
      </c>
      <c r="K871">
        <v>110.72</v>
      </c>
      <c r="L871">
        <v>124</v>
      </c>
      <c r="M871" s="13" t="s">
        <v>3366</v>
      </c>
    </row>
    <row r="872" spans="1:13" x14ac:dyDescent="0.35">
      <c r="A872" s="13" t="s">
        <v>4256</v>
      </c>
      <c r="B872" s="13" t="s">
        <v>641</v>
      </c>
      <c r="C872" s="13" t="s">
        <v>642</v>
      </c>
      <c r="D872" s="13" t="s">
        <v>67</v>
      </c>
      <c r="E872" s="13" t="s">
        <v>52</v>
      </c>
      <c r="F872" s="13" t="s">
        <v>57</v>
      </c>
      <c r="G872" s="14">
        <v>45895</v>
      </c>
      <c r="H872" s="14">
        <v>45898</v>
      </c>
      <c r="I872">
        <v>3817.81</v>
      </c>
      <c r="J872">
        <v>8150.19</v>
      </c>
      <c r="K872">
        <v>213.48</v>
      </c>
      <c r="L872">
        <v>124</v>
      </c>
      <c r="M872" s="13" t="s">
        <v>3366</v>
      </c>
    </row>
    <row r="873" spans="1:13" x14ac:dyDescent="0.35">
      <c r="A873" s="13" t="s">
        <v>4257</v>
      </c>
      <c r="B873" s="13" t="s">
        <v>2642</v>
      </c>
      <c r="C873" s="13" t="s">
        <v>2643</v>
      </c>
      <c r="D873" s="13" t="s">
        <v>92</v>
      </c>
      <c r="E873" s="13" t="s">
        <v>76</v>
      </c>
      <c r="F873" s="13" t="s">
        <v>94</v>
      </c>
      <c r="G873" s="14">
        <v>45894</v>
      </c>
      <c r="H873" s="14">
        <v>45898</v>
      </c>
      <c r="I873">
        <v>1049.52</v>
      </c>
      <c r="J873">
        <v>3360.86</v>
      </c>
      <c r="K873">
        <v>320.23</v>
      </c>
      <c r="L873">
        <v>124</v>
      </c>
      <c r="M873" s="13" t="s">
        <v>3366</v>
      </c>
    </row>
    <row r="874" spans="1:13" x14ac:dyDescent="0.35">
      <c r="A874" s="13" t="s">
        <v>4258</v>
      </c>
      <c r="B874" s="13" t="s">
        <v>641</v>
      </c>
      <c r="C874" s="13" t="s">
        <v>642</v>
      </c>
      <c r="D874" s="13" t="s">
        <v>67</v>
      </c>
      <c r="E874" s="13" t="s">
        <v>52</v>
      </c>
      <c r="F874" s="13" t="s">
        <v>57</v>
      </c>
      <c r="G874" s="14">
        <v>45892</v>
      </c>
      <c r="H874" s="14">
        <v>45899</v>
      </c>
      <c r="I874">
        <v>2010.01</v>
      </c>
      <c r="J874">
        <v>8150.19</v>
      </c>
      <c r="K874">
        <v>405.48</v>
      </c>
      <c r="L874">
        <v>123</v>
      </c>
      <c r="M874" s="13" t="s">
        <v>3366</v>
      </c>
    </row>
    <row r="875" spans="1:13" x14ac:dyDescent="0.35">
      <c r="A875" s="13" t="s">
        <v>4259</v>
      </c>
      <c r="B875" s="13" t="s">
        <v>1358</v>
      </c>
      <c r="C875" s="13" t="s">
        <v>1359</v>
      </c>
      <c r="D875" s="13" t="s">
        <v>92</v>
      </c>
      <c r="E875" s="13" t="s">
        <v>76</v>
      </c>
      <c r="F875" s="13" t="s">
        <v>80</v>
      </c>
      <c r="G875" s="14">
        <v>45894</v>
      </c>
      <c r="H875" s="14">
        <v>45899</v>
      </c>
      <c r="I875">
        <v>3387.45</v>
      </c>
      <c r="J875">
        <v>4403.57</v>
      </c>
      <c r="K875">
        <v>130</v>
      </c>
      <c r="L875">
        <v>123</v>
      </c>
      <c r="M875" s="13" t="s">
        <v>3366</v>
      </c>
    </row>
    <row r="876" spans="1:13" x14ac:dyDescent="0.35">
      <c r="A876" s="13" t="s">
        <v>4260</v>
      </c>
      <c r="B876" s="13" t="s">
        <v>1553</v>
      </c>
      <c r="C876" s="13" t="s">
        <v>1554</v>
      </c>
      <c r="D876" s="13" t="s">
        <v>55</v>
      </c>
      <c r="E876" s="13" t="s">
        <v>76</v>
      </c>
      <c r="F876" s="13" t="s">
        <v>80</v>
      </c>
      <c r="G876" s="14">
        <v>45888</v>
      </c>
      <c r="H876" s="14">
        <v>45899</v>
      </c>
      <c r="I876">
        <v>2150.67</v>
      </c>
      <c r="J876">
        <v>5909.12</v>
      </c>
      <c r="K876">
        <v>274.76</v>
      </c>
      <c r="L876">
        <v>123</v>
      </c>
      <c r="M876" s="13" t="s">
        <v>3366</v>
      </c>
    </row>
    <row r="877" spans="1:13" x14ac:dyDescent="0.35">
      <c r="A877" s="13" t="s">
        <v>4261</v>
      </c>
      <c r="B877" s="13" t="s">
        <v>1627</v>
      </c>
      <c r="C877" s="13" t="s">
        <v>1628</v>
      </c>
      <c r="D877" s="13" t="s">
        <v>55</v>
      </c>
      <c r="E877" s="13" t="s">
        <v>76</v>
      </c>
      <c r="F877" s="13" t="s">
        <v>80</v>
      </c>
      <c r="G877" s="14">
        <v>45886</v>
      </c>
      <c r="H877" s="14">
        <v>45899</v>
      </c>
      <c r="I877">
        <v>2969.98</v>
      </c>
      <c r="J877">
        <v>3127.42</v>
      </c>
      <c r="K877">
        <v>105.3</v>
      </c>
      <c r="L877">
        <v>123</v>
      </c>
      <c r="M877" s="13" t="s">
        <v>3366</v>
      </c>
    </row>
    <row r="878" spans="1:13" x14ac:dyDescent="0.35">
      <c r="A878" s="13" t="s">
        <v>4262</v>
      </c>
      <c r="B878" s="13" t="s">
        <v>290</v>
      </c>
      <c r="C878" s="13" t="s">
        <v>291</v>
      </c>
      <c r="D878" s="13" t="s">
        <v>92</v>
      </c>
      <c r="E878" s="13" t="s">
        <v>104</v>
      </c>
      <c r="F878" s="13" t="s">
        <v>122</v>
      </c>
      <c r="G878" s="14">
        <v>45884</v>
      </c>
      <c r="H878" s="14">
        <v>45899</v>
      </c>
      <c r="I878">
        <v>974.07</v>
      </c>
      <c r="J878">
        <v>0</v>
      </c>
      <c r="K878">
        <v>0</v>
      </c>
      <c r="L878">
        <v>123</v>
      </c>
      <c r="M878" s="13" t="s">
        <v>3512</v>
      </c>
    </row>
    <row r="879" spans="1:13" x14ac:dyDescent="0.35">
      <c r="A879" s="13" t="s">
        <v>4263</v>
      </c>
      <c r="B879" s="13" t="s">
        <v>1150</v>
      </c>
      <c r="C879" s="13" t="s">
        <v>1151</v>
      </c>
      <c r="D879" s="13" t="s">
        <v>92</v>
      </c>
      <c r="E879" s="13" t="s">
        <v>76</v>
      </c>
      <c r="F879" s="13" t="s">
        <v>80</v>
      </c>
      <c r="G879" s="14">
        <v>45894</v>
      </c>
      <c r="H879" s="14">
        <v>45899</v>
      </c>
      <c r="I879">
        <v>1384</v>
      </c>
      <c r="J879">
        <v>2050.33</v>
      </c>
      <c r="K879">
        <v>148.15</v>
      </c>
      <c r="L879">
        <v>123</v>
      </c>
      <c r="M879" s="13" t="s">
        <v>3366</v>
      </c>
    </row>
    <row r="880" spans="1:13" x14ac:dyDescent="0.35">
      <c r="A880" s="13" t="s">
        <v>4264</v>
      </c>
      <c r="B880" s="13" t="s">
        <v>2274</v>
      </c>
      <c r="C880" s="13" t="s">
        <v>2275</v>
      </c>
      <c r="D880" s="13" t="s">
        <v>55</v>
      </c>
      <c r="E880" s="13" t="s">
        <v>104</v>
      </c>
      <c r="F880" s="13" t="s">
        <v>122</v>
      </c>
      <c r="G880" s="14">
        <v>45897</v>
      </c>
      <c r="H880" s="14">
        <v>45899</v>
      </c>
      <c r="I880">
        <v>875.34</v>
      </c>
      <c r="J880">
        <v>14467.7</v>
      </c>
      <c r="K880">
        <v>1652.81</v>
      </c>
      <c r="L880">
        <v>123</v>
      </c>
      <c r="M880" s="13" t="s">
        <v>3366</v>
      </c>
    </row>
    <row r="881" spans="1:13" x14ac:dyDescent="0.35">
      <c r="A881" s="13" t="s">
        <v>4265</v>
      </c>
      <c r="B881" s="13" t="s">
        <v>283</v>
      </c>
      <c r="C881" s="13" t="s">
        <v>284</v>
      </c>
      <c r="D881" s="13" t="s">
        <v>92</v>
      </c>
      <c r="E881" s="13" t="s">
        <v>104</v>
      </c>
      <c r="F881" s="13" t="s">
        <v>106</v>
      </c>
      <c r="G881" s="14">
        <v>45880</v>
      </c>
      <c r="H881" s="14">
        <v>45900</v>
      </c>
      <c r="I881">
        <v>589.52</v>
      </c>
      <c r="J881">
        <v>0</v>
      </c>
      <c r="K881">
        <v>0</v>
      </c>
      <c r="L881">
        <v>122</v>
      </c>
      <c r="M881" s="13" t="s">
        <v>3512</v>
      </c>
    </row>
    <row r="882" spans="1:13" x14ac:dyDescent="0.35">
      <c r="A882" s="13" t="s">
        <v>4266</v>
      </c>
      <c r="B882" s="13" t="s">
        <v>542</v>
      </c>
      <c r="C882" s="13" t="s">
        <v>543</v>
      </c>
      <c r="D882" s="13" t="s">
        <v>67</v>
      </c>
      <c r="E882" s="13" t="s">
        <v>126</v>
      </c>
      <c r="F882" s="13" t="s">
        <v>122</v>
      </c>
      <c r="G882" s="14">
        <v>45892</v>
      </c>
      <c r="H882" s="14">
        <v>45900</v>
      </c>
      <c r="I882">
        <v>1300.1300000000001</v>
      </c>
      <c r="J882">
        <v>1327.03</v>
      </c>
      <c r="K882">
        <v>102.07</v>
      </c>
      <c r="L882">
        <v>122</v>
      </c>
      <c r="M882" s="13" t="s">
        <v>3366</v>
      </c>
    </row>
    <row r="883" spans="1:13" x14ac:dyDescent="0.35">
      <c r="A883" s="13" t="s">
        <v>4267</v>
      </c>
      <c r="B883" s="13" t="s">
        <v>300</v>
      </c>
      <c r="C883" s="13" t="s">
        <v>301</v>
      </c>
      <c r="D883" s="13" t="s">
        <v>92</v>
      </c>
      <c r="E883" s="13" t="s">
        <v>104</v>
      </c>
      <c r="F883" s="13" t="s">
        <v>106</v>
      </c>
      <c r="G883" s="14">
        <v>45887</v>
      </c>
      <c r="H883" s="14">
        <v>45900</v>
      </c>
      <c r="I883">
        <v>5914.2</v>
      </c>
      <c r="J883">
        <v>0</v>
      </c>
      <c r="K883">
        <v>0</v>
      </c>
      <c r="L883">
        <v>122</v>
      </c>
      <c r="M883" s="13" t="s">
        <v>3512</v>
      </c>
    </row>
    <row r="884" spans="1:13" x14ac:dyDescent="0.35">
      <c r="A884" s="13" t="s">
        <v>4268</v>
      </c>
      <c r="B884" s="13" t="s">
        <v>296</v>
      </c>
      <c r="C884" s="13" t="s">
        <v>297</v>
      </c>
      <c r="D884" s="13" t="s">
        <v>92</v>
      </c>
      <c r="E884" s="13" t="s">
        <v>104</v>
      </c>
      <c r="F884" s="13" t="s">
        <v>106</v>
      </c>
      <c r="G884" s="14">
        <v>45876</v>
      </c>
      <c r="H884" s="14">
        <v>45900</v>
      </c>
      <c r="I884">
        <v>3387.97</v>
      </c>
      <c r="J884">
        <v>0</v>
      </c>
      <c r="K884">
        <v>0</v>
      </c>
      <c r="L884">
        <v>122</v>
      </c>
      <c r="M884" s="13" t="s">
        <v>3512</v>
      </c>
    </row>
    <row r="885" spans="1:13" x14ac:dyDescent="0.35">
      <c r="A885" s="13" t="s">
        <v>4269</v>
      </c>
      <c r="B885" s="13" t="s">
        <v>293</v>
      </c>
      <c r="C885" s="13" t="s">
        <v>294</v>
      </c>
      <c r="D885" s="13" t="s">
        <v>92</v>
      </c>
      <c r="E885" s="13" t="s">
        <v>104</v>
      </c>
      <c r="F885" s="13" t="s">
        <v>122</v>
      </c>
      <c r="G885" s="14">
        <v>45887</v>
      </c>
      <c r="H885" s="14">
        <v>45900</v>
      </c>
      <c r="I885">
        <v>3847</v>
      </c>
      <c r="J885">
        <v>0</v>
      </c>
      <c r="K885">
        <v>0</v>
      </c>
      <c r="L885">
        <v>122</v>
      </c>
      <c r="M885" s="13" t="s">
        <v>3512</v>
      </c>
    </row>
    <row r="886" spans="1:13" x14ac:dyDescent="0.35">
      <c r="A886" s="13" t="s">
        <v>4270</v>
      </c>
      <c r="B886" s="13" t="s">
        <v>442</v>
      </c>
      <c r="C886" s="13" t="s">
        <v>443</v>
      </c>
      <c r="D886" s="13" t="s">
        <v>92</v>
      </c>
      <c r="E886" s="13" t="s">
        <v>104</v>
      </c>
      <c r="F886" s="13" t="s">
        <v>122</v>
      </c>
      <c r="G886" s="14">
        <v>45897</v>
      </c>
      <c r="H886" s="14">
        <v>45900</v>
      </c>
      <c r="I886">
        <v>2780.3</v>
      </c>
      <c r="J886">
        <v>2922.24</v>
      </c>
      <c r="K886">
        <v>105.11</v>
      </c>
      <c r="L886">
        <v>122</v>
      </c>
      <c r="M886" s="13" t="s">
        <v>3366</v>
      </c>
    </row>
    <row r="887" spans="1:13" x14ac:dyDescent="0.35">
      <c r="A887" s="13" t="s">
        <v>4271</v>
      </c>
      <c r="B887" s="13" t="s">
        <v>280</v>
      </c>
      <c r="C887" s="13" t="s">
        <v>281</v>
      </c>
      <c r="D887" s="13" t="s">
        <v>92</v>
      </c>
      <c r="E887" s="13" t="s">
        <v>104</v>
      </c>
      <c r="F887" s="13" t="s">
        <v>122</v>
      </c>
      <c r="G887" s="14">
        <v>45876</v>
      </c>
      <c r="H887" s="14">
        <v>45900</v>
      </c>
      <c r="I887">
        <v>3839.1</v>
      </c>
      <c r="J887">
        <v>0</v>
      </c>
      <c r="K887">
        <v>0</v>
      </c>
      <c r="L887">
        <v>122</v>
      </c>
      <c r="M887" s="13" t="s">
        <v>3512</v>
      </c>
    </row>
    <row r="888" spans="1:13" x14ac:dyDescent="0.35">
      <c r="A888" s="13" t="s">
        <v>4272</v>
      </c>
      <c r="B888" s="13" t="s">
        <v>90</v>
      </c>
      <c r="C888" s="13" t="s">
        <v>91</v>
      </c>
      <c r="D888" s="13" t="s">
        <v>92</v>
      </c>
      <c r="E888" s="13" t="s">
        <v>76</v>
      </c>
      <c r="F888" s="13" t="s">
        <v>94</v>
      </c>
      <c r="G888" s="14">
        <v>45897</v>
      </c>
      <c r="H888" s="14">
        <v>45901</v>
      </c>
      <c r="I888">
        <v>796.35</v>
      </c>
      <c r="J888">
        <v>5890.96</v>
      </c>
      <c r="K888">
        <v>739.75</v>
      </c>
      <c r="L888">
        <v>121</v>
      </c>
      <c r="M888" s="13" t="s">
        <v>3366</v>
      </c>
    </row>
    <row r="889" spans="1:13" x14ac:dyDescent="0.35">
      <c r="A889" s="13" t="s">
        <v>4273</v>
      </c>
      <c r="B889" s="13" t="s">
        <v>481</v>
      </c>
      <c r="C889" s="13" t="s">
        <v>482</v>
      </c>
      <c r="D889" s="13" t="s">
        <v>67</v>
      </c>
      <c r="E889" s="13" t="s">
        <v>76</v>
      </c>
      <c r="F889" s="13" t="s">
        <v>80</v>
      </c>
      <c r="G889" s="14">
        <v>45897</v>
      </c>
      <c r="H889" s="14">
        <v>45901</v>
      </c>
      <c r="I889">
        <v>2836.38</v>
      </c>
      <c r="J889">
        <v>3602.52</v>
      </c>
      <c r="K889">
        <v>127.01</v>
      </c>
      <c r="L889">
        <v>121</v>
      </c>
      <c r="M889" s="13" t="s">
        <v>3366</v>
      </c>
    </row>
    <row r="890" spans="1:13" x14ac:dyDescent="0.35">
      <c r="A890" s="13" t="s">
        <v>4274</v>
      </c>
      <c r="B890" s="13" t="s">
        <v>434</v>
      </c>
      <c r="C890" s="13" t="s">
        <v>435</v>
      </c>
      <c r="D890" s="13" t="s">
        <v>55</v>
      </c>
      <c r="E890" s="13" t="s">
        <v>52</v>
      </c>
      <c r="F890" s="13" t="s">
        <v>57</v>
      </c>
      <c r="G890" s="14">
        <v>45891</v>
      </c>
      <c r="H890" s="14">
        <v>45901</v>
      </c>
      <c r="I890">
        <v>7050.1</v>
      </c>
      <c r="J890">
        <v>7745.36</v>
      </c>
      <c r="K890">
        <v>109.86</v>
      </c>
      <c r="L890">
        <v>121</v>
      </c>
      <c r="M890" s="13" t="s">
        <v>3366</v>
      </c>
    </row>
    <row r="891" spans="1:13" x14ac:dyDescent="0.35">
      <c r="A891" s="13" t="s">
        <v>4275</v>
      </c>
      <c r="B891" s="13" t="s">
        <v>2316</v>
      </c>
      <c r="C891" s="13" t="s">
        <v>2317</v>
      </c>
      <c r="D891" s="13" t="s">
        <v>67</v>
      </c>
      <c r="E891" s="13" t="s">
        <v>76</v>
      </c>
      <c r="F891" s="13" t="s">
        <v>94</v>
      </c>
      <c r="G891" s="14">
        <v>45890</v>
      </c>
      <c r="H891" s="14">
        <v>45902</v>
      </c>
      <c r="I891">
        <v>1390.92</v>
      </c>
      <c r="J891">
        <v>3319.45</v>
      </c>
      <c r="K891">
        <v>238.65</v>
      </c>
      <c r="L891">
        <v>120</v>
      </c>
      <c r="M891" s="13" t="s">
        <v>3366</v>
      </c>
    </row>
    <row r="892" spans="1:13" x14ac:dyDescent="0.35">
      <c r="A892" s="13" t="s">
        <v>4276</v>
      </c>
      <c r="B892" s="13" t="s">
        <v>277</v>
      </c>
      <c r="C892" s="13" t="s">
        <v>278</v>
      </c>
      <c r="D892" s="13" t="s">
        <v>92</v>
      </c>
      <c r="E892" s="13" t="s">
        <v>104</v>
      </c>
      <c r="F892" s="13" t="s">
        <v>106</v>
      </c>
      <c r="G892" s="14">
        <v>45877</v>
      </c>
      <c r="H892" s="14">
        <v>45902</v>
      </c>
      <c r="I892">
        <v>2780.45</v>
      </c>
      <c r="J892">
        <v>0</v>
      </c>
      <c r="K892">
        <v>0</v>
      </c>
      <c r="L892">
        <v>120</v>
      </c>
      <c r="M892" s="13" t="s">
        <v>3512</v>
      </c>
    </row>
    <row r="893" spans="1:13" x14ac:dyDescent="0.35">
      <c r="A893" s="13" t="s">
        <v>4277</v>
      </c>
      <c r="B893" s="13" t="s">
        <v>113</v>
      </c>
      <c r="C893" s="13" t="s">
        <v>114</v>
      </c>
      <c r="D893" s="13" t="s">
        <v>92</v>
      </c>
      <c r="E893" s="13" t="s">
        <v>52</v>
      </c>
      <c r="F893" s="13" t="s">
        <v>87</v>
      </c>
      <c r="G893" s="14">
        <v>45893</v>
      </c>
      <c r="H893" s="14">
        <v>45902</v>
      </c>
      <c r="I893">
        <v>2097.69</v>
      </c>
      <c r="J893">
        <v>11859.58</v>
      </c>
      <c r="K893">
        <v>565.36</v>
      </c>
      <c r="L893">
        <v>120</v>
      </c>
      <c r="M893" s="13" t="s">
        <v>3366</v>
      </c>
    </row>
    <row r="894" spans="1:13" x14ac:dyDescent="0.35">
      <c r="A894" s="13" t="s">
        <v>4278</v>
      </c>
      <c r="B894" s="13" t="s">
        <v>340</v>
      </c>
      <c r="C894" s="13" t="s">
        <v>341</v>
      </c>
      <c r="D894" s="13" t="s">
        <v>92</v>
      </c>
      <c r="E894" s="13" t="s">
        <v>52</v>
      </c>
      <c r="F894" s="13" t="s">
        <v>57</v>
      </c>
      <c r="G894" s="14">
        <v>45901</v>
      </c>
      <c r="H894" s="14">
        <v>45903</v>
      </c>
      <c r="I894">
        <v>12390.45</v>
      </c>
      <c r="J894">
        <v>15614.53</v>
      </c>
      <c r="K894">
        <v>126.02</v>
      </c>
      <c r="L894">
        <v>119</v>
      </c>
      <c r="M894" s="13" t="s">
        <v>3366</v>
      </c>
    </row>
    <row r="895" spans="1:13" x14ac:dyDescent="0.35">
      <c r="A895" s="13" t="s">
        <v>4279</v>
      </c>
      <c r="B895" s="13" t="s">
        <v>1201</v>
      </c>
      <c r="C895" s="13" t="s">
        <v>1202</v>
      </c>
      <c r="D895" s="13" t="s">
        <v>67</v>
      </c>
      <c r="E895" s="13" t="s">
        <v>126</v>
      </c>
      <c r="F895" s="13" t="s">
        <v>87</v>
      </c>
      <c r="G895" s="14">
        <v>45900</v>
      </c>
      <c r="H895" s="14">
        <v>45903</v>
      </c>
      <c r="I895">
        <v>10023.219999999999</v>
      </c>
      <c r="J895">
        <v>10608.42</v>
      </c>
      <c r="K895">
        <v>105.84</v>
      </c>
      <c r="L895">
        <v>119</v>
      </c>
      <c r="M895" s="13" t="s">
        <v>3366</v>
      </c>
    </row>
    <row r="896" spans="1:13" x14ac:dyDescent="0.35">
      <c r="A896" s="13" t="s">
        <v>4280</v>
      </c>
      <c r="B896" s="13" t="s">
        <v>286</v>
      </c>
      <c r="C896" s="13" t="s">
        <v>287</v>
      </c>
      <c r="D896" s="13" t="s">
        <v>92</v>
      </c>
      <c r="E896" s="13" t="s">
        <v>104</v>
      </c>
      <c r="F896" s="13" t="s">
        <v>87</v>
      </c>
      <c r="G896" s="14">
        <v>45887</v>
      </c>
      <c r="H896" s="14">
        <v>45903</v>
      </c>
      <c r="I896">
        <v>1224.6099999999999</v>
      </c>
      <c r="J896">
        <v>0</v>
      </c>
      <c r="K896">
        <v>0</v>
      </c>
      <c r="L896">
        <v>119</v>
      </c>
      <c r="M896" s="13" t="s">
        <v>3512</v>
      </c>
    </row>
    <row r="897" spans="1:13" x14ac:dyDescent="0.35">
      <c r="A897" s="13" t="s">
        <v>4281</v>
      </c>
      <c r="B897" s="13" t="s">
        <v>222</v>
      </c>
      <c r="C897" s="13" t="s">
        <v>223</v>
      </c>
      <c r="D897" s="13" t="s">
        <v>92</v>
      </c>
      <c r="E897" s="13" t="s">
        <v>52</v>
      </c>
      <c r="F897" s="13" t="s">
        <v>57</v>
      </c>
      <c r="G897" s="14">
        <v>45890</v>
      </c>
      <c r="H897" s="14">
        <v>45903</v>
      </c>
      <c r="I897">
        <v>1514.15</v>
      </c>
      <c r="J897">
        <v>6113.92</v>
      </c>
      <c r="K897">
        <v>403.79</v>
      </c>
      <c r="L897">
        <v>119</v>
      </c>
      <c r="M897" s="13" t="s">
        <v>3366</v>
      </c>
    </row>
    <row r="898" spans="1:13" x14ac:dyDescent="0.35">
      <c r="A898" s="13" t="s">
        <v>4282</v>
      </c>
      <c r="B898" s="13" t="s">
        <v>165</v>
      </c>
      <c r="C898" s="13" t="s">
        <v>166</v>
      </c>
      <c r="D898" s="13" t="s">
        <v>67</v>
      </c>
      <c r="E898" s="13" t="s">
        <v>104</v>
      </c>
      <c r="F898" s="13" t="s">
        <v>122</v>
      </c>
      <c r="G898" s="14">
        <v>45894</v>
      </c>
      <c r="H898" s="14">
        <v>45905</v>
      </c>
      <c r="I898">
        <v>7529.63</v>
      </c>
      <c r="J898">
        <v>7681.78</v>
      </c>
      <c r="K898">
        <v>102.02</v>
      </c>
      <c r="L898">
        <v>117</v>
      </c>
      <c r="M898" s="13" t="s">
        <v>3366</v>
      </c>
    </row>
    <row r="899" spans="1:13" x14ac:dyDescent="0.35">
      <c r="A899" s="13" t="s">
        <v>4283</v>
      </c>
      <c r="B899" s="13" t="s">
        <v>539</v>
      </c>
      <c r="C899" s="13" t="s">
        <v>540</v>
      </c>
      <c r="D899" s="13" t="s">
        <v>67</v>
      </c>
      <c r="E899" s="13" t="s">
        <v>52</v>
      </c>
      <c r="F899" s="13" t="s">
        <v>57</v>
      </c>
      <c r="G899" s="14">
        <v>45900</v>
      </c>
      <c r="H899" s="14">
        <v>45905</v>
      </c>
      <c r="I899">
        <v>5352.67</v>
      </c>
      <c r="J899">
        <v>5597.73</v>
      </c>
      <c r="K899">
        <v>104.58</v>
      </c>
      <c r="L899">
        <v>117</v>
      </c>
      <c r="M899" s="13" t="s">
        <v>3366</v>
      </c>
    </row>
    <row r="900" spans="1:13" x14ac:dyDescent="0.35">
      <c r="A900" s="13" t="s">
        <v>4284</v>
      </c>
      <c r="B900" s="13" t="s">
        <v>168</v>
      </c>
      <c r="C900" s="13" t="s">
        <v>169</v>
      </c>
      <c r="D900" s="13" t="s">
        <v>67</v>
      </c>
      <c r="E900" s="13" t="s">
        <v>52</v>
      </c>
      <c r="F900" s="13" t="s">
        <v>57</v>
      </c>
      <c r="G900" s="14">
        <v>45899</v>
      </c>
      <c r="H900" s="14">
        <v>45905</v>
      </c>
      <c r="I900">
        <v>6701.97</v>
      </c>
      <c r="J900">
        <v>7072.24</v>
      </c>
      <c r="K900">
        <v>105.52</v>
      </c>
      <c r="L900">
        <v>117</v>
      </c>
      <c r="M900" s="13" t="s">
        <v>3366</v>
      </c>
    </row>
    <row r="901" spans="1:13" x14ac:dyDescent="0.35">
      <c r="A901" s="13" t="s">
        <v>4285</v>
      </c>
      <c r="B901" s="13" t="s">
        <v>225</v>
      </c>
      <c r="C901" s="13" t="s">
        <v>226</v>
      </c>
      <c r="D901" s="13" t="s">
        <v>55</v>
      </c>
      <c r="E901" s="13" t="s">
        <v>52</v>
      </c>
      <c r="F901" s="13" t="s">
        <v>57</v>
      </c>
      <c r="G901" s="14">
        <v>45895</v>
      </c>
      <c r="H901" s="14">
        <v>45905</v>
      </c>
      <c r="I901">
        <v>4480.6499999999996</v>
      </c>
      <c r="J901">
        <v>9625.9599999999991</v>
      </c>
      <c r="K901">
        <v>214.83</v>
      </c>
      <c r="L901">
        <v>117</v>
      </c>
      <c r="M901" s="13" t="s">
        <v>3366</v>
      </c>
    </row>
    <row r="902" spans="1:13" x14ac:dyDescent="0.35">
      <c r="A902" s="13" t="s">
        <v>4286</v>
      </c>
      <c r="B902" s="13" t="s">
        <v>1105</v>
      </c>
      <c r="C902" s="13" t="s">
        <v>1106</v>
      </c>
      <c r="D902" s="13" t="s">
        <v>67</v>
      </c>
      <c r="E902" s="13" t="s">
        <v>52</v>
      </c>
      <c r="F902" s="13" t="s">
        <v>57</v>
      </c>
      <c r="G902" s="14">
        <v>45891</v>
      </c>
      <c r="H902" s="14">
        <v>45905</v>
      </c>
      <c r="I902">
        <v>8320.36</v>
      </c>
      <c r="J902">
        <v>8648.86</v>
      </c>
      <c r="K902">
        <v>103.95</v>
      </c>
      <c r="L902">
        <v>117</v>
      </c>
      <c r="M902" s="13" t="s">
        <v>3366</v>
      </c>
    </row>
    <row r="903" spans="1:13" x14ac:dyDescent="0.35">
      <c r="A903" s="13" t="s">
        <v>4287</v>
      </c>
      <c r="B903" s="13" t="s">
        <v>1749</v>
      </c>
      <c r="C903" s="13" t="s">
        <v>1750</v>
      </c>
      <c r="D903" s="13" t="s">
        <v>92</v>
      </c>
      <c r="E903" s="13" t="s">
        <v>76</v>
      </c>
      <c r="F903" s="13" t="s">
        <v>94</v>
      </c>
      <c r="G903" s="14">
        <v>45894</v>
      </c>
      <c r="H903" s="14">
        <v>45905</v>
      </c>
      <c r="I903">
        <v>1144.8599999999999</v>
      </c>
      <c r="J903">
        <v>1151.97</v>
      </c>
      <c r="K903">
        <v>100.62</v>
      </c>
      <c r="L903">
        <v>117</v>
      </c>
      <c r="M903" s="13" t="s">
        <v>3366</v>
      </c>
    </row>
    <row r="904" spans="1:13" x14ac:dyDescent="0.35">
      <c r="A904" s="13" t="s">
        <v>4288</v>
      </c>
      <c r="B904" s="13" t="s">
        <v>914</v>
      </c>
      <c r="C904" s="13" t="s">
        <v>915</v>
      </c>
      <c r="D904" s="13" t="s">
        <v>55</v>
      </c>
      <c r="E904" s="13" t="s">
        <v>76</v>
      </c>
      <c r="F904" s="13" t="s">
        <v>94</v>
      </c>
      <c r="G904" s="14">
        <v>45899</v>
      </c>
      <c r="H904" s="14">
        <v>45906</v>
      </c>
      <c r="I904">
        <v>2403.4</v>
      </c>
      <c r="J904">
        <v>2456.37</v>
      </c>
      <c r="K904">
        <v>102.2</v>
      </c>
      <c r="L904">
        <v>116</v>
      </c>
      <c r="M904" s="13" t="s">
        <v>3366</v>
      </c>
    </row>
    <row r="905" spans="1:13" x14ac:dyDescent="0.35">
      <c r="A905" s="13" t="s">
        <v>4289</v>
      </c>
      <c r="B905" s="13" t="s">
        <v>2351</v>
      </c>
      <c r="C905" s="13" t="s">
        <v>2352</v>
      </c>
      <c r="D905" s="13" t="s">
        <v>67</v>
      </c>
      <c r="E905" s="13" t="s">
        <v>104</v>
      </c>
      <c r="F905" s="13" t="s">
        <v>122</v>
      </c>
      <c r="G905" s="14">
        <v>45893</v>
      </c>
      <c r="H905" s="14">
        <v>45906</v>
      </c>
      <c r="I905">
        <v>4603.88</v>
      </c>
      <c r="J905">
        <v>4658.96</v>
      </c>
      <c r="K905">
        <v>101.2</v>
      </c>
      <c r="L905">
        <v>116</v>
      </c>
      <c r="M905" s="13" t="s">
        <v>3366</v>
      </c>
    </row>
    <row r="906" spans="1:13" x14ac:dyDescent="0.35">
      <c r="A906" s="13" t="s">
        <v>4290</v>
      </c>
      <c r="B906" s="13" t="s">
        <v>290</v>
      </c>
      <c r="C906" s="13" t="s">
        <v>291</v>
      </c>
      <c r="D906" s="13" t="s">
        <v>92</v>
      </c>
      <c r="E906" s="13" t="s">
        <v>104</v>
      </c>
      <c r="F906" s="13" t="s">
        <v>122</v>
      </c>
      <c r="G906" s="14">
        <v>45891</v>
      </c>
      <c r="H906" s="14">
        <v>45907</v>
      </c>
      <c r="I906">
        <v>4583.3900000000003</v>
      </c>
      <c r="J906">
        <v>0</v>
      </c>
      <c r="K906">
        <v>0</v>
      </c>
      <c r="L906">
        <v>115</v>
      </c>
      <c r="M906" s="13" t="s">
        <v>3512</v>
      </c>
    </row>
    <row r="907" spans="1:13" x14ac:dyDescent="0.35">
      <c r="A907" s="13" t="s">
        <v>4291</v>
      </c>
      <c r="B907" s="13" t="s">
        <v>695</v>
      </c>
      <c r="C907" s="13" t="s">
        <v>696</v>
      </c>
      <c r="D907" s="13" t="s">
        <v>92</v>
      </c>
      <c r="E907" s="13" t="s">
        <v>52</v>
      </c>
      <c r="F907" s="13" t="s">
        <v>57</v>
      </c>
      <c r="G907" s="14">
        <v>45899</v>
      </c>
      <c r="H907" s="14">
        <v>45907</v>
      </c>
      <c r="I907">
        <v>2323.15</v>
      </c>
      <c r="J907">
        <v>19790.490000000002</v>
      </c>
      <c r="K907">
        <v>851.88</v>
      </c>
      <c r="L907">
        <v>115</v>
      </c>
      <c r="M907" s="13" t="s">
        <v>3366</v>
      </c>
    </row>
    <row r="908" spans="1:13" x14ac:dyDescent="0.35">
      <c r="A908" s="13" t="s">
        <v>4292</v>
      </c>
      <c r="B908" s="13" t="s">
        <v>203</v>
      </c>
      <c r="C908" s="13" t="s">
        <v>204</v>
      </c>
      <c r="D908" s="13" t="s">
        <v>67</v>
      </c>
      <c r="E908" s="13" t="s">
        <v>52</v>
      </c>
      <c r="F908" s="13" t="s">
        <v>57</v>
      </c>
      <c r="G908" s="14">
        <v>45899</v>
      </c>
      <c r="H908" s="14">
        <v>45907</v>
      </c>
      <c r="I908">
        <v>4757.88</v>
      </c>
      <c r="J908">
        <v>12241.93</v>
      </c>
      <c r="K908">
        <v>257.3</v>
      </c>
      <c r="L908">
        <v>115</v>
      </c>
      <c r="M908" s="13" t="s">
        <v>3366</v>
      </c>
    </row>
    <row r="909" spans="1:13" x14ac:dyDescent="0.35">
      <c r="A909" s="13" t="s">
        <v>4293</v>
      </c>
      <c r="B909" s="13" t="s">
        <v>286</v>
      </c>
      <c r="C909" s="13" t="s">
        <v>287</v>
      </c>
      <c r="D909" s="13" t="s">
        <v>92</v>
      </c>
      <c r="E909" s="13" t="s">
        <v>104</v>
      </c>
      <c r="F909" s="13" t="s">
        <v>87</v>
      </c>
      <c r="G909" s="14">
        <v>45894</v>
      </c>
      <c r="H909" s="14">
        <v>45908</v>
      </c>
      <c r="I909">
        <v>1110.3699999999999</v>
      </c>
      <c r="J909">
        <v>0</v>
      </c>
      <c r="K909">
        <v>0</v>
      </c>
      <c r="L909">
        <v>114</v>
      </c>
      <c r="M909" s="13" t="s">
        <v>3512</v>
      </c>
    </row>
    <row r="910" spans="1:13" x14ac:dyDescent="0.35">
      <c r="A910" s="13" t="s">
        <v>4294</v>
      </c>
      <c r="B910" s="13" t="s">
        <v>277</v>
      </c>
      <c r="C910" s="13" t="s">
        <v>278</v>
      </c>
      <c r="D910" s="13" t="s">
        <v>92</v>
      </c>
      <c r="E910" s="13" t="s">
        <v>104</v>
      </c>
      <c r="F910" s="13" t="s">
        <v>106</v>
      </c>
      <c r="G910" s="14">
        <v>45890</v>
      </c>
      <c r="H910" s="14">
        <v>45908</v>
      </c>
      <c r="I910">
        <v>4747.8900000000003</v>
      </c>
      <c r="J910">
        <v>0</v>
      </c>
      <c r="K910">
        <v>0</v>
      </c>
      <c r="L910">
        <v>114</v>
      </c>
      <c r="M910" s="13" t="s">
        <v>3512</v>
      </c>
    </row>
    <row r="911" spans="1:13" x14ac:dyDescent="0.35">
      <c r="A911" s="13" t="s">
        <v>4295</v>
      </c>
      <c r="B911" s="13" t="s">
        <v>290</v>
      </c>
      <c r="C911" s="13" t="s">
        <v>291</v>
      </c>
      <c r="D911" s="13" t="s">
        <v>92</v>
      </c>
      <c r="E911" s="13" t="s">
        <v>104</v>
      </c>
      <c r="F911" s="13" t="s">
        <v>122</v>
      </c>
      <c r="G911" s="14">
        <v>45892</v>
      </c>
      <c r="H911" s="14">
        <v>45909</v>
      </c>
      <c r="I911">
        <v>1352.43</v>
      </c>
      <c r="J911">
        <v>0</v>
      </c>
      <c r="K911">
        <v>0</v>
      </c>
      <c r="L911">
        <v>113</v>
      </c>
      <c r="M911" s="13" t="s">
        <v>3512</v>
      </c>
    </row>
    <row r="912" spans="1:13" x14ac:dyDescent="0.35">
      <c r="A912" s="13" t="s">
        <v>4296</v>
      </c>
      <c r="B912" s="13" t="s">
        <v>290</v>
      </c>
      <c r="C912" s="13" t="s">
        <v>291</v>
      </c>
      <c r="D912" s="13" t="s">
        <v>92</v>
      </c>
      <c r="E912" s="13" t="s">
        <v>104</v>
      </c>
      <c r="F912" s="13" t="s">
        <v>122</v>
      </c>
      <c r="G912" s="14">
        <v>45885</v>
      </c>
      <c r="H912" s="14">
        <v>45910</v>
      </c>
      <c r="I912">
        <v>764.61</v>
      </c>
      <c r="J912">
        <v>0</v>
      </c>
      <c r="K912">
        <v>0</v>
      </c>
      <c r="L912">
        <v>112</v>
      </c>
      <c r="M912" s="13" t="s">
        <v>3512</v>
      </c>
    </row>
    <row r="913" spans="1:13" x14ac:dyDescent="0.35">
      <c r="A913" s="13" t="s">
        <v>4297</v>
      </c>
      <c r="B913" s="13" t="s">
        <v>206</v>
      </c>
      <c r="C913" s="13" t="s">
        <v>207</v>
      </c>
      <c r="D913" s="13" t="s">
        <v>92</v>
      </c>
      <c r="E913" s="13" t="s">
        <v>52</v>
      </c>
      <c r="F913" s="13" t="s">
        <v>87</v>
      </c>
      <c r="G913" s="14">
        <v>45904</v>
      </c>
      <c r="H913" s="14">
        <v>45910</v>
      </c>
      <c r="I913">
        <v>7502.48</v>
      </c>
      <c r="J913">
        <v>32544.13</v>
      </c>
      <c r="K913">
        <v>433.78</v>
      </c>
      <c r="L913">
        <v>112</v>
      </c>
      <c r="M913" s="13" t="s">
        <v>3366</v>
      </c>
    </row>
    <row r="914" spans="1:13" x14ac:dyDescent="0.35">
      <c r="A914" s="13" t="s">
        <v>4298</v>
      </c>
      <c r="B914" s="13" t="s">
        <v>293</v>
      </c>
      <c r="C914" s="13" t="s">
        <v>294</v>
      </c>
      <c r="D914" s="13" t="s">
        <v>92</v>
      </c>
      <c r="E914" s="13" t="s">
        <v>104</v>
      </c>
      <c r="F914" s="13" t="s">
        <v>122</v>
      </c>
      <c r="G914" s="14">
        <v>45885</v>
      </c>
      <c r="H914" s="14">
        <v>45910</v>
      </c>
      <c r="I914">
        <v>699.61</v>
      </c>
      <c r="J914">
        <v>0</v>
      </c>
      <c r="K914">
        <v>0</v>
      </c>
      <c r="L914">
        <v>112</v>
      </c>
      <c r="M914" s="13" t="s">
        <v>3512</v>
      </c>
    </row>
    <row r="915" spans="1:13" x14ac:dyDescent="0.35">
      <c r="A915" s="13" t="s">
        <v>4299</v>
      </c>
      <c r="B915" s="13" t="s">
        <v>1490</v>
      </c>
      <c r="C915" s="13" t="s">
        <v>1491</v>
      </c>
      <c r="D915" s="13" t="s">
        <v>55</v>
      </c>
      <c r="E915" s="13" t="s">
        <v>104</v>
      </c>
      <c r="F915" s="13" t="s">
        <v>106</v>
      </c>
      <c r="G915" s="14">
        <v>45903</v>
      </c>
      <c r="H915" s="14">
        <v>45910</v>
      </c>
      <c r="I915">
        <v>5521.29</v>
      </c>
      <c r="J915">
        <v>5625.35</v>
      </c>
      <c r="K915">
        <v>101.88</v>
      </c>
      <c r="L915">
        <v>112</v>
      </c>
      <c r="M915" s="13" t="s">
        <v>3366</v>
      </c>
    </row>
    <row r="916" spans="1:13" x14ac:dyDescent="0.35">
      <c r="A916" s="13" t="s">
        <v>4300</v>
      </c>
      <c r="B916" s="13" t="s">
        <v>1276</v>
      </c>
      <c r="C916" s="13" t="s">
        <v>1277</v>
      </c>
      <c r="D916" s="13" t="s">
        <v>67</v>
      </c>
      <c r="E916" s="13" t="s">
        <v>104</v>
      </c>
      <c r="F916" s="13" t="s">
        <v>106</v>
      </c>
      <c r="G916" s="14">
        <v>45906</v>
      </c>
      <c r="H916" s="14">
        <v>45910</v>
      </c>
      <c r="I916">
        <v>3459</v>
      </c>
      <c r="J916">
        <v>3611.86</v>
      </c>
      <c r="K916">
        <v>104.42</v>
      </c>
      <c r="L916">
        <v>112</v>
      </c>
      <c r="M916" s="13" t="s">
        <v>3366</v>
      </c>
    </row>
    <row r="917" spans="1:13" x14ac:dyDescent="0.35">
      <c r="A917" s="13" t="s">
        <v>4301</v>
      </c>
      <c r="B917" s="13" t="s">
        <v>212</v>
      </c>
      <c r="C917" s="13" t="s">
        <v>213</v>
      </c>
      <c r="D917" s="13" t="s">
        <v>92</v>
      </c>
      <c r="E917" s="13" t="s">
        <v>52</v>
      </c>
      <c r="F917" s="13" t="s">
        <v>87</v>
      </c>
      <c r="G917" s="14">
        <v>45905</v>
      </c>
      <c r="H917" s="14">
        <v>45911</v>
      </c>
      <c r="I917">
        <v>2177.29</v>
      </c>
      <c r="J917">
        <v>2342.58</v>
      </c>
      <c r="K917">
        <v>107.59</v>
      </c>
      <c r="L917">
        <v>111</v>
      </c>
      <c r="M917" s="13" t="s">
        <v>3366</v>
      </c>
    </row>
    <row r="918" spans="1:13" x14ac:dyDescent="0.35">
      <c r="A918" s="13" t="s">
        <v>4302</v>
      </c>
      <c r="B918" s="13" t="s">
        <v>293</v>
      </c>
      <c r="C918" s="13" t="s">
        <v>294</v>
      </c>
      <c r="D918" s="13" t="s">
        <v>92</v>
      </c>
      <c r="E918" s="13" t="s">
        <v>104</v>
      </c>
      <c r="F918" s="13" t="s">
        <v>122</v>
      </c>
      <c r="G918" s="14">
        <v>45888</v>
      </c>
      <c r="H918" s="14">
        <v>45911</v>
      </c>
      <c r="I918">
        <v>3911.59</v>
      </c>
      <c r="J918">
        <v>0</v>
      </c>
      <c r="K918">
        <v>0</v>
      </c>
      <c r="L918">
        <v>111</v>
      </c>
      <c r="M918" s="13" t="s">
        <v>3512</v>
      </c>
    </row>
    <row r="919" spans="1:13" x14ac:dyDescent="0.35">
      <c r="A919" s="13" t="s">
        <v>4303</v>
      </c>
      <c r="B919" s="13" t="s">
        <v>375</v>
      </c>
      <c r="C919" s="13" t="s">
        <v>376</v>
      </c>
      <c r="D919" s="13" t="s">
        <v>55</v>
      </c>
      <c r="E919" s="13" t="s">
        <v>52</v>
      </c>
      <c r="F919" s="13" t="s">
        <v>57</v>
      </c>
      <c r="G919" s="14">
        <v>45901</v>
      </c>
      <c r="H919" s="14">
        <v>45911</v>
      </c>
      <c r="I919">
        <v>6325.77</v>
      </c>
      <c r="J919">
        <v>6351.13</v>
      </c>
      <c r="K919">
        <v>100.4</v>
      </c>
      <c r="L919">
        <v>111</v>
      </c>
      <c r="M919" s="13" t="s">
        <v>3366</v>
      </c>
    </row>
    <row r="920" spans="1:13" x14ac:dyDescent="0.35">
      <c r="A920" s="13" t="s">
        <v>4304</v>
      </c>
      <c r="B920" s="13" t="s">
        <v>766</v>
      </c>
      <c r="C920" s="13" t="s">
        <v>767</v>
      </c>
      <c r="D920" s="13" t="s">
        <v>92</v>
      </c>
      <c r="E920" s="13" t="s">
        <v>104</v>
      </c>
      <c r="F920" s="13" t="s">
        <v>106</v>
      </c>
      <c r="G920" s="14">
        <v>45907</v>
      </c>
      <c r="H920" s="14">
        <v>45912</v>
      </c>
      <c r="I920">
        <v>4011.26</v>
      </c>
      <c r="J920">
        <v>4131.46</v>
      </c>
      <c r="K920">
        <v>103</v>
      </c>
      <c r="L920">
        <v>110</v>
      </c>
      <c r="M920" s="13" t="s">
        <v>3366</v>
      </c>
    </row>
    <row r="921" spans="1:13" x14ac:dyDescent="0.35">
      <c r="A921" s="13" t="s">
        <v>4305</v>
      </c>
      <c r="B921" s="13" t="s">
        <v>253</v>
      </c>
      <c r="C921" s="13" t="s">
        <v>254</v>
      </c>
      <c r="D921" s="13" t="s">
        <v>55</v>
      </c>
      <c r="E921" s="13" t="s">
        <v>52</v>
      </c>
      <c r="F921" s="13" t="s">
        <v>57</v>
      </c>
      <c r="G921" s="14">
        <v>45899</v>
      </c>
      <c r="H921" s="14">
        <v>45912</v>
      </c>
      <c r="I921">
        <v>800.37</v>
      </c>
      <c r="J921">
        <v>13405.08</v>
      </c>
      <c r="K921">
        <v>1674.86</v>
      </c>
      <c r="L921">
        <v>110</v>
      </c>
      <c r="M921" s="13" t="s">
        <v>3366</v>
      </c>
    </row>
    <row r="922" spans="1:13" x14ac:dyDescent="0.35">
      <c r="A922" s="13" t="s">
        <v>4306</v>
      </c>
      <c r="B922" s="13" t="s">
        <v>1601</v>
      </c>
      <c r="C922" s="13" t="s">
        <v>1602</v>
      </c>
      <c r="D922" s="13" t="s">
        <v>55</v>
      </c>
      <c r="E922" s="13" t="s">
        <v>76</v>
      </c>
      <c r="F922" s="13" t="s">
        <v>94</v>
      </c>
      <c r="G922" s="14">
        <v>45908</v>
      </c>
      <c r="H922" s="14">
        <v>45912</v>
      </c>
      <c r="I922">
        <v>3138.24</v>
      </c>
      <c r="J922">
        <v>5169.5200000000004</v>
      </c>
      <c r="K922">
        <v>164.73</v>
      </c>
      <c r="L922">
        <v>110</v>
      </c>
      <c r="M922" s="13" t="s">
        <v>3366</v>
      </c>
    </row>
    <row r="923" spans="1:13" x14ac:dyDescent="0.35">
      <c r="A923" s="13" t="s">
        <v>4307</v>
      </c>
      <c r="B923" s="13" t="s">
        <v>286</v>
      </c>
      <c r="C923" s="13" t="s">
        <v>287</v>
      </c>
      <c r="D923" s="13" t="s">
        <v>92</v>
      </c>
      <c r="E923" s="13" t="s">
        <v>104</v>
      </c>
      <c r="F923" s="13" t="s">
        <v>87</v>
      </c>
      <c r="G923" s="14">
        <v>45903</v>
      </c>
      <c r="H923" s="14">
        <v>45913</v>
      </c>
      <c r="I923">
        <v>745.46</v>
      </c>
      <c r="J923">
        <v>0</v>
      </c>
      <c r="K923">
        <v>0</v>
      </c>
      <c r="L923">
        <v>109</v>
      </c>
      <c r="M923" s="13" t="s">
        <v>3512</v>
      </c>
    </row>
    <row r="924" spans="1:13" x14ac:dyDescent="0.35">
      <c r="A924" s="13" t="s">
        <v>4308</v>
      </c>
      <c r="B924" s="13" t="s">
        <v>2622</v>
      </c>
      <c r="C924" s="13" t="s">
        <v>2623</v>
      </c>
      <c r="D924" s="13" t="s">
        <v>67</v>
      </c>
      <c r="E924" s="13" t="s">
        <v>104</v>
      </c>
      <c r="F924" s="13" t="s">
        <v>106</v>
      </c>
      <c r="G924" s="14">
        <v>45901</v>
      </c>
      <c r="H924" s="14">
        <v>45913</v>
      </c>
      <c r="I924">
        <v>5058.55</v>
      </c>
      <c r="J924">
        <v>7116.3</v>
      </c>
      <c r="K924">
        <v>140.68</v>
      </c>
      <c r="L924">
        <v>109</v>
      </c>
      <c r="M924" s="13" t="s">
        <v>3366</v>
      </c>
    </row>
    <row r="925" spans="1:13" x14ac:dyDescent="0.35">
      <c r="A925" s="13" t="s">
        <v>4309</v>
      </c>
      <c r="B925" s="13" t="s">
        <v>1957</v>
      </c>
      <c r="C925" s="13" t="s">
        <v>1958</v>
      </c>
      <c r="D925" s="13" t="s">
        <v>55</v>
      </c>
      <c r="E925" s="13" t="s">
        <v>76</v>
      </c>
      <c r="F925" s="13" t="s">
        <v>94</v>
      </c>
      <c r="G925" s="14">
        <v>45905</v>
      </c>
      <c r="H925" s="14">
        <v>45913</v>
      </c>
      <c r="I925">
        <v>1852.6</v>
      </c>
      <c r="J925">
        <v>1882.33</v>
      </c>
      <c r="K925">
        <v>101.6</v>
      </c>
      <c r="L925">
        <v>109</v>
      </c>
      <c r="M925" s="13" t="s">
        <v>3366</v>
      </c>
    </row>
    <row r="926" spans="1:13" x14ac:dyDescent="0.35">
      <c r="A926" s="13" t="s">
        <v>4310</v>
      </c>
      <c r="B926" s="13" t="s">
        <v>280</v>
      </c>
      <c r="C926" s="13" t="s">
        <v>281</v>
      </c>
      <c r="D926" s="13" t="s">
        <v>92</v>
      </c>
      <c r="E926" s="13" t="s">
        <v>104</v>
      </c>
      <c r="F926" s="13" t="s">
        <v>122</v>
      </c>
      <c r="G926" s="14">
        <v>45897</v>
      </c>
      <c r="H926" s="14">
        <v>45913</v>
      </c>
      <c r="I926">
        <v>736.02</v>
      </c>
      <c r="J926">
        <v>0</v>
      </c>
      <c r="K926">
        <v>0</v>
      </c>
      <c r="L926">
        <v>109</v>
      </c>
      <c r="M926" s="13" t="s">
        <v>3512</v>
      </c>
    </row>
    <row r="927" spans="1:13" x14ac:dyDescent="0.35">
      <c r="A927" s="13" t="s">
        <v>4311</v>
      </c>
      <c r="B927" s="13" t="s">
        <v>263</v>
      </c>
      <c r="C927" s="13" t="s">
        <v>264</v>
      </c>
      <c r="D927" s="13" t="s">
        <v>55</v>
      </c>
      <c r="E927" s="13" t="s">
        <v>52</v>
      </c>
      <c r="F927" s="13" t="s">
        <v>87</v>
      </c>
      <c r="G927" s="14">
        <v>45899</v>
      </c>
      <c r="H927" s="14">
        <v>45913</v>
      </c>
      <c r="I927">
        <v>5905.04</v>
      </c>
      <c r="J927">
        <v>53676.38</v>
      </c>
      <c r="K927">
        <v>908.99</v>
      </c>
      <c r="L927">
        <v>109</v>
      </c>
      <c r="M927" s="13" t="s">
        <v>3366</v>
      </c>
    </row>
    <row r="928" spans="1:13" x14ac:dyDescent="0.35">
      <c r="A928" s="13" t="s">
        <v>4312</v>
      </c>
      <c r="B928" s="13" t="s">
        <v>263</v>
      </c>
      <c r="C928" s="13" t="s">
        <v>264</v>
      </c>
      <c r="D928" s="13" t="s">
        <v>55</v>
      </c>
      <c r="E928" s="13" t="s">
        <v>52</v>
      </c>
      <c r="F928" s="13" t="s">
        <v>87</v>
      </c>
      <c r="G928" s="14">
        <v>45903</v>
      </c>
      <c r="H928" s="14">
        <v>45913</v>
      </c>
      <c r="I928">
        <v>10813.07</v>
      </c>
      <c r="J928">
        <v>53676.38</v>
      </c>
      <c r="K928">
        <v>496.4</v>
      </c>
      <c r="L928">
        <v>109</v>
      </c>
      <c r="M928" s="13" t="s">
        <v>3366</v>
      </c>
    </row>
    <row r="929" spans="1:13" x14ac:dyDescent="0.35">
      <c r="A929" s="13" t="s">
        <v>4313</v>
      </c>
      <c r="B929" s="13" t="s">
        <v>263</v>
      </c>
      <c r="C929" s="13" t="s">
        <v>264</v>
      </c>
      <c r="D929" s="13" t="s">
        <v>55</v>
      </c>
      <c r="E929" s="13" t="s">
        <v>52</v>
      </c>
      <c r="F929" s="13" t="s">
        <v>87</v>
      </c>
      <c r="G929" s="14">
        <v>45905</v>
      </c>
      <c r="H929" s="14">
        <v>45914</v>
      </c>
      <c r="I929">
        <v>9230.25</v>
      </c>
      <c r="J929">
        <v>49461.18</v>
      </c>
      <c r="K929">
        <v>535.86</v>
      </c>
      <c r="L929">
        <v>108</v>
      </c>
      <c r="M929" s="13" t="s">
        <v>3366</v>
      </c>
    </row>
    <row r="930" spans="1:13" x14ac:dyDescent="0.35">
      <c r="A930" s="13" t="s">
        <v>4314</v>
      </c>
      <c r="B930" s="13" t="s">
        <v>280</v>
      </c>
      <c r="C930" s="13" t="s">
        <v>281</v>
      </c>
      <c r="D930" s="13" t="s">
        <v>92</v>
      </c>
      <c r="E930" s="13" t="s">
        <v>104</v>
      </c>
      <c r="F930" s="13" t="s">
        <v>122</v>
      </c>
      <c r="G930" s="14">
        <v>45897</v>
      </c>
      <c r="H930" s="14">
        <v>45914</v>
      </c>
      <c r="I930">
        <v>1876.55</v>
      </c>
      <c r="J930">
        <v>0</v>
      </c>
      <c r="K930">
        <v>0</v>
      </c>
      <c r="L930">
        <v>108</v>
      </c>
      <c r="M930" s="13" t="s">
        <v>3512</v>
      </c>
    </row>
    <row r="931" spans="1:13" x14ac:dyDescent="0.35">
      <c r="A931" s="13" t="s">
        <v>4315</v>
      </c>
      <c r="B931" s="13" t="s">
        <v>50</v>
      </c>
      <c r="C931" s="13" t="s">
        <v>51</v>
      </c>
      <c r="D931" s="13" t="s">
        <v>55</v>
      </c>
      <c r="E931" s="13" t="s">
        <v>52</v>
      </c>
      <c r="F931" s="13" t="s">
        <v>57</v>
      </c>
      <c r="G931" s="14">
        <v>45907</v>
      </c>
      <c r="H931" s="14">
        <v>45914</v>
      </c>
      <c r="I931">
        <v>1540.26</v>
      </c>
      <c r="J931">
        <v>10853.18</v>
      </c>
      <c r="K931">
        <v>704.63</v>
      </c>
      <c r="L931">
        <v>108</v>
      </c>
      <c r="M931" s="13" t="s">
        <v>3366</v>
      </c>
    </row>
    <row r="932" spans="1:13" x14ac:dyDescent="0.35">
      <c r="A932" s="13" t="s">
        <v>4316</v>
      </c>
      <c r="B932" s="13" t="s">
        <v>296</v>
      </c>
      <c r="C932" s="13" t="s">
        <v>297</v>
      </c>
      <c r="D932" s="13" t="s">
        <v>92</v>
      </c>
      <c r="E932" s="13" t="s">
        <v>104</v>
      </c>
      <c r="F932" s="13" t="s">
        <v>106</v>
      </c>
      <c r="G932" s="14">
        <v>45900</v>
      </c>
      <c r="H932" s="14">
        <v>45914</v>
      </c>
      <c r="I932">
        <v>3279.09</v>
      </c>
      <c r="J932">
        <v>0</v>
      </c>
      <c r="K932">
        <v>0</v>
      </c>
      <c r="L932">
        <v>108</v>
      </c>
      <c r="M932" s="13" t="s">
        <v>3512</v>
      </c>
    </row>
    <row r="933" spans="1:13" x14ac:dyDescent="0.35">
      <c r="A933" s="13" t="s">
        <v>4317</v>
      </c>
      <c r="B933" s="13" t="s">
        <v>4318</v>
      </c>
      <c r="C933" s="13" t="s">
        <v>4319</v>
      </c>
      <c r="D933" s="13" t="s">
        <v>55</v>
      </c>
      <c r="E933" s="13" t="s">
        <v>104</v>
      </c>
      <c r="F933" s="13" t="s">
        <v>106</v>
      </c>
      <c r="G933" s="14">
        <v>45912</v>
      </c>
      <c r="H933" s="14">
        <v>45914</v>
      </c>
      <c r="I933">
        <v>3772.41</v>
      </c>
      <c r="J933">
        <v>3796.96</v>
      </c>
      <c r="K933">
        <v>100.65</v>
      </c>
      <c r="L933">
        <v>108</v>
      </c>
      <c r="M933" s="13" t="s">
        <v>3366</v>
      </c>
    </row>
    <row r="934" spans="1:13" x14ac:dyDescent="0.35">
      <c r="A934" s="13" t="s">
        <v>4320</v>
      </c>
      <c r="B934" s="13" t="s">
        <v>1723</v>
      </c>
      <c r="C934" s="13" t="s">
        <v>1724</v>
      </c>
      <c r="D934" s="13" t="s">
        <v>92</v>
      </c>
      <c r="E934" s="13" t="s">
        <v>76</v>
      </c>
      <c r="F934" s="13" t="s">
        <v>94</v>
      </c>
      <c r="G934" s="14">
        <v>45903</v>
      </c>
      <c r="H934" s="14">
        <v>45914</v>
      </c>
      <c r="I934">
        <v>1146.23</v>
      </c>
      <c r="J934">
        <v>1252.96</v>
      </c>
      <c r="K934">
        <v>109.31</v>
      </c>
      <c r="L934">
        <v>108</v>
      </c>
      <c r="M934" s="13" t="s">
        <v>3366</v>
      </c>
    </row>
    <row r="935" spans="1:13" x14ac:dyDescent="0.35">
      <c r="A935" s="13" t="s">
        <v>4321</v>
      </c>
      <c r="B935" s="13" t="s">
        <v>109</v>
      </c>
      <c r="C935" s="13" t="s">
        <v>110</v>
      </c>
      <c r="D935" s="13" t="s">
        <v>67</v>
      </c>
      <c r="E935" s="13" t="s">
        <v>52</v>
      </c>
      <c r="F935" s="13" t="s">
        <v>87</v>
      </c>
      <c r="G935" s="14">
        <v>45903</v>
      </c>
      <c r="H935" s="14">
        <v>45914</v>
      </c>
      <c r="I935">
        <v>11518.95</v>
      </c>
      <c r="J935">
        <v>12673.4</v>
      </c>
      <c r="K935">
        <v>110.02</v>
      </c>
      <c r="L935">
        <v>108</v>
      </c>
      <c r="M935" s="13" t="s">
        <v>3366</v>
      </c>
    </row>
    <row r="936" spans="1:13" x14ac:dyDescent="0.35">
      <c r="A936" s="13" t="s">
        <v>4322</v>
      </c>
      <c r="B936" s="13" t="s">
        <v>156</v>
      </c>
      <c r="C936" s="13" t="s">
        <v>157</v>
      </c>
      <c r="D936" s="13" t="s">
        <v>92</v>
      </c>
      <c r="E936" s="13" t="s">
        <v>52</v>
      </c>
      <c r="F936" s="13" t="s">
        <v>57</v>
      </c>
      <c r="G936" s="14">
        <v>45906</v>
      </c>
      <c r="H936" s="14">
        <v>45916</v>
      </c>
      <c r="I936">
        <v>4804.5</v>
      </c>
      <c r="J936">
        <v>14936.67</v>
      </c>
      <c r="K936">
        <v>310.89</v>
      </c>
      <c r="L936">
        <v>106</v>
      </c>
      <c r="M936" s="13" t="s">
        <v>3366</v>
      </c>
    </row>
    <row r="937" spans="1:13" x14ac:dyDescent="0.35">
      <c r="A937" s="13" t="s">
        <v>4323</v>
      </c>
      <c r="B937" s="13" t="s">
        <v>357</v>
      </c>
      <c r="C937" s="13" t="s">
        <v>358</v>
      </c>
      <c r="D937" s="13" t="s">
        <v>92</v>
      </c>
      <c r="E937" s="13" t="s">
        <v>104</v>
      </c>
      <c r="F937" s="13" t="s">
        <v>106</v>
      </c>
      <c r="G937" s="14">
        <v>45900</v>
      </c>
      <c r="H937" s="14">
        <v>45916</v>
      </c>
      <c r="I937">
        <v>4575</v>
      </c>
      <c r="J937">
        <v>0</v>
      </c>
      <c r="K937">
        <v>0</v>
      </c>
      <c r="L937">
        <v>106</v>
      </c>
      <c r="M937" s="13" t="s">
        <v>3512</v>
      </c>
    </row>
    <row r="938" spans="1:13" x14ac:dyDescent="0.35">
      <c r="A938" s="13" t="s">
        <v>4324</v>
      </c>
      <c r="B938" s="13" t="s">
        <v>605</v>
      </c>
      <c r="C938" s="13" t="s">
        <v>606</v>
      </c>
      <c r="D938" s="13" t="s">
        <v>67</v>
      </c>
      <c r="E938" s="13" t="s">
        <v>52</v>
      </c>
      <c r="F938" s="13" t="s">
        <v>87</v>
      </c>
      <c r="G938" s="14">
        <v>45908</v>
      </c>
      <c r="H938" s="14">
        <v>45916</v>
      </c>
      <c r="I938">
        <v>3233.76</v>
      </c>
      <c r="J938">
        <v>3307.39</v>
      </c>
      <c r="K938">
        <v>102.28</v>
      </c>
      <c r="L938">
        <v>106</v>
      </c>
      <c r="M938" s="13" t="s">
        <v>3366</v>
      </c>
    </row>
    <row r="939" spans="1:13" x14ac:dyDescent="0.35">
      <c r="A939" s="13" t="s">
        <v>4325</v>
      </c>
      <c r="B939" s="13" t="s">
        <v>386</v>
      </c>
      <c r="C939" s="13" t="s">
        <v>387</v>
      </c>
      <c r="D939" s="13" t="s">
        <v>67</v>
      </c>
      <c r="E939" s="13" t="s">
        <v>52</v>
      </c>
      <c r="F939" s="13" t="s">
        <v>57</v>
      </c>
      <c r="G939" s="14">
        <v>45896</v>
      </c>
      <c r="H939" s="14">
        <v>45917</v>
      </c>
      <c r="I939">
        <v>10643.72</v>
      </c>
      <c r="J939">
        <v>0</v>
      </c>
      <c r="K939">
        <v>0</v>
      </c>
      <c r="L939">
        <v>105</v>
      </c>
      <c r="M939" s="13" t="s">
        <v>3512</v>
      </c>
    </row>
    <row r="940" spans="1:13" x14ac:dyDescent="0.35">
      <c r="A940" s="13" t="s">
        <v>4326</v>
      </c>
      <c r="B940" s="13" t="s">
        <v>84</v>
      </c>
      <c r="C940" s="13" t="s">
        <v>85</v>
      </c>
      <c r="D940" s="13" t="s">
        <v>67</v>
      </c>
      <c r="E940" s="13" t="s">
        <v>52</v>
      </c>
      <c r="F940" s="13" t="s">
        <v>87</v>
      </c>
      <c r="G940" s="14">
        <v>45913</v>
      </c>
      <c r="H940" s="14">
        <v>45917</v>
      </c>
      <c r="I940">
        <v>1036.6400000000001</v>
      </c>
      <c r="J940">
        <v>6966.07</v>
      </c>
      <c r="K940">
        <v>671.99</v>
      </c>
      <c r="L940">
        <v>105</v>
      </c>
      <c r="M940" s="13" t="s">
        <v>3366</v>
      </c>
    </row>
    <row r="941" spans="1:13" x14ac:dyDescent="0.35">
      <c r="A941" s="13" t="s">
        <v>4327</v>
      </c>
      <c r="B941" s="13" t="s">
        <v>496</v>
      </c>
      <c r="C941" s="13" t="s">
        <v>497</v>
      </c>
      <c r="D941" s="13" t="s">
        <v>67</v>
      </c>
      <c r="E941" s="13" t="s">
        <v>104</v>
      </c>
      <c r="F941" s="13" t="s">
        <v>122</v>
      </c>
      <c r="G941" s="14">
        <v>45915</v>
      </c>
      <c r="H941" s="14">
        <v>45918</v>
      </c>
      <c r="I941">
        <v>970.35</v>
      </c>
      <c r="J941">
        <v>1028</v>
      </c>
      <c r="K941">
        <v>105.94</v>
      </c>
      <c r="L941">
        <v>104</v>
      </c>
      <c r="M941" s="13" t="s">
        <v>3366</v>
      </c>
    </row>
    <row r="942" spans="1:13" x14ac:dyDescent="0.35">
      <c r="A942" s="13" t="s">
        <v>4328</v>
      </c>
      <c r="B942" s="13" t="s">
        <v>286</v>
      </c>
      <c r="C942" s="13" t="s">
        <v>287</v>
      </c>
      <c r="D942" s="13" t="s">
        <v>92</v>
      </c>
      <c r="E942" s="13" t="s">
        <v>104</v>
      </c>
      <c r="F942" s="13" t="s">
        <v>87</v>
      </c>
      <c r="G942" s="14">
        <v>45902</v>
      </c>
      <c r="H942" s="14">
        <v>45918</v>
      </c>
      <c r="I942">
        <v>3362.45</v>
      </c>
      <c r="J942">
        <v>0</v>
      </c>
      <c r="K942">
        <v>0</v>
      </c>
      <c r="L942">
        <v>104</v>
      </c>
      <c r="M942" s="13" t="s">
        <v>3512</v>
      </c>
    </row>
    <row r="943" spans="1:13" x14ac:dyDescent="0.35">
      <c r="A943" s="13" t="s">
        <v>4329</v>
      </c>
      <c r="B943" s="13" t="s">
        <v>434</v>
      </c>
      <c r="C943" s="13" t="s">
        <v>435</v>
      </c>
      <c r="D943" s="13" t="s">
        <v>55</v>
      </c>
      <c r="E943" s="13" t="s">
        <v>52</v>
      </c>
      <c r="F943" s="13" t="s">
        <v>57</v>
      </c>
      <c r="G943" s="14">
        <v>45910</v>
      </c>
      <c r="H943" s="14">
        <v>45920</v>
      </c>
      <c r="I943">
        <v>15734.16</v>
      </c>
      <c r="J943">
        <v>21006.27</v>
      </c>
      <c r="K943">
        <v>133.51</v>
      </c>
      <c r="L943">
        <v>102</v>
      </c>
      <c r="M943" s="13" t="s">
        <v>3366</v>
      </c>
    </row>
    <row r="944" spans="1:13" x14ac:dyDescent="0.35">
      <c r="A944" s="13" t="s">
        <v>4330</v>
      </c>
      <c r="B944" s="13" t="s">
        <v>478</v>
      </c>
      <c r="C944" s="13" t="s">
        <v>479</v>
      </c>
      <c r="D944" s="13" t="s">
        <v>55</v>
      </c>
      <c r="E944" s="13" t="s">
        <v>52</v>
      </c>
      <c r="F944" s="13" t="s">
        <v>87</v>
      </c>
      <c r="G944" s="14">
        <v>45906</v>
      </c>
      <c r="H944" s="14">
        <v>45920</v>
      </c>
      <c r="I944">
        <v>3041.75</v>
      </c>
      <c r="J944">
        <v>18995.48</v>
      </c>
      <c r="K944">
        <v>624.49</v>
      </c>
      <c r="L944">
        <v>102</v>
      </c>
      <c r="M944" s="13" t="s">
        <v>3366</v>
      </c>
    </row>
    <row r="945" spans="1:13" x14ac:dyDescent="0.35">
      <c r="A945" s="13" t="s">
        <v>4331</v>
      </c>
      <c r="B945" s="13" t="s">
        <v>641</v>
      </c>
      <c r="C945" s="13" t="s">
        <v>642</v>
      </c>
      <c r="D945" s="13" t="s">
        <v>67</v>
      </c>
      <c r="E945" s="13" t="s">
        <v>52</v>
      </c>
      <c r="F945" s="13" t="s">
        <v>57</v>
      </c>
      <c r="G945" s="14">
        <v>45917</v>
      </c>
      <c r="H945" s="14">
        <v>45920</v>
      </c>
      <c r="I945">
        <v>2604.87</v>
      </c>
      <c r="J945">
        <v>17774.72</v>
      </c>
      <c r="K945">
        <v>682.36</v>
      </c>
      <c r="L945">
        <v>102</v>
      </c>
      <c r="M945" s="13" t="s">
        <v>3366</v>
      </c>
    </row>
    <row r="946" spans="1:13" x14ac:dyDescent="0.35">
      <c r="A946" s="13" t="s">
        <v>4332</v>
      </c>
      <c r="B946" s="13" t="s">
        <v>641</v>
      </c>
      <c r="C946" s="13" t="s">
        <v>642</v>
      </c>
      <c r="D946" s="13" t="s">
        <v>67</v>
      </c>
      <c r="E946" s="13" t="s">
        <v>52</v>
      </c>
      <c r="F946" s="13" t="s">
        <v>57</v>
      </c>
      <c r="G946" s="14">
        <v>45911</v>
      </c>
      <c r="H946" s="14">
        <v>45920</v>
      </c>
      <c r="I946">
        <v>14279.14</v>
      </c>
      <c r="J946">
        <v>17774.72</v>
      </c>
      <c r="K946">
        <v>124.48</v>
      </c>
      <c r="L946">
        <v>102</v>
      </c>
      <c r="M946" s="13" t="s">
        <v>3366</v>
      </c>
    </row>
    <row r="947" spans="1:13" x14ac:dyDescent="0.35">
      <c r="A947" s="13" t="s">
        <v>4333</v>
      </c>
      <c r="B947" s="13" t="s">
        <v>1826</v>
      </c>
      <c r="C947" s="13" t="s">
        <v>1827</v>
      </c>
      <c r="D947" s="13" t="s">
        <v>67</v>
      </c>
      <c r="E947" s="13" t="s">
        <v>104</v>
      </c>
      <c r="F947" s="13" t="s">
        <v>122</v>
      </c>
      <c r="G947" s="14">
        <v>45918</v>
      </c>
      <c r="H947" s="14">
        <v>45920</v>
      </c>
      <c r="I947">
        <v>5226.3999999999996</v>
      </c>
      <c r="J947">
        <v>7655.08</v>
      </c>
      <c r="K947">
        <v>146.47</v>
      </c>
      <c r="L947">
        <v>102</v>
      </c>
      <c r="M947" s="13" t="s">
        <v>3366</v>
      </c>
    </row>
    <row r="948" spans="1:13" x14ac:dyDescent="0.35">
      <c r="A948" s="13" t="s">
        <v>4334</v>
      </c>
      <c r="B948" s="13" t="s">
        <v>425</v>
      </c>
      <c r="C948" s="13" t="s">
        <v>426</v>
      </c>
      <c r="D948" s="13" t="s">
        <v>67</v>
      </c>
      <c r="E948" s="13" t="s">
        <v>126</v>
      </c>
      <c r="F948" s="13" t="s">
        <v>57</v>
      </c>
      <c r="G948" s="14">
        <v>45906</v>
      </c>
      <c r="H948" s="14">
        <v>45920</v>
      </c>
      <c r="I948">
        <v>8820.57</v>
      </c>
      <c r="J948">
        <v>9684.07</v>
      </c>
      <c r="K948">
        <v>109.79</v>
      </c>
      <c r="L948">
        <v>102</v>
      </c>
      <c r="M948" s="13" t="s">
        <v>3366</v>
      </c>
    </row>
    <row r="949" spans="1:13" x14ac:dyDescent="0.35">
      <c r="A949" s="13" t="s">
        <v>4335</v>
      </c>
      <c r="B949" s="13" t="s">
        <v>1382</v>
      </c>
      <c r="C949" s="13" t="s">
        <v>1383</v>
      </c>
      <c r="D949" s="13" t="s">
        <v>92</v>
      </c>
      <c r="E949" s="13" t="s">
        <v>104</v>
      </c>
      <c r="F949" s="13" t="s">
        <v>106</v>
      </c>
      <c r="G949" s="14">
        <v>45915</v>
      </c>
      <c r="H949" s="14">
        <v>45920</v>
      </c>
      <c r="I949">
        <v>775.06</v>
      </c>
      <c r="J949">
        <v>803.53</v>
      </c>
      <c r="K949">
        <v>103.67</v>
      </c>
      <c r="L949">
        <v>102</v>
      </c>
      <c r="M949" s="13" t="s">
        <v>3366</v>
      </c>
    </row>
    <row r="950" spans="1:13" x14ac:dyDescent="0.35">
      <c r="A950" s="13" t="s">
        <v>4336</v>
      </c>
      <c r="B950" s="13" t="s">
        <v>300</v>
      </c>
      <c r="C950" s="13" t="s">
        <v>301</v>
      </c>
      <c r="D950" s="13" t="s">
        <v>92</v>
      </c>
      <c r="E950" s="13" t="s">
        <v>104</v>
      </c>
      <c r="F950" s="13" t="s">
        <v>106</v>
      </c>
      <c r="G950" s="14">
        <v>45911</v>
      </c>
      <c r="H950" s="14">
        <v>45921</v>
      </c>
      <c r="I950">
        <v>3143.01</v>
      </c>
      <c r="J950">
        <v>0</v>
      </c>
      <c r="K950">
        <v>0</v>
      </c>
      <c r="L950">
        <v>101</v>
      </c>
      <c r="M950" s="13" t="s">
        <v>3512</v>
      </c>
    </row>
    <row r="951" spans="1:13" x14ac:dyDescent="0.35">
      <c r="A951" s="13" t="s">
        <v>4337</v>
      </c>
      <c r="B951" s="13" t="s">
        <v>180</v>
      </c>
      <c r="C951" s="13" t="s">
        <v>181</v>
      </c>
      <c r="D951" s="13" t="s">
        <v>55</v>
      </c>
      <c r="E951" s="13" t="s">
        <v>104</v>
      </c>
      <c r="F951" s="13" t="s">
        <v>122</v>
      </c>
      <c r="G951" s="14">
        <v>45917</v>
      </c>
      <c r="H951" s="14">
        <v>45921</v>
      </c>
      <c r="I951">
        <v>1634.94</v>
      </c>
      <c r="J951">
        <v>1704.46</v>
      </c>
      <c r="K951">
        <v>104.25</v>
      </c>
      <c r="L951">
        <v>101</v>
      </c>
      <c r="M951" s="13" t="s">
        <v>3366</v>
      </c>
    </row>
    <row r="952" spans="1:13" x14ac:dyDescent="0.35">
      <c r="A952" s="13" t="s">
        <v>4338</v>
      </c>
      <c r="B952" s="13" t="s">
        <v>1559</v>
      </c>
      <c r="C952" s="13" t="s">
        <v>1560</v>
      </c>
      <c r="D952" s="13" t="s">
        <v>55</v>
      </c>
      <c r="E952" s="13" t="s">
        <v>104</v>
      </c>
      <c r="F952" s="13" t="s">
        <v>106</v>
      </c>
      <c r="G952" s="14">
        <v>45917</v>
      </c>
      <c r="H952" s="14">
        <v>45921</v>
      </c>
      <c r="I952">
        <v>942.47</v>
      </c>
      <c r="J952">
        <v>994.99</v>
      </c>
      <c r="K952">
        <v>105.57</v>
      </c>
      <c r="L952">
        <v>101</v>
      </c>
      <c r="M952" s="13" t="s">
        <v>3366</v>
      </c>
    </row>
    <row r="953" spans="1:13" x14ac:dyDescent="0.35">
      <c r="A953" s="13" t="s">
        <v>4339</v>
      </c>
      <c r="B953" s="13" t="s">
        <v>1105</v>
      </c>
      <c r="C953" s="13" t="s">
        <v>1106</v>
      </c>
      <c r="D953" s="13" t="s">
        <v>67</v>
      </c>
      <c r="E953" s="13" t="s">
        <v>52</v>
      </c>
      <c r="F953" s="13" t="s">
        <v>57</v>
      </c>
      <c r="G953" s="14">
        <v>45909</v>
      </c>
      <c r="H953" s="14">
        <v>45921</v>
      </c>
      <c r="I953">
        <v>1666.6</v>
      </c>
      <c r="J953">
        <v>1783.84</v>
      </c>
      <c r="K953">
        <v>107.03</v>
      </c>
      <c r="L953">
        <v>101</v>
      </c>
      <c r="M953" s="13" t="s">
        <v>3366</v>
      </c>
    </row>
    <row r="954" spans="1:13" x14ac:dyDescent="0.35">
      <c r="A954" s="13" t="s">
        <v>4340</v>
      </c>
      <c r="B954" s="13" t="s">
        <v>796</v>
      </c>
      <c r="C954" s="13" t="s">
        <v>797</v>
      </c>
      <c r="D954" s="13" t="s">
        <v>55</v>
      </c>
      <c r="E954" s="13" t="s">
        <v>104</v>
      </c>
      <c r="F954" s="13" t="s">
        <v>106</v>
      </c>
      <c r="G954" s="14">
        <v>45917</v>
      </c>
      <c r="H954" s="14">
        <v>45922</v>
      </c>
      <c r="I954">
        <v>806.6</v>
      </c>
      <c r="J954">
        <v>893.02</v>
      </c>
      <c r="K954">
        <v>110.71</v>
      </c>
      <c r="L954">
        <v>100</v>
      </c>
      <c r="M954" s="13" t="s">
        <v>3366</v>
      </c>
    </row>
    <row r="955" spans="1:13" x14ac:dyDescent="0.35">
      <c r="A955" s="13" t="s">
        <v>4341</v>
      </c>
      <c r="B955" s="13" t="s">
        <v>300</v>
      </c>
      <c r="C955" s="13" t="s">
        <v>301</v>
      </c>
      <c r="D955" s="13" t="s">
        <v>92</v>
      </c>
      <c r="E955" s="13" t="s">
        <v>104</v>
      </c>
      <c r="F955" s="13" t="s">
        <v>106</v>
      </c>
      <c r="G955" s="14">
        <v>45904</v>
      </c>
      <c r="H955" s="14">
        <v>45922</v>
      </c>
      <c r="I955">
        <v>622.09</v>
      </c>
      <c r="J955">
        <v>0</v>
      </c>
      <c r="K955">
        <v>0</v>
      </c>
      <c r="L955">
        <v>100</v>
      </c>
      <c r="M955" s="13" t="s">
        <v>3512</v>
      </c>
    </row>
    <row r="956" spans="1:13" x14ac:dyDescent="0.35">
      <c r="A956" s="13" t="s">
        <v>4342</v>
      </c>
      <c r="B956" s="13" t="s">
        <v>293</v>
      </c>
      <c r="C956" s="13" t="s">
        <v>294</v>
      </c>
      <c r="D956" s="13" t="s">
        <v>92</v>
      </c>
      <c r="E956" s="13" t="s">
        <v>104</v>
      </c>
      <c r="F956" s="13" t="s">
        <v>122</v>
      </c>
      <c r="G956" s="14">
        <v>45906</v>
      </c>
      <c r="H956" s="14">
        <v>45922</v>
      </c>
      <c r="I956">
        <v>3647.71</v>
      </c>
      <c r="J956">
        <v>0</v>
      </c>
      <c r="K956">
        <v>0</v>
      </c>
      <c r="L956">
        <v>100</v>
      </c>
      <c r="M956" s="13" t="s">
        <v>3512</v>
      </c>
    </row>
    <row r="957" spans="1:13" x14ac:dyDescent="0.35">
      <c r="A957" s="13" t="s">
        <v>4343</v>
      </c>
      <c r="B957" s="13" t="s">
        <v>290</v>
      </c>
      <c r="C957" s="13" t="s">
        <v>291</v>
      </c>
      <c r="D957" s="13" t="s">
        <v>92</v>
      </c>
      <c r="E957" s="13" t="s">
        <v>104</v>
      </c>
      <c r="F957" s="13" t="s">
        <v>122</v>
      </c>
      <c r="G957" s="14">
        <v>45902</v>
      </c>
      <c r="H957" s="14">
        <v>45923</v>
      </c>
      <c r="I957">
        <v>4066.06</v>
      </c>
      <c r="J957">
        <v>0</v>
      </c>
      <c r="K957">
        <v>0</v>
      </c>
      <c r="L957">
        <v>99</v>
      </c>
      <c r="M957" s="13" t="s">
        <v>3512</v>
      </c>
    </row>
    <row r="958" spans="1:13" x14ac:dyDescent="0.35">
      <c r="A958" s="13" t="s">
        <v>4344</v>
      </c>
      <c r="B958" s="13" t="s">
        <v>277</v>
      </c>
      <c r="C958" s="13" t="s">
        <v>278</v>
      </c>
      <c r="D958" s="13" t="s">
        <v>92</v>
      </c>
      <c r="E958" s="13" t="s">
        <v>104</v>
      </c>
      <c r="F958" s="13" t="s">
        <v>106</v>
      </c>
      <c r="G958" s="14">
        <v>45902</v>
      </c>
      <c r="H958" s="14">
        <v>45923</v>
      </c>
      <c r="I958">
        <v>454.21</v>
      </c>
      <c r="J958">
        <v>0</v>
      </c>
      <c r="K958">
        <v>0</v>
      </c>
      <c r="L958">
        <v>99</v>
      </c>
      <c r="M958" s="13" t="s">
        <v>3512</v>
      </c>
    </row>
    <row r="959" spans="1:13" x14ac:dyDescent="0.35">
      <c r="A959" s="13" t="s">
        <v>4345</v>
      </c>
      <c r="B959" s="13" t="s">
        <v>478</v>
      </c>
      <c r="C959" s="13" t="s">
        <v>479</v>
      </c>
      <c r="D959" s="13" t="s">
        <v>55</v>
      </c>
      <c r="E959" s="13" t="s">
        <v>52</v>
      </c>
      <c r="F959" s="13" t="s">
        <v>87</v>
      </c>
      <c r="G959" s="14">
        <v>45908</v>
      </c>
      <c r="H959" s="14">
        <v>45923</v>
      </c>
      <c r="I959">
        <v>3195.76</v>
      </c>
      <c r="J959">
        <v>0</v>
      </c>
      <c r="K959">
        <v>0</v>
      </c>
      <c r="L959">
        <v>99</v>
      </c>
      <c r="M959" s="13" t="s">
        <v>3512</v>
      </c>
    </row>
    <row r="960" spans="1:13" x14ac:dyDescent="0.35">
      <c r="A960" s="13" t="s">
        <v>4346</v>
      </c>
      <c r="B960" s="13" t="s">
        <v>2193</v>
      </c>
      <c r="C960" s="13" t="s">
        <v>2194</v>
      </c>
      <c r="D960" s="13" t="s">
        <v>55</v>
      </c>
      <c r="E960" s="13" t="s">
        <v>104</v>
      </c>
      <c r="F960" s="13" t="s">
        <v>122</v>
      </c>
      <c r="G960" s="14">
        <v>45913</v>
      </c>
      <c r="H960" s="14">
        <v>45923</v>
      </c>
      <c r="I960">
        <v>4980.3900000000003</v>
      </c>
      <c r="J960">
        <v>5005.3</v>
      </c>
      <c r="K960">
        <v>100.5</v>
      </c>
      <c r="L960">
        <v>99</v>
      </c>
      <c r="M960" s="13" t="s">
        <v>3366</v>
      </c>
    </row>
    <row r="961" spans="1:13" x14ac:dyDescent="0.35">
      <c r="A961" s="13" t="s">
        <v>4347</v>
      </c>
      <c r="B961" s="13" t="s">
        <v>273</v>
      </c>
      <c r="C961" s="13" t="s">
        <v>274</v>
      </c>
      <c r="D961" s="13" t="s">
        <v>92</v>
      </c>
      <c r="E961" s="13" t="s">
        <v>104</v>
      </c>
      <c r="F961" s="13" t="s">
        <v>106</v>
      </c>
      <c r="G961" s="14">
        <v>45902</v>
      </c>
      <c r="H961" s="14">
        <v>45924</v>
      </c>
      <c r="I961">
        <v>825.06</v>
      </c>
      <c r="J961">
        <v>0</v>
      </c>
      <c r="K961">
        <v>0</v>
      </c>
      <c r="L961">
        <v>98</v>
      </c>
      <c r="M961" s="13" t="s">
        <v>3512</v>
      </c>
    </row>
    <row r="962" spans="1:13" x14ac:dyDescent="0.35">
      <c r="A962" s="13" t="s">
        <v>4348</v>
      </c>
      <c r="B962" s="13" t="s">
        <v>312</v>
      </c>
      <c r="C962" s="13" t="s">
        <v>313</v>
      </c>
      <c r="D962" s="13" t="s">
        <v>55</v>
      </c>
      <c r="E962" s="13" t="s">
        <v>52</v>
      </c>
      <c r="F962" s="13" t="s">
        <v>57</v>
      </c>
      <c r="G962" s="14">
        <v>45916</v>
      </c>
      <c r="H962" s="14">
        <v>45924</v>
      </c>
      <c r="I962">
        <v>5735.83</v>
      </c>
      <c r="J962">
        <v>5841.29</v>
      </c>
      <c r="K962">
        <v>101.84</v>
      </c>
      <c r="L962">
        <v>98</v>
      </c>
      <c r="M962" s="13" t="s">
        <v>3366</v>
      </c>
    </row>
    <row r="963" spans="1:13" x14ac:dyDescent="0.35">
      <c r="A963" s="13" t="s">
        <v>4349</v>
      </c>
      <c r="B963" s="13" t="s">
        <v>1038</v>
      </c>
      <c r="C963" s="13" t="s">
        <v>1039</v>
      </c>
      <c r="D963" s="13" t="s">
        <v>67</v>
      </c>
      <c r="E963" s="13" t="s">
        <v>52</v>
      </c>
      <c r="F963" s="13" t="s">
        <v>57</v>
      </c>
      <c r="G963" s="14">
        <v>45914</v>
      </c>
      <c r="H963" s="14">
        <v>45924</v>
      </c>
      <c r="I963">
        <v>2826.04</v>
      </c>
      <c r="J963">
        <v>3046.99</v>
      </c>
      <c r="K963">
        <v>107.82</v>
      </c>
      <c r="L963">
        <v>98</v>
      </c>
      <c r="M963" s="13" t="s">
        <v>3366</v>
      </c>
    </row>
    <row r="964" spans="1:13" x14ac:dyDescent="0.35">
      <c r="A964" s="13" t="s">
        <v>4350</v>
      </c>
      <c r="B964" s="13" t="s">
        <v>379</v>
      </c>
      <c r="C964" s="13" t="s">
        <v>380</v>
      </c>
      <c r="D964" s="13" t="s">
        <v>92</v>
      </c>
      <c r="E964" s="13" t="s">
        <v>52</v>
      </c>
      <c r="F964" s="13" t="s">
        <v>57</v>
      </c>
      <c r="G964" s="14">
        <v>45918</v>
      </c>
      <c r="H964" s="14">
        <v>45924</v>
      </c>
      <c r="I964">
        <v>1756.31</v>
      </c>
      <c r="J964">
        <v>10726.97</v>
      </c>
      <c r="K964">
        <v>610.77</v>
      </c>
      <c r="L964">
        <v>98</v>
      </c>
      <c r="M964" s="13" t="s">
        <v>3366</v>
      </c>
    </row>
    <row r="965" spans="1:13" x14ac:dyDescent="0.35">
      <c r="A965" s="13" t="s">
        <v>4351</v>
      </c>
      <c r="B965" s="13" t="s">
        <v>296</v>
      </c>
      <c r="C965" s="13" t="s">
        <v>297</v>
      </c>
      <c r="D965" s="13" t="s">
        <v>92</v>
      </c>
      <c r="E965" s="13" t="s">
        <v>104</v>
      </c>
      <c r="F965" s="13" t="s">
        <v>106</v>
      </c>
      <c r="G965" s="14">
        <v>45908</v>
      </c>
      <c r="H965" s="14">
        <v>45924</v>
      </c>
      <c r="I965">
        <v>1946.87</v>
      </c>
      <c r="J965">
        <v>0</v>
      </c>
      <c r="K965">
        <v>0</v>
      </c>
      <c r="L965">
        <v>98</v>
      </c>
      <c r="M965" s="13" t="s">
        <v>3512</v>
      </c>
    </row>
    <row r="966" spans="1:13" x14ac:dyDescent="0.35">
      <c r="A966" s="13" t="s">
        <v>4352</v>
      </c>
      <c r="B966" s="13" t="s">
        <v>902</v>
      </c>
      <c r="C966" s="13" t="s">
        <v>903</v>
      </c>
      <c r="D966" s="13" t="s">
        <v>67</v>
      </c>
      <c r="E966" s="13" t="s">
        <v>52</v>
      </c>
      <c r="F966" s="13" t="s">
        <v>57</v>
      </c>
      <c r="G966" s="14">
        <v>45915</v>
      </c>
      <c r="H966" s="14">
        <v>45925</v>
      </c>
      <c r="I966">
        <v>4755.8100000000004</v>
      </c>
      <c r="J966">
        <v>5014.78</v>
      </c>
      <c r="K966">
        <v>105.45</v>
      </c>
      <c r="L966">
        <v>97</v>
      </c>
      <c r="M966" s="13" t="s">
        <v>3366</v>
      </c>
    </row>
    <row r="967" spans="1:13" x14ac:dyDescent="0.35">
      <c r="A967" s="13" t="s">
        <v>4353</v>
      </c>
      <c r="B967" s="13" t="s">
        <v>986</v>
      </c>
      <c r="C967" s="13" t="s">
        <v>987</v>
      </c>
      <c r="D967" s="13" t="s">
        <v>67</v>
      </c>
      <c r="E967" s="13" t="s">
        <v>104</v>
      </c>
      <c r="F967" s="13" t="s">
        <v>106</v>
      </c>
      <c r="G967" s="14">
        <v>45916</v>
      </c>
      <c r="H967" s="14">
        <v>45925</v>
      </c>
      <c r="I967">
        <v>1268.26</v>
      </c>
      <c r="J967">
        <v>3230.14</v>
      </c>
      <c r="K967">
        <v>254.69</v>
      </c>
      <c r="L967">
        <v>97</v>
      </c>
      <c r="M967" s="13" t="s">
        <v>3366</v>
      </c>
    </row>
    <row r="968" spans="1:13" x14ac:dyDescent="0.35">
      <c r="A968" s="13" t="s">
        <v>4354</v>
      </c>
      <c r="B968" s="13" t="s">
        <v>1209</v>
      </c>
      <c r="C968" s="13" t="s">
        <v>1210</v>
      </c>
      <c r="D968" s="13" t="s">
        <v>55</v>
      </c>
      <c r="E968" s="13" t="s">
        <v>104</v>
      </c>
      <c r="F968" s="13" t="s">
        <v>106</v>
      </c>
      <c r="G968" s="14">
        <v>45922</v>
      </c>
      <c r="H968" s="14">
        <v>45925</v>
      </c>
      <c r="I968">
        <v>2811.17</v>
      </c>
      <c r="J968">
        <v>6849.17</v>
      </c>
      <c r="K968">
        <v>243.64</v>
      </c>
      <c r="L968">
        <v>97</v>
      </c>
      <c r="M968" s="13" t="s">
        <v>3366</v>
      </c>
    </row>
    <row r="969" spans="1:13" x14ac:dyDescent="0.35">
      <c r="A969" s="13" t="s">
        <v>4355</v>
      </c>
      <c r="B969" s="13" t="s">
        <v>542</v>
      </c>
      <c r="C969" s="13" t="s">
        <v>543</v>
      </c>
      <c r="D969" s="13" t="s">
        <v>67</v>
      </c>
      <c r="E969" s="13" t="s">
        <v>126</v>
      </c>
      <c r="F969" s="13" t="s">
        <v>122</v>
      </c>
      <c r="G969" s="14">
        <v>45921</v>
      </c>
      <c r="H969" s="14">
        <v>45925</v>
      </c>
      <c r="I969">
        <v>686.59</v>
      </c>
      <c r="J969">
        <v>712.47</v>
      </c>
      <c r="K969">
        <v>103.77</v>
      </c>
      <c r="L969">
        <v>97</v>
      </c>
      <c r="M969" s="13" t="s">
        <v>3366</v>
      </c>
    </row>
    <row r="970" spans="1:13" x14ac:dyDescent="0.35">
      <c r="A970" s="13" t="s">
        <v>4356</v>
      </c>
      <c r="B970" s="13" t="s">
        <v>2080</v>
      </c>
      <c r="C970" s="13" t="s">
        <v>2081</v>
      </c>
      <c r="D970" s="13" t="s">
        <v>55</v>
      </c>
      <c r="E970" s="13" t="s">
        <v>104</v>
      </c>
      <c r="F970" s="13" t="s">
        <v>57</v>
      </c>
      <c r="G970" s="14">
        <v>45913</v>
      </c>
      <c r="H970" s="14">
        <v>45925</v>
      </c>
      <c r="I970">
        <v>818.91</v>
      </c>
      <c r="J970">
        <v>873.62</v>
      </c>
      <c r="K970">
        <v>106.68</v>
      </c>
      <c r="L970">
        <v>97</v>
      </c>
      <c r="M970" s="13" t="s">
        <v>3366</v>
      </c>
    </row>
    <row r="971" spans="1:13" x14ac:dyDescent="0.35">
      <c r="A971" s="13" t="s">
        <v>4357</v>
      </c>
      <c r="B971" s="13" t="s">
        <v>890</v>
      </c>
      <c r="C971" s="13" t="s">
        <v>891</v>
      </c>
      <c r="D971" s="13" t="s">
        <v>67</v>
      </c>
      <c r="E971" s="13" t="s">
        <v>76</v>
      </c>
      <c r="F971" s="13" t="s">
        <v>80</v>
      </c>
      <c r="G971" s="14">
        <v>45917</v>
      </c>
      <c r="H971" s="14">
        <v>45925</v>
      </c>
      <c r="I971">
        <v>3973.05</v>
      </c>
      <c r="J971">
        <v>4137.4799999999996</v>
      </c>
      <c r="K971">
        <v>104.14</v>
      </c>
      <c r="L971">
        <v>97</v>
      </c>
      <c r="M971" s="13" t="s">
        <v>3366</v>
      </c>
    </row>
    <row r="972" spans="1:13" x14ac:dyDescent="0.35">
      <c r="A972" s="13" t="s">
        <v>4358</v>
      </c>
      <c r="B972" s="13" t="s">
        <v>2032</v>
      </c>
      <c r="C972" s="13" t="s">
        <v>2033</v>
      </c>
      <c r="D972" s="13" t="s">
        <v>67</v>
      </c>
      <c r="E972" s="13" t="s">
        <v>76</v>
      </c>
      <c r="F972" s="13" t="s">
        <v>80</v>
      </c>
      <c r="G972" s="14">
        <v>45919</v>
      </c>
      <c r="H972" s="14">
        <v>45925</v>
      </c>
      <c r="I972">
        <v>3494.85</v>
      </c>
      <c r="J972">
        <v>4863.96</v>
      </c>
      <c r="K972">
        <v>139.18</v>
      </c>
      <c r="L972">
        <v>97</v>
      </c>
      <c r="M972" s="13" t="s">
        <v>3366</v>
      </c>
    </row>
    <row r="973" spans="1:13" x14ac:dyDescent="0.35">
      <c r="A973" s="13" t="s">
        <v>4359</v>
      </c>
      <c r="B973" s="13" t="s">
        <v>1470</v>
      </c>
      <c r="C973" s="13" t="s">
        <v>1471</v>
      </c>
      <c r="D973" s="13" t="s">
        <v>67</v>
      </c>
      <c r="E973" s="13" t="s">
        <v>52</v>
      </c>
      <c r="F973" s="13" t="s">
        <v>87</v>
      </c>
      <c r="G973" s="14">
        <v>45919</v>
      </c>
      <c r="H973" s="14">
        <v>45925</v>
      </c>
      <c r="I973">
        <v>2972.2</v>
      </c>
      <c r="J973">
        <v>3057.93</v>
      </c>
      <c r="K973">
        <v>102.88</v>
      </c>
      <c r="L973">
        <v>97</v>
      </c>
      <c r="M973" s="13" t="s">
        <v>3366</v>
      </c>
    </row>
    <row r="974" spans="1:13" x14ac:dyDescent="0.35">
      <c r="A974" s="13" t="s">
        <v>4360</v>
      </c>
      <c r="B974" s="13" t="s">
        <v>1285</v>
      </c>
      <c r="C974" s="13" t="s">
        <v>1286</v>
      </c>
      <c r="D974" s="13" t="s">
        <v>55</v>
      </c>
      <c r="E974" s="13" t="s">
        <v>76</v>
      </c>
      <c r="F974" s="13" t="s">
        <v>80</v>
      </c>
      <c r="G974" s="14">
        <v>45915</v>
      </c>
      <c r="H974" s="14">
        <v>45925</v>
      </c>
      <c r="I974">
        <v>954.73</v>
      </c>
      <c r="J974">
        <v>980.69</v>
      </c>
      <c r="K974">
        <v>102.72</v>
      </c>
      <c r="L974">
        <v>97</v>
      </c>
      <c r="M974" s="13" t="s">
        <v>3366</v>
      </c>
    </row>
    <row r="975" spans="1:13" x14ac:dyDescent="0.35">
      <c r="A975" s="13" t="s">
        <v>4361</v>
      </c>
      <c r="B975" s="13" t="s">
        <v>761</v>
      </c>
      <c r="C975" s="13" t="s">
        <v>762</v>
      </c>
      <c r="D975" s="13" t="s">
        <v>67</v>
      </c>
      <c r="E975" s="13" t="s">
        <v>52</v>
      </c>
      <c r="F975" s="13" t="s">
        <v>87</v>
      </c>
      <c r="G975" s="14">
        <v>45917</v>
      </c>
      <c r="H975" s="14">
        <v>45925</v>
      </c>
      <c r="I975">
        <v>10093.23</v>
      </c>
      <c r="J975">
        <v>11167</v>
      </c>
      <c r="K975">
        <v>110.64</v>
      </c>
      <c r="L975">
        <v>97</v>
      </c>
      <c r="M975" s="13" t="s">
        <v>3366</v>
      </c>
    </row>
    <row r="976" spans="1:13" x14ac:dyDescent="0.35">
      <c r="A976" s="13" t="s">
        <v>4362</v>
      </c>
      <c r="B976" s="13" t="s">
        <v>137</v>
      </c>
      <c r="C976" s="13" t="s">
        <v>138</v>
      </c>
      <c r="D976" s="13" t="s">
        <v>92</v>
      </c>
      <c r="E976" s="13" t="s">
        <v>52</v>
      </c>
      <c r="F976" s="13" t="s">
        <v>57</v>
      </c>
      <c r="G976" s="14">
        <v>45915</v>
      </c>
      <c r="H976" s="14">
        <v>45926</v>
      </c>
      <c r="I976">
        <v>15156.43</v>
      </c>
      <c r="J976">
        <v>19492.09</v>
      </c>
      <c r="K976">
        <v>128.61000000000001</v>
      </c>
      <c r="L976">
        <v>96</v>
      </c>
      <c r="M976" s="13" t="s">
        <v>3366</v>
      </c>
    </row>
    <row r="977" spans="1:13" x14ac:dyDescent="0.35">
      <c r="A977" s="13" t="s">
        <v>4363</v>
      </c>
      <c r="B977" s="13" t="s">
        <v>2155</v>
      </c>
      <c r="C977" s="13" t="s">
        <v>2156</v>
      </c>
      <c r="D977" s="13" t="s">
        <v>67</v>
      </c>
      <c r="E977" s="13" t="s">
        <v>76</v>
      </c>
      <c r="F977" s="13" t="s">
        <v>80</v>
      </c>
      <c r="G977" s="14">
        <v>45915</v>
      </c>
      <c r="H977" s="14">
        <v>45926</v>
      </c>
      <c r="I977">
        <v>871.59</v>
      </c>
      <c r="J977">
        <v>927.99</v>
      </c>
      <c r="K977">
        <v>106.47</v>
      </c>
      <c r="L977">
        <v>96</v>
      </c>
      <c r="M977" s="13" t="s">
        <v>3366</v>
      </c>
    </row>
    <row r="978" spans="1:13" x14ac:dyDescent="0.35">
      <c r="A978" s="13" t="s">
        <v>4364</v>
      </c>
      <c r="B978" s="13" t="s">
        <v>293</v>
      </c>
      <c r="C978" s="13" t="s">
        <v>294</v>
      </c>
      <c r="D978" s="13" t="s">
        <v>92</v>
      </c>
      <c r="E978" s="13" t="s">
        <v>104</v>
      </c>
      <c r="F978" s="13" t="s">
        <v>122</v>
      </c>
      <c r="G978" s="14">
        <v>45902</v>
      </c>
      <c r="H978" s="14">
        <v>45926</v>
      </c>
      <c r="I978">
        <v>6638.28</v>
      </c>
      <c r="J978">
        <v>0</v>
      </c>
      <c r="K978">
        <v>0</v>
      </c>
      <c r="L978">
        <v>96</v>
      </c>
      <c r="M978" s="13" t="s">
        <v>3512</v>
      </c>
    </row>
    <row r="979" spans="1:13" x14ac:dyDescent="0.35">
      <c r="A979" s="13" t="s">
        <v>4365</v>
      </c>
      <c r="B979" s="13" t="s">
        <v>986</v>
      </c>
      <c r="C979" s="13" t="s">
        <v>987</v>
      </c>
      <c r="D979" s="13" t="s">
        <v>67</v>
      </c>
      <c r="E979" s="13" t="s">
        <v>104</v>
      </c>
      <c r="F979" s="13" t="s">
        <v>106</v>
      </c>
      <c r="G979" s="14">
        <v>45921</v>
      </c>
      <c r="H979" s="14">
        <v>45927</v>
      </c>
      <c r="I979">
        <v>1715.02</v>
      </c>
      <c r="J979">
        <v>3230.14</v>
      </c>
      <c r="K979">
        <v>188.34</v>
      </c>
      <c r="L979">
        <v>95</v>
      </c>
      <c r="M979" s="13" t="s">
        <v>3366</v>
      </c>
    </row>
    <row r="980" spans="1:13" x14ac:dyDescent="0.35">
      <c r="A980" s="13" t="s">
        <v>4366</v>
      </c>
      <c r="B980" s="13" t="s">
        <v>726</v>
      </c>
      <c r="C980" s="13" t="s">
        <v>727</v>
      </c>
      <c r="D980" s="13" t="s">
        <v>55</v>
      </c>
      <c r="E980" s="13" t="s">
        <v>104</v>
      </c>
      <c r="F980" s="13" t="s">
        <v>106</v>
      </c>
      <c r="G980" s="14">
        <v>45916</v>
      </c>
      <c r="H980" s="14">
        <v>45927</v>
      </c>
      <c r="I980">
        <v>5745.49</v>
      </c>
      <c r="J980">
        <v>10469.870000000001</v>
      </c>
      <c r="K980">
        <v>182.23</v>
      </c>
      <c r="L980">
        <v>95</v>
      </c>
      <c r="M980" s="13" t="s">
        <v>3366</v>
      </c>
    </row>
    <row r="981" spans="1:13" x14ac:dyDescent="0.35">
      <c r="A981" s="13" t="s">
        <v>4367</v>
      </c>
      <c r="B981" s="13" t="s">
        <v>209</v>
      </c>
      <c r="C981" s="13" t="s">
        <v>210</v>
      </c>
      <c r="D981" s="13" t="s">
        <v>55</v>
      </c>
      <c r="E981" s="13" t="s">
        <v>52</v>
      </c>
      <c r="F981" s="13" t="s">
        <v>57</v>
      </c>
      <c r="G981" s="14">
        <v>45919</v>
      </c>
      <c r="H981" s="14">
        <v>45927</v>
      </c>
      <c r="I981">
        <v>2683.17</v>
      </c>
      <c r="J981">
        <v>8359.48</v>
      </c>
      <c r="K981">
        <v>311.55</v>
      </c>
      <c r="L981">
        <v>95</v>
      </c>
      <c r="M981" s="13" t="s">
        <v>3366</v>
      </c>
    </row>
    <row r="982" spans="1:13" x14ac:dyDescent="0.35">
      <c r="A982" s="13" t="s">
        <v>4368</v>
      </c>
      <c r="B982" s="13" t="s">
        <v>1723</v>
      </c>
      <c r="C982" s="13" t="s">
        <v>1724</v>
      </c>
      <c r="D982" s="13" t="s">
        <v>92</v>
      </c>
      <c r="E982" s="13" t="s">
        <v>76</v>
      </c>
      <c r="F982" s="13" t="s">
        <v>94</v>
      </c>
      <c r="G982" s="14">
        <v>45918</v>
      </c>
      <c r="H982" s="14">
        <v>45927</v>
      </c>
      <c r="I982">
        <v>1021.25</v>
      </c>
      <c r="J982">
        <v>1126.92</v>
      </c>
      <c r="K982">
        <v>110.35</v>
      </c>
      <c r="L982">
        <v>95</v>
      </c>
      <c r="M982" s="13" t="s">
        <v>3366</v>
      </c>
    </row>
    <row r="983" spans="1:13" x14ac:dyDescent="0.35">
      <c r="A983" s="13" t="s">
        <v>4369</v>
      </c>
      <c r="B983" s="13" t="s">
        <v>197</v>
      </c>
      <c r="C983" s="13" t="s">
        <v>198</v>
      </c>
      <c r="D983" s="13" t="s">
        <v>67</v>
      </c>
      <c r="E983" s="13" t="s">
        <v>76</v>
      </c>
      <c r="F983" s="13" t="s">
        <v>80</v>
      </c>
      <c r="G983" s="14">
        <v>45922</v>
      </c>
      <c r="H983" s="14">
        <v>45928</v>
      </c>
      <c r="I983">
        <v>2711.41</v>
      </c>
      <c r="J983">
        <v>6149.76</v>
      </c>
      <c r="K983">
        <v>226.81</v>
      </c>
      <c r="L983">
        <v>94</v>
      </c>
      <c r="M983" s="13" t="s">
        <v>3366</v>
      </c>
    </row>
    <row r="984" spans="1:13" x14ac:dyDescent="0.35">
      <c r="A984" s="13" t="s">
        <v>4370</v>
      </c>
      <c r="B984" s="13" t="s">
        <v>1601</v>
      </c>
      <c r="C984" s="13" t="s">
        <v>1602</v>
      </c>
      <c r="D984" s="13" t="s">
        <v>55</v>
      </c>
      <c r="E984" s="13" t="s">
        <v>76</v>
      </c>
      <c r="F984" s="13" t="s">
        <v>94</v>
      </c>
      <c r="G984" s="14">
        <v>45916</v>
      </c>
      <c r="H984" s="14">
        <v>45928</v>
      </c>
      <c r="I984">
        <v>1442.13</v>
      </c>
      <c r="J984">
        <v>1572.72</v>
      </c>
      <c r="K984">
        <v>109.06</v>
      </c>
      <c r="L984">
        <v>94</v>
      </c>
      <c r="M984" s="13" t="s">
        <v>3366</v>
      </c>
    </row>
    <row r="985" spans="1:13" x14ac:dyDescent="0.35">
      <c r="A985" s="13" t="s">
        <v>4371</v>
      </c>
      <c r="B985" s="13" t="s">
        <v>147</v>
      </c>
      <c r="C985" s="13" t="s">
        <v>148</v>
      </c>
      <c r="D985" s="13" t="s">
        <v>67</v>
      </c>
      <c r="E985" s="13" t="s">
        <v>104</v>
      </c>
      <c r="F985" s="13" t="s">
        <v>106</v>
      </c>
      <c r="G985" s="14">
        <v>45918</v>
      </c>
      <c r="H985" s="14">
        <v>45928</v>
      </c>
      <c r="I985">
        <v>3431.48</v>
      </c>
      <c r="J985">
        <v>3743.48</v>
      </c>
      <c r="K985">
        <v>109.09</v>
      </c>
      <c r="L985">
        <v>94</v>
      </c>
      <c r="M985" s="13" t="s">
        <v>3366</v>
      </c>
    </row>
    <row r="986" spans="1:13" x14ac:dyDescent="0.35">
      <c r="A986" s="13" t="s">
        <v>4372</v>
      </c>
      <c r="B986" s="13" t="s">
        <v>74</v>
      </c>
      <c r="C986" s="13" t="s">
        <v>75</v>
      </c>
      <c r="D986" s="13" t="s">
        <v>67</v>
      </c>
      <c r="E986" s="13" t="s">
        <v>76</v>
      </c>
      <c r="F986" s="13" t="s">
        <v>80</v>
      </c>
      <c r="G986" s="14">
        <v>45914</v>
      </c>
      <c r="H986" s="14">
        <v>45928</v>
      </c>
      <c r="I986">
        <v>1494.96</v>
      </c>
      <c r="J986">
        <v>1645.88</v>
      </c>
      <c r="K986">
        <v>110.1</v>
      </c>
      <c r="L986">
        <v>94</v>
      </c>
      <c r="M986" s="13" t="s">
        <v>3366</v>
      </c>
    </row>
    <row r="987" spans="1:13" x14ac:dyDescent="0.35">
      <c r="A987" s="13" t="s">
        <v>4373</v>
      </c>
      <c r="B987" s="13" t="s">
        <v>2094</v>
      </c>
      <c r="C987" s="13" t="s">
        <v>2095</v>
      </c>
      <c r="D987" s="13" t="s">
        <v>55</v>
      </c>
      <c r="E987" s="13" t="s">
        <v>104</v>
      </c>
      <c r="F987" s="13" t="s">
        <v>106</v>
      </c>
      <c r="G987" s="14">
        <v>45925</v>
      </c>
      <c r="H987" s="14">
        <v>45928</v>
      </c>
      <c r="I987">
        <v>3190.54</v>
      </c>
      <c r="J987">
        <v>6653.56</v>
      </c>
      <c r="K987">
        <v>208.54</v>
      </c>
      <c r="L987">
        <v>94</v>
      </c>
      <c r="M987" s="13" t="s">
        <v>3366</v>
      </c>
    </row>
    <row r="988" spans="1:13" x14ac:dyDescent="0.35">
      <c r="A988" s="13" t="s">
        <v>4374</v>
      </c>
      <c r="B988" s="13" t="s">
        <v>1493</v>
      </c>
      <c r="C988" s="13" t="s">
        <v>1494</v>
      </c>
      <c r="D988" s="13" t="s">
        <v>55</v>
      </c>
      <c r="E988" s="13" t="s">
        <v>52</v>
      </c>
      <c r="F988" s="13" t="s">
        <v>87</v>
      </c>
      <c r="G988" s="14">
        <v>45922</v>
      </c>
      <c r="H988" s="14">
        <v>45928</v>
      </c>
      <c r="I988">
        <v>4114.3599999999997</v>
      </c>
      <c r="J988">
        <v>4504.54</v>
      </c>
      <c r="K988">
        <v>109.48</v>
      </c>
      <c r="L988">
        <v>94</v>
      </c>
      <c r="M988" s="13" t="s">
        <v>3366</v>
      </c>
    </row>
    <row r="989" spans="1:13" x14ac:dyDescent="0.35">
      <c r="A989" s="13" t="s">
        <v>4375</v>
      </c>
      <c r="B989" s="13" t="s">
        <v>575</v>
      </c>
      <c r="C989" s="13" t="s">
        <v>576</v>
      </c>
      <c r="D989" s="13" t="s">
        <v>55</v>
      </c>
      <c r="E989" s="13" t="s">
        <v>126</v>
      </c>
      <c r="F989" s="13" t="s">
        <v>87</v>
      </c>
      <c r="G989" s="14">
        <v>45919</v>
      </c>
      <c r="H989" s="14">
        <v>45928</v>
      </c>
      <c r="I989">
        <v>4419.43</v>
      </c>
      <c r="J989">
        <v>4565.37</v>
      </c>
      <c r="K989">
        <v>103.3</v>
      </c>
      <c r="L989">
        <v>94</v>
      </c>
      <c r="M989" s="13" t="s">
        <v>3366</v>
      </c>
    </row>
    <row r="990" spans="1:13" x14ac:dyDescent="0.35">
      <c r="A990" s="13" t="s">
        <v>4376</v>
      </c>
      <c r="B990" s="13" t="s">
        <v>3396</v>
      </c>
      <c r="C990" s="13" t="s">
        <v>3397</v>
      </c>
      <c r="D990" s="13" t="s">
        <v>92</v>
      </c>
      <c r="E990" s="13" t="s">
        <v>104</v>
      </c>
      <c r="F990" s="13" t="s">
        <v>122</v>
      </c>
      <c r="G990" s="14">
        <v>45926</v>
      </c>
      <c r="H990" s="14">
        <v>45928</v>
      </c>
      <c r="I990">
        <v>2410.44</v>
      </c>
      <c r="J990">
        <v>2648.43</v>
      </c>
      <c r="K990">
        <v>109.87</v>
      </c>
      <c r="L990">
        <v>94</v>
      </c>
      <c r="M990" s="13" t="s">
        <v>3366</v>
      </c>
    </row>
    <row r="991" spans="1:13" x14ac:dyDescent="0.35">
      <c r="A991" s="13" t="s">
        <v>4377</v>
      </c>
      <c r="B991" s="13" t="s">
        <v>2413</v>
      </c>
      <c r="C991" s="13" t="s">
        <v>2414</v>
      </c>
      <c r="D991" s="13" t="s">
        <v>55</v>
      </c>
      <c r="E991" s="13" t="s">
        <v>76</v>
      </c>
      <c r="F991" s="13" t="s">
        <v>80</v>
      </c>
      <c r="G991" s="14">
        <v>45922</v>
      </c>
      <c r="H991" s="14">
        <v>45928</v>
      </c>
      <c r="I991">
        <v>3208.83</v>
      </c>
      <c r="J991">
        <v>6994.57</v>
      </c>
      <c r="K991">
        <v>217.98</v>
      </c>
      <c r="L991">
        <v>94</v>
      </c>
      <c r="M991" s="13" t="s">
        <v>3366</v>
      </c>
    </row>
    <row r="992" spans="1:13" x14ac:dyDescent="0.35">
      <c r="A992" s="13" t="s">
        <v>4378</v>
      </c>
      <c r="B992" s="13" t="s">
        <v>317</v>
      </c>
      <c r="C992" s="13" t="s">
        <v>318</v>
      </c>
      <c r="D992" s="13" t="s">
        <v>67</v>
      </c>
      <c r="E992" s="13" t="s">
        <v>52</v>
      </c>
      <c r="F992" s="13" t="s">
        <v>57</v>
      </c>
      <c r="G992" s="14">
        <v>45923</v>
      </c>
      <c r="H992" s="14">
        <v>45929</v>
      </c>
      <c r="I992">
        <v>1587.14</v>
      </c>
      <c r="J992">
        <v>1750.73</v>
      </c>
      <c r="K992">
        <v>110.31</v>
      </c>
      <c r="L992">
        <v>93</v>
      </c>
      <c r="M992" s="13" t="s">
        <v>3366</v>
      </c>
    </row>
    <row r="993" spans="1:13" x14ac:dyDescent="0.35">
      <c r="A993" s="13" t="s">
        <v>4379</v>
      </c>
      <c r="B993" s="13" t="s">
        <v>144</v>
      </c>
      <c r="C993" s="13" t="s">
        <v>145</v>
      </c>
      <c r="D993" s="13" t="s">
        <v>55</v>
      </c>
      <c r="E993" s="13" t="s">
        <v>52</v>
      </c>
      <c r="F993" s="13" t="s">
        <v>57</v>
      </c>
      <c r="G993" s="14">
        <v>45919</v>
      </c>
      <c r="H993" s="14">
        <v>45929</v>
      </c>
      <c r="I993">
        <v>11193.33</v>
      </c>
      <c r="J993">
        <v>11389.77</v>
      </c>
      <c r="K993">
        <v>101.75</v>
      </c>
      <c r="L993">
        <v>93</v>
      </c>
      <c r="M993" s="13" t="s">
        <v>3366</v>
      </c>
    </row>
    <row r="994" spans="1:13" x14ac:dyDescent="0.35">
      <c r="A994" s="13" t="s">
        <v>4380</v>
      </c>
      <c r="B994" s="13" t="s">
        <v>124</v>
      </c>
      <c r="C994" s="13" t="s">
        <v>125</v>
      </c>
      <c r="D994" s="13" t="s">
        <v>67</v>
      </c>
      <c r="E994" s="13" t="s">
        <v>126</v>
      </c>
      <c r="F994" s="13" t="s">
        <v>87</v>
      </c>
      <c r="G994" s="14">
        <v>45925</v>
      </c>
      <c r="H994" s="14">
        <v>45929</v>
      </c>
      <c r="I994">
        <v>7816.09</v>
      </c>
      <c r="J994">
        <v>15069.87</v>
      </c>
      <c r="K994">
        <v>192.81</v>
      </c>
      <c r="L994">
        <v>93</v>
      </c>
      <c r="M994" s="13" t="s">
        <v>3366</v>
      </c>
    </row>
    <row r="995" spans="1:13" x14ac:dyDescent="0.35">
      <c r="A995" s="13" t="s">
        <v>4381</v>
      </c>
      <c r="B995" s="13" t="s">
        <v>1999</v>
      </c>
      <c r="C995" s="13" t="s">
        <v>2000</v>
      </c>
      <c r="D995" s="13" t="s">
        <v>67</v>
      </c>
      <c r="E995" s="13" t="s">
        <v>76</v>
      </c>
      <c r="F995" s="13" t="s">
        <v>80</v>
      </c>
      <c r="G995" s="14">
        <v>45917</v>
      </c>
      <c r="H995" s="14">
        <v>45929</v>
      </c>
      <c r="I995">
        <v>772.23</v>
      </c>
      <c r="J995">
        <v>2299.4299999999998</v>
      </c>
      <c r="K995">
        <v>297.76</v>
      </c>
      <c r="L995">
        <v>93</v>
      </c>
      <c r="M995" s="13" t="s">
        <v>3366</v>
      </c>
    </row>
    <row r="996" spans="1:13" x14ac:dyDescent="0.35">
      <c r="A996" s="13" t="s">
        <v>4382</v>
      </c>
      <c r="B996" s="13" t="s">
        <v>481</v>
      </c>
      <c r="C996" s="13" t="s">
        <v>482</v>
      </c>
      <c r="D996" s="13" t="s">
        <v>67</v>
      </c>
      <c r="E996" s="13" t="s">
        <v>76</v>
      </c>
      <c r="F996" s="13" t="s">
        <v>80</v>
      </c>
      <c r="G996" s="14">
        <v>45922</v>
      </c>
      <c r="H996" s="14">
        <v>45929</v>
      </c>
      <c r="I996">
        <v>1232.1400000000001</v>
      </c>
      <c r="J996">
        <v>2955.55</v>
      </c>
      <c r="K996">
        <v>239.87</v>
      </c>
      <c r="L996">
        <v>93</v>
      </c>
      <c r="M996" s="13" t="s">
        <v>3366</v>
      </c>
    </row>
    <row r="997" spans="1:13" x14ac:dyDescent="0.35">
      <c r="A997" s="13" t="s">
        <v>4383</v>
      </c>
      <c r="B997" s="13" t="s">
        <v>418</v>
      </c>
      <c r="C997" s="13" t="s">
        <v>419</v>
      </c>
      <c r="D997" s="13" t="s">
        <v>67</v>
      </c>
      <c r="E997" s="13" t="s">
        <v>52</v>
      </c>
      <c r="F997" s="13" t="s">
        <v>87</v>
      </c>
      <c r="G997" s="14">
        <v>45920</v>
      </c>
      <c r="H997" s="14">
        <v>45930</v>
      </c>
      <c r="I997">
        <v>2875.31</v>
      </c>
      <c r="J997">
        <v>2948.69</v>
      </c>
      <c r="K997">
        <v>102.55</v>
      </c>
      <c r="L997">
        <v>92</v>
      </c>
      <c r="M997" s="13" t="s">
        <v>3366</v>
      </c>
    </row>
    <row r="998" spans="1:13" x14ac:dyDescent="0.35">
      <c r="A998" s="13" t="s">
        <v>4384</v>
      </c>
      <c r="B998" s="13" t="s">
        <v>1285</v>
      </c>
      <c r="C998" s="13" t="s">
        <v>1286</v>
      </c>
      <c r="D998" s="13" t="s">
        <v>55</v>
      </c>
      <c r="E998" s="13" t="s">
        <v>76</v>
      </c>
      <c r="F998" s="13" t="s">
        <v>80</v>
      </c>
      <c r="G998" s="14">
        <v>45920</v>
      </c>
      <c r="H998" s="14">
        <v>45930</v>
      </c>
      <c r="I998">
        <v>3775.6</v>
      </c>
      <c r="J998">
        <v>3824.25</v>
      </c>
      <c r="K998">
        <v>101.29</v>
      </c>
      <c r="L998">
        <v>92</v>
      </c>
      <c r="M998" s="13" t="s">
        <v>3366</v>
      </c>
    </row>
    <row r="999" spans="1:13" x14ac:dyDescent="0.35">
      <c r="A999" s="13" t="s">
        <v>4385</v>
      </c>
      <c r="B999" s="13" t="s">
        <v>244</v>
      </c>
      <c r="C999" s="13" t="s">
        <v>245</v>
      </c>
      <c r="D999" s="13" t="s">
        <v>55</v>
      </c>
      <c r="E999" s="13" t="s">
        <v>52</v>
      </c>
      <c r="F999" s="13" t="s">
        <v>87</v>
      </c>
      <c r="G999" s="14">
        <v>45906</v>
      </c>
      <c r="H999" s="14">
        <v>45930</v>
      </c>
      <c r="I999">
        <v>1915</v>
      </c>
      <c r="J999">
        <v>4786.96</v>
      </c>
      <c r="K999">
        <v>249.97</v>
      </c>
      <c r="L999">
        <v>92</v>
      </c>
      <c r="M999" s="13" t="s">
        <v>3366</v>
      </c>
    </row>
    <row r="1000" spans="1:13" x14ac:dyDescent="0.35">
      <c r="A1000" s="13" t="s">
        <v>4386</v>
      </c>
      <c r="B1000" s="13" t="s">
        <v>1015</v>
      </c>
      <c r="C1000" s="13" t="s">
        <v>1016</v>
      </c>
      <c r="D1000" s="13" t="s">
        <v>55</v>
      </c>
      <c r="E1000" s="13" t="s">
        <v>52</v>
      </c>
      <c r="F1000" s="13" t="s">
        <v>57</v>
      </c>
      <c r="G1000" s="14">
        <v>45919</v>
      </c>
      <c r="H1000" s="14">
        <v>45930</v>
      </c>
      <c r="I1000">
        <v>6433.47</v>
      </c>
      <c r="J1000">
        <v>27456.97</v>
      </c>
      <c r="K1000">
        <v>426.78</v>
      </c>
      <c r="L1000">
        <v>92</v>
      </c>
      <c r="M1000" s="13" t="s">
        <v>3366</v>
      </c>
    </row>
    <row r="1001" spans="1:13" x14ac:dyDescent="0.35">
      <c r="A1001" s="13" t="s">
        <v>4387</v>
      </c>
      <c r="B1001" s="13" t="s">
        <v>293</v>
      </c>
      <c r="C1001" s="13" t="s">
        <v>294</v>
      </c>
      <c r="D1001" s="13" t="s">
        <v>92</v>
      </c>
      <c r="E1001" s="13" t="s">
        <v>104</v>
      </c>
      <c r="F1001" s="13" t="s">
        <v>122</v>
      </c>
      <c r="G1001" s="14">
        <v>45909</v>
      </c>
      <c r="H1001" s="14">
        <v>45931</v>
      </c>
      <c r="I1001">
        <v>574.80999999999995</v>
      </c>
      <c r="J1001">
        <v>0</v>
      </c>
      <c r="K1001">
        <v>0</v>
      </c>
      <c r="L1001">
        <v>91</v>
      </c>
      <c r="M1001" s="13" t="s">
        <v>3512</v>
      </c>
    </row>
    <row r="1002" spans="1:13" x14ac:dyDescent="0.35">
      <c r="A1002" s="13" t="s">
        <v>4388</v>
      </c>
      <c r="B1002" s="13" t="s">
        <v>293</v>
      </c>
      <c r="C1002" s="13" t="s">
        <v>294</v>
      </c>
      <c r="D1002" s="13" t="s">
        <v>92</v>
      </c>
      <c r="E1002" s="13" t="s">
        <v>104</v>
      </c>
      <c r="F1002" s="13" t="s">
        <v>122</v>
      </c>
      <c r="G1002" s="14">
        <v>45920</v>
      </c>
      <c r="H1002" s="14">
        <v>45931</v>
      </c>
      <c r="I1002">
        <v>640.74</v>
      </c>
      <c r="J1002">
        <v>0</v>
      </c>
      <c r="K1002">
        <v>0</v>
      </c>
      <c r="L1002">
        <v>91</v>
      </c>
      <c r="M1002" s="13" t="s">
        <v>3512</v>
      </c>
    </row>
    <row r="1003" spans="1:13" x14ac:dyDescent="0.35">
      <c r="A1003" s="13" t="s">
        <v>4389</v>
      </c>
      <c r="B1003" s="13" t="s">
        <v>241</v>
      </c>
      <c r="C1003" s="13" t="s">
        <v>242</v>
      </c>
      <c r="D1003" s="13" t="s">
        <v>67</v>
      </c>
      <c r="E1003" s="13" t="s">
        <v>76</v>
      </c>
      <c r="F1003" s="13" t="s">
        <v>94</v>
      </c>
      <c r="G1003" s="14">
        <v>45926</v>
      </c>
      <c r="H1003" s="14">
        <v>45931</v>
      </c>
      <c r="I1003">
        <v>2496.08</v>
      </c>
      <c r="J1003">
        <v>2985.44</v>
      </c>
      <c r="K1003">
        <v>119.61</v>
      </c>
      <c r="L1003">
        <v>91</v>
      </c>
      <c r="M1003" s="13" t="s">
        <v>3366</v>
      </c>
    </row>
    <row r="1004" spans="1:13" x14ac:dyDescent="0.35">
      <c r="A1004" s="13" t="s">
        <v>4390</v>
      </c>
      <c r="B1004" s="13" t="s">
        <v>267</v>
      </c>
      <c r="C1004" s="13" t="s">
        <v>268</v>
      </c>
      <c r="D1004" s="13" t="s">
        <v>67</v>
      </c>
      <c r="E1004" s="13" t="s">
        <v>52</v>
      </c>
      <c r="F1004" s="13" t="s">
        <v>87</v>
      </c>
      <c r="G1004" s="14">
        <v>45925</v>
      </c>
      <c r="H1004" s="14">
        <v>45931</v>
      </c>
      <c r="I1004">
        <v>1092.1500000000001</v>
      </c>
      <c r="J1004">
        <v>13251.8</v>
      </c>
      <c r="K1004">
        <v>1213.3699999999999</v>
      </c>
      <c r="L1004">
        <v>91</v>
      </c>
      <c r="M1004" s="13" t="s">
        <v>3366</v>
      </c>
    </row>
    <row r="1005" spans="1:13" x14ac:dyDescent="0.35">
      <c r="A1005" s="13" t="s">
        <v>4391</v>
      </c>
      <c r="B1005" s="13" t="s">
        <v>165</v>
      </c>
      <c r="C1005" s="13" t="s">
        <v>166</v>
      </c>
      <c r="D1005" s="13" t="s">
        <v>67</v>
      </c>
      <c r="E1005" s="13" t="s">
        <v>104</v>
      </c>
      <c r="F1005" s="13" t="s">
        <v>122</v>
      </c>
      <c r="G1005" s="14">
        <v>45923</v>
      </c>
      <c r="H1005" s="14">
        <v>45931</v>
      </c>
      <c r="I1005">
        <v>2900.21</v>
      </c>
      <c r="J1005">
        <v>3214.12</v>
      </c>
      <c r="K1005">
        <v>110.82</v>
      </c>
      <c r="L1005">
        <v>91</v>
      </c>
      <c r="M1005" s="13" t="s">
        <v>3366</v>
      </c>
    </row>
    <row r="1006" spans="1:13" x14ac:dyDescent="0.35">
      <c r="A1006" s="13" t="s">
        <v>4392</v>
      </c>
      <c r="B1006" s="13" t="s">
        <v>286</v>
      </c>
      <c r="C1006" s="13" t="s">
        <v>287</v>
      </c>
      <c r="D1006" s="13" t="s">
        <v>92</v>
      </c>
      <c r="E1006" s="13" t="s">
        <v>104</v>
      </c>
      <c r="F1006" s="13" t="s">
        <v>87</v>
      </c>
      <c r="G1006" s="14">
        <v>45923</v>
      </c>
      <c r="H1006" s="14">
        <v>45932</v>
      </c>
      <c r="I1006">
        <v>574.98</v>
      </c>
      <c r="J1006">
        <v>0</v>
      </c>
      <c r="K1006">
        <v>0</v>
      </c>
      <c r="L1006">
        <v>90</v>
      </c>
      <c r="M1006" s="13" t="s">
        <v>3512</v>
      </c>
    </row>
    <row r="1007" spans="1:13" x14ac:dyDescent="0.35">
      <c r="A1007" s="13" t="s">
        <v>4393</v>
      </c>
      <c r="B1007" s="13" t="s">
        <v>1999</v>
      </c>
      <c r="C1007" s="13" t="s">
        <v>2000</v>
      </c>
      <c r="D1007" s="13" t="s">
        <v>67</v>
      </c>
      <c r="E1007" s="13" t="s">
        <v>76</v>
      </c>
      <c r="F1007" s="13" t="s">
        <v>80</v>
      </c>
      <c r="G1007" s="14">
        <v>45928</v>
      </c>
      <c r="H1007" s="14">
        <v>45932</v>
      </c>
      <c r="I1007">
        <v>2074.1999999999998</v>
      </c>
      <c r="J1007">
        <v>2299.4299999999998</v>
      </c>
      <c r="K1007">
        <v>110.86</v>
      </c>
      <c r="L1007">
        <v>90</v>
      </c>
      <c r="M1007" s="13" t="s">
        <v>3366</v>
      </c>
    </row>
    <row r="1008" spans="1:13" x14ac:dyDescent="0.35">
      <c r="A1008" s="13" t="s">
        <v>4394</v>
      </c>
      <c r="B1008" s="13" t="s">
        <v>834</v>
      </c>
      <c r="C1008" s="13" t="s">
        <v>835</v>
      </c>
      <c r="D1008" s="13" t="s">
        <v>67</v>
      </c>
      <c r="E1008" s="13" t="s">
        <v>104</v>
      </c>
      <c r="F1008" s="13" t="s">
        <v>106</v>
      </c>
      <c r="G1008" s="14">
        <v>45923</v>
      </c>
      <c r="H1008" s="14">
        <v>45932</v>
      </c>
      <c r="I1008">
        <v>2702.3</v>
      </c>
      <c r="J1008">
        <v>7782.06</v>
      </c>
      <c r="K1008">
        <v>287.98</v>
      </c>
      <c r="L1008">
        <v>90</v>
      </c>
      <c r="M1008" s="13" t="s">
        <v>3366</v>
      </c>
    </row>
    <row r="1009" spans="1:13" x14ac:dyDescent="0.35">
      <c r="A1009" s="13" t="s">
        <v>4395</v>
      </c>
      <c r="B1009" s="13" t="s">
        <v>2262</v>
      </c>
      <c r="C1009" s="13" t="s">
        <v>2263</v>
      </c>
      <c r="D1009" s="13" t="s">
        <v>67</v>
      </c>
      <c r="E1009" s="13" t="s">
        <v>76</v>
      </c>
      <c r="F1009" s="13" t="s">
        <v>94</v>
      </c>
      <c r="G1009" s="14">
        <v>45922</v>
      </c>
      <c r="H1009" s="14">
        <v>45932</v>
      </c>
      <c r="I1009">
        <v>1180</v>
      </c>
      <c r="J1009">
        <v>5926.24</v>
      </c>
      <c r="K1009">
        <v>502.22</v>
      </c>
      <c r="L1009">
        <v>90</v>
      </c>
      <c r="M1009" s="13" t="s">
        <v>3366</v>
      </c>
    </row>
    <row r="1010" spans="1:13" x14ac:dyDescent="0.35">
      <c r="A1010" s="13" t="s">
        <v>4396</v>
      </c>
      <c r="B1010" s="13" t="s">
        <v>857</v>
      </c>
      <c r="C1010" s="13" t="s">
        <v>858</v>
      </c>
      <c r="D1010" s="13" t="s">
        <v>55</v>
      </c>
      <c r="E1010" s="13" t="s">
        <v>126</v>
      </c>
      <c r="F1010" s="13" t="s">
        <v>57</v>
      </c>
      <c r="G1010" s="14">
        <v>45922</v>
      </c>
      <c r="H1010" s="14">
        <v>45933</v>
      </c>
      <c r="I1010">
        <v>2269.02</v>
      </c>
      <c r="J1010">
        <v>2482.5100000000002</v>
      </c>
      <c r="K1010">
        <v>109.41</v>
      </c>
      <c r="L1010">
        <v>89</v>
      </c>
      <c r="M1010" s="13" t="s">
        <v>3366</v>
      </c>
    </row>
    <row r="1011" spans="1:13" x14ac:dyDescent="0.35">
      <c r="A1011" s="13" t="s">
        <v>4397</v>
      </c>
      <c r="B1011" s="13" t="s">
        <v>614</v>
      </c>
      <c r="C1011" s="13" t="s">
        <v>615</v>
      </c>
      <c r="D1011" s="13" t="s">
        <v>55</v>
      </c>
      <c r="E1011" s="13" t="s">
        <v>126</v>
      </c>
      <c r="F1011" s="13" t="s">
        <v>122</v>
      </c>
      <c r="G1011" s="14">
        <v>45919</v>
      </c>
      <c r="H1011" s="14">
        <v>45933</v>
      </c>
      <c r="I1011">
        <v>1908.13</v>
      </c>
      <c r="J1011">
        <v>0</v>
      </c>
      <c r="K1011">
        <v>0</v>
      </c>
      <c r="L1011">
        <v>89</v>
      </c>
      <c r="M1011" s="13" t="s">
        <v>3512</v>
      </c>
    </row>
    <row r="1012" spans="1:13" x14ac:dyDescent="0.35">
      <c r="A1012" s="13" t="s">
        <v>4398</v>
      </c>
      <c r="B1012" s="13" t="s">
        <v>1038</v>
      </c>
      <c r="C1012" s="13" t="s">
        <v>1039</v>
      </c>
      <c r="D1012" s="13" t="s">
        <v>67</v>
      </c>
      <c r="E1012" s="13" t="s">
        <v>52</v>
      </c>
      <c r="F1012" s="13" t="s">
        <v>57</v>
      </c>
      <c r="G1012" s="14">
        <v>45931</v>
      </c>
      <c r="H1012" s="14">
        <v>45934</v>
      </c>
      <c r="I1012">
        <v>15551.24</v>
      </c>
      <c r="J1012">
        <v>15971.62</v>
      </c>
      <c r="K1012">
        <v>102.7</v>
      </c>
      <c r="L1012">
        <v>88</v>
      </c>
      <c r="M1012" s="13" t="s">
        <v>3366</v>
      </c>
    </row>
    <row r="1013" spans="1:13" x14ac:dyDescent="0.35">
      <c r="A1013" s="13" t="s">
        <v>4399</v>
      </c>
      <c r="B1013" s="13" t="s">
        <v>286</v>
      </c>
      <c r="C1013" s="13" t="s">
        <v>287</v>
      </c>
      <c r="D1013" s="13" t="s">
        <v>92</v>
      </c>
      <c r="E1013" s="13" t="s">
        <v>104</v>
      </c>
      <c r="F1013" s="13" t="s">
        <v>87</v>
      </c>
      <c r="G1013" s="14">
        <v>45923</v>
      </c>
      <c r="H1013" s="14">
        <v>45934</v>
      </c>
      <c r="I1013">
        <v>448.01</v>
      </c>
      <c r="J1013">
        <v>0</v>
      </c>
      <c r="K1013">
        <v>0</v>
      </c>
      <c r="L1013">
        <v>88</v>
      </c>
      <c r="M1013" s="13" t="s">
        <v>3512</v>
      </c>
    </row>
    <row r="1014" spans="1:13" x14ac:dyDescent="0.35">
      <c r="A1014" s="13" t="s">
        <v>4400</v>
      </c>
      <c r="B1014" s="13" t="s">
        <v>1280</v>
      </c>
      <c r="C1014" s="13" t="s">
        <v>1281</v>
      </c>
      <c r="D1014" s="13" t="s">
        <v>67</v>
      </c>
      <c r="E1014" s="13" t="s">
        <v>104</v>
      </c>
      <c r="F1014" s="13" t="s">
        <v>122</v>
      </c>
      <c r="G1014" s="14">
        <v>45926</v>
      </c>
      <c r="H1014" s="14">
        <v>45934</v>
      </c>
      <c r="I1014">
        <v>5512.44</v>
      </c>
      <c r="J1014">
        <v>5725.26</v>
      </c>
      <c r="K1014">
        <v>103.86</v>
      </c>
      <c r="L1014">
        <v>88</v>
      </c>
      <c r="M1014" s="13" t="s">
        <v>3366</v>
      </c>
    </row>
    <row r="1015" spans="1:13" x14ac:dyDescent="0.35">
      <c r="A1015" s="13" t="s">
        <v>4401</v>
      </c>
      <c r="B1015" s="13" t="s">
        <v>137</v>
      </c>
      <c r="C1015" s="13" t="s">
        <v>138</v>
      </c>
      <c r="D1015" s="13" t="s">
        <v>92</v>
      </c>
      <c r="E1015" s="13" t="s">
        <v>52</v>
      </c>
      <c r="F1015" s="13" t="s">
        <v>57</v>
      </c>
      <c r="G1015" s="14">
        <v>45923</v>
      </c>
      <c r="H1015" s="14">
        <v>45935</v>
      </c>
      <c r="I1015">
        <v>16883.259999999998</v>
      </c>
      <c r="J1015">
        <v>17704.89</v>
      </c>
      <c r="K1015">
        <v>104.87</v>
      </c>
      <c r="L1015">
        <v>87</v>
      </c>
      <c r="M1015" s="13" t="s">
        <v>3366</v>
      </c>
    </row>
    <row r="1016" spans="1:13" x14ac:dyDescent="0.35">
      <c r="A1016" s="13" t="s">
        <v>4402</v>
      </c>
      <c r="B1016" s="13" t="s">
        <v>1254</v>
      </c>
      <c r="C1016" s="13" t="s">
        <v>1255</v>
      </c>
      <c r="D1016" s="13" t="s">
        <v>67</v>
      </c>
      <c r="E1016" s="13" t="s">
        <v>126</v>
      </c>
      <c r="F1016" s="13" t="s">
        <v>87</v>
      </c>
      <c r="G1016" s="14">
        <v>45925</v>
      </c>
      <c r="H1016" s="14">
        <v>45935</v>
      </c>
      <c r="I1016">
        <v>1049.2</v>
      </c>
      <c r="J1016">
        <v>3338.26</v>
      </c>
      <c r="K1016">
        <v>318.17</v>
      </c>
      <c r="L1016">
        <v>87</v>
      </c>
      <c r="M1016" s="13" t="s">
        <v>3366</v>
      </c>
    </row>
    <row r="1017" spans="1:13" x14ac:dyDescent="0.35">
      <c r="A1017" s="13" t="s">
        <v>4403</v>
      </c>
      <c r="B1017" s="13" t="s">
        <v>84</v>
      </c>
      <c r="C1017" s="13" t="s">
        <v>85</v>
      </c>
      <c r="D1017" s="13" t="s">
        <v>67</v>
      </c>
      <c r="E1017" s="13" t="s">
        <v>52</v>
      </c>
      <c r="F1017" s="13" t="s">
        <v>87</v>
      </c>
      <c r="G1017" s="14">
        <v>45931</v>
      </c>
      <c r="H1017" s="14">
        <v>45935</v>
      </c>
      <c r="I1017">
        <v>13361.34</v>
      </c>
      <c r="J1017">
        <v>13991.37</v>
      </c>
      <c r="K1017">
        <v>104.72</v>
      </c>
      <c r="L1017">
        <v>87</v>
      </c>
      <c r="M1017" s="13" t="s">
        <v>3366</v>
      </c>
    </row>
    <row r="1018" spans="1:13" x14ac:dyDescent="0.35">
      <c r="A1018" s="13" t="s">
        <v>4404</v>
      </c>
      <c r="B1018" s="13" t="s">
        <v>425</v>
      </c>
      <c r="C1018" s="13" t="s">
        <v>426</v>
      </c>
      <c r="D1018" s="13" t="s">
        <v>67</v>
      </c>
      <c r="E1018" s="13" t="s">
        <v>126</v>
      </c>
      <c r="F1018" s="13" t="s">
        <v>57</v>
      </c>
      <c r="G1018" s="14">
        <v>45930</v>
      </c>
      <c r="H1018" s="14">
        <v>45935</v>
      </c>
      <c r="I1018">
        <v>1184.6199999999999</v>
      </c>
      <c r="J1018">
        <v>1259.23</v>
      </c>
      <c r="K1018">
        <v>106.3</v>
      </c>
      <c r="L1018">
        <v>87</v>
      </c>
      <c r="M1018" s="13" t="s">
        <v>3366</v>
      </c>
    </row>
    <row r="1019" spans="1:13" x14ac:dyDescent="0.35">
      <c r="A1019" s="13" t="s">
        <v>4405</v>
      </c>
      <c r="B1019" s="13" t="s">
        <v>305</v>
      </c>
      <c r="C1019" s="13" t="s">
        <v>306</v>
      </c>
      <c r="D1019" s="13" t="s">
        <v>67</v>
      </c>
      <c r="E1019" s="13" t="s">
        <v>76</v>
      </c>
      <c r="F1019" s="13" t="s">
        <v>94</v>
      </c>
      <c r="G1019" s="14">
        <v>45929</v>
      </c>
      <c r="H1019" s="14">
        <v>45936</v>
      </c>
      <c r="I1019">
        <v>564.79</v>
      </c>
      <c r="J1019">
        <v>1994.16</v>
      </c>
      <c r="K1019">
        <v>353.08</v>
      </c>
      <c r="L1019">
        <v>86</v>
      </c>
      <c r="M1019" s="13" t="s">
        <v>3366</v>
      </c>
    </row>
    <row r="1020" spans="1:13" x14ac:dyDescent="0.35">
      <c r="A1020" s="13" t="s">
        <v>4406</v>
      </c>
      <c r="B1020" s="13" t="s">
        <v>1898</v>
      </c>
      <c r="C1020" s="13" t="s">
        <v>1899</v>
      </c>
      <c r="D1020" s="13" t="s">
        <v>67</v>
      </c>
      <c r="E1020" s="13" t="s">
        <v>104</v>
      </c>
      <c r="F1020" s="13" t="s">
        <v>106</v>
      </c>
      <c r="G1020" s="14">
        <v>45932</v>
      </c>
      <c r="H1020" s="14">
        <v>45936</v>
      </c>
      <c r="I1020">
        <v>1302.21</v>
      </c>
      <c r="J1020">
        <v>1414.75</v>
      </c>
      <c r="K1020">
        <v>108.64</v>
      </c>
      <c r="L1020">
        <v>86</v>
      </c>
      <c r="M1020" s="13" t="s">
        <v>3366</v>
      </c>
    </row>
    <row r="1021" spans="1:13" x14ac:dyDescent="0.35">
      <c r="A1021" s="13" t="s">
        <v>4407</v>
      </c>
      <c r="B1021" s="13" t="s">
        <v>1714</v>
      </c>
      <c r="C1021" s="13" t="s">
        <v>1715</v>
      </c>
      <c r="D1021" s="13" t="s">
        <v>55</v>
      </c>
      <c r="E1021" s="13" t="s">
        <v>104</v>
      </c>
      <c r="F1021" s="13" t="s">
        <v>106</v>
      </c>
      <c r="G1021" s="14">
        <v>45934</v>
      </c>
      <c r="H1021" s="14">
        <v>45936</v>
      </c>
      <c r="I1021">
        <v>1410.94</v>
      </c>
      <c r="J1021">
        <v>9183.32</v>
      </c>
      <c r="K1021">
        <v>650.87</v>
      </c>
      <c r="L1021">
        <v>86</v>
      </c>
      <c r="M1021" s="13" t="s">
        <v>3366</v>
      </c>
    </row>
    <row r="1022" spans="1:13" x14ac:dyDescent="0.35">
      <c r="A1022" s="13" t="s">
        <v>4408</v>
      </c>
      <c r="B1022" s="13" t="s">
        <v>286</v>
      </c>
      <c r="C1022" s="13" t="s">
        <v>287</v>
      </c>
      <c r="D1022" s="13" t="s">
        <v>92</v>
      </c>
      <c r="E1022" s="13" t="s">
        <v>104</v>
      </c>
      <c r="F1022" s="13" t="s">
        <v>87</v>
      </c>
      <c r="G1022" s="14">
        <v>45919</v>
      </c>
      <c r="H1022" s="14">
        <v>45936</v>
      </c>
      <c r="I1022">
        <v>5489.67</v>
      </c>
      <c r="J1022">
        <v>0</v>
      </c>
      <c r="K1022">
        <v>0</v>
      </c>
      <c r="L1022">
        <v>86</v>
      </c>
      <c r="M1022" s="13" t="s">
        <v>3512</v>
      </c>
    </row>
    <row r="1023" spans="1:13" x14ac:dyDescent="0.35">
      <c r="A1023" s="13" t="s">
        <v>4409</v>
      </c>
      <c r="B1023" s="13" t="s">
        <v>716</v>
      </c>
      <c r="C1023" s="13" t="s">
        <v>717</v>
      </c>
      <c r="D1023" s="13" t="s">
        <v>67</v>
      </c>
      <c r="E1023" s="13" t="s">
        <v>126</v>
      </c>
      <c r="F1023" s="13" t="s">
        <v>87</v>
      </c>
      <c r="G1023" s="14">
        <v>45928</v>
      </c>
      <c r="H1023" s="14">
        <v>45937</v>
      </c>
      <c r="I1023">
        <v>10722.4</v>
      </c>
      <c r="J1023">
        <v>10877.88</v>
      </c>
      <c r="K1023">
        <v>101.45</v>
      </c>
      <c r="L1023">
        <v>85</v>
      </c>
      <c r="M1023" s="13" t="s">
        <v>3366</v>
      </c>
    </row>
    <row r="1024" spans="1:13" x14ac:dyDescent="0.35">
      <c r="A1024" s="13" t="s">
        <v>4410</v>
      </c>
      <c r="B1024" s="13" t="s">
        <v>2250</v>
      </c>
      <c r="C1024" s="13" t="s">
        <v>2251</v>
      </c>
      <c r="D1024" s="13" t="s">
        <v>55</v>
      </c>
      <c r="E1024" s="13" t="s">
        <v>104</v>
      </c>
      <c r="F1024" s="13" t="s">
        <v>106</v>
      </c>
      <c r="G1024" s="14">
        <v>45933</v>
      </c>
      <c r="H1024" s="14">
        <v>45937</v>
      </c>
      <c r="I1024">
        <v>836.28</v>
      </c>
      <c r="J1024">
        <v>905.12</v>
      </c>
      <c r="K1024">
        <v>108.23</v>
      </c>
      <c r="L1024">
        <v>85</v>
      </c>
      <c r="M1024" s="13" t="s">
        <v>3366</v>
      </c>
    </row>
    <row r="1025" spans="1:13" x14ac:dyDescent="0.35">
      <c r="A1025" s="13" t="s">
        <v>4411</v>
      </c>
      <c r="B1025" s="13" t="s">
        <v>109</v>
      </c>
      <c r="C1025" s="13" t="s">
        <v>110</v>
      </c>
      <c r="D1025" s="13" t="s">
        <v>67</v>
      </c>
      <c r="E1025" s="13" t="s">
        <v>52</v>
      </c>
      <c r="F1025" s="13" t="s">
        <v>87</v>
      </c>
      <c r="G1025" s="14">
        <v>45932</v>
      </c>
      <c r="H1025" s="14">
        <v>45937</v>
      </c>
      <c r="I1025">
        <v>17094.77</v>
      </c>
      <c r="J1025">
        <v>28373.21</v>
      </c>
      <c r="K1025">
        <v>165.98</v>
      </c>
      <c r="L1025">
        <v>85</v>
      </c>
      <c r="M1025" s="13" t="s">
        <v>3366</v>
      </c>
    </row>
    <row r="1026" spans="1:13" x14ac:dyDescent="0.35">
      <c r="A1026" s="13" t="s">
        <v>4412</v>
      </c>
      <c r="B1026" s="13" t="s">
        <v>2155</v>
      </c>
      <c r="C1026" s="13" t="s">
        <v>2156</v>
      </c>
      <c r="D1026" s="13" t="s">
        <v>67</v>
      </c>
      <c r="E1026" s="13" t="s">
        <v>76</v>
      </c>
      <c r="F1026" s="13" t="s">
        <v>80</v>
      </c>
      <c r="G1026" s="14">
        <v>45924</v>
      </c>
      <c r="H1026" s="14">
        <v>45937</v>
      </c>
      <c r="I1026">
        <v>2499.94</v>
      </c>
      <c r="J1026">
        <v>2775.52</v>
      </c>
      <c r="K1026">
        <v>111.02</v>
      </c>
      <c r="L1026">
        <v>85</v>
      </c>
      <c r="M1026" s="13" t="s">
        <v>3366</v>
      </c>
    </row>
    <row r="1027" spans="1:13" x14ac:dyDescent="0.35">
      <c r="A1027" s="13" t="s">
        <v>4413</v>
      </c>
      <c r="B1027" s="13" t="s">
        <v>1577</v>
      </c>
      <c r="C1027" s="13" t="s">
        <v>1578</v>
      </c>
      <c r="D1027" s="13" t="s">
        <v>67</v>
      </c>
      <c r="E1027" s="13" t="s">
        <v>76</v>
      </c>
      <c r="F1027" s="13" t="s">
        <v>80</v>
      </c>
      <c r="G1027" s="14">
        <v>45929</v>
      </c>
      <c r="H1027" s="14">
        <v>45937</v>
      </c>
      <c r="I1027">
        <v>2295.2199999999998</v>
      </c>
      <c r="J1027">
        <v>2937.04</v>
      </c>
      <c r="K1027">
        <v>127.96</v>
      </c>
      <c r="L1027">
        <v>85</v>
      </c>
      <c r="M1027" s="13" t="s">
        <v>3366</v>
      </c>
    </row>
    <row r="1028" spans="1:13" x14ac:dyDescent="0.35">
      <c r="A1028" s="13" t="s">
        <v>4414</v>
      </c>
      <c r="B1028" s="13" t="s">
        <v>1581</v>
      </c>
      <c r="C1028" s="13" t="s">
        <v>1582</v>
      </c>
      <c r="D1028" s="13" t="s">
        <v>55</v>
      </c>
      <c r="E1028" s="13" t="s">
        <v>76</v>
      </c>
      <c r="F1028" s="13" t="s">
        <v>80</v>
      </c>
      <c r="G1028" s="14">
        <v>45934</v>
      </c>
      <c r="H1028" s="14">
        <v>45937</v>
      </c>
      <c r="I1028">
        <v>1648.18</v>
      </c>
      <c r="J1028">
        <v>2764.04</v>
      </c>
      <c r="K1028">
        <v>167.7</v>
      </c>
      <c r="L1028">
        <v>85</v>
      </c>
      <c r="M1028" s="13" t="s">
        <v>3366</v>
      </c>
    </row>
    <row r="1029" spans="1:13" x14ac:dyDescent="0.35">
      <c r="A1029" s="13" t="s">
        <v>4415</v>
      </c>
      <c r="B1029" s="13" t="s">
        <v>981</v>
      </c>
      <c r="C1029" s="13" t="s">
        <v>982</v>
      </c>
      <c r="D1029" s="13" t="s">
        <v>67</v>
      </c>
      <c r="E1029" s="13" t="s">
        <v>52</v>
      </c>
      <c r="F1029" s="13" t="s">
        <v>87</v>
      </c>
      <c r="G1029" s="14">
        <v>45927</v>
      </c>
      <c r="H1029" s="14">
        <v>45938</v>
      </c>
      <c r="I1029">
        <v>11806.15</v>
      </c>
      <c r="J1029">
        <v>17897.740000000002</v>
      </c>
      <c r="K1029">
        <v>151.6</v>
      </c>
      <c r="L1029">
        <v>84</v>
      </c>
      <c r="M1029" s="13" t="s">
        <v>3366</v>
      </c>
    </row>
    <row r="1030" spans="1:13" x14ac:dyDescent="0.35">
      <c r="A1030" s="13" t="s">
        <v>4416</v>
      </c>
      <c r="B1030" s="13" t="s">
        <v>296</v>
      </c>
      <c r="C1030" s="13" t="s">
        <v>297</v>
      </c>
      <c r="D1030" s="13" t="s">
        <v>92</v>
      </c>
      <c r="E1030" s="13" t="s">
        <v>104</v>
      </c>
      <c r="F1030" s="13" t="s">
        <v>106</v>
      </c>
      <c r="G1030" s="14">
        <v>45917</v>
      </c>
      <c r="H1030" s="14">
        <v>45938</v>
      </c>
      <c r="I1030">
        <v>2048.1</v>
      </c>
      <c r="J1030">
        <v>0</v>
      </c>
      <c r="K1030">
        <v>0</v>
      </c>
      <c r="L1030">
        <v>84</v>
      </c>
      <c r="M1030" s="13" t="s">
        <v>3512</v>
      </c>
    </row>
    <row r="1031" spans="1:13" x14ac:dyDescent="0.35">
      <c r="A1031" s="13" t="s">
        <v>4417</v>
      </c>
      <c r="B1031" s="13" t="s">
        <v>1665</v>
      </c>
      <c r="C1031" s="13" t="s">
        <v>1666</v>
      </c>
      <c r="D1031" s="13" t="s">
        <v>55</v>
      </c>
      <c r="E1031" s="13" t="s">
        <v>76</v>
      </c>
      <c r="F1031" s="13" t="s">
        <v>94</v>
      </c>
      <c r="G1031" s="14">
        <v>45933</v>
      </c>
      <c r="H1031" s="14">
        <v>45938</v>
      </c>
      <c r="I1031">
        <v>4653.3599999999997</v>
      </c>
      <c r="J1031">
        <v>5272.02</v>
      </c>
      <c r="K1031">
        <v>113.29</v>
      </c>
      <c r="L1031">
        <v>84</v>
      </c>
      <c r="M1031" s="13" t="s">
        <v>3366</v>
      </c>
    </row>
    <row r="1032" spans="1:13" x14ac:dyDescent="0.35">
      <c r="A1032" s="13" t="s">
        <v>4418</v>
      </c>
      <c r="B1032" s="13" t="s">
        <v>446</v>
      </c>
      <c r="C1032" s="13" t="s">
        <v>447</v>
      </c>
      <c r="D1032" s="13" t="s">
        <v>67</v>
      </c>
      <c r="E1032" s="13" t="s">
        <v>52</v>
      </c>
      <c r="F1032" s="13" t="s">
        <v>87</v>
      </c>
      <c r="G1032" s="14">
        <v>45933</v>
      </c>
      <c r="H1032" s="14">
        <v>45938</v>
      </c>
      <c r="I1032">
        <v>5658.3</v>
      </c>
      <c r="J1032">
        <v>11322.83</v>
      </c>
      <c r="K1032">
        <v>200.11</v>
      </c>
      <c r="L1032">
        <v>84</v>
      </c>
      <c r="M1032" s="13" t="s">
        <v>3366</v>
      </c>
    </row>
    <row r="1033" spans="1:13" x14ac:dyDescent="0.35">
      <c r="A1033" s="13" t="s">
        <v>4419</v>
      </c>
      <c r="B1033" s="13" t="s">
        <v>2094</v>
      </c>
      <c r="C1033" s="13" t="s">
        <v>2095</v>
      </c>
      <c r="D1033" s="13" t="s">
        <v>55</v>
      </c>
      <c r="E1033" s="13" t="s">
        <v>104</v>
      </c>
      <c r="F1033" s="13" t="s">
        <v>106</v>
      </c>
      <c r="G1033" s="14">
        <v>45932</v>
      </c>
      <c r="H1033" s="14">
        <v>45938</v>
      </c>
      <c r="I1033">
        <v>4805.75</v>
      </c>
      <c r="J1033">
        <v>4933.1400000000003</v>
      </c>
      <c r="K1033">
        <v>102.65</v>
      </c>
      <c r="L1033">
        <v>84</v>
      </c>
      <c r="M1033" s="13" t="s">
        <v>3366</v>
      </c>
    </row>
    <row r="1034" spans="1:13" x14ac:dyDescent="0.35">
      <c r="A1034" s="13" t="s">
        <v>4420</v>
      </c>
      <c r="B1034" s="13" t="s">
        <v>159</v>
      </c>
      <c r="C1034" s="13" t="s">
        <v>160</v>
      </c>
      <c r="D1034" s="13" t="s">
        <v>67</v>
      </c>
      <c r="E1034" s="13" t="s">
        <v>104</v>
      </c>
      <c r="F1034" s="13" t="s">
        <v>106</v>
      </c>
      <c r="G1034" s="14">
        <v>45931</v>
      </c>
      <c r="H1034" s="14">
        <v>45938</v>
      </c>
      <c r="I1034">
        <v>908.73</v>
      </c>
      <c r="J1034">
        <v>9361.23</v>
      </c>
      <c r="K1034">
        <v>1030.1400000000001</v>
      </c>
      <c r="L1034">
        <v>84</v>
      </c>
      <c r="M1034" s="13" t="s">
        <v>3366</v>
      </c>
    </row>
    <row r="1035" spans="1:13" x14ac:dyDescent="0.35">
      <c r="A1035" s="13" t="s">
        <v>4421</v>
      </c>
      <c r="B1035" s="13" t="s">
        <v>283</v>
      </c>
      <c r="C1035" s="13" t="s">
        <v>284</v>
      </c>
      <c r="D1035" s="13" t="s">
        <v>92</v>
      </c>
      <c r="E1035" s="13" t="s">
        <v>104</v>
      </c>
      <c r="F1035" s="13" t="s">
        <v>106</v>
      </c>
      <c r="G1035" s="14">
        <v>45921</v>
      </c>
      <c r="H1035" s="14">
        <v>45938</v>
      </c>
      <c r="I1035">
        <v>3634.9</v>
      </c>
      <c r="J1035">
        <v>0</v>
      </c>
      <c r="K1035">
        <v>0</v>
      </c>
      <c r="L1035">
        <v>84</v>
      </c>
      <c r="M1035" s="13" t="s">
        <v>3512</v>
      </c>
    </row>
    <row r="1036" spans="1:13" x14ac:dyDescent="0.35">
      <c r="A1036" s="13" t="s">
        <v>4422</v>
      </c>
      <c r="B1036" s="13" t="s">
        <v>434</v>
      </c>
      <c r="C1036" s="13" t="s">
        <v>435</v>
      </c>
      <c r="D1036" s="13" t="s">
        <v>55</v>
      </c>
      <c r="E1036" s="13" t="s">
        <v>52</v>
      </c>
      <c r="F1036" s="13" t="s">
        <v>57</v>
      </c>
      <c r="G1036" s="14">
        <v>45929</v>
      </c>
      <c r="H1036" s="14">
        <v>45938</v>
      </c>
      <c r="I1036">
        <v>10562.71</v>
      </c>
      <c r="J1036">
        <v>11404.88</v>
      </c>
      <c r="K1036">
        <v>107.97</v>
      </c>
      <c r="L1036">
        <v>84</v>
      </c>
      <c r="M1036" s="13" t="s">
        <v>3366</v>
      </c>
    </row>
    <row r="1037" spans="1:13" x14ac:dyDescent="0.35">
      <c r="A1037" s="13" t="s">
        <v>4423</v>
      </c>
      <c r="B1037" s="13" t="s">
        <v>156</v>
      </c>
      <c r="C1037" s="13" t="s">
        <v>157</v>
      </c>
      <c r="D1037" s="13" t="s">
        <v>92</v>
      </c>
      <c r="E1037" s="13" t="s">
        <v>52</v>
      </c>
      <c r="F1037" s="13" t="s">
        <v>57</v>
      </c>
      <c r="G1037" s="14">
        <v>45933</v>
      </c>
      <c r="H1037" s="14">
        <v>45938</v>
      </c>
      <c r="I1037">
        <v>820.76</v>
      </c>
      <c r="J1037">
        <v>14700.36</v>
      </c>
      <c r="K1037">
        <v>1791.07</v>
      </c>
      <c r="L1037">
        <v>84</v>
      </c>
      <c r="M1037" s="13" t="s">
        <v>3366</v>
      </c>
    </row>
    <row r="1038" spans="1:13" x14ac:dyDescent="0.35">
      <c r="A1038" s="13" t="s">
        <v>4424</v>
      </c>
      <c r="B1038" s="13" t="s">
        <v>3396</v>
      </c>
      <c r="C1038" s="13" t="s">
        <v>3397</v>
      </c>
      <c r="D1038" s="13" t="s">
        <v>92</v>
      </c>
      <c r="E1038" s="13" t="s">
        <v>104</v>
      </c>
      <c r="F1038" s="13" t="s">
        <v>122</v>
      </c>
      <c r="G1038" s="14">
        <v>45931</v>
      </c>
      <c r="H1038" s="14">
        <v>45938</v>
      </c>
      <c r="I1038">
        <v>6303.76</v>
      </c>
      <c r="J1038">
        <v>10261.84</v>
      </c>
      <c r="K1038">
        <v>162.79</v>
      </c>
      <c r="L1038">
        <v>84</v>
      </c>
      <c r="M1038" s="13" t="s">
        <v>3366</v>
      </c>
    </row>
    <row r="1039" spans="1:13" x14ac:dyDescent="0.35">
      <c r="A1039" s="13" t="s">
        <v>4425</v>
      </c>
      <c r="B1039" s="13" t="s">
        <v>2232</v>
      </c>
      <c r="C1039" s="13" t="s">
        <v>2233</v>
      </c>
      <c r="D1039" s="13" t="s">
        <v>67</v>
      </c>
      <c r="E1039" s="13" t="s">
        <v>104</v>
      </c>
      <c r="F1039" s="13" t="s">
        <v>106</v>
      </c>
      <c r="G1039" s="14">
        <v>45933</v>
      </c>
      <c r="H1039" s="14">
        <v>45938</v>
      </c>
      <c r="I1039">
        <v>791.3</v>
      </c>
      <c r="J1039">
        <v>837.55</v>
      </c>
      <c r="K1039">
        <v>105.84</v>
      </c>
      <c r="L1039">
        <v>84</v>
      </c>
      <c r="M1039" s="13" t="s">
        <v>3366</v>
      </c>
    </row>
    <row r="1040" spans="1:13" x14ac:dyDescent="0.35">
      <c r="A1040" s="13" t="s">
        <v>4426</v>
      </c>
      <c r="B1040" s="13" t="s">
        <v>1038</v>
      </c>
      <c r="C1040" s="13" t="s">
        <v>1039</v>
      </c>
      <c r="D1040" s="13" t="s">
        <v>67</v>
      </c>
      <c r="E1040" s="13" t="s">
        <v>52</v>
      </c>
      <c r="F1040" s="13" t="s">
        <v>57</v>
      </c>
      <c r="G1040" s="14">
        <v>45934</v>
      </c>
      <c r="H1040" s="14">
        <v>45939</v>
      </c>
      <c r="I1040">
        <v>13516.45</v>
      </c>
      <c r="J1040">
        <v>20497</v>
      </c>
      <c r="K1040">
        <v>151.63999999999999</v>
      </c>
      <c r="L1040">
        <v>83</v>
      </c>
      <c r="M1040" s="13" t="s">
        <v>3366</v>
      </c>
    </row>
    <row r="1041" spans="1:13" x14ac:dyDescent="0.35">
      <c r="A1041" s="13" t="s">
        <v>4427</v>
      </c>
      <c r="B1041" s="13" t="s">
        <v>277</v>
      </c>
      <c r="C1041" s="13" t="s">
        <v>278</v>
      </c>
      <c r="D1041" s="13" t="s">
        <v>92</v>
      </c>
      <c r="E1041" s="13" t="s">
        <v>104</v>
      </c>
      <c r="F1041" s="13" t="s">
        <v>106</v>
      </c>
      <c r="G1041" s="14">
        <v>45922</v>
      </c>
      <c r="H1041" s="14">
        <v>45939</v>
      </c>
      <c r="I1041">
        <v>4327.5200000000004</v>
      </c>
      <c r="J1041">
        <v>0</v>
      </c>
      <c r="K1041">
        <v>0</v>
      </c>
      <c r="L1041">
        <v>83</v>
      </c>
      <c r="M1041" s="13" t="s">
        <v>3512</v>
      </c>
    </row>
    <row r="1042" spans="1:13" x14ac:dyDescent="0.35">
      <c r="A1042" s="13" t="s">
        <v>4428</v>
      </c>
      <c r="B1042" s="13" t="s">
        <v>283</v>
      </c>
      <c r="C1042" s="13" t="s">
        <v>284</v>
      </c>
      <c r="D1042" s="13" t="s">
        <v>92</v>
      </c>
      <c r="E1042" s="13" t="s">
        <v>104</v>
      </c>
      <c r="F1042" s="13" t="s">
        <v>106</v>
      </c>
      <c r="G1042" s="14">
        <v>45917</v>
      </c>
      <c r="H1042" s="14">
        <v>45939</v>
      </c>
      <c r="I1042">
        <v>2084.5700000000002</v>
      </c>
      <c r="J1042">
        <v>0</v>
      </c>
      <c r="K1042">
        <v>0</v>
      </c>
      <c r="L1042">
        <v>83</v>
      </c>
      <c r="M1042" s="13" t="s">
        <v>3512</v>
      </c>
    </row>
    <row r="1043" spans="1:13" x14ac:dyDescent="0.35">
      <c r="A1043" s="13" t="s">
        <v>4429</v>
      </c>
      <c r="B1043" s="13" t="s">
        <v>1004</v>
      </c>
      <c r="C1043" s="13" t="s">
        <v>1005</v>
      </c>
      <c r="D1043" s="13" t="s">
        <v>55</v>
      </c>
      <c r="E1043" s="13" t="s">
        <v>104</v>
      </c>
      <c r="F1043" s="13" t="s">
        <v>122</v>
      </c>
      <c r="G1043" s="14">
        <v>45933</v>
      </c>
      <c r="H1043" s="14">
        <v>45940</v>
      </c>
      <c r="I1043">
        <v>912.5</v>
      </c>
      <c r="J1043">
        <v>6809.87</v>
      </c>
      <c r="K1043">
        <v>746.29</v>
      </c>
      <c r="L1043">
        <v>82</v>
      </c>
      <c r="M1043" s="13" t="s">
        <v>3366</v>
      </c>
    </row>
    <row r="1044" spans="1:13" x14ac:dyDescent="0.35">
      <c r="A1044" s="13" t="s">
        <v>4430</v>
      </c>
      <c r="B1044" s="13" t="s">
        <v>1241</v>
      </c>
      <c r="C1044" s="13" t="s">
        <v>1242</v>
      </c>
      <c r="D1044" s="13" t="s">
        <v>55</v>
      </c>
      <c r="E1044" s="13" t="s">
        <v>76</v>
      </c>
      <c r="F1044" s="13" t="s">
        <v>94</v>
      </c>
      <c r="G1044" s="14">
        <v>45937</v>
      </c>
      <c r="H1044" s="14">
        <v>45940</v>
      </c>
      <c r="I1044">
        <v>4068.28</v>
      </c>
      <c r="J1044">
        <v>4348.28</v>
      </c>
      <c r="K1044">
        <v>106.88</v>
      </c>
      <c r="L1044">
        <v>82</v>
      </c>
      <c r="M1044" s="13" t="s">
        <v>3366</v>
      </c>
    </row>
    <row r="1045" spans="1:13" x14ac:dyDescent="0.35">
      <c r="A1045" s="13" t="s">
        <v>4431</v>
      </c>
      <c r="B1045" s="13" t="s">
        <v>2622</v>
      </c>
      <c r="C1045" s="13" t="s">
        <v>2623</v>
      </c>
      <c r="D1045" s="13" t="s">
        <v>67</v>
      </c>
      <c r="E1045" s="13" t="s">
        <v>104</v>
      </c>
      <c r="F1045" s="13" t="s">
        <v>106</v>
      </c>
      <c r="G1045" s="14">
        <v>45938</v>
      </c>
      <c r="H1045" s="14">
        <v>45941</v>
      </c>
      <c r="I1045">
        <v>771.73</v>
      </c>
      <c r="J1045">
        <v>812.55</v>
      </c>
      <c r="K1045">
        <v>105.29</v>
      </c>
      <c r="L1045">
        <v>81</v>
      </c>
      <c r="M1045" s="13" t="s">
        <v>3366</v>
      </c>
    </row>
    <row r="1046" spans="1:13" x14ac:dyDescent="0.35">
      <c r="A1046" s="13" t="s">
        <v>4432</v>
      </c>
      <c r="B1046" s="13" t="s">
        <v>446</v>
      </c>
      <c r="C1046" s="13" t="s">
        <v>447</v>
      </c>
      <c r="D1046" s="13" t="s">
        <v>67</v>
      </c>
      <c r="E1046" s="13" t="s">
        <v>52</v>
      </c>
      <c r="F1046" s="13" t="s">
        <v>87</v>
      </c>
      <c r="G1046" s="14">
        <v>45931</v>
      </c>
      <c r="H1046" s="14">
        <v>45941</v>
      </c>
      <c r="I1046">
        <v>16208</v>
      </c>
      <c r="J1046">
        <v>27540.87</v>
      </c>
      <c r="K1046">
        <v>169.92</v>
      </c>
      <c r="L1046">
        <v>81</v>
      </c>
      <c r="M1046" s="13" t="s">
        <v>3366</v>
      </c>
    </row>
    <row r="1047" spans="1:13" x14ac:dyDescent="0.35">
      <c r="A1047" s="13" t="s">
        <v>4433</v>
      </c>
      <c r="B1047" s="13" t="s">
        <v>290</v>
      </c>
      <c r="C1047" s="13" t="s">
        <v>291</v>
      </c>
      <c r="D1047" s="13" t="s">
        <v>92</v>
      </c>
      <c r="E1047" s="13" t="s">
        <v>104</v>
      </c>
      <c r="F1047" s="13" t="s">
        <v>122</v>
      </c>
      <c r="G1047" s="14">
        <v>45923</v>
      </c>
      <c r="H1047" s="14">
        <v>45941</v>
      </c>
      <c r="I1047">
        <v>404.83</v>
      </c>
      <c r="J1047">
        <v>0</v>
      </c>
      <c r="K1047">
        <v>0</v>
      </c>
      <c r="L1047">
        <v>81</v>
      </c>
      <c r="M1047" s="13" t="s">
        <v>3512</v>
      </c>
    </row>
    <row r="1048" spans="1:13" x14ac:dyDescent="0.35">
      <c r="A1048" s="13" t="s">
        <v>4434</v>
      </c>
      <c r="B1048" s="13" t="s">
        <v>212</v>
      </c>
      <c r="C1048" s="13" t="s">
        <v>213</v>
      </c>
      <c r="D1048" s="13" t="s">
        <v>92</v>
      </c>
      <c r="E1048" s="13" t="s">
        <v>52</v>
      </c>
      <c r="F1048" s="13" t="s">
        <v>87</v>
      </c>
      <c r="G1048" s="14">
        <v>45936</v>
      </c>
      <c r="H1048" s="14">
        <v>45941</v>
      </c>
      <c r="I1048">
        <v>1628.99</v>
      </c>
      <c r="J1048">
        <v>1745.48</v>
      </c>
      <c r="K1048">
        <v>107.15</v>
      </c>
      <c r="L1048">
        <v>81</v>
      </c>
      <c r="M1048" s="13" t="s">
        <v>3366</v>
      </c>
    </row>
    <row r="1049" spans="1:13" x14ac:dyDescent="0.35">
      <c r="A1049" s="13" t="s">
        <v>4435</v>
      </c>
      <c r="B1049" s="13" t="s">
        <v>474</v>
      </c>
      <c r="C1049" s="13" t="s">
        <v>475</v>
      </c>
      <c r="D1049" s="13" t="s">
        <v>67</v>
      </c>
      <c r="E1049" s="13" t="s">
        <v>126</v>
      </c>
      <c r="F1049" s="13" t="s">
        <v>57</v>
      </c>
      <c r="G1049" s="14">
        <v>45932</v>
      </c>
      <c r="H1049" s="14">
        <v>45941</v>
      </c>
      <c r="I1049">
        <v>4028.52</v>
      </c>
      <c r="J1049">
        <v>6007.41</v>
      </c>
      <c r="K1049">
        <v>149.12</v>
      </c>
      <c r="L1049">
        <v>81</v>
      </c>
      <c r="M1049" s="13" t="s">
        <v>3366</v>
      </c>
    </row>
    <row r="1050" spans="1:13" x14ac:dyDescent="0.35">
      <c r="A1050" s="13" t="s">
        <v>4436</v>
      </c>
      <c r="B1050" s="13" t="s">
        <v>981</v>
      </c>
      <c r="C1050" s="13" t="s">
        <v>982</v>
      </c>
      <c r="D1050" s="13" t="s">
        <v>67</v>
      </c>
      <c r="E1050" s="13" t="s">
        <v>52</v>
      </c>
      <c r="F1050" s="13" t="s">
        <v>87</v>
      </c>
      <c r="G1050" s="14">
        <v>45935</v>
      </c>
      <c r="H1050" s="14">
        <v>45942</v>
      </c>
      <c r="I1050">
        <v>3362.31</v>
      </c>
      <c r="J1050">
        <v>3636.12</v>
      </c>
      <c r="K1050">
        <v>108.14</v>
      </c>
      <c r="L1050">
        <v>80</v>
      </c>
      <c r="M1050" s="13" t="s">
        <v>3366</v>
      </c>
    </row>
    <row r="1051" spans="1:13" x14ac:dyDescent="0.35">
      <c r="A1051" s="13" t="s">
        <v>4437</v>
      </c>
      <c r="B1051" s="13" t="s">
        <v>312</v>
      </c>
      <c r="C1051" s="13" t="s">
        <v>313</v>
      </c>
      <c r="D1051" s="13" t="s">
        <v>55</v>
      </c>
      <c r="E1051" s="13" t="s">
        <v>52</v>
      </c>
      <c r="F1051" s="13" t="s">
        <v>57</v>
      </c>
      <c r="G1051" s="14">
        <v>45931</v>
      </c>
      <c r="H1051" s="14">
        <v>45942</v>
      </c>
      <c r="I1051">
        <v>6228.51</v>
      </c>
      <c r="J1051">
        <v>6412.04</v>
      </c>
      <c r="K1051">
        <v>102.95</v>
      </c>
      <c r="L1051">
        <v>80</v>
      </c>
      <c r="M1051" s="13" t="s">
        <v>3366</v>
      </c>
    </row>
    <row r="1052" spans="1:13" x14ac:dyDescent="0.35">
      <c r="A1052" s="13" t="s">
        <v>4438</v>
      </c>
      <c r="B1052" s="13" t="s">
        <v>442</v>
      </c>
      <c r="C1052" s="13" t="s">
        <v>443</v>
      </c>
      <c r="D1052" s="13" t="s">
        <v>92</v>
      </c>
      <c r="E1052" s="13" t="s">
        <v>104</v>
      </c>
      <c r="F1052" s="13" t="s">
        <v>122</v>
      </c>
      <c r="G1052" s="14">
        <v>45936</v>
      </c>
      <c r="H1052" s="14">
        <v>45942</v>
      </c>
      <c r="I1052">
        <v>6844.78</v>
      </c>
      <c r="J1052">
        <v>10913.14</v>
      </c>
      <c r="K1052">
        <v>159.44</v>
      </c>
      <c r="L1052">
        <v>80</v>
      </c>
      <c r="M1052" s="13" t="s">
        <v>3366</v>
      </c>
    </row>
    <row r="1053" spans="1:13" x14ac:dyDescent="0.35">
      <c r="A1053" s="13" t="s">
        <v>4439</v>
      </c>
      <c r="B1053" s="13" t="s">
        <v>296</v>
      </c>
      <c r="C1053" s="13" t="s">
        <v>297</v>
      </c>
      <c r="D1053" s="13" t="s">
        <v>92</v>
      </c>
      <c r="E1053" s="13" t="s">
        <v>104</v>
      </c>
      <c r="F1053" s="13" t="s">
        <v>106</v>
      </c>
      <c r="G1053" s="14">
        <v>45920</v>
      </c>
      <c r="H1053" s="14">
        <v>45943</v>
      </c>
      <c r="I1053">
        <v>1820.31</v>
      </c>
      <c r="J1053">
        <v>0</v>
      </c>
      <c r="K1053">
        <v>0</v>
      </c>
      <c r="L1053">
        <v>79</v>
      </c>
      <c r="M1053" s="13" t="s">
        <v>3512</v>
      </c>
    </row>
    <row r="1054" spans="1:13" x14ac:dyDescent="0.35">
      <c r="A1054" s="13" t="s">
        <v>4440</v>
      </c>
      <c r="B1054" s="13" t="s">
        <v>1672</v>
      </c>
      <c r="C1054" s="13" t="s">
        <v>1673</v>
      </c>
      <c r="D1054" s="13" t="s">
        <v>67</v>
      </c>
      <c r="E1054" s="13" t="s">
        <v>76</v>
      </c>
      <c r="F1054" s="13" t="s">
        <v>80</v>
      </c>
      <c r="G1054" s="14">
        <v>45931</v>
      </c>
      <c r="H1054" s="14">
        <v>45943</v>
      </c>
      <c r="I1054">
        <v>878.06</v>
      </c>
      <c r="J1054">
        <v>1968.54</v>
      </c>
      <c r="K1054">
        <v>224.19</v>
      </c>
      <c r="L1054">
        <v>79</v>
      </c>
      <c r="M1054" s="13" t="s">
        <v>3366</v>
      </c>
    </row>
    <row r="1055" spans="1:13" x14ac:dyDescent="0.35">
      <c r="A1055" s="13" t="s">
        <v>4441</v>
      </c>
      <c r="B1055" s="13" t="s">
        <v>69</v>
      </c>
      <c r="C1055" s="13" t="s">
        <v>70</v>
      </c>
      <c r="D1055" s="13" t="s">
        <v>55</v>
      </c>
      <c r="E1055" s="13" t="s">
        <v>52</v>
      </c>
      <c r="F1055" s="13" t="s">
        <v>57</v>
      </c>
      <c r="G1055" s="14">
        <v>45930</v>
      </c>
      <c r="H1055" s="14">
        <v>45944</v>
      </c>
      <c r="I1055">
        <v>1788.48</v>
      </c>
      <c r="J1055">
        <v>1905.93</v>
      </c>
      <c r="K1055">
        <v>106.57</v>
      </c>
      <c r="L1055">
        <v>78</v>
      </c>
      <c r="M1055" s="13" t="s">
        <v>3366</v>
      </c>
    </row>
    <row r="1056" spans="1:13" x14ac:dyDescent="0.35">
      <c r="A1056" s="13" t="s">
        <v>4442</v>
      </c>
      <c r="B1056" s="13" t="s">
        <v>1581</v>
      </c>
      <c r="C1056" s="13" t="s">
        <v>1582</v>
      </c>
      <c r="D1056" s="13" t="s">
        <v>55</v>
      </c>
      <c r="E1056" s="13" t="s">
        <v>76</v>
      </c>
      <c r="F1056" s="13" t="s">
        <v>80</v>
      </c>
      <c r="G1056" s="14">
        <v>45933</v>
      </c>
      <c r="H1056" s="14">
        <v>45944</v>
      </c>
      <c r="I1056">
        <v>2794.4</v>
      </c>
      <c r="J1056">
        <v>3505.9</v>
      </c>
      <c r="K1056">
        <v>125.46</v>
      </c>
      <c r="L1056">
        <v>78</v>
      </c>
      <c r="M1056" s="13" t="s">
        <v>3366</v>
      </c>
    </row>
    <row r="1057" spans="1:13" x14ac:dyDescent="0.35">
      <c r="A1057" s="13" t="s">
        <v>4443</v>
      </c>
      <c r="B1057" s="13" t="s">
        <v>225</v>
      </c>
      <c r="C1057" s="13" t="s">
        <v>226</v>
      </c>
      <c r="D1057" s="13" t="s">
        <v>55</v>
      </c>
      <c r="E1057" s="13" t="s">
        <v>52</v>
      </c>
      <c r="F1057" s="13" t="s">
        <v>57</v>
      </c>
      <c r="G1057" s="14">
        <v>45932</v>
      </c>
      <c r="H1057" s="14">
        <v>45944</v>
      </c>
      <c r="I1057">
        <v>2595.7399999999998</v>
      </c>
      <c r="J1057">
        <v>2673.71</v>
      </c>
      <c r="K1057">
        <v>103</v>
      </c>
      <c r="L1057">
        <v>78</v>
      </c>
      <c r="M1057" s="13" t="s">
        <v>3366</v>
      </c>
    </row>
    <row r="1058" spans="1:13" x14ac:dyDescent="0.35">
      <c r="A1058" s="13" t="s">
        <v>4444</v>
      </c>
      <c r="B1058" s="13" t="s">
        <v>644</v>
      </c>
      <c r="C1058" s="13" t="s">
        <v>645</v>
      </c>
      <c r="D1058" s="13" t="s">
        <v>92</v>
      </c>
      <c r="E1058" s="13" t="s">
        <v>76</v>
      </c>
      <c r="F1058" s="13" t="s">
        <v>80</v>
      </c>
      <c r="G1058" s="14">
        <v>45932</v>
      </c>
      <c r="H1058" s="14">
        <v>45945</v>
      </c>
      <c r="I1058">
        <v>881.62</v>
      </c>
      <c r="J1058">
        <v>930.61</v>
      </c>
      <c r="K1058">
        <v>105.56</v>
      </c>
      <c r="L1058">
        <v>77</v>
      </c>
      <c r="M1058" s="13" t="s">
        <v>3366</v>
      </c>
    </row>
    <row r="1059" spans="1:13" x14ac:dyDescent="0.35">
      <c r="A1059" s="13" t="s">
        <v>4445</v>
      </c>
      <c r="B1059" s="13" t="s">
        <v>147</v>
      </c>
      <c r="C1059" s="13" t="s">
        <v>148</v>
      </c>
      <c r="D1059" s="13" t="s">
        <v>67</v>
      </c>
      <c r="E1059" s="13" t="s">
        <v>104</v>
      </c>
      <c r="F1059" s="13" t="s">
        <v>106</v>
      </c>
      <c r="G1059" s="14">
        <v>45937</v>
      </c>
      <c r="H1059" s="14">
        <v>45945</v>
      </c>
      <c r="I1059">
        <v>6676.65</v>
      </c>
      <c r="J1059">
        <v>6783.33</v>
      </c>
      <c r="K1059">
        <v>101.6</v>
      </c>
      <c r="L1059">
        <v>77</v>
      </c>
      <c r="M1059" s="13" t="s">
        <v>3366</v>
      </c>
    </row>
    <row r="1060" spans="1:13" x14ac:dyDescent="0.35">
      <c r="A1060" s="13" t="s">
        <v>4446</v>
      </c>
      <c r="B1060" s="13" t="s">
        <v>343</v>
      </c>
      <c r="C1060" s="13" t="s">
        <v>344</v>
      </c>
      <c r="D1060" s="13" t="s">
        <v>67</v>
      </c>
      <c r="E1060" s="13" t="s">
        <v>104</v>
      </c>
      <c r="F1060" s="13" t="s">
        <v>106</v>
      </c>
      <c r="G1060" s="14">
        <v>45943</v>
      </c>
      <c r="H1060" s="14">
        <v>45945</v>
      </c>
      <c r="I1060">
        <v>4748.83</v>
      </c>
      <c r="J1060">
        <v>4958.6499999999996</v>
      </c>
      <c r="K1060">
        <v>104.42</v>
      </c>
      <c r="L1060">
        <v>77</v>
      </c>
      <c r="M1060" s="13" t="s">
        <v>3366</v>
      </c>
    </row>
    <row r="1061" spans="1:13" x14ac:dyDescent="0.35">
      <c r="A1061" s="13" t="s">
        <v>4447</v>
      </c>
      <c r="B1061" s="13" t="s">
        <v>474</v>
      </c>
      <c r="C1061" s="13" t="s">
        <v>475</v>
      </c>
      <c r="D1061" s="13" t="s">
        <v>67</v>
      </c>
      <c r="E1061" s="13" t="s">
        <v>126</v>
      </c>
      <c r="F1061" s="13" t="s">
        <v>57</v>
      </c>
      <c r="G1061" s="14">
        <v>45936</v>
      </c>
      <c r="H1061" s="14">
        <v>45945</v>
      </c>
      <c r="I1061">
        <v>3782.46</v>
      </c>
      <c r="J1061">
        <v>6006.87</v>
      </c>
      <c r="K1061">
        <v>158.81</v>
      </c>
      <c r="L1061">
        <v>77</v>
      </c>
      <c r="M1061" s="13" t="s">
        <v>3366</v>
      </c>
    </row>
    <row r="1062" spans="1:13" x14ac:dyDescent="0.35">
      <c r="A1062" s="13" t="s">
        <v>4448</v>
      </c>
      <c r="B1062" s="13" t="s">
        <v>533</v>
      </c>
      <c r="C1062" s="13" t="s">
        <v>534</v>
      </c>
      <c r="D1062" s="13" t="s">
        <v>67</v>
      </c>
      <c r="E1062" s="13" t="s">
        <v>126</v>
      </c>
      <c r="F1062" s="13" t="s">
        <v>87</v>
      </c>
      <c r="G1062" s="14">
        <v>45936</v>
      </c>
      <c r="H1062" s="14">
        <v>45945</v>
      </c>
      <c r="I1062">
        <v>4722.38</v>
      </c>
      <c r="J1062">
        <v>5110.46</v>
      </c>
      <c r="K1062">
        <v>108.22</v>
      </c>
      <c r="L1062">
        <v>77</v>
      </c>
      <c r="M1062" s="13" t="s">
        <v>3366</v>
      </c>
    </row>
    <row r="1063" spans="1:13" x14ac:dyDescent="0.35">
      <c r="A1063" s="13" t="s">
        <v>4449</v>
      </c>
      <c r="B1063" s="13" t="s">
        <v>730</v>
      </c>
      <c r="C1063" s="13" t="s">
        <v>731</v>
      </c>
      <c r="D1063" s="13" t="s">
        <v>67</v>
      </c>
      <c r="E1063" s="13" t="s">
        <v>126</v>
      </c>
      <c r="F1063" s="13" t="s">
        <v>106</v>
      </c>
      <c r="G1063" s="14">
        <v>45941</v>
      </c>
      <c r="H1063" s="14">
        <v>45946</v>
      </c>
      <c r="I1063">
        <v>4501.1000000000004</v>
      </c>
      <c r="J1063">
        <v>4739.99</v>
      </c>
      <c r="K1063">
        <v>105.31</v>
      </c>
      <c r="L1063">
        <v>76</v>
      </c>
      <c r="M1063" s="13" t="s">
        <v>3366</v>
      </c>
    </row>
    <row r="1064" spans="1:13" x14ac:dyDescent="0.35">
      <c r="A1064" s="13" t="s">
        <v>4450</v>
      </c>
      <c r="B1064" s="13" t="s">
        <v>2143</v>
      </c>
      <c r="C1064" s="13" t="s">
        <v>2144</v>
      </c>
      <c r="D1064" s="13" t="s">
        <v>67</v>
      </c>
      <c r="E1064" s="13" t="s">
        <v>126</v>
      </c>
      <c r="F1064" s="13" t="s">
        <v>106</v>
      </c>
      <c r="G1064" s="14">
        <v>45941</v>
      </c>
      <c r="H1064" s="14">
        <v>45946</v>
      </c>
      <c r="I1064">
        <v>6827.53</v>
      </c>
      <c r="J1064">
        <v>7219.29</v>
      </c>
      <c r="K1064">
        <v>105.74</v>
      </c>
      <c r="L1064">
        <v>76</v>
      </c>
      <c r="M1064" s="13" t="s">
        <v>3366</v>
      </c>
    </row>
    <row r="1065" spans="1:13" x14ac:dyDescent="0.35">
      <c r="A1065" s="13" t="s">
        <v>4451</v>
      </c>
      <c r="B1065" s="13" t="s">
        <v>2916</v>
      </c>
      <c r="C1065" s="13" t="s">
        <v>2917</v>
      </c>
      <c r="D1065" s="13" t="s">
        <v>67</v>
      </c>
      <c r="E1065" s="13" t="s">
        <v>76</v>
      </c>
      <c r="F1065" s="13" t="s">
        <v>94</v>
      </c>
      <c r="G1065" s="14">
        <v>45939</v>
      </c>
      <c r="H1065" s="14">
        <v>45946</v>
      </c>
      <c r="I1065">
        <v>1234.3900000000001</v>
      </c>
      <c r="J1065">
        <v>1369.96</v>
      </c>
      <c r="K1065">
        <v>110.98</v>
      </c>
      <c r="L1065">
        <v>76</v>
      </c>
      <c r="M1065" s="13" t="s">
        <v>3366</v>
      </c>
    </row>
    <row r="1066" spans="1:13" x14ac:dyDescent="0.35">
      <c r="A1066" s="13" t="s">
        <v>4452</v>
      </c>
      <c r="B1066" s="13" t="s">
        <v>539</v>
      </c>
      <c r="C1066" s="13" t="s">
        <v>540</v>
      </c>
      <c r="D1066" s="13" t="s">
        <v>67</v>
      </c>
      <c r="E1066" s="13" t="s">
        <v>52</v>
      </c>
      <c r="F1066" s="13" t="s">
        <v>57</v>
      </c>
      <c r="G1066" s="14">
        <v>45934</v>
      </c>
      <c r="H1066" s="14">
        <v>45947</v>
      </c>
      <c r="I1066">
        <v>2067.14</v>
      </c>
      <c r="J1066">
        <v>7009.11</v>
      </c>
      <c r="K1066">
        <v>339.07</v>
      </c>
      <c r="L1066">
        <v>75</v>
      </c>
      <c r="M1066" s="13" t="s">
        <v>3366</v>
      </c>
    </row>
    <row r="1067" spans="1:13" x14ac:dyDescent="0.35">
      <c r="A1067" s="13" t="s">
        <v>4453</v>
      </c>
      <c r="B1067" s="13" t="s">
        <v>1655</v>
      </c>
      <c r="C1067" s="13" t="s">
        <v>1656</v>
      </c>
      <c r="D1067" s="13" t="s">
        <v>55</v>
      </c>
      <c r="E1067" s="13" t="s">
        <v>104</v>
      </c>
      <c r="F1067" s="13" t="s">
        <v>122</v>
      </c>
      <c r="G1067" s="14">
        <v>45942</v>
      </c>
      <c r="H1067" s="14">
        <v>45947</v>
      </c>
      <c r="I1067">
        <v>2401.34</v>
      </c>
      <c r="J1067">
        <v>2483.3000000000002</v>
      </c>
      <c r="K1067">
        <v>103.41</v>
      </c>
      <c r="L1067">
        <v>75</v>
      </c>
      <c r="M1067" s="13" t="s">
        <v>3366</v>
      </c>
    </row>
    <row r="1068" spans="1:13" x14ac:dyDescent="0.35">
      <c r="A1068" s="13" t="s">
        <v>4454</v>
      </c>
      <c r="B1068" s="13" t="s">
        <v>286</v>
      </c>
      <c r="C1068" s="13" t="s">
        <v>287</v>
      </c>
      <c r="D1068" s="13" t="s">
        <v>92</v>
      </c>
      <c r="E1068" s="13" t="s">
        <v>104</v>
      </c>
      <c r="F1068" s="13" t="s">
        <v>87</v>
      </c>
      <c r="G1068" s="14">
        <v>45936</v>
      </c>
      <c r="H1068" s="14">
        <v>45947</v>
      </c>
      <c r="I1068">
        <v>1675.67</v>
      </c>
      <c r="J1068">
        <v>0</v>
      </c>
      <c r="K1068">
        <v>0</v>
      </c>
      <c r="L1068">
        <v>75</v>
      </c>
      <c r="M1068" s="13" t="s">
        <v>3512</v>
      </c>
    </row>
    <row r="1069" spans="1:13" x14ac:dyDescent="0.35">
      <c r="A1069" s="13" t="s">
        <v>4455</v>
      </c>
      <c r="B1069" s="13" t="s">
        <v>1541</v>
      </c>
      <c r="C1069" s="13" t="s">
        <v>1542</v>
      </c>
      <c r="D1069" s="13" t="s">
        <v>92</v>
      </c>
      <c r="E1069" s="13" t="s">
        <v>104</v>
      </c>
      <c r="F1069" s="13" t="s">
        <v>57</v>
      </c>
      <c r="G1069" s="14">
        <v>45936</v>
      </c>
      <c r="H1069" s="14">
        <v>45947</v>
      </c>
      <c r="I1069">
        <v>6334.36</v>
      </c>
      <c r="J1069">
        <v>6592.25</v>
      </c>
      <c r="K1069">
        <v>104.07</v>
      </c>
      <c r="L1069">
        <v>75</v>
      </c>
      <c r="M1069" s="13" t="s">
        <v>3366</v>
      </c>
    </row>
    <row r="1070" spans="1:13" x14ac:dyDescent="0.35">
      <c r="A1070" s="13" t="s">
        <v>4456</v>
      </c>
      <c r="B1070" s="13" t="s">
        <v>2413</v>
      </c>
      <c r="C1070" s="13" t="s">
        <v>2414</v>
      </c>
      <c r="D1070" s="13" t="s">
        <v>55</v>
      </c>
      <c r="E1070" s="13" t="s">
        <v>76</v>
      </c>
      <c r="F1070" s="13" t="s">
        <v>80</v>
      </c>
      <c r="G1070" s="14">
        <v>45939</v>
      </c>
      <c r="H1070" s="14">
        <v>45948</v>
      </c>
      <c r="I1070">
        <v>3300.24</v>
      </c>
      <c r="J1070">
        <v>3345.95</v>
      </c>
      <c r="K1070">
        <v>101.39</v>
      </c>
      <c r="L1070">
        <v>74</v>
      </c>
      <c r="M1070" s="13" t="s">
        <v>3366</v>
      </c>
    </row>
    <row r="1071" spans="1:13" x14ac:dyDescent="0.35">
      <c r="A1071" s="13" t="s">
        <v>4457</v>
      </c>
      <c r="B1071" s="13" t="s">
        <v>137</v>
      </c>
      <c r="C1071" s="13" t="s">
        <v>138</v>
      </c>
      <c r="D1071" s="13" t="s">
        <v>92</v>
      </c>
      <c r="E1071" s="13" t="s">
        <v>52</v>
      </c>
      <c r="F1071" s="13" t="s">
        <v>57</v>
      </c>
      <c r="G1071" s="14">
        <v>45944</v>
      </c>
      <c r="H1071" s="14">
        <v>45948</v>
      </c>
      <c r="I1071">
        <v>3654.04</v>
      </c>
      <c r="J1071">
        <v>3849.83</v>
      </c>
      <c r="K1071">
        <v>105.36</v>
      </c>
      <c r="L1071">
        <v>74</v>
      </c>
      <c r="M1071" s="13" t="s">
        <v>3366</v>
      </c>
    </row>
    <row r="1072" spans="1:13" x14ac:dyDescent="0.35">
      <c r="A1072" s="13" t="s">
        <v>4458</v>
      </c>
      <c r="B1072" s="13" t="s">
        <v>3498</v>
      </c>
      <c r="C1072" s="13" t="s">
        <v>3499</v>
      </c>
      <c r="D1072" s="13" t="s">
        <v>67</v>
      </c>
      <c r="E1072" s="13" t="s">
        <v>104</v>
      </c>
      <c r="F1072" s="13" t="s">
        <v>106</v>
      </c>
      <c r="G1072" s="14">
        <v>45936</v>
      </c>
      <c r="H1072" s="14">
        <v>45948</v>
      </c>
      <c r="I1072">
        <v>6452.45</v>
      </c>
      <c r="J1072">
        <v>7135.17</v>
      </c>
      <c r="K1072">
        <v>110.58</v>
      </c>
      <c r="L1072">
        <v>74</v>
      </c>
      <c r="M1072" s="13" t="s">
        <v>3366</v>
      </c>
    </row>
    <row r="1073" spans="1:13" x14ac:dyDescent="0.35">
      <c r="A1073" s="13" t="s">
        <v>4459</v>
      </c>
      <c r="B1073" s="13" t="s">
        <v>914</v>
      </c>
      <c r="C1073" s="13" t="s">
        <v>915</v>
      </c>
      <c r="D1073" s="13" t="s">
        <v>55</v>
      </c>
      <c r="E1073" s="13" t="s">
        <v>76</v>
      </c>
      <c r="F1073" s="13" t="s">
        <v>94</v>
      </c>
      <c r="G1073" s="14">
        <v>45939</v>
      </c>
      <c r="H1073" s="14">
        <v>45948</v>
      </c>
      <c r="I1073">
        <v>510</v>
      </c>
      <c r="J1073">
        <v>4358.8100000000004</v>
      </c>
      <c r="K1073">
        <v>854.67</v>
      </c>
      <c r="L1073">
        <v>74</v>
      </c>
      <c r="M1073" s="13" t="s">
        <v>3366</v>
      </c>
    </row>
    <row r="1074" spans="1:13" x14ac:dyDescent="0.35">
      <c r="A1074" s="13" t="s">
        <v>4460</v>
      </c>
      <c r="B1074" s="13" t="s">
        <v>296</v>
      </c>
      <c r="C1074" s="13" t="s">
        <v>297</v>
      </c>
      <c r="D1074" s="13" t="s">
        <v>92</v>
      </c>
      <c r="E1074" s="13" t="s">
        <v>104</v>
      </c>
      <c r="F1074" s="13" t="s">
        <v>106</v>
      </c>
      <c r="G1074" s="14">
        <v>45939</v>
      </c>
      <c r="H1074" s="14">
        <v>45948</v>
      </c>
      <c r="I1074">
        <v>4877.24</v>
      </c>
      <c r="J1074">
        <v>0</v>
      </c>
      <c r="K1074">
        <v>0</v>
      </c>
      <c r="L1074">
        <v>74</v>
      </c>
      <c r="M1074" s="13" t="s">
        <v>3512</v>
      </c>
    </row>
    <row r="1075" spans="1:13" x14ac:dyDescent="0.35">
      <c r="A1075" s="13" t="s">
        <v>4461</v>
      </c>
      <c r="B1075" s="13" t="s">
        <v>1957</v>
      </c>
      <c r="C1075" s="13" t="s">
        <v>1958</v>
      </c>
      <c r="D1075" s="13" t="s">
        <v>55</v>
      </c>
      <c r="E1075" s="13" t="s">
        <v>76</v>
      </c>
      <c r="F1075" s="13" t="s">
        <v>94</v>
      </c>
      <c r="G1075" s="14">
        <v>45938</v>
      </c>
      <c r="H1075" s="14">
        <v>45948</v>
      </c>
      <c r="I1075">
        <v>3167.67</v>
      </c>
      <c r="J1075">
        <v>3447.67</v>
      </c>
      <c r="K1075">
        <v>108.84</v>
      </c>
      <c r="L1075">
        <v>74</v>
      </c>
      <c r="M1075" s="13" t="s">
        <v>3366</v>
      </c>
    </row>
    <row r="1076" spans="1:13" x14ac:dyDescent="0.35">
      <c r="A1076" s="13" t="s">
        <v>4462</v>
      </c>
      <c r="B1076" s="13" t="s">
        <v>290</v>
      </c>
      <c r="C1076" s="13" t="s">
        <v>291</v>
      </c>
      <c r="D1076" s="13" t="s">
        <v>92</v>
      </c>
      <c r="E1076" s="13" t="s">
        <v>104</v>
      </c>
      <c r="F1076" s="13" t="s">
        <v>122</v>
      </c>
      <c r="G1076" s="14">
        <v>45934</v>
      </c>
      <c r="H1076" s="14">
        <v>45949</v>
      </c>
      <c r="I1076">
        <v>1007.11</v>
      </c>
      <c r="J1076">
        <v>0</v>
      </c>
      <c r="K1076">
        <v>0</v>
      </c>
      <c r="L1076">
        <v>73</v>
      </c>
      <c r="M1076" s="13" t="s">
        <v>3512</v>
      </c>
    </row>
    <row r="1077" spans="1:13" x14ac:dyDescent="0.35">
      <c r="A1077" s="13" t="s">
        <v>4463</v>
      </c>
      <c r="B1077" s="13" t="s">
        <v>300</v>
      </c>
      <c r="C1077" s="13" t="s">
        <v>301</v>
      </c>
      <c r="D1077" s="13" t="s">
        <v>92</v>
      </c>
      <c r="E1077" s="13" t="s">
        <v>104</v>
      </c>
      <c r="F1077" s="13" t="s">
        <v>106</v>
      </c>
      <c r="G1077" s="14">
        <v>45936</v>
      </c>
      <c r="H1077" s="14">
        <v>45949</v>
      </c>
      <c r="I1077">
        <v>2198.56</v>
      </c>
      <c r="J1077">
        <v>0</v>
      </c>
      <c r="K1077">
        <v>0</v>
      </c>
      <c r="L1077">
        <v>73</v>
      </c>
      <c r="M1077" s="13" t="s">
        <v>3512</v>
      </c>
    </row>
    <row r="1078" spans="1:13" x14ac:dyDescent="0.35">
      <c r="A1078" s="13" t="s">
        <v>4464</v>
      </c>
      <c r="B1078" s="13" t="s">
        <v>1165</v>
      </c>
      <c r="C1078" s="13" t="s">
        <v>1166</v>
      </c>
      <c r="D1078" s="13" t="s">
        <v>67</v>
      </c>
      <c r="E1078" s="13" t="s">
        <v>52</v>
      </c>
      <c r="F1078" s="13" t="s">
        <v>57</v>
      </c>
      <c r="G1078" s="14">
        <v>45945</v>
      </c>
      <c r="H1078" s="14">
        <v>45949</v>
      </c>
      <c r="I1078">
        <v>1788.44</v>
      </c>
      <c r="J1078">
        <v>1852.8</v>
      </c>
      <c r="K1078">
        <v>103.6</v>
      </c>
      <c r="L1078">
        <v>73</v>
      </c>
      <c r="M1078" s="13" t="s">
        <v>3366</v>
      </c>
    </row>
    <row r="1079" spans="1:13" x14ac:dyDescent="0.35">
      <c r="A1079" s="13" t="s">
        <v>4465</v>
      </c>
      <c r="B1079" s="13" t="s">
        <v>113</v>
      </c>
      <c r="C1079" s="13" t="s">
        <v>114</v>
      </c>
      <c r="D1079" s="13" t="s">
        <v>92</v>
      </c>
      <c r="E1079" s="13" t="s">
        <v>52</v>
      </c>
      <c r="F1079" s="13" t="s">
        <v>87</v>
      </c>
      <c r="G1079" s="14">
        <v>45941</v>
      </c>
      <c r="H1079" s="14">
        <v>45950</v>
      </c>
      <c r="I1079">
        <v>4244.1400000000003</v>
      </c>
      <c r="J1079">
        <v>4263.42</v>
      </c>
      <c r="K1079">
        <v>100.45</v>
      </c>
      <c r="L1079">
        <v>72</v>
      </c>
      <c r="M1079" s="13" t="s">
        <v>3366</v>
      </c>
    </row>
    <row r="1080" spans="1:13" x14ac:dyDescent="0.35">
      <c r="A1080" s="13" t="s">
        <v>4466</v>
      </c>
      <c r="B1080" s="13" t="s">
        <v>177</v>
      </c>
      <c r="C1080" s="13" t="s">
        <v>178</v>
      </c>
      <c r="D1080" s="13" t="s">
        <v>67</v>
      </c>
      <c r="E1080" s="13" t="s">
        <v>52</v>
      </c>
      <c r="F1080" s="13" t="s">
        <v>57</v>
      </c>
      <c r="G1080" s="14">
        <v>45939</v>
      </c>
      <c r="H1080" s="14">
        <v>45950</v>
      </c>
      <c r="I1080">
        <v>3938.86</v>
      </c>
      <c r="J1080">
        <v>12523.9</v>
      </c>
      <c r="K1080">
        <v>317.95999999999998</v>
      </c>
      <c r="L1080">
        <v>72</v>
      </c>
      <c r="M1080" s="13" t="s">
        <v>3366</v>
      </c>
    </row>
    <row r="1081" spans="1:13" x14ac:dyDescent="0.35">
      <c r="A1081" s="13" t="s">
        <v>4467</v>
      </c>
      <c r="B1081" s="13" t="s">
        <v>69</v>
      </c>
      <c r="C1081" s="13" t="s">
        <v>70</v>
      </c>
      <c r="D1081" s="13" t="s">
        <v>55</v>
      </c>
      <c r="E1081" s="13" t="s">
        <v>52</v>
      </c>
      <c r="F1081" s="13" t="s">
        <v>57</v>
      </c>
      <c r="G1081" s="14">
        <v>45937</v>
      </c>
      <c r="H1081" s="14">
        <v>45950</v>
      </c>
      <c r="I1081">
        <v>2055.38</v>
      </c>
      <c r="J1081">
        <v>32401.22</v>
      </c>
      <c r="K1081">
        <v>1576.41</v>
      </c>
      <c r="L1081">
        <v>72</v>
      </c>
      <c r="M1081" s="13" t="s">
        <v>3366</v>
      </c>
    </row>
    <row r="1082" spans="1:13" x14ac:dyDescent="0.35">
      <c r="A1082" s="13" t="s">
        <v>4468</v>
      </c>
      <c r="B1082" s="13" t="s">
        <v>3443</v>
      </c>
      <c r="C1082" s="13" t="s">
        <v>3444</v>
      </c>
      <c r="D1082" s="13" t="s">
        <v>55</v>
      </c>
      <c r="E1082" s="13" t="s">
        <v>104</v>
      </c>
      <c r="F1082" s="13" t="s">
        <v>106</v>
      </c>
      <c r="G1082" s="14">
        <v>45937</v>
      </c>
      <c r="H1082" s="14">
        <v>45950</v>
      </c>
      <c r="I1082">
        <v>3610.68</v>
      </c>
      <c r="J1082">
        <v>3840.86</v>
      </c>
      <c r="K1082">
        <v>106.37</v>
      </c>
      <c r="L1082">
        <v>72</v>
      </c>
      <c r="M1082" s="13" t="s">
        <v>3366</v>
      </c>
    </row>
    <row r="1083" spans="1:13" x14ac:dyDescent="0.35">
      <c r="A1083" s="13" t="s">
        <v>4469</v>
      </c>
      <c r="B1083" s="13" t="s">
        <v>2387</v>
      </c>
      <c r="C1083" s="13" t="s">
        <v>2388</v>
      </c>
      <c r="D1083" s="13" t="s">
        <v>55</v>
      </c>
      <c r="E1083" s="13" t="s">
        <v>104</v>
      </c>
      <c r="F1083" s="13" t="s">
        <v>87</v>
      </c>
      <c r="G1083" s="14">
        <v>45938</v>
      </c>
      <c r="H1083" s="14">
        <v>45950</v>
      </c>
      <c r="I1083">
        <v>3095.09</v>
      </c>
      <c r="J1083">
        <v>3215.03</v>
      </c>
      <c r="K1083">
        <v>103.88</v>
      </c>
      <c r="L1083">
        <v>72</v>
      </c>
      <c r="M1083" s="13" t="s">
        <v>3366</v>
      </c>
    </row>
    <row r="1084" spans="1:13" x14ac:dyDescent="0.35">
      <c r="A1084" s="13" t="s">
        <v>4470</v>
      </c>
      <c r="B1084" s="13" t="s">
        <v>1288</v>
      </c>
      <c r="C1084" s="13" t="s">
        <v>1289</v>
      </c>
      <c r="D1084" s="13" t="s">
        <v>67</v>
      </c>
      <c r="E1084" s="13" t="s">
        <v>52</v>
      </c>
      <c r="F1084" s="13" t="s">
        <v>57</v>
      </c>
      <c r="G1084" s="14">
        <v>45942</v>
      </c>
      <c r="H1084" s="14">
        <v>45951</v>
      </c>
      <c r="I1084">
        <v>1606.03</v>
      </c>
      <c r="J1084">
        <v>12333.9</v>
      </c>
      <c r="K1084">
        <v>767.97</v>
      </c>
      <c r="L1084">
        <v>71</v>
      </c>
      <c r="M1084" s="13" t="s">
        <v>3366</v>
      </c>
    </row>
    <row r="1085" spans="1:13" x14ac:dyDescent="0.35">
      <c r="A1085" s="13" t="s">
        <v>4471</v>
      </c>
      <c r="B1085" s="13" t="s">
        <v>186</v>
      </c>
      <c r="C1085" s="13" t="s">
        <v>187</v>
      </c>
      <c r="D1085" s="13" t="s">
        <v>55</v>
      </c>
      <c r="E1085" s="13" t="s">
        <v>76</v>
      </c>
      <c r="F1085" s="13" t="s">
        <v>94</v>
      </c>
      <c r="G1085" s="14">
        <v>45943</v>
      </c>
      <c r="H1085" s="14">
        <v>45951</v>
      </c>
      <c r="I1085">
        <v>2573.1799999999998</v>
      </c>
      <c r="J1085">
        <v>3249.3</v>
      </c>
      <c r="K1085">
        <v>126.28</v>
      </c>
      <c r="L1085">
        <v>71</v>
      </c>
      <c r="M1085" s="13" t="s">
        <v>3366</v>
      </c>
    </row>
    <row r="1086" spans="1:13" x14ac:dyDescent="0.35">
      <c r="A1086" s="13" t="s">
        <v>4472</v>
      </c>
      <c r="B1086" s="13" t="s">
        <v>290</v>
      </c>
      <c r="C1086" s="13" t="s">
        <v>291</v>
      </c>
      <c r="D1086" s="13" t="s">
        <v>92</v>
      </c>
      <c r="E1086" s="13" t="s">
        <v>104</v>
      </c>
      <c r="F1086" s="13" t="s">
        <v>122</v>
      </c>
      <c r="G1086" s="14">
        <v>45939</v>
      </c>
      <c r="H1086" s="14">
        <v>45951</v>
      </c>
      <c r="I1086">
        <v>1537.14</v>
      </c>
      <c r="J1086">
        <v>0</v>
      </c>
      <c r="K1086">
        <v>0</v>
      </c>
      <c r="L1086">
        <v>71</v>
      </c>
      <c r="M1086" s="13" t="s">
        <v>3512</v>
      </c>
    </row>
    <row r="1087" spans="1:13" x14ac:dyDescent="0.35">
      <c r="A1087" s="13" t="s">
        <v>4473</v>
      </c>
      <c r="B1087" s="13" t="s">
        <v>300</v>
      </c>
      <c r="C1087" s="13" t="s">
        <v>301</v>
      </c>
      <c r="D1087" s="13" t="s">
        <v>92</v>
      </c>
      <c r="E1087" s="13" t="s">
        <v>104</v>
      </c>
      <c r="F1087" s="13" t="s">
        <v>106</v>
      </c>
      <c r="G1087" s="14">
        <v>45938</v>
      </c>
      <c r="H1087" s="14">
        <v>45951</v>
      </c>
      <c r="I1087">
        <v>824.83</v>
      </c>
      <c r="J1087">
        <v>0</v>
      </c>
      <c r="K1087">
        <v>0</v>
      </c>
      <c r="L1087">
        <v>71</v>
      </c>
      <c r="M1087" s="13" t="s">
        <v>3512</v>
      </c>
    </row>
    <row r="1088" spans="1:13" x14ac:dyDescent="0.35">
      <c r="A1088" s="13" t="s">
        <v>4474</v>
      </c>
      <c r="B1088" s="13" t="s">
        <v>499</v>
      </c>
      <c r="C1088" s="13" t="s">
        <v>500</v>
      </c>
      <c r="D1088" s="13" t="s">
        <v>67</v>
      </c>
      <c r="E1088" s="13" t="s">
        <v>104</v>
      </c>
      <c r="F1088" s="13" t="s">
        <v>106</v>
      </c>
      <c r="G1088" s="14">
        <v>45938</v>
      </c>
      <c r="H1088" s="14">
        <v>45951</v>
      </c>
      <c r="I1088">
        <v>1136.8599999999999</v>
      </c>
      <c r="J1088">
        <v>1239.98</v>
      </c>
      <c r="K1088">
        <v>109.07</v>
      </c>
      <c r="L1088">
        <v>71</v>
      </c>
      <c r="M1088" s="13" t="s">
        <v>3366</v>
      </c>
    </row>
    <row r="1089" spans="1:13" x14ac:dyDescent="0.35">
      <c r="A1089" s="13" t="s">
        <v>4475</v>
      </c>
      <c r="B1089" s="13" t="s">
        <v>584</v>
      </c>
      <c r="C1089" s="13" t="s">
        <v>585</v>
      </c>
      <c r="D1089" s="13" t="s">
        <v>67</v>
      </c>
      <c r="E1089" s="13" t="s">
        <v>104</v>
      </c>
      <c r="F1089" s="13" t="s">
        <v>122</v>
      </c>
      <c r="G1089" s="14">
        <v>45948</v>
      </c>
      <c r="H1089" s="14">
        <v>45952</v>
      </c>
      <c r="I1089">
        <v>806.79</v>
      </c>
      <c r="J1089">
        <v>829.85</v>
      </c>
      <c r="K1089">
        <v>102.86</v>
      </c>
      <c r="L1089">
        <v>70</v>
      </c>
      <c r="M1089" s="13" t="s">
        <v>3366</v>
      </c>
    </row>
    <row r="1090" spans="1:13" x14ac:dyDescent="0.35">
      <c r="A1090" s="13" t="s">
        <v>4476</v>
      </c>
      <c r="B1090" s="13" t="s">
        <v>667</v>
      </c>
      <c r="C1090" s="13" t="s">
        <v>668</v>
      </c>
      <c r="D1090" s="13" t="s">
        <v>67</v>
      </c>
      <c r="E1090" s="13" t="s">
        <v>126</v>
      </c>
      <c r="F1090" s="13" t="s">
        <v>87</v>
      </c>
      <c r="G1090" s="14">
        <v>45942</v>
      </c>
      <c r="H1090" s="14">
        <v>45952</v>
      </c>
      <c r="I1090">
        <v>3104.85</v>
      </c>
      <c r="J1090">
        <v>6822.98</v>
      </c>
      <c r="K1090">
        <v>219.75</v>
      </c>
      <c r="L1090">
        <v>70</v>
      </c>
      <c r="M1090" s="13" t="s">
        <v>3366</v>
      </c>
    </row>
    <row r="1091" spans="1:13" x14ac:dyDescent="0.35">
      <c r="A1091" s="13" t="s">
        <v>4477</v>
      </c>
      <c r="B1091" s="13" t="s">
        <v>212</v>
      </c>
      <c r="C1091" s="13" t="s">
        <v>213</v>
      </c>
      <c r="D1091" s="13" t="s">
        <v>92</v>
      </c>
      <c r="E1091" s="13" t="s">
        <v>52</v>
      </c>
      <c r="F1091" s="13" t="s">
        <v>87</v>
      </c>
      <c r="G1091" s="14">
        <v>45946</v>
      </c>
      <c r="H1091" s="14">
        <v>45952</v>
      </c>
      <c r="I1091">
        <v>1763.18</v>
      </c>
      <c r="J1091">
        <v>4533.41</v>
      </c>
      <c r="K1091">
        <v>257.12</v>
      </c>
      <c r="L1091">
        <v>70</v>
      </c>
      <c r="M1091" s="13" t="s">
        <v>3366</v>
      </c>
    </row>
    <row r="1092" spans="1:13" x14ac:dyDescent="0.35">
      <c r="A1092" s="13" t="s">
        <v>4478</v>
      </c>
      <c r="B1092" s="13" t="s">
        <v>1276</v>
      </c>
      <c r="C1092" s="13" t="s">
        <v>1277</v>
      </c>
      <c r="D1092" s="13" t="s">
        <v>67</v>
      </c>
      <c r="E1092" s="13" t="s">
        <v>104</v>
      </c>
      <c r="F1092" s="13" t="s">
        <v>106</v>
      </c>
      <c r="G1092" s="14">
        <v>45940</v>
      </c>
      <c r="H1092" s="14">
        <v>45952</v>
      </c>
      <c r="I1092">
        <v>3632.05</v>
      </c>
      <c r="J1092">
        <v>3824.71</v>
      </c>
      <c r="K1092">
        <v>105.3</v>
      </c>
      <c r="L1092">
        <v>70</v>
      </c>
      <c r="M1092" s="13" t="s">
        <v>3366</v>
      </c>
    </row>
    <row r="1093" spans="1:13" x14ac:dyDescent="0.35">
      <c r="A1093" s="13" t="s">
        <v>4479</v>
      </c>
      <c r="B1093" s="13" t="s">
        <v>1546</v>
      </c>
      <c r="C1093" s="13" t="s">
        <v>1547</v>
      </c>
      <c r="D1093" s="13" t="s">
        <v>92</v>
      </c>
      <c r="E1093" s="13" t="s">
        <v>76</v>
      </c>
      <c r="F1093" s="13" t="s">
        <v>94</v>
      </c>
      <c r="G1093" s="14">
        <v>45944</v>
      </c>
      <c r="H1093" s="14">
        <v>45952</v>
      </c>
      <c r="I1093">
        <v>1799.14</v>
      </c>
      <c r="J1093">
        <v>2436.41</v>
      </c>
      <c r="K1093">
        <v>135.41999999999999</v>
      </c>
      <c r="L1093">
        <v>70</v>
      </c>
      <c r="M1093" s="13" t="s">
        <v>3366</v>
      </c>
    </row>
    <row r="1094" spans="1:13" x14ac:dyDescent="0.35">
      <c r="A1094" s="13" t="s">
        <v>4480</v>
      </c>
      <c r="B1094" s="13" t="s">
        <v>1749</v>
      </c>
      <c r="C1094" s="13" t="s">
        <v>1750</v>
      </c>
      <c r="D1094" s="13" t="s">
        <v>92</v>
      </c>
      <c r="E1094" s="13" t="s">
        <v>76</v>
      </c>
      <c r="F1094" s="13" t="s">
        <v>94</v>
      </c>
      <c r="G1094" s="14">
        <v>45949</v>
      </c>
      <c r="H1094" s="14">
        <v>45953</v>
      </c>
      <c r="I1094">
        <v>4228.16</v>
      </c>
      <c r="J1094">
        <v>5960.62</v>
      </c>
      <c r="K1094">
        <v>140.97</v>
      </c>
      <c r="L1094">
        <v>69</v>
      </c>
      <c r="M1094" s="13" t="s">
        <v>3366</v>
      </c>
    </row>
    <row r="1095" spans="1:13" x14ac:dyDescent="0.35">
      <c r="A1095" s="13" t="s">
        <v>4481</v>
      </c>
      <c r="B1095" s="13" t="s">
        <v>293</v>
      </c>
      <c r="C1095" s="13" t="s">
        <v>294</v>
      </c>
      <c r="D1095" s="13" t="s">
        <v>92</v>
      </c>
      <c r="E1095" s="13" t="s">
        <v>104</v>
      </c>
      <c r="F1095" s="13" t="s">
        <v>122</v>
      </c>
      <c r="G1095" s="14">
        <v>45928</v>
      </c>
      <c r="H1095" s="14">
        <v>45953</v>
      </c>
      <c r="I1095">
        <v>695.82</v>
      </c>
      <c r="J1095">
        <v>0</v>
      </c>
      <c r="K1095">
        <v>0</v>
      </c>
      <c r="L1095">
        <v>69</v>
      </c>
      <c r="M1095" s="13" t="s">
        <v>3512</v>
      </c>
    </row>
    <row r="1096" spans="1:13" x14ac:dyDescent="0.35">
      <c r="A1096" s="13" t="s">
        <v>4482</v>
      </c>
      <c r="B1096" s="13" t="s">
        <v>4483</v>
      </c>
      <c r="C1096" s="13" t="s">
        <v>4484</v>
      </c>
      <c r="D1096" s="13" t="s">
        <v>67</v>
      </c>
      <c r="E1096" s="13" t="s">
        <v>126</v>
      </c>
      <c r="F1096" s="13" t="s">
        <v>106</v>
      </c>
      <c r="G1096" s="14">
        <v>45940</v>
      </c>
      <c r="H1096" s="14">
        <v>45954</v>
      </c>
      <c r="I1096">
        <v>7945.88</v>
      </c>
      <c r="J1096">
        <v>8764.76</v>
      </c>
      <c r="K1096">
        <v>110.31</v>
      </c>
      <c r="L1096">
        <v>68</v>
      </c>
      <c r="M1096" s="13" t="s">
        <v>3366</v>
      </c>
    </row>
    <row r="1097" spans="1:13" x14ac:dyDescent="0.35">
      <c r="A1097" s="13" t="s">
        <v>4485</v>
      </c>
      <c r="B1097" s="13" t="s">
        <v>1482</v>
      </c>
      <c r="C1097" s="13" t="s">
        <v>1483</v>
      </c>
      <c r="D1097" s="13" t="s">
        <v>92</v>
      </c>
      <c r="E1097" s="13" t="s">
        <v>76</v>
      </c>
      <c r="F1097" s="13" t="s">
        <v>94</v>
      </c>
      <c r="G1097" s="14">
        <v>45950</v>
      </c>
      <c r="H1097" s="14">
        <v>45954</v>
      </c>
      <c r="I1097">
        <v>3857.47</v>
      </c>
      <c r="J1097">
        <v>4160.8599999999997</v>
      </c>
      <c r="K1097">
        <v>107.86</v>
      </c>
      <c r="L1097">
        <v>68</v>
      </c>
      <c r="M1097" s="13" t="s">
        <v>3366</v>
      </c>
    </row>
    <row r="1098" spans="1:13" x14ac:dyDescent="0.35">
      <c r="A1098" s="13" t="s">
        <v>4486</v>
      </c>
      <c r="B1098" s="13" t="s">
        <v>283</v>
      </c>
      <c r="C1098" s="13" t="s">
        <v>284</v>
      </c>
      <c r="D1098" s="13" t="s">
        <v>92</v>
      </c>
      <c r="E1098" s="13" t="s">
        <v>104</v>
      </c>
      <c r="F1098" s="13" t="s">
        <v>106</v>
      </c>
      <c r="G1098" s="14">
        <v>45934</v>
      </c>
      <c r="H1098" s="14">
        <v>45954</v>
      </c>
      <c r="I1098">
        <v>5959.28</v>
      </c>
      <c r="J1098">
        <v>0</v>
      </c>
      <c r="K1098">
        <v>0</v>
      </c>
      <c r="L1098">
        <v>68</v>
      </c>
      <c r="M1098" s="13" t="s">
        <v>3512</v>
      </c>
    </row>
    <row r="1099" spans="1:13" x14ac:dyDescent="0.35">
      <c r="A1099" s="13" t="s">
        <v>4487</v>
      </c>
      <c r="B1099" s="13" t="s">
        <v>422</v>
      </c>
      <c r="C1099" s="13" t="s">
        <v>423</v>
      </c>
      <c r="D1099" s="13" t="s">
        <v>67</v>
      </c>
      <c r="E1099" s="13" t="s">
        <v>126</v>
      </c>
      <c r="F1099" s="13" t="s">
        <v>106</v>
      </c>
      <c r="G1099" s="14">
        <v>45942</v>
      </c>
      <c r="H1099" s="14">
        <v>45954</v>
      </c>
      <c r="I1099">
        <v>1931.81</v>
      </c>
      <c r="J1099">
        <v>2021.18</v>
      </c>
      <c r="K1099">
        <v>104.63</v>
      </c>
      <c r="L1099">
        <v>68</v>
      </c>
      <c r="M1099" s="13" t="s">
        <v>3366</v>
      </c>
    </row>
    <row r="1100" spans="1:13" x14ac:dyDescent="0.35">
      <c r="A1100" s="13" t="s">
        <v>4488</v>
      </c>
      <c r="B1100" s="13" t="s">
        <v>277</v>
      </c>
      <c r="C1100" s="13" t="s">
        <v>278</v>
      </c>
      <c r="D1100" s="13" t="s">
        <v>92</v>
      </c>
      <c r="E1100" s="13" t="s">
        <v>104</v>
      </c>
      <c r="F1100" s="13" t="s">
        <v>106</v>
      </c>
      <c r="G1100" s="14">
        <v>45942</v>
      </c>
      <c r="H1100" s="14">
        <v>45954</v>
      </c>
      <c r="I1100">
        <v>1165.95</v>
      </c>
      <c r="J1100">
        <v>0</v>
      </c>
      <c r="K1100">
        <v>0</v>
      </c>
      <c r="L1100">
        <v>68</v>
      </c>
      <c r="M1100" s="13" t="s">
        <v>3512</v>
      </c>
    </row>
    <row r="1101" spans="1:13" x14ac:dyDescent="0.35">
      <c r="A1101" s="13" t="s">
        <v>4489</v>
      </c>
      <c r="B1101" s="13" t="s">
        <v>280</v>
      </c>
      <c r="C1101" s="13" t="s">
        <v>281</v>
      </c>
      <c r="D1101" s="13" t="s">
        <v>92</v>
      </c>
      <c r="E1101" s="13" t="s">
        <v>104</v>
      </c>
      <c r="F1101" s="13" t="s">
        <v>122</v>
      </c>
      <c r="G1101" s="14">
        <v>45932</v>
      </c>
      <c r="H1101" s="14">
        <v>45954</v>
      </c>
      <c r="I1101">
        <v>2824.36</v>
      </c>
      <c r="J1101">
        <v>0</v>
      </c>
      <c r="K1101">
        <v>0</v>
      </c>
      <c r="L1101">
        <v>68</v>
      </c>
      <c r="M1101" s="13" t="s">
        <v>3512</v>
      </c>
    </row>
    <row r="1102" spans="1:13" x14ac:dyDescent="0.35">
      <c r="A1102" s="13" t="s">
        <v>4490</v>
      </c>
      <c r="B1102" s="13" t="s">
        <v>1452</v>
      </c>
      <c r="C1102" s="13" t="s">
        <v>1453</v>
      </c>
      <c r="D1102" s="13" t="s">
        <v>92</v>
      </c>
      <c r="E1102" s="13" t="s">
        <v>76</v>
      </c>
      <c r="F1102" s="13" t="s">
        <v>94</v>
      </c>
      <c r="G1102" s="14">
        <v>45941</v>
      </c>
      <c r="H1102" s="14">
        <v>45954</v>
      </c>
      <c r="I1102">
        <v>727.86</v>
      </c>
      <c r="J1102">
        <v>745.27</v>
      </c>
      <c r="K1102">
        <v>102.39</v>
      </c>
      <c r="L1102">
        <v>68</v>
      </c>
      <c r="M1102" s="13" t="s">
        <v>3366</v>
      </c>
    </row>
    <row r="1103" spans="1:13" x14ac:dyDescent="0.35">
      <c r="A1103" s="13" t="s">
        <v>4491</v>
      </c>
      <c r="B1103" s="13" t="s">
        <v>177</v>
      </c>
      <c r="C1103" s="13" t="s">
        <v>178</v>
      </c>
      <c r="D1103" s="13" t="s">
        <v>67</v>
      </c>
      <c r="E1103" s="13" t="s">
        <v>52</v>
      </c>
      <c r="F1103" s="13" t="s">
        <v>57</v>
      </c>
      <c r="G1103" s="14">
        <v>45946</v>
      </c>
      <c r="H1103" s="14">
        <v>45955</v>
      </c>
      <c r="I1103">
        <v>1491.95</v>
      </c>
      <c r="J1103">
        <v>18533.66</v>
      </c>
      <c r="K1103">
        <v>1242.24</v>
      </c>
      <c r="L1103">
        <v>67</v>
      </c>
      <c r="M1103" s="13" t="s">
        <v>3366</v>
      </c>
    </row>
    <row r="1104" spans="1:13" x14ac:dyDescent="0.35">
      <c r="A1104" s="13" t="s">
        <v>4492</v>
      </c>
      <c r="B1104" s="13" t="s">
        <v>312</v>
      </c>
      <c r="C1104" s="13" t="s">
        <v>313</v>
      </c>
      <c r="D1104" s="13" t="s">
        <v>55</v>
      </c>
      <c r="E1104" s="13" t="s">
        <v>52</v>
      </c>
      <c r="F1104" s="13" t="s">
        <v>57</v>
      </c>
      <c r="G1104" s="14">
        <v>45948</v>
      </c>
      <c r="H1104" s="14">
        <v>45955</v>
      </c>
      <c r="I1104">
        <v>1591.4</v>
      </c>
      <c r="J1104">
        <v>1639.49</v>
      </c>
      <c r="K1104">
        <v>103.02</v>
      </c>
      <c r="L1104">
        <v>67</v>
      </c>
      <c r="M1104" s="13" t="s">
        <v>3366</v>
      </c>
    </row>
    <row r="1105" spans="1:13" x14ac:dyDescent="0.35">
      <c r="A1105" s="13" t="s">
        <v>4493</v>
      </c>
      <c r="B1105" s="13" t="s">
        <v>1875</v>
      </c>
      <c r="C1105" s="13" t="s">
        <v>1876</v>
      </c>
      <c r="D1105" s="13" t="s">
        <v>67</v>
      </c>
      <c r="E1105" s="13" t="s">
        <v>104</v>
      </c>
      <c r="F1105" s="13" t="s">
        <v>106</v>
      </c>
      <c r="G1105" s="14">
        <v>45942</v>
      </c>
      <c r="H1105" s="14">
        <v>45955</v>
      </c>
      <c r="I1105">
        <v>5067.9799999999996</v>
      </c>
      <c r="J1105">
        <v>12470.75</v>
      </c>
      <c r="K1105">
        <v>246.07</v>
      </c>
      <c r="L1105">
        <v>67</v>
      </c>
      <c r="M1105" s="13" t="s">
        <v>3366</v>
      </c>
    </row>
    <row r="1106" spans="1:13" x14ac:dyDescent="0.35">
      <c r="A1106" s="13" t="s">
        <v>4494</v>
      </c>
      <c r="B1106" s="13" t="s">
        <v>300</v>
      </c>
      <c r="C1106" s="13" t="s">
        <v>301</v>
      </c>
      <c r="D1106" s="13" t="s">
        <v>92</v>
      </c>
      <c r="E1106" s="13" t="s">
        <v>104</v>
      </c>
      <c r="F1106" s="13" t="s">
        <v>106</v>
      </c>
      <c r="G1106" s="14">
        <v>45934</v>
      </c>
      <c r="H1106" s="14">
        <v>45956</v>
      </c>
      <c r="I1106">
        <v>4900.6499999999996</v>
      </c>
      <c r="J1106">
        <v>0</v>
      </c>
      <c r="K1106">
        <v>0</v>
      </c>
      <c r="L1106">
        <v>66</v>
      </c>
      <c r="M1106" s="13" t="s">
        <v>3512</v>
      </c>
    </row>
    <row r="1107" spans="1:13" x14ac:dyDescent="0.35">
      <c r="A1107" s="13" t="s">
        <v>4495</v>
      </c>
      <c r="B1107" s="13" t="s">
        <v>263</v>
      </c>
      <c r="C1107" s="13" t="s">
        <v>264</v>
      </c>
      <c r="D1107" s="13" t="s">
        <v>55</v>
      </c>
      <c r="E1107" s="13" t="s">
        <v>52</v>
      </c>
      <c r="F1107" s="13" t="s">
        <v>87</v>
      </c>
      <c r="G1107" s="14">
        <v>45950</v>
      </c>
      <c r="H1107" s="14">
        <v>45956</v>
      </c>
      <c r="I1107">
        <v>10418.23</v>
      </c>
      <c r="J1107">
        <v>11126.7</v>
      </c>
      <c r="K1107">
        <v>106.8</v>
      </c>
      <c r="L1107">
        <v>66</v>
      </c>
      <c r="M1107" s="13" t="s">
        <v>3366</v>
      </c>
    </row>
    <row r="1108" spans="1:13" x14ac:dyDescent="0.35">
      <c r="A1108" s="13" t="s">
        <v>4496</v>
      </c>
      <c r="B1108" s="13" t="s">
        <v>820</v>
      </c>
      <c r="C1108" s="13" t="s">
        <v>821</v>
      </c>
      <c r="D1108" s="13" t="s">
        <v>92</v>
      </c>
      <c r="E1108" s="13" t="s">
        <v>104</v>
      </c>
      <c r="F1108" s="13" t="s">
        <v>122</v>
      </c>
      <c r="G1108" s="14">
        <v>45952</v>
      </c>
      <c r="H1108" s="14">
        <v>45957</v>
      </c>
      <c r="I1108">
        <v>6037.72</v>
      </c>
      <c r="J1108">
        <v>6542.47</v>
      </c>
      <c r="K1108">
        <v>108.36</v>
      </c>
      <c r="L1108">
        <v>65</v>
      </c>
      <c r="M1108" s="13" t="s">
        <v>3366</v>
      </c>
    </row>
    <row r="1109" spans="1:13" x14ac:dyDescent="0.35">
      <c r="A1109" s="13" t="s">
        <v>4497</v>
      </c>
      <c r="B1109" s="13" t="s">
        <v>296</v>
      </c>
      <c r="C1109" s="13" t="s">
        <v>297</v>
      </c>
      <c r="D1109" s="13" t="s">
        <v>92</v>
      </c>
      <c r="E1109" s="13" t="s">
        <v>104</v>
      </c>
      <c r="F1109" s="13" t="s">
        <v>106</v>
      </c>
      <c r="G1109" s="14">
        <v>45945</v>
      </c>
      <c r="H1109" s="14">
        <v>45957</v>
      </c>
      <c r="I1109">
        <v>5379.15</v>
      </c>
      <c r="J1109">
        <v>0</v>
      </c>
      <c r="K1109">
        <v>0</v>
      </c>
      <c r="L1109">
        <v>65</v>
      </c>
      <c r="M1109" s="13" t="s">
        <v>3512</v>
      </c>
    </row>
    <row r="1110" spans="1:13" x14ac:dyDescent="0.35">
      <c r="A1110" s="13" t="s">
        <v>4498</v>
      </c>
      <c r="B1110" s="13" t="s">
        <v>317</v>
      </c>
      <c r="C1110" s="13" t="s">
        <v>318</v>
      </c>
      <c r="D1110" s="13" t="s">
        <v>67</v>
      </c>
      <c r="E1110" s="13" t="s">
        <v>52</v>
      </c>
      <c r="F1110" s="13" t="s">
        <v>57</v>
      </c>
      <c r="G1110" s="14">
        <v>45942</v>
      </c>
      <c r="H1110" s="14">
        <v>45957</v>
      </c>
      <c r="I1110">
        <v>1975.57</v>
      </c>
      <c r="J1110">
        <v>17664.189999999999</v>
      </c>
      <c r="K1110">
        <v>894.13</v>
      </c>
      <c r="L1110">
        <v>65</v>
      </c>
      <c r="M1110" s="13" t="s">
        <v>3366</v>
      </c>
    </row>
    <row r="1111" spans="1:13" x14ac:dyDescent="0.35">
      <c r="A1111" s="13" t="s">
        <v>4499</v>
      </c>
      <c r="B1111" s="13" t="s">
        <v>986</v>
      </c>
      <c r="C1111" s="13" t="s">
        <v>987</v>
      </c>
      <c r="D1111" s="13" t="s">
        <v>67</v>
      </c>
      <c r="E1111" s="13" t="s">
        <v>104</v>
      </c>
      <c r="F1111" s="13" t="s">
        <v>106</v>
      </c>
      <c r="G1111" s="14">
        <v>45945</v>
      </c>
      <c r="H1111" s="14">
        <v>45957</v>
      </c>
      <c r="I1111">
        <v>3215.29</v>
      </c>
      <c r="J1111">
        <v>8370.51</v>
      </c>
      <c r="K1111">
        <v>260.33</v>
      </c>
      <c r="L1111">
        <v>65</v>
      </c>
      <c r="M1111" s="13" t="s">
        <v>3366</v>
      </c>
    </row>
    <row r="1112" spans="1:13" x14ac:dyDescent="0.35">
      <c r="A1112" s="13" t="s">
        <v>4500</v>
      </c>
      <c r="B1112" s="13" t="s">
        <v>2029</v>
      </c>
      <c r="C1112" s="13" t="s">
        <v>2030</v>
      </c>
      <c r="D1112" s="13" t="s">
        <v>67</v>
      </c>
      <c r="E1112" s="13" t="s">
        <v>76</v>
      </c>
      <c r="F1112" s="13" t="s">
        <v>80</v>
      </c>
      <c r="G1112" s="14">
        <v>45951</v>
      </c>
      <c r="H1112" s="14">
        <v>45957</v>
      </c>
      <c r="I1112">
        <v>1638.38</v>
      </c>
      <c r="J1112">
        <v>1796.46</v>
      </c>
      <c r="K1112">
        <v>109.65</v>
      </c>
      <c r="L1112">
        <v>65</v>
      </c>
      <c r="M1112" s="13" t="s">
        <v>3366</v>
      </c>
    </row>
    <row r="1113" spans="1:13" x14ac:dyDescent="0.35">
      <c r="A1113" s="13" t="s">
        <v>4501</v>
      </c>
      <c r="B1113" s="13" t="s">
        <v>393</v>
      </c>
      <c r="C1113" s="13" t="s">
        <v>394</v>
      </c>
      <c r="D1113" s="13" t="s">
        <v>55</v>
      </c>
      <c r="E1113" s="13" t="s">
        <v>76</v>
      </c>
      <c r="F1113" s="13" t="s">
        <v>94</v>
      </c>
      <c r="G1113" s="14">
        <v>45947</v>
      </c>
      <c r="H1113" s="14">
        <v>45957</v>
      </c>
      <c r="I1113">
        <v>1176.79</v>
      </c>
      <c r="J1113">
        <v>1695.04</v>
      </c>
      <c r="K1113">
        <v>144.04</v>
      </c>
      <c r="L1113">
        <v>65</v>
      </c>
      <c r="M1113" s="13" t="s">
        <v>3366</v>
      </c>
    </row>
    <row r="1114" spans="1:13" x14ac:dyDescent="0.35">
      <c r="A1114" s="13" t="s">
        <v>4502</v>
      </c>
      <c r="B1114" s="13" t="s">
        <v>312</v>
      </c>
      <c r="C1114" s="13" t="s">
        <v>313</v>
      </c>
      <c r="D1114" s="13" t="s">
        <v>55</v>
      </c>
      <c r="E1114" s="13" t="s">
        <v>52</v>
      </c>
      <c r="F1114" s="13" t="s">
        <v>57</v>
      </c>
      <c r="G1114" s="14">
        <v>45948</v>
      </c>
      <c r="H1114" s="14">
        <v>45958</v>
      </c>
      <c r="I1114">
        <v>3919.19</v>
      </c>
      <c r="J1114">
        <v>0</v>
      </c>
      <c r="K1114">
        <v>0</v>
      </c>
      <c r="L1114">
        <v>64</v>
      </c>
      <c r="M1114" s="13" t="s">
        <v>3512</v>
      </c>
    </row>
    <row r="1115" spans="1:13" x14ac:dyDescent="0.35">
      <c r="A1115" s="13" t="s">
        <v>4503</v>
      </c>
      <c r="B1115" s="13" t="s">
        <v>156</v>
      </c>
      <c r="C1115" s="13" t="s">
        <v>157</v>
      </c>
      <c r="D1115" s="13" t="s">
        <v>92</v>
      </c>
      <c r="E1115" s="13" t="s">
        <v>52</v>
      </c>
      <c r="F1115" s="13" t="s">
        <v>57</v>
      </c>
      <c r="G1115" s="14">
        <v>45946</v>
      </c>
      <c r="H1115" s="14">
        <v>45958</v>
      </c>
      <c r="I1115">
        <v>2092.2800000000002</v>
      </c>
      <c r="J1115">
        <v>6057.77</v>
      </c>
      <c r="K1115">
        <v>289.52999999999997</v>
      </c>
      <c r="L1115">
        <v>64</v>
      </c>
      <c r="M1115" s="13" t="s">
        <v>3366</v>
      </c>
    </row>
    <row r="1116" spans="1:13" x14ac:dyDescent="0.35">
      <c r="A1116" s="13" t="s">
        <v>4504</v>
      </c>
      <c r="B1116" s="13" t="s">
        <v>692</v>
      </c>
      <c r="C1116" s="13" t="s">
        <v>693</v>
      </c>
      <c r="D1116" s="13" t="s">
        <v>55</v>
      </c>
      <c r="E1116" s="13" t="s">
        <v>52</v>
      </c>
      <c r="F1116" s="13" t="s">
        <v>57</v>
      </c>
      <c r="G1116" s="14">
        <v>45948</v>
      </c>
      <c r="H1116" s="14">
        <v>45958</v>
      </c>
      <c r="I1116">
        <v>11494.53</v>
      </c>
      <c r="J1116">
        <v>11873.6</v>
      </c>
      <c r="K1116">
        <v>103.3</v>
      </c>
      <c r="L1116">
        <v>64</v>
      </c>
      <c r="M1116" s="13" t="s">
        <v>3366</v>
      </c>
    </row>
    <row r="1117" spans="1:13" x14ac:dyDescent="0.35">
      <c r="A1117" s="13" t="s">
        <v>4505</v>
      </c>
      <c r="B1117" s="13" t="s">
        <v>283</v>
      </c>
      <c r="C1117" s="13" t="s">
        <v>284</v>
      </c>
      <c r="D1117" s="13" t="s">
        <v>92</v>
      </c>
      <c r="E1117" s="13" t="s">
        <v>104</v>
      </c>
      <c r="F1117" s="13" t="s">
        <v>106</v>
      </c>
      <c r="G1117" s="14">
        <v>45940</v>
      </c>
      <c r="H1117" s="14">
        <v>45958</v>
      </c>
      <c r="I1117">
        <v>591.12</v>
      </c>
      <c r="J1117">
        <v>0</v>
      </c>
      <c r="K1117">
        <v>0</v>
      </c>
      <c r="L1117">
        <v>64</v>
      </c>
      <c r="M1117" s="13" t="s">
        <v>3512</v>
      </c>
    </row>
    <row r="1118" spans="1:13" x14ac:dyDescent="0.35">
      <c r="A1118" s="13" t="s">
        <v>4506</v>
      </c>
      <c r="B1118" s="13" t="s">
        <v>446</v>
      </c>
      <c r="C1118" s="13" t="s">
        <v>447</v>
      </c>
      <c r="D1118" s="13" t="s">
        <v>67</v>
      </c>
      <c r="E1118" s="13" t="s">
        <v>52</v>
      </c>
      <c r="F1118" s="13" t="s">
        <v>87</v>
      </c>
      <c r="G1118" s="14">
        <v>45950</v>
      </c>
      <c r="H1118" s="14">
        <v>45958</v>
      </c>
      <c r="I1118">
        <v>1732.76</v>
      </c>
      <c r="J1118">
        <v>5247.1</v>
      </c>
      <c r="K1118">
        <v>302.82</v>
      </c>
      <c r="L1118">
        <v>64</v>
      </c>
      <c r="M1118" s="13" t="s">
        <v>3366</v>
      </c>
    </row>
    <row r="1119" spans="1:13" x14ac:dyDescent="0.35">
      <c r="A1119" s="13" t="s">
        <v>4507</v>
      </c>
      <c r="B1119" s="13" t="s">
        <v>290</v>
      </c>
      <c r="C1119" s="13" t="s">
        <v>291</v>
      </c>
      <c r="D1119" s="13" t="s">
        <v>92</v>
      </c>
      <c r="E1119" s="13" t="s">
        <v>104</v>
      </c>
      <c r="F1119" s="13" t="s">
        <v>122</v>
      </c>
      <c r="G1119" s="14">
        <v>45939</v>
      </c>
      <c r="H1119" s="14">
        <v>45958</v>
      </c>
      <c r="I1119">
        <v>4159.09</v>
      </c>
      <c r="J1119">
        <v>0</v>
      </c>
      <c r="K1119">
        <v>0</v>
      </c>
      <c r="L1119">
        <v>64</v>
      </c>
      <c r="M1119" s="13" t="s">
        <v>3512</v>
      </c>
    </row>
    <row r="1120" spans="1:13" x14ac:dyDescent="0.35">
      <c r="A1120" s="13" t="s">
        <v>4508</v>
      </c>
      <c r="B1120" s="13" t="s">
        <v>172</v>
      </c>
      <c r="C1120" s="13" t="s">
        <v>173</v>
      </c>
      <c r="D1120" s="13" t="s">
        <v>67</v>
      </c>
      <c r="E1120" s="13" t="s">
        <v>52</v>
      </c>
      <c r="F1120" s="13" t="s">
        <v>57</v>
      </c>
      <c r="G1120" s="14">
        <v>45947</v>
      </c>
      <c r="H1120" s="14">
        <v>45958</v>
      </c>
      <c r="I1120">
        <v>1582.45</v>
      </c>
      <c r="J1120">
        <v>7251.36</v>
      </c>
      <c r="K1120">
        <v>458.24</v>
      </c>
      <c r="L1120">
        <v>64</v>
      </c>
      <c r="M1120" s="13" t="s">
        <v>3366</v>
      </c>
    </row>
    <row r="1121" spans="1:13" x14ac:dyDescent="0.35">
      <c r="A1121" s="13" t="s">
        <v>4509</v>
      </c>
      <c r="B1121" s="13" t="s">
        <v>1015</v>
      </c>
      <c r="C1121" s="13" t="s">
        <v>1016</v>
      </c>
      <c r="D1121" s="13" t="s">
        <v>55</v>
      </c>
      <c r="E1121" s="13" t="s">
        <v>52</v>
      </c>
      <c r="F1121" s="13" t="s">
        <v>57</v>
      </c>
      <c r="G1121" s="14">
        <v>45953</v>
      </c>
      <c r="H1121" s="14">
        <v>45958</v>
      </c>
      <c r="I1121">
        <v>8834.81</v>
      </c>
      <c r="J1121">
        <v>10151.9</v>
      </c>
      <c r="K1121">
        <v>114.91</v>
      </c>
      <c r="L1121">
        <v>64</v>
      </c>
      <c r="M1121" s="13" t="s">
        <v>3366</v>
      </c>
    </row>
    <row r="1122" spans="1:13" x14ac:dyDescent="0.35">
      <c r="A1122" s="13" t="s">
        <v>4510</v>
      </c>
      <c r="B1122" s="13" t="s">
        <v>300</v>
      </c>
      <c r="C1122" s="13" t="s">
        <v>301</v>
      </c>
      <c r="D1122" s="13" t="s">
        <v>92</v>
      </c>
      <c r="E1122" s="13" t="s">
        <v>104</v>
      </c>
      <c r="F1122" s="13" t="s">
        <v>106</v>
      </c>
      <c r="G1122" s="14">
        <v>45950</v>
      </c>
      <c r="H1122" s="14">
        <v>45958</v>
      </c>
      <c r="I1122">
        <v>3617.51</v>
      </c>
      <c r="J1122">
        <v>0</v>
      </c>
      <c r="K1122">
        <v>0</v>
      </c>
      <c r="L1122">
        <v>64</v>
      </c>
      <c r="M1122" s="13" t="s">
        <v>3512</v>
      </c>
    </row>
    <row r="1123" spans="1:13" x14ac:dyDescent="0.35">
      <c r="A1123" s="13" t="s">
        <v>4511</v>
      </c>
      <c r="B1123" s="13" t="s">
        <v>113</v>
      </c>
      <c r="C1123" s="13" t="s">
        <v>114</v>
      </c>
      <c r="D1123" s="13" t="s">
        <v>92</v>
      </c>
      <c r="E1123" s="13" t="s">
        <v>52</v>
      </c>
      <c r="F1123" s="13" t="s">
        <v>87</v>
      </c>
      <c r="G1123" s="14">
        <v>45950</v>
      </c>
      <c r="H1123" s="14">
        <v>45958</v>
      </c>
      <c r="I1123">
        <v>7400.85</v>
      </c>
      <c r="J1123">
        <v>7940.49</v>
      </c>
      <c r="K1123">
        <v>107.29</v>
      </c>
      <c r="L1123">
        <v>64</v>
      </c>
      <c r="M1123" s="13" t="s">
        <v>3366</v>
      </c>
    </row>
    <row r="1124" spans="1:13" x14ac:dyDescent="0.35">
      <c r="A1124" s="13" t="s">
        <v>4512</v>
      </c>
      <c r="B1124" s="13" t="s">
        <v>3201</v>
      </c>
      <c r="C1124" s="13" t="s">
        <v>3202</v>
      </c>
      <c r="D1124" s="13" t="s">
        <v>55</v>
      </c>
      <c r="E1124" s="13" t="s">
        <v>76</v>
      </c>
      <c r="F1124" s="13" t="s">
        <v>80</v>
      </c>
      <c r="G1124" s="14">
        <v>45949</v>
      </c>
      <c r="H1124" s="14">
        <v>45959</v>
      </c>
      <c r="I1124">
        <v>866.15</v>
      </c>
      <c r="J1124">
        <v>899.04</v>
      </c>
      <c r="K1124">
        <v>103.8</v>
      </c>
      <c r="L1124">
        <v>63</v>
      </c>
      <c r="M1124" s="13" t="s">
        <v>3366</v>
      </c>
    </row>
    <row r="1125" spans="1:13" x14ac:dyDescent="0.35">
      <c r="A1125" s="13" t="s">
        <v>4513</v>
      </c>
      <c r="B1125" s="13" t="s">
        <v>1102</v>
      </c>
      <c r="C1125" s="13" t="s">
        <v>1103</v>
      </c>
      <c r="D1125" s="13" t="s">
        <v>67</v>
      </c>
      <c r="E1125" s="13" t="s">
        <v>52</v>
      </c>
      <c r="F1125" s="13" t="s">
        <v>87</v>
      </c>
      <c r="G1125" s="14">
        <v>45957</v>
      </c>
      <c r="H1125" s="14">
        <v>45959</v>
      </c>
      <c r="I1125">
        <v>6238.44</v>
      </c>
      <c r="J1125">
        <v>22395.53</v>
      </c>
      <c r="K1125">
        <v>358.99</v>
      </c>
      <c r="L1125">
        <v>63</v>
      </c>
      <c r="M1125" s="13" t="s">
        <v>3366</v>
      </c>
    </row>
    <row r="1126" spans="1:13" x14ac:dyDescent="0.35">
      <c r="A1126" s="13" t="s">
        <v>4514</v>
      </c>
      <c r="B1126" s="13" t="s">
        <v>2117</v>
      </c>
      <c r="C1126" s="13" t="s">
        <v>2118</v>
      </c>
      <c r="D1126" s="13" t="s">
        <v>67</v>
      </c>
      <c r="E1126" s="13" t="s">
        <v>104</v>
      </c>
      <c r="F1126" s="13" t="s">
        <v>122</v>
      </c>
      <c r="G1126" s="14">
        <v>45947</v>
      </c>
      <c r="H1126" s="14">
        <v>45959</v>
      </c>
      <c r="I1126">
        <v>2600.69</v>
      </c>
      <c r="J1126">
        <v>23876.3</v>
      </c>
      <c r="K1126">
        <v>918.08</v>
      </c>
      <c r="L1126">
        <v>63</v>
      </c>
      <c r="M1126" s="13" t="s">
        <v>3366</v>
      </c>
    </row>
    <row r="1127" spans="1:13" x14ac:dyDescent="0.35">
      <c r="A1127" s="13" t="s">
        <v>4515</v>
      </c>
      <c r="B1127" s="13" t="s">
        <v>2117</v>
      </c>
      <c r="C1127" s="13" t="s">
        <v>2118</v>
      </c>
      <c r="D1127" s="13" t="s">
        <v>67</v>
      </c>
      <c r="E1127" s="13" t="s">
        <v>104</v>
      </c>
      <c r="F1127" s="13" t="s">
        <v>122</v>
      </c>
      <c r="G1127" s="14">
        <v>45951</v>
      </c>
      <c r="H1127" s="14">
        <v>45959</v>
      </c>
      <c r="I1127">
        <v>7713.17</v>
      </c>
      <c r="J1127">
        <v>23876.3</v>
      </c>
      <c r="K1127">
        <v>309.55</v>
      </c>
      <c r="L1127">
        <v>63</v>
      </c>
      <c r="M1127" s="13" t="s">
        <v>3366</v>
      </c>
    </row>
    <row r="1128" spans="1:13" x14ac:dyDescent="0.35">
      <c r="A1128" s="13" t="s">
        <v>4516</v>
      </c>
      <c r="B1128" s="13" t="s">
        <v>1042</v>
      </c>
      <c r="C1128" s="13" t="s">
        <v>1043</v>
      </c>
      <c r="D1128" s="13" t="s">
        <v>67</v>
      </c>
      <c r="E1128" s="13" t="s">
        <v>104</v>
      </c>
      <c r="F1128" s="13" t="s">
        <v>122</v>
      </c>
      <c r="G1128" s="14">
        <v>45948</v>
      </c>
      <c r="H1128" s="14">
        <v>45959</v>
      </c>
      <c r="I1128">
        <v>8195.5400000000009</v>
      </c>
      <c r="J1128">
        <v>8207.5</v>
      </c>
      <c r="K1128">
        <v>100.15</v>
      </c>
      <c r="L1128">
        <v>63</v>
      </c>
      <c r="M1128" s="13" t="s">
        <v>3366</v>
      </c>
    </row>
    <row r="1129" spans="1:13" x14ac:dyDescent="0.35">
      <c r="A1129" s="13" t="s">
        <v>4517</v>
      </c>
      <c r="B1129" s="13" t="s">
        <v>596</v>
      </c>
      <c r="C1129" s="13" t="s">
        <v>597</v>
      </c>
      <c r="D1129" s="13" t="s">
        <v>67</v>
      </c>
      <c r="E1129" s="13" t="s">
        <v>126</v>
      </c>
      <c r="F1129" s="13" t="s">
        <v>57</v>
      </c>
      <c r="G1129" s="14">
        <v>45954</v>
      </c>
      <c r="H1129" s="14">
        <v>45959</v>
      </c>
      <c r="I1129">
        <v>1752.65</v>
      </c>
      <c r="J1129">
        <v>1782.69</v>
      </c>
      <c r="K1129">
        <v>101.71</v>
      </c>
      <c r="L1129">
        <v>63</v>
      </c>
      <c r="M1129" s="13" t="s">
        <v>3366</v>
      </c>
    </row>
    <row r="1130" spans="1:13" x14ac:dyDescent="0.35">
      <c r="A1130" s="13" t="s">
        <v>4518</v>
      </c>
      <c r="B1130" s="13" t="s">
        <v>719</v>
      </c>
      <c r="C1130" s="13" t="s">
        <v>720</v>
      </c>
      <c r="D1130" s="13" t="s">
        <v>67</v>
      </c>
      <c r="E1130" s="13" t="s">
        <v>126</v>
      </c>
      <c r="F1130" s="13" t="s">
        <v>87</v>
      </c>
      <c r="G1130" s="14">
        <v>45958</v>
      </c>
      <c r="H1130" s="14">
        <v>45960</v>
      </c>
      <c r="I1130">
        <v>8414.08</v>
      </c>
      <c r="J1130">
        <v>8971.2199999999993</v>
      </c>
      <c r="K1130">
        <v>106.62</v>
      </c>
      <c r="L1130">
        <v>62</v>
      </c>
      <c r="M1130" s="13" t="s">
        <v>3366</v>
      </c>
    </row>
    <row r="1131" spans="1:13" x14ac:dyDescent="0.35">
      <c r="A1131" s="13" t="s">
        <v>4519</v>
      </c>
      <c r="B1131" s="13" t="s">
        <v>1577</v>
      </c>
      <c r="C1131" s="13" t="s">
        <v>1578</v>
      </c>
      <c r="D1131" s="13" t="s">
        <v>67</v>
      </c>
      <c r="E1131" s="13" t="s">
        <v>76</v>
      </c>
      <c r="F1131" s="13" t="s">
        <v>80</v>
      </c>
      <c r="G1131" s="14">
        <v>45954</v>
      </c>
      <c r="H1131" s="14">
        <v>45960</v>
      </c>
      <c r="I1131">
        <v>484.8</v>
      </c>
      <c r="J1131">
        <v>2632.28</v>
      </c>
      <c r="K1131">
        <v>542.96</v>
      </c>
      <c r="L1131">
        <v>62</v>
      </c>
      <c r="M1131" s="13" t="s">
        <v>3366</v>
      </c>
    </row>
    <row r="1132" spans="1:13" x14ac:dyDescent="0.35">
      <c r="A1132" s="13" t="s">
        <v>4520</v>
      </c>
      <c r="B1132" s="13" t="s">
        <v>290</v>
      </c>
      <c r="C1132" s="13" t="s">
        <v>291</v>
      </c>
      <c r="D1132" s="13" t="s">
        <v>92</v>
      </c>
      <c r="E1132" s="13" t="s">
        <v>104</v>
      </c>
      <c r="F1132" s="13" t="s">
        <v>122</v>
      </c>
      <c r="G1132" s="14">
        <v>45949</v>
      </c>
      <c r="H1132" s="14">
        <v>45960</v>
      </c>
      <c r="I1132">
        <v>1106.5899999999999</v>
      </c>
      <c r="J1132">
        <v>0</v>
      </c>
      <c r="K1132">
        <v>0</v>
      </c>
      <c r="L1132">
        <v>62</v>
      </c>
      <c r="M1132" s="13" t="s">
        <v>3512</v>
      </c>
    </row>
    <row r="1133" spans="1:13" x14ac:dyDescent="0.35">
      <c r="A1133" s="13" t="s">
        <v>4521</v>
      </c>
      <c r="B1133" s="13" t="s">
        <v>1523</v>
      </c>
      <c r="C1133" s="13" t="s">
        <v>1524</v>
      </c>
      <c r="D1133" s="13" t="s">
        <v>55</v>
      </c>
      <c r="E1133" s="13" t="s">
        <v>76</v>
      </c>
      <c r="F1133" s="13" t="s">
        <v>94</v>
      </c>
      <c r="G1133" s="14">
        <v>45957</v>
      </c>
      <c r="H1133" s="14">
        <v>45961</v>
      </c>
      <c r="I1133">
        <v>629.75</v>
      </c>
      <c r="J1133">
        <v>655.65</v>
      </c>
      <c r="K1133">
        <v>104.11</v>
      </c>
      <c r="L1133">
        <v>61</v>
      </c>
      <c r="M1133" s="13" t="s">
        <v>3366</v>
      </c>
    </row>
    <row r="1134" spans="1:13" x14ac:dyDescent="0.35">
      <c r="A1134" s="13" t="s">
        <v>4522</v>
      </c>
      <c r="B1134" s="13" t="s">
        <v>124</v>
      </c>
      <c r="C1134" s="13" t="s">
        <v>125</v>
      </c>
      <c r="D1134" s="13" t="s">
        <v>67</v>
      </c>
      <c r="E1134" s="13" t="s">
        <v>126</v>
      </c>
      <c r="F1134" s="13" t="s">
        <v>87</v>
      </c>
      <c r="G1134" s="14">
        <v>45953</v>
      </c>
      <c r="H1134" s="14">
        <v>45961</v>
      </c>
      <c r="I1134">
        <v>5506.51</v>
      </c>
      <c r="J1134">
        <v>5786.62</v>
      </c>
      <c r="K1134">
        <v>105.09</v>
      </c>
      <c r="L1134">
        <v>61</v>
      </c>
      <c r="M1134" s="13" t="s">
        <v>3366</v>
      </c>
    </row>
    <row r="1135" spans="1:13" x14ac:dyDescent="0.35">
      <c r="A1135" s="13" t="s">
        <v>4523</v>
      </c>
      <c r="B1135" s="13" t="s">
        <v>3198</v>
      </c>
      <c r="C1135" s="13" t="s">
        <v>3199</v>
      </c>
      <c r="D1135" s="13" t="s">
        <v>67</v>
      </c>
      <c r="E1135" s="13" t="s">
        <v>76</v>
      </c>
      <c r="F1135" s="13" t="s">
        <v>80</v>
      </c>
      <c r="G1135" s="14">
        <v>45950</v>
      </c>
      <c r="H1135" s="14">
        <v>45961</v>
      </c>
      <c r="I1135">
        <v>570.84</v>
      </c>
      <c r="J1135">
        <v>600.37</v>
      </c>
      <c r="K1135">
        <v>105.17</v>
      </c>
      <c r="L1135">
        <v>61</v>
      </c>
      <c r="M1135" s="13" t="s">
        <v>3366</v>
      </c>
    </row>
    <row r="1136" spans="1:13" x14ac:dyDescent="0.35">
      <c r="A1136" s="13" t="s">
        <v>4524</v>
      </c>
      <c r="B1136" s="13" t="s">
        <v>180</v>
      </c>
      <c r="C1136" s="13" t="s">
        <v>181</v>
      </c>
      <c r="D1136" s="13" t="s">
        <v>55</v>
      </c>
      <c r="E1136" s="13" t="s">
        <v>104</v>
      </c>
      <c r="F1136" s="13" t="s">
        <v>122</v>
      </c>
      <c r="G1136" s="14">
        <v>45958</v>
      </c>
      <c r="H1136" s="14">
        <v>45961</v>
      </c>
      <c r="I1136">
        <v>4454.76</v>
      </c>
      <c r="J1136">
        <v>6038.43</v>
      </c>
      <c r="K1136">
        <v>135.55000000000001</v>
      </c>
      <c r="L1136">
        <v>61</v>
      </c>
      <c r="M1136" s="13" t="s">
        <v>3366</v>
      </c>
    </row>
    <row r="1137" spans="1:13" x14ac:dyDescent="0.35">
      <c r="A1137" s="13" t="s">
        <v>4525</v>
      </c>
      <c r="B1137" s="13" t="s">
        <v>386</v>
      </c>
      <c r="C1137" s="13" t="s">
        <v>387</v>
      </c>
      <c r="D1137" s="13" t="s">
        <v>67</v>
      </c>
      <c r="E1137" s="13" t="s">
        <v>52</v>
      </c>
      <c r="F1137" s="13" t="s">
        <v>57</v>
      </c>
      <c r="G1137" s="14">
        <v>45951</v>
      </c>
      <c r="H1137" s="14">
        <v>45961</v>
      </c>
      <c r="I1137">
        <v>10114.68</v>
      </c>
      <c r="J1137">
        <v>10301.290000000001</v>
      </c>
      <c r="K1137">
        <v>101.84</v>
      </c>
      <c r="L1137">
        <v>61</v>
      </c>
      <c r="M1137" s="13" t="s">
        <v>3366</v>
      </c>
    </row>
    <row r="1138" spans="1:13" x14ac:dyDescent="0.35">
      <c r="A1138" s="13" t="s">
        <v>4526</v>
      </c>
      <c r="B1138" s="13" t="s">
        <v>2138</v>
      </c>
      <c r="C1138" s="13" t="s">
        <v>2139</v>
      </c>
      <c r="D1138" s="13" t="s">
        <v>55</v>
      </c>
      <c r="E1138" s="13" t="s">
        <v>76</v>
      </c>
      <c r="F1138" s="13" t="s">
        <v>80</v>
      </c>
      <c r="G1138" s="14">
        <v>45950</v>
      </c>
      <c r="H1138" s="14">
        <v>45961</v>
      </c>
      <c r="I1138">
        <v>4010.85</v>
      </c>
      <c r="J1138">
        <v>7928.92</v>
      </c>
      <c r="K1138">
        <v>197.69</v>
      </c>
      <c r="L1138">
        <v>61</v>
      </c>
      <c r="M1138" s="13" t="s">
        <v>3366</v>
      </c>
    </row>
    <row r="1139" spans="1:13" x14ac:dyDescent="0.35">
      <c r="A1139" s="13" t="s">
        <v>4527</v>
      </c>
      <c r="B1139" s="13" t="s">
        <v>550</v>
      </c>
      <c r="C1139" s="13" t="s">
        <v>551</v>
      </c>
      <c r="D1139" s="13" t="s">
        <v>55</v>
      </c>
      <c r="E1139" s="13" t="s">
        <v>104</v>
      </c>
      <c r="F1139" s="13" t="s">
        <v>122</v>
      </c>
      <c r="G1139" s="14">
        <v>45947</v>
      </c>
      <c r="H1139" s="14">
        <v>45961</v>
      </c>
      <c r="I1139">
        <v>3624.09</v>
      </c>
      <c r="J1139">
        <v>5662.72</v>
      </c>
      <c r="K1139">
        <v>156.25</v>
      </c>
      <c r="L1139">
        <v>61</v>
      </c>
      <c r="M1139" s="13" t="s">
        <v>3366</v>
      </c>
    </row>
    <row r="1140" spans="1:13" x14ac:dyDescent="0.35">
      <c r="A1140" s="13" t="s">
        <v>4528</v>
      </c>
      <c r="B1140" s="13" t="s">
        <v>1842</v>
      </c>
      <c r="C1140" s="13" t="s">
        <v>1843</v>
      </c>
      <c r="D1140" s="13" t="s">
        <v>67</v>
      </c>
      <c r="E1140" s="13" t="s">
        <v>104</v>
      </c>
      <c r="F1140" s="13" t="s">
        <v>106</v>
      </c>
      <c r="G1140" s="14">
        <v>45955</v>
      </c>
      <c r="H1140" s="14">
        <v>45962</v>
      </c>
      <c r="I1140">
        <v>3493.76</v>
      </c>
      <c r="J1140">
        <v>3663.81</v>
      </c>
      <c r="K1140">
        <v>104.87</v>
      </c>
      <c r="L1140">
        <v>60</v>
      </c>
      <c r="M1140" s="13" t="s">
        <v>3366</v>
      </c>
    </row>
    <row r="1141" spans="1:13" x14ac:dyDescent="0.35">
      <c r="A1141" s="13" t="s">
        <v>4529</v>
      </c>
      <c r="B1141" s="13" t="s">
        <v>516</v>
      </c>
      <c r="C1141" s="13" t="s">
        <v>517</v>
      </c>
      <c r="D1141" s="13" t="s">
        <v>55</v>
      </c>
      <c r="E1141" s="13" t="s">
        <v>52</v>
      </c>
      <c r="F1141" s="13" t="s">
        <v>57</v>
      </c>
      <c r="G1141" s="14">
        <v>45959</v>
      </c>
      <c r="H1141" s="14">
        <v>45962</v>
      </c>
      <c r="I1141">
        <v>1774.56</v>
      </c>
      <c r="J1141">
        <v>4990.76</v>
      </c>
      <c r="K1141">
        <v>281.24</v>
      </c>
      <c r="L1141">
        <v>60</v>
      </c>
      <c r="M1141" s="13" t="s">
        <v>3366</v>
      </c>
    </row>
    <row r="1142" spans="1:13" x14ac:dyDescent="0.35">
      <c r="A1142" s="13" t="s">
        <v>4530</v>
      </c>
      <c r="B1142" s="13" t="s">
        <v>722</v>
      </c>
      <c r="C1142" s="13" t="s">
        <v>723</v>
      </c>
      <c r="D1142" s="13" t="s">
        <v>67</v>
      </c>
      <c r="E1142" s="13" t="s">
        <v>104</v>
      </c>
      <c r="F1142" s="13" t="s">
        <v>106</v>
      </c>
      <c r="G1142" s="14">
        <v>45954</v>
      </c>
      <c r="H1142" s="14">
        <v>45963</v>
      </c>
      <c r="I1142">
        <v>1012.95</v>
      </c>
      <c r="J1142">
        <v>5787.27</v>
      </c>
      <c r="K1142">
        <v>571.33000000000004</v>
      </c>
      <c r="L1142">
        <v>59</v>
      </c>
      <c r="M1142" s="13" t="s">
        <v>3366</v>
      </c>
    </row>
    <row r="1143" spans="1:13" x14ac:dyDescent="0.35">
      <c r="A1143" s="13" t="s">
        <v>4531</v>
      </c>
      <c r="B1143" s="13" t="s">
        <v>225</v>
      </c>
      <c r="C1143" s="13" t="s">
        <v>226</v>
      </c>
      <c r="D1143" s="13" t="s">
        <v>55</v>
      </c>
      <c r="E1143" s="13" t="s">
        <v>52</v>
      </c>
      <c r="F1143" s="13" t="s">
        <v>57</v>
      </c>
      <c r="G1143" s="14">
        <v>45954</v>
      </c>
      <c r="H1143" s="14">
        <v>45963</v>
      </c>
      <c r="I1143">
        <v>12196.51</v>
      </c>
      <c r="J1143">
        <v>25970.57</v>
      </c>
      <c r="K1143">
        <v>212.93</v>
      </c>
      <c r="L1143">
        <v>59</v>
      </c>
      <c r="M1143" s="13" t="s">
        <v>3366</v>
      </c>
    </row>
    <row r="1144" spans="1:13" x14ac:dyDescent="0.35">
      <c r="A1144" s="13" t="s">
        <v>4532</v>
      </c>
      <c r="B1144" s="13" t="s">
        <v>539</v>
      </c>
      <c r="C1144" s="13" t="s">
        <v>540</v>
      </c>
      <c r="D1144" s="13" t="s">
        <v>67</v>
      </c>
      <c r="E1144" s="13" t="s">
        <v>52</v>
      </c>
      <c r="F1144" s="13" t="s">
        <v>57</v>
      </c>
      <c r="G1144" s="14">
        <v>45957</v>
      </c>
      <c r="H1144" s="14">
        <v>45963</v>
      </c>
      <c r="I1144">
        <v>11318.42</v>
      </c>
      <c r="J1144">
        <v>14588.13</v>
      </c>
      <c r="K1144">
        <v>128.88999999999999</v>
      </c>
      <c r="L1144">
        <v>59</v>
      </c>
      <c r="M1144" s="13" t="s">
        <v>3366</v>
      </c>
    </row>
    <row r="1145" spans="1:13" x14ac:dyDescent="0.35">
      <c r="A1145" s="13" t="s">
        <v>4533</v>
      </c>
      <c r="B1145" s="13" t="s">
        <v>280</v>
      </c>
      <c r="C1145" s="13" t="s">
        <v>281</v>
      </c>
      <c r="D1145" s="13" t="s">
        <v>92</v>
      </c>
      <c r="E1145" s="13" t="s">
        <v>104</v>
      </c>
      <c r="F1145" s="13" t="s">
        <v>122</v>
      </c>
      <c r="G1145" s="14">
        <v>45951</v>
      </c>
      <c r="H1145" s="14">
        <v>45963</v>
      </c>
      <c r="I1145">
        <v>1417.78</v>
      </c>
      <c r="J1145">
        <v>0</v>
      </c>
      <c r="K1145">
        <v>0</v>
      </c>
      <c r="L1145">
        <v>59</v>
      </c>
      <c r="M1145" s="13" t="s">
        <v>3512</v>
      </c>
    </row>
    <row r="1146" spans="1:13" x14ac:dyDescent="0.35">
      <c r="A1146" s="13" t="s">
        <v>4534</v>
      </c>
      <c r="B1146" s="13" t="s">
        <v>280</v>
      </c>
      <c r="C1146" s="13" t="s">
        <v>281</v>
      </c>
      <c r="D1146" s="13" t="s">
        <v>92</v>
      </c>
      <c r="E1146" s="13" t="s">
        <v>104</v>
      </c>
      <c r="F1146" s="13" t="s">
        <v>122</v>
      </c>
      <c r="G1146" s="14">
        <v>45947</v>
      </c>
      <c r="H1146" s="14">
        <v>45964</v>
      </c>
      <c r="I1146">
        <v>734.53</v>
      </c>
      <c r="J1146">
        <v>0</v>
      </c>
      <c r="K1146">
        <v>0</v>
      </c>
      <c r="L1146">
        <v>58</v>
      </c>
      <c r="M1146" s="13" t="s">
        <v>3512</v>
      </c>
    </row>
    <row r="1147" spans="1:13" x14ac:dyDescent="0.35">
      <c r="A1147" s="13" t="s">
        <v>4535</v>
      </c>
      <c r="B1147" s="13" t="s">
        <v>277</v>
      </c>
      <c r="C1147" s="13" t="s">
        <v>278</v>
      </c>
      <c r="D1147" s="13" t="s">
        <v>92</v>
      </c>
      <c r="E1147" s="13" t="s">
        <v>104</v>
      </c>
      <c r="F1147" s="13" t="s">
        <v>106</v>
      </c>
      <c r="G1147" s="14">
        <v>45954</v>
      </c>
      <c r="H1147" s="14">
        <v>45964</v>
      </c>
      <c r="I1147">
        <v>3831.08</v>
      </c>
      <c r="J1147">
        <v>0</v>
      </c>
      <c r="K1147">
        <v>0</v>
      </c>
      <c r="L1147">
        <v>58</v>
      </c>
      <c r="M1147" s="13" t="s">
        <v>3512</v>
      </c>
    </row>
    <row r="1148" spans="1:13" x14ac:dyDescent="0.35">
      <c r="A1148" s="13" t="s">
        <v>4536</v>
      </c>
      <c r="B1148" s="13" t="s">
        <v>688</v>
      </c>
      <c r="C1148" s="13" t="s">
        <v>689</v>
      </c>
      <c r="D1148" s="13" t="s">
        <v>67</v>
      </c>
      <c r="E1148" s="13" t="s">
        <v>104</v>
      </c>
      <c r="F1148" s="13" t="s">
        <v>106</v>
      </c>
      <c r="G1148" s="14">
        <v>45952</v>
      </c>
      <c r="H1148" s="14">
        <v>45964</v>
      </c>
      <c r="I1148">
        <v>7720.95</v>
      </c>
      <c r="J1148">
        <v>9276.5400000000009</v>
      </c>
      <c r="K1148">
        <v>120.15</v>
      </c>
      <c r="L1148">
        <v>58</v>
      </c>
      <c r="M1148" s="13" t="s">
        <v>3366</v>
      </c>
    </row>
    <row r="1149" spans="1:13" x14ac:dyDescent="0.35">
      <c r="A1149" s="13" t="s">
        <v>4537</v>
      </c>
      <c r="B1149" s="13" t="s">
        <v>442</v>
      </c>
      <c r="C1149" s="13" t="s">
        <v>443</v>
      </c>
      <c r="D1149" s="13" t="s">
        <v>92</v>
      </c>
      <c r="E1149" s="13" t="s">
        <v>104</v>
      </c>
      <c r="F1149" s="13" t="s">
        <v>122</v>
      </c>
      <c r="G1149" s="14">
        <v>45962</v>
      </c>
      <c r="H1149" s="14">
        <v>45964</v>
      </c>
      <c r="I1149">
        <v>6679.96</v>
      </c>
      <c r="J1149">
        <v>6881.03</v>
      </c>
      <c r="K1149">
        <v>103.01</v>
      </c>
      <c r="L1149">
        <v>58</v>
      </c>
      <c r="M1149" s="13" t="s">
        <v>3366</v>
      </c>
    </row>
    <row r="1150" spans="1:13" x14ac:dyDescent="0.35">
      <c r="A1150" s="13" t="s">
        <v>4538</v>
      </c>
      <c r="B1150" s="13" t="s">
        <v>300</v>
      </c>
      <c r="C1150" s="13" t="s">
        <v>301</v>
      </c>
      <c r="D1150" s="13" t="s">
        <v>92</v>
      </c>
      <c r="E1150" s="13" t="s">
        <v>104</v>
      </c>
      <c r="F1150" s="13" t="s">
        <v>106</v>
      </c>
      <c r="G1150" s="14">
        <v>45946</v>
      </c>
      <c r="H1150" s="14">
        <v>45964</v>
      </c>
      <c r="I1150">
        <v>4520.83</v>
      </c>
      <c r="J1150">
        <v>0</v>
      </c>
      <c r="K1150">
        <v>0</v>
      </c>
      <c r="L1150">
        <v>58</v>
      </c>
      <c r="M1150" s="13" t="s">
        <v>3512</v>
      </c>
    </row>
    <row r="1151" spans="1:13" x14ac:dyDescent="0.35">
      <c r="A1151" s="13" t="s">
        <v>4539</v>
      </c>
      <c r="B1151" s="13" t="s">
        <v>209</v>
      </c>
      <c r="C1151" s="13" t="s">
        <v>210</v>
      </c>
      <c r="D1151" s="13" t="s">
        <v>55</v>
      </c>
      <c r="E1151" s="13" t="s">
        <v>52</v>
      </c>
      <c r="F1151" s="13" t="s">
        <v>57</v>
      </c>
      <c r="G1151" s="14">
        <v>45954</v>
      </c>
      <c r="H1151" s="14">
        <v>45964</v>
      </c>
      <c r="I1151">
        <v>1490.27</v>
      </c>
      <c r="J1151">
        <v>1634.69</v>
      </c>
      <c r="K1151">
        <v>109.69</v>
      </c>
      <c r="L1151">
        <v>58</v>
      </c>
      <c r="M1151" s="13" t="s">
        <v>3366</v>
      </c>
    </row>
    <row r="1152" spans="1:13" x14ac:dyDescent="0.35">
      <c r="A1152" s="13" t="s">
        <v>4540</v>
      </c>
      <c r="B1152" s="13" t="s">
        <v>1179</v>
      </c>
      <c r="C1152" s="13" t="s">
        <v>1180</v>
      </c>
      <c r="D1152" s="13" t="s">
        <v>67</v>
      </c>
      <c r="E1152" s="13" t="s">
        <v>104</v>
      </c>
      <c r="F1152" s="13" t="s">
        <v>106</v>
      </c>
      <c r="G1152" s="14">
        <v>45961</v>
      </c>
      <c r="H1152" s="14">
        <v>45964</v>
      </c>
      <c r="I1152">
        <v>778.21</v>
      </c>
      <c r="J1152">
        <v>809.87</v>
      </c>
      <c r="K1152">
        <v>104.07</v>
      </c>
      <c r="L1152">
        <v>58</v>
      </c>
      <c r="M1152" s="13" t="s">
        <v>3366</v>
      </c>
    </row>
    <row r="1153" spans="1:13" x14ac:dyDescent="0.35">
      <c r="A1153" s="13" t="s">
        <v>4541</v>
      </c>
      <c r="B1153" s="13" t="s">
        <v>1672</v>
      </c>
      <c r="C1153" s="13" t="s">
        <v>1673</v>
      </c>
      <c r="D1153" s="13" t="s">
        <v>67</v>
      </c>
      <c r="E1153" s="13" t="s">
        <v>76</v>
      </c>
      <c r="F1153" s="13" t="s">
        <v>80</v>
      </c>
      <c r="G1153" s="14">
        <v>45956</v>
      </c>
      <c r="H1153" s="14">
        <v>45965</v>
      </c>
      <c r="I1153">
        <v>965.33</v>
      </c>
      <c r="J1153">
        <v>3934.41</v>
      </c>
      <c r="K1153">
        <v>407.57</v>
      </c>
      <c r="L1153">
        <v>57</v>
      </c>
      <c r="M1153" s="13" t="s">
        <v>3366</v>
      </c>
    </row>
    <row r="1154" spans="1:13" x14ac:dyDescent="0.35">
      <c r="A1154" s="13" t="s">
        <v>4542</v>
      </c>
      <c r="B1154" s="13" t="s">
        <v>866</v>
      </c>
      <c r="C1154" s="13" t="s">
        <v>867</v>
      </c>
      <c r="D1154" s="13" t="s">
        <v>55</v>
      </c>
      <c r="E1154" s="13" t="s">
        <v>104</v>
      </c>
      <c r="F1154" s="13" t="s">
        <v>106</v>
      </c>
      <c r="G1154" s="14">
        <v>45956</v>
      </c>
      <c r="H1154" s="14">
        <v>45965</v>
      </c>
      <c r="I1154">
        <v>738.97</v>
      </c>
      <c r="J1154">
        <v>7890.81</v>
      </c>
      <c r="K1154">
        <v>1067.81</v>
      </c>
      <c r="L1154">
        <v>57</v>
      </c>
      <c r="M1154" s="13" t="s">
        <v>3366</v>
      </c>
    </row>
    <row r="1155" spans="1:13" x14ac:dyDescent="0.35">
      <c r="A1155" s="13" t="s">
        <v>4543</v>
      </c>
      <c r="B1155" s="13" t="s">
        <v>116</v>
      </c>
      <c r="C1155" s="13" t="s">
        <v>117</v>
      </c>
      <c r="D1155" s="13" t="s">
        <v>67</v>
      </c>
      <c r="E1155" s="13" t="s">
        <v>76</v>
      </c>
      <c r="F1155" s="13" t="s">
        <v>80</v>
      </c>
      <c r="G1155" s="14">
        <v>45953</v>
      </c>
      <c r="H1155" s="14">
        <v>45966</v>
      </c>
      <c r="I1155">
        <v>1849.78</v>
      </c>
      <c r="J1155">
        <v>1875.1</v>
      </c>
      <c r="K1155">
        <v>101.37</v>
      </c>
      <c r="L1155">
        <v>56</v>
      </c>
      <c r="M1155" s="13" t="s">
        <v>3366</v>
      </c>
    </row>
    <row r="1156" spans="1:13" x14ac:dyDescent="0.35">
      <c r="A1156" s="13" t="s">
        <v>4544</v>
      </c>
      <c r="B1156" s="13" t="s">
        <v>876</v>
      </c>
      <c r="C1156" s="13" t="s">
        <v>877</v>
      </c>
      <c r="D1156" s="13" t="s">
        <v>67</v>
      </c>
      <c r="E1156" s="13" t="s">
        <v>126</v>
      </c>
      <c r="F1156" s="13" t="s">
        <v>122</v>
      </c>
      <c r="G1156" s="14">
        <v>45957</v>
      </c>
      <c r="H1156" s="14">
        <v>45966</v>
      </c>
      <c r="I1156">
        <v>1780.36</v>
      </c>
      <c r="J1156">
        <v>1821.92</v>
      </c>
      <c r="K1156">
        <v>102.33</v>
      </c>
      <c r="L1156">
        <v>56</v>
      </c>
      <c r="M1156" s="13" t="s">
        <v>3366</v>
      </c>
    </row>
    <row r="1157" spans="1:13" x14ac:dyDescent="0.35">
      <c r="A1157" s="13" t="s">
        <v>4545</v>
      </c>
      <c r="B1157" s="13" t="s">
        <v>296</v>
      </c>
      <c r="C1157" s="13" t="s">
        <v>297</v>
      </c>
      <c r="D1157" s="13" t="s">
        <v>92</v>
      </c>
      <c r="E1157" s="13" t="s">
        <v>104</v>
      </c>
      <c r="F1157" s="13" t="s">
        <v>106</v>
      </c>
      <c r="G1157" s="14">
        <v>45953</v>
      </c>
      <c r="H1157" s="14">
        <v>45967</v>
      </c>
      <c r="I1157">
        <v>861.99</v>
      </c>
      <c r="J1157">
        <v>0</v>
      </c>
      <c r="K1157">
        <v>0</v>
      </c>
      <c r="L1157">
        <v>55</v>
      </c>
      <c r="M1157" s="13" t="s">
        <v>3512</v>
      </c>
    </row>
    <row r="1158" spans="1:13" x14ac:dyDescent="0.35">
      <c r="A1158" s="13" t="s">
        <v>4546</v>
      </c>
      <c r="B1158" s="13" t="s">
        <v>2171</v>
      </c>
      <c r="C1158" s="13" t="s">
        <v>2172</v>
      </c>
      <c r="D1158" s="13" t="s">
        <v>55</v>
      </c>
      <c r="E1158" s="13" t="s">
        <v>76</v>
      </c>
      <c r="F1158" s="13" t="s">
        <v>94</v>
      </c>
      <c r="G1158" s="14">
        <v>45959</v>
      </c>
      <c r="H1158" s="14">
        <v>45968</v>
      </c>
      <c r="I1158">
        <v>2918.23</v>
      </c>
      <c r="J1158">
        <v>5729.97</v>
      </c>
      <c r="K1158">
        <v>196.35</v>
      </c>
      <c r="L1158">
        <v>54</v>
      </c>
      <c r="M1158" s="13" t="s">
        <v>3366</v>
      </c>
    </row>
    <row r="1159" spans="1:13" x14ac:dyDescent="0.35">
      <c r="A1159" s="13" t="s">
        <v>4547</v>
      </c>
      <c r="B1159" s="13" t="s">
        <v>1382</v>
      </c>
      <c r="C1159" s="13" t="s">
        <v>1383</v>
      </c>
      <c r="D1159" s="13" t="s">
        <v>92</v>
      </c>
      <c r="E1159" s="13" t="s">
        <v>104</v>
      </c>
      <c r="F1159" s="13" t="s">
        <v>106</v>
      </c>
      <c r="G1159" s="14">
        <v>45957</v>
      </c>
      <c r="H1159" s="14">
        <v>45968</v>
      </c>
      <c r="I1159">
        <v>970.2</v>
      </c>
      <c r="J1159">
        <v>1015.37</v>
      </c>
      <c r="K1159">
        <v>104.66</v>
      </c>
      <c r="L1159">
        <v>54</v>
      </c>
      <c r="M1159" s="13" t="s">
        <v>3366</v>
      </c>
    </row>
    <row r="1160" spans="1:13" x14ac:dyDescent="0.35">
      <c r="A1160" s="13" t="s">
        <v>4548</v>
      </c>
      <c r="B1160" s="13" t="s">
        <v>688</v>
      </c>
      <c r="C1160" s="13" t="s">
        <v>689</v>
      </c>
      <c r="D1160" s="13" t="s">
        <v>67</v>
      </c>
      <c r="E1160" s="13" t="s">
        <v>104</v>
      </c>
      <c r="F1160" s="13" t="s">
        <v>106</v>
      </c>
      <c r="G1160" s="14">
        <v>45962</v>
      </c>
      <c r="H1160" s="14">
        <v>45968</v>
      </c>
      <c r="I1160">
        <v>2190.61</v>
      </c>
      <c r="J1160">
        <v>2324.89</v>
      </c>
      <c r="K1160">
        <v>106.13</v>
      </c>
      <c r="L1160">
        <v>54</v>
      </c>
      <c r="M1160" s="13" t="s">
        <v>3366</v>
      </c>
    </row>
    <row r="1161" spans="1:13" x14ac:dyDescent="0.35">
      <c r="A1161" s="13" t="s">
        <v>4549</v>
      </c>
      <c r="B1161" s="13" t="s">
        <v>1467</v>
      </c>
      <c r="C1161" s="13" t="s">
        <v>1468</v>
      </c>
      <c r="D1161" s="13" t="s">
        <v>55</v>
      </c>
      <c r="E1161" s="13" t="s">
        <v>104</v>
      </c>
      <c r="F1161" s="13" t="s">
        <v>122</v>
      </c>
      <c r="G1161" s="14">
        <v>45956</v>
      </c>
      <c r="H1161" s="14">
        <v>45968</v>
      </c>
      <c r="I1161">
        <v>3808.67</v>
      </c>
      <c r="J1161">
        <v>3816.19</v>
      </c>
      <c r="K1161">
        <v>100.2</v>
      </c>
      <c r="L1161">
        <v>54</v>
      </c>
      <c r="M1161" s="13" t="s">
        <v>3366</v>
      </c>
    </row>
    <row r="1162" spans="1:13" x14ac:dyDescent="0.35">
      <c r="A1162" s="13" t="s">
        <v>4550</v>
      </c>
      <c r="B1162" s="13" t="s">
        <v>1648</v>
      </c>
      <c r="C1162" s="13" t="s">
        <v>1649</v>
      </c>
      <c r="D1162" s="13" t="s">
        <v>67</v>
      </c>
      <c r="E1162" s="13" t="s">
        <v>52</v>
      </c>
      <c r="F1162" s="13" t="s">
        <v>87</v>
      </c>
      <c r="G1162" s="14">
        <v>45963</v>
      </c>
      <c r="H1162" s="14">
        <v>45969</v>
      </c>
      <c r="I1162">
        <v>4919.12</v>
      </c>
      <c r="J1162">
        <v>5412.74</v>
      </c>
      <c r="K1162">
        <v>110.03</v>
      </c>
      <c r="L1162">
        <v>53</v>
      </c>
      <c r="M1162" s="13" t="s">
        <v>3366</v>
      </c>
    </row>
    <row r="1163" spans="1:13" x14ac:dyDescent="0.35">
      <c r="A1163" s="13" t="s">
        <v>4551</v>
      </c>
      <c r="B1163" s="13" t="s">
        <v>1247</v>
      </c>
      <c r="C1163" s="13" t="s">
        <v>1248</v>
      </c>
      <c r="D1163" s="13" t="s">
        <v>55</v>
      </c>
      <c r="E1163" s="13" t="s">
        <v>52</v>
      </c>
      <c r="F1163" s="13" t="s">
        <v>57</v>
      </c>
      <c r="G1163" s="14">
        <v>45965</v>
      </c>
      <c r="H1163" s="14">
        <v>45969</v>
      </c>
      <c r="I1163">
        <v>8295.52</v>
      </c>
      <c r="J1163">
        <v>8717.2000000000007</v>
      </c>
      <c r="K1163">
        <v>105.08</v>
      </c>
      <c r="L1163">
        <v>53</v>
      </c>
      <c r="M1163" s="13" t="s">
        <v>3366</v>
      </c>
    </row>
    <row r="1164" spans="1:13" x14ac:dyDescent="0.35">
      <c r="A1164" s="13" t="s">
        <v>4552</v>
      </c>
      <c r="B1164" s="13" t="s">
        <v>286</v>
      </c>
      <c r="C1164" s="13" t="s">
        <v>287</v>
      </c>
      <c r="D1164" s="13" t="s">
        <v>92</v>
      </c>
      <c r="E1164" s="13" t="s">
        <v>104</v>
      </c>
      <c r="F1164" s="13" t="s">
        <v>87</v>
      </c>
      <c r="G1164" s="14">
        <v>45957</v>
      </c>
      <c r="H1164" s="14">
        <v>45969</v>
      </c>
      <c r="I1164">
        <v>3551.49</v>
      </c>
      <c r="J1164">
        <v>0</v>
      </c>
      <c r="K1164">
        <v>0</v>
      </c>
      <c r="L1164">
        <v>53</v>
      </c>
      <c r="M1164" s="13" t="s">
        <v>3512</v>
      </c>
    </row>
    <row r="1165" spans="1:13" x14ac:dyDescent="0.35">
      <c r="A1165" s="13" t="s">
        <v>4553</v>
      </c>
      <c r="B1165" s="13" t="s">
        <v>784</v>
      </c>
      <c r="C1165" s="13" t="s">
        <v>785</v>
      </c>
      <c r="D1165" s="13" t="s">
        <v>55</v>
      </c>
      <c r="E1165" s="13" t="s">
        <v>104</v>
      </c>
      <c r="F1165" s="13" t="s">
        <v>122</v>
      </c>
      <c r="G1165" s="14">
        <v>45958</v>
      </c>
      <c r="H1165" s="14">
        <v>45969</v>
      </c>
      <c r="I1165">
        <v>584.44000000000005</v>
      </c>
      <c r="J1165">
        <v>0</v>
      </c>
      <c r="K1165">
        <v>0</v>
      </c>
      <c r="L1165">
        <v>53</v>
      </c>
      <c r="M1165" s="13" t="s">
        <v>3512</v>
      </c>
    </row>
    <row r="1166" spans="1:13" x14ac:dyDescent="0.35">
      <c r="A1166" s="13" t="s">
        <v>4554</v>
      </c>
      <c r="B1166" s="13" t="s">
        <v>2171</v>
      </c>
      <c r="C1166" s="13" t="s">
        <v>2172</v>
      </c>
      <c r="D1166" s="13" t="s">
        <v>55</v>
      </c>
      <c r="E1166" s="13" t="s">
        <v>76</v>
      </c>
      <c r="F1166" s="13" t="s">
        <v>94</v>
      </c>
      <c r="G1166" s="14">
        <v>45966</v>
      </c>
      <c r="H1166" s="14">
        <v>45969</v>
      </c>
      <c r="I1166">
        <v>2351.06</v>
      </c>
      <c r="J1166">
        <v>6839.14</v>
      </c>
      <c r="K1166">
        <v>290.89999999999998</v>
      </c>
      <c r="L1166">
        <v>53</v>
      </c>
      <c r="M1166" s="13" t="s">
        <v>3366</v>
      </c>
    </row>
    <row r="1167" spans="1:13" x14ac:dyDescent="0.35">
      <c r="A1167" s="13" t="s">
        <v>4555</v>
      </c>
      <c r="B1167" s="13" t="s">
        <v>695</v>
      </c>
      <c r="C1167" s="13" t="s">
        <v>696</v>
      </c>
      <c r="D1167" s="13" t="s">
        <v>92</v>
      </c>
      <c r="E1167" s="13" t="s">
        <v>52</v>
      </c>
      <c r="F1167" s="13" t="s">
        <v>57</v>
      </c>
      <c r="G1167" s="14">
        <v>45965</v>
      </c>
      <c r="H1167" s="14">
        <v>45969</v>
      </c>
      <c r="I1167">
        <v>2986.04</v>
      </c>
      <c r="J1167">
        <v>3030.28</v>
      </c>
      <c r="K1167">
        <v>101.48</v>
      </c>
      <c r="L1167">
        <v>53</v>
      </c>
      <c r="M1167" s="13" t="s">
        <v>3366</v>
      </c>
    </row>
    <row r="1168" spans="1:13" x14ac:dyDescent="0.35">
      <c r="A1168" s="13" t="s">
        <v>4556</v>
      </c>
      <c r="B1168" s="13" t="s">
        <v>293</v>
      </c>
      <c r="C1168" s="13" t="s">
        <v>294</v>
      </c>
      <c r="D1168" s="13" t="s">
        <v>92</v>
      </c>
      <c r="E1168" s="13" t="s">
        <v>104</v>
      </c>
      <c r="F1168" s="13" t="s">
        <v>122</v>
      </c>
      <c r="G1168" s="14">
        <v>45945</v>
      </c>
      <c r="H1168" s="14">
        <v>45969</v>
      </c>
      <c r="I1168">
        <v>1704.73</v>
      </c>
      <c r="J1168">
        <v>0</v>
      </c>
      <c r="K1168">
        <v>0</v>
      </c>
      <c r="L1168">
        <v>53</v>
      </c>
      <c r="M1168" s="13" t="s">
        <v>3512</v>
      </c>
    </row>
    <row r="1169" spans="1:13" x14ac:dyDescent="0.35">
      <c r="A1169" s="13" t="s">
        <v>4557</v>
      </c>
      <c r="B1169" s="13" t="s">
        <v>293</v>
      </c>
      <c r="C1169" s="13" t="s">
        <v>294</v>
      </c>
      <c r="D1169" s="13" t="s">
        <v>92</v>
      </c>
      <c r="E1169" s="13" t="s">
        <v>104</v>
      </c>
      <c r="F1169" s="13" t="s">
        <v>122</v>
      </c>
      <c r="G1169" s="14">
        <v>45949</v>
      </c>
      <c r="H1169" s="14">
        <v>45970</v>
      </c>
      <c r="I1169">
        <v>4227.76</v>
      </c>
      <c r="J1169">
        <v>0</v>
      </c>
      <c r="K1169">
        <v>0</v>
      </c>
      <c r="L1169">
        <v>52</v>
      </c>
      <c r="M1169" s="13" t="s">
        <v>3512</v>
      </c>
    </row>
    <row r="1170" spans="1:13" x14ac:dyDescent="0.35">
      <c r="A1170" s="13" t="s">
        <v>4558</v>
      </c>
      <c r="B1170" s="13" t="s">
        <v>1397</v>
      </c>
      <c r="C1170" s="13" t="s">
        <v>1398</v>
      </c>
      <c r="D1170" s="13" t="s">
        <v>55</v>
      </c>
      <c r="E1170" s="13" t="s">
        <v>76</v>
      </c>
      <c r="F1170" s="13" t="s">
        <v>80</v>
      </c>
      <c r="G1170" s="14">
        <v>45965</v>
      </c>
      <c r="H1170" s="14">
        <v>45970</v>
      </c>
      <c r="I1170">
        <v>541.57000000000005</v>
      </c>
      <c r="J1170">
        <v>595.04999999999995</v>
      </c>
      <c r="K1170">
        <v>109.87</v>
      </c>
      <c r="L1170">
        <v>52</v>
      </c>
      <c r="M1170" s="13" t="s">
        <v>3366</v>
      </c>
    </row>
    <row r="1171" spans="1:13" x14ac:dyDescent="0.35">
      <c r="A1171" s="13" t="s">
        <v>4559</v>
      </c>
      <c r="B1171" s="13" t="s">
        <v>206</v>
      </c>
      <c r="C1171" s="13" t="s">
        <v>207</v>
      </c>
      <c r="D1171" s="13" t="s">
        <v>92</v>
      </c>
      <c r="E1171" s="13" t="s">
        <v>52</v>
      </c>
      <c r="F1171" s="13" t="s">
        <v>87</v>
      </c>
      <c r="G1171" s="14">
        <v>45948</v>
      </c>
      <c r="H1171" s="14">
        <v>45970</v>
      </c>
      <c r="I1171">
        <v>1186.01</v>
      </c>
      <c r="J1171">
        <v>9106.3799999999992</v>
      </c>
      <c r="K1171">
        <v>767.82</v>
      </c>
      <c r="L1171">
        <v>52</v>
      </c>
      <c r="M1171" s="13" t="s">
        <v>3366</v>
      </c>
    </row>
    <row r="1172" spans="1:13" x14ac:dyDescent="0.35">
      <c r="A1172" s="13" t="s">
        <v>4560</v>
      </c>
      <c r="B1172" s="13" t="s">
        <v>933</v>
      </c>
      <c r="C1172" s="13" t="s">
        <v>934</v>
      </c>
      <c r="D1172" s="13" t="s">
        <v>67</v>
      </c>
      <c r="E1172" s="13" t="s">
        <v>76</v>
      </c>
      <c r="F1172" s="13" t="s">
        <v>80</v>
      </c>
      <c r="G1172" s="14">
        <v>45961</v>
      </c>
      <c r="H1172" s="14">
        <v>45970</v>
      </c>
      <c r="I1172">
        <v>2238.81</v>
      </c>
      <c r="J1172">
        <v>3493.93</v>
      </c>
      <c r="K1172">
        <v>156.06</v>
      </c>
      <c r="L1172">
        <v>52</v>
      </c>
      <c r="M1172" s="13" t="s">
        <v>3366</v>
      </c>
    </row>
    <row r="1173" spans="1:13" x14ac:dyDescent="0.35">
      <c r="A1173" s="13" t="s">
        <v>4561</v>
      </c>
      <c r="B1173" s="13" t="s">
        <v>1665</v>
      </c>
      <c r="C1173" s="13" t="s">
        <v>1666</v>
      </c>
      <c r="D1173" s="13" t="s">
        <v>55</v>
      </c>
      <c r="E1173" s="13" t="s">
        <v>76</v>
      </c>
      <c r="F1173" s="13" t="s">
        <v>94</v>
      </c>
      <c r="G1173" s="14">
        <v>45960</v>
      </c>
      <c r="H1173" s="14">
        <v>45970</v>
      </c>
      <c r="I1173">
        <v>1084.1400000000001</v>
      </c>
      <c r="J1173">
        <v>1168.55</v>
      </c>
      <c r="K1173">
        <v>107.79</v>
      </c>
      <c r="L1173">
        <v>52</v>
      </c>
      <c r="M1173" s="13" t="s">
        <v>3366</v>
      </c>
    </row>
    <row r="1174" spans="1:13" x14ac:dyDescent="0.35">
      <c r="A1174" s="13" t="s">
        <v>4562</v>
      </c>
      <c r="B1174" s="13" t="s">
        <v>601</v>
      </c>
      <c r="C1174" s="13" t="s">
        <v>602</v>
      </c>
      <c r="D1174" s="13" t="s">
        <v>67</v>
      </c>
      <c r="E1174" s="13" t="s">
        <v>52</v>
      </c>
      <c r="F1174" s="13" t="s">
        <v>87</v>
      </c>
      <c r="G1174" s="14">
        <v>45946</v>
      </c>
      <c r="H1174" s="14">
        <v>45970</v>
      </c>
      <c r="I1174">
        <v>11396.05</v>
      </c>
      <c r="J1174">
        <v>2622.61</v>
      </c>
      <c r="K1174">
        <v>23.01</v>
      </c>
      <c r="L1174">
        <v>52</v>
      </c>
      <c r="M1174" s="13" t="s">
        <v>3512</v>
      </c>
    </row>
    <row r="1175" spans="1:13" x14ac:dyDescent="0.35">
      <c r="A1175" s="13" t="s">
        <v>4563</v>
      </c>
      <c r="B1175" s="13" t="s">
        <v>273</v>
      </c>
      <c r="C1175" s="13" t="s">
        <v>274</v>
      </c>
      <c r="D1175" s="13" t="s">
        <v>92</v>
      </c>
      <c r="E1175" s="13" t="s">
        <v>104</v>
      </c>
      <c r="F1175" s="13" t="s">
        <v>106</v>
      </c>
      <c r="G1175" s="14">
        <v>45956</v>
      </c>
      <c r="H1175" s="14">
        <v>45970</v>
      </c>
      <c r="I1175">
        <v>7706.02</v>
      </c>
      <c r="J1175">
        <v>8480.1</v>
      </c>
      <c r="K1175">
        <v>110.05</v>
      </c>
      <c r="L1175">
        <v>52</v>
      </c>
      <c r="M1175" s="13" t="s">
        <v>3366</v>
      </c>
    </row>
    <row r="1176" spans="1:13" x14ac:dyDescent="0.35">
      <c r="A1176" s="13" t="s">
        <v>4564</v>
      </c>
      <c r="B1176" s="13" t="s">
        <v>2117</v>
      </c>
      <c r="C1176" s="13" t="s">
        <v>2118</v>
      </c>
      <c r="D1176" s="13" t="s">
        <v>67</v>
      </c>
      <c r="E1176" s="13" t="s">
        <v>104</v>
      </c>
      <c r="F1176" s="13" t="s">
        <v>122</v>
      </c>
      <c r="G1176" s="14">
        <v>45967</v>
      </c>
      <c r="H1176" s="14">
        <v>45971</v>
      </c>
      <c r="I1176">
        <v>1092.01</v>
      </c>
      <c r="J1176">
        <v>1140.6199999999999</v>
      </c>
      <c r="K1176">
        <v>104.45</v>
      </c>
      <c r="L1176">
        <v>51</v>
      </c>
      <c r="M1176" s="13" t="s">
        <v>3366</v>
      </c>
    </row>
    <row r="1177" spans="1:13" x14ac:dyDescent="0.35">
      <c r="A1177" s="13" t="s">
        <v>4565</v>
      </c>
      <c r="B1177" s="13" t="s">
        <v>393</v>
      </c>
      <c r="C1177" s="13" t="s">
        <v>394</v>
      </c>
      <c r="D1177" s="13" t="s">
        <v>55</v>
      </c>
      <c r="E1177" s="13" t="s">
        <v>76</v>
      </c>
      <c r="F1177" s="13" t="s">
        <v>94</v>
      </c>
      <c r="G1177" s="14">
        <v>45959</v>
      </c>
      <c r="H1177" s="14">
        <v>45971</v>
      </c>
      <c r="I1177">
        <v>753.72</v>
      </c>
      <c r="J1177">
        <v>3014.5</v>
      </c>
      <c r="K1177">
        <v>399.95</v>
      </c>
      <c r="L1177">
        <v>51</v>
      </c>
      <c r="M1177" s="13" t="s">
        <v>3366</v>
      </c>
    </row>
    <row r="1178" spans="1:13" x14ac:dyDescent="0.35">
      <c r="A1178" s="13" t="s">
        <v>4566</v>
      </c>
      <c r="B1178" s="13" t="s">
        <v>2312</v>
      </c>
      <c r="C1178" s="13" t="s">
        <v>2313</v>
      </c>
      <c r="D1178" s="13" t="s">
        <v>67</v>
      </c>
      <c r="E1178" s="13" t="s">
        <v>76</v>
      </c>
      <c r="F1178" s="13" t="s">
        <v>80</v>
      </c>
      <c r="G1178" s="14">
        <v>45960</v>
      </c>
      <c r="H1178" s="14">
        <v>45971</v>
      </c>
      <c r="I1178">
        <v>668.75</v>
      </c>
      <c r="J1178">
        <v>718.39</v>
      </c>
      <c r="K1178">
        <v>107.42</v>
      </c>
      <c r="L1178">
        <v>51</v>
      </c>
      <c r="M1178" s="13" t="s">
        <v>3366</v>
      </c>
    </row>
    <row r="1179" spans="1:13" x14ac:dyDescent="0.35">
      <c r="A1179" s="13" t="s">
        <v>4567</v>
      </c>
      <c r="B1179" s="13" t="s">
        <v>3099</v>
      </c>
      <c r="C1179" s="13" t="s">
        <v>3100</v>
      </c>
      <c r="D1179" s="13" t="s">
        <v>67</v>
      </c>
      <c r="E1179" s="13" t="s">
        <v>104</v>
      </c>
      <c r="F1179" s="13" t="s">
        <v>122</v>
      </c>
      <c r="G1179" s="14">
        <v>45965</v>
      </c>
      <c r="H1179" s="14">
        <v>45971</v>
      </c>
      <c r="I1179">
        <v>6902.04</v>
      </c>
      <c r="J1179">
        <v>7156.74</v>
      </c>
      <c r="K1179">
        <v>103.69</v>
      </c>
      <c r="L1179">
        <v>51</v>
      </c>
      <c r="M1179" s="13" t="s">
        <v>3366</v>
      </c>
    </row>
    <row r="1180" spans="1:13" x14ac:dyDescent="0.35">
      <c r="A1180" s="13" t="s">
        <v>4568</v>
      </c>
      <c r="B1180" s="13" t="s">
        <v>1523</v>
      </c>
      <c r="C1180" s="13" t="s">
        <v>1524</v>
      </c>
      <c r="D1180" s="13" t="s">
        <v>55</v>
      </c>
      <c r="E1180" s="13" t="s">
        <v>76</v>
      </c>
      <c r="F1180" s="13" t="s">
        <v>94</v>
      </c>
      <c r="G1180" s="14">
        <v>45963</v>
      </c>
      <c r="H1180" s="14">
        <v>45971</v>
      </c>
      <c r="I1180">
        <v>886</v>
      </c>
      <c r="J1180">
        <v>2295.1799999999998</v>
      </c>
      <c r="K1180">
        <v>259.05</v>
      </c>
      <c r="L1180">
        <v>51</v>
      </c>
      <c r="M1180" s="13" t="s">
        <v>3366</v>
      </c>
    </row>
    <row r="1181" spans="1:13" x14ac:dyDescent="0.35">
      <c r="A1181" s="13" t="s">
        <v>4569</v>
      </c>
      <c r="B1181" s="13" t="s">
        <v>343</v>
      </c>
      <c r="C1181" s="13" t="s">
        <v>344</v>
      </c>
      <c r="D1181" s="13" t="s">
        <v>67</v>
      </c>
      <c r="E1181" s="13" t="s">
        <v>104</v>
      </c>
      <c r="F1181" s="13" t="s">
        <v>106</v>
      </c>
      <c r="G1181" s="14">
        <v>45953</v>
      </c>
      <c r="H1181" s="14">
        <v>45971</v>
      </c>
      <c r="I1181">
        <v>745</v>
      </c>
      <c r="J1181">
        <v>0</v>
      </c>
      <c r="K1181">
        <v>0</v>
      </c>
      <c r="L1181">
        <v>51</v>
      </c>
      <c r="M1181" s="13" t="s">
        <v>3512</v>
      </c>
    </row>
    <row r="1182" spans="1:13" x14ac:dyDescent="0.35">
      <c r="A1182" s="13" t="s">
        <v>4570</v>
      </c>
      <c r="B1182" s="13" t="s">
        <v>357</v>
      </c>
      <c r="C1182" s="13" t="s">
        <v>358</v>
      </c>
      <c r="D1182" s="13" t="s">
        <v>92</v>
      </c>
      <c r="E1182" s="13" t="s">
        <v>104</v>
      </c>
      <c r="F1182" s="13" t="s">
        <v>106</v>
      </c>
      <c r="G1182" s="14">
        <v>45950</v>
      </c>
      <c r="H1182" s="14">
        <v>45971</v>
      </c>
      <c r="I1182">
        <v>2574.13</v>
      </c>
      <c r="J1182">
        <v>0</v>
      </c>
      <c r="K1182">
        <v>0</v>
      </c>
      <c r="L1182">
        <v>51</v>
      </c>
      <c r="M1182" s="13" t="s">
        <v>3512</v>
      </c>
    </row>
    <row r="1183" spans="1:13" x14ac:dyDescent="0.35">
      <c r="A1183" s="13" t="s">
        <v>4571</v>
      </c>
      <c r="B1183" s="13" t="s">
        <v>1749</v>
      </c>
      <c r="C1183" s="13" t="s">
        <v>1750</v>
      </c>
      <c r="D1183" s="13" t="s">
        <v>92</v>
      </c>
      <c r="E1183" s="13" t="s">
        <v>76</v>
      </c>
      <c r="F1183" s="13" t="s">
        <v>94</v>
      </c>
      <c r="G1183" s="14">
        <v>45959</v>
      </c>
      <c r="H1183" s="14">
        <v>45971</v>
      </c>
      <c r="I1183">
        <v>4377.8100000000004</v>
      </c>
      <c r="J1183">
        <v>4578.47</v>
      </c>
      <c r="K1183">
        <v>104.58</v>
      </c>
      <c r="L1183">
        <v>51</v>
      </c>
      <c r="M1183" s="13" t="s">
        <v>3366</v>
      </c>
    </row>
    <row r="1184" spans="1:13" x14ac:dyDescent="0.35">
      <c r="A1184" s="13" t="s">
        <v>4572</v>
      </c>
      <c r="B1184" s="13" t="s">
        <v>1276</v>
      </c>
      <c r="C1184" s="13" t="s">
        <v>1277</v>
      </c>
      <c r="D1184" s="13" t="s">
        <v>67</v>
      </c>
      <c r="E1184" s="13" t="s">
        <v>104</v>
      </c>
      <c r="F1184" s="13" t="s">
        <v>106</v>
      </c>
      <c r="G1184" s="14">
        <v>45960</v>
      </c>
      <c r="H1184" s="14">
        <v>45972</v>
      </c>
      <c r="I1184">
        <v>7765.85</v>
      </c>
      <c r="J1184">
        <v>8206.2999999999993</v>
      </c>
      <c r="K1184">
        <v>105.67</v>
      </c>
      <c r="L1184">
        <v>50</v>
      </c>
      <c r="M1184" s="13" t="s">
        <v>3366</v>
      </c>
    </row>
    <row r="1185" spans="1:13" x14ac:dyDescent="0.35">
      <c r="A1185" s="13" t="s">
        <v>4573</v>
      </c>
      <c r="B1185" s="13" t="s">
        <v>1577</v>
      </c>
      <c r="C1185" s="13" t="s">
        <v>1578</v>
      </c>
      <c r="D1185" s="13" t="s">
        <v>67</v>
      </c>
      <c r="E1185" s="13" t="s">
        <v>76</v>
      </c>
      <c r="F1185" s="13" t="s">
        <v>80</v>
      </c>
      <c r="G1185" s="14">
        <v>45963</v>
      </c>
      <c r="H1185" s="14">
        <v>45972</v>
      </c>
      <c r="I1185">
        <v>1716.52</v>
      </c>
      <c r="J1185">
        <v>2086</v>
      </c>
      <c r="K1185">
        <v>121.52</v>
      </c>
      <c r="L1185">
        <v>50</v>
      </c>
      <c r="M1185" s="13" t="s">
        <v>3366</v>
      </c>
    </row>
    <row r="1186" spans="1:13" x14ac:dyDescent="0.35">
      <c r="A1186" s="13" t="s">
        <v>4574</v>
      </c>
      <c r="B1186" s="13" t="s">
        <v>293</v>
      </c>
      <c r="C1186" s="13" t="s">
        <v>294</v>
      </c>
      <c r="D1186" s="13" t="s">
        <v>92</v>
      </c>
      <c r="E1186" s="13" t="s">
        <v>104</v>
      </c>
      <c r="F1186" s="13" t="s">
        <v>122</v>
      </c>
      <c r="G1186" s="14">
        <v>45949</v>
      </c>
      <c r="H1186" s="14">
        <v>45972</v>
      </c>
      <c r="I1186">
        <v>1594.53</v>
      </c>
      <c r="J1186">
        <v>0</v>
      </c>
      <c r="K1186">
        <v>0</v>
      </c>
      <c r="L1186">
        <v>50</v>
      </c>
      <c r="M1186" s="13" t="s">
        <v>3512</v>
      </c>
    </row>
    <row r="1187" spans="1:13" x14ac:dyDescent="0.35">
      <c r="A1187" s="13" t="s">
        <v>4575</v>
      </c>
      <c r="B1187" s="13" t="s">
        <v>458</v>
      </c>
      <c r="C1187" s="13" t="s">
        <v>459</v>
      </c>
      <c r="D1187" s="13" t="s">
        <v>67</v>
      </c>
      <c r="E1187" s="13" t="s">
        <v>126</v>
      </c>
      <c r="F1187" s="13" t="s">
        <v>122</v>
      </c>
      <c r="G1187" s="14">
        <v>45958</v>
      </c>
      <c r="H1187" s="14">
        <v>45972</v>
      </c>
      <c r="I1187">
        <v>657.79</v>
      </c>
      <c r="J1187">
        <v>682.51</v>
      </c>
      <c r="K1187">
        <v>103.76</v>
      </c>
      <c r="L1187">
        <v>50</v>
      </c>
      <c r="M1187" s="13" t="s">
        <v>3366</v>
      </c>
    </row>
    <row r="1188" spans="1:13" x14ac:dyDescent="0.35">
      <c r="A1188" s="13" t="s">
        <v>4576</v>
      </c>
      <c r="B1188" s="13" t="s">
        <v>1201</v>
      </c>
      <c r="C1188" s="13" t="s">
        <v>1202</v>
      </c>
      <c r="D1188" s="13" t="s">
        <v>67</v>
      </c>
      <c r="E1188" s="13" t="s">
        <v>126</v>
      </c>
      <c r="F1188" s="13" t="s">
        <v>87</v>
      </c>
      <c r="G1188" s="14">
        <v>45966</v>
      </c>
      <c r="H1188" s="14">
        <v>45972</v>
      </c>
      <c r="I1188">
        <v>1732.69</v>
      </c>
      <c r="J1188">
        <v>1915.84</v>
      </c>
      <c r="K1188">
        <v>110.57</v>
      </c>
      <c r="L1188">
        <v>50</v>
      </c>
      <c r="M1188" s="13" t="s">
        <v>3366</v>
      </c>
    </row>
    <row r="1189" spans="1:13" x14ac:dyDescent="0.35">
      <c r="A1189" s="13" t="s">
        <v>4577</v>
      </c>
      <c r="B1189" s="13" t="s">
        <v>277</v>
      </c>
      <c r="C1189" s="13" t="s">
        <v>278</v>
      </c>
      <c r="D1189" s="13" t="s">
        <v>92</v>
      </c>
      <c r="E1189" s="13" t="s">
        <v>104</v>
      </c>
      <c r="F1189" s="13" t="s">
        <v>106</v>
      </c>
      <c r="G1189" s="14">
        <v>45958</v>
      </c>
      <c r="H1189" s="14">
        <v>45972</v>
      </c>
      <c r="I1189">
        <v>1560.33</v>
      </c>
      <c r="J1189">
        <v>0</v>
      </c>
      <c r="K1189">
        <v>0</v>
      </c>
      <c r="L1189">
        <v>50</v>
      </c>
      <c r="M1189" s="13" t="s">
        <v>3512</v>
      </c>
    </row>
    <row r="1190" spans="1:13" x14ac:dyDescent="0.35">
      <c r="A1190" s="13" t="s">
        <v>4578</v>
      </c>
      <c r="B1190" s="13" t="s">
        <v>1366</v>
      </c>
      <c r="C1190" s="13" t="s">
        <v>1367</v>
      </c>
      <c r="D1190" s="13" t="s">
        <v>67</v>
      </c>
      <c r="E1190" s="13" t="s">
        <v>126</v>
      </c>
      <c r="F1190" s="13" t="s">
        <v>57</v>
      </c>
      <c r="G1190" s="14">
        <v>45961</v>
      </c>
      <c r="H1190" s="14">
        <v>45972</v>
      </c>
      <c r="I1190">
        <v>1494.01</v>
      </c>
      <c r="J1190">
        <v>1513.63</v>
      </c>
      <c r="K1190">
        <v>101.31</v>
      </c>
      <c r="L1190">
        <v>50</v>
      </c>
      <c r="M1190" s="13" t="s">
        <v>3366</v>
      </c>
    </row>
    <row r="1191" spans="1:13" x14ac:dyDescent="0.35">
      <c r="A1191" s="13" t="s">
        <v>4579</v>
      </c>
      <c r="B1191" s="13" t="s">
        <v>216</v>
      </c>
      <c r="C1191" s="13" t="s">
        <v>217</v>
      </c>
      <c r="D1191" s="13" t="s">
        <v>67</v>
      </c>
      <c r="E1191" s="13" t="s">
        <v>52</v>
      </c>
      <c r="F1191" s="13" t="s">
        <v>87</v>
      </c>
      <c r="G1191" s="14">
        <v>45960</v>
      </c>
      <c r="H1191" s="14">
        <v>45973</v>
      </c>
      <c r="I1191">
        <v>13143.06</v>
      </c>
      <c r="J1191">
        <v>28363.91</v>
      </c>
      <c r="K1191">
        <v>215.81</v>
      </c>
      <c r="L1191">
        <v>49</v>
      </c>
      <c r="M1191" s="13" t="s">
        <v>3366</v>
      </c>
    </row>
    <row r="1192" spans="1:13" x14ac:dyDescent="0.35">
      <c r="A1192" s="13" t="s">
        <v>4580</v>
      </c>
      <c r="B1192" s="13" t="s">
        <v>1430</v>
      </c>
      <c r="C1192" s="13" t="s">
        <v>1431</v>
      </c>
      <c r="D1192" s="13" t="s">
        <v>55</v>
      </c>
      <c r="E1192" s="13" t="s">
        <v>76</v>
      </c>
      <c r="F1192" s="13" t="s">
        <v>94</v>
      </c>
      <c r="G1192" s="14">
        <v>45960</v>
      </c>
      <c r="H1192" s="14">
        <v>45973</v>
      </c>
      <c r="I1192">
        <v>3690.86</v>
      </c>
      <c r="J1192">
        <v>10282.99</v>
      </c>
      <c r="K1192">
        <v>278.61</v>
      </c>
      <c r="L1192">
        <v>49</v>
      </c>
      <c r="M1192" s="13" t="s">
        <v>3366</v>
      </c>
    </row>
    <row r="1193" spans="1:13" x14ac:dyDescent="0.35">
      <c r="A1193" s="13" t="s">
        <v>4581</v>
      </c>
      <c r="B1193" s="13" t="s">
        <v>141</v>
      </c>
      <c r="C1193" s="13" t="s">
        <v>142</v>
      </c>
      <c r="D1193" s="13" t="s">
        <v>67</v>
      </c>
      <c r="E1193" s="13" t="s">
        <v>76</v>
      </c>
      <c r="F1193" s="13" t="s">
        <v>94</v>
      </c>
      <c r="G1193" s="14">
        <v>45963</v>
      </c>
      <c r="H1193" s="14">
        <v>45974</v>
      </c>
      <c r="I1193">
        <v>1248.49</v>
      </c>
      <c r="J1193">
        <v>4553.33</v>
      </c>
      <c r="K1193">
        <v>364.71</v>
      </c>
      <c r="L1193">
        <v>48</v>
      </c>
      <c r="M1193" s="13" t="s">
        <v>3366</v>
      </c>
    </row>
    <row r="1194" spans="1:13" x14ac:dyDescent="0.35">
      <c r="A1194" s="13" t="s">
        <v>4582</v>
      </c>
      <c r="B1194" s="13" t="s">
        <v>1541</v>
      </c>
      <c r="C1194" s="13" t="s">
        <v>1542</v>
      </c>
      <c r="D1194" s="13" t="s">
        <v>92</v>
      </c>
      <c r="E1194" s="13" t="s">
        <v>104</v>
      </c>
      <c r="F1194" s="13" t="s">
        <v>57</v>
      </c>
      <c r="G1194" s="14">
        <v>45960</v>
      </c>
      <c r="H1194" s="14">
        <v>45974</v>
      </c>
      <c r="I1194">
        <v>1066.3699999999999</v>
      </c>
      <c r="J1194">
        <v>6424.16</v>
      </c>
      <c r="K1194">
        <v>602.42999999999995</v>
      </c>
      <c r="L1194">
        <v>48</v>
      </c>
      <c r="M1194" s="13" t="s">
        <v>3366</v>
      </c>
    </row>
    <row r="1195" spans="1:13" x14ac:dyDescent="0.35">
      <c r="A1195" s="13" t="s">
        <v>4583</v>
      </c>
      <c r="B1195" s="13" t="s">
        <v>1220</v>
      </c>
      <c r="C1195" s="13" t="s">
        <v>1221</v>
      </c>
      <c r="D1195" s="13" t="s">
        <v>67</v>
      </c>
      <c r="E1195" s="13" t="s">
        <v>52</v>
      </c>
      <c r="F1195" s="13" t="s">
        <v>87</v>
      </c>
      <c r="G1195" s="14">
        <v>45972</v>
      </c>
      <c r="H1195" s="14">
        <v>45975</v>
      </c>
      <c r="I1195">
        <v>5962.06</v>
      </c>
      <c r="J1195">
        <v>25917.54</v>
      </c>
      <c r="K1195">
        <v>434.71</v>
      </c>
      <c r="L1195">
        <v>47</v>
      </c>
      <c r="M1195" s="13" t="s">
        <v>3366</v>
      </c>
    </row>
    <row r="1196" spans="1:13" x14ac:dyDescent="0.35">
      <c r="A1196" s="13" t="s">
        <v>4584</v>
      </c>
      <c r="B1196" s="13" t="s">
        <v>1898</v>
      </c>
      <c r="C1196" s="13" t="s">
        <v>1899</v>
      </c>
      <c r="D1196" s="13" t="s">
        <v>67</v>
      </c>
      <c r="E1196" s="13" t="s">
        <v>104</v>
      </c>
      <c r="F1196" s="13" t="s">
        <v>106</v>
      </c>
      <c r="G1196" s="14">
        <v>45964</v>
      </c>
      <c r="H1196" s="14">
        <v>45975</v>
      </c>
      <c r="I1196">
        <v>4632.74</v>
      </c>
      <c r="J1196">
        <v>4674.93</v>
      </c>
      <c r="K1196">
        <v>100.91</v>
      </c>
      <c r="L1196">
        <v>47</v>
      </c>
      <c r="M1196" s="13" t="s">
        <v>3366</v>
      </c>
    </row>
    <row r="1197" spans="1:13" x14ac:dyDescent="0.35">
      <c r="A1197" s="13" t="s">
        <v>4585</v>
      </c>
      <c r="B1197" s="13" t="s">
        <v>610</v>
      </c>
      <c r="C1197" s="13" t="s">
        <v>611</v>
      </c>
      <c r="D1197" s="13" t="s">
        <v>67</v>
      </c>
      <c r="E1197" s="13" t="s">
        <v>126</v>
      </c>
      <c r="F1197" s="13" t="s">
        <v>122</v>
      </c>
      <c r="G1197" s="14">
        <v>45968</v>
      </c>
      <c r="H1197" s="14">
        <v>45976</v>
      </c>
      <c r="I1197">
        <v>7534.3</v>
      </c>
      <c r="J1197">
        <v>7816.7</v>
      </c>
      <c r="K1197">
        <v>103.75</v>
      </c>
      <c r="L1197">
        <v>46</v>
      </c>
      <c r="M1197" s="13" t="s">
        <v>3366</v>
      </c>
    </row>
    <row r="1198" spans="1:13" x14ac:dyDescent="0.35">
      <c r="A1198" s="13" t="s">
        <v>4586</v>
      </c>
      <c r="B1198" s="13" t="s">
        <v>379</v>
      </c>
      <c r="C1198" s="13" t="s">
        <v>380</v>
      </c>
      <c r="D1198" s="13" t="s">
        <v>92</v>
      </c>
      <c r="E1198" s="13" t="s">
        <v>52</v>
      </c>
      <c r="F1198" s="13" t="s">
        <v>57</v>
      </c>
      <c r="G1198" s="14">
        <v>45963</v>
      </c>
      <c r="H1198" s="14">
        <v>45976</v>
      </c>
      <c r="I1198">
        <v>10664.95</v>
      </c>
      <c r="J1198">
        <v>10404.969999999999</v>
      </c>
      <c r="K1198">
        <v>97.56</v>
      </c>
      <c r="L1198">
        <v>46</v>
      </c>
      <c r="M1198" s="13" t="s">
        <v>3366</v>
      </c>
    </row>
    <row r="1199" spans="1:13" x14ac:dyDescent="0.35">
      <c r="A1199" s="13" t="s">
        <v>4587</v>
      </c>
      <c r="B1199" s="13" t="s">
        <v>168</v>
      </c>
      <c r="C1199" s="13" t="s">
        <v>169</v>
      </c>
      <c r="D1199" s="13" t="s">
        <v>67</v>
      </c>
      <c r="E1199" s="13" t="s">
        <v>52</v>
      </c>
      <c r="F1199" s="13" t="s">
        <v>57</v>
      </c>
      <c r="G1199" s="14">
        <v>45968</v>
      </c>
      <c r="H1199" s="14">
        <v>45976</v>
      </c>
      <c r="I1199">
        <v>9287.57</v>
      </c>
      <c r="J1199">
        <v>18853.98</v>
      </c>
      <c r="K1199">
        <v>203</v>
      </c>
      <c r="L1199">
        <v>46</v>
      </c>
      <c r="M1199" s="13" t="s">
        <v>3366</v>
      </c>
    </row>
    <row r="1200" spans="1:13" x14ac:dyDescent="0.35">
      <c r="A1200" s="13" t="s">
        <v>4588</v>
      </c>
      <c r="B1200" s="13" t="s">
        <v>1455</v>
      </c>
      <c r="C1200" s="13" t="s">
        <v>1456</v>
      </c>
      <c r="D1200" s="13" t="s">
        <v>55</v>
      </c>
      <c r="E1200" s="13" t="s">
        <v>104</v>
      </c>
      <c r="F1200" s="13" t="s">
        <v>122</v>
      </c>
      <c r="G1200" s="14">
        <v>45973</v>
      </c>
      <c r="H1200" s="14">
        <v>45976</v>
      </c>
      <c r="I1200">
        <v>2014.87</v>
      </c>
      <c r="J1200">
        <v>2208.71</v>
      </c>
      <c r="K1200">
        <v>109.62</v>
      </c>
      <c r="L1200">
        <v>46</v>
      </c>
      <c r="M1200" s="13" t="s">
        <v>3366</v>
      </c>
    </row>
    <row r="1201" spans="1:13" x14ac:dyDescent="0.35">
      <c r="A1201" s="13" t="s">
        <v>4589</v>
      </c>
      <c r="B1201" s="13" t="s">
        <v>113</v>
      </c>
      <c r="C1201" s="13" t="s">
        <v>114</v>
      </c>
      <c r="D1201" s="13" t="s">
        <v>92</v>
      </c>
      <c r="E1201" s="13" t="s">
        <v>52</v>
      </c>
      <c r="F1201" s="13" t="s">
        <v>87</v>
      </c>
      <c r="G1201" s="14">
        <v>45971</v>
      </c>
      <c r="H1201" s="14">
        <v>45976</v>
      </c>
      <c r="I1201">
        <v>11313.62</v>
      </c>
      <c r="J1201">
        <v>12336.71</v>
      </c>
      <c r="K1201">
        <v>109.04</v>
      </c>
      <c r="L1201">
        <v>46</v>
      </c>
      <c r="M1201" s="13" t="s">
        <v>3366</v>
      </c>
    </row>
    <row r="1202" spans="1:13" x14ac:dyDescent="0.35">
      <c r="A1202" s="13" t="s">
        <v>4590</v>
      </c>
      <c r="B1202" s="13" t="s">
        <v>340</v>
      </c>
      <c r="C1202" s="13" t="s">
        <v>341</v>
      </c>
      <c r="D1202" s="13" t="s">
        <v>92</v>
      </c>
      <c r="E1202" s="13" t="s">
        <v>52</v>
      </c>
      <c r="F1202" s="13" t="s">
        <v>57</v>
      </c>
      <c r="G1202" s="14">
        <v>45957</v>
      </c>
      <c r="H1202" s="14">
        <v>45976</v>
      </c>
      <c r="I1202">
        <v>2195.8200000000002</v>
      </c>
      <c r="J1202">
        <v>20254.64</v>
      </c>
      <c r="K1202">
        <v>922.42</v>
      </c>
      <c r="L1202">
        <v>46</v>
      </c>
      <c r="M1202" s="13" t="s">
        <v>3366</v>
      </c>
    </row>
    <row r="1203" spans="1:13" x14ac:dyDescent="0.35">
      <c r="A1203" s="13" t="s">
        <v>4591</v>
      </c>
      <c r="B1203" s="13" t="s">
        <v>478</v>
      </c>
      <c r="C1203" s="13" t="s">
        <v>479</v>
      </c>
      <c r="D1203" s="13" t="s">
        <v>55</v>
      </c>
      <c r="E1203" s="13" t="s">
        <v>52</v>
      </c>
      <c r="F1203" s="13" t="s">
        <v>87</v>
      </c>
      <c r="G1203" s="14">
        <v>45972</v>
      </c>
      <c r="H1203" s="14">
        <v>45977</v>
      </c>
      <c r="I1203">
        <v>8661.99</v>
      </c>
      <c r="J1203">
        <v>12964.59</v>
      </c>
      <c r="K1203">
        <v>149.66999999999999</v>
      </c>
      <c r="L1203">
        <v>45</v>
      </c>
      <c r="M1203" s="13" t="s">
        <v>3366</v>
      </c>
    </row>
    <row r="1204" spans="1:13" x14ac:dyDescent="0.35">
      <c r="A1204" s="13" t="s">
        <v>4592</v>
      </c>
      <c r="B1204" s="13" t="s">
        <v>3443</v>
      </c>
      <c r="C1204" s="13" t="s">
        <v>3444</v>
      </c>
      <c r="D1204" s="13" t="s">
        <v>55</v>
      </c>
      <c r="E1204" s="13" t="s">
        <v>104</v>
      </c>
      <c r="F1204" s="13" t="s">
        <v>106</v>
      </c>
      <c r="G1204" s="14">
        <v>45971</v>
      </c>
      <c r="H1204" s="14">
        <v>45977</v>
      </c>
      <c r="I1204">
        <v>626.71</v>
      </c>
      <c r="J1204">
        <v>630.14</v>
      </c>
      <c r="K1204">
        <v>100.55</v>
      </c>
      <c r="L1204">
        <v>45</v>
      </c>
      <c r="M1204" s="13" t="s">
        <v>3366</v>
      </c>
    </row>
    <row r="1205" spans="1:13" x14ac:dyDescent="0.35">
      <c r="A1205" s="13" t="s">
        <v>4593</v>
      </c>
      <c r="B1205" s="13" t="s">
        <v>259</v>
      </c>
      <c r="C1205" s="13" t="s">
        <v>260</v>
      </c>
      <c r="D1205" s="13" t="s">
        <v>67</v>
      </c>
      <c r="E1205" s="13" t="s">
        <v>104</v>
      </c>
      <c r="F1205" s="13" t="s">
        <v>122</v>
      </c>
      <c r="G1205" s="14">
        <v>45968</v>
      </c>
      <c r="H1205" s="14">
        <v>45978</v>
      </c>
      <c r="I1205">
        <v>1059.92</v>
      </c>
      <c r="J1205">
        <v>1084.3800000000001</v>
      </c>
      <c r="K1205">
        <v>102.31</v>
      </c>
      <c r="L1205">
        <v>44</v>
      </c>
      <c r="M1205" s="13" t="s">
        <v>3366</v>
      </c>
    </row>
    <row r="1206" spans="1:13" x14ac:dyDescent="0.35">
      <c r="A1206" s="13" t="s">
        <v>4594</v>
      </c>
      <c r="B1206" s="13" t="s">
        <v>2232</v>
      </c>
      <c r="C1206" s="13" t="s">
        <v>2233</v>
      </c>
      <c r="D1206" s="13" t="s">
        <v>67</v>
      </c>
      <c r="E1206" s="13" t="s">
        <v>104</v>
      </c>
      <c r="F1206" s="13" t="s">
        <v>106</v>
      </c>
      <c r="G1206" s="14">
        <v>45968</v>
      </c>
      <c r="H1206" s="14">
        <v>45978</v>
      </c>
      <c r="I1206">
        <v>1943.83</v>
      </c>
      <c r="J1206">
        <v>4238.22</v>
      </c>
      <c r="K1206">
        <v>218.03</v>
      </c>
      <c r="L1206">
        <v>44</v>
      </c>
      <c r="M1206" s="13" t="s">
        <v>3366</v>
      </c>
    </row>
    <row r="1207" spans="1:13" x14ac:dyDescent="0.35">
      <c r="A1207" s="13" t="s">
        <v>4595</v>
      </c>
      <c r="B1207" s="13" t="s">
        <v>1898</v>
      </c>
      <c r="C1207" s="13" t="s">
        <v>1899</v>
      </c>
      <c r="D1207" s="13" t="s">
        <v>67</v>
      </c>
      <c r="E1207" s="13" t="s">
        <v>104</v>
      </c>
      <c r="F1207" s="13" t="s">
        <v>106</v>
      </c>
      <c r="G1207" s="14">
        <v>45969</v>
      </c>
      <c r="H1207" s="14">
        <v>45978</v>
      </c>
      <c r="I1207">
        <v>757.97</v>
      </c>
      <c r="J1207">
        <v>5481.45</v>
      </c>
      <c r="K1207">
        <v>723.18</v>
      </c>
      <c r="L1207">
        <v>44</v>
      </c>
      <c r="M1207" s="13" t="s">
        <v>3366</v>
      </c>
    </row>
    <row r="1208" spans="1:13" x14ac:dyDescent="0.35">
      <c r="A1208" s="13" t="s">
        <v>4596</v>
      </c>
      <c r="B1208" s="13" t="s">
        <v>899</v>
      </c>
      <c r="C1208" s="13" t="s">
        <v>900</v>
      </c>
      <c r="D1208" s="13" t="s">
        <v>92</v>
      </c>
      <c r="E1208" s="13" t="s">
        <v>76</v>
      </c>
      <c r="F1208" s="13" t="s">
        <v>94</v>
      </c>
      <c r="G1208" s="14">
        <v>45973</v>
      </c>
      <c r="H1208" s="14">
        <v>45978</v>
      </c>
      <c r="I1208">
        <v>4054</v>
      </c>
      <c r="J1208">
        <v>8976.93</v>
      </c>
      <c r="K1208">
        <v>221.43</v>
      </c>
      <c r="L1208">
        <v>44</v>
      </c>
      <c r="M1208" s="13" t="s">
        <v>3366</v>
      </c>
    </row>
    <row r="1209" spans="1:13" x14ac:dyDescent="0.35">
      <c r="A1209" s="13" t="s">
        <v>4597</v>
      </c>
      <c r="B1209" s="13" t="s">
        <v>283</v>
      </c>
      <c r="C1209" s="13" t="s">
        <v>284</v>
      </c>
      <c r="D1209" s="13" t="s">
        <v>92</v>
      </c>
      <c r="E1209" s="13" t="s">
        <v>104</v>
      </c>
      <c r="F1209" s="13" t="s">
        <v>106</v>
      </c>
      <c r="G1209" s="14">
        <v>45970</v>
      </c>
      <c r="H1209" s="14">
        <v>45979</v>
      </c>
      <c r="I1209">
        <v>4507.75</v>
      </c>
      <c r="J1209">
        <v>0</v>
      </c>
      <c r="K1209">
        <v>0</v>
      </c>
      <c r="L1209">
        <v>43</v>
      </c>
      <c r="M1209" s="13" t="s">
        <v>3512</v>
      </c>
    </row>
    <row r="1210" spans="1:13" x14ac:dyDescent="0.35">
      <c r="A1210" s="13" t="s">
        <v>4598</v>
      </c>
      <c r="B1210" s="13" t="s">
        <v>726</v>
      </c>
      <c r="C1210" s="13" t="s">
        <v>727</v>
      </c>
      <c r="D1210" s="13" t="s">
        <v>55</v>
      </c>
      <c r="E1210" s="13" t="s">
        <v>104</v>
      </c>
      <c r="F1210" s="13" t="s">
        <v>106</v>
      </c>
      <c r="G1210" s="14">
        <v>45977</v>
      </c>
      <c r="H1210" s="14">
        <v>45979</v>
      </c>
      <c r="I1210">
        <v>1248.27</v>
      </c>
      <c r="J1210">
        <v>4023.57</v>
      </c>
      <c r="K1210">
        <v>322.33</v>
      </c>
      <c r="L1210">
        <v>43</v>
      </c>
      <c r="M1210" s="13" t="s">
        <v>3366</v>
      </c>
    </row>
    <row r="1211" spans="1:13" x14ac:dyDescent="0.35">
      <c r="A1211" s="13" t="s">
        <v>4599</v>
      </c>
      <c r="B1211" s="13" t="s">
        <v>1001</v>
      </c>
      <c r="C1211" s="13" t="s">
        <v>1002</v>
      </c>
      <c r="D1211" s="13" t="s">
        <v>55</v>
      </c>
      <c r="E1211" s="13" t="s">
        <v>76</v>
      </c>
      <c r="F1211" s="13" t="s">
        <v>94</v>
      </c>
      <c r="G1211" s="14">
        <v>45967</v>
      </c>
      <c r="H1211" s="14">
        <v>45979</v>
      </c>
      <c r="I1211">
        <v>671.72</v>
      </c>
      <c r="J1211">
        <v>1481.67</v>
      </c>
      <c r="K1211">
        <v>220.58</v>
      </c>
      <c r="L1211">
        <v>43</v>
      </c>
      <c r="M1211" s="13" t="s">
        <v>3366</v>
      </c>
    </row>
    <row r="1212" spans="1:13" x14ac:dyDescent="0.35">
      <c r="A1212" s="13" t="s">
        <v>4600</v>
      </c>
      <c r="B1212" s="13" t="s">
        <v>277</v>
      </c>
      <c r="C1212" s="13" t="s">
        <v>278</v>
      </c>
      <c r="D1212" s="13" t="s">
        <v>92</v>
      </c>
      <c r="E1212" s="13" t="s">
        <v>104</v>
      </c>
      <c r="F1212" s="13" t="s">
        <v>106</v>
      </c>
      <c r="G1212" s="14">
        <v>45957</v>
      </c>
      <c r="H1212" s="14">
        <v>45980</v>
      </c>
      <c r="I1212">
        <v>1179.5899999999999</v>
      </c>
      <c r="J1212">
        <v>0</v>
      </c>
      <c r="K1212">
        <v>0</v>
      </c>
      <c r="L1212">
        <v>42</v>
      </c>
      <c r="M1212" s="13" t="s">
        <v>3512</v>
      </c>
    </row>
    <row r="1213" spans="1:13" x14ac:dyDescent="0.35">
      <c r="A1213" s="13" t="s">
        <v>4601</v>
      </c>
      <c r="B1213" s="13" t="s">
        <v>584</v>
      </c>
      <c r="C1213" s="13" t="s">
        <v>585</v>
      </c>
      <c r="D1213" s="13" t="s">
        <v>67</v>
      </c>
      <c r="E1213" s="13" t="s">
        <v>104</v>
      </c>
      <c r="F1213" s="13" t="s">
        <v>122</v>
      </c>
      <c r="G1213" s="14">
        <v>45966</v>
      </c>
      <c r="H1213" s="14">
        <v>45980</v>
      </c>
      <c r="I1213">
        <v>4007.97</v>
      </c>
      <c r="J1213">
        <v>13096.49</v>
      </c>
      <c r="K1213">
        <v>326.76</v>
      </c>
      <c r="L1213">
        <v>42</v>
      </c>
      <c r="M1213" s="13" t="s">
        <v>3366</v>
      </c>
    </row>
    <row r="1214" spans="1:13" x14ac:dyDescent="0.35">
      <c r="A1214" s="13" t="s">
        <v>4602</v>
      </c>
      <c r="B1214" s="13" t="s">
        <v>1280</v>
      </c>
      <c r="C1214" s="13" t="s">
        <v>1281</v>
      </c>
      <c r="D1214" s="13" t="s">
        <v>67</v>
      </c>
      <c r="E1214" s="13" t="s">
        <v>104</v>
      </c>
      <c r="F1214" s="13" t="s">
        <v>122</v>
      </c>
      <c r="G1214" s="14">
        <v>45977</v>
      </c>
      <c r="H1214" s="14">
        <v>45980</v>
      </c>
      <c r="I1214">
        <v>2878.9</v>
      </c>
      <c r="J1214">
        <v>3164.4</v>
      </c>
      <c r="K1214">
        <v>109.92</v>
      </c>
      <c r="L1214">
        <v>42</v>
      </c>
      <c r="M1214" s="13" t="s">
        <v>3366</v>
      </c>
    </row>
    <row r="1215" spans="1:13" x14ac:dyDescent="0.35">
      <c r="A1215" s="13" t="s">
        <v>4603</v>
      </c>
      <c r="B1215" s="13" t="s">
        <v>1155</v>
      </c>
      <c r="C1215" s="13" t="s">
        <v>1156</v>
      </c>
      <c r="D1215" s="13" t="s">
        <v>67</v>
      </c>
      <c r="E1215" s="13" t="s">
        <v>52</v>
      </c>
      <c r="F1215" s="13" t="s">
        <v>87</v>
      </c>
      <c r="G1215" s="14">
        <v>45978</v>
      </c>
      <c r="H1215" s="14">
        <v>45981</v>
      </c>
      <c r="I1215">
        <v>618.54999999999995</v>
      </c>
      <c r="J1215">
        <v>669.6</v>
      </c>
      <c r="K1215">
        <v>108.25</v>
      </c>
      <c r="L1215">
        <v>41</v>
      </c>
      <c r="M1215" s="13" t="s">
        <v>3366</v>
      </c>
    </row>
    <row r="1216" spans="1:13" x14ac:dyDescent="0.35">
      <c r="A1216" s="13" t="s">
        <v>4604</v>
      </c>
      <c r="B1216" s="13" t="s">
        <v>296</v>
      </c>
      <c r="C1216" s="13" t="s">
        <v>297</v>
      </c>
      <c r="D1216" s="13" t="s">
        <v>92</v>
      </c>
      <c r="E1216" s="13" t="s">
        <v>104</v>
      </c>
      <c r="F1216" s="13" t="s">
        <v>106</v>
      </c>
      <c r="G1216" s="14">
        <v>45965</v>
      </c>
      <c r="H1216" s="14">
        <v>45981</v>
      </c>
      <c r="I1216">
        <v>845</v>
      </c>
      <c r="J1216">
        <v>0</v>
      </c>
      <c r="K1216">
        <v>0</v>
      </c>
      <c r="L1216">
        <v>41</v>
      </c>
      <c r="M1216" s="13" t="s">
        <v>3512</v>
      </c>
    </row>
    <row r="1217" spans="1:13" x14ac:dyDescent="0.35">
      <c r="A1217" s="13" t="s">
        <v>4605</v>
      </c>
      <c r="B1217" s="13" t="s">
        <v>293</v>
      </c>
      <c r="C1217" s="13" t="s">
        <v>294</v>
      </c>
      <c r="D1217" s="13" t="s">
        <v>92</v>
      </c>
      <c r="E1217" s="13" t="s">
        <v>104</v>
      </c>
      <c r="F1217" s="13" t="s">
        <v>122</v>
      </c>
      <c r="G1217" s="14">
        <v>45958</v>
      </c>
      <c r="H1217" s="14">
        <v>45981</v>
      </c>
      <c r="I1217">
        <v>2972.8</v>
      </c>
      <c r="J1217">
        <v>0</v>
      </c>
      <c r="K1217">
        <v>0</v>
      </c>
      <c r="L1217">
        <v>41</v>
      </c>
      <c r="M1217" s="13" t="s">
        <v>3512</v>
      </c>
    </row>
    <row r="1218" spans="1:13" x14ac:dyDescent="0.35">
      <c r="A1218" s="13" t="s">
        <v>4606</v>
      </c>
      <c r="B1218" s="13" t="s">
        <v>539</v>
      </c>
      <c r="C1218" s="13" t="s">
        <v>540</v>
      </c>
      <c r="D1218" s="13" t="s">
        <v>67</v>
      </c>
      <c r="E1218" s="13" t="s">
        <v>52</v>
      </c>
      <c r="F1218" s="13" t="s">
        <v>57</v>
      </c>
      <c r="G1218" s="14">
        <v>45976</v>
      </c>
      <c r="H1218" s="14">
        <v>45981</v>
      </c>
      <c r="I1218">
        <v>5386.49</v>
      </c>
      <c r="J1218">
        <v>12117.47</v>
      </c>
      <c r="K1218">
        <v>224.96</v>
      </c>
      <c r="L1218">
        <v>41</v>
      </c>
      <c r="M1218" s="13" t="s">
        <v>3366</v>
      </c>
    </row>
    <row r="1219" spans="1:13" x14ac:dyDescent="0.35">
      <c r="A1219" s="13" t="s">
        <v>4607</v>
      </c>
      <c r="B1219" s="13" t="s">
        <v>312</v>
      </c>
      <c r="C1219" s="13" t="s">
        <v>313</v>
      </c>
      <c r="D1219" s="13" t="s">
        <v>55</v>
      </c>
      <c r="E1219" s="13" t="s">
        <v>52</v>
      </c>
      <c r="F1219" s="13" t="s">
        <v>57</v>
      </c>
      <c r="G1219" s="14">
        <v>45971</v>
      </c>
      <c r="H1219" s="14">
        <v>45981</v>
      </c>
      <c r="I1219">
        <v>4667</v>
      </c>
      <c r="J1219">
        <v>29270.67</v>
      </c>
      <c r="K1219">
        <v>627.17999999999995</v>
      </c>
      <c r="L1219">
        <v>41</v>
      </c>
      <c r="M1219" s="13" t="s">
        <v>3366</v>
      </c>
    </row>
    <row r="1220" spans="1:13" x14ac:dyDescent="0.35">
      <c r="A1220" s="13" t="s">
        <v>4608</v>
      </c>
      <c r="B1220" s="13" t="s">
        <v>286</v>
      </c>
      <c r="C1220" s="13" t="s">
        <v>287</v>
      </c>
      <c r="D1220" s="13" t="s">
        <v>92</v>
      </c>
      <c r="E1220" s="13" t="s">
        <v>104</v>
      </c>
      <c r="F1220" s="13" t="s">
        <v>87</v>
      </c>
      <c r="G1220" s="14">
        <v>45963</v>
      </c>
      <c r="H1220" s="14">
        <v>45981</v>
      </c>
      <c r="I1220">
        <v>1623.19</v>
      </c>
      <c r="J1220">
        <v>0</v>
      </c>
      <c r="K1220">
        <v>0</v>
      </c>
      <c r="L1220">
        <v>41</v>
      </c>
      <c r="M1220" s="13" t="s">
        <v>3512</v>
      </c>
    </row>
    <row r="1221" spans="1:13" x14ac:dyDescent="0.35">
      <c r="A1221" s="13" t="s">
        <v>4609</v>
      </c>
      <c r="B1221" s="13" t="s">
        <v>244</v>
      </c>
      <c r="C1221" s="13" t="s">
        <v>245</v>
      </c>
      <c r="D1221" s="13" t="s">
        <v>55</v>
      </c>
      <c r="E1221" s="13" t="s">
        <v>52</v>
      </c>
      <c r="F1221" s="13" t="s">
        <v>87</v>
      </c>
      <c r="G1221" s="14">
        <v>45971</v>
      </c>
      <c r="H1221" s="14">
        <v>45982</v>
      </c>
      <c r="I1221">
        <v>11266.49</v>
      </c>
      <c r="J1221">
        <v>15510.57</v>
      </c>
      <c r="K1221">
        <v>137.66999999999999</v>
      </c>
      <c r="L1221">
        <v>40</v>
      </c>
      <c r="M1221" s="13" t="s">
        <v>3366</v>
      </c>
    </row>
    <row r="1222" spans="1:13" x14ac:dyDescent="0.35">
      <c r="A1222" s="13" t="s">
        <v>4610</v>
      </c>
      <c r="B1222" s="13" t="s">
        <v>1227</v>
      </c>
      <c r="C1222" s="13" t="s">
        <v>1228</v>
      </c>
      <c r="D1222" s="13" t="s">
        <v>55</v>
      </c>
      <c r="E1222" s="13" t="s">
        <v>76</v>
      </c>
      <c r="F1222" s="13" t="s">
        <v>94</v>
      </c>
      <c r="G1222" s="14">
        <v>45975</v>
      </c>
      <c r="H1222" s="14">
        <v>45982</v>
      </c>
      <c r="I1222">
        <v>3002.9</v>
      </c>
      <c r="J1222">
        <v>3128.85</v>
      </c>
      <c r="K1222">
        <v>104.19</v>
      </c>
      <c r="L1222">
        <v>40</v>
      </c>
      <c r="M1222" s="13" t="s">
        <v>3366</v>
      </c>
    </row>
    <row r="1223" spans="1:13" x14ac:dyDescent="0.35">
      <c r="A1223" s="13" t="s">
        <v>4611</v>
      </c>
      <c r="B1223" s="13" t="s">
        <v>290</v>
      </c>
      <c r="C1223" s="13" t="s">
        <v>291</v>
      </c>
      <c r="D1223" s="13" t="s">
        <v>92</v>
      </c>
      <c r="E1223" s="13" t="s">
        <v>104</v>
      </c>
      <c r="F1223" s="13" t="s">
        <v>122</v>
      </c>
      <c r="G1223" s="14">
        <v>45962</v>
      </c>
      <c r="H1223" s="14">
        <v>45982</v>
      </c>
      <c r="I1223">
        <v>2043.95</v>
      </c>
      <c r="J1223">
        <v>0</v>
      </c>
      <c r="K1223">
        <v>0</v>
      </c>
      <c r="L1223">
        <v>40</v>
      </c>
      <c r="M1223" s="13" t="s">
        <v>3512</v>
      </c>
    </row>
    <row r="1224" spans="1:13" x14ac:dyDescent="0.35">
      <c r="A1224" s="13" t="s">
        <v>4612</v>
      </c>
      <c r="B1224" s="13" t="s">
        <v>605</v>
      </c>
      <c r="C1224" s="13" t="s">
        <v>606</v>
      </c>
      <c r="D1224" s="13" t="s">
        <v>67</v>
      </c>
      <c r="E1224" s="13" t="s">
        <v>52</v>
      </c>
      <c r="F1224" s="13" t="s">
        <v>87</v>
      </c>
      <c r="G1224" s="14">
        <v>45979</v>
      </c>
      <c r="H1224" s="14">
        <v>45982</v>
      </c>
      <c r="I1224">
        <v>1623.03</v>
      </c>
      <c r="J1224">
        <v>1764.02</v>
      </c>
      <c r="K1224">
        <v>108.69</v>
      </c>
      <c r="L1224">
        <v>40</v>
      </c>
      <c r="M1224" s="13" t="s">
        <v>3366</v>
      </c>
    </row>
    <row r="1225" spans="1:13" x14ac:dyDescent="0.35">
      <c r="A1225" s="13" t="s">
        <v>4613</v>
      </c>
      <c r="B1225" s="13" t="s">
        <v>50</v>
      </c>
      <c r="C1225" s="13" t="s">
        <v>51</v>
      </c>
      <c r="D1225" s="13" t="s">
        <v>55</v>
      </c>
      <c r="E1225" s="13" t="s">
        <v>52</v>
      </c>
      <c r="F1225" s="13" t="s">
        <v>57</v>
      </c>
      <c r="G1225" s="14">
        <v>45960</v>
      </c>
      <c r="H1225" s="14">
        <v>45983</v>
      </c>
      <c r="I1225">
        <v>8780.89</v>
      </c>
      <c r="J1225">
        <v>11495.92</v>
      </c>
      <c r="K1225">
        <v>130.91999999999999</v>
      </c>
      <c r="L1225">
        <v>39</v>
      </c>
      <c r="M1225" s="13" t="s">
        <v>3366</v>
      </c>
    </row>
    <row r="1226" spans="1:13" x14ac:dyDescent="0.35">
      <c r="A1226" s="13" t="s">
        <v>4614</v>
      </c>
      <c r="B1226" s="13" t="s">
        <v>296</v>
      </c>
      <c r="C1226" s="13" t="s">
        <v>297</v>
      </c>
      <c r="D1226" s="13" t="s">
        <v>92</v>
      </c>
      <c r="E1226" s="13" t="s">
        <v>104</v>
      </c>
      <c r="F1226" s="13" t="s">
        <v>106</v>
      </c>
      <c r="G1226" s="14">
        <v>45967</v>
      </c>
      <c r="H1226" s="14">
        <v>45983</v>
      </c>
      <c r="I1226">
        <v>527.02</v>
      </c>
      <c r="J1226">
        <v>0</v>
      </c>
      <c r="K1226">
        <v>0</v>
      </c>
      <c r="L1226">
        <v>39</v>
      </c>
      <c r="M1226" s="13" t="s">
        <v>3512</v>
      </c>
    </row>
    <row r="1227" spans="1:13" x14ac:dyDescent="0.35">
      <c r="A1227" s="13" t="s">
        <v>4615</v>
      </c>
      <c r="B1227" s="13" t="s">
        <v>296</v>
      </c>
      <c r="C1227" s="13" t="s">
        <v>297</v>
      </c>
      <c r="D1227" s="13" t="s">
        <v>92</v>
      </c>
      <c r="E1227" s="13" t="s">
        <v>104</v>
      </c>
      <c r="F1227" s="13" t="s">
        <v>106</v>
      </c>
      <c r="G1227" s="14">
        <v>45962</v>
      </c>
      <c r="H1227" s="14">
        <v>45983</v>
      </c>
      <c r="I1227">
        <v>1214.0899999999999</v>
      </c>
      <c r="J1227">
        <v>0</v>
      </c>
      <c r="K1227">
        <v>0</v>
      </c>
      <c r="L1227">
        <v>39</v>
      </c>
      <c r="M1227" s="13" t="s">
        <v>3512</v>
      </c>
    </row>
    <row r="1228" spans="1:13" x14ac:dyDescent="0.35">
      <c r="A1228" s="13" t="s">
        <v>4616</v>
      </c>
      <c r="B1228" s="13" t="s">
        <v>386</v>
      </c>
      <c r="C1228" s="13" t="s">
        <v>387</v>
      </c>
      <c r="D1228" s="13" t="s">
        <v>67</v>
      </c>
      <c r="E1228" s="13" t="s">
        <v>52</v>
      </c>
      <c r="F1228" s="13" t="s">
        <v>57</v>
      </c>
      <c r="G1228" s="14">
        <v>45981</v>
      </c>
      <c r="H1228" s="14">
        <v>45983</v>
      </c>
      <c r="I1228">
        <v>1673.2</v>
      </c>
      <c r="J1228">
        <v>1720.67</v>
      </c>
      <c r="K1228">
        <v>102.84</v>
      </c>
      <c r="L1228">
        <v>39</v>
      </c>
      <c r="M1228" s="13" t="s">
        <v>3366</v>
      </c>
    </row>
    <row r="1229" spans="1:13" x14ac:dyDescent="0.35">
      <c r="A1229" s="13" t="s">
        <v>4617</v>
      </c>
      <c r="B1229" s="13" t="s">
        <v>156</v>
      </c>
      <c r="C1229" s="13" t="s">
        <v>157</v>
      </c>
      <c r="D1229" s="13" t="s">
        <v>92</v>
      </c>
      <c r="E1229" s="13" t="s">
        <v>52</v>
      </c>
      <c r="F1229" s="13" t="s">
        <v>57</v>
      </c>
      <c r="G1229" s="14">
        <v>45972</v>
      </c>
      <c r="H1229" s="14">
        <v>45983</v>
      </c>
      <c r="I1229">
        <v>2080.88</v>
      </c>
      <c r="J1229">
        <v>9778.64</v>
      </c>
      <c r="K1229">
        <v>469.93</v>
      </c>
      <c r="L1229">
        <v>39</v>
      </c>
      <c r="M1229" s="13" t="s">
        <v>3366</v>
      </c>
    </row>
    <row r="1230" spans="1:13" x14ac:dyDescent="0.35">
      <c r="A1230" s="13" t="s">
        <v>4618</v>
      </c>
      <c r="B1230" s="13" t="s">
        <v>481</v>
      </c>
      <c r="C1230" s="13" t="s">
        <v>482</v>
      </c>
      <c r="D1230" s="13" t="s">
        <v>67</v>
      </c>
      <c r="E1230" s="13" t="s">
        <v>76</v>
      </c>
      <c r="F1230" s="13" t="s">
        <v>80</v>
      </c>
      <c r="G1230" s="14">
        <v>45973</v>
      </c>
      <c r="H1230" s="14">
        <v>45983</v>
      </c>
      <c r="I1230">
        <v>4819.78</v>
      </c>
      <c r="J1230">
        <v>7106.86</v>
      </c>
      <c r="K1230">
        <v>147.44999999999999</v>
      </c>
      <c r="L1230">
        <v>39</v>
      </c>
      <c r="M1230" s="13" t="s">
        <v>3366</v>
      </c>
    </row>
    <row r="1231" spans="1:13" x14ac:dyDescent="0.35">
      <c r="A1231" s="13" t="s">
        <v>4619</v>
      </c>
      <c r="B1231" s="13" t="s">
        <v>1038</v>
      </c>
      <c r="C1231" s="13" t="s">
        <v>1039</v>
      </c>
      <c r="D1231" s="13" t="s">
        <v>67</v>
      </c>
      <c r="E1231" s="13" t="s">
        <v>52</v>
      </c>
      <c r="F1231" s="13" t="s">
        <v>57</v>
      </c>
      <c r="G1231" s="14">
        <v>45981</v>
      </c>
      <c r="H1231" s="14">
        <v>45983</v>
      </c>
      <c r="I1231">
        <v>1881.14</v>
      </c>
      <c r="J1231">
        <v>3448.48</v>
      </c>
      <c r="K1231">
        <v>183.32</v>
      </c>
      <c r="L1231">
        <v>39</v>
      </c>
      <c r="M1231" s="13" t="s">
        <v>3366</v>
      </c>
    </row>
    <row r="1232" spans="1:13" x14ac:dyDescent="0.35">
      <c r="A1232" s="13" t="s">
        <v>4620</v>
      </c>
      <c r="B1232" s="13" t="s">
        <v>1720</v>
      </c>
      <c r="C1232" s="13" t="s">
        <v>1721</v>
      </c>
      <c r="D1232" s="13" t="s">
        <v>67</v>
      </c>
      <c r="E1232" s="13" t="s">
        <v>104</v>
      </c>
      <c r="F1232" s="13" t="s">
        <v>106</v>
      </c>
      <c r="G1232" s="14">
        <v>45976</v>
      </c>
      <c r="H1232" s="14">
        <v>45983</v>
      </c>
      <c r="I1232">
        <v>1015.02</v>
      </c>
      <c r="J1232">
        <v>5515.66</v>
      </c>
      <c r="K1232">
        <v>543.4</v>
      </c>
      <c r="L1232">
        <v>39</v>
      </c>
      <c r="M1232" s="13" t="s">
        <v>3366</v>
      </c>
    </row>
    <row r="1233" spans="1:13" x14ac:dyDescent="0.35">
      <c r="A1233" s="13" t="s">
        <v>4621</v>
      </c>
      <c r="B1233" s="13" t="s">
        <v>277</v>
      </c>
      <c r="C1233" s="13" t="s">
        <v>278</v>
      </c>
      <c r="D1233" s="13" t="s">
        <v>92</v>
      </c>
      <c r="E1233" s="13" t="s">
        <v>104</v>
      </c>
      <c r="F1233" s="13" t="s">
        <v>106</v>
      </c>
      <c r="G1233" s="14">
        <v>45961</v>
      </c>
      <c r="H1233" s="14">
        <v>45983</v>
      </c>
      <c r="I1233">
        <v>1447.15</v>
      </c>
      <c r="J1233">
        <v>0</v>
      </c>
      <c r="K1233">
        <v>0</v>
      </c>
      <c r="L1233">
        <v>39</v>
      </c>
      <c r="M1233" s="13" t="s">
        <v>3512</v>
      </c>
    </row>
    <row r="1234" spans="1:13" x14ac:dyDescent="0.35">
      <c r="A1234" s="13" t="s">
        <v>4622</v>
      </c>
      <c r="B1234" s="13" t="s">
        <v>2642</v>
      </c>
      <c r="C1234" s="13" t="s">
        <v>2643</v>
      </c>
      <c r="D1234" s="13" t="s">
        <v>92</v>
      </c>
      <c r="E1234" s="13" t="s">
        <v>76</v>
      </c>
      <c r="F1234" s="13" t="s">
        <v>94</v>
      </c>
      <c r="G1234" s="14">
        <v>45973</v>
      </c>
      <c r="H1234" s="14">
        <v>45983</v>
      </c>
      <c r="I1234">
        <v>2627.27</v>
      </c>
      <c r="J1234">
        <v>2676</v>
      </c>
      <c r="K1234">
        <v>101.85</v>
      </c>
      <c r="L1234">
        <v>39</v>
      </c>
      <c r="M1234" s="13" t="s">
        <v>3366</v>
      </c>
    </row>
    <row r="1235" spans="1:13" x14ac:dyDescent="0.35">
      <c r="A1235" s="13" t="s">
        <v>4623</v>
      </c>
      <c r="B1235" s="13" t="s">
        <v>418</v>
      </c>
      <c r="C1235" s="13" t="s">
        <v>419</v>
      </c>
      <c r="D1235" s="13" t="s">
        <v>67</v>
      </c>
      <c r="E1235" s="13" t="s">
        <v>52</v>
      </c>
      <c r="F1235" s="13" t="s">
        <v>87</v>
      </c>
      <c r="G1235" s="14">
        <v>45973</v>
      </c>
      <c r="H1235" s="14">
        <v>45983</v>
      </c>
      <c r="I1235">
        <v>2235.67</v>
      </c>
      <c r="J1235">
        <v>4556.07</v>
      </c>
      <c r="K1235">
        <v>203.79</v>
      </c>
      <c r="L1235">
        <v>39</v>
      </c>
      <c r="M1235" s="13" t="s">
        <v>3366</v>
      </c>
    </row>
    <row r="1236" spans="1:13" x14ac:dyDescent="0.35">
      <c r="A1236" s="13" t="s">
        <v>4624</v>
      </c>
      <c r="B1236" s="13" t="s">
        <v>555</v>
      </c>
      <c r="C1236" s="13" t="s">
        <v>556</v>
      </c>
      <c r="D1236" s="13" t="s">
        <v>55</v>
      </c>
      <c r="E1236" s="13" t="s">
        <v>104</v>
      </c>
      <c r="F1236" s="13" t="s">
        <v>122</v>
      </c>
      <c r="G1236" s="14">
        <v>45973</v>
      </c>
      <c r="H1236" s="14">
        <v>45984</v>
      </c>
      <c r="I1236">
        <v>2351.83</v>
      </c>
      <c r="J1236">
        <v>3637.06</v>
      </c>
      <c r="K1236">
        <v>154.65</v>
      </c>
      <c r="L1236">
        <v>38</v>
      </c>
      <c r="M1236" s="13" t="s">
        <v>3366</v>
      </c>
    </row>
    <row r="1237" spans="1:13" x14ac:dyDescent="0.35">
      <c r="A1237" s="13" t="s">
        <v>4625</v>
      </c>
      <c r="B1237" s="13" t="s">
        <v>761</v>
      </c>
      <c r="C1237" s="13" t="s">
        <v>762</v>
      </c>
      <c r="D1237" s="13" t="s">
        <v>67</v>
      </c>
      <c r="E1237" s="13" t="s">
        <v>52</v>
      </c>
      <c r="F1237" s="13" t="s">
        <v>87</v>
      </c>
      <c r="G1237" s="14">
        <v>45978</v>
      </c>
      <c r="H1237" s="14">
        <v>45984</v>
      </c>
      <c r="I1237">
        <v>645.05999999999995</v>
      </c>
      <c r="J1237">
        <v>678.45</v>
      </c>
      <c r="K1237">
        <v>105.18</v>
      </c>
      <c r="L1237">
        <v>38</v>
      </c>
      <c r="M1237" s="13" t="s">
        <v>3366</v>
      </c>
    </row>
    <row r="1238" spans="1:13" x14ac:dyDescent="0.35">
      <c r="A1238" s="13" t="s">
        <v>4626</v>
      </c>
      <c r="B1238" s="13" t="s">
        <v>403</v>
      </c>
      <c r="C1238" s="13" t="s">
        <v>404</v>
      </c>
      <c r="D1238" s="13" t="s">
        <v>67</v>
      </c>
      <c r="E1238" s="13" t="s">
        <v>126</v>
      </c>
      <c r="F1238" s="13" t="s">
        <v>57</v>
      </c>
      <c r="G1238" s="14">
        <v>45978</v>
      </c>
      <c r="H1238" s="14">
        <v>45984</v>
      </c>
      <c r="I1238">
        <v>6596.59</v>
      </c>
      <c r="J1238">
        <v>6617.34</v>
      </c>
      <c r="K1238">
        <v>100.31</v>
      </c>
      <c r="L1238">
        <v>38</v>
      </c>
      <c r="M1238" s="13" t="s">
        <v>3366</v>
      </c>
    </row>
    <row r="1239" spans="1:13" x14ac:dyDescent="0.35">
      <c r="A1239" s="13" t="s">
        <v>4627</v>
      </c>
      <c r="B1239" s="13" t="s">
        <v>172</v>
      </c>
      <c r="C1239" s="13" t="s">
        <v>173</v>
      </c>
      <c r="D1239" s="13" t="s">
        <v>67</v>
      </c>
      <c r="E1239" s="13" t="s">
        <v>52</v>
      </c>
      <c r="F1239" s="13" t="s">
        <v>57</v>
      </c>
      <c r="G1239" s="14">
        <v>45976</v>
      </c>
      <c r="H1239" s="14">
        <v>45984</v>
      </c>
      <c r="I1239">
        <v>9697.1299999999992</v>
      </c>
      <c r="J1239">
        <v>28039.63</v>
      </c>
      <c r="K1239">
        <v>289.14999999999998</v>
      </c>
      <c r="L1239">
        <v>38</v>
      </c>
      <c r="M1239" s="13" t="s">
        <v>3366</v>
      </c>
    </row>
    <row r="1240" spans="1:13" x14ac:dyDescent="0.35">
      <c r="A1240" s="13" t="s">
        <v>4628</v>
      </c>
      <c r="B1240" s="13" t="s">
        <v>293</v>
      </c>
      <c r="C1240" s="13" t="s">
        <v>294</v>
      </c>
      <c r="D1240" s="13" t="s">
        <v>92</v>
      </c>
      <c r="E1240" s="13" t="s">
        <v>104</v>
      </c>
      <c r="F1240" s="13" t="s">
        <v>122</v>
      </c>
      <c r="G1240" s="14">
        <v>45965</v>
      </c>
      <c r="H1240" s="14">
        <v>45984</v>
      </c>
      <c r="I1240">
        <v>1270.6199999999999</v>
      </c>
      <c r="J1240">
        <v>0</v>
      </c>
      <c r="K1240">
        <v>0</v>
      </c>
      <c r="L1240">
        <v>38</v>
      </c>
      <c r="M1240" s="13" t="s">
        <v>3512</v>
      </c>
    </row>
    <row r="1241" spans="1:13" x14ac:dyDescent="0.35">
      <c r="A1241" s="13" t="s">
        <v>4629</v>
      </c>
      <c r="B1241" s="13" t="s">
        <v>159</v>
      </c>
      <c r="C1241" s="13" t="s">
        <v>160</v>
      </c>
      <c r="D1241" s="13" t="s">
        <v>67</v>
      </c>
      <c r="E1241" s="13" t="s">
        <v>104</v>
      </c>
      <c r="F1241" s="13" t="s">
        <v>106</v>
      </c>
      <c r="G1241" s="14">
        <v>45971</v>
      </c>
      <c r="H1241" s="14">
        <v>45984</v>
      </c>
      <c r="I1241">
        <v>8012.12</v>
      </c>
      <c r="J1241">
        <v>8045.45</v>
      </c>
      <c r="K1241">
        <v>100.42</v>
      </c>
      <c r="L1241">
        <v>38</v>
      </c>
      <c r="M1241" s="13" t="s">
        <v>3366</v>
      </c>
    </row>
    <row r="1242" spans="1:13" x14ac:dyDescent="0.35">
      <c r="A1242" s="13" t="s">
        <v>4630</v>
      </c>
      <c r="B1242" s="13" t="s">
        <v>69</v>
      </c>
      <c r="C1242" s="13" t="s">
        <v>70</v>
      </c>
      <c r="D1242" s="13" t="s">
        <v>55</v>
      </c>
      <c r="E1242" s="13" t="s">
        <v>52</v>
      </c>
      <c r="F1242" s="13" t="s">
        <v>57</v>
      </c>
      <c r="G1242" s="14">
        <v>45974</v>
      </c>
      <c r="H1242" s="14">
        <v>45985</v>
      </c>
      <c r="I1242">
        <v>2981.84</v>
      </c>
      <c r="J1242">
        <v>3011.57</v>
      </c>
      <c r="K1242">
        <v>101</v>
      </c>
      <c r="L1242">
        <v>37</v>
      </c>
      <c r="M1242" s="13" t="s">
        <v>3366</v>
      </c>
    </row>
    <row r="1243" spans="1:13" x14ac:dyDescent="0.35">
      <c r="A1243" s="13" t="s">
        <v>4631</v>
      </c>
      <c r="B1243" s="13" t="s">
        <v>216</v>
      </c>
      <c r="C1243" s="13" t="s">
        <v>217</v>
      </c>
      <c r="D1243" s="13" t="s">
        <v>67</v>
      </c>
      <c r="E1243" s="13" t="s">
        <v>52</v>
      </c>
      <c r="F1243" s="13" t="s">
        <v>87</v>
      </c>
      <c r="G1243" s="14">
        <v>45982</v>
      </c>
      <c r="H1243" s="14">
        <v>45985</v>
      </c>
      <c r="I1243">
        <v>1821.66</v>
      </c>
      <c r="J1243">
        <v>36004.76</v>
      </c>
      <c r="K1243">
        <v>1976.48</v>
      </c>
      <c r="L1243">
        <v>37</v>
      </c>
      <c r="M1243" s="13" t="s">
        <v>3366</v>
      </c>
    </row>
    <row r="1244" spans="1:13" x14ac:dyDescent="0.35">
      <c r="A1244" s="13" t="s">
        <v>4632</v>
      </c>
      <c r="B1244" s="13" t="s">
        <v>286</v>
      </c>
      <c r="C1244" s="13" t="s">
        <v>287</v>
      </c>
      <c r="D1244" s="13" t="s">
        <v>92</v>
      </c>
      <c r="E1244" s="13" t="s">
        <v>104</v>
      </c>
      <c r="F1244" s="13" t="s">
        <v>87</v>
      </c>
      <c r="G1244" s="14">
        <v>45971</v>
      </c>
      <c r="H1244" s="14">
        <v>45985</v>
      </c>
      <c r="I1244">
        <v>658.39</v>
      </c>
      <c r="J1244">
        <v>0</v>
      </c>
      <c r="K1244">
        <v>0</v>
      </c>
      <c r="L1244">
        <v>37</v>
      </c>
      <c r="M1244" s="13" t="s">
        <v>3512</v>
      </c>
    </row>
    <row r="1245" spans="1:13" x14ac:dyDescent="0.35">
      <c r="A1245" s="13" t="s">
        <v>4633</v>
      </c>
      <c r="B1245" s="13" t="s">
        <v>719</v>
      </c>
      <c r="C1245" s="13" t="s">
        <v>720</v>
      </c>
      <c r="D1245" s="13" t="s">
        <v>67</v>
      </c>
      <c r="E1245" s="13" t="s">
        <v>126</v>
      </c>
      <c r="F1245" s="13" t="s">
        <v>87</v>
      </c>
      <c r="G1245" s="14">
        <v>45978</v>
      </c>
      <c r="H1245" s="14">
        <v>45985</v>
      </c>
      <c r="I1245">
        <v>1037.43</v>
      </c>
      <c r="J1245">
        <v>1050.5899999999999</v>
      </c>
      <c r="K1245">
        <v>101.27</v>
      </c>
      <c r="L1245">
        <v>37</v>
      </c>
      <c r="M1245" s="13" t="s">
        <v>3366</v>
      </c>
    </row>
    <row r="1246" spans="1:13" x14ac:dyDescent="0.35">
      <c r="A1246" s="13" t="s">
        <v>4634</v>
      </c>
      <c r="B1246" s="13" t="s">
        <v>596</v>
      </c>
      <c r="C1246" s="13" t="s">
        <v>597</v>
      </c>
      <c r="D1246" s="13" t="s">
        <v>67</v>
      </c>
      <c r="E1246" s="13" t="s">
        <v>126</v>
      </c>
      <c r="F1246" s="13" t="s">
        <v>57</v>
      </c>
      <c r="G1246" s="14">
        <v>45982</v>
      </c>
      <c r="H1246" s="14">
        <v>45986</v>
      </c>
      <c r="I1246">
        <v>1914.86</v>
      </c>
      <c r="J1246">
        <v>6219.62</v>
      </c>
      <c r="K1246">
        <v>324.81</v>
      </c>
      <c r="L1246">
        <v>36</v>
      </c>
      <c r="M1246" s="13" t="s">
        <v>3366</v>
      </c>
    </row>
    <row r="1247" spans="1:13" x14ac:dyDescent="0.35">
      <c r="A1247" s="13" t="s">
        <v>4635</v>
      </c>
      <c r="B1247" s="13" t="s">
        <v>1247</v>
      </c>
      <c r="C1247" s="13" t="s">
        <v>1248</v>
      </c>
      <c r="D1247" s="13" t="s">
        <v>55</v>
      </c>
      <c r="E1247" s="13" t="s">
        <v>52</v>
      </c>
      <c r="F1247" s="13" t="s">
        <v>57</v>
      </c>
      <c r="G1247" s="14">
        <v>45975</v>
      </c>
      <c r="H1247" s="14">
        <v>45986</v>
      </c>
      <c r="I1247">
        <v>9221.99</v>
      </c>
      <c r="J1247">
        <v>14960.16</v>
      </c>
      <c r="K1247">
        <v>162.22</v>
      </c>
      <c r="L1247">
        <v>36</v>
      </c>
      <c r="M1247" s="13" t="s">
        <v>3366</v>
      </c>
    </row>
    <row r="1248" spans="1:13" x14ac:dyDescent="0.35">
      <c r="A1248" s="13" t="s">
        <v>4636</v>
      </c>
      <c r="B1248" s="13" t="s">
        <v>280</v>
      </c>
      <c r="C1248" s="13" t="s">
        <v>281</v>
      </c>
      <c r="D1248" s="13" t="s">
        <v>92</v>
      </c>
      <c r="E1248" s="13" t="s">
        <v>104</v>
      </c>
      <c r="F1248" s="13" t="s">
        <v>122</v>
      </c>
      <c r="G1248" s="14">
        <v>45969</v>
      </c>
      <c r="H1248" s="14">
        <v>45986</v>
      </c>
      <c r="I1248">
        <v>3861.45</v>
      </c>
      <c r="J1248">
        <v>0</v>
      </c>
      <c r="K1248">
        <v>0</v>
      </c>
      <c r="L1248">
        <v>36</v>
      </c>
      <c r="M1248" s="13" t="s">
        <v>3512</v>
      </c>
    </row>
    <row r="1249" spans="1:13" x14ac:dyDescent="0.35">
      <c r="A1249" s="13" t="s">
        <v>4637</v>
      </c>
      <c r="B1249" s="13" t="s">
        <v>550</v>
      </c>
      <c r="C1249" s="13" t="s">
        <v>551</v>
      </c>
      <c r="D1249" s="13" t="s">
        <v>55</v>
      </c>
      <c r="E1249" s="13" t="s">
        <v>104</v>
      </c>
      <c r="F1249" s="13" t="s">
        <v>122</v>
      </c>
      <c r="G1249" s="14">
        <v>45978</v>
      </c>
      <c r="H1249" s="14">
        <v>45986</v>
      </c>
      <c r="I1249">
        <v>2438.48</v>
      </c>
      <c r="J1249">
        <v>2671.04</v>
      </c>
      <c r="K1249">
        <v>109.54</v>
      </c>
      <c r="L1249">
        <v>36</v>
      </c>
      <c r="M1249" s="13" t="s">
        <v>3366</v>
      </c>
    </row>
    <row r="1250" spans="1:13" x14ac:dyDescent="0.35">
      <c r="A1250" s="13" t="s">
        <v>4638</v>
      </c>
      <c r="B1250" s="13" t="s">
        <v>1247</v>
      </c>
      <c r="C1250" s="13" t="s">
        <v>1248</v>
      </c>
      <c r="D1250" s="13" t="s">
        <v>55</v>
      </c>
      <c r="E1250" s="13" t="s">
        <v>52</v>
      </c>
      <c r="F1250" s="13" t="s">
        <v>57</v>
      </c>
      <c r="G1250" s="14">
        <v>45976</v>
      </c>
      <c r="H1250" s="14">
        <v>45987</v>
      </c>
      <c r="I1250">
        <v>4446.78</v>
      </c>
      <c r="J1250">
        <v>26345.41</v>
      </c>
      <c r="K1250">
        <v>592.46</v>
      </c>
      <c r="L1250">
        <v>35</v>
      </c>
      <c r="M1250" s="13" t="s">
        <v>3366</v>
      </c>
    </row>
    <row r="1251" spans="1:13" x14ac:dyDescent="0.35">
      <c r="A1251" s="13" t="s">
        <v>4639</v>
      </c>
      <c r="B1251" s="13" t="s">
        <v>2668</v>
      </c>
      <c r="C1251" s="13" t="s">
        <v>2669</v>
      </c>
      <c r="D1251" s="13" t="s">
        <v>55</v>
      </c>
      <c r="E1251" s="13" t="s">
        <v>104</v>
      </c>
      <c r="F1251" s="13" t="s">
        <v>122</v>
      </c>
      <c r="G1251" s="14">
        <v>45982</v>
      </c>
      <c r="H1251" s="14">
        <v>45987</v>
      </c>
      <c r="I1251">
        <v>7751.19</v>
      </c>
      <c r="J1251">
        <v>15989.7</v>
      </c>
      <c r="K1251">
        <v>206.29</v>
      </c>
      <c r="L1251">
        <v>35</v>
      </c>
      <c r="M1251" s="13" t="s">
        <v>3366</v>
      </c>
    </row>
    <row r="1252" spans="1:13" x14ac:dyDescent="0.35">
      <c r="A1252" s="13" t="s">
        <v>4640</v>
      </c>
      <c r="B1252" s="13" t="s">
        <v>3443</v>
      </c>
      <c r="C1252" s="13" t="s">
        <v>3444</v>
      </c>
      <c r="D1252" s="13" t="s">
        <v>55</v>
      </c>
      <c r="E1252" s="13" t="s">
        <v>104</v>
      </c>
      <c r="F1252" s="13" t="s">
        <v>106</v>
      </c>
      <c r="G1252" s="14">
        <v>45978</v>
      </c>
      <c r="H1252" s="14">
        <v>45988</v>
      </c>
      <c r="I1252">
        <v>5949.99</v>
      </c>
      <c r="J1252">
        <v>6193.01</v>
      </c>
      <c r="K1252">
        <v>104.08</v>
      </c>
      <c r="L1252">
        <v>34</v>
      </c>
      <c r="M1252" s="13" t="s">
        <v>3366</v>
      </c>
    </row>
    <row r="1253" spans="1:13" x14ac:dyDescent="0.35">
      <c r="A1253" s="13" t="s">
        <v>4641</v>
      </c>
      <c r="B1253" s="13" t="s">
        <v>177</v>
      </c>
      <c r="C1253" s="13" t="s">
        <v>178</v>
      </c>
      <c r="D1253" s="13" t="s">
        <v>67</v>
      </c>
      <c r="E1253" s="13" t="s">
        <v>52</v>
      </c>
      <c r="F1253" s="13" t="s">
        <v>57</v>
      </c>
      <c r="G1253" s="14">
        <v>45980</v>
      </c>
      <c r="H1253" s="14">
        <v>45988</v>
      </c>
      <c r="I1253">
        <v>927.52</v>
      </c>
      <c r="J1253">
        <v>25065.279999999999</v>
      </c>
      <c r="K1253">
        <v>2702.4</v>
      </c>
      <c r="L1253">
        <v>34</v>
      </c>
      <c r="M1253" s="13" t="s">
        <v>3366</v>
      </c>
    </row>
    <row r="1254" spans="1:13" x14ac:dyDescent="0.35">
      <c r="A1254" s="13" t="s">
        <v>4642</v>
      </c>
      <c r="B1254" s="13" t="s">
        <v>1749</v>
      </c>
      <c r="C1254" s="13" t="s">
        <v>1750</v>
      </c>
      <c r="D1254" s="13" t="s">
        <v>92</v>
      </c>
      <c r="E1254" s="13" t="s">
        <v>76</v>
      </c>
      <c r="F1254" s="13" t="s">
        <v>94</v>
      </c>
      <c r="G1254" s="14">
        <v>45967</v>
      </c>
      <c r="H1254" s="14">
        <v>45989</v>
      </c>
      <c r="I1254">
        <v>1335.1</v>
      </c>
      <c r="J1254">
        <v>0</v>
      </c>
      <c r="K1254">
        <v>0</v>
      </c>
      <c r="L1254">
        <v>33</v>
      </c>
      <c r="M1254" s="13" t="s">
        <v>3512</v>
      </c>
    </row>
    <row r="1255" spans="1:13" x14ac:dyDescent="0.35">
      <c r="A1255" s="13" t="s">
        <v>4643</v>
      </c>
      <c r="B1255" s="13" t="s">
        <v>558</v>
      </c>
      <c r="C1255" s="13" t="s">
        <v>559</v>
      </c>
      <c r="D1255" s="13" t="s">
        <v>55</v>
      </c>
      <c r="E1255" s="13" t="s">
        <v>52</v>
      </c>
      <c r="F1255" s="13" t="s">
        <v>57</v>
      </c>
      <c r="G1255" s="14">
        <v>45982</v>
      </c>
      <c r="H1255" s="14">
        <v>45989</v>
      </c>
      <c r="I1255">
        <v>3280.21</v>
      </c>
      <c r="J1255">
        <v>11975.67</v>
      </c>
      <c r="K1255">
        <v>365.09</v>
      </c>
      <c r="L1255">
        <v>33</v>
      </c>
      <c r="M1255" s="13" t="s">
        <v>3366</v>
      </c>
    </row>
    <row r="1256" spans="1:13" x14ac:dyDescent="0.35">
      <c r="A1256" s="13" t="s">
        <v>4644</v>
      </c>
      <c r="B1256" s="13" t="s">
        <v>259</v>
      </c>
      <c r="C1256" s="13" t="s">
        <v>260</v>
      </c>
      <c r="D1256" s="13" t="s">
        <v>67</v>
      </c>
      <c r="E1256" s="13" t="s">
        <v>104</v>
      </c>
      <c r="F1256" s="13" t="s">
        <v>122</v>
      </c>
      <c r="G1256" s="14">
        <v>45984</v>
      </c>
      <c r="H1256" s="14">
        <v>45989</v>
      </c>
      <c r="I1256">
        <v>6602.4</v>
      </c>
      <c r="J1256">
        <v>7223.96</v>
      </c>
      <c r="K1256">
        <v>109.41</v>
      </c>
      <c r="L1256">
        <v>33</v>
      </c>
      <c r="M1256" s="13" t="s">
        <v>3366</v>
      </c>
    </row>
    <row r="1257" spans="1:13" x14ac:dyDescent="0.35">
      <c r="A1257" s="13" t="s">
        <v>4645</v>
      </c>
      <c r="B1257" s="13" t="s">
        <v>162</v>
      </c>
      <c r="C1257" s="13" t="s">
        <v>163</v>
      </c>
      <c r="D1257" s="13" t="s">
        <v>67</v>
      </c>
      <c r="E1257" s="13" t="s">
        <v>76</v>
      </c>
      <c r="F1257" s="13" t="s">
        <v>80</v>
      </c>
      <c r="G1257" s="14">
        <v>45978</v>
      </c>
      <c r="H1257" s="14">
        <v>45989</v>
      </c>
      <c r="I1257">
        <v>2394.77</v>
      </c>
      <c r="J1257">
        <v>2577.4699999999998</v>
      </c>
      <c r="K1257">
        <v>107.63</v>
      </c>
      <c r="L1257">
        <v>33</v>
      </c>
      <c r="M1257" s="13" t="s">
        <v>3366</v>
      </c>
    </row>
    <row r="1258" spans="1:13" x14ac:dyDescent="0.35">
      <c r="A1258" s="13" t="s">
        <v>4646</v>
      </c>
      <c r="B1258" s="13" t="s">
        <v>69</v>
      </c>
      <c r="C1258" s="13" t="s">
        <v>70</v>
      </c>
      <c r="D1258" s="13" t="s">
        <v>55</v>
      </c>
      <c r="E1258" s="13" t="s">
        <v>52</v>
      </c>
      <c r="F1258" s="13" t="s">
        <v>57</v>
      </c>
      <c r="G1258" s="14">
        <v>45987</v>
      </c>
      <c r="H1258" s="14">
        <v>45990</v>
      </c>
      <c r="I1258">
        <v>4453.97</v>
      </c>
      <c r="J1258">
        <v>8803.69</v>
      </c>
      <c r="K1258">
        <v>197.66</v>
      </c>
      <c r="L1258">
        <v>32</v>
      </c>
      <c r="M1258" s="13" t="s">
        <v>3366</v>
      </c>
    </row>
    <row r="1259" spans="1:13" x14ac:dyDescent="0.35">
      <c r="A1259" s="13" t="s">
        <v>4647</v>
      </c>
      <c r="B1259" s="13" t="s">
        <v>1241</v>
      </c>
      <c r="C1259" s="13" t="s">
        <v>1242</v>
      </c>
      <c r="D1259" s="13" t="s">
        <v>55</v>
      </c>
      <c r="E1259" s="13" t="s">
        <v>76</v>
      </c>
      <c r="F1259" s="13" t="s">
        <v>94</v>
      </c>
      <c r="G1259" s="14">
        <v>45982</v>
      </c>
      <c r="H1259" s="14">
        <v>45990</v>
      </c>
      <c r="I1259">
        <v>1580.69</v>
      </c>
      <c r="J1259">
        <v>1728.3</v>
      </c>
      <c r="K1259">
        <v>109.34</v>
      </c>
      <c r="L1259">
        <v>32</v>
      </c>
      <c r="M1259" s="13" t="s">
        <v>3366</v>
      </c>
    </row>
    <row r="1260" spans="1:13" x14ac:dyDescent="0.35">
      <c r="A1260" s="13" t="s">
        <v>4648</v>
      </c>
      <c r="B1260" s="13" t="s">
        <v>825</v>
      </c>
      <c r="C1260" s="13" t="s">
        <v>826</v>
      </c>
      <c r="D1260" s="13" t="s">
        <v>55</v>
      </c>
      <c r="E1260" s="13" t="s">
        <v>104</v>
      </c>
      <c r="F1260" s="13" t="s">
        <v>106</v>
      </c>
      <c r="G1260" s="14">
        <v>45986</v>
      </c>
      <c r="H1260" s="14">
        <v>45990</v>
      </c>
      <c r="I1260">
        <v>4697.76</v>
      </c>
      <c r="J1260">
        <v>13755.19</v>
      </c>
      <c r="K1260">
        <v>292.8</v>
      </c>
      <c r="L1260">
        <v>32</v>
      </c>
      <c r="M1260" s="13" t="s">
        <v>3366</v>
      </c>
    </row>
    <row r="1261" spans="1:13" x14ac:dyDescent="0.35">
      <c r="A1261" s="13" t="s">
        <v>4649</v>
      </c>
      <c r="B1261" s="13" t="s">
        <v>1001</v>
      </c>
      <c r="C1261" s="13" t="s">
        <v>1002</v>
      </c>
      <c r="D1261" s="13" t="s">
        <v>55</v>
      </c>
      <c r="E1261" s="13" t="s">
        <v>76</v>
      </c>
      <c r="F1261" s="13" t="s">
        <v>94</v>
      </c>
      <c r="G1261" s="14">
        <v>45978</v>
      </c>
      <c r="H1261" s="14">
        <v>45990</v>
      </c>
      <c r="I1261">
        <v>4532.6499999999996</v>
      </c>
      <c r="J1261">
        <v>8703.06</v>
      </c>
      <c r="K1261">
        <v>192.01</v>
      </c>
      <c r="L1261">
        <v>32</v>
      </c>
      <c r="M1261" s="13" t="s">
        <v>3366</v>
      </c>
    </row>
    <row r="1262" spans="1:13" x14ac:dyDescent="0.35">
      <c r="A1262" s="13" t="s">
        <v>4650</v>
      </c>
      <c r="B1262" s="13" t="s">
        <v>1247</v>
      </c>
      <c r="C1262" s="13" t="s">
        <v>1248</v>
      </c>
      <c r="D1262" s="13" t="s">
        <v>55</v>
      </c>
      <c r="E1262" s="13" t="s">
        <v>52</v>
      </c>
      <c r="F1262" s="13" t="s">
        <v>57</v>
      </c>
      <c r="G1262" s="14">
        <v>45981</v>
      </c>
      <c r="H1262" s="14">
        <v>45991</v>
      </c>
      <c r="I1262">
        <v>2389.34</v>
      </c>
      <c r="J1262">
        <v>19148.21</v>
      </c>
      <c r="K1262">
        <v>801.4</v>
      </c>
      <c r="L1262">
        <v>31</v>
      </c>
      <c r="M1262" s="13" t="s">
        <v>3366</v>
      </c>
    </row>
    <row r="1263" spans="1:13" x14ac:dyDescent="0.35">
      <c r="A1263" s="13" t="s">
        <v>4651</v>
      </c>
      <c r="B1263" s="13" t="s">
        <v>474</v>
      </c>
      <c r="C1263" s="13" t="s">
        <v>475</v>
      </c>
      <c r="D1263" s="13" t="s">
        <v>67</v>
      </c>
      <c r="E1263" s="13" t="s">
        <v>126</v>
      </c>
      <c r="F1263" s="13" t="s">
        <v>57</v>
      </c>
      <c r="G1263" s="14">
        <v>45984</v>
      </c>
      <c r="H1263" s="14">
        <v>45991</v>
      </c>
      <c r="I1263">
        <v>3546.84</v>
      </c>
      <c r="J1263">
        <v>3771.45</v>
      </c>
      <c r="K1263">
        <v>106.33</v>
      </c>
      <c r="L1263">
        <v>31</v>
      </c>
      <c r="M1263" s="13" t="s">
        <v>3366</v>
      </c>
    </row>
    <row r="1264" spans="1:13" x14ac:dyDescent="0.35">
      <c r="A1264" s="13" t="s">
        <v>4652</v>
      </c>
      <c r="B1264" s="13" t="s">
        <v>418</v>
      </c>
      <c r="C1264" s="13" t="s">
        <v>419</v>
      </c>
      <c r="D1264" s="13" t="s">
        <v>67</v>
      </c>
      <c r="E1264" s="13" t="s">
        <v>52</v>
      </c>
      <c r="F1264" s="13" t="s">
        <v>87</v>
      </c>
      <c r="G1264" s="14">
        <v>45978</v>
      </c>
      <c r="H1264" s="14">
        <v>45992</v>
      </c>
      <c r="I1264">
        <v>16069.23</v>
      </c>
      <c r="J1264">
        <v>27087.95</v>
      </c>
      <c r="K1264">
        <v>168.57</v>
      </c>
      <c r="L1264">
        <v>30</v>
      </c>
      <c r="M1264" s="13" t="s">
        <v>3366</v>
      </c>
    </row>
    <row r="1265" spans="1:13" x14ac:dyDescent="0.35">
      <c r="A1265" s="13" t="s">
        <v>4653</v>
      </c>
      <c r="B1265" s="13" t="s">
        <v>2029</v>
      </c>
      <c r="C1265" s="13" t="s">
        <v>2030</v>
      </c>
      <c r="D1265" s="13" t="s">
        <v>67</v>
      </c>
      <c r="E1265" s="13" t="s">
        <v>76</v>
      </c>
      <c r="F1265" s="13" t="s">
        <v>80</v>
      </c>
      <c r="G1265" s="14">
        <v>45980</v>
      </c>
      <c r="H1265" s="14">
        <v>45992</v>
      </c>
      <c r="I1265">
        <v>879.31</v>
      </c>
      <c r="J1265">
        <v>959.64</v>
      </c>
      <c r="K1265">
        <v>109.14</v>
      </c>
      <c r="L1265">
        <v>30</v>
      </c>
      <c r="M1265" s="13" t="s">
        <v>3366</v>
      </c>
    </row>
    <row r="1266" spans="1:13" x14ac:dyDescent="0.35">
      <c r="A1266" s="13" t="s">
        <v>4654</v>
      </c>
      <c r="B1266" s="13" t="s">
        <v>343</v>
      </c>
      <c r="C1266" s="13" t="s">
        <v>344</v>
      </c>
      <c r="D1266" s="13" t="s">
        <v>67</v>
      </c>
      <c r="E1266" s="13" t="s">
        <v>104</v>
      </c>
      <c r="F1266" s="13" t="s">
        <v>106</v>
      </c>
      <c r="G1266" s="14">
        <v>45985</v>
      </c>
      <c r="H1266" s="14">
        <v>45992</v>
      </c>
      <c r="I1266">
        <v>2324.56</v>
      </c>
      <c r="J1266">
        <v>2567.5500000000002</v>
      </c>
      <c r="K1266">
        <v>110.45</v>
      </c>
      <c r="L1266">
        <v>30</v>
      </c>
      <c r="M1266" s="13" t="s">
        <v>3366</v>
      </c>
    </row>
    <row r="1267" spans="1:13" x14ac:dyDescent="0.35">
      <c r="A1267" s="13" t="s">
        <v>4655</v>
      </c>
      <c r="B1267" s="13" t="s">
        <v>290</v>
      </c>
      <c r="C1267" s="13" t="s">
        <v>291</v>
      </c>
      <c r="D1267" s="13" t="s">
        <v>92</v>
      </c>
      <c r="E1267" s="13" t="s">
        <v>104</v>
      </c>
      <c r="F1267" s="13" t="s">
        <v>122</v>
      </c>
      <c r="G1267" s="14">
        <v>45969</v>
      </c>
      <c r="H1267" s="14">
        <v>45993</v>
      </c>
      <c r="I1267">
        <v>1668.94</v>
      </c>
      <c r="J1267">
        <v>0</v>
      </c>
      <c r="K1267">
        <v>0</v>
      </c>
      <c r="L1267">
        <v>29</v>
      </c>
      <c r="M1267" s="13" t="s">
        <v>3512</v>
      </c>
    </row>
    <row r="1268" spans="1:13" x14ac:dyDescent="0.35">
      <c r="A1268" s="13" t="s">
        <v>4656</v>
      </c>
      <c r="B1268" s="13" t="s">
        <v>1444</v>
      </c>
      <c r="C1268" s="13" t="s">
        <v>1445</v>
      </c>
      <c r="D1268" s="13" t="s">
        <v>55</v>
      </c>
      <c r="E1268" s="13" t="s">
        <v>104</v>
      </c>
      <c r="F1268" s="13" t="s">
        <v>106</v>
      </c>
      <c r="G1268" s="14">
        <v>45988</v>
      </c>
      <c r="H1268" s="14">
        <v>45993</v>
      </c>
      <c r="I1268">
        <v>1463.61</v>
      </c>
      <c r="J1268">
        <v>1569.65</v>
      </c>
      <c r="K1268">
        <v>107.25</v>
      </c>
      <c r="L1268">
        <v>29</v>
      </c>
      <c r="M1268" s="13" t="s">
        <v>3366</v>
      </c>
    </row>
    <row r="1269" spans="1:13" x14ac:dyDescent="0.35">
      <c r="A1269" s="13" t="s">
        <v>4657</v>
      </c>
      <c r="B1269" s="13" t="s">
        <v>219</v>
      </c>
      <c r="C1269" s="13" t="s">
        <v>220</v>
      </c>
      <c r="D1269" s="13" t="s">
        <v>55</v>
      </c>
      <c r="E1269" s="13" t="s">
        <v>76</v>
      </c>
      <c r="F1269" s="13" t="s">
        <v>80</v>
      </c>
      <c r="G1269" s="14">
        <v>45989</v>
      </c>
      <c r="H1269" s="14">
        <v>45993</v>
      </c>
      <c r="I1269">
        <v>1840.63</v>
      </c>
      <c r="J1269">
        <v>6432.05</v>
      </c>
      <c r="K1269">
        <v>349.45</v>
      </c>
      <c r="L1269">
        <v>29</v>
      </c>
      <c r="M1269" s="13" t="s">
        <v>3366</v>
      </c>
    </row>
    <row r="1270" spans="1:13" x14ac:dyDescent="0.35">
      <c r="A1270" s="13" t="s">
        <v>4658</v>
      </c>
      <c r="B1270" s="13" t="s">
        <v>2138</v>
      </c>
      <c r="C1270" s="13" t="s">
        <v>2139</v>
      </c>
      <c r="D1270" s="13" t="s">
        <v>55</v>
      </c>
      <c r="E1270" s="13" t="s">
        <v>76</v>
      </c>
      <c r="F1270" s="13" t="s">
        <v>80</v>
      </c>
      <c r="G1270" s="14">
        <v>45989</v>
      </c>
      <c r="H1270" s="14">
        <v>45994</v>
      </c>
      <c r="I1270">
        <v>999.22</v>
      </c>
      <c r="J1270">
        <v>1007.54</v>
      </c>
      <c r="K1270">
        <v>100.83</v>
      </c>
      <c r="L1270">
        <v>28</v>
      </c>
      <c r="M1270" s="13" t="s">
        <v>3366</v>
      </c>
    </row>
    <row r="1271" spans="1:13" x14ac:dyDescent="0.35">
      <c r="A1271" s="13" t="s">
        <v>4659</v>
      </c>
      <c r="B1271" s="13" t="s">
        <v>1247</v>
      </c>
      <c r="C1271" s="13" t="s">
        <v>1248</v>
      </c>
      <c r="D1271" s="13" t="s">
        <v>55</v>
      </c>
      <c r="E1271" s="13" t="s">
        <v>52</v>
      </c>
      <c r="F1271" s="13" t="s">
        <v>57</v>
      </c>
      <c r="G1271" s="14">
        <v>45988</v>
      </c>
      <c r="H1271" s="14">
        <v>45994</v>
      </c>
      <c r="I1271">
        <v>4785.96</v>
      </c>
      <c r="J1271">
        <v>7762.96</v>
      </c>
      <c r="K1271">
        <v>162.19999999999999</v>
      </c>
      <c r="L1271">
        <v>28</v>
      </c>
      <c r="M1271" s="13" t="s">
        <v>3366</v>
      </c>
    </row>
    <row r="1272" spans="1:13" x14ac:dyDescent="0.35">
      <c r="A1272" s="13" t="s">
        <v>4660</v>
      </c>
      <c r="B1272" s="13" t="s">
        <v>286</v>
      </c>
      <c r="C1272" s="13" t="s">
        <v>287</v>
      </c>
      <c r="D1272" s="13" t="s">
        <v>92</v>
      </c>
      <c r="E1272" s="13" t="s">
        <v>104</v>
      </c>
      <c r="F1272" s="13" t="s">
        <v>87</v>
      </c>
      <c r="G1272" s="14">
        <v>45985</v>
      </c>
      <c r="H1272" s="14">
        <v>45994</v>
      </c>
      <c r="I1272">
        <v>5796.17</v>
      </c>
      <c r="J1272">
        <v>0</v>
      </c>
      <c r="K1272">
        <v>0</v>
      </c>
      <c r="L1272">
        <v>28</v>
      </c>
      <c r="M1272" s="13" t="s">
        <v>3512</v>
      </c>
    </row>
    <row r="1273" spans="1:13" x14ac:dyDescent="0.35">
      <c r="A1273" s="13" t="s">
        <v>4661</v>
      </c>
      <c r="B1273" s="13" t="s">
        <v>1644</v>
      </c>
      <c r="C1273" s="13" t="s">
        <v>1645</v>
      </c>
      <c r="D1273" s="13" t="s">
        <v>55</v>
      </c>
      <c r="E1273" s="13" t="s">
        <v>76</v>
      </c>
      <c r="F1273" s="13" t="s">
        <v>80</v>
      </c>
      <c r="G1273" s="14">
        <v>45981</v>
      </c>
      <c r="H1273" s="14">
        <v>45994</v>
      </c>
      <c r="I1273">
        <v>3377.75</v>
      </c>
      <c r="J1273">
        <v>4215.7</v>
      </c>
      <c r="K1273">
        <v>124.81</v>
      </c>
      <c r="L1273">
        <v>28</v>
      </c>
      <c r="M1273" s="13" t="s">
        <v>3366</v>
      </c>
    </row>
    <row r="1274" spans="1:13" x14ac:dyDescent="0.35">
      <c r="A1274" s="13" t="s">
        <v>4662</v>
      </c>
      <c r="B1274" s="13" t="s">
        <v>2511</v>
      </c>
      <c r="C1274" s="13" t="s">
        <v>2512</v>
      </c>
      <c r="D1274" s="13" t="s">
        <v>92</v>
      </c>
      <c r="E1274" s="13" t="s">
        <v>104</v>
      </c>
      <c r="F1274" s="13" t="s">
        <v>122</v>
      </c>
      <c r="G1274" s="14">
        <v>45988</v>
      </c>
      <c r="H1274" s="14">
        <v>45994</v>
      </c>
      <c r="I1274">
        <v>2584.9499999999998</v>
      </c>
      <c r="J1274">
        <v>2706.37</v>
      </c>
      <c r="K1274">
        <v>104.7</v>
      </c>
      <c r="L1274">
        <v>28</v>
      </c>
      <c r="M1274" s="13" t="s">
        <v>3366</v>
      </c>
    </row>
    <row r="1275" spans="1:13" x14ac:dyDescent="0.35">
      <c r="A1275" s="13" t="s">
        <v>4663</v>
      </c>
      <c r="B1275" s="13" t="s">
        <v>113</v>
      </c>
      <c r="C1275" s="13" t="s">
        <v>114</v>
      </c>
      <c r="D1275" s="13" t="s">
        <v>92</v>
      </c>
      <c r="E1275" s="13" t="s">
        <v>52</v>
      </c>
      <c r="F1275" s="13" t="s">
        <v>87</v>
      </c>
      <c r="G1275" s="14">
        <v>45983</v>
      </c>
      <c r="H1275" s="14">
        <v>45994</v>
      </c>
      <c r="I1275">
        <v>14746.8</v>
      </c>
      <c r="J1275">
        <v>21005.41</v>
      </c>
      <c r="K1275">
        <v>142.44</v>
      </c>
      <c r="L1275">
        <v>28</v>
      </c>
      <c r="M1275" s="13" t="s">
        <v>3366</v>
      </c>
    </row>
    <row r="1276" spans="1:13" x14ac:dyDescent="0.35">
      <c r="A1276" s="13" t="s">
        <v>4664</v>
      </c>
      <c r="B1276" s="13" t="s">
        <v>280</v>
      </c>
      <c r="C1276" s="13" t="s">
        <v>281</v>
      </c>
      <c r="D1276" s="13" t="s">
        <v>92</v>
      </c>
      <c r="E1276" s="13" t="s">
        <v>104</v>
      </c>
      <c r="F1276" s="13" t="s">
        <v>122</v>
      </c>
      <c r="G1276" s="14">
        <v>45984</v>
      </c>
      <c r="H1276" s="14">
        <v>45994</v>
      </c>
      <c r="I1276">
        <v>2176.27</v>
      </c>
      <c r="J1276">
        <v>0</v>
      </c>
      <c r="K1276">
        <v>0</v>
      </c>
      <c r="L1276">
        <v>28</v>
      </c>
      <c r="M1276" s="13" t="s">
        <v>3512</v>
      </c>
    </row>
    <row r="1277" spans="1:13" x14ac:dyDescent="0.35">
      <c r="A1277" s="13" t="s">
        <v>4665</v>
      </c>
      <c r="B1277" s="13" t="s">
        <v>1749</v>
      </c>
      <c r="C1277" s="13" t="s">
        <v>1750</v>
      </c>
      <c r="D1277" s="13" t="s">
        <v>92</v>
      </c>
      <c r="E1277" s="13" t="s">
        <v>76</v>
      </c>
      <c r="F1277" s="13" t="s">
        <v>94</v>
      </c>
      <c r="G1277" s="14">
        <v>45982</v>
      </c>
      <c r="H1277" s="14">
        <v>45995</v>
      </c>
      <c r="I1277">
        <v>1204.1300000000001</v>
      </c>
      <c r="J1277">
        <v>1300.67</v>
      </c>
      <c r="K1277">
        <v>108.02</v>
      </c>
      <c r="L1277">
        <v>27</v>
      </c>
      <c r="M1277" s="13" t="s">
        <v>3366</v>
      </c>
    </row>
    <row r="1278" spans="1:13" x14ac:dyDescent="0.35">
      <c r="A1278" s="13" t="s">
        <v>4666</v>
      </c>
      <c r="B1278" s="13" t="s">
        <v>263</v>
      </c>
      <c r="C1278" s="13" t="s">
        <v>264</v>
      </c>
      <c r="D1278" s="13" t="s">
        <v>55</v>
      </c>
      <c r="E1278" s="13" t="s">
        <v>52</v>
      </c>
      <c r="F1278" s="13" t="s">
        <v>87</v>
      </c>
      <c r="G1278" s="14">
        <v>45988</v>
      </c>
      <c r="H1278" s="14">
        <v>45995</v>
      </c>
      <c r="I1278">
        <v>4257.2700000000004</v>
      </c>
      <c r="J1278">
        <v>4547.1899999999996</v>
      </c>
      <c r="K1278">
        <v>106.81</v>
      </c>
      <c r="L1278">
        <v>27</v>
      </c>
      <c r="M1278" s="13" t="s">
        <v>3366</v>
      </c>
    </row>
    <row r="1279" spans="1:13" x14ac:dyDescent="0.35">
      <c r="A1279" s="13" t="s">
        <v>4667</v>
      </c>
      <c r="B1279" s="13" t="s">
        <v>1963</v>
      </c>
      <c r="C1279" s="13" t="s">
        <v>1964</v>
      </c>
      <c r="D1279" s="13" t="s">
        <v>55</v>
      </c>
      <c r="E1279" s="13" t="s">
        <v>104</v>
      </c>
      <c r="F1279" s="13" t="s">
        <v>122</v>
      </c>
      <c r="G1279" s="14">
        <v>45985</v>
      </c>
      <c r="H1279" s="14">
        <v>45995</v>
      </c>
      <c r="I1279">
        <v>2009.38</v>
      </c>
      <c r="J1279">
        <v>4388.28</v>
      </c>
      <c r="K1279">
        <v>218.39</v>
      </c>
      <c r="L1279">
        <v>27</v>
      </c>
      <c r="M1279" s="13" t="s">
        <v>3366</v>
      </c>
    </row>
    <row r="1280" spans="1:13" x14ac:dyDescent="0.35">
      <c r="A1280" s="13" t="s">
        <v>4668</v>
      </c>
      <c r="B1280" s="13" t="s">
        <v>156</v>
      </c>
      <c r="C1280" s="13" t="s">
        <v>157</v>
      </c>
      <c r="D1280" s="13" t="s">
        <v>92</v>
      </c>
      <c r="E1280" s="13" t="s">
        <v>52</v>
      </c>
      <c r="F1280" s="13" t="s">
        <v>57</v>
      </c>
      <c r="G1280" s="14">
        <v>45993</v>
      </c>
      <c r="H1280" s="14">
        <v>45995</v>
      </c>
      <c r="I1280">
        <v>6407.45</v>
      </c>
      <c r="J1280">
        <v>24702.31</v>
      </c>
      <c r="K1280">
        <v>385.52</v>
      </c>
      <c r="L1280">
        <v>27</v>
      </c>
      <c r="M1280" s="13" t="s">
        <v>3366</v>
      </c>
    </row>
    <row r="1281" spans="1:13" x14ac:dyDescent="0.35">
      <c r="A1281" s="13" t="s">
        <v>4669</v>
      </c>
      <c r="B1281" s="13" t="s">
        <v>119</v>
      </c>
      <c r="C1281" s="13" t="s">
        <v>120</v>
      </c>
      <c r="D1281" s="13" t="s">
        <v>55</v>
      </c>
      <c r="E1281" s="13" t="s">
        <v>104</v>
      </c>
      <c r="F1281" s="13" t="s">
        <v>122</v>
      </c>
      <c r="G1281" s="14">
        <v>45990</v>
      </c>
      <c r="H1281" s="14">
        <v>45995</v>
      </c>
      <c r="I1281">
        <v>1159.27</v>
      </c>
      <c r="J1281">
        <v>1242.5999999999999</v>
      </c>
      <c r="K1281">
        <v>107.19</v>
      </c>
      <c r="L1281">
        <v>27</v>
      </c>
      <c r="M1281" s="13" t="s">
        <v>3366</v>
      </c>
    </row>
    <row r="1282" spans="1:13" x14ac:dyDescent="0.35">
      <c r="A1282" s="13" t="s">
        <v>4670</v>
      </c>
      <c r="B1282" s="13" t="s">
        <v>1285</v>
      </c>
      <c r="C1282" s="13" t="s">
        <v>1286</v>
      </c>
      <c r="D1282" s="13" t="s">
        <v>55</v>
      </c>
      <c r="E1282" s="13" t="s">
        <v>76</v>
      </c>
      <c r="F1282" s="13" t="s">
        <v>80</v>
      </c>
      <c r="G1282" s="14">
        <v>45984</v>
      </c>
      <c r="H1282" s="14">
        <v>45996</v>
      </c>
      <c r="I1282">
        <v>4208.16</v>
      </c>
      <c r="J1282">
        <v>4557.13</v>
      </c>
      <c r="K1282">
        <v>108.29</v>
      </c>
      <c r="L1282">
        <v>26</v>
      </c>
      <c r="M1282" s="13" t="s">
        <v>3366</v>
      </c>
    </row>
    <row r="1283" spans="1:13" x14ac:dyDescent="0.35">
      <c r="A1283" s="13" t="s">
        <v>4671</v>
      </c>
      <c r="B1283" s="13" t="s">
        <v>244</v>
      </c>
      <c r="C1283" s="13" t="s">
        <v>245</v>
      </c>
      <c r="D1283" s="13" t="s">
        <v>55</v>
      </c>
      <c r="E1283" s="13" t="s">
        <v>52</v>
      </c>
      <c r="F1283" s="13" t="s">
        <v>87</v>
      </c>
      <c r="G1283" s="14">
        <v>45992</v>
      </c>
      <c r="H1283" s="14">
        <v>45996</v>
      </c>
      <c r="I1283">
        <v>2565.02</v>
      </c>
      <c r="J1283">
        <v>7918.02</v>
      </c>
      <c r="K1283">
        <v>308.69</v>
      </c>
      <c r="L1283">
        <v>26</v>
      </c>
      <c r="M1283" s="13" t="s">
        <v>3366</v>
      </c>
    </row>
    <row r="1284" spans="1:13" x14ac:dyDescent="0.35">
      <c r="A1284" s="13" t="s">
        <v>4672</v>
      </c>
      <c r="B1284" s="13" t="s">
        <v>499</v>
      </c>
      <c r="C1284" s="13" t="s">
        <v>500</v>
      </c>
      <c r="D1284" s="13" t="s">
        <v>67</v>
      </c>
      <c r="E1284" s="13" t="s">
        <v>104</v>
      </c>
      <c r="F1284" s="13" t="s">
        <v>106</v>
      </c>
      <c r="G1284" s="14">
        <v>45984</v>
      </c>
      <c r="H1284" s="14">
        <v>45996</v>
      </c>
      <c r="I1284">
        <v>1368</v>
      </c>
      <c r="J1284">
        <v>1456.03</v>
      </c>
      <c r="K1284">
        <v>106.43</v>
      </c>
      <c r="L1284">
        <v>26</v>
      </c>
      <c r="M1284" s="13" t="s">
        <v>3366</v>
      </c>
    </row>
    <row r="1285" spans="1:13" x14ac:dyDescent="0.35">
      <c r="A1285" s="13" t="s">
        <v>4673</v>
      </c>
      <c r="B1285" s="13" t="s">
        <v>63</v>
      </c>
      <c r="C1285" s="13" t="s">
        <v>64</v>
      </c>
      <c r="D1285" s="13" t="s">
        <v>67</v>
      </c>
      <c r="E1285" s="13" t="s">
        <v>52</v>
      </c>
      <c r="F1285" s="13" t="s">
        <v>57</v>
      </c>
      <c r="G1285" s="14">
        <v>45990</v>
      </c>
      <c r="H1285" s="14">
        <v>45996</v>
      </c>
      <c r="I1285">
        <v>2724.48</v>
      </c>
      <c r="J1285">
        <v>2738.06</v>
      </c>
      <c r="K1285">
        <v>100.5</v>
      </c>
      <c r="L1285">
        <v>26</v>
      </c>
      <c r="M1285" s="13" t="s">
        <v>3366</v>
      </c>
    </row>
    <row r="1286" spans="1:13" x14ac:dyDescent="0.35">
      <c r="A1286" s="13" t="s">
        <v>4674</v>
      </c>
      <c r="B1286" s="13" t="s">
        <v>1842</v>
      </c>
      <c r="C1286" s="13" t="s">
        <v>1843</v>
      </c>
      <c r="D1286" s="13" t="s">
        <v>67</v>
      </c>
      <c r="E1286" s="13" t="s">
        <v>104</v>
      </c>
      <c r="F1286" s="13" t="s">
        <v>106</v>
      </c>
      <c r="G1286" s="14">
        <v>45991</v>
      </c>
      <c r="H1286" s="14">
        <v>45997</v>
      </c>
      <c r="I1286">
        <v>7446.57</v>
      </c>
      <c r="J1286">
        <v>7516.53</v>
      </c>
      <c r="K1286">
        <v>100.94</v>
      </c>
      <c r="L1286">
        <v>25</v>
      </c>
      <c r="M1286" s="13" t="s">
        <v>3366</v>
      </c>
    </row>
    <row r="1287" spans="1:13" x14ac:dyDescent="0.35">
      <c r="A1287" s="13" t="s">
        <v>4675</v>
      </c>
      <c r="B1287" s="13" t="s">
        <v>375</v>
      </c>
      <c r="C1287" s="13" t="s">
        <v>376</v>
      </c>
      <c r="D1287" s="13" t="s">
        <v>55</v>
      </c>
      <c r="E1287" s="13" t="s">
        <v>52</v>
      </c>
      <c r="F1287" s="13" t="s">
        <v>57</v>
      </c>
      <c r="G1287" s="14">
        <v>45992</v>
      </c>
      <c r="H1287" s="14">
        <v>45997</v>
      </c>
      <c r="I1287">
        <v>8013.17</v>
      </c>
      <c r="J1287">
        <v>25791.77</v>
      </c>
      <c r="K1287">
        <v>321.87</v>
      </c>
      <c r="L1287">
        <v>25</v>
      </c>
      <c r="M1287" s="13" t="s">
        <v>3366</v>
      </c>
    </row>
    <row r="1288" spans="1:13" x14ac:dyDescent="0.35">
      <c r="A1288" s="13" t="s">
        <v>4676</v>
      </c>
      <c r="B1288" s="13" t="s">
        <v>277</v>
      </c>
      <c r="C1288" s="13" t="s">
        <v>278</v>
      </c>
      <c r="D1288" s="13" t="s">
        <v>92</v>
      </c>
      <c r="E1288" s="13" t="s">
        <v>104</v>
      </c>
      <c r="F1288" s="13" t="s">
        <v>106</v>
      </c>
      <c r="G1288" s="14">
        <v>45973</v>
      </c>
      <c r="H1288" s="14">
        <v>45997</v>
      </c>
      <c r="I1288">
        <v>5103.0200000000004</v>
      </c>
      <c r="J1288">
        <v>0</v>
      </c>
      <c r="K1288">
        <v>0</v>
      </c>
      <c r="L1288">
        <v>25</v>
      </c>
      <c r="M1288" s="13" t="s">
        <v>3512</v>
      </c>
    </row>
    <row r="1289" spans="1:13" x14ac:dyDescent="0.35">
      <c r="A1289" s="13" t="s">
        <v>4677</v>
      </c>
      <c r="B1289" s="13" t="s">
        <v>1042</v>
      </c>
      <c r="C1289" s="13" t="s">
        <v>1043</v>
      </c>
      <c r="D1289" s="13" t="s">
        <v>67</v>
      </c>
      <c r="E1289" s="13" t="s">
        <v>104</v>
      </c>
      <c r="F1289" s="13" t="s">
        <v>122</v>
      </c>
      <c r="G1289" s="14">
        <v>45983</v>
      </c>
      <c r="H1289" s="14">
        <v>45997</v>
      </c>
      <c r="I1289">
        <v>7217.51</v>
      </c>
      <c r="J1289">
        <v>20390.740000000002</v>
      </c>
      <c r="K1289">
        <v>282.52</v>
      </c>
      <c r="L1289">
        <v>25</v>
      </c>
      <c r="M1289" s="13" t="s">
        <v>3366</v>
      </c>
    </row>
    <row r="1290" spans="1:13" x14ac:dyDescent="0.35">
      <c r="A1290" s="13" t="s">
        <v>4678</v>
      </c>
      <c r="B1290" s="13" t="s">
        <v>225</v>
      </c>
      <c r="C1290" s="13" t="s">
        <v>226</v>
      </c>
      <c r="D1290" s="13" t="s">
        <v>55</v>
      </c>
      <c r="E1290" s="13" t="s">
        <v>52</v>
      </c>
      <c r="F1290" s="13" t="s">
        <v>57</v>
      </c>
      <c r="G1290" s="14">
        <v>45994</v>
      </c>
      <c r="H1290" s="14">
        <v>45998</v>
      </c>
      <c r="I1290">
        <v>1589.26</v>
      </c>
      <c r="J1290">
        <v>10931.68</v>
      </c>
      <c r="K1290">
        <v>687.85</v>
      </c>
      <c r="L1290">
        <v>24</v>
      </c>
      <c r="M1290" s="13" t="s">
        <v>3366</v>
      </c>
    </row>
    <row r="1291" spans="1:13" x14ac:dyDescent="0.35">
      <c r="A1291" s="13" t="s">
        <v>4679</v>
      </c>
      <c r="B1291" s="13" t="s">
        <v>601</v>
      </c>
      <c r="C1291" s="13" t="s">
        <v>602</v>
      </c>
      <c r="D1291" s="13" t="s">
        <v>67</v>
      </c>
      <c r="E1291" s="13" t="s">
        <v>52</v>
      </c>
      <c r="F1291" s="13" t="s">
        <v>87</v>
      </c>
      <c r="G1291" s="14">
        <v>45993</v>
      </c>
      <c r="H1291" s="14">
        <v>45998</v>
      </c>
      <c r="I1291">
        <v>2151.84</v>
      </c>
      <c r="J1291">
        <v>2291.7199999999998</v>
      </c>
      <c r="K1291">
        <v>106.5</v>
      </c>
      <c r="L1291">
        <v>24</v>
      </c>
      <c r="M1291" s="13" t="s">
        <v>3366</v>
      </c>
    </row>
    <row r="1292" spans="1:13" x14ac:dyDescent="0.35">
      <c r="A1292" s="13" t="s">
        <v>4680</v>
      </c>
      <c r="B1292" s="13" t="s">
        <v>986</v>
      </c>
      <c r="C1292" s="13" t="s">
        <v>987</v>
      </c>
      <c r="D1292" s="13" t="s">
        <v>67</v>
      </c>
      <c r="E1292" s="13" t="s">
        <v>104</v>
      </c>
      <c r="F1292" s="13" t="s">
        <v>106</v>
      </c>
      <c r="G1292" s="14">
        <v>45984</v>
      </c>
      <c r="H1292" s="14">
        <v>45998</v>
      </c>
      <c r="I1292">
        <v>4438.26</v>
      </c>
      <c r="J1292">
        <v>4869.96</v>
      </c>
      <c r="K1292">
        <v>109.73</v>
      </c>
      <c r="L1292">
        <v>24</v>
      </c>
      <c r="M1292" s="13" t="s">
        <v>3366</v>
      </c>
    </row>
    <row r="1293" spans="1:13" x14ac:dyDescent="0.35">
      <c r="A1293" s="13" t="s">
        <v>4681</v>
      </c>
      <c r="B1293" s="13" t="s">
        <v>2043</v>
      </c>
      <c r="C1293" s="13" t="s">
        <v>2044</v>
      </c>
      <c r="D1293" s="13" t="s">
        <v>55</v>
      </c>
      <c r="E1293" s="13" t="s">
        <v>76</v>
      </c>
      <c r="F1293" s="13" t="s">
        <v>94</v>
      </c>
      <c r="G1293" s="14">
        <v>45992</v>
      </c>
      <c r="H1293" s="14">
        <v>45999</v>
      </c>
      <c r="I1293">
        <v>471.01</v>
      </c>
      <c r="J1293">
        <v>996.94</v>
      </c>
      <c r="K1293">
        <v>211.66</v>
      </c>
      <c r="L1293">
        <v>23</v>
      </c>
      <c r="M1293" s="13" t="s">
        <v>3366</v>
      </c>
    </row>
    <row r="1294" spans="1:13" x14ac:dyDescent="0.35">
      <c r="A1294" s="13" t="s">
        <v>4682</v>
      </c>
      <c r="B1294" s="13" t="s">
        <v>403</v>
      </c>
      <c r="C1294" s="13" t="s">
        <v>404</v>
      </c>
      <c r="D1294" s="13" t="s">
        <v>67</v>
      </c>
      <c r="E1294" s="13" t="s">
        <v>126</v>
      </c>
      <c r="F1294" s="13" t="s">
        <v>57</v>
      </c>
      <c r="G1294" s="14">
        <v>45995</v>
      </c>
      <c r="H1294" s="14">
        <v>45999</v>
      </c>
      <c r="I1294">
        <v>5137.25</v>
      </c>
      <c r="J1294">
        <v>5538.12</v>
      </c>
      <c r="K1294">
        <v>107.8</v>
      </c>
      <c r="L1294">
        <v>23</v>
      </c>
      <c r="M1294" s="13" t="s">
        <v>3366</v>
      </c>
    </row>
    <row r="1295" spans="1:13" x14ac:dyDescent="0.35">
      <c r="A1295" s="13" t="s">
        <v>4683</v>
      </c>
      <c r="B1295" s="13" t="s">
        <v>277</v>
      </c>
      <c r="C1295" s="13" t="s">
        <v>278</v>
      </c>
      <c r="D1295" s="13" t="s">
        <v>92</v>
      </c>
      <c r="E1295" s="13" t="s">
        <v>104</v>
      </c>
      <c r="F1295" s="13" t="s">
        <v>106</v>
      </c>
      <c r="G1295" s="14">
        <v>45982</v>
      </c>
      <c r="H1295" s="14">
        <v>45999</v>
      </c>
      <c r="I1295">
        <v>2078.81</v>
      </c>
      <c r="J1295">
        <v>0</v>
      </c>
      <c r="K1295">
        <v>0</v>
      </c>
      <c r="L1295">
        <v>23</v>
      </c>
      <c r="M1295" s="13" t="s">
        <v>3512</v>
      </c>
    </row>
    <row r="1296" spans="1:13" x14ac:dyDescent="0.35">
      <c r="A1296" s="13" t="s">
        <v>4684</v>
      </c>
      <c r="B1296" s="13" t="s">
        <v>506</v>
      </c>
      <c r="C1296" s="13" t="s">
        <v>507</v>
      </c>
      <c r="D1296" s="13" t="s">
        <v>67</v>
      </c>
      <c r="E1296" s="13" t="s">
        <v>126</v>
      </c>
      <c r="F1296" s="13" t="s">
        <v>87</v>
      </c>
      <c r="G1296" s="14">
        <v>45986</v>
      </c>
      <c r="H1296" s="14">
        <v>45999</v>
      </c>
      <c r="I1296">
        <v>8598.06</v>
      </c>
      <c r="J1296">
        <v>10019.030000000001</v>
      </c>
      <c r="K1296">
        <v>116.53</v>
      </c>
      <c r="L1296">
        <v>23</v>
      </c>
      <c r="M1296" s="13" t="s">
        <v>3366</v>
      </c>
    </row>
    <row r="1297" spans="1:13" x14ac:dyDescent="0.35">
      <c r="A1297" s="13" t="s">
        <v>4685</v>
      </c>
      <c r="B1297" s="13" t="s">
        <v>1296</v>
      </c>
      <c r="C1297" s="13" t="s">
        <v>1297</v>
      </c>
      <c r="D1297" s="13" t="s">
        <v>55</v>
      </c>
      <c r="E1297" s="13" t="s">
        <v>104</v>
      </c>
      <c r="F1297" s="13" t="s">
        <v>122</v>
      </c>
      <c r="G1297" s="14">
        <v>45990</v>
      </c>
      <c r="H1297" s="14">
        <v>46000</v>
      </c>
      <c r="I1297">
        <v>1047.18</v>
      </c>
      <c r="J1297">
        <v>9403.8799999999992</v>
      </c>
      <c r="K1297">
        <v>898.02</v>
      </c>
      <c r="L1297">
        <v>22</v>
      </c>
      <c r="M1297" s="13" t="s">
        <v>3366</v>
      </c>
    </row>
    <row r="1298" spans="1:13" x14ac:dyDescent="0.35">
      <c r="A1298" s="13" t="s">
        <v>4686</v>
      </c>
      <c r="B1298" s="13" t="s">
        <v>1102</v>
      </c>
      <c r="C1298" s="13" t="s">
        <v>1103</v>
      </c>
      <c r="D1298" s="13" t="s">
        <v>67</v>
      </c>
      <c r="E1298" s="13" t="s">
        <v>52</v>
      </c>
      <c r="F1298" s="13" t="s">
        <v>87</v>
      </c>
      <c r="G1298" s="14">
        <v>45993</v>
      </c>
      <c r="H1298" s="14">
        <v>46000</v>
      </c>
      <c r="I1298">
        <v>4666.2</v>
      </c>
      <c r="J1298">
        <v>9044.59</v>
      </c>
      <c r="K1298">
        <v>193.83</v>
      </c>
      <c r="L1298">
        <v>22</v>
      </c>
      <c r="M1298" s="13" t="s">
        <v>3366</v>
      </c>
    </row>
    <row r="1299" spans="1:13" x14ac:dyDescent="0.35">
      <c r="A1299" s="13" t="s">
        <v>4687</v>
      </c>
      <c r="B1299" s="13" t="s">
        <v>379</v>
      </c>
      <c r="C1299" s="13" t="s">
        <v>380</v>
      </c>
      <c r="D1299" s="13" t="s">
        <v>92</v>
      </c>
      <c r="E1299" s="13" t="s">
        <v>52</v>
      </c>
      <c r="F1299" s="13" t="s">
        <v>57</v>
      </c>
      <c r="G1299" s="14">
        <v>45991</v>
      </c>
      <c r="H1299" s="14">
        <v>46000</v>
      </c>
      <c r="I1299">
        <v>3848.61</v>
      </c>
      <c r="J1299">
        <v>0</v>
      </c>
      <c r="K1299">
        <v>0</v>
      </c>
      <c r="L1299">
        <v>22</v>
      </c>
      <c r="M1299" s="13" t="s">
        <v>3512</v>
      </c>
    </row>
    <row r="1300" spans="1:13" x14ac:dyDescent="0.35">
      <c r="A1300" s="13" t="s">
        <v>4688</v>
      </c>
      <c r="B1300" s="13" t="s">
        <v>890</v>
      </c>
      <c r="C1300" s="13" t="s">
        <v>891</v>
      </c>
      <c r="D1300" s="13" t="s">
        <v>67</v>
      </c>
      <c r="E1300" s="13" t="s">
        <v>76</v>
      </c>
      <c r="F1300" s="13" t="s">
        <v>80</v>
      </c>
      <c r="G1300" s="14">
        <v>45987</v>
      </c>
      <c r="H1300" s="14">
        <v>46000</v>
      </c>
      <c r="I1300">
        <v>964.08</v>
      </c>
      <c r="J1300">
        <v>2855.27</v>
      </c>
      <c r="K1300">
        <v>296.17</v>
      </c>
      <c r="L1300">
        <v>22</v>
      </c>
      <c r="M1300" s="13" t="s">
        <v>3366</v>
      </c>
    </row>
    <row r="1301" spans="1:13" x14ac:dyDescent="0.35">
      <c r="A1301" s="13" t="s">
        <v>4689</v>
      </c>
      <c r="B1301" s="13" t="s">
        <v>209</v>
      </c>
      <c r="C1301" s="13" t="s">
        <v>210</v>
      </c>
      <c r="D1301" s="13" t="s">
        <v>55</v>
      </c>
      <c r="E1301" s="13" t="s">
        <v>52</v>
      </c>
      <c r="F1301" s="13" t="s">
        <v>57</v>
      </c>
      <c r="G1301" s="14">
        <v>45995</v>
      </c>
      <c r="H1301" s="14">
        <v>46000</v>
      </c>
      <c r="I1301">
        <v>2910.69</v>
      </c>
      <c r="J1301">
        <v>3984.92</v>
      </c>
      <c r="K1301">
        <v>136.91</v>
      </c>
      <c r="L1301">
        <v>22</v>
      </c>
      <c r="M1301" s="13" t="s">
        <v>3366</v>
      </c>
    </row>
    <row r="1302" spans="1:13" x14ac:dyDescent="0.35">
      <c r="A1302" s="13" t="s">
        <v>4690</v>
      </c>
      <c r="B1302" s="13" t="s">
        <v>791</v>
      </c>
      <c r="C1302" s="13" t="s">
        <v>792</v>
      </c>
      <c r="D1302" s="13" t="s">
        <v>67</v>
      </c>
      <c r="E1302" s="13" t="s">
        <v>104</v>
      </c>
      <c r="F1302" s="13" t="s">
        <v>122</v>
      </c>
      <c r="G1302" s="14">
        <v>45995</v>
      </c>
      <c r="H1302" s="14">
        <v>46002</v>
      </c>
      <c r="I1302">
        <v>5634.23</v>
      </c>
      <c r="J1302">
        <v>5810.89</v>
      </c>
      <c r="K1302">
        <v>103.14</v>
      </c>
      <c r="L1302">
        <v>20</v>
      </c>
      <c r="M1302" s="13" t="s">
        <v>3366</v>
      </c>
    </row>
    <row r="1303" spans="1:13" x14ac:dyDescent="0.35">
      <c r="A1303" s="13" t="s">
        <v>4691</v>
      </c>
      <c r="B1303" s="13" t="s">
        <v>280</v>
      </c>
      <c r="C1303" s="13" t="s">
        <v>281</v>
      </c>
      <c r="D1303" s="13" t="s">
        <v>92</v>
      </c>
      <c r="E1303" s="13" t="s">
        <v>104</v>
      </c>
      <c r="F1303" s="13" t="s">
        <v>122</v>
      </c>
      <c r="G1303" s="14">
        <v>45990</v>
      </c>
      <c r="H1303" s="14">
        <v>46002</v>
      </c>
      <c r="I1303">
        <v>720.12</v>
      </c>
      <c r="J1303">
        <v>0</v>
      </c>
      <c r="K1303">
        <v>0</v>
      </c>
      <c r="L1303">
        <v>20</v>
      </c>
      <c r="M1303" s="13" t="s">
        <v>3512</v>
      </c>
    </row>
    <row r="1304" spans="1:13" x14ac:dyDescent="0.35">
      <c r="A1304" s="13" t="s">
        <v>4692</v>
      </c>
      <c r="B1304" s="13" t="s">
        <v>50</v>
      </c>
      <c r="C1304" s="13" t="s">
        <v>51</v>
      </c>
      <c r="D1304" s="13" t="s">
        <v>55</v>
      </c>
      <c r="E1304" s="13" t="s">
        <v>52</v>
      </c>
      <c r="F1304" s="13" t="s">
        <v>57</v>
      </c>
      <c r="G1304" s="14">
        <v>45989</v>
      </c>
      <c r="H1304" s="14">
        <v>46003</v>
      </c>
      <c r="I1304">
        <v>16319.94</v>
      </c>
      <c r="J1304">
        <v>19206.96</v>
      </c>
      <c r="K1304">
        <v>117.69</v>
      </c>
      <c r="L1304">
        <v>19</v>
      </c>
      <c r="M1304" s="13" t="s">
        <v>3366</v>
      </c>
    </row>
    <row r="1305" spans="1:13" x14ac:dyDescent="0.35">
      <c r="A1305" s="13" t="s">
        <v>4693</v>
      </c>
      <c r="B1305" s="13" t="s">
        <v>1097</v>
      </c>
      <c r="C1305" s="13" t="s">
        <v>1098</v>
      </c>
      <c r="D1305" s="13" t="s">
        <v>67</v>
      </c>
      <c r="E1305" s="13" t="s">
        <v>52</v>
      </c>
      <c r="F1305" s="13" t="s">
        <v>87</v>
      </c>
      <c r="G1305" s="14">
        <v>45994</v>
      </c>
      <c r="H1305" s="14">
        <v>46003</v>
      </c>
      <c r="I1305">
        <v>14097.33</v>
      </c>
      <c r="J1305">
        <v>28374.2</v>
      </c>
      <c r="K1305">
        <v>201.27</v>
      </c>
      <c r="L1305">
        <v>19</v>
      </c>
      <c r="M1305" s="13" t="s">
        <v>3366</v>
      </c>
    </row>
    <row r="1306" spans="1:13" x14ac:dyDescent="0.35">
      <c r="A1306" s="13" t="s">
        <v>4694</v>
      </c>
      <c r="B1306" s="13" t="s">
        <v>463</v>
      </c>
      <c r="C1306" s="13" t="s">
        <v>464</v>
      </c>
      <c r="D1306" s="13" t="s">
        <v>55</v>
      </c>
      <c r="E1306" s="13" t="s">
        <v>76</v>
      </c>
      <c r="F1306" s="13" t="s">
        <v>94</v>
      </c>
      <c r="G1306" s="14">
        <v>46001</v>
      </c>
      <c r="H1306" s="14">
        <v>46004</v>
      </c>
      <c r="I1306">
        <v>475.87</v>
      </c>
      <c r="J1306">
        <v>512.26</v>
      </c>
      <c r="K1306">
        <v>107.65</v>
      </c>
      <c r="L1306">
        <v>18</v>
      </c>
      <c r="M1306" s="13" t="s">
        <v>3366</v>
      </c>
    </row>
    <row r="1307" spans="1:13" x14ac:dyDescent="0.35">
      <c r="A1307" s="13" t="s">
        <v>4695</v>
      </c>
      <c r="B1307" s="13" t="s">
        <v>1120</v>
      </c>
      <c r="C1307" s="13" t="s">
        <v>1121</v>
      </c>
      <c r="D1307" s="13" t="s">
        <v>67</v>
      </c>
      <c r="E1307" s="13" t="s">
        <v>76</v>
      </c>
      <c r="F1307" s="13" t="s">
        <v>80</v>
      </c>
      <c r="G1307" s="14">
        <v>45996</v>
      </c>
      <c r="H1307" s="14">
        <v>46004</v>
      </c>
      <c r="I1307">
        <v>860.58</v>
      </c>
      <c r="J1307">
        <v>2653.81</v>
      </c>
      <c r="K1307">
        <v>308.37</v>
      </c>
      <c r="L1307">
        <v>18</v>
      </c>
      <c r="M1307" s="13" t="s">
        <v>3366</v>
      </c>
    </row>
    <row r="1308" spans="1:13" x14ac:dyDescent="0.35">
      <c r="A1308" s="13" t="s">
        <v>4696</v>
      </c>
      <c r="B1308" s="13" t="s">
        <v>168</v>
      </c>
      <c r="C1308" s="13" t="s">
        <v>169</v>
      </c>
      <c r="D1308" s="13" t="s">
        <v>67</v>
      </c>
      <c r="E1308" s="13" t="s">
        <v>52</v>
      </c>
      <c r="F1308" s="13" t="s">
        <v>57</v>
      </c>
      <c r="G1308" s="14">
        <v>45991</v>
      </c>
      <c r="H1308" s="14">
        <v>46004</v>
      </c>
      <c r="I1308">
        <v>6513.63</v>
      </c>
      <c r="J1308">
        <v>20080.2</v>
      </c>
      <c r="K1308">
        <v>308.27999999999997</v>
      </c>
      <c r="L1308">
        <v>18</v>
      </c>
      <c r="M1308" s="13" t="s">
        <v>3366</v>
      </c>
    </row>
    <row r="1309" spans="1:13" x14ac:dyDescent="0.35">
      <c r="A1309" s="13" t="s">
        <v>4697</v>
      </c>
      <c r="B1309" s="13" t="s">
        <v>280</v>
      </c>
      <c r="C1309" s="13" t="s">
        <v>281</v>
      </c>
      <c r="D1309" s="13" t="s">
        <v>92</v>
      </c>
      <c r="E1309" s="13" t="s">
        <v>104</v>
      </c>
      <c r="F1309" s="13" t="s">
        <v>122</v>
      </c>
      <c r="G1309" s="14">
        <v>45989</v>
      </c>
      <c r="H1309" s="14">
        <v>46004</v>
      </c>
      <c r="I1309">
        <v>449.8</v>
      </c>
      <c r="J1309">
        <v>0</v>
      </c>
      <c r="K1309">
        <v>0</v>
      </c>
      <c r="L1309">
        <v>18</v>
      </c>
      <c r="M1309" s="13" t="s">
        <v>3512</v>
      </c>
    </row>
    <row r="1310" spans="1:13" x14ac:dyDescent="0.35">
      <c r="A1310" s="13" t="s">
        <v>4698</v>
      </c>
      <c r="B1310" s="13" t="s">
        <v>1452</v>
      </c>
      <c r="C1310" s="13" t="s">
        <v>1453</v>
      </c>
      <c r="D1310" s="13" t="s">
        <v>92</v>
      </c>
      <c r="E1310" s="13" t="s">
        <v>76</v>
      </c>
      <c r="F1310" s="13" t="s">
        <v>94</v>
      </c>
      <c r="G1310" s="14">
        <v>45995</v>
      </c>
      <c r="H1310" s="14">
        <v>46005</v>
      </c>
      <c r="I1310">
        <v>1422.38</v>
      </c>
      <c r="J1310">
        <v>4539.05</v>
      </c>
      <c r="K1310">
        <v>319.12</v>
      </c>
      <c r="L1310">
        <v>17</v>
      </c>
      <c r="M1310" s="13" t="s">
        <v>3366</v>
      </c>
    </row>
    <row r="1311" spans="1:13" x14ac:dyDescent="0.35">
      <c r="A1311" s="13" t="s">
        <v>4699</v>
      </c>
      <c r="B1311" s="13" t="s">
        <v>1470</v>
      </c>
      <c r="C1311" s="13" t="s">
        <v>1471</v>
      </c>
      <c r="D1311" s="13" t="s">
        <v>67</v>
      </c>
      <c r="E1311" s="13" t="s">
        <v>52</v>
      </c>
      <c r="F1311" s="13" t="s">
        <v>87</v>
      </c>
      <c r="G1311" s="14">
        <v>46003</v>
      </c>
      <c r="H1311" s="14">
        <v>46005</v>
      </c>
      <c r="I1311">
        <v>1540.9</v>
      </c>
      <c r="J1311">
        <v>1625.9</v>
      </c>
      <c r="K1311">
        <v>105.52</v>
      </c>
      <c r="L1311">
        <v>17</v>
      </c>
      <c r="M1311" s="13" t="s">
        <v>3366</v>
      </c>
    </row>
    <row r="1312" spans="1:13" x14ac:dyDescent="0.35">
      <c r="A1312" s="13" t="s">
        <v>4700</v>
      </c>
      <c r="B1312" s="13" t="s">
        <v>1115</v>
      </c>
      <c r="C1312" s="13" t="s">
        <v>1116</v>
      </c>
      <c r="D1312" s="13" t="s">
        <v>92</v>
      </c>
      <c r="E1312" s="13" t="s">
        <v>52</v>
      </c>
      <c r="F1312" s="13" t="s">
        <v>57</v>
      </c>
      <c r="G1312" s="14">
        <v>45994</v>
      </c>
      <c r="H1312" s="14">
        <v>46005</v>
      </c>
      <c r="I1312">
        <v>1927.53</v>
      </c>
      <c r="J1312">
        <v>1933.88</v>
      </c>
      <c r="K1312">
        <v>100.33</v>
      </c>
      <c r="L1312">
        <v>17</v>
      </c>
      <c r="M1312" s="13" t="s">
        <v>3366</v>
      </c>
    </row>
    <row r="1313" spans="1:13" x14ac:dyDescent="0.35">
      <c r="A1313" s="13" t="s">
        <v>4701</v>
      </c>
      <c r="B1313" s="13" t="s">
        <v>1957</v>
      </c>
      <c r="C1313" s="13" t="s">
        <v>1958</v>
      </c>
      <c r="D1313" s="13" t="s">
        <v>55</v>
      </c>
      <c r="E1313" s="13" t="s">
        <v>76</v>
      </c>
      <c r="F1313" s="13" t="s">
        <v>94</v>
      </c>
      <c r="G1313" s="14">
        <v>45995</v>
      </c>
      <c r="H1313" s="14">
        <v>46005</v>
      </c>
      <c r="I1313">
        <v>799.62</v>
      </c>
      <c r="J1313">
        <v>1268.79</v>
      </c>
      <c r="K1313">
        <v>158.66999999999999</v>
      </c>
      <c r="L1313">
        <v>17</v>
      </c>
      <c r="M1313" s="13" t="s">
        <v>3366</v>
      </c>
    </row>
    <row r="1314" spans="1:13" x14ac:dyDescent="0.35">
      <c r="A1314" s="13" t="s">
        <v>4702</v>
      </c>
      <c r="B1314" s="13" t="s">
        <v>283</v>
      </c>
      <c r="C1314" s="13" t="s">
        <v>284</v>
      </c>
      <c r="D1314" s="13" t="s">
        <v>92</v>
      </c>
      <c r="E1314" s="13" t="s">
        <v>104</v>
      </c>
      <c r="F1314" s="13" t="s">
        <v>106</v>
      </c>
      <c r="G1314" s="14">
        <v>45988</v>
      </c>
      <c r="H1314" s="14">
        <v>46005</v>
      </c>
      <c r="I1314">
        <v>4699.24</v>
      </c>
      <c r="J1314">
        <v>0</v>
      </c>
      <c r="K1314">
        <v>0</v>
      </c>
      <c r="L1314">
        <v>17</v>
      </c>
      <c r="M1314" s="13" t="s">
        <v>3512</v>
      </c>
    </row>
    <row r="1315" spans="1:13" x14ac:dyDescent="0.35">
      <c r="A1315" s="13" t="s">
        <v>4703</v>
      </c>
      <c r="B1315" s="13" t="s">
        <v>899</v>
      </c>
      <c r="C1315" s="13" t="s">
        <v>900</v>
      </c>
      <c r="D1315" s="13" t="s">
        <v>92</v>
      </c>
      <c r="E1315" s="13" t="s">
        <v>76</v>
      </c>
      <c r="F1315" s="13" t="s">
        <v>94</v>
      </c>
      <c r="G1315" s="14">
        <v>45991</v>
      </c>
      <c r="H1315" s="14">
        <v>46005</v>
      </c>
      <c r="I1315">
        <v>2000.05</v>
      </c>
      <c r="J1315">
        <v>2008.61</v>
      </c>
      <c r="K1315">
        <v>100.43</v>
      </c>
      <c r="L1315">
        <v>17</v>
      </c>
      <c r="M1315" s="13" t="s">
        <v>3366</v>
      </c>
    </row>
    <row r="1316" spans="1:13" x14ac:dyDescent="0.35">
      <c r="A1316" s="13" t="s">
        <v>4704</v>
      </c>
      <c r="B1316" s="13" t="s">
        <v>2080</v>
      </c>
      <c r="C1316" s="13" t="s">
        <v>2081</v>
      </c>
      <c r="D1316" s="13" t="s">
        <v>55</v>
      </c>
      <c r="E1316" s="13" t="s">
        <v>104</v>
      </c>
      <c r="F1316" s="13" t="s">
        <v>57</v>
      </c>
      <c r="G1316" s="14">
        <v>45993</v>
      </c>
      <c r="H1316" s="14">
        <v>46006</v>
      </c>
      <c r="I1316">
        <v>2098.59</v>
      </c>
      <c r="J1316">
        <v>2211.11</v>
      </c>
      <c r="K1316">
        <v>105.36</v>
      </c>
      <c r="L1316">
        <v>16</v>
      </c>
      <c r="M1316" s="13" t="s">
        <v>3366</v>
      </c>
    </row>
    <row r="1317" spans="1:13" x14ac:dyDescent="0.35">
      <c r="A1317" s="13" t="s">
        <v>4705</v>
      </c>
      <c r="B1317" s="13" t="s">
        <v>280</v>
      </c>
      <c r="C1317" s="13" t="s">
        <v>281</v>
      </c>
      <c r="D1317" s="13" t="s">
        <v>92</v>
      </c>
      <c r="E1317" s="13" t="s">
        <v>104</v>
      </c>
      <c r="F1317" s="13" t="s">
        <v>122</v>
      </c>
      <c r="G1317" s="14">
        <v>45981</v>
      </c>
      <c r="H1317" s="14">
        <v>46006</v>
      </c>
      <c r="I1317">
        <v>878.48</v>
      </c>
      <c r="J1317">
        <v>0</v>
      </c>
      <c r="K1317">
        <v>0</v>
      </c>
      <c r="L1317">
        <v>16</v>
      </c>
      <c r="M1317" s="13" t="s">
        <v>3512</v>
      </c>
    </row>
    <row r="1318" spans="1:13" x14ac:dyDescent="0.35">
      <c r="A1318" s="13" t="s">
        <v>4706</v>
      </c>
      <c r="B1318" s="13" t="s">
        <v>791</v>
      </c>
      <c r="C1318" s="13" t="s">
        <v>792</v>
      </c>
      <c r="D1318" s="13" t="s">
        <v>67</v>
      </c>
      <c r="E1318" s="13" t="s">
        <v>104</v>
      </c>
      <c r="F1318" s="13" t="s">
        <v>122</v>
      </c>
      <c r="G1318" s="14">
        <v>45996</v>
      </c>
      <c r="H1318" s="14">
        <v>46007</v>
      </c>
      <c r="I1318">
        <v>1142.45</v>
      </c>
      <c r="J1318">
        <v>1252.3699999999999</v>
      </c>
      <c r="K1318">
        <v>109.62</v>
      </c>
      <c r="L1318">
        <v>15</v>
      </c>
      <c r="M1318" s="13" t="s">
        <v>3366</v>
      </c>
    </row>
    <row r="1319" spans="1:13" x14ac:dyDescent="0.35">
      <c r="A1319" s="13" t="s">
        <v>4707</v>
      </c>
      <c r="B1319" s="13" t="s">
        <v>293</v>
      </c>
      <c r="C1319" s="13" t="s">
        <v>294</v>
      </c>
      <c r="D1319" s="13" t="s">
        <v>92</v>
      </c>
      <c r="E1319" s="13" t="s">
        <v>104</v>
      </c>
      <c r="F1319" s="13" t="s">
        <v>122</v>
      </c>
      <c r="G1319" s="14">
        <v>45994</v>
      </c>
      <c r="H1319" s="14">
        <v>46007</v>
      </c>
      <c r="I1319">
        <v>573.42999999999995</v>
      </c>
      <c r="J1319">
        <v>0</v>
      </c>
      <c r="K1319">
        <v>0</v>
      </c>
      <c r="L1319">
        <v>15</v>
      </c>
      <c r="M1319" s="13" t="s">
        <v>3512</v>
      </c>
    </row>
    <row r="1320" spans="1:13" x14ac:dyDescent="0.35">
      <c r="A1320" s="13" t="s">
        <v>4708</v>
      </c>
      <c r="B1320" s="13" t="s">
        <v>244</v>
      </c>
      <c r="C1320" s="13" t="s">
        <v>245</v>
      </c>
      <c r="D1320" s="13" t="s">
        <v>55</v>
      </c>
      <c r="E1320" s="13" t="s">
        <v>52</v>
      </c>
      <c r="F1320" s="13" t="s">
        <v>87</v>
      </c>
      <c r="G1320" s="14">
        <v>45982</v>
      </c>
      <c r="H1320" s="14">
        <v>46007</v>
      </c>
      <c r="I1320">
        <v>7970.13</v>
      </c>
      <c r="J1320">
        <v>0</v>
      </c>
      <c r="K1320">
        <v>0</v>
      </c>
      <c r="L1320">
        <v>15</v>
      </c>
      <c r="M1320" s="13" t="s">
        <v>3512</v>
      </c>
    </row>
    <row r="1321" spans="1:13" x14ac:dyDescent="0.35">
      <c r="A1321" s="13" t="s">
        <v>4709</v>
      </c>
      <c r="B1321" s="13" t="s">
        <v>449</v>
      </c>
      <c r="C1321" s="13" t="s">
        <v>450</v>
      </c>
      <c r="D1321" s="13" t="s">
        <v>67</v>
      </c>
      <c r="E1321" s="13" t="s">
        <v>126</v>
      </c>
      <c r="F1321" s="13" t="s">
        <v>122</v>
      </c>
      <c r="G1321" s="14">
        <v>46003</v>
      </c>
      <c r="H1321" s="14">
        <v>46007</v>
      </c>
      <c r="I1321">
        <v>4886.49</v>
      </c>
      <c r="J1321">
        <v>5387.43</v>
      </c>
      <c r="K1321">
        <v>110.25</v>
      </c>
      <c r="L1321">
        <v>15</v>
      </c>
      <c r="M1321" s="13" t="s">
        <v>3366</v>
      </c>
    </row>
    <row r="1322" spans="1:13" x14ac:dyDescent="0.35">
      <c r="A1322" s="13" t="s">
        <v>4710</v>
      </c>
      <c r="B1322" s="13" t="s">
        <v>2431</v>
      </c>
      <c r="C1322" s="13" t="s">
        <v>2432</v>
      </c>
      <c r="D1322" s="13" t="s">
        <v>55</v>
      </c>
      <c r="E1322" s="13" t="s">
        <v>76</v>
      </c>
      <c r="F1322" s="13" t="s">
        <v>94</v>
      </c>
      <c r="G1322" s="14">
        <v>46001</v>
      </c>
      <c r="H1322" s="14">
        <v>46007</v>
      </c>
      <c r="I1322">
        <v>4288.53</v>
      </c>
      <c r="J1322">
        <v>4457.93</v>
      </c>
      <c r="K1322">
        <v>103.95</v>
      </c>
      <c r="L1322">
        <v>15</v>
      </c>
      <c r="M1322" s="13" t="s">
        <v>3366</v>
      </c>
    </row>
    <row r="1323" spans="1:13" x14ac:dyDescent="0.35">
      <c r="A1323" s="13" t="s">
        <v>4711</v>
      </c>
      <c r="B1323" s="13" t="s">
        <v>2387</v>
      </c>
      <c r="C1323" s="13" t="s">
        <v>2388</v>
      </c>
      <c r="D1323" s="13" t="s">
        <v>55</v>
      </c>
      <c r="E1323" s="13" t="s">
        <v>104</v>
      </c>
      <c r="F1323" s="13" t="s">
        <v>87</v>
      </c>
      <c r="G1323" s="14">
        <v>45997</v>
      </c>
      <c r="H1323" s="14">
        <v>46007</v>
      </c>
      <c r="I1323">
        <v>3891.24</v>
      </c>
      <c r="J1323">
        <v>4043.46</v>
      </c>
      <c r="K1323">
        <v>103.91</v>
      </c>
      <c r="L1323">
        <v>15</v>
      </c>
      <c r="M1323" s="13" t="s">
        <v>3366</v>
      </c>
    </row>
    <row r="1324" spans="1:13" x14ac:dyDescent="0.35">
      <c r="A1324" s="13" t="s">
        <v>4712</v>
      </c>
      <c r="B1324" s="13" t="s">
        <v>186</v>
      </c>
      <c r="C1324" s="13" t="s">
        <v>187</v>
      </c>
      <c r="D1324" s="13" t="s">
        <v>55</v>
      </c>
      <c r="E1324" s="13" t="s">
        <v>76</v>
      </c>
      <c r="F1324" s="13" t="s">
        <v>94</v>
      </c>
      <c r="G1324" s="14">
        <v>45999</v>
      </c>
      <c r="H1324" s="14">
        <v>46008</v>
      </c>
      <c r="I1324">
        <v>3983.53</v>
      </c>
      <c r="J1324">
        <v>6001.35</v>
      </c>
      <c r="K1324">
        <v>150.65</v>
      </c>
      <c r="L1324">
        <v>14</v>
      </c>
      <c r="M1324" s="13" t="s">
        <v>3366</v>
      </c>
    </row>
    <row r="1325" spans="1:13" x14ac:dyDescent="0.35">
      <c r="A1325" s="13" t="s">
        <v>4713</v>
      </c>
      <c r="B1325" s="13" t="s">
        <v>1482</v>
      </c>
      <c r="C1325" s="13" t="s">
        <v>1483</v>
      </c>
      <c r="D1325" s="13" t="s">
        <v>92</v>
      </c>
      <c r="E1325" s="13" t="s">
        <v>76</v>
      </c>
      <c r="F1325" s="13" t="s">
        <v>94</v>
      </c>
      <c r="G1325" s="14">
        <v>46001</v>
      </c>
      <c r="H1325" s="14">
        <v>46008</v>
      </c>
      <c r="I1325">
        <v>3562.68</v>
      </c>
      <c r="J1325">
        <v>3611</v>
      </c>
      <c r="K1325">
        <v>101.36</v>
      </c>
      <c r="L1325">
        <v>14</v>
      </c>
      <c r="M1325" s="13" t="s">
        <v>3366</v>
      </c>
    </row>
    <row r="1326" spans="1:13" x14ac:dyDescent="0.35">
      <c r="A1326" s="13" t="s">
        <v>4714</v>
      </c>
      <c r="B1326" s="13" t="s">
        <v>216</v>
      </c>
      <c r="C1326" s="13" t="s">
        <v>217</v>
      </c>
      <c r="D1326" s="13" t="s">
        <v>67</v>
      </c>
      <c r="E1326" s="13" t="s">
        <v>52</v>
      </c>
      <c r="F1326" s="13" t="s">
        <v>87</v>
      </c>
      <c r="G1326" s="14">
        <v>46000</v>
      </c>
      <c r="H1326" s="14">
        <v>46009</v>
      </c>
      <c r="I1326">
        <v>11205.81</v>
      </c>
      <c r="J1326">
        <v>31146.9</v>
      </c>
      <c r="K1326">
        <v>277.95</v>
      </c>
      <c r="L1326">
        <v>13</v>
      </c>
      <c r="M1326" s="13" t="s">
        <v>3366</v>
      </c>
    </row>
    <row r="1327" spans="1:13" x14ac:dyDescent="0.35">
      <c r="A1327" s="13" t="s">
        <v>4715</v>
      </c>
      <c r="B1327" s="13" t="s">
        <v>253</v>
      </c>
      <c r="C1327" s="13" t="s">
        <v>254</v>
      </c>
      <c r="D1327" s="13" t="s">
        <v>55</v>
      </c>
      <c r="E1327" s="13" t="s">
        <v>52</v>
      </c>
      <c r="F1327" s="13" t="s">
        <v>57</v>
      </c>
      <c r="G1327" s="14">
        <v>46003</v>
      </c>
      <c r="H1327" s="14">
        <v>46009</v>
      </c>
      <c r="I1327">
        <v>8185.74</v>
      </c>
      <c r="J1327">
        <v>8796.59</v>
      </c>
      <c r="K1327">
        <v>107.46</v>
      </c>
      <c r="L1327">
        <v>13</v>
      </c>
      <c r="M1327" s="13" t="s">
        <v>3366</v>
      </c>
    </row>
    <row r="1328" spans="1:13" x14ac:dyDescent="0.35">
      <c r="A1328" s="13" t="s">
        <v>4716</v>
      </c>
      <c r="B1328" s="13" t="s">
        <v>277</v>
      </c>
      <c r="C1328" s="13" t="s">
        <v>278</v>
      </c>
      <c r="D1328" s="13" t="s">
        <v>92</v>
      </c>
      <c r="E1328" s="13" t="s">
        <v>104</v>
      </c>
      <c r="F1328" s="13" t="s">
        <v>106</v>
      </c>
      <c r="G1328" s="14">
        <v>45991</v>
      </c>
      <c r="H1328" s="14">
        <v>46009</v>
      </c>
      <c r="I1328">
        <v>1009.98</v>
      </c>
      <c r="J1328">
        <v>0</v>
      </c>
      <c r="K1328">
        <v>0</v>
      </c>
      <c r="L1328">
        <v>13</v>
      </c>
      <c r="M1328" s="13" t="s">
        <v>3512</v>
      </c>
    </row>
    <row r="1329" spans="1:13" x14ac:dyDescent="0.35">
      <c r="A1329" s="13" t="s">
        <v>4717</v>
      </c>
      <c r="B1329" s="13" t="s">
        <v>1304</v>
      </c>
      <c r="C1329" s="13" t="s">
        <v>1305</v>
      </c>
      <c r="D1329" s="13" t="s">
        <v>67</v>
      </c>
      <c r="E1329" s="13" t="s">
        <v>76</v>
      </c>
      <c r="F1329" s="13" t="s">
        <v>94</v>
      </c>
      <c r="G1329" s="14">
        <v>46005</v>
      </c>
      <c r="H1329" s="14">
        <v>46009</v>
      </c>
      <c r="I1329">
        <v>876.91</v>
      </c>
      <c r="J1329">
        <v>1398.61</v>
      </c>
      <c r="K1329">
        <v>159.49</v>
      </c>
      <c r="L1329">
        <v>13</v>
      </c>
      <c r="M1329" s="13" t="s">
        <v>3366</v>
      </c>
    </row>
    <row r="1330" spans="1:13" x14ac:dyDescent="0.35">
      <c r="A1330" s="13" t="s">
        <v>4718</v>
      </c>
      <c r="B1330" s="13" t="s">
        <v>84</v>
      </c>
      <c r="C1330" s="13" t="s">
        <v>85</v>
      </c>
      <c r="D1330" s="13" t="s">
        <v>67</v>
      </c>
      <c r="E1330" s="13" t="s">
        <v>52</v>
      </c>
      <c r="F1330" s="13" t="s">
        <v>87</v>
      </c>
      <c r="G1330" s="14">
        <v>46003</v>
      </c>
      <c r="H1330" s="14">
        <v>46010</v>
      </c>
      <c r="I1330">
        <v>1612.61</v>
      </c>
      <c r="J1330">
        <v>27006.23</v>
      </c>
      <c r="K1330">
        <v>1674.69</v>
      </c>
      <c r="L1330">
        <v>12</v>
      </c>
      <c r="M1330" s="13" t="s">
        <v>3366</v>
      </c>
    </row>
    <row r="1331" spans="1:13" x14ac:dyDescent="0.35">
      <c r="A1331" s="13" t="s">
        <v>4719</v>
      </c>
      <c r="B1331" s="13" t="s">
        <v>716</v>
      </c>
      <c r="C1331" s="13" t="s">
        <v>717</v>
      </c>
      <c r="D1331" s="13" t="s">
        <v>67</v>
      </c>
      <c r="E1331" s="13" t="s">
        <v>126</v>
      </c>
      <c r="F1331" s="13" t="s">
        <v>87</v>
      </c>
      <c r="G1331" s="14">
        <v>46004</v>
      </c>
      <c r="H1331" s="14">
        <v>46010</v>
      </c>
      <c r="I1331">
        <v>2507.9899999999998</v>
      </c>
      <c r="J1331">
        <v>2550.5300000000002</v>
      </c>
      <c r="K1331">
        <v>101.7</v>
      </c>
      <c r="L1331">
        <v>12</v>
      </c>
      <c r="M1331" s="13" t="s">
        <v>3366</v>
      </c>
    </row>
    <row r="1332" spans="1:13" x14ac:dyDescent="0.35">
      <c r="A1332" s="13" t="s">
        <v>4720</v>
      </c>
      <c r="B1332" s="13" t="s">
        <v>286</v>
      </c>
      <c r="C1332" s="13" t="s">
        <v>287</v>
      </c>
      <c r="D1332" s="13" t="s">
        <v>92</v>
      </c>
      <c r="E1332" s="13" t="s">
        <v>104</v>
      </c>
      <c r="F1332" s="13" t="s">
        <v>87</v>
      </c>
      <c r="G1332" s="14">
        <v>46000</v>
      </c>
      <c r="H1332" s="14">
        <v>46011</v>
      </c>
      <c r="I1332">
        <v>2260.2199999999998</v>
      </c>
      <c r="J1332">
        <v>0</v>
      </c>
      <c r="K1332">
        <v>0</v>
      </c>
      <c r="L1332">
        <v>11</v>
      </c>
      <c r="M1332" s="13" t="s">
        <v>3512</v>
      </c>
    </row>
    <row r="1333" spans="1:13" x14ac:dyDescent="0.35">
      <c r="A1333" s="13" t="s">
        <v>4721</v>
      </c>
      <c r="B1333" s="13" t="s">
        <v>259</v>
      </c>
      <c r="C1333" s="13" t="s">
        <v>260</v>
      </c>
      <c r="D1333" s="13" t="s">
        <v>67</v>
      </c>
      <c r="E1333" s="13" t="s">
        <v>104</v>
      </c>
      <c r="F1333" s="13" t="s">
        <v>122</v>
      </c>
      <c r="G1333" s="14">
        <v>45988</v>
      </c>
      <c r="H1333" s="14">
        <v>46011</v>
      </c>
      <c r="I1333">
        <v>492.02</v>
      </c>
      <c r="J1333">
        <v>7878.38</v>
      </c>
      <c r="K1333">
        <v>1601.23</v>
      </c>
      <c r="L1333">
        <v>11</v>
      </c>
      <c r="M1333" s="13" t="s">
        <v>3366</v>
      </c>
    </row>
    <row r="1334" spans="1:13" x14ac:dyDescent="0.35">
      <c r="A1334" s="13" t="s">
        <v>4722</v>
      </c>
      <c r="B1334" s="13" t="s">
        <v>277</v>
      </c>
      <c r="C1334" s="13" t="s">
        <v>278</v>
      </c>
      <c r="D1334" s="13" t="s">
        <v>92</v>
      </c>
      <c r="E1334" s="13" t="s">
        <v>104</v>
      </c>
      <c r="F1334" s="13" t="s">
        <v>106</v>
      </c>
      <c r="G1334" s="14">
        <v>45995</v>
      </c>
      <c r="H1334" s="14">
        <v>46011</v>
      </c>
      <c r="I1334">
        <v>2868</v>
      </c>
      <c r="J1334">
        <v>0</v>
      </c>
      <c r="K1334">
        <v>0</v>
      </c>
      <c r="L1334">
        <v>11</v>
      </c>
      <c r="M1334" s="13" t="s">
        <v>3512</v>
      </c>
    </row>
    <row r="1335" spans="1:13" x14ac:dyDescent="0.35">
      <c r="A1335" s="13" t="s">
        <v>4723</v>
      </c>
      <c r="B1335" s="13" t="s">
        <v>1150</v>
      </c>
      <c r="C1335" s="13" t="s">
        <v>1151</v>
      </c>
      <c r="D1335" s="13" t="s">
        <v>92</v>
      </c>
      <c r="E1335" s="13" t="s">
        <v>76</v>
      </c>
      <c r="F1335" s="13" t="s">
        <v>80</v>
      </c>
      <c r="G1335" s="14">
        <v>46005</v>
      </c>
      <c r="H1335" s="14">
        <v>46011</v>
      </c>
      <c r="I1335">
        <v>839.07</v>
      </c>
      <c r="J1335">
        <v>7298.7</v>
      </c>
      <c r="K1335">
        <v>869.86</v>
      </c>
      <c r="L1335">
        <v>11</v>
      </c>
      <c r="M1335" s="13" t="s">
        <v>3366</v>
      </c>
    </row>
    <row r="1336" spans="1:13" x14ac:dyDescent="0.35">
      <c r="A1336" s="13" t="s">
        <v>4724</v>
      </c>
      <c r="B1336" s="13" t="s">
        <v>379</v>
      </c>
      <c r="C1336" s="13" t="s">
        <v>380</v>
      </c>
      <c r="D1336" s="13" t="s">
        <v>92</v>
      </c>
      <c r="E1336" s="13" t="s">
        <v>52</v>
      </c>
      <c r="F1336" s="13" t="s">
        <v>57</v>
      </c>
      <c r="G1336" s="14">
        <v>45995</v>
      </c>
      <c r="H1336" s="14">
        <v>46012</v>
      </c>
      <c r="I1336">
        <v>6337.15</v>
      </c>
      <c r="J1336">
        <v>0</v>
      </c>
      <c r="K1336">
        <v>0</v>
      </c>
      <c r="L1336">
        <v>10</v>
      </c>
      <c r="M1336" s="13" t="s">
        <v>3512</v>
      </c>
    </row>
    <row r="1337" spans="1:13" x14ac:dyDescent="0.35">
      <c r="A1337" s="13" t="s">
        <v>4725</v>
      </c>
      <c r="B1337" s="13" t="s">
        <v>340</v>
      </c>
      <c r="C1337" s="13" t="s">
        <v>341</v>
      </c>
      <c r="D1337" s="13" t="s">
        <v>92</v>
      </c>
      <c r="E1337" s="13" t="s">
        <v>52</v>
      </c>
      <c r="F1337" s="13" t="s">
        <v>57</v>
      </c>
      <c r="G1337" s="14">
        <v>45989</v>
      </c>
      <c r="H1337" s="14">
        <v>46014</v>
      </c>
      <c r="I1337">
        <v>1233.07</v>
      </c>
      <c r="J1337">
        <v>0</v>
      </c>
      <c r="K1337">
        <v>0</v>
      </c>
      <c r="L1337">
        <v>8</v>
      </c>
      <c r="M1337" s="13" t="s">
        <v>3512</v>
      </c>
    </row>
    <row r="1338" spans="1:13" x14ac:dyDescent="0.35">
      <c r="A1338" s="13" t="s">
        <v>4726</v>
      </c>
      <c r="B1338" s="13" t="s">
        <v>340</v>
      </c>
      <c r="C1338" s="13" t="s">
        <v>341</v>
      </c>
      <c r="D1338" s="13" t="s">
        <v>92</v>
      </c>
      <c r="E1338" s="13" t="s">
        <v>52</v>
      </c>
      <c r="F1338" s="13" t="s">
        <v>57</v>
      </c>
      <c r="G1338" s="14">
        <v>45994</v>
      </c>
      <c r="H1338" s="14">
        <v>46014</v>
      </c>
      <c r="I1338">
        <v>1493.6</v>
      </c>
      <c r="J1338">
        <v>0</v>
      </c>
      <c r="K1338">
        <v>0</v>
      </c>
      <c r="L1338">
        <v>8</v>
      </c>
      <c r="M1338" s="13" t="s">
        <v>3512</v>
      </c>
    </row>
    <row r="1339" spans="1:13" x14ac:dyDescent="0.35">
      <c r="A1339" s="13" t="s">
        <v>4727</v>
      </c>
      <c r="B1339" s="13" t="s">
        <v>386</v>
      </c>
      <c r="C1339" s="13" t="s">
        <v>387</v>
      </c>
      <c r="D1339" s="13" t="s">
        <v>67</v>
      </c>
      <c r="E1339" s="13" t="s">
        <v>52</v>
      </c>
      <c r="F1339" s="13" t="s">
        <v>57</v>
      </c>
      <c r="G1339" s="14">
        <v>46003</v>
      </c>
      <c r="H1339" s="14">
        <v>46015</v>
      </c>
      <c r="I1339">
        <v>2655.89</v>
      </c>
      <c r="J1339">
        <v>0</v>
      </c>
      <c r="K1339">
        <v>0</v>
      </c>
      <c r="L1339">
        <v>7</v>
      </c>
      <c r="M1339" s="13" t="s">
        <v>3512</v>
      </c>
    </row>
    <row r="1340" spans="1:13" x14ac:dyDescent="0.35">
      <c r="A1340" s="13" t="s">
        <v>4728</v>
      </c>
      <c r="B1340" s="13" t="s">
        <v>283</v>
      </c>
      <c r="C1340" s="13" t="s">
        <v>284</v>
      </c>
      <c r="D1340" s="13" t="s">
        <v>92</v>
      </c>
      <c r="E1340" s="13" t="s">
        <v>104</v>
      </c>
      <c r="F1340" s="13" t="s">
        <v>106</v>
      </c>
      <c r="G1340" s="14">
        <v>46005</v>
      </c>
      <c r="H1340" s="14">
        <v>46016</v>
      </c>
      <c r="I1340">
        <v>499.5</v>
      </c>
      <c r="J1340">
        <v>0</v>
      </c>
      <c r="K1340">
        <v>0</v>
      </c>
      <c r="L1340">
        <v>6</v>
      </c>
      <c r="M1340" s="13" t="s">
        <v>3512</v>
      </c>
    </row>
    <row r="1341" spans="1:13" x14ac:dyDescent="0.35">
      <c r="A1341" s="13" t="s">
        <v>4729</v>
      </c>
      <c r="B1341" s="13" t="s">
        <v>379</v>
      </c>
      <c r="C1341" s="13" t="s">
        <v>380</v>
      </c>
      <c r="D1341" s="13" t="s">
        <v>92</v>
      </c>
      <c r="E1341" s="13" t="s">
        <v>52</v>
      </c>
      <c r="F1341" s="13" t="s">
        <v>57</v>
      </c>
      <c r="G1341" s="14">
        <v>46007</v>
      </c>
      <c r="H1341" s="14">
        <v>46019</v>
      </c>
      <c r="I1341">
        <v>5830.19</v>
      </c>
      <c r="J1341">
        <v>10165.69</v>
      </c>
      <c r="K1341">
        <v>174.36</v>
      </c>
      <c r="L1341">
        <v>3</v>
      </c>
      <c r="M1341" s="13" t="s">
        <v>3366</v>
      </c>
    </row>
    <row r="1342" spans="1:13" x14ac:dyDescent="0.35">
      <c r="A1342" s="13" t="s">
        <v>4730</v>
      </c>
      <c r="B1342" s="13" t="s">
        <v>379</v>
      </c>
      <c r="C1342" s="13" t="s">
        <v>380</v>
      </c>
      <c r="D1342" s="13" t="s">
        <v>92</v>
      </c>
      <c r="E1342" s="13" t="s">
        <v>52</v>
      </c>
      <c r="F1342" s="13" t="s">
        <v>57</v>
      </c>
      <c r="G1342" s="14">
        <v>46005</v>
      </c>
      <c r="H1342" s="14">
        <v>46020</v>
      </c>
      <c r="I1342">
        <v>7538.55</v>
      </c>
      <c r="J1342">
        <v>10165.69</v>
      </c>
      <c r="K1342">
        <v>134.85</v>
      </c>
      <c r="L1342">
        <v>2</v>
      </c>
      <c r="M1342" s="13" t="s">
        <v>3366</v>
      </c>
    </row>
    <row r="1343" spans="1:13" x14ac:dyDescent="0.35">
      <c r="A1343" s="13" t="s">
        <v>4731</v>
      </c>
      <c r="B1343" s="13" t="s">
        <v>293</v>
      </c>
      <c r="C1343" s="13" t="s">
        <v>294</v>
      </c>
      <c r="D1343" s="13" t="s">
        <v>92</v>
      </c>
      <c r="E1343" s="13" t="s">
        <v>104</v>
      </c>
      <c r="F1343" s="13" t="s">
        <v>122</v>
      </c>
      <c r="G1343" s="14">
        <v>46001</v>
      </c>
      <c r="H1343" s="14">
        <v>46020</v>
      </c>
      <c r="I1343">
        <v>677.58</v>
      </c>
      <c r="J1343">
        <v>0</v>
      </c>
      <c r="K1343">
        <v>0</v>
      </c>
      <c r="L1343">
        <v>2</v>
      </c>
      <c r="M1343" s="13" t="s">
        <v>4732</v>
      </c>
    </row>
    <row r="1344" spans="1:13" x14ac:dyDescent="0.35">
      <c r="A1344" s="13" t="s">
        <v>4733</v>
      </c>
      <c r="B1344" s="13" t="s">
        <v>293</v>
      </c>
      <c r="C1344" s="13" t="s">
        <v>294</v>
      </c>
      <c r="D1344" s="13" t="s">
        <v>92</v>
      </c>
      <c r="E1344" s="13" t="s">
        <v>104</v>
      </c>
      <c r="F1344" s="13" t="s">
        <v>122</v>
      </c>
      <c r="G1344" s="14">
        <v>46004</v>
      </c>
      <c r="H1344" s="14">
        <v>46020</v>
      </c>
      <c r="I1344">
        <v>1492.59</v>
      </c>
      <c r="J1344">
        <v>0</v>
      </c>
      <c r="K1344">
        <v>0</v>
      </c>
      <c r="L1344">
        <v>2</v>
      </c>
      <c r="M1344" s="13" t="s">
        <v>4732</v>
      </c>
    </row>
    <row r="1345" spans="1:13" x14ac:dyDescent="0.35">
      <c r="A1345" s="13" t="s">
        <v>4734</v>
      </c>
      <c r="B1345" s="13" t="s">
        <v>296</v>
      </c>
      <c r="C1345" s="13" t="s">
        <v>297</v>
      </c>
      <c r="D1345" s="13" t="s">
        <v>92</v>
      </c>
      <c r="E1345" s="13" t="s">
        <v>104</v>
      </c>
      <c r="F1345" s="13" t="s">
        <v>106</v>
      </c>
      <c r="G1345" s="14">
        <v>46012</v>
      </c>
      <c r="H1345" s="14">
        <v>46020</v>
      </c>
      <c r="I1345">
        <v>7413.28</v>
      </c>
      <c r="J1345">
        <v>0</v>
      </c>
      <c r="K1345">
        <v>0</v>
      </c>
      <c r="L1345">
        <v>2</v>
      </c>
      <c r="M1345" s="13" t="s">
        <v>4732</v>
      </c>
    </row>
    <row r="1346" spans="1:13" x14ac:dyDescent="0.35">
      <c r="A1346" s="13" t="s">
        <v>4735</v>
      </c>
      <c r="B1346" s="13" t="s">
        <v>97</v>
      </c>
      <c r="C1346" s="13" t="s">
        <v>98</v>
      </c>
      <c r="D1346" s="13" t="s">
        <v>67</v>
      </c>
      <c r="E1346" s="13" t="s">
        <v>76</v>
      </c>
      <c r="F1346" s="13" t="s">
        <v>94</v>
      </c>
      <c r="G1346" s="14">
        <v>46011</v>
      </c>
      <c r="H1346" s="14">
        <v>46020</v>
      </c>
      <c r="I1346">
        <v>727.02</v>
      </c>
      <c r="J1346">
        <v>1102.26</v>
      </c>
      <c r="K1346">
        <v>151.61000000000001</v>
      </c>
      <c r="L1346">
        <v>2</v>
      </c>
      <c r="M1346" s="13" t="s">
        <v>3366</v>
      </c>
    </row>
    <row r="1347" spans="1:13" x14ac:dyDescent="0.35">
      <c r="A1347" s="13" t="s">
        <v>4736</v>
      </c>
      <c r="B1347" s="13" t="s">
        <v>280</v>
      </c>
      <c r="C1347" s="13" t="s">
        <v>281</v>
      </c>
      <c r="D1347" s="13" t="s">
        <v>92</v>
      </c>
      <c r="E1347" s="13" t="s">
        <v>104</v>
      </c>
      <c r="F1347" s="13" t="s">
        <v>122</v>
      </c>
      <c r="G1347" s="14">
        <v>46000</v>
      </c>
      <c r="H1347" s="14">
        <v>46020</v>
      </c>
      <c r="I1347">
        <v>6548.07</v>
      </c>
      <c r="J1347">
        <v>0</v>
      </c>
      <c r="K1347">
        <v>0</v>
      </c>
      <c r="L1347">
        <v>2</v>
      </c>
      <c r="M1347" s="13" t="s">
        <v>4732</v>
      </c>
    </row>
    <row r="1348" spans="1:13" x14ac:dyDescent="0.35">
      <c r="A1348" s="13" t="s">
        <v>4737</v>
      </c>
      <c r="B1348" s="13" t="s">
        <v>280</v>
      </c>
      <c r="C1348" s="13" t="s">
        <v>281</v>
      </c>
      <c r="D1348" s="13" t="s">
        <v>92</v>
      </c>
      <c r="E1348" s="13" t="s">
        <v>104</v>
      </c>
      <c r="F1348" s="13" t="s">
        <v>122</v>
      </c>
      <c r="G1348" s="14">
        <v>46006</v>
      </c>
      <c r="H1348" s="14">
        <v>46022</v>
      </c>
      <c r="I1348">
        <v>1752.1</v>
      </c>
      <c r="J1348">
        <v>0</v>
      </c>
      <c r="K1348">
        <v>0</v>
      </c>
      <c r="L1348">
        <v>0</v>
      </c>
      <c r="M1348" s="13" t="s">
        <v>4732</v>
      </c>
    </row>
  </sheetData>
  <phoneticPr fontId="6"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E9FB0-5F1C-4672-8066-91C991E9AAFB}">
  <dimension ref="A1:F121"/>
  <sheetViews>
    <sheetView workbookViewId="0"/>
  </sheetViews>
  <sheetFormatPr defaultRowHeight="14.5" x14ac:dyDescent="0.35"/>
  <cols>
    <col min="1" max="1" width="12.08984375" bestFit="1" customWidth="1"/>
    <col min="2" max="2" width="15.54296875" bestFit="1" customWidth="1"/>
    <col min="3" max="3" width="9.26953125" bestFit="1" customWidth="1"/>
    <col min="4" max="4" width="14.26953125" bestFit="1" customWidth="1"/>
    <col min="5" max="5" width="12.81640625" bestFit="1" customWidth="1"/>
    <col min="6" max="6" width="15.36328125" bestFit="1" customWidth="1"/>
  </cols>
  <sheetData>
    <row r="1" spans="1:6" s="3" customFormat="1" x14ac:dyDescent="0.35">
      <c r="A1" s="3" t="s">
        <v>3243</v>
      </c>
      <c r="B1" s="3" t="s">
        <v>3315</v>
      </c>
      <c r="C1" s="3" t="s">
        <v>22</v>
      </c>
      <c r="D1" s="3" t="s">
        <v>3318</v>
      </c>
      <c r="E1" s="3" t="s">
        <v>3317</v>
      </c>
      <c r="F1" s="3" t="s">
        <v>3312</v>
      </c>
    </row>
    <row r="2" spans="1:6" x14ac:dyDescent="0.35">
      <c r="A2" s="13" t="s">
        <v>3323</v>
      </c>
      <c r="B2" s="14">
        <v>45322</v>
      </c>
      <c r="C2" s="13" t="s">
        <v>77</v>
      </c>
      <c r="D2">
        <v>244</v>
      </c>
      <c r="E2">
        <v>1158215.93</v>
      </c>
      <c r="F2">
        <v>1.53</v>
      </c>
    </row>
    <row r="3" spans="1:6" x14ac:dyDescent="0.35">
      <c r="A3" s="13" t="s">
        <v>3323</v>
      </c>
      <c r="B3" s="14">
        <v>45322</v>
      </c>
      <c r="C3" s="13" t="s">
        <v>65</v>
      </c>
      <c r="D3">
        <v>248</v>
      </c>
      <c r="E3">
        <v>1129693.47</v>
      </c>
      <c r="F3">
        <v>1.49</v>
      </c>
    </row>
    <row r="4" spans="1:6" x14ac:dyDescent="0.35">
      <c r="A4" s="13" t="s">
        <v>3323</v>
      </c>
      <c r="B4" s="14">
        <v>45322</v>
      </c>
      <c r="C4" s="13" t="s">
        <v>99</v>
      </c>
      <c r="D4">
        <v>213</v>
      </c>
      <c r="E4">
        <v>855139.77</v>
      </c>
      <c r="F4">
        <v>1.48</v>
      </c>
    </row>
    <row r="5" spans="1:6" x14ac:dyDescent="0.35">
      <c r="A5" s="13" t="s">
        <v>3323</v>
      </c>
      <c r="B5" s="14">
        <v>45322</v>
      </c>
      <c r="C5" s="13" t="s">
        <v>53</v>
      </c>
      <c r="D5">
        <v>207</v>
      </c>
      <c r="E5">
        <v>965326.09</v>
      </c>
      <c r="F5">
        <v>1.43</v>
      </c>
    </row>
    <row r="6" spans="1:6" x14ac:dyDescent="0.35">
      <c r="A6" s="13" t="s">
        <v>3323</v>
      </c>
      <c r="B6" s="14">
        <v>45322</v>
      </c>
      <c r="C6" s="13" t="s">
        <v>71</v>
      </c>
      <c r="D6">
        <v>209</v>
      </c>
      <c r="E6">
        <v>874888.61</v>
      </c>
      <c r="F6">
        <v>1.48</v>
      </c>
    </row>
    <row r="7" spans="1:6" x14ac:dyDescent="0.35">
      <c r="A7" s="13" t="s">
        <v>3276</v>
      </c>
      <c r="B7" s="14">
        <v>45351</v>
      </c>
      <c r="C7" s="13" t="s">
        <v>77</v>
      </c>
      <c r="D7">
        <v>230</v>
      </c>
      <c r="E7">
        <v>1084164.76</v>
      </c>
      <c r="F7">
        <v>1.58</v>
      </c>
    </row>
    <row r="8" spans="1:6" x14ac:dyDescent="0.35">
      <c r="A8" s="13" t="s">
        <v>3276</v>
      </c>
      <c r="B8" s="14">
        <v>45351</v>
      </c>
      <c r="C8" s="13" t="s">
        <v>65</v>
      </c>
      <c r="D8">
        <v>220</v>
      </c>
      <c r="E8">
        <v>1046942.58</v>
      </c>
      <c r="F8">
        <v>1.56</v>
      </c>
    </row>
    <row r="9" spans="1:6" x14ac:dyDescent="0.35">
      <c r="A9" s="13" t="s">
        <v>3276</v>
      </c>
      <c r="B9" s="14">
        <v>45351</v>
      </c>
      <c r="C9" s="13" t="s">
        <v>99</v>
      </c>
      <c r="D9">
        <v>211</v>
      </c>
      <c r="E9">
        <v>885086.17</v>
      </c>
      <c r="F9">
        <v>1.48</v>
      </c>
    </row>
    <row r="10" spans="1:6" x14ac:dyDescent="0.35">
      <c r="A10" s="13" t="s">
        <v>3276</v>
      </c>
      <c r="B10" s="14">
        <v>45351</v>
      </c>
      <c r="C10" s="13" t="s">
        <v>53</v>
      </c>
      <c r="D10">
        <v>204</v>
      </c>
      <c r="E10">
        <v>852188.89</v>
      </c>
      <c r="F10">
        <v>1.56</v>
      </c>
    </row>
    <row r="11" spans="1:6" x14ac:dyDescent="0.35">
      <c r="A11" s="13" t="s">
        <v>3276</v>
      </c>
      <c r="B11" s="14">
        <v>45351</v>
      </c>
      <c r="C11" s="13" t="s">
        <v>71</v>
      </c>
      <c r="D11">
        <v>185</v>
      </c>
      <c r="E11">
        <v>781934.91</v>
      </c>
      <c r="F11">
        <v>1.46</v>
      </c>
    </row>
    <row r="12" spans="1:6" x14ac:dyDescent="0.35">
      <c r="A12" s="13" t="s">
        <v>3277</v>
      </c>
      <c r="B12" s="14">
        <v>45382</v>
      </c>
      <c r="C12" s="13" t="s">
        <v>77</v>
      </c>
      <c r="D12">
        <v>249</v>
      </c>
      <c r="E12">
        <v>1221401.06</v>
      </c>
      <c r="F12">
        <v>1.42</v>
      </c>
    </row>
    <row r="13" spans="1:6" x14ac:dyDescent="0.35">
      <c r="A13" s="13" t="s">
        <v>3277</v>
      </c>
      <c r="B13" s="14">
        <v>45382</v>
      </c>
      <c r="C13" s="13" t="s">
        <v>65</v>
      </c>
      <c r="D13">
        <v>250</v>
      </c>
      <c r="E13">
        <v>1039391.44</v>
      </c>
      <c r="F13">
        <v>1.49</v>
      </c>
    </row>
    <row r="14" spans="1:6" x14ac:dyDescent="0.35">
      <c r="A14" s="13" t="s">
        <v>3277</v>
      </c>
      <c r="B14" s="14">
        <v>45382</v>
      </c>
      <c r="C14" s="13" t="s">
        <v>99</v>
      </c>
      <c r="D14">
        <v>216</v>
      </c>
      <c r="E14">
        <v>886961.87</v>
      </c>
      <c r="F14">
        <v>1.44</v>
      </c>
    </row>
    <row r="15" spans="1:6" x14ac:dyDescent="0.35">
      <c r="A15" s="13" t="s">
        <v>3277</v>
      </c>
      <c r="B15" s="14">
        <v>45382</v>
      </c>
      <c r="C15" s="13" t="s">
        <v>53</v>
      </c>
      <c r="D15">
        <v>231</v>
      </c>
      <c r="E15">
        <v>992478.83</v>
      </c>
      <c r="F15">
        <v>1.5</v>
      </c>
    </row>
    <row r="16" spans="1:6" x14ac:dyDescent="0.35">
      <c r="A16" s="13" t="s">
        <v>3277</v>
      </c>
      <c r="B16" s="14">
        <v>45382</v>
      </c>
      <c r="C16" s="13" t="s">
        <v>71</v>
      </c>
      <c r="D16">
        <v>218</v>
      </c>
      <c r="E16">
        <v>845393.31</v>
      </c>
      <c r="F16">
        <v>1.48</v>
      </c>
    </row>
    <row r="17" spans="1:6" x14ac:dyDescent="0.35">
      <c r="A17" s="13" t="s">
        <v>3278</v>
      </c>
      <c r="B17" s="14">
        <v>45412</v>
      </c>
      <c r="C17" s="13" t="s">
        <v>77</v>
      </c>
      <c r="D17">
        <v>274</v>
      </c>
      <c r="E17">
        <v>1349576.58</v>
      </c>
      <c r="F17">
        <v>1.49</v>
      </c>
    </row>
    <row r="18" spans="1:6" x14ac:dyDescent="0.35">
      <c r="A18" s="13" t="s">
        <v>3278</v>
      </c>
      <c r="B18" s="14">
        <v>45412</v>
      </c>
      <c r="C18" s="13" t="s">
        <v>65</v>
      </c>
      <c r="D18">
        <v>310</v>
      </c>
      <c r="E18">
        <v>1253311.3899999999</v>
      </c>
      <c r="F18">
        <v>1.52</v>
      </c>
    </row>
    <row r="19" spans="1:6" x14ac:dyDescent="0.35">
      <c r="A19" s="13" t="s">
        <v>3278</v>
      </c>
      <c r="B19" s="14">
        <v>45412</v>
      </c>
      <c r="C19" s="13" t="s">
        <v>99</v>
      </c>
      <c r="D19">
        <v>260</v>
      </c>
      <c r="E19">
        <v>1098386.26</v>
      </c>
      <c r="F19">
        <v>1.36</v>
      </c>
    </row>
    <row r="20" spans="1:6" x14ac:dyDescent="0.35">
      <c r="A20" s="13" t="s">
        <v>3278</v>
      </c>
      <c r="B20" s="14">
        <v>45412</v>
      </c>
      <c r="C20" s="13" t="s">
        <v>53</v>
      </c>
      <c r="D20">
        <v>278</v>
      </c>
      <c r="E20">
        <v>1184436.54</v>
      </c>
      <c r="F20">
        <v>1.53</v>
      </c>
    </row>
    <row r="21" spans="1:6" x14ac:dyDescent="0.35">
      <c r="A21" s="13" t="s">
        <v>3278</v>
      </c>
      <c r="B21" s="14">
        <v>45412</v>
      </c>
      <c r="C21" s="13" t="s">
        <v>71</v>
      </c>
      <c r="D21">
        <v>237</v>
      </c>
      <c r="E21">
        <v>933061.75</v>
      </c>
      <c r="F21">
        <v>1.48</v>
      </c>
    </row>
    <row r="22" spans="1:6" x14ac:dyDescent="0.35">
      <c r="A22" s="13" t="s">
        <v>3279</v>
      </c>
      <c r="B22" s="14">
        <v>45443</v>
      </c>
      <c r="C22" s="13" t="s">
        <v>77</v>
      </c>
      <c r="D22">
        <v>296</v>
      </c>
      <c r="E22">
        <v>1347401.37</v>
      </c>
      <c r="F22">
        <v>1.47</v>
      </c>
    </row>
    <row r="23" spans="1:6" x14ac:dyDescent="0.35">
      <c r="A23" s="13" t="s">
        <v>3279</v>
      </c>
      <c r="B23" s="14">
        <v>45443</v>
      </c>
      <c r="C23" s="13" t="s">
        <v>65</v>
      </c>
      <c r="D23">
        <v>301</v>
      </c>
      <c r="E23">
        <v>1316088.6299999999</v>
      </c>
      <c r="F23">
        <v>1.47</v>
      </c>
    </row>
    <row r="24" spans="1:6" x14ac:dyDescent="0.35">
      <c r="A24" s="13" t="s">
        <v>3279</v>
      </c>
      <c r="B24" s="14">
        <v>45443</v>
      </c>
      <c r="C24" s="13" t="s">
        <v>99</v>
      </c>
      <c r="D24">
        <v>287</v>
      </c>
      <c r="E24">
        <v>1142820.18</v>
      </c>
      <c r="F24">
        <v>1.63</v>
      </c>
    </row>
    <row r="25" spans="1:6" x14ac:dyDescent="0.35">
      <c r="A25" s="13" t="s">
        <v>3279</v>
      </c>
      <c r="B25" s="14">
        <v>45443</v>
      </c>
      <c r="C25" s="13" t="s">
        <v>53</v>
      </c>
      <c r="D25">
        <v>271</v>
      </c>
      <c r="E25">
        <v>1135500.7</v>
      </c>
      <c r="F25">
        <v>1.54</v>
      </c>
    </row>
    <row r="26" spans="1:6" x14ac:dyDescent="0.35">
      <c r="A26" s="13" t="s">
        <v>3279</v>
      </c>
      <c r="B26" s="14">
        <v>45443</v>
      </c>
      <c r="C26" s="13" t="s">
        <v>71</v>
      </c>
      <c r="D26">
        <v>250</v>
      </c>
      <c r="E26">
        <v>1048279.07</v>
      </c>
      <c r="F26">
        <v>1.5</v>
      </c>
    </row>
    <row r="27" spans="1:6" x14ac:dyDescent="0.35">
      <c r="A27" s="13" t="s">
        <v>3280</v>
      </c>
      <c r="B27" s="14">
        <v>45473</v>
      </c>
      <c r="C27" s="13" t="s">
        <v>77</v>
      </c>
      <c r="D27">
        <v>250</v>
      </c>
      <c r="E27">
        <v>1156697.43</v>
      </c>
      <c r="F27">
        <v>1.46</v>
      </c>
    </row>
    <row r="28" spans="1:6" x14ac:dyDescent="0.35">
      <c r="A28" s="13" t="s">
        <v>3280</v>
      </c>
      <c r="B28" s="14">
        <v>45473</v>
      </c>
      <c r="C28" s="13" t="s">
        <v>65</v>
      </c>
      <c r="D28">
        <v>252</v>
      </c>
      <c r="E28">
        <v>1013934.42</v>
      </c>
      <c r="F28">
        <v>1.41</v>
      </c>
    </row>
    <row r="29" spans="1:6" x14ac:dyDescent="0.35">
      <c r="A29" s="13" t="s">
        <v>3280</v>
      </c>
      <c r="B29" s="14">
        <v>45473</v>
      </c>
      <c r="C29" s="13" t="s">
        <v>99</v>
      </c>
      <c r="D29">
        <v>242</v>
      </c>
      <c r="E29">
        <v>818733.9</v>
      </c>
      <c r="F29">
        <v>1.46</v>
      </c>
    </row>
    <row r="30" spans="1:6" x14ac:dyDescent="0.35">
      <c r="A30" s="13" t="s">
        <v>3280</v>
      </c>
      <c r="B30" s="14">
        <v>45473</v>
      </c>
      <c r="C30" s="13" t="s">
        <v>53</v>
      </c>
      <c r="D30">
        <v>216</v>
      </c>
      <c r="E30">
        <v>847871.71</v>
      </c>
      <c r="F30">
        <v>1.5</v>
      </c>
    </row>
    <row r="31" spans="1:6" x14ac:dyDescent="0.35">
      <c r="A31" s="13" t="s">
        <v>3280</v>
      </c>
      <c r="B31" s="14">
        <v>45473</v>
      </c>
      <c r="C31" s="13" t="s">
        <v>71</v>
      </c>
      <c r="D31">
        <v>217</v>
      </c>
      <c r="E31">
        <v>865061.81</v>
      </c>
      <c r="F31">
        <v>1.57</v>
      </c>
    </row>
    <row r="32" spans="1:6" x14ac:dyDescent="0.35">
      <c r="A32" s="13" t="s">
        <v>3281</v>
      </c>
      <c r="B32" s="14">
        <v>45504</v>
      </c>
      <c r="C32" s="13" t="s">
        <v>77</v>
      </c>
      <c r="D32">
        <v>313</v>
      </c>
      <c r="E32">
        <v>1366944.86</v>
      </c>
      <c r="F32">
        <v>1.47</v>
      </c>
    </row>
    <row r="33" spans="1:6" x14ac:dyDescent="0.35">
      <c r="A33" s="13" t="s">
        <v>3281</v>
      </c>
      <c r="B33" s="14">
        <v>45504</v>
      </c>
      <c r="C33" s="13" t="s">
        <v>65</v>
      </c>
      <c r="D33">
        <v>303</v>
      </c>
      <c r="E33">
        <v>1377969.92</v>
      </c>
      <c r="F33">
        <v>1.54</v>
      </c>
    </row>
    <row r="34" spans="1:6" x14ac:dyDescent="0.35">
      <c r="A34" s="13" t="s">
        <v>3281</v>
      </c>
      <c r="B34" s="14">
        <v>45504</v>
      </c>
      <c r="C34" s="13" t="s">
        <v>99</v>
      </c>
      <c r="D34">
        <v>276</v>
      </c>
      <c r="E34">
        <v>1084628.3600000001</v>
      </c>
      <c r="F34">
        <v>1.39</v>
      </c>
    </row>
    <row r="35" spans="1:6" x14ac:dyDescent="0.35">
      <c r="A35" s="13" t="s">
        <v>3281</v>
      </c>
      <c r="B35" s="14">
        <v>45504</v>
      </c>
      <c r="C35" s="13" t="s">
        <v>53</v>
      </c>
      <c r="D35">
        <v>252</v>
      </c>
      <c r="E35">
        <v>1095537.21</v>
      </c>
      <c r="F35">
        <v>1.48</v>
      </c>
    </row>
    <row r="36" spans="1:6" x14ac:dyDescent="0.35">
      <c r="A36" s="13" t="s">
        <v>3281</v>
      </c>
      <c r="B36" s="14">
        <v>45504</v>
      </c>
      <c r="C36" s="13" t="s">
        <v>71</v>
      </c>
      <c r="D36">
        <v>242</v>
      </c>
      <c r="E36">
        <v>1028304.94</v>
      </c>
      <c r="F36">
        <v>1.46</v>
      </c>
    </row>
    <row r="37" spans="1:6" x14ac:dyDescent="0.35">
      <c r="A37" s="13" t="s">
        <v>3282</v>
      </c>
      <c r="B37" s="14">
        <v>45535</v>
      </c>
      <c r="C37" s="13" t="s">
        <v>77</v>
      </c>
      <c r="D37">
        <v>270</v>
      </c>
      <c r="E37">
        <v>1146981.75</v>
      </c>
      <c r="F37">
        <v>1.53</v>
      </c>
    </row>
    <row r="38" spans="1:6" x14ac:dyDescent="0.35">
      <c r="A38" s="13" t="s">
        <v>3282</v>
      </c>
      <c r="B38" s="14">
        <v>45535</v>
      </c>
      <c r="C38" s="13" t="s">
        <v>65</v>
      </c>
      <c r="D38">
        <v>286</v>
      </c>
      <c r="E38">
        <v>1365652.63</v>
      </c>
      <c r="F38">
        <v>1.5</v>
      </c>
    </row>
    <row r="39" spans="1:6" x14ac:dyDescent="0.35">
      <c r="A39" s="13" t="s">
        <v>3282</v>
      </c>
      <c r="B39" s="14">
        <v>45535</v>
      </c>
      <c r="C39" s="13" t="s">
        <v>99</v>
      </c>
      <c r="D39">
        <v>241</v>
      </c>
      <c r="E39">
        <v>915751.45</v>
      </c>
      <c r="F39">
        <v>1.42</v>
      </c>
    </row>
    <row r="40" spans="1:6" x14ac:dyDescent="0.35">
      <c r="A40" s="13" t="s">
        <v>3282</v>
      </c>
      <c r="B40" s="14">
        <v>45535</v>
      </c>
      <c r="C40" s="13" t="s">
        <v>53</v>
      </c>
      <c r="D40">
        <v>258</v>
      </c>
      <c r="E40">
        <v>1131060.58</v>
      </c>
      <c r="F40">
        <v>1.55</v>
      </c>
    </row>
    <row r="41" spans="1:6" x14ac:dyDescent="0.35">
      <c r="A41" s="13" t="s">
        <v>3282</v>
      </c>
      <c r="B41" s="14">
        <v>45535</v>
      </c>
      <c r="C41" s="13" t="s">
        <v>71</v>
      </c>
      <c r="D41">
        <v>225</v>
      </c>
      <c r="E41">
        <v>962230.1</v>
      </c>
      <c r="F41">
        <v>1.51</v>
      </c>
    </row>
    <row r="42" spans="1:6" x14ac:dyDescent="0.35">
      <c r="A42" s="13" t="s">
        <v>3283</v>
      </c>
      <c r="B42" s="14">
        <v>45565</v>
      </c>
      <c r="C42" s="13" t="s">
        <v>77</v>
      </c>
      <c r="D42">
        <v>270</v>
      </c>
      <c r="E42">
        <v>1102513.58</v>
      </c>
      <c r="F42">
        <v>1.62</v>
      </c>
    </row>
    <row r="43" spans="1:6" x14ac:dyDescent="0.35">
      <c r="A43" s="13" t="s">
        <v>3283</v>
      </c>
      <c r="B43" s="14">
        <v>45565</v>
      </c>
      <c r="C43" s="13" t="s">
        <v>65</v>
      </c>
      <c r="D43">
        <v>277</v>
      </c>
      <c r="E43">
        <v>1139625.57</v>
      </c>
      <c r="F43">
        <v>1.51</v>
      </c>
    </row>
    <row r="44" spans="1:6" x14ac:dyDescent="0.35">
      <c r="A44" s="13" t="s">
        <v>3283</v>
      </c>
      <c r="B44" s="14">
        <v>45565</v>
      </c>
      <c r="C44" s="13" t="s">
        <v>99</v>
      </c>
      <c r="D44">
        <v>230</v>
      </c>
      <c r="E44">
        <v>953287.61</v>
      </c>
      <c r="F44">
        <v>1.49</v>
      </c>
    </row>
    <row r="45" spans="1:6" x14ac:dyDescent="0.35">
      <c r="A45" s="13" t="s">
        <v>3283</v>
      </c>
      <c r="B45" s="14">
        <v>45565</v>
      </c>
      <c r="C45" s="13" t="s">
        <v>53</v>
      </c>
      <c r="D45">
        <v>262</v>
      </c>
      <c r="E45">
        <v>987189.5</v>
      </c>
      <c r="F45">
        <v>1.51</v>
      </c>
    </row>
    <row r="46" spans="1:6" x14ac:dyDescent="0.35">
      <c r="A46" s="13" t="s">
        <v>3283</v>
      </c>
      <c r="B46" s="14">
        <v>45565</v>
      </c>
      <c r="C46" s="13" t="s">
        <v>71</v>
      </c>
      <c r="D46">
        <v>228</v>
      </c>
      <c r="E46">
        <v>942947.39</v>
      </c>
      <c r="F46">
        <v>1.53</v>
      </c>
    </row>
    <row r="47" spans="1:6" x14ac:dyDescent="0.35">
      <c r="A47" s="13" t="s">
        <v>3284</v>
      </c>
      <c r="B47" s="14">
        <v>45596</v>
      </c>
      <c r="C47" s="13" t="s">
        <v>77</v>
      </c>
      <c r="D47">
        <v>302</v>
      </c>
      <c r="E47">
        <v>1393061.41</v>
      </c>
      <c r="F47">
        <v>1.51</v>
      </c>
    </row>
    <row r="48" spans="1:6" x14ac:dyDescent="0.35">
      <c r="A48" s="13" t="s">
        <v>3284</v>
      </c>
      <c r="B48" s="14">
        <v>45596</v>
      </c>
      <c r="C48" s="13" t="s">
        <v>65</v>
      </c>
      <c r="D48">
        <v>262</v>
      </c>
      <c r="E48">
        <v>1130135.74</v>
      </c>
      <c r="F48">
        <v>1.49</v>
      </c>
    </row>
    <row r="49" spans="1:6" x14ac:dyDescent="0.35">
      <c r="A49" s="13" t="s">
        <v>3284</v>
      </c>
      <c r="B49" s="14">
        <v>45596</v>
      </c>
      <c r="C49" s="13" t="s">
        <v>99</v>
      </c>
      <c r="D49">
        <v>244</v>
      </c>
      <c r="E49">
        <v>984159.56</v>
      </c>
      <c r="F49">
        <v>1.5</v>
      </c>
    </row>
    <row r="50" spans="1:6" x14ac:dyDescent="0.35">
      <c r="A50" s="13" t="s">
        <v>3284</v>
      </c>
      <c r="B50" s="14">
        <v>45596</v>
      </c>
      <c r="C50" s="13" t="s">
        <v>53</v>
      </c>
      <c r="D50">
        <v>245</v>
      </c>
      <c r="E50">
        <v>964385.79</v>
      </c>
      <c r="F50">
        <v>1.51</v>
      </c>
    </row>
    <row r="51" spans="1:6" x14ac:dyDescent="0.35">
      <c r="A51" s="13" t="s">
        <v>3284</v>
      </c>
      <c r="B51" s="14">
        <v>45596</v>
      </c>
      <c r="C51" s="13" t="s">
        <v>71</v>
      </c>
      <c r="D51">
        <v>233</v>
      </c>
      <c r="E51">
        <v>854600.05</v>
      </c>
      <c r="F51">
        <v>1.52</v>
      </c>
    </row>
    <row r="52" spans="1:6" x14ac:dyDescent="0.35">
      <c r="A52" s="13" t="s">
        <v>3285</v>
      </c>
      <c r="B52" s="14">
        <v>45626</v>
      </c>
      <c r="C52" s="13" t="s">
        <v>77</v>
      </c>
      <c r="D52">
        <v>255</v>
      </c>
      <c r="E52">
        <v>1150658.58</v>
      </c>
      <c r="F52">
        <v>1.51</v>
      </c>
    </row>
    <row r="53" spans="1:6" x14ac:dyDescent="0.35">
      <c r="A53" s="13" t="s">
        <v>3285</v>
      </c>
      <c r="B53" s="14">
        <v>45626</v>
      </c>
      <c r="C53" s="13" t="s">
        <v>65</v>
      </c>
      <c r="D53">
        <v>230</v>
      </c>
      <c r="E53">
        <v>1020261.37</v>
      </c>
      <c r="F53">
        <v>1.5</v>
      </c>
    </row>
    <row r="54" spans="1:6" x14ac:dyDescent="0.35">
      <c r="A54" s="13" t="s">
        <v>3285</v>
      </c>
      <c r="B54" s="14">
        <v>45626</v>
      </c>
      <c r="C54" s="13" t="s">
        <v>99</v>
      </c>
      <c r="D54">
        <v>225</v>
      </c>
      <c r="E54">
        <v>933482.55</v>
      </c>
      <c r="F54">
        <v>1.42</v>
      </c>
    </row>
    <row r="55" spans="1:6" x14ac:dyDescent="0.35">
      <c r="A55" s="13" t="s">
        <v>3285</v>
      </c>
      <c r="B55" s="14">
        <v>45626</v>
      </c>
      <c r="C55" s="13" t="s">
        <v>53</v>
      </c>
      <c r="D55">
        <v>237</v>
      </c>
      <c r="E55">
        <v>980036.96</v>
      </c>
      <c r="F55">
        <v>1.41</v>
      </c>
    </row>
    <row r="56" spans="1:6" x14ac:dyDescent="0.35">
      <c r="A56" s="13" t="s">
        <v>3285</v>
      </c>
      <c r="B56" s="14">
        <v>45626</v>
      </c>
      <c r="C56" s="13" t="s">
        <v>71</v>
      </c>
      <c r="D56">
        <v>197</v>
      </c>
      <c r="E56">
        <v>748319.44</v>
      </c>
      <c r="F56">
        <v>1.48</v>
      </c>
    </row>
    <row r="57" spans="1:6" x14ac:dyDescent="0.35">
      <c r="A57" s="13" t="s">
        <v>3286</v>
      </c>
      <c r="B57" s="14">
        <v>45657</v>
      </c>
      <c r="C57" s="13" t="s">
        <v>77</v>
      </c>
      <c r="D57">
        <v>278</v>
      </c>
      <c r="E57">
        <v>1206577.67</v>
      </c>
      <c r="F57">
        <v>1.47</v>
      </c>
    </row>
    <row r="58" spans="1:6" x14ac:dyDescent="0.35">
      <c r="A58" s="13" t="s">
        <v>3286</v>
      </c>
      <c r="B58" s="14">
        <v>45657</v>
      </c>
      <c r="C58" s="13" t="s">
        <v>65</v>
      </c>
      <c r="D58">
        <v>274</v>
      </c>
      <c r="E58">
        <v>1174066.27</v>
      </c>
      <c r="F58">
        <v>1.48</v>
      </c>
    </row>
    <row r="59" spans="1:6" x14ac:dyDescent="0.35">
      <c r="A59" s="13" t="s">
        <v>3286</v>
      </c>
      <c r="B59" s="14">
        <v>45657</v>
      </c>
      <c r="C59" s="13" t="s">
        <v>99</v>
      </c>
      <c r="D59">
        <v>213</v>
      </c>
      <c r="E59">
        <v>936362.19</v>
      </c>
      <c r="F59">
        <v>1.49</v>
      </c>
    </row>
    <row r="60" spans="1:6" x14ac:dyDescent="0.35">
      <c r="A60" s="13" t="s">
        <v>3286</v>
      </c>
      <c r="B60" s="14">
        <v>45657</v>
      </c>
      <c r="C60" s="13" t="s">
        <v>53</v>
      </c>
      <c r="D60">
        <v>256</v>
      </c>
      <c r="E60">
        <v>1107568.8999999999</v>
      </c>
      <c r="F60">
        <v>1.51</v>
      </c>
    </row>
    <row r="61" spans="1:6" x14ac:dyDescent="0.35">
      <c r="A61" s="13" t="s">
        <v>3286</v>
      </c>
      <c r="B61" s="14">
        <v>45657</v>
      </c>
      <c r="C61" s="13" t="s">
        <v>71</v>
      </c>
      <c r="D61">
        <v>233</v>
      </c>
      <c r="E61">
        <v>969598.94</v>
      </c>
      <c r="F61">
        <v>1.48</v>
      </c>
    </row>
    <row r="62" spans="1:6" x14ac:dyDescent="0.35">
      <c r="A62" s="13" t="s">
        <v>3287</v>
      </c>
      <c r="B62" s="14">
        <v>45688</v>
      </c>
      <c r="C62" s="13" t="s">
        <v>77</v>
      </c>
      <c r="D62">
        <v>271</v>
      </c>
      <c r="E62">
        <v>1326333.02</v>
      </c>
      <c r="F62">
        <v>1.46</v>
      </c>
    </row>
    <row r="63" spans="1:6" x14ac:dyDescent="0.35">
      <c r="A63" s="13" t="s">
        <v>3287</v>
      </c>
      <c r="B63" s="14">
        <v>45688</v>
      </c>
      <c r="C63" s="13" t="s">
        <v>65</v>
      </c>
      <c r="D63">
        <v>240</v>
      </c>
      <c r="E63">
        <v>1074903.28</v>
      </c>
      <c r="F63">
        <v>1.5</v>
      </c>
    </row>
    <row r="64" spans="1:6" x14ac:dyDescent="0.35">
      <c r="A64" s="13" t="s">
        <v>3287</v>
      </c>
      <c r="B64" s="14">
        <v>45688</v>
      </c>
      <c r="C64" s="13" t="s">
        <v>99</v>
      </c>
      <c r="D64">
        <v>215</v>
      </c>
      <c r="E64">
        <v>803832.31999999995</v>
      </c>
      <c r="F64">
        <v>1.56</v>
      </c>
    </row>
    <row r="65" spans="1:6" x14ac:dyDescent="0.35">
      <c r="A65" s="13" t="s">
        <v>3287</v>
      </c>
      <c r="B65" s="14">
        <v>45688</v>
      </c>
      <c r="C65" s="13" t="s">
        <v>53</v>
      </c>
      <c r="D65">
        <v>239</v>
      </c>
      <c r="E65">
        <v>978282.6</v>
      </c>
      <c r="F65">
        <v>1.51</v>
      </c>
    </row>
    <row r="66" spans="1:6" x14ac:dyDescent="0.35">
      <c r="A66" s="13" t="s">
        <v>3287</v>
      </c>
      <c r="B66" s="14">
        <v>45688</v>
      </c>
      <c r="C66" s="13" t="s">
        <v>71</v>
      </c>
      <c r="D66">
        <v>201</v>
      </c>
      <c r="E66">
        <v>879788.61</v>
      </c>
      <c r="F66">
        <v>1.51</v>
      </c>
    </row>
    <row r="67" spans="1:6" x14ac:dyDescent="0.35">
      <c r="A67" s="13" t="s">
        <v>3288</v>
      </c>
      <c r="B67" s="14">
        <v>45716</v>
      </c>
      <c r="C67" s="13" t="s">
        <v>77</v>
      </c>
      <c r="D67">
        <v>221</v>
      </c>
      <c r="E67">
        <v>945247.18</v>
      </c>
      <c r="F67">
        <v>1.49</v>
      </c>
    </row>
    <row r="68" spans="1:6" x14ac:dyDescent="0.35">
      <c r="A68" s="13" t="s">
        <v>3288</v>
      </c>
      <c r="B68" s="14">
        <v>45716</v>
      </c>
      <c r="C68" s="13" t="s">
        <v>65</v>
      </c>
      <c r="D68">
        <v>205</v>
      </c>
      <c r="E68">
        <v>984735.4</v>
      </c>
      <c r="F68">
        <v>1.48</v>
      </c>
    </row>
    <row r="69" spans="1:6" x14ac:dyDescent="0.35">
      <c r="A69" s="13" t="s">
        <v>3288</v>
      </c>
      <c r="B69" s="14">
        <v>45716</v>
      </c>
      <c r="C69" s="13" t="s">
        <v>99</v>
      </c>
      <c r="D69">
        <v>191</v>
      </c>
      <c r="E69">
        <v>705311.41</v>
      </c>
      <c r="F69">
        <v>1.95</v>
      </c>
    </row>
    <row r="70" spans="1:6" x14ac:dyDescent="0.35">
      <c r="A70" s="13" t="s">
        <v>3288</v>
      </c>
      <c r="B70" s="14">
        <v>45716</v>
      </c>
      <c r="C70" s="13" t="s">
        <v>53</v>
      </c>
      <c r="D70">
        <v>207</v>
      </c>
      <c r="E70">
        <v>893433.36</v>
      </c>
      <c r="F70">
        <v>1.43</v>
      </c>
    </row>
    <row r="71" spans="1:6" x14ac:dyDescent="0.35">
      <c r="A71" s="13" t="s">
        <v>3288</v>
      </c>
      <c r="B71" s="14">
        <v>45716</v>
      </c>
      <c r="C71" s="13" t="s">
        <v>71</v>
      </c>
      <c r="D71">
        <v>173</v>
      </c>
      <c r="E71">
        <v>787395.82</v>
      </c>
      <c r="F71">
        <v>1.53</v>
      </c>
    </row>
    <row r="72" spans="1:6" x14ac:dyDescent="0.35">
      <c r="A72" s="13" t="s">
        <v>3289</v>
      </c>
      <c r="B72" s="14">
        <v>45747</v>
      </c>
      <c r="C72" s="13" t="s">
        <v>77</v>
      </c>
      <c r="D72">
        <v>271</v>
      </c>
      <c r="E72">
        <v>1241551.19</v>
      </c>
      <c r="F72">
        <v>1.54</v>
      </c>
    </row>
    <row r="73" spans="1:6" x14ac:dyDescent="0.35">
      <c r="A73" s="13" t="s">
        <v>3289</v>
      </c>
      <c r="B73" s="14">
        <v>45747</v>
      </c>
      <c r="C73" s="13" t="s">
        <v>65</v>
      </c>
      <c r="D73">
        <v>256</v>
      </c>
      <c r="E73">
        <v>1144174.56</v>
      </c>
      <c r="F73">
        <v>1.46</v>
      </c>
    </row>
    <row r="74" spans="1:6" x14ac:dyDescent="0.35">
      <c r="A74" s="13" t="s">
        <v>3289</v>
      </c>
      <c r="B74" s="14">
        <v>45747</v>
      </c>
      <c r="C74" s="13" t="s">
        <v>99</v>
      </c>
      <c r="D74">
        <v>205</v>
      </c>
      <c r="E74">
        <v>829657.66</v>
      </c>
      <c r="F74">
        <v>2.21</v>
      </c>
    </row>
    <row r="75" spans="1:6" x14ac:dyDescent="0.35">
      <c r="A75" s="13" t="s">
        <v>3289</v>
      </c>
      <c r="B75" s="14">
        <v>45747</v>
      </c>
      <c r="C75" s="13" t="s">
        <v>53</v>
      </c>
      <c r="D75">
        <v>213</v>
      </c>
      <c r="E75">
        <v>1022818.83</v>
      </c>
      <c r="F75">
        <v>1.53</v>
      </c>
    </row>
    <row r="76" spans="1:6" x14ac:dyDescent="0.35">
      <c r="A76" s="13" t="s">
        <v>3289</v>
      </c>
      <c r="B76" s="14">
        <v>45747</v>
      </c>
      <c r="C76" s="13" t="s">
        <v>71</v>
      </c>
      <c r="D76">
        <v>207</v>
      </c>
      <c r="E76">
        <v>860359.19</v>
      </c>
      <c r="F76">
        <v>1.45</v>
      </c>
    </row>
    <row r="77" spans="1:6" x14ac:dyDescent="0.35">
      <c r="A77" s="13" t="s">
        <v>3290</v>
      </c>
      <c r="B77" s="14">
        <v>45777</v>
      </c>
      <c r="C77" s="13" t="s">
        <v>77</v>
      </c>
      <c r="D77">
        <v>287</v>
      </c>
      <c r="E77">
        <v>1250177.05</v>
      </c>
      <c r="F77">
        <v>1.44</v>
      </c>
    </row>
    <row r="78" spans="1:6" x14ac:dyDescent="0.35">
      <c r="A78" s="13" t="s">
        <v>3290</v>
      </c>
      <c r="B78" s="14">
        <v>45777</v>
      </c>
      <c r="C78" s="13" t="s">
        <v>65</v>
      </c>
      <c r="D78">
        <v>290</v>
      </c>
      <c r="E78">
        <v>1341879.06</v>
      </c>
      <c r="F78">
        <v>1.53</v>
      </c>
    </row>
    <row r="79" spans="1:6" x14ac:dyDescent="0.35">
      <c r="A79" s="13" t="s">
        <v>3290</v>
      </c>
      <c r="B79" s="14">
        <v>45777</v>
      </c>
      <c r="C79" s="13" t="s">
        <v>99</v>
      </c>
      <c r="D79">
        <v>241</v>
      </c>
      <c r="E79">
        <v>837579.53</v>
      </c>
      <c r="F79">
        <v>2.5099999999999998</v>
      </c>
    </row>
    <row r="80" spans="1:6" x14ac:dyDescent="0.35">
      <c r="A80" s="13" t="s">
        <v>3290</v>
      </c>
      <c r="B80" s="14">
        <v>45777</v>
      </c>
      <c r="C80" s="13" t="s">
        <v>53</v>
      </c>
      <c r="D80">
        <v>274</v>
      </c>
      <c r="E80">
        <v>1163264.17</v>
      </c>
      <c r="F80">
        <v>1.55</v>
      </c>
    </row>
    <row r="81" spans="1:6" x14ac:dyDescent="0.35">
      <c r="A81" s="13" t="s">
        <v>3290</v>
      </c>
      <c r="B81" s="14">
        <v>45777</v>
      </c>
      <c r="C81" s="13" t="s">
        <v>71</v>
      </c>
      <c r="D81">
        <v>227</v>
      </c>
      <c r="E81">
        <v>885996.07</v>
      </c>
      <c r="F81">
        <v>1.46</v>
      </c>
    </row>
    <row r="82" spans="1:6" x14ac:dyDescent="0.35">
      <c r="A82" s="13" t="s">
        <v>3291</v>
      </c>
      <c r="B82" s="14">
        <v>45808</v>
      </c>
      <c r="C82" s="13" t="s">
        <v>77</v>
      </c>
      <c r="D82">
        <v>298</v>
      </c>
      <c r="E82">
        <v>1237232.78</v>
      </c>
      <c r="F82">
        <v>1.51</v>
      </c>
    </row>
    <row r="83" spans="1:6" x14ac:dyDescent="0.35">
      <c r="A83" s="13" t="s">
        <v>3291</v>
      </c>
      <c r="B83" s="14">
        <v>45808</v>
      </c>
      <c r="C83" s="13" t="s">
        <v>65</v>
      </c>
      <c r="D83">
        <v>284</v>
      </c>
      <c r="E83">
        <v>1275898.43</v>
      </c>
      <c r="F83">
        <v>1.48</v>
      </c>
    </row>
    <row r="84" spans="1:6" x14ac:dyDescent="0.35">
      <c r="A84" s="13" t="s">
        <v>3291</v>
      </c>
      <c r="B84" s="14">
        <v>45808</v>
      </c>
      <c r="C84" s="13" t="s">
        <v>99</v>
      </c>
      <c r="D84">
        <v>245</v>
      </c>
      <c r="E84">
        <v>1017851.03</v>
      </c>
      <c r="F84">
        <v>2.72</v>
      </c>
    </row>
    <row r="85" spans="1:6" x14ac:dyDescent="0.35">
      <c r="A85" s="13" t="s">
        <v>3291</v>
      </c>
      <c r="B85" s="14">
        <v>45808</v>
      </c>
      <c r="C85" s="13" t="s">
        <v>53</v>
      </c>
      <c r="D85">
        <v>267</v>
      </c>
      <c r="E85">
        <v>1106136.43</v>
      </c>
      <c r="F85">
        <v>1.53</v>
      </c>
    </row>
    <row r="86" spans="1:6" x14ac:dyDescent="0.35">
      <c r="A86" s="13" t="s">
        <v>3291</v>
      </c>
      <c r="B86" s="14">
        <v>45808</v>
      </c>
      <c r="C86" s="13" t="s">
        <v>71</v>
      </c>
      <c r="D86">
        <v>242</v>
      </c>
      <c r="E86">
        <v>993875.56</v>
      </c>
      <c r="F86">
        <v>1.52</v>
      </c>
    </row>
    <row r="87" spans="1:6" x14ac:dyDescent="0.35">
      <c r="A87" s="13" t="s">
        <v>3292</v>
      </c>
      <c r="B87" s="14">
        <v>45838</v>
      </c>
      <c r="C87" s="13" t="s">
        <v>77</v>
      </c>
      <c r="D87">
        <v>258</v>
      </c>
      <c r="E87">
        <v>1052850.3899999999</v>
      </c>
      <c r="F87">
        <v>1.56</v>
      </c>
    </row>
    <row r="88" spans="1:6" x14ac:dyDescent="0.35">
      <c r="A88" s="13" t="s">
        <v>3292</v>
      </c>
      <c r="B88" s="14">
        <v>45838</v>
      </c>
      <c r="C88" s="13" t="s">
        <v>65</v>
      </c>
      <c r="D88">
        <v>280</v>
      </c>
      <c r="E88">
        <v>1220346.5</v>
      </c>
      <c r="F88">
        <v>1.53</v>
      </c>
    </row>
    <row r="89" spans="1:6" x14ac:dyDescent="0.35">
      <c r="A89" s="13" t="s">
        <v>3292</v>
      </c>
      <c r="B89" s="14">
        <v>45838</v>
      </c>
      <c r="C89" s="13" t="s">
        <v>99</v>
      </c>
      <c r="D89">
        <v>237</v>
      </c>
      <c r="E89">
        <v>998186.05</v>
      </c>
      <c r="F89">
        <v>3.07</v>
      </c>
    </row>
    <row r="90" spans="1:6" x14ac:dyDescent="0.35">
      <c r="A90" s="13" t="s">
        <v>3292</v>
      </c>
      <c r="B90" s="14">
        <v>45838</v>
      </c>
      <c r="C90" s="13" t="s">
        <v>53</v>
      </c>
      <c r="D90">
        <v>243</v>
      </c>
      <c r="E90">
        <v>1005103.35</v>
      </c>
      <c r="F90">
        <v>1.46</v>
      </c>
    </row>
    <row r="91" spans="1:6" x14ac:dyDescent="0.35">
      <c r="A91" s="13" t="s">
        <v>3292</v>
      </c>
      <c r="B91" s="14">
        <v>45838</v>
      </c>
      <c r="C91" s="13" t="s">
        <v>71</v>
      </c>
      <c r="D91">
        <v>231</v>
      </c>
      <c r="E91">
        <v>894306.1</v>
      </c>
      <c r="F91">
        <v>1.56</v>
      </c>
    </row>
    <row r="92" spans="1:6" x14ac:dyDescent="0.35">
      <c r="A92" s="13" t="s">
        <v>3293</v>
      </c>
      <c r="B92" s="14">
        <v>45869</v>
      </c>
      <c r="C92" s="13" t="s">
        <v>77</v>
      </c>
      <c r="D92">
        <v>303</v>
      </c>
      <c r="E92">
        <v>1383757.58</v>
      </c>
      <c r="F92">
        <v>1.53</v>
      </c>
    </row>
    <row r="93" spans="1:6" x14ac:dyDescent="0.35">
      <c r="A93" s="13" t="s">
        <v>3293</v>
      </c>
      <c r="B93" s="14">
        <v>45869</v>
      </c>
      <c r="C93" s="13" t="s">
        <v>65</v>
      </c>
      <c r="D93">
        <v>306</v>
      </c>
      <c r="E93">
        <v>1369484.39</v>
      </c>
      <c r="F93">
        <v>1.48</v>
      </c>
    </row>
    <row r="94" spans="1:6" x14ac:dyDescent="0.35">
      <c r="A94" s="13" t="s">
        <v>3293</v>
      </c>
      <c r="B94" s="14">
        <v>45869</v>
      </c>
      <c r="C94" s="13" t="s">
        <v>99</v>
      </c>
      <c r="D94">
        <v>277</v>
      </c>
      <c r="E94">
        <v>1142704.6100000001</v>
      </c>
      <c r="F94">
        <v>3.26</v>
      </c>
    </row>
    <row r="95" spans="1:6" x14ac:dyDescent="0.35">
      <c r="A95" s="13" t="s">
        <v>3293</v>
      </c>
      <c r="B95" s="14">
        <v>45869</v>
      </c>
      <c r="C95" s="13" t="s">
        <v>53</v>
      </c>
      <c r="D95">
        <v>292</v>
      </c>
      <c r="E95">
        <v>1212378.56</v>
      </c>
      <c r="F95">
        <v>1.48</v>
      </c>
    </row>
    <row r="96" spans="1:6" x14ac:dyDescent="0.35">
      <c r="A96" s="13" t="s">
        <v>3293</v>
      </c>
      <c r="B96" s="14">
        <v>45869</v>
      </c>
      <c r="C96" s="13" t="s">
        <v>71</v>
      </c>
      <c r="D96">
        <v>247</v>
      </c>
      <c r="E96">
        <v>951618.19</v>
      </c>
      <c r="F96">
        <v>1.48</v>
      </c>
    </row>
    <row r="97" spans="1:6" x14ac:dyDescent="0.35">
      <c r="A97" s="13" t="s">
        <v>3294</v>
      </c>
      <c r="B97" s="14">
        <v>45900</v>
      </c>
      <c r="C97" s="13" t="s">
        <v>77</v>
      </c>
      <c r="D97">
        <v>271</v>
      </c>
      <c r="E97">
        <v>1219243.1599999999</v>
      </c>
      <c r="F97">
        <v>1.46</v>
      </c>
    </row>
    <row r="98" spans="1:6" x14ac:dyDescent="0.35">
      <c r="A98" s="13" t="s">
        <v>3294</v>
      </c>
      <c r="B98" s="14">
        <v>45900</v>
      </c>
      <c r="C98" s="13" t="s">
        <v>65</v>
      </c>
      <c r="D98">
        <v>296</v>
      </c>
      <c r="E98">
        <v>1198498.94</v>
      </c>
      <c r="F98">
        <v>1.54</v>
      </c>
    </row>
    <row r="99" spans="1:6" x14ac:dyDescent="0.35">
      <c r="A99" s="13" t="s">
        <v>3294</v>
      </c>
      <c r="B99" s="14">
        <v>45900</v>
      </c>
      <c r="C99" s="13" t="s">
        <v>99</v>
      </c>
      <c r="D99">
        <v>226</v>
      </c>
      <c r="E99">
        <v>895168.81</v>
      </c>
      <c r="F99">
        <v>3.69</v>
      </c>
    </row>
    <row r="100" spans="1:6" x14ac:dyDescent="0.35">
      <c r="A100" s="13" t="s">
        <v>3294</v>
      </c>
      <c r="B100" s="14">
        <v>45900</v>
      </c>
      <c r="C100" s="13" t="s">
        <v>53</v>
      </c>
      <c r="D100">
        <v>253</v>
      </c>
      <c r="E100">
        <v>1167853.0900000001</v>
      </c>
      <c r="F100">
        <v>1.43</v>
      </c>
    </row>
    <row r="101" spans="1:6" x14ac:dyDescent="0.35">
      <c r="A101" s="13" t="s">
        <v>3294</v>
      </c>
      <c r="B101" s="14">
        <v>45900</v>
      </c>
      <c r="C101" s="13" t="s">
        <v>71</v>
      </c>
      <c r="D101">
        <v>255</v>
      </c>
      <c r="E101">
        <v>968778.69</v>
      </c>
      <c r="F101">
        <v>1.52</v>
      </c>
    </row>
    <row r="102" spans="1:6" x14ac:dyDescent="0.35">
      <c r="A102" s="13" t="s">
        <v>3295</v>
      </c>
      <c r="B102" s="14">
        <v>45930</v>
      </c>
      <c r="C102" s="13" t="s">
        <v>77</v>
      </c>
      <c r="D102">
        <v>270</v>
      </c>
      <c r="E102">
        <v>1250311.8400000001</v>
      </c>
      <c r="F102">
        <v>1.53</v>
      </c>
    </row>
    <row r="103" spans="1:6" x14ac:dyDescent="0.35">
      <c r="A103" s="13" t="s">
        <v>3295</v>
      </c>
      <c r="B103" s="14">
        <v>45930</v>
      </c>
      <c r="C103" s="13" t="s">
        <v>65</v>
      </c>
      <c r="D103">
        <v>317</v>
      </c>
      <c r="E103">
        <v>1360326.55</v>
      </c>
      <c r="F103">
        <v>1.44</v>
      </c>
    </row>
    <row r="104" spans="1:6" x14ac:dyDescent="0.35">
      <c r="A104" s="13" t="s">
        <v>3295</v>
      </c>
      <c r="B104" s="14">
        <v>45930</v>
      </c>
      <c r="C104" s="13" t="s">
        <v>99</v>
      </c>
      <c r="D104">
        <v>237</v>
      </c>
      <c r="E104">
        <v>855794.35</v>
      </c>
      <c r="F104">
        <v>3.85</v>
      </c>
    </row>
    <row r="105" spans="1:6" x14ac:dyDescent="0.35">
      <c r="A105" s="13" t="s">
        <v>3295</v>
      </c>
      <c r="B105" s="14">
        <v>45930</v>
      </c>
      <c r="C105" s="13" t="s">
        <v>53</v>
      </c>
      <c r="D105">
        <v>282</v>
      </c>
      <c r="E105">
        <v>1197443.1499999999</v>
      </c>
      <c r="F105">
        <v>1.51</v>
      </c>
    </row>
    <row r="106" spans="1:6" x14ac:dyDescent="0.35">
      <c r="A106" s="13" t="s">
        <v>3295</v>
      </c>
      <c r="B106" s="14">
        <v>45930</v>
      </c>
      <c r="C106" s="13" t="s">
        <v>71</v>
      </c>
      <c r="D106">
        <v>265</v>
      </c>
      <c r="E106">
        <v>1065988.1599999999</v>
      </c>
      <c r="F106">
        <v>1.48</v>
      </c>
    </row>
    <row r="107" spans="1:6" x14ac:dyDescent="0.35">
      <c r="A107" s="13" t="s">
        <v>3296</v>
      </c>
      <c r="B107" s="14">
        <v>45961</v>
      </c>
      <c r="C107" s="13" t="s">
        <v>77</v>
      </c>
      <c r="D107">
        <v>268</v>
      </c>
      <c r="E107">
        <v>1306854.46</v>
      </c>
      <c r="F107">
        <v>1.5</v>
      </c>
    </row>
    <row r="108" spans="1:6" x14ac:dyDescent="0.35">
      <c r="A108" s="13" t="s">
        <v>3296</v>
      </c>
      <c r="B108" s="14">
        <v>45961</v>
      </c>
      <c r="C108" s="13" t="s">
        <v>65</v>
      </c>
      <c r="D108">
        <v>278</v>
      </c>
      <c r="E108">
        <v>1243461.9099999999</v>
      </c>
      <c r="F108">
        <v>1.56</v>
      </c>
    </row>
    <row r="109" spans="1:6" x14ac:dyDescent="0.35">
      <c r="A109" s="13" t="s">
        <v>3296</v>
      </c>
      <c r="B109" s="14">
        <v>45961</v>
      </c>
      <c r="C109" s="13" t="s">
        <v>99</v>
      </c>
      <c r="D109">
        <v>247</v>
      </c>
      <c r="E109">
        <v>977000.33</v>
      </c>
      <c r="F109">
        <v>4.21</v>
      </c>
    </row>
    <row r="110" spans="1:6" x14ac:dyDescent="0.35">
      <c r="A110" s="13" t="s">
        <v>3296</v>
      </c>
      <c r="B110" s="14">
        <v>45961</v>
      </c>
      <c r="C110" s="13" t="s">
        <v>53</v>
      </c>
      <c r="D110">
        <v>266</v>
      </c>
      <c r="E110">
        <v>1199398.7</v>
      </c>
      <c r="F110">
        <v>1.5</v>
      </c>
    </row>
    <row r="111" spans="1:6" x14ac:dyDescent="0.35">
      <c r="A111" s="13" t="s">
        <v>3296</v>
      </c>
      <c r="B111" s="14">
        <v>45961</v>
      </c>
      <c r="C111" s="13" t="s">
        <v>71</v>
      </c>
      <c r="D111">
        <v>268</v>
      </c>
      <c r="E111">
        <v>1100868.1200000001</v>
      </c>
      <c r="F111">
        <v>1.45</v>
      </c>
    </row>
    <row r="112" spans="1:6" x14ac:dyDescent="0.35">
      <c r="A112" s="13" t="s">
        <v>3297</v>
      </c>
      <c r="B112" s="14">
        <v>45991</v>
      </c>
      <c r="C112" s="13" t="s">
        <v>77</v>
      </c>
      <c r="D112">
        <v>256</v>
      </c>
      <c r="E112">
        <v>1172815.6599999999</v>
      </c>
      <c r="F112">
        <v>1.54</v>
      </c>
    </row>
    <row r="113" spans="1:6" x14ac:dyDescent="0.35">
      <c r="A113" s="13" t="s">
        <v>3297</v>
      </c>
      <c r="B113" s="14">
        <v>45991</v>
      </c>
      <c r="C113" s="13" t="s">
        <v>65</v>
      </c>
      <c r="D113">
        <v>241</v>
      </c>
      <c r="E113">
        <v>976603.3</v>
      </c>
      <c r="F113">
        <v>1.47</v>
      </c>
    </row>
    <row r="114" spans="1:6" x14ac:dyDescent="0.35">
      <c r="A114" s="13" t="s">
        <v>3297</v>
      </c>
      <c r="B114" s="14">
        <v>45991</v>
      </c>
      <c r="C114" s="13" t="s">
        <v>99</v>
      </c>
      <c r="D114">
        <v>219</v>
      </c>
      <c r="E114">
        <v>853589.74</v>
      </c>
      <c r="F114">
        <v>4.46</v>
      </c>
    </row>
    <row r="115" spans="1:6" x14ac:dyDescent="0.35">
      <c r="A115" s="13" t="s">
        <v>3297</v>
      </c>
      <c r="B115" s="14">
        <v>45991</v>
      </c>
      <c r="C115" s="13" t="s">
        <v>53</v>
      </c>
      <c r="D115">
        <v>214</v>
      </c>
      <c r="E115">
        <v>1015084.01</v>
      </c>
      <c r="F115">
        <v>1.46</v>
      </c>
    </row>
    <row r="116" spans="1:6" x14ac:dyDescent="0.35">
      <c r="A116" s="13" t="s">
        <v>3297</v>
      </c>
      <c r="B116" s="14">
        <v>45991</v>
      </c>
      <c r="C116" s="13" t="s">
        <v>71</v>
      </c>
      <c r="D116">
        <v>202</v>
      </c>
      <c r="E116">
        <v>791024.34</v>
      </c>
      <c r="F116">
        <v>1.48</v>
      </c>
    </row>
    <row r="117" spans="1:6" x14ac:dyDescent="0.35">
      <c r="A117" s="13" t="s">
        <v>3298</v>
      </c>
      <c r="B117" s="14">
        <v>46022</v>
      </c>
      <c r="C117" s="13" t="s">
        <v>77</v>
      </c>
      <c r="D117">
        <v>237</v>
      </c>
      <c r="E117">
        <v>1152339.72</v>
      </c>
      <c r="F117">
        <v>1.5</v>
      </c>
    </row>
    <row r="118" spans="1:6" x14ac:dyDescent="0.35">
      <c r="A118" s="13" t="s">
        <v>3298</v>
      </c>
      <c r="B118" s="14">
        <v>46022</v>
      </c>
      <c r="C118" s="13" t="s">
        <v>65</v>
      </c>
      <c r="D118">
        <v>306</v>
      </c>
      <c r="E118">
        <v>1405248.94</v>
      </c>
      <c r="F118">
        <v>1.54</v>
      </c>
    </row>
    <row r="119" spans="1:6" x14ac:dyDescent="0.35">
      <c r="A119" s="13" t="s">
        <v>3298</v>
      </c>
      <c r="B119" s="14">
        <v>46022</v>
      </c>
      <c r="C119" s="13" t="s">
        <v>99</v>
      </c>
      <c r="D119">
        <v>221</v>
      </c>
      <c r="E119">
        <v>810206.65</v>
      </c>
      <c r="F119">
        <v>4.78</v>
      </c>
    </row>
    <row r="120" spans="1:6" x14ac:dyDescent="0.35">
      <c r="A120" s="13" t="s">
        <v>3298</v>
      </c>
      <c r="B120" s="14">
        <v>46022</v>
      </c>
      <c r="C120" s="13" t="s">
        <v>53</v>
      </c>
      <c r="D120">
        <v>282</v>
      </c>
      <c r="E120">
        <v>1176147.77</v>
      </c>
      <c r="F120">
        <v>1.45</v>
      </c>
    </row>
    <row r="121" spans="1:6" x14ac:dyDescent="0.35">
      <c r="A121" s="13" t="s">
        <v>3298</v>
      </c>
      <c r="B121" s="14">
        <v>46022</v>
      </c>
      <c r="C121" s="13" t="s">
        <v>71</v>
      </c>
      <c r="D121">
        <v>257</v>
      </c>
      <c r="E121">
        <v>1104688.78</v>
      </c>
      <c r="F121">
        <v>1.48</v>
      </c>
    </row>
  </sheetData>
  <phoneticPr fontId="6"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FB9D-83C2-40DC-80FF-A5F887F7252F}">
  <dimension ref="A1:H13"/>
  <sheetViews>
    <sheetView workbookViewId="0"/>
  </sheetViews>
  <sheetFormatPr defaultRowHeight="14.5" x14ac:dyDescent="0.35"/>
  <cols>
    <col min="1" max="1" width="28.08984375" bestFit="1" customWidth="1"/>
    <col min="2" max="2" width="9.81640625" bestFit="1" customWidth="1"/>
    <col min="3" max="3" width="13.6328125" bestFit="1" customWidth="1"/>
    <col min="4" max="4" width="11.90625" bestFit="1" customWidth="1"/>
    <col min="5" max="5" width="15" bestFit="1" customWidth="1"/>
    <col min="6" max="6" width="19.7265625" bestFit="1" customWidth="1"/>
    <col min="7" max="7" width="17" bestFit="1" customWidth="1"/>
    <col min="8" max="8" width="22.90625" bestFit="1" customWidth="1"/>
  </cols>
  <sheetData>
    <row r="1" spans="1:8" s="3" customFormat="1" x14ac:dyDescent="0.35">
      <c r="A1" s="3" t="s">
        <v>4738</v>
      </c>
      <c r="B1" s="3" t="s">
        <v>4739</v>
      </c>
      <c r="C1" s="3" t="s">
        <v>4740</v>
      </c>
      <c r="D1" s="3" t="s">
        <v>4741</v>
      </c>
      <c r="E1" s="3" t="s">
        <v>4742</v>
      </c>
      <c r="F1" s="3" t="s">
        <v>4743</v>
      </c>
      <c r="G1" s="3" t="s">
        <v>4744</v>
      </c>
      <c r="H1" s="3" t="s">
        <v>4745</v>
      </c>
    </row>
    <row r="2" spans="1:8" x14ac:dyDescent="0.35">
      <c r="A2" s="13" t="s">
        <v>4746</v>
      </c>
      <c r="B2" s="13" t="s">
        <v>92</v>
      </c>
      <c r="C2" s="13" t="s">
        <v>4747</v>
      </c>
      <c r="D2">
        <v>0</v>
      </c>
      <c r="E2">
        <v>0</v>
      </c>
      <c r="F2">
        <v>29971</v>
      </c>
      <c r="G2">
        <v>0</v>
      </c>
      <c r="H2">
        <v>0</v>
      </c>
    </row>
    <row r="3" spans="1:8" x14ac:dyDescent="0.35">
      <c r="A3" s="13" t="s">
        <v>4748</v>
      </c>
      <c r="B3" s="13" t="s">
        <v>92</v>
      </c>
      <c r="C3" s="13" t="s">
        <v>4749</v>
      </c>
      <c r="D3">
        <v>0</v>
      </c>
      <c r="E3">
        <v>0</v>
      </c>
      <c r="F3">
        <v>29312</v>
      </c>
      <c r="G3">
        <v>0</v>
      </c>
      <c r="H3">
        <v>0</v>
      </c>
    </row>
    <row r="4" spans="1:8" x14ac:dyDescent="0.35">
      <c r="A4" s="13" t="s">
        <v>4750</v>
      </c>
      <c r="B4" s="13" t="s">
        <v>92</v>
      </c>
      <c r="C4" s="13" t="s">
        <v>4747</v>
      </c>
      <c r="D4">
        <v>96</v>
      </c>
      <c r="E4">
        <v>371039.99</v>
      </c>
      <c r="F4">
        <v>27601</v>
      </c>
      <c r="G4">
        <v>0.34799999999999998</v>
      </c>
      <c r="H4">
        <v>0</v>
      </c>
    </row>
    <row r="5" spans="1:8" x14ac:dyDescent="0.35">
      <c r="A5" s="13" t="s">
        <v>4751</v>
      </c>
      <c r="B5" s="13" t="s">
        <v>92</v>
      </c>
      <c r="C5" s="13" t="s">
        <v>4752</v>
      </c>
      <c r="D5">
        <v>0</v>
      </c>
      <c r="E5">
        <v>0</v>
      </c>
      <c r="F5">
        <v>29971</v>
      </c>
      <c r="G5">
        <v>0</v>
      </c>
      <c r="H5">
        <v>0</v>
      </c>
    </row>
    <row r="6" spans="1:8" x14ac:dyDescent="0.35">
      <c r="A6" s="13" t="s">
        <v>4753</v>
      </c>
      <c r="B6" s="13" t="s">
        <v>92</v>
      </c>
      <c r="C6" s="13" t="s">
        <v>4747</v>
      </c>
      <c r="D6">
        <v>101</v>
      </c>
      <c r="E6">
        <v>371039.99</v>
      </c>
      <c r="F6">
        <v>29971</v>
      </c>
      <c r="G6">
        <v>0.33700000000000002</v>
      </c>
      <c r="H6">
        <v>1</v>
      </c>
    </row>
    <row r="7" spans="1:8" x14ac:dyDescent="0.35">
      <c r="A7" s="13" t="s">
        <v>4754</v>
      </c>
      <c r="B7" s="13" t="s">
        <v>92</v>
      </c>
      <c r="C7" s="13" t="s">
        <v>4749</v>
      </c>
      <c r="D7">
        <v>27</v>
      </c>
      <c r="E7">
        <v>100496.95</v>
      </c>
      <c r="F7">
        <v>27601</v>
      </c>
      <c r="G7">
        <v>9.8000000000000004E-2</v>
      </c>
      <c r="H7">
        <v>0</v>
      </c>
    </row>
    <row r="8" spans="1:8" x14ac:dyDescent="0.35">
      <c r="A8" s="13" t="s">
        <v>4755</v>
      </c>
      <c r="B8" s="13" t="s">
        <v>92</v>
      </c>
      <c r="C8" s="13" t="s">
        <v>4756</v>
      </c>
      <c r="D8">
        <v>65</v>
      </c>
      <c r="E8">
        <v>265487.11</v>
      </c>
      <c r="F8">
        <v>400</v>
      </c>
      <c r="G8">
        <v>16.25</v>
      </c>
      <c r="H8">
        <v>0</v>
      </c>
    </row>
    <row r="9" spans="1:8" x14ac:dyDescent="0.35">
      <c r="A9" s="13" t="s">
        <v>4757</v>
      </c>
      <c r="B9" s="13" t="s">
        <v>55</v>
      </c>
      <c r="C9" s="13" t="s">
        <v>4747</v>
      </c>
      <c r="D9">
        <v>0</v>
      </c>
      <c r="E9">
        <v>0</v>
      </c>
      <c r="F9">
        <v>29312</v>
      </c>
      <c r="G9">
        <v>0</v>
      </c>
      <c r="H9">
        <v>0</v>
      </c>
    </row>
    <row r="10" spans="1:8" x14ac:dyDescent="0.35">
      <c r="A10" s="13" t="s">
        <v>4758</v>
      </c>
      <c r="B10" s="13" t="s">
        <v>55</v>
      </c>
      <c r="C10" s="13" t="s">
        <v>4752</v>
      </c>
      <c r="D10">
        <v>0</v>
      </c>
      <c r="E10">
        <v>0</v>
      </c>
      <c r="F10">
        <v>29971</v>
      </c>
      <c r="G10">
        <v>0</v>
      </c>
      <c r="H10">
        <v>0</v>
      </c>
    </row>
    <row r="11" spans="1:8" x14ac:dyDescent="0.35">
      <c r="A11" s="13" t="s">
        <v>4759</v>
      </c>
      <c r="B11" s="13" t="s">
        <v>55</v>
      </c>
      <c r="C11" s="13" t="s">
        <v>4760</v>
      </c>
      <c r="D11">
        <v>52</v>
      </c>
      <c r="E11">
        <v>12727.4</v>
      </c>
      <c r="F11">
        <v>29971</v>
      </c>
      <c r="G11">
        <v>0.17399999999999999</v>
      </c>
      <c r="H11">
        <v>0</v>
      </c>
    </row>
    <row r="12" spans="1:8" x14ac:dyDescent="0.35">
      <c r="A12" s="13" t="s">
        <v>4761</v>
      </c>
      <c r="B12" s="13" t="s">
        <v>55</v>
      </c>
      <c r="C12" s="13" t="s">
        <v>4752</v>
      </c>
      <c r="D12">
        <v>20</v>
      </c>
      <c r="E12">
        <v>76841.740000000005</v>
      </c>
      <c r="F12">
        <v>29971</v>
      </c>
      <c r="G12">
        <v>6.7000000000000004E-2</v>
      </c>
      <c r="H12">
        <v>0</v>
      </c>
    </row>
    <row r="13" spans="1:8" x14ac:dyDescent="0.35">
      <c r="A13" s="13" t="s">
        <v>4762</v>
      </c>
      <c r="B13" s="13" t="s">
        <v>55</v>
      </c>
      <c r="C13" s="13" t="s">
        <v>4749</v>
      </c>
      <c r="D13">
        <v>0</v>
      </c>
      <c r="E13">
        <v>0</v>
      </c>
      <c r="F13">
        <v>27601</v>
      </c>
      <c r="G13">
        <v>0</v>
      </c>
      <c r="H13">
        <v>0</v>
      </c>
    </row>
  </sheetData>
  <phoneticPr fontId="6"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A4D7B0-7FE2-4809-ADFC-48B606F99A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9</vt:i4>
      </vt:variant>
    </vt:vector>
  </HeadingPairs>
  <TitlesOfParts>
    <vt:vector size="28" baseType="lpstr">
      <vt:lpstr>README</vt:lpstr>
      <vt:lpstr>Dashboard</vt:lpstr>
      <vt:lpstr>Priority Queue</vt:lpstr>
      <vt:lpstr>Cash Application</vt:lpstr>
      <vt:lpstr>Ageing Matrix</vt:lpstr>
      <vt:lpstr>Validation</vt:lpstr>
      <vt:lpstr>Calc</vt:lpstr>
      <vt:lpstr>Control</vt:lpstr>
      <vt:lpstr>Data_OpenItems</vt:lpstr>
      <vt:lpstr>Data_Queue</vt:lpstr>
      <vt:lpstr>Data_KPI</vt:lpstr>
      <vt:lpstr>Data_Bridge</vt:lpstr>
      <vt:lpstr>Data_Sales</vt:lpstr>
      <vt:lpstr>Data_Targets</vt:lpstr>
      <vt:lpstr>Data_Buckets</vt:lpstr>
      <vt:lpstr>Data_CashApp</vt:lpstr>
      <vt:lpstr>Data_Promise</vt:lpstr>
      <vt:lpstr>Data_Lag</vt:lpstr>
      <vt:lpstr>Data_DQ</vt:lpstr>
      <vt:lpstr>AsOfDate</vt:lpstr>
      <vt:lpstr>Bucket90Threshold</vt:lpstr>
      <vt:lpstr>CallsPerCollectorPerDay</vt:lpstr>
      <vt:lpstr>DisputeDiscount</vt:lpstr>
      <vt:lpstr>QueueRowsShown</vt:lpstr>
      <vt:lpstr>SourceFolder</vt:lpstr>
      <vt:lpstr>xlADD</vt:lpstr>
      <vt:lpstr>xlBPDSO</vt:lpstr>
      <vt:lpstr>xlDSOCountback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2026-09-30T12:52:37Z</dcterms:created>
  <dcterms:modified xsi:type="dcterms:W3CDTF">2026-09-30T12:53:12Z</dcterms:modified>
</cp:coreProperties>
</file>