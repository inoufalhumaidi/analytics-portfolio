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7FF16396-9868-4B69-A9B0-B400481C2E2F}" xr6:coauthVersionLast="47" xr6:coauthVersionMax="47" xr10:uidLastSave="{00000000-0000-0000-0000-000000000000}"/>
  <bookViews>
    <workbookView xWindow="0" yWindow="0" windowWidth="25600" windowHeight="15280" activeTab="1" xr2:uid="{4835F945-6EE5-4131-BC6A-4188BBDEAE5B}"/>
  </bookViews>
  <sheets>
    <sheet name="README" sheetId="12" r:id="rId1"/>
    <sheet name="Dashboard" sheetId="13" r:id="rId2"/>
    <sheet name="Bases" sheetId="15" r:id="rId3"/>
    <sheet name="Action Queue" sheetId="14" r:id="rId4"/>
    <sheet name="Prediction" sheetId="16" r:id="rId5"/>
    <sheet name="Validation" sheetId="17" r:id="rId6"/>
    <sheet name="Control" sheetId="1" r:id="rId7"/>
    <sheet name="Data_Wear" sheetId="2" state="hidden" r:id="rId8"/>
    <sheet name="Data_Queue" sheetId="3" state="hidden" r:id="rId9"/>
    <sheet name="Data_Base" sheetId="4" state="hidden" r:id="rId10"/>
    <sheet name="Data_KPI" sheetId="5" state="hidden" r:id="rId11"/>
    <sheet name="Data_Sweep" sheetId="6" state="hidden" r:id="rId12"/>
    <sheet name="Data_Targets" sheetId="7" state="hidden" r:id="rId13"/>
    <sheet name="Data_Stress" sheetId="8" state="hidden" r:id="rId14"/>
    <sheet name="Data_Interval" sheetId="9" state="hidden" r:id="rId15"/>
    <sheet name="Data_Trend" sheetId="10" state="hidden" r:id="rId16"/>
    <sheet name="Data_DQ" sheetId="11" state="hidden" r:id="rId17"/>
    <sheet name="Calc" sheetId="18" state="hidden" r:id="rId18"/>
  </sheets>
  <definedNames>
    <definedName name="AlertThreshold">Control!$B$8</definedName>
    <definedName name="AsOfDate">Control!$B$6</definedName>
    <definedName name="CalcInWeek">Calc!$D$5:$D$198</definedName>
    <definedName name="ExternalData_1" localSheetId="9" hidden="1">Data_Base!$A$1:$Q$5</definedName>
    <definedName name="ExternalData_1" localSheetId="16" hidden="1">Data_DQ!$A$1:$G$74</definedName>
    <definedName name="ExternalData_1" localSheetId="14" hidden="1">Data_Interval!$A$1:$E$7</definedName>
    <definedName name="ExternalData_1" localSheetId="10" hidden="1">Data_KPI!$A$1:$J$9</definedName>
    <definedName name="ExternalData_1" localSheetId="8" hidden="1">Data_Queue!$A$1:$AC$195</definedName>
    <definedName name="ExternalData_1" localSheetId="13" hidden="1">Data_Stress!$A$1:$E$7</definedName>
    <definedName name="ExternalData_1" localSheetId="11" hidden="1">Data_Sweep!$A$1:$Q$115</definedName>
    <definedName name="ExternalData_1" localSheetId="12" hidden="1">Data_Targets!$A$1:$F$9</definedName>
    <definedName name="ExternalData_1" localSheetId="15" hidden="1">Data_Trend!$A$1:$C$97</definedName>
    <definedName name="ExternalData_1" localSheetId="7" hidden="1">Data_Wear!$A$1:$AB$365</definedName>
    <definedName name="FleetActionablePct">Prediction!$I$8</definedName>
    <definedName name="FleetPrecisionPct">Prediction!$F$8</definedName>
    <definedName name="HangarHoursPerWeek">Control!$B$7</definedName>
    <definedName name="SourceFolder">Control!$B$5</definedName>
    <definedName name="ValidationRange">Validation!$E$6:$E$21</definedName>
    <definedName name="ValidationSummary">Validation!$C$23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1" i="17" l="1"/>
  <c r="C21" i="17"/>
  <c r="E21" i="17" s="1"/>
  <c r="D20" i="17"/>
  <c r="D19" i="17"/>
  <c r="C19" i="17"/>
  <c r="E19" i="17" s="1"/>
  <c r="D18" i="17"/>
  <c r="C18" i="17"/>
  <c r="E18" i="17" s="1"/>
  <c r="D17" i="17"/>
  <c r="C17" i="17"/>
  <c r="E17" i="17" s="1"/>
  <c r="D16" i="17"/>
  <c r="C16" i="17"/>
  <c r="E16" i="17" s="1"/>
  <c r="D15" i="17"/>
  <c r="C15" i="17"/>
  <c r="E15" i="17" s="1"/>
  <c r="D14" i="17"/>
  <c r="C14" i="17"/>
  <c r="E14" i="17" s="1"/>
  <c r="D13" i="17"/>
  <c r="C13" i="17"/>
  <c r="E13" i="17" s="1"/>
  <c r="D12" i="17"/>
  <c r="C12" i="17"/>
  <c r="E12" i="17" s="1"/>
  <c r="D11" i="17"/>
  <c r="C11" i="17"/>
  <c r="E11" i="17" s="1"/>
  <c r="D10" i="17"/>
  <c r="C10" i="17"/>
  <c r="E10" i="17" s="1"/>
  <c r="D9" i="17"/>
  <c r="C9" i="17"/>
  <c r="E9" i="17" s="1"/>
  <c r="D8" i="17"/>
  <c r="C8" i="17"/>
  <c r="E8" i="17" s="1"/>
  <c r="D7" i="17"/>
  <c r="C7" i="17"/>
  <c r="E7" i="17" s="1"/>
  <c r="D6" i="17"/>
  <c r="C6" i="17"/>
  <c r="E6" i="17" s="1"/>
  <c r="A126" i="14"/>
  <c r="L124" i="14"/>
  <c r="K124" i="14"/>
  <c r="J124" i="14"/>
  <c r="I124" i="14"/>
  <c r="H124" i="14"/>
  <c r="G124" i="14"/>
  <c r="F124" i="14"/>
  <c r="E124" i="14"/>
  <c r="D124" i="14"/>
  <c r="C124" i="14"/>
  <c r="B124" i="14"/>
  <c r="L123" i="14"/>
  <c r="K123" i="14"/>
  <c r="J123" i="14"/>
  <c r="I123" i="14"/>
  <c r="H123" i="14"/>
  <c r="G123" i="14"/>
  <c r="F123" i="14"/>
  <c r="E123" i="14"/>
  <c r="D123" i="14"/>
  <c r="C123" i="14"/>
  <c r="B123" i="14"/>
  <c r="L122" i="14"/>
  <c r="K122" i="14"/>
  <c r="J122" i="14"/>
  <c r="I122" i="14"/>
  <c r="H122" i="14"/>
  <c r="G122" i="14"/>
  <c r="F122" i="14"/>
  <c r="E122" i="14"/>
  <c r="D122" i="14"/>
  <c r="C122" i="14"/>
  <c r="B122" i="14"/>
  <c r="L121" i="14"/>
  <c r="K121" i="14"/>
  <c r="J121" i="14"/>
  <c r="I121" i="14"/>
  <c r="H121" i="14"/>
  <c r="G121" i="14"/>
  <c r="F121" i="14"/>
  <c r="E121" i="14"/>
  <c r="D121" i="14"/>
  <c r="C121" i="14"/>
  <c r="B121" i="14"/>
  <c r="L120" i="14"/>
  <c r="K120" i="14"/>
  <c r="J120" i="14"/>
  <c r="I120" i="14"/>
  <c r="H120" i="14"/>
  <c r="G120" i="14"/>
  <c r="F120" i="14"/>
  <c r="E120" i="14"/>
  <c r="D120" i="14"/>
  <c r="C120" i="14"/>
  <c r="B120" i="14"/>
  <c r="L119" i="14"/>
  <c r="K119" i="14"/>
  <c r="J119" i="14"/>
  <c r="I119" i="14"/>
  <c r="H119" i="14"/>
  <c r="G119" i="14"/>
  <c r="F119" i="14"/>
  <c r="E119" i="14"/>
  <c r="D119" i="14"/>
  <c r="C119" i="14"/>
  <c r="B119" i="14"/>
  <c r="L118" i="14"/>
  <c r="K118" i="14"/>
  <c r="J118" i="14"/>
  <c r="I118" i="14"/>
  <c r="H118" i="14"/>
  <c r="G118" i="14"/>
  <c r="F118" i="14"/>
  <c r="E118" i="14"/>
  <c r="D118" i="14"/>
  <c r="C118" i="14"/>
  <c r="B118" i="14"/>
  <c r="L117" i="14"/>
  <c r="K117" i="14"/>
  <c r="J117" i="14"/>
  <c r="I117" i="14"/>
  <c r="H117" i="14"/>
  <c r="G117" i="14"/>
  <c r="F117" i="14"/>
  <c r="E117" i="14"/>
  <c r="D117" i="14"/>
  <c r="C117" i="14"/>
  <c r="B117" i="14"/>
  <c r="L116" i="14"/>
  <c r="K116" i="14"/>
  <c r="J116" i="14"/>
  <c r="I116" i="14"/>
  <c r="H116" i="14"/>
  <c r="G116" i="14"/>
  <c r="F116" i="14"/>
  <c r="E116" i="14"/>
  <c r="D116" i="14"/>
  <c r="C116" i="14"/>
  <c r="B116" i="14"/>
  <c r="L115" i="14"/>
  <c r="K115" i="14"/>
  <c r="J115" i="14"/>
  <c r="I115" i="14"/>
  <c r="H115" i="14"/>
  <c r="G115" i="14"/>
  <c r="F115" i="14"/>
  <c r="E115" i="14"/>
  <c r="D115" i="14"/>
  <c r="C115" i="14"/>
  <c r="B115" i="14"/>
  <c r="L114" i="14"/>
  <c r="K114" i="14"/>
  <c r="J114" i="14"/>
  <c r="I114" i="14"/>
  <c r="H114" i="14"/>
  <c r="G114" i="14"/>
  <c r="F114" i="14"/>
  <c r="E114" i="14"/>
  <c r="D114" i="14"/>
  <c r="C114" i="14"/>
  <c r="B114" i="14"/>
  <c r="L113" i="14"/>
  <c r="K113" i="14"/>
  <c r="J113" i="14"/>
  <c r="I113" i="14"/>
  <c r="H113" i="14"/>
  <c r="G113" i="14"/>
  <c r="F113" i="14"/>
  <c r="E113" i="14"/>
  <c r="D113" i="14"/>
  <c r="C113" i="14"/>
  <c r="B113" i="14"/>
  <c r="L112" i="14"/>
  <c r="K112" i="14"/>
  <c r="J112" i="14"/>
  <c r="I112" i="14"/>
  <c r="H112" i="14"/>
  <c r="G112" i="14"/>
  <c r="F112" i="14"/>
  <c r="E112" i="14"/>
  <c r="D112" i="14"/>
  <c r="C112" i="14"/>
  <c r="B112" i="14"/>
  <c r="L111" i="14"/>
  <c r="K111" i="14"/>
  <c r="J111" i="14"/>
  <c r="I111" i="14"/>
  <c r="H111" i="14"/>
  <c r="G111" i="14"/>
  <c r="F111" i="14"/>
  <c r="E111" i="14"/>
  <c r="D111" i="14"/>
  <c r="C111" i="14"/>
  <c r="B111" i="14"/>
  <c r="L110" i="14"/>
  <c r="K110" i="14"/>
  <c r="J110" i="14"/>
  <c r="I110" i="14"/>
  <c r="H110" i="14"/>
  <c r="G110" i="14"/>
  <c r="F110" i="14"/>
  <c r="E110" i="14"/>
  <c r="D110" i="14"/>
  <c r="C110" i="14"/>
  <c r="B110" i="14"/>
  <c r="L109" i="14"/>
  <c r="K109" i="14"/>
  <c r="J109" i="14"/>
  <c r="I109" i="14"/>
  <c r="H109" i="14"/>
  <c r="G109" i="14"/>
  <c r="F109" i="14"/>
  <c r="E109" i="14"/>
  <c r="D109" i="14"/>
  <c r="C109" i="14"/>
  <c r="B109" i="14"/>
  <c r="L108" i="14"/>
  <c r="K108" i="14"/>
  <c r="J108" i="14"/>
  <c r="I108" i="14"/>
  <c r="H108" i="14"/>
  <c r="G108" i="14"/>
  <c r="F108" i="14"/>
  <c r="E108" i="14"/>
  <c r="D108" i="14"/>
  <c r="C108" i="14"/>
  <c r="B108" i="14"/>
  <c r="L107" i="14"/>
  <c r="K107" i="14"/>
  <c r="J107" i="14"/>
  <c r="I107" i="14"/>
  <c r="H107" i="14"/>
  <c r="G107" i="14"/>
  <c r="F107" i="14"/>
  <c r="E107" i="14"/>
  <c r="D107" i="14"/>
  <c r="C107" i="14"/>
  <c r="B107" i="14"/>
  <c r="L106" i="14"/>
  <c r="K106" i="14"/>
  <c r="J106" i="14"/>
  <c r="I106" i="14"/>
  <c r="H106" i="14"/>
  <c r="G106" i="14"/>
  <c r="F106" i="14"/>
  <c r="E106" i="14"/>
  <c r="D106" i="14"/>
  <c r="C106" i="14"/>
  <c r="B106" i="14"/>
  <c r="L105" i="14"/>
  <c r="K105" i="14"/>
  <c r="J105" i="14"/>
  <c r="I105" i="14"/>
  <c r="H105" i="14"/>
  <c r="G105" i="14"/>
  <c r="F105" i="14"/>
  <c r="E105" i="14"/>
  <c r="D105" i="14"/>
  <c r="C105" i="14"/>
  <c r="B105" i="14"/>
  <c r="L104" i="14"/>
  <c r="K104" i="14"/>
  <c r="J104" i="14"/>
  <c r="I104" i="14"/>
  <c r="H104" i="14"/>
  <c r="G104" i="14"/>
  <c r="F104" i="14"/>
  <c r="E104" i="14"/>
  <c r="D104" i="14"/>
  <c r="C104" i="14"/>
  <c r="B104" i="14"/>
  <c r="L103" i="14"/>
  <c r="K103" i="14"/>
  <c r="J103" i="14"/>
  <c r="I103" i="14"/>
  <c r="H103" i="14"/>
  <c r="G103" i="14"/>
  <c r="F103" i="14"/>
  <c r="E103" i="14"/>
  <c r="D103" i="14"/>
  <c r="C103" i="14"/>
  <c r="B103" i="14"/>
  <c r="L102" i="14"/>
  <c r="K102" i="14"/>
  <c r="J102" i="14"/>
  <c r="I102" i="14"/>
  <c r="H102" i="14"/>
  <c r="G102" i="14"/>
  <c r="F102" i="14"/>
  <c r="E102" i="14"/>
  <c r="D102" i="14"/>
  <c r="C102" i="14"/>
  <c r="B102" i="14"/>
  <c r="L101" i="14"/>
  <c r="K101" i="14"/>
  <c r="J101" i="14"/>
  <c r="I101" i="14"/>
  <c r="H101" i="14"/>
  <c r="G101" i="14"/>
  <c r="F101" i="14"/>
  <c r="E101" i="14"/>
  <c r="D101" i="14"/>
  <c r="C101" i="14"/>
  <c r="B101" i="14"/>
  <c r="L100" i="14"/>
  <c r="K100" i="14"/>
  <c r="J100" i="14"/>
  <c r="I100" i="14"/>
  <c r="H100" i="14"/>
  <c r="G100" i="14"/>
  <c r="F100" i="14"/>
  <c r="E100" i="14"/>
  <c r="D100" i="14"/>
  <c r="C100" i="14"/>
  <c r="B100" i="14"/>
  <c r="L99" i="14"/>
  <c r="K99" i="14"/>
  <c r="J99" i="14"/>
  <c r="I99" i="14"/>
  <c r="H99" i="14"/>
  <c r="G99" i="14"/>
  <c r="F99" i="14"/>
  <c r="E99" i="14"/>
  <c r="D99" i="14"/>
  <c r="C99" i="14"/>
  <c r="B99" i="14"/>
  <c r="L98" i="14"/>
  <c r="K98" i="14"/>
  <c r="J98" i="14"/>
  <c r="I98" i="14"/>
  <c r="H98" i="14"/>
  <c r="G98" i="14"/>
  <c r="F98" i="14"/>
  <c r="E98" i="14"/>
  <c r="D98" i="14"/>
  <c r="C98" i="14"/>
  <c r="B98" i="14"/>
  <c r="L97" i="14"/>
  <c r="K97" i="14"/>
  <c r="J97" i="14"/>
  <c r="I97" i="14"/>
  <c r="H97" i="14"/>
  <c r="G97" i="14"/>
  <c r="F97" i="14"/>
  <c r="E97" i="14"/>
  <c r="D97" i="14"/>
  <c r="C97" i="14"/>
  <c r="B97" i="14"/>
  <c r="L96" i="14"/>
  <c r="K96" i="14"/>
  <c r="J96" i="14"/>
  <c r="I96" i="14"/>
  <c r="H96" i="14"/>
  <c r="G96" i="14"/>
  <c r="F96" i="14"/>
  <c r="E96" i="14"/>
  <c r="D96" i="14"/>
  <c r="C96" i="14"/>
  <c r="B96" i="14"/>
  <c r="L95" i="14"/>
  <c r="K95" i="14"/>
  <c r="J95" i="14"/>
  <c r="I95" i="14"/>
  <c r="H95" i="14"/>
  <c r="G95" i="14"/>
  <c r="F95" i="14"/>
  <c r="E95" i="14"/>
  <c r="D95" i="14"/>
  <c r="C95" i="14"/>
  <c r="B95" i="14"/>
  <c r="L94" i="14"/>
  <c r="K94" i="14"/>
  <c r="J94" i="14"/>
  <c r="I94" i="14"/>
  <c r="H94" i="14"/>
  <c r="G94" i="14"/>
  <c r="F94" i="14"/>
  <c r="E94" i="14"/>
  <c r="D94" i="14"/>
  <c r="C94" i="14"/>
  <c r="B94" i="14"/>
  <c r="L93" i="14"/>
  <c r="K93" i="14"/>
  <c r="J93" i="14"/>
  <c r="I93" i="14"/>
  <c r="H93" i="14"/>
  <c r="G93" i="14"/>
  <c r="F93" i="14"/>
  <c r="E93" i="14"/>
  <c r="D93" i="14"/>
  <c r="C93" i="14"/>
  <c r="B93" i="14"/>
  <c r="L92" i="14"/>
  <c r="K92" i="14"/>
  <c r="J92" i="14"/>
  <c r="I92" i="14"/>
  <c r="H92" i="14"/>
  <c r="G92" i="14"/>
  <c r="F92" i="14"/>
  <c r="E92" i="14"/>
  <c r="D92" i="14"/>
  <c r="C92" i="14"/>
  <c r="B92" i="14"/>
  <c r="L91" i="14"/>
  <c r="K91" i="14"/>
  <c r="J91" i="14"/>
  <c r="I91" i="14"/>
  <c r="H91" i="14"/>
  <c r="G91" i="14"/>
  <c r="F91" i="14"/>
  <c r="E91" i="14"/>
  <c r="D91" i="14"/>
  <c r="C91" i="14"/>
  <c r="B91" i="14"/>
  <c r="L90" i="14"/>
  <c r="K90" i="14"/>
  <c r="J90" i="14"/>
  <c r="I90" i="14"/>
  <c r="H90" i="14"/>
  <c r="G90" i="14"/>
  <c r="F90" i="14"/>
  <c r="E90" i="14"/>
  <c r="D90" i="14"/>
  <c r="C90" i="14"/>
  <c r="B90" i="14"/>
  <c r="L89" i="14"/>
  <c r="K89" i="14"/>
  <c r="J89" i="14"/>
  <c r="I89" i="14"/>
  <c r="H89" i="14"/>
  <c r="G89" i="14"/>
  <c r="F89" i="14"/>
  <c r="E89" i="14"/>
  <c r="D89" i="14"/>
  <c r="C89" i="14"/>
  <c r="B89" i="14"/>
  <c r="L88" i="14"/>
  <c r="K88" i="14"/>
  <c r="J88" i="14"/>
  <c r="I88" i="14"/>
  <c r="H88" i="14"/>
  <c r="G88" i="14"/>
  <c r="F88" i="14"/>
  <c r="E88" i="14"/>
  <c r="D88" i="14"/>
  <c r="C88" i="14"/>
  <c r="B88" i="14"/>
  <c r="L87" i="14"/>
  <c r="K87" i="14"/>
  <c r="J87" i="14"/>
  <c r="I87" i="14"/>
  <c r="H87" i="14"/>
  <c r="G87" i="14"/>
  <c r="F87" i="14"/>
  <c r="E87" i="14"/>
  <c r="D87" i="14"/>
  <c r="C87" i="14"/>
  <c r="B87" i="14"/>
  <c r="L86" i="14"/>
  <c r="K86" i="14"/>
  <c r="J86" i="14"/>
  <c r="I86" i="14"/>
  <c r="H86" i="14"/>
  <c r="G86" i="14"/>
  <c r="F86" i="14"/>
  <c r="E86" i="14"/>
  <c r="D86" i="14"/>
  <c r="C86" i="14"/>
  <c r="B86" i="14"/>
  <c r="L85" i="14"/>
  <c r="K85" i="14"/>
  <c r="J85" i="14"/>
  <c r="I85" i="14"/>
  <c r="H85" i="14"/>
  <c r="G85" i="14"/>
  <c r="F85" i="14"/>
  <c r="E85" i="14"/>
  <c r="D85" i="14"/>
  <c r="C85" i="14"/>
  <c r="B85" i="14"/>
  <c r="L84" i="14"/>
  <c r="K84" i="14"/>
  <c r="J84" i="14"/>
  <c r="I84" i="14"/>
  <c r="H84" i="14"/>
  <c r="G84" i="14"/>
  <c r="F84" i="14"/>
  <c r="E84" i="14"/>
  <c r="D84" i="14"/>
  <c r="C84" i="14"/>
  <c r="B84" i="14"/>
  <c r="L83" i="14"/>
  <c r="K83" i="14"/>
  <c r="J83" i="14"/>
  <c r="I83" i="14"/>
  <c r="H83" i="14"/>
  <c r="G83" i="14"/>
  <c r="F83" i="14"/>
  <c r="E83" i="14"/>
  <c r="D83" i="14"/>
  <c r="C83" i="14"/>
  <c r="B83" i="14"/>
  <c r="L82" i="14"/>
  <c r="K82" i="14"/>
  <c r="J82" i="14"/>
  <c r="I82" i="14"/>
  <c r="H82" i="14"/>
  <c r="G82" i="14"/>
  <c r="F82" i="14"/>
  <c r="E82" i="14"/>
  <c r="D82" i="14"/>
  <c r="C82" i="14"/>
  <c r="B82" i="14"/>
  <c r="L81" i="14"/>
  <c r="K81" i="14"/>
  <c r="J81" i="14"/>
  <c r="I81" i="14"/>
  <c r="H81" i="14"/>
  <c r="G81" i="14"/>
  <c r="F81" i="14"/>
  <c r="E81" i="14"/>
  <c r="D81" i="14"/>
  <c r="C81" i="14"/>
  <c r="B81" i="14"/>
  <c r="L80" i="14"/>
  <c r="K80" i="14"/>
  <c r="J80" i="14"/>
  <c r="I80" i="14"/>
  <c r="H80" i="14"/>
  <c r="G80" i="14"/>
  <c r="F80" i="14"/>
  <c r="E80" i="14"/>
  <c r="D80" i="14"/>
  <c r="C80" i="14"/>
  <c r="B80" i="14"/>
  <c r="L79" i="14"/>
  <c r="K79" i="14"/>
  <c r="J79" i="14"/>
  <c r="I79" i="14"/>
  <c r="H79" i="14"/>
  <c r="G79" i="14"/>
  <c r="F79" i="14"/>
  <c r="E79" i="14"/>
  <c r="D79" i="14"/>
  <c r="C79" i="14"/>
  <c r="B79" i="14"/>
  <c r="L78" i="14"/>
  <c r="K78" i="14"/>
  <c r="J78" i="14"/>
  <c r="I78" i="14"/>
  <c r="H78" i="14"/>
  <c r="G78" i="14"/>
  <c r="F78" i="14"/>
  <c r="E78" i="14"/>
  <c r="D78" i="14"/>
  <c r="C78" i="14"/>
  <c r="B78" i="14"/>
  <c r="L77" i="14"/>
  <c r="K77" i="14"/>
  <c r="J77" i="14"/>
  <c r="I77" i="14"/>
  <c r="H77" i="14"/>
  <c r="G77" i="14"/>
  <c r="F77" i="14"/>
  <c r="E77" i="14"/>
  <c r="D77" i="14"/>
  <c r="C77" i="14"/>
  <c r="B77" i="14"/>
  <c r="L76" i="14"/>
  <c r="K76" i="14"/>
  <c r="J76" i="14"/>
  <c r="I76" i="14"/>
  <c r="H76" i="14"/>
  <c r="G76" i="14"/>
  <c r="F76" i="14"/>
  <c r="E76" i="14"/>
  <c r="D76" i="14"/>
  <c r="C76" i="14"/>
  <c r="B76" i="14"/>
  <c r="L75" i="14"/>
  <c r="K75" i="14"/>
  <c r="J75" i="14"/>
  <c r="I75" i="14"/>
  <c r="H75" i="14"/>
  <c r="G75" i="14"/>
  <c r="F75" i="14"/>
  <c r="E75" i="14"/>
  <c r="D75" i="14"/>
  <c r="C75" i="14"/>
  <c r="B75" i="14"/>
  <c r="L74" i="14"/>
  <c r="K74" i="14"/>
  <c r="J74" i="14"/>
  <c r="I74" i="14"/>
  <c r="H74" i="14"/>
  <c r="G74" i="14"/>
  <c r="F74" i="14"/>
  <c r="E74" i="14"/>
  <c r="D74" i="14"/>
  <c r="C74" i="14"/>
  <c r="B74" i="14"/>
  <c r="L73" i="14"/>
  <c r="K73" i="14"/>
  <c r="J73" i="14"/>
  <c r="I73" i="14"/>
  <c r="H73" i="14"/>
  <c r="G73" i="14"/>
  <c r="F73" i="14"/>
  <c r="E73" i="14"/>
  <c r="D73" i="14"/>
  <c r="C73" i="14"/>
  <c r="B73" i="14"/>
  <c r="L72" i="14"/>
  <c r="K72" i="14"/>
  <c r="J72" i="14"/>
  <c r="I72" i="14"/>
  <c r="H72" i="14"/>
  <c r="G72" i="14"/>
  <c r="F72" i="14"/>
  <c r="E72" i="14"/>
  <c r="D72" i="14"/>
  <c r="C72" i="14"/>
  <c r="B72" i="14"/>
  <c r="L71" i="14"/>
  <c r="K71" i="14"/>
  <c r="J71" i="14"/>
  <c r="I71" i="14"/>
  <c r="H71" i="14"/>
  <c r="G71" i="14"/>
  <c r="F71" i="14"/>
  <c r="E71" i="14"/>
  <c r="D71" i="14"/>
  <c r="C71" i="14"/>
  <c r="B71" i="14"/>
  <c r="L70" i="14"/>
  <c r="K70" i="14"/>
  <c r="J70" i="14"/>
  <c r="I70" i="14"/>
  <c r="H70" i="14"/>
  <c r="G70" i="14"/>
  <c r="F70" i="14"/>
  <c r="E70" i="14"/>
  <c r="D70" i="14"/>
  <c r="C70" i="14"/>
  <c r="B70" i="14"/>
  <c r="L69" i="14"/>
  <c r="K69" i="14"/>
  <c r="J69" i="14"/>
  <c r="I69" i="14"/>
  <c r="H69" i="14"/>
  <c r="G69" i="14"/>
  <c r="F69" i="14"/>
  <c r="E69" i="14"/>
  <c r="D69" i="14"/>
  <c r="C69" i="14"/>
  <c r="B69" i="14"/>
  <c r="L68" i="14"/>
  <c r="K68" i="14"/>
  <c r="J68" i="14"/>
  <c r="I68" i="14"/>
  <c r="H68" i="14"/>
  <c r="G68" i="14"/>
  <c r="F68" i="14"/>
  <c r="E68" i="14"/>
  <c r="D68" i="14"/>
  <c r="C68" i="14"/>
  <c r="B68" i="14"/>
  <c r="L67" i="14"/>
  <c r="K67" i="14"/>
  <c r="J67" i="14"/>
  <c r="I67" i="14"/>
  <c r="H67" i="14"/>
  <c r="G67" i="14"/>
  <c r="F67" i="14"/>
  <c r="E67" i="14"/>
  <c r="D67" i="14"/>
  <c r="C67" i="14"/>
  <c r="B67" i="14"/>
  <c r="L66" i="14"/>
  <c r="K66" i="14"/>
  <c r="J66" i="14"/>
  <c r="I66" i="14"/>
  <c r="H66" i="14"/>
  <c r="G66" i="14"/>
  <c r="F66" i="14"/>
  <c r="E66" i="14"/>
  <c r="D66" i="14"/>
  <c r="C66" i="14"/>
  <c r="B66" i="14"/>
  <c r="L65" i="14"/>
  <c r="K65" i="14"/>
  <c r="J65" i="14"/>
  <c r="I65" i="14"/>
  <c r="H65" i="14"/>
  <c r="G65" i="14"/>
  <c r="F65" i="14"/>
  <c r="E65" i="14"/>
  <c r="D65" i="14"/>
  <c r="C65" i="14"/>
  <c r="B65" i="14"/>
  <c r="L64" i="14"/>
  <c r="K64" i="14"/>
  <c r="J64" i="14"/>
  <c r="I64" i="14"/>
  <c r="H64" i="14"/>
  <c r="G64" i="14"/>
  <c r="F64" i="14"/>
  <c r="E64" i="14"/>
  <c r="D64" i="14"/>
  <c r="C64" i="14"/>
  <c r="B64" i="14"/>
  <c r="L63" i="14"/>
  <c r="K63" i="14"/>
  <c r="J63" i="14"/>
  <c r="I63" i="14"/>
  <c r="H63" i="14"/>
  <c r="G63" i="14"/>
  <c r="F63" i="14"/>
  <c r="E63" i="14"/>
  <c r="D63" i="14"/>
  <c r="C63" i="14"/>
  <c r="B63" i="14"/>
  <c r="L62" i="14"/>
  <c r="K62" i="14"/>
  <c r="J62" i="14"/>
  <c r="I62" i="14"/>
  <c r="H62" i="14"/>
  <c r="G62" i="14"/>
  <c r="F62" i="14"/>
  <c r="E62" i="14"/>
  <c r="D62" i="14"/>
  <c r="C62" i="14"/>
  <c r="B62" i="14"/>
  <c r="L61" i="14"/>
  <c r="K61" i="14"/>
  <c r="J61" i="14"/>
  <c r="I61" i="14"/>
  <c r="H61" i="14"/>
  <c r="G61" i="14"/>
  <c r="F61" i="14"/>
  <c r="E61" i="14"/>
  <c r="D61" i="14"/>
  <c r="C61" i="14"/>
  <c r="B61" i="14"/>
  <c r="L60" i="14"/>
  <c r="K60" i="14"/>
  <c r="J60" i="14"/>
  <c r="I60" i="14"/>
  <c r="H60" i="14"/>
  <c r="G60" i="14"/>
  <c r="F60" i="14"/>
  <c r="E60" i="14"/>
  <c r="D60" i="14"/>
  <c r="C60" i="14"/>
  <c r="B60" i="14"/>
  <c r="L59" i="14"/>
  <c r="K59" i="14"/>
  <c r="J59" i="14"/>
  <c r="I59" i="14"/>
  <c r="H59" i="14"/>
  <c r="G59" i="14"/>
  <c r="F59" i="14"/>
  <c r="E59" i="14"/>
  <c r="D59" i="14"/>
  <c r="C59" i="14"/>
  <c r="B59" i="14"/>
  <c r="L58" i="14"/>
  <c r="K58" i="14"/>
  <c r="J58" i="14"/>
  <c r="I58" i="14"/>
  <c r="H58" i="14"/>
  <c r="G58" i="14"/>
  <c r="F58" i="14"/>
  <c r="E58" i="14"/>
  <c r="D58" i="14"/>
  <c r="C58" i="14"/>
  <c r="B58" i="14"/>
  <c r="L57" i="14"/>
  <c r="K57" i="14"/>
  <c r="J57" i="14"/>
  <c r="I57" i="14"/>
  <c r="H57" i="14"/>
  <c r="G57" i="14"/>
  <c r="F57" i="14"/>
  <c r="E57" i="14"/>
  <c r="D57" i="14"/>
  <c r="C57" i="14"/>
  <c r="B57" i="14"/>
  <c r="L56" i="14"/>
  <c r="K56" i="14"/>
  <c r="J56" i="14"/>
  <c r="I56" i="14"/>
  <c r="H56" i="14"/>
  <c r="G56" i="14"/>
  <c r="F56" i="14"/>
  <c r="E56" i="14"/>
  <c r="D56" i="14"/>
  <c r="C56" i="14"/>
  <c r="B56" i="14"/>
  <c r="L55" i="14"/>
  <c r="K55" i="14"/>
  <c r="J55" i="14"/>
  <c r="I55" i="14"/>
  <c r="H55" i="14"/>
  <c r="G55" i="14"/>
  <c r="F55" i="14"/>
  <c r="E55" i="14"/>
  <c r="D55" i="14"/>
  <c r="C55" i="14"/>
  <c r="B55" i="14"/>
  <c r="L54" i="14"/>
  <c r="K54" i="14"/>
  <c r="J54" i="14"/>
  <c r="I54" i="14"/>
  <c r="H54" i="14"/>
  <c r="G54" i="14"/>
  <c r="F54" i="14"/>
  <c r="E54" i="14"/>
  <c r="D54" i="14"/>
  <c r="C54" i="14"/>
  <c r="B54" i="14"/>
  <c r="L53" i="14"/>
  <c r="K53" i="14"/>
  <c r="J53" i="14"/>
  <c r="I53" i="14"/>
  <c r="H53" i="14"/>
  <c r="G53" i="14"/>
  <c r="F53" i="14"/>
  <c r="E53" i="14"/>
  <c r="D53" i="14"/>
  <c r="C53" i="14"/>
  <c r="B53" i="14"/>
  <c r="L52" i="14"/>
  <c r="K52" i="14"/>
  <c r="J52" i="14"/>
  <c r="I52" i="14"/>
  <c r="H52" i="14"/>
  <c r="G52" i="14"/>
  <c r="F52" i="14"/>
  <c r="E52" i="14"/>
  <c r="D52" i="14"/>
  <c r="C52" i="14"/>
  <c r="B52" i="14"/>
  <c r="L51" i="14"/>
  <c r="K51" i="14"/>
  <c r="J51" i="14"/>
  <c r="I51" i="14"/>
  <c r="H51" i="14"/>
  <c r="G51" i="14"/>
  <c r="F51" i="14"/>
  <c r="E51" i="14"/>
  <c r="D51" i="14"/>
  <c r="C51" i="14"/>
  <c r="B51" i="14"/>
  <c r="L50" i="14"/>
  <c r="K50" i="14"/>
  <c r="J50" i="14"/>
  <c r="I50" i="14"/>
  <c r="H50" i="14"/>
  <c r="G50" i="14"/>
  <c r="F50" i="14"/>
  <c r="E50" i="14"/>
  <c r="D50" i="14"/>
  <c r="C50" i="14"/>
  <c r="B50" i="14"/>
  <c r="L49" i="14"/>
  <c r="K49" i="14"/>
  <c r="J49" i="14"/>
  <c r="I49" i="14"/>
  <c r="H49" i="14"/>
  <c r="G49" i="14"/>
  <c r="F49" i="14"/>
  <c r="E49" i="14"/>
  <c r="D49" i="14"/>
  <c r="C49" i="14"/>
  <c r="B49" i="14"/>
  <c r="L48" i="14"/>
  <c r="K48" i="14"/>
  <c r="J48" i="14"/>
  <c r="I48" i="14"/>
  <c r="H48" i="14"/>
  <c r="G48" i="14"/>
  <c r="F48" i="14"/>
  <c r="E48" i="14"/>
  <c r="D48" i="14"/>
  <c r="C48" i="14"/>
  <c r="B48" i="14"/>
  <c r="L47" i="14"/>
  <c r="K47" i="14"/>
  <c r="J47" i="14"/>
  <c r="I47" i="14"/>
  <c r="H47" i="14"/>
  <c r="G47" i="14"/>
  <c r="F47" i="14"/>
  <c r="E47" i="14"/>
  <c r="D47" i="14"/>
  <c r="C47" i="14"/>
  <c r="B47" i="14"/>
  <c r="L46" i="14"/>
  <c r="K46" i="14"/>
  <c r="J46" i="14"/>
  <c r="I46" i="14"/>
  <c r="H46" i="14"/>
  <c r="G46" i="14"/>
  <c r="F46" i="14"/>
  <c r="E46" i="14"/>
  <c r="D46" i="14"/>
  <c r="C46" i="14"/>
  <c r="B46" i="14"/>
  <c r="L45" i="14"/>
  <c r="K45" i="14"/>
  <c r="J45" i="14"/>
  <c r="I45" i="14"/>
  <c r="H45" i="14"/>
  <c r="G45" i="14"/>
  <c r="F45" i="14"/>
  <c r="E45" i="14"/>
  <c r="D45" i="14"/>
  <c r="C45" i="14"/>
  <c r="B45" i="14"/>
  <c r="L44" i="14"/>
  <c r="K44" i="14"/>
  <c r="J44" i="14"/>
  <c r="I44" i="14"/>
  <c r="H44" i="14"/>
  <c r="G44" i="14"/>
  <c r="F44" i="14"/>
  <c r="E44" i="14"/>
  <c r="D44" i="14"/>
  <c r="C44" i="14"/>
  <c r="B44" i="14"/>
  <c r="L43" i="14"/>
  <c r="K43" i="14"/>
  <c r="J43" i="14"/>
  <c r="I43" i="14"/>
  <c r="H43" i="14"/>
  <c r="G43" i="14"/>
  <c r="F43" i="14"/>
  <c r="E43" i="14"/>
  <c r="D43" i="14"/>
  <c r="C43" i="14"/>
  <c r="B43" i="14"/>
  <c r="L42" i="14"/>
  <c r="K42" i="14"/>
  <c r="J42" i="14"/>
  <c r="I42" i="14"/>
  <c r="H42" i="14"/>
  <c r="G42" i="14"/>
  <c r="F42" i="14"/>
  <c r="E42" i="14"/>
  <c r="D42" i="14"/>
  <c r="C42" i="14"/>
  <c r="B42" i="14"/>
  <c r="L41" i="14"/>
  <c r="K41" i="14"/>
  <c r="J41" i="14"/>
  <c r="I41" i="14"/>
  <c r="H41" i="14"/>
  <c r="G41" i="14"/>
  <c r="F41" i="14"/>
  <c r="E41" i="14"/>
  <c r="D41" i="14"/>
  <c r="C41" i="14"/>
  <c r="B41" i="14"/>
  <c r="L40" i="14"/>
  <c r="K40" i="14"/>
  <c r="J40" i="14"/>
  <c r="I40" i="14"/>
  <c r="H40" i="14"/>
  <c r="G40" i="14"/>
  <c r="F40" i="14"/>
  <c r="E40" i="14"/>
  <c r="D40" i="14"/>
  <c r="C40" i="14"/>
  <c r="B40" i="14"/>
  <c r="L39" i="14"/>
  <c r="K39" i="14"/>
  <c r="J39" i="14"/>
  <c r="I39" i="14"/>
  <c r="H39" i="14"/>
  <c r="G39" i="14"/>
  <c r="F39" i="14"/>
  <c r="E39" i="14"/>
  <c r="D39" i="14"/>
  <c r="C39" i="14"/>
  <c r="B39" i="14"/>
  <c r="L38" i="14"/>
  <c r="K38" i="14"/>
  <c r="J38" i="14"/>
  <c r="I38" i="14"/>
  <c r="H38" i="14"/>
  <c r="G38" i="14"/>
  <c r="F38" i="14"/>
  <c r="E38" i="14"/>
  <c r="D38" i="14"/>
  <c r="C38" i="14"/>
  <c r="B38" i="14"/>
  <c r="L37" i="14"/>
  <c r="K37" i="14"/>
  <c r="J37" i="14"/>
  <c r="I37" i="14"/>
  <c r="H37" i="14"/>
  <c r="G37" i="14"/>
  <c r="F37" i="14"/>
  <c r="E37" i="14"/>
  <c r="D37" i="14"/>
  <c r="C37" i="14"/>
  <c r="B37" i="14"/>
  <c r="L36" i="14"/>
  <c r="K36" i="14"/>
  <c r="J36" i="14"/>
  <c r="I36" i="14"/>
  <c r="H36" i="14"/>
  <c r="G36" i="14"/>
  <c r="F36" i="14"/>
  <c r="E36" i="14"/>
  <c r="D36" i="14"/>
  <c r="C36" i="14"/>
  <c r="B36" i="14"/>
  <c r="L35" i="14"/>
  <c r="K35" i="14"/>
  <c r="J35" i="14"/>
  <c r="I35" i="14"/>
  <c r="H35" i="14"/>
  <c r="G35" i="14"/>
  <c r="F35" i="14"/>
  <c r="E35" i="14"/>
  <c r="D35" i="14"/>
  <c r="C35" i="14"/>
  <c r="B35" i="14"/>
  <c r="L34" i="14"/>
  <c r="K34" i="14"/>
  <c r="J34" i="14"/>
  <c r="I34" i="14"/>
  <c r="H34" i="14"/>
  <c r="G34" i="14"/>
  <c r="F34" i="14"/>
  <c r="E34" i="14"/>
  <c r="D34" i="14"/>
  <c r="C34" i="14"/>
  <c r="B34" i="14"/>
  <c r="L33" i="14"/>
  <c r="K33" i="14"/>
  <c r="J33" i="14"/>
  <c r="I33" i="14"/>
  <c r="H33" i="14"/>
  <c r="G33" i="14"/>
  <c r="F33" i="14"/>
  <c r="E33" i="14"/>
  <c r="D33" i="14"/>
  <c r="C33" i="14"/>
  <c r="B33" i="14"/>
  <c r="L32" i="14"/>
  <c r="K32" i="14"/>
  <c r="J32" i="14"/>
  <c r="I32" i="14"/>
  <c r="H32" i="14"/>
  <c r="G32" i="14"/>
  <c r="F32" i="14"/>
  <c r="E32" i="14"/>
  <c r="D32" i="14"/>
  <c r="C32" i="14"/>
  <c r="B32" i="14"/>
  <c r="L31" i="14"/>
  <c r="K31" i="14"/>
  <c r="J31" i="14"/>
  <c r="I31" i="14"/>
  <c r="H31" i="14"/>
  <c r="G31" i="14"/>
  <c r="F31" i="14"/>
  <c r="E31" i="14"/>
  <c r="D31" i="14"/>
  <c r="C31" i="14"/>
  <c r="B31" i="14"/>
  <c r="L30" i="14"/>
  <c r="K30" i="14"/>
  <c r="J30" i="14"/>
  <c r="I30" i="14"/>
  <c r="H30" i="14"/>
  <c r="G30" i="14"/>
  <c r="F30" i="14"/>
  <c r="E30" i="14"/>
  <c r="D30" i="14"/>
  <c r="C30" i="14"/>
  <c r="B30" i="14"/>
  <c r="L29" i="14"/>
  <c r="K29" i="14"/>
  <c r="J29" i="14"/>
  <c r="I29" i="14"/>
  <c r="H29" i="14"/>
  <c r="G29" i="14"/>
  <c r="F29" i="14"/>
  <c r="E29" i="14"/>
  <c r="D29" i="14"/>
  <c r="C29" i="14"/>
  <c r="B29" i="14"/>
  <c r="L28" i="14"/>
  <c r="K28" i="14"/>
  <c r="J28" i="14"/>
  <c r="I28" i="14"/>
  <c r="H28" i="14"/>
  <c r="G28" i="14"/>
  <c r="F28" i="14"/>
  <c r="E28" i="14"/>
  <c r="D28" i="14"/>
  <c r="C28" i="14"/>
  <c r="B28" i="14"/>
  <c r="L27" i="14"/>
  <c r="K27" i="14"/>
  <c r="J27" i="14"/>
  <c r="I27" i="14"/>
  <c r="H27" i="14"/>
  <c r="G27" i="14"/>
  <c r="F27" i="14"/>
  <c r="E27" i="14"/>
  <c r="D27" i="14"/>
  <c r="C27" i="14"/>
  <c r="B27" i="14"/>
  <c r="L26" i="14"/>
  <c r="K26" i="14"/>
  <c r="J26" i="14"/>
  <c r="I26" i="14"/>
  <c r="H26" i="14"/>
  <c r="G26" i="14"/>
  <c r="F26" i="14"/>
  <c r="E26" i="14"/>
  <c r="D26" i="14"/>
  <c r="C26" i="14"/>
  <c r="B26" i="14"/>
  <c r="L25" i="14"/>
  <c r="K25" i="14"/>
  <c r="J25" i="14"/>
  <c r="I25" i="14"/>
  <c r="H25" i="14"/>
  <c r="G25" i="14"/>
  <c r="F25" i="14"/>
  <c r="E25" i="14"/>
  <c r="D25" i="14"/>
  <c r="C25" i="14"/>
  <c r="B25" i="14"/>
  <c r="L24" i="14"/>
  <c r="K24" i="14"/>
  <c r="J24" i="14"/>
  <c r="I24" i="14"/>
  <c r="H24" i="14"/>
  <c r="G24" i="14"/>
  <c r="F24" i="14"/>
  <c r="E24" i="14"/>
  <c r="D24" i="14"/>
  <c r="C24" i="14"/>
  <c r="B24" i="14"/>
  <c r="L23" i="14"/>
  <c r="K23" i="14"/>
  <c r="J23" i="14"/>
  <c r="I23" i="14"/>
  <c r="H23" i="14"/>
  <c r="G23" i="14"/>
  <c r="F23" i="14"/>
  <c r="E23" i="14"/>
  <c r="D23" i="14"/>
  <c r="C23" i="14"/>
  <c r="B23" i="14"/>
  <c r="L22" i="14"/>
  <c r="K22" i="14"/>
  <c r="J22" i="14"/>
  <c r="I22" i="14"/>
  <c r="H22" i="14"/>
  <c r="G22" i="14"/>
  <c r="F22" i="14"/>
  <c r="E22" i="14"/>
  <c r="D22" i="14"/>
  <c r="C22" i="14"/>
  <c r="B22" i="14"/>
  <c r="L21" i="14"/>
  <c r="K21" i="14"/>
  <c r="J21" i="14"/>
  <c r="I21" i="14"/>
  <c r="H21" i="14"/>
  <c r="G21" i="14"/>
  <c r="F21" i="14"/>
  <c r="E21" i="14"/>
  <c r="D21" i="14"/>
  <c r="C21" i="14"/>
  <c r="B21" i="14"/>
  <c r="L20" i="14"/>
  <c r="K20" i="14"/>
  <c r="J20" i="14"/>
  <c r="I20" i="14"/>
  <c r="H20" i="14"/>
  <c r="G20" i="14"/>
  <c r="F20" i="14"/>
  <c r="E20" i="14"/>
  <c r="D20" i="14"/>
  <c r="C20" i="14"/>
  <c r="B20" i="14"/>
  <c r="L19" i="14"/>
  <c r="K19" i="14"/>
  <c r="J19" i="14"/>
  <c r="I19" i="14"/>
  <c r="H19" i="14"/>
  <c r="G19" i="14"/>
  <c r="F19" i="14"/>
  <c r="E19" i="14"/>
  <c r="D19" i="14"/>
  <c r="C19" i="14"/>
  <c r="B19" i="14"/>
  <c r="L18" i="14"/>
  <c r="K18" i="14"/>
  <c r="J18" i="14"/>
  <c r="I18" i="14"/>
  <c r="H18" i="14"/>
  <c r="G18" i="14"/>
  <c r="F18" i="14"/>
  <c r="E18" i="14"/>
  <c r="D18" i="14"/>
  <c r="C18" i="14"/>
  <c r="B18" i="14"/>
  <c r="L17" i="14"/>
  <c r="K17" i="14"/>
  <c r="J17" i="14"/>
  <c r="I17" i="14"/>
  <c r="H17" i="14"/>
  <c r="G17" i="14"/>
  <c r="F17" i="14"/>
  <c r="E17" i="14"/>
  <c r="D17" i="14"/>
  <c r="C17" i="14"/>
  <c r="B17" i="14"/>
  <c r="L16" i="14"/>
  <c r="K16" i="14"/>
  <c r="J16" i="14"/>
  <c r="I16" i="14"/>
  <c r="H16" i="14"/>
  <c r="G16" i="14"/>
  <c r="F16" i="14"/>
  <c r="E16" i="14"/>
  <c r="D16" i="14"/>
  <c r="C16" i="14"/>
  <c r="B16" i="14"/>
  <c r="L15" i="14"/>
  <c r="K15" i="14"/>
  <c r="J15" i="14"/>
  <c r="I15" i="14"/>
  <c r="H15" i="14"/>
  <c r="G15" i="14"/>
  <c r="F15" i="14"/>
  <c r="E15" i="14"/>
  <c r="D15" i="14"/>
  <c r="C15" i="14"/>
  <c r="B15" i="14"/>
  <c r="L14" i="14"/>
  <c r="K14" i="14"/>
  <c r="J14" i="14"/>
  <c r="I14" i="14"/>
  <c r="H14" i="14"/>
  <c r="G14" i="14"/>
  <c r="F14" i="14"/>
  <c r="E14" i="14"/>
  <c r="D14" i="14"/>
  <c r="C14" i="14"/>
  <c r="B14" i="14"/>
  <c r="L13" i="14"/>
  <c r="K13" i="14"/>
  <c r="J13" i="14"/>
  <c r="I13" i="14"/>
  <c r="H13" i="14"/>
  <c r="G13" i="14"/>
  <c r="F13" i="14"/>
  <c r="E13" i="14"/>
  <c r="D13" i="14"/>
  <c r="C13" i="14"/>
  <c r="B13" i="14"/>
  <c r="L12" i="14"/>
  <c r="K12" i="14"/>
  <c r="J12" i="14"/>
  <c r="I12" i="14"/>
  <c r="H12" i="14"/>
  <c r="G12" i="14"/>
  <c r="F12" i="14"/>
  <c r="E12" i="14"/>
  <c r="D12" i="14"/>
  <c r="C12" i="14"/>
  <c r="B12" i="14"/>
  <c r="L11" i="14"/>
  <c r="K11" i="14"/>
  <c r="J11" i="14"/>
  <c r="I11" i="14"/>
  <c r="H11" i="14"/>
  <c r="G11" i="14"/>
  <c r="F11" i="14"/>
  <c r="E11" i="14"/>
  <c r="D11" i="14"/>
  <c r="C11" i="14"/>
  <c r="B11" i="14"/>
  <c r="L10" i="14"/>
  <c r="K10" i="14"/>
  <c r="J10" i="14"/>
  <c r="I10" i="14"/>
  <c r="H10" i="14"/>
  <c r="G10" i="14"/>
  <c r="F10" i="14"/>
  <c r="E10" i="14"/>
  <c r="D10" i="14"/>
  <c r="C10" i="14"/>
  <c r="B10" i="14"/>
  <c r="L9" i="14"/>
  <c r="K9" i="14"/>
  <c r="J9" i="14"/>
  <c r="I9" i="14"/>
  <c r="H9" i="14"/>
  <c r="G9" i="14"/>
  <c r="F9" i="14"/>
  <c r="E9" i="14"/>
  <c r="D9" i="14"/>
  <c r="C9" i="14"/>
  <c r="B9" i="14"/>
  <c r="L8" i="14"/>
  <c r="K8" i="14"/>
  <c r="J8" i="14"/>
  <c r="I8" i="14"/>
  <c r="H8" i="14"/>
  <c r="G8" i="14"/>
  <c r="F8" i="14"/>
  <c r="E8" i="14"/>
  <c r="D8" i="14"/>
  <c r="C8" i="14"/>
  <c r="B8" i="14"/>
  <c r="L7" i="14"/>
  <c r="K7" i="14"/>
  <c r="J7" i="14"/>
  <c r="I7" i="14"/>
  <c r="H7" i="14"/>
  <c r="G7" i="14"/>
  <c r="F7" i="14"/>
  <c r="E7" i="14"/>
  <c r="D7" i="14"/>
  <c r="C7" i="14"/>
  <c r="B7" i="14"/>
  <c r="L6" i="14"/>
  <c r="K6" i="14"/>
  <c r="J6" i="14"/>
  <c r="I6" i="14"/>
  <c r="H6" i="14"/>
  <c r="G6" i="14"/>
  <c r="F6" i="14"/>
  <c r="E6" i="14"/>
  <c r="D6" i="14"/>
  <c r="C6" i="14"/>
  <c r="B6" i="14"/>
  <c r="L5" i="14"/>
  <c r="K5" i="14"/>
  <c r="J5" i="14"/>
  <c r="I5" i="14"/>
  <c r="H5" i="14"/>
  <c r="G5" i="14"/>
  <c r="F5" i="14"/>
  <c r="E5" i="14"/>
  <c r="D5" i="14"/>
  <c r="C5" i="14"/>
  <c r="B5" i="14"/>
  <c r="A2" i="14"/>
  <c r="I6" i="16"/>
  <c r="H6" i="16"/>
  <c r="J6" i="16" s="1"/>
  <c r="G6" i="16"/>
  <c r="F6" i="16"/>
  <c r="E6" i="16"/>
  <c r="D6" i="16"/>
  <c r="C6" i="16"/>
  <c r="B6" i="16"/>
  <c r="I5" i="16"/>
  <c r="H5" i="16"/>
  <c r="J5" i="16" s="1"/>
  <c r="G5" i="16"/>
  <c r="F5" i="16"/>
  <c r="E5" i="16"/>
  <c r="E8" i="16" s="1"/>
  <c r="D5" i="16"/>
  <c r="D8" i="16" s="1"/>
  <c r="C5" i="16"/>
  <c r="B5" i="16"/>
  <c r="A8" i="15"/>
  <c r="A7" i="15"/>
  <c r="A6" i="15"/>
  <c r="A5" i="15"/>
  <c r="B37" i="13"/>
  <c r="B36" i="13"/>
  <c r="B35" i="13"/>
  <c r="B33" i="13"/>
  <c r="B32" i="13"/>
  <c r="E27" i="13"/>
  <c r="D27" i="13"/>
  <c r="C27" i="13"/>
  <c r="B27" i="13"/>
  <c r="E26" i="13"/>
  <c r="D26" i="13"/>
  <c r="C26" i="13"/>
  <c r="B26" i="13"/>
  <c r="E25" i="13"/>
  <c r="D25" i="13"/>
  <c r="C25" i="13"/>
  <c r="B25" i="13"/>
  <c r="D24" i="13"/>
  <c r="C24" i="13"/>
  <c r="B24" i="13"/>
  <c r="E24" i="13" s="1"/>
  <c r="D23" i="13"/>
  <c r="C23" i="13"/>
  <c r="B23" i="13"/>
  <c r="E23" i="13" s="1"/>
  <c r="B19" i="13"/>
  <c r="B18" i="13"/>
  <c r="B17" i="13"/>
  <c r="B16" i="13"/>
  <c r="B15" i="13"/>
  <c r="B7" i="13"/>
  <c r="B6" i="13"/>
  <c r="B8" i="13" s="1"/>
  <c r="A2" i="13"/>
  <c r="C198" i="18"/>
  <c r="D198" i="18" s="1"/>
  <c r="B198" i="18"/>
  <c r="C197" i="18"/>
  <c r="D197" i="18" s="1"/>
  <c r="B197" i="18"/>
  <c r="C196" i="18"/>
  <c r="D196" i="18" s="1"/>
  <c r="B196" i="18"/>
  <c r="C195" i="18"/>
  <c r="D195" i="18" s="1"/>
  <c r="B195" i="18"/>
  <c r="C194" i="18"/>
  <c r="D194" i="18" s="1"/>
  <c r="B194" i="18"/>
  <c r="C193" i="18"/>
  <c r="D193" i="18" s="1"/>
  <c r="B193" i="18"/>
  <c r="C192" i="18"/>
  <c r="D192" i="18" s="1"/>
  <c r="B192" i="18"/>
  <c r="C191" i="18"/>
  <c r="D191" i="18" s="1"/>
  <c r="B191" i="18"/>
  <c r="C190" i="18"/>
  <c r="D190" i="18" s="1"/>
  <c r="B190" i="18"/>
  <c r="C189" i="18"/>
  <c r="D189" i="18" s="1"/>
  <c r="B189" i="18"/>
  <c r="C188" i="18"/>
  <c r="D188" i="18" s="1"/>
  <c r="B188" i="18"/>
  <c r="C187" i="18"/>
  <c r="D187" i="18" s="1"/>
  <c r="B187" i="18"/>
  <c r="C186" i="18"/>
  <c r="D186" i="18" s="1"/>
  <c r="B186" i="18"/>
  <c r="C185" i="18"/>
  <c r="D185" i="18" s="1"/>
  <c r="B185" i="18"/>
  <c r="C184" i="18"/>
  <c r="D184" i="18" s="1"/>
  <c r="B184" i="18"/>
  <c r="C183" i="18"/>
  <c r="D183" i="18" s="1"/>
  <c r="B183" i="18"/>
  <c r="C182" i="18"/>
  <c r="D182" i="18" s="1"/>
  <c r="B182" i="18"/>
  <c r="C181" i="18"/>
  <c r="D181" i="18" s="1"/>
  <c r="B181" i="18"/>
  <c r="C180" i="18"/>
  <c r="D180" i="18" s="1"/>
  <c r="B180" i="18"/>
  <c r="C179" i="18"/>
  <c r="D179" i="18" s="1"/>
  <c r="B179" i="18"/>
  <c r="C178" i="18"/>
  <c r="D178" i="18" s="1"/>
  <c r="B178" i="18"/>
  <c r="C177" i="18"/>
  <c r="D177" i="18" s="1"/>
  <c r="B177" i="18"/>
  <c r="C176" i="18"/>
  <c r="D176" i="18" s="1"/>
  <c r="B176" i="18"/>
  <c r="C175" i="18"/>
  <c r="D175" i="18" s="1"/>
  <c r="B175" i="18"/>
  <c r="C174" i="18"/>
  <c r="D174" i="18" s="1"/>
  <c r="B174" i="18"/>
  <c r="C173" i="18"/>
  <c r="D173" i="18" s="1"/>
  <c r="B173" i="18"/>
  <c r="C172" i="18"/>
  <c r="D172" i="18" s="1"/>
  <c r="B172" i="18"/>
  <c r="C171" i="18"/>
  <c r="D171" i="18" s="1"/>
  <c r="B171" i="18"/>
  <c r="C170" i="18"/>
  <c r="D170" i="18" s="1"/>
  <c r="B170" i="18"/>
  <c r="C169" i="18"/>
  <c r="D169" i="18" s="1"/>
  <c r="B169" i="18"/>
  <c r="C168" i="18"/>
  <c r="D168" i="18" s="1"/>
  <c r="B168" i="18"/>
  <c r="C167" i="18"/>
  <c r="D167" i="18" s="1"/>
  <c r="B167" i="18"/>
  <c r="C166" i="18"/>
  <c r="D166" i="18" s="1"/>
  <c r="B166" i="18"/>
  <c r="C165" i="18"/>
  <c r="D165" i="18" s="1"/>
  <c r="B165" i="18"/>
  <c r="C164" i="18"/>
  <c r="D164" i="18" s="1"/>
  <c r="B164" i="18"/>
  <c r="C163" i="18"/>
  <c r="D163" i="18" s="1"/>
  <c r="B163" i="18"/>
  <c r="C162" i="18"/>
  <c r="D162" i="18" s="1"/>
  <c r="B162" i="18"/>
  <c r="C161" i="18"/>
  <c r="D161" i="18" s="1"/>
  <c r="B161" i="18"/>
  <c r="C160" i="18"/>
  <c r="D160" i="18" s="1"/>
  <c r="B160" i="18"/>
  <c r="C159" i="18"/>
  <c r="D159" i="18" s="1"/>
  <c r="B159" i="18"/>
  <c r="C158" i="18"/>
  <c r="D158" i="18" s="1"/>
  <c r="B158" i="18"/>
  <c r="C157" i="18"/>
  <c r="D157" i="18" s="1"/>
  <c r="B157" i="18"/>
  <c r="C156" i="18"/>
  <c r="D156" i="18" s="1"/>
  <c r="B156" i="18"/>
  <c r="C155" i="18"/>
  <c r="D155" i="18" s="1"/>
  <c r="B155" i="18"/>
  <c r="C154" i="18"/>
  <c r="D154" i="18" s="1"/>
  <c r="B154" i="18"/>
  <c r="C153" i="18"/>
  <c r="D153" i="18" s="1"/>
  <c r="B153" i="18"/>
  <c r="C152" i="18"/>
  <c r="D152" i="18" s="1"/>
  <c r="B152" i="18"/>
  <c r="C151" i="18"/>
  <c r="D151" i="18" s="1"/>
  <c r="B151" i="18"/>
  <c r="C150" i="18"/>
  <c r="D150" i="18" s="1"/>
  <c r="B150" i="18"/>
  <c r="C149" i="18"/>
  <c r="D149" i="18" s="1"/>
  <c r="B149" i="18"/>
  <c r="C148" i="18"/>
  <c r="D148" i="18" s="1"/>
  <c r="B148" i="18"/>
  <c r="C147" i="18"/>
  <c r="D147" i="18" s="1"/>
  <c r="B147" i="18"/>
  <c r="C146" i="18"/>
  <c r="D146" i="18" s="1"/>
  <c r="B146" i="18"/>
  <c r="C145" i="18"/>
  <c r="D145" i="18" s="1"/>
  <c r="B145" i="18"/>
  <c r="C144" i="18"/>
  <c r="D144" i="18" s="1"/>
  <c r="B144" i="18"/>
  <c r="C143" i="18"/>
  <c r="D143" i="18" s="1"/>
  <c r="B143" i="18"/>
  <c r="C142" i="18"/>
  <c r="D142" i="18" s="1"/>
  <c r="B142" i="18"/>
  <c r="C141" i="18"/>
  <c r="D141" i="18" s="1"/>
  <c r="B141" i="18"/>
  <c r="C140" i="18"/>
  <c r="D140" i="18" s="1"/>
  <c r="B140" i="18"/>
  <c r="C139" i="18"/>
  <c r="D139" i="18" s="1"/>
  <c r="B139" i="18"/>
  <c r="C138" i="18"/>
  <c r="D138" i="18" s="1"/>
  <c r="B138" i="18"/>
  <c r="C137" i="18"/>
  <c r="D137" i="18" s="1"/>
  <c r="B137" i="18"/>
  <c r="C136" i="18"/>
  <c r="D136" i="18" s="1"/>
  <c r="B136" i="18"/>
  <c r="C135" i="18"/>
  <c r="D135" i="18" s="1"/>
  <c r="B135" i="18"/>
  <c r="C134" i="18"/>
  <c r="D134" i="18" s="1"/>
  <c r="B134" i="18"/>
  <c r="C133" i="18"/>
  <c r="D133" i="18" s="1"/>
  <c r="B133" i="18"/>
  <c r="C132" i="18"/>
  <c r="D132" i="18" s="1"/>
  <c r="B132" i="18"/>
  <c r="C131" i="18"/>
  <c r="D131" i="18" s="1"/>
  <c r="B131" i="18"/>
  <c r="C130" i="18"/>
  <c r="D130" i="18" s="1"/>
  <c r="B130" i="18"/>
  <c r="C129" i="18"/>
  <c r="D129" i="18" s="1"/>
  <c r="B129" i="18"/>
  <c r="C128" i="18"/>
  <c r="D128" i="18" s="1"/>
  <c r="B128" i="18"/>
  <c r="C127" i="18"/>
  <c r="D127" i="18" s="1"/>
  <c r="B127" i="18"/>
  <c r="C126" i="18"/>
  <c r="D126" i="18" s="1"/>
  <c r="B126" i="18"/>
  <c r="C125" i="18"/>
  <c r="D125" i="18" s="1"/>
  <c r="B125" i="18"/>
  <c r="C124" i="18"/>
  <c r="B124" i="18"/>
  <c r="C123" i="18"/>
  <c r="B123" i="18"/>
  <c r="C122" i="18"/>
  <c r="B122" i="18"/>
  <c r="C121" i="18"/>
  <c r="B121" i="18"/>
  <c r="C120" i="18"/>
  <c r="B120" i="18"/>
  <c r="C119" i="18"/>
  <c r="B119" i="18"/>
  <c r="C118" i="18"/>
  <c r="B118" i="18"/>
  <c r="C117" i="18"/>
  <c r="B117" i="18"/>
  <c r="C116" i="18"/>
  <c r="B116" i="18"/>
  <c r="C115" i="18"/>
  <c r="B115" i="18"/>
  <c r="C114" i="18"/>
  <c r="B114" i="18"/>
  <c r="C113" i="18"/>
  <c r="B113" i="18"/>
  <c r="C112" i="18"/>
  <c r="B112" i="18"/>
  <c r="C111" i="18"/>
  <c r="B111" i="18"/>
  <c r="C110" i="18"/>
  <c r="B110" i="18"/>
  <c r="C109" i="18"/>
  <c r="B109" i="18"/>
  <c r="C108" i="18"/>
  <c r="B108" i="18"/>
  <c r="C107" i="18"/>
  <c r="B107" i="18"/>
  <c r="C106" i="18"/>
  <c r="B106" i="18"/>
  <c r="C105" i="18"/>
  <c r="B105" i="18"/>
  <c r="C104" i="18"/>
  <c r="B104" i="18"/>
  <c r="C103" i="18"/>
  <c r="B103" i="18"/>
  <c r="C102" i="18"/>
  <c r="B102" i="18"/>
  <c r="C101" i="18"/>
  <c r="B101" i="18"/>
  <c r="C100" i="18"/>
  <c r="B100" i="18"/>
  <c r="C99" i="18"/>
  <c r="B99" i="18"/>
  <c r="C98" i="18"/>
  <c r="B98" i="18"/>
  <c r="C97" i="18"/>
  <c r="B97" i="18"/>
  <c r="C96" i="18"/>
  <c r="B96" i="18"/>
  <c r="C95" i="18"/>
  <c r="B95" i="18"/>
  <c r="C94" i="18"/>
  <c r="B94" i="18"/>
  <c r="C93" i="18"/>
  <c r="B93" i="18"/>
  <c r="C92" i="18"/>
  <c r="B92" i="18"/>
  <c r="C91" i="18"/>
  <c r="B91" i="18"/>
  <c r="C90" i="18"/>
  <c r="B90" i="18"/>
  <c r="C89" i="18"/>
  <c r="B89" i="18"/>
  <c r="C88" i="18"/>
  <c r="B88" i="18"/>
  <c r="C87" i="18"/>
  <c r="B87" i="18"/>
  <c r="C86" i="18"/>
  <c r="B86" i="18"/>
  <c r="C85" i="18"/>
  <c r="B85" i="18"/>
  <c r="C84" i="18"/>
  <c r="B84" i="18"/>
  <c r="C83" i="18"/>
  <c r="B83" i="18"/>
  <c r="C82" i="18"/>
  <c r="B82" i="18"/>
  <c r="C81" i="18"/>
  <c r="B81" i="18"/>
  <c r="C80" i="18"/>
  <c r="B80" i="18"/>
  <c r="C79" i="18"/>
  <c r="B79" i="18"/>
  <c r="C78" i="18"/>
  <c r="B78" i="18"/>
  <c r="C77" i="18"/>
  <c r="B77" i="18"/>
  <c r="C76" i="18"/>
  <c r="B76" i="18"/>
  <c r="C75" i="18"/>
  <c r="B75" i="18"/>
  <c r="C74" i="18"/>
  <c r="B74" i="18"/>
  <c r="C73" i="18"/>
  <c r="B73" i="18"/>
  <c r="C72" i="18"/>
  <c r="B72" i="18"/>
  <c r="C71" i="18"/>
  <c r="B71" i="18"/>
  <c r="C70" i="18"/>
  <c r="B70" i="18"/>
  <c r="C69" i="18"/>
  <c r="B69" i="18"/>
  <c r="C68" i="18"/>
  <c r="B68" i="18"/>
  <c r="C67" i="18"/>
  <c r="B67" i="18"/>
  <c r="C66" i="18"/>
  <c r="B66" i="18"/>
  <c r="C65" i="18"/>
  <c r="B65" i="18"/>
  <c r="C64" i="18"/>
  <c r="B64" i="18"/>
  <c r="C63" i="18"/>
  <c r="B63" i="18"/>
  <c r="C62" i="18"/>
  <c r="B62" i="18"/>
  <c r="C61" i="18"/>
  <c r="B61" i="18"/>
  <c r="C60" i="18"/>
  <c r="B60" i="18"/>
  <c r="C59" i="18"/>
  <c r="B59" i="18"/>
  <c r="C58" i="18"/>
  <c r="B58" i="18"/>
  <c r="C57" i="18"/>
  <c r="B57" i="18"/>
  <c r="C56" i="18"/>
  <c r="B56" i="18"/>
  <c r="C55" i="18"/>
  <c r="B55" i="18"/>
  <c r="C54" i="18"/>
  <c r="B54" i="18"/>
  <c r="C53" i="18"/>
  <c r="B53" i="18"/>
  <c r="C52" i="18"/>
  <c r="B52" i="18"/>
  <c r="C51" i="18"/>
  <c r="B51" i="18"/>
  <c r="C50" i="18"/>
  <c r="B50" i="18"/>
  <c r="C49" i="18"/>
  <c r="B49" i="18"/>
  <c r="C48" i="18"/>
  <c r="B48" i="18"/>
  <c r="C47" i="18"/>
  <c r="B47" i="18"/>
  <c r="C46" i="18"/>
  <c r="B46" i="18"/>
  <c r="C45" i="18"/>
  <c r="B45" i="18"/>
  <c r="C44" i="18"/>
  <c r="B44" i="18"/>
  <c r="C43" i="18"/>
  <c r="B43" i="18"/>
  <c r="C42" i="18"/>
  <c r="B42" i="18"/>
  <c r="C41" i="18"/>
  <c r="B41" i="18"/>
  <c r="C40" i="18"/>
  <c r="B40" i="18"/>
  <c r="C39" i="18"/>
  <c r="B39" i="18"/>
  <c r="C38" i="18"/>
  <c r="B38" i="18"/>
  <c r="C37" i="18"/>
  <c r="B37" i="18"/>
  <c r="C36" i="18"/>
  <c r="B36" i="18"/>
  <c r="C35" i="18"/>
  <c r="B35" i="18"/>
  <c r="C34" i="18"/>
  <c r="B34" i="18"/>
  <c r="C33" i="18"/>
  <c r="B33" i="18"/>
  <c r="C32" i="18"/>
  <c r="B32" i="18"/>
  <c r="C31" i="18"/>
  <c r="B31" i="18"/>
  <c r="C30" i="18"/>
  <c r="B30" i="18"/>
  <c r="C29" i="18"/>
  <c r="B29" i="18"/>
  <c r="C28" i="18"/>
  <c r="B28" i="18"/>
  <c r="C27" i="18"/>
  <c r="B27" i="18"/>
  <c r="C26" i="18"/>
  <c r="B26" i="18"/>
  <c r="C25" i="18"/>
  <c r="B25" i="18"/>
  <c r="C24" i="18"/>
  <c r="B24" i="18"/>
  <c r="C23" i="18"/>
  <c r="B23" i="18"/>
  <c r="C22" i="18"/>
  <c r="B22" i="18"/>
  <c r="C21" i="18"/>
  <c r="B21" i="18"/>
  <c r="C20" i="18"/>
  <c r="B20" i="18"/>
  <c r="C19" i="18"/>
  <c r="B19" i="18"/>
  <c r="C18" i="18"/>
  <c r="B18" i="18"/>
  <c r="C17" i="18"/>
  <c r="B17" i="18"/>
  <c r="C16" i="18"/>
  <c r="B16" i="18"/>
  <c r="C15" i="18"/>
  <c r="B15" i="18"/>
  <c r="C14" i="18"/>
  <c r="B14" i="18"/>
  <c r="C13" i="18"/>
  <c r="B13" i="18"/>
  <c r="C12" i="18"/>
  <c r="B12" i="18"/>
  <c r="C11" i="18"/>
  <c r="B11" i="18"/>
  <c r="C10" i="18"/>
  <c r="B10" i="18"/>
  <c r="C9" i="18"/>
  <c r="B9" i="18"/>
  <c r="C8" i="18"/>
  <c r="B8" i="18"/>
  <c r="C7" i="18"/>
  <c r="B7" i="18"/>
  <c r="C6" i="18"/>
  <c r="B6" i="18"/>
  <c r="C5" i="18"/>
  <c r="B5" i="18"/>
  <c r="I8" i="16" l="1"/>
  <c r="F8" i="16"/>
  <c r="D8" i="15"/>
  <c r="G8" i="15"/>
  <c r="H8" i="15"/>
  <c r="B8" i="15"/>
  <c r="E8" i="15"/>
  <c r="C8" i="15"/>
  <c r="G7" i="15"/>
  <c r="D7" i="15"/>
  <c r="B7" i="15"/>
  <c r="C7" i="15"/>
  <c r="E7" i="15"/>
  <c r="H7" i="15"/>
  <c r="B6" i="15"/>
  <c r="H6" i="15"/>
  <c r="D6" i="15"/>
  <c r="E6" i="15"/>
  <c r="G6" i="15"/>
  <c r="C6" i="15"/>
  <c r="H5" i="15"/>
  <c r="G5" i="15"/>
  <c r="E5" i="15"/>
  <c r="C5" i="15"/>
  <c r="B5" i="15"/>
  <c r="D5" i="15"/>
  <c r="F5" i="15" s="1"/>
  <c r="M124" i="14"/>
  <c r="N124" i="14" s="1"/>
  <c r="D124" i="18"/>
  <c r="D123" i="18"/>
  <c r="M123" i="14"/>
  <c r="N123" i="14" s="1"/>
  <c r="D122" i="18"/>
  <c r="M122" i="14"/>
  <c r="N122" i="14" s="1"/>
  <c r="M121" i="14"/>
  <c r="N121" i="14" s="1"/>
  <c r="D121" i="18"/>
  <c r="M120" i="14"/>
  <c r="N120" i="14" s="1"/>
  <c r="D120" i="18"/>
  <c r="D119" i="18"/>
  <c r="M119" i="14"/>
  <c r="N119" i="14" s="1"/>
  <c r="M118" i="14"/>
  <c r="N118" i="14" s="1"/>
  <c r="D118" i="18"/>
  <c r="D117" i="18"/>
  <c r="M117" i="14"/>
  <c r="N117" i="14" s="1"/>
  <c r="M116" i="14"/>
  <c r="N116" i="14" s="1"/>
  <c r="D116" i="18"/>
  <c r="D115" i="18"/>
  <c r="M115" i="14"/>
  <c r="N115" i="14" s="1"/>
  <c r="D114" i="18"/>
  <c r="M114" i="14"/>
  <c r="N114" i="14" s="1"/>
  <c r="M113" i="14"/>
  <c r="N113" i="14" s="1"/>
  <c r="D113" i="18"/>
  <c r="D112" i="18"/>
  <c r="M112" i="14"/>
  <c r="N112" i="14" s="1"/>
  <c r="M111" i="14"/>
  <c r="N111" i="14" s="1"/>
  <c r="D111" i="18"/>
  <c r="D110" i="18"/>
  <c r="M110" i="14"/>
  <c r="N110" i="14" s="1"/>
  <c r="D109" i="18"/>
  <c r="M109" i="14"/>
  <c r="N109" i="14" s="1"/>
  <c r="M108" i="14"/>
  <c r="N108" i="14" s="1"/>
  <c r="D108" i="18"/>
  <c r="D107" i="18"/>
  <c r="M107" i="14"/>
  <c r="N107" i="14" s="1"/>
  <c r="M106" i="14"/>
  <c r="N106" i="14" s="1"/>
  <c r="D106" i="18"/>
  <c r="M105" i="14"/>
  <c r="N105" i="14" s="1"/>
  <c r="D105" i="18"/>
  <c r="M104" i="14"/>
  <c r="N104" i="14" s="1"/>
  <c r="D104" i="18"/>
  <c r="D103" i="18"/>
  <c r="M103" i="14"/>
  <c r="N103" i="14" s="1"/>
  <c r="M102" i="14"/>
  <c r="N102" i="14" s="1"/>
  <c r="D102" i="18"/>
  <c r="M101" i="14"/>
  <c r="N101" i="14" s="1"/>
  <c r="D101" i="18"/>
  <c r="M100" i="14"/>
  <c r="N100" i="14" s="1"/>
  <c r="D100" i="18"/>
  <c r="D99" i="18"/>
  <c r="M99" i="14"/>
  <c r="N99" i="14" s="1"/>
  <c r="D98" i="18"/>
  <c r="M98" i="14"/>
  <c r="N98" i="14" s="1"/>
  <c r="D97" i="18"/>
  <c r="M97" i="14"/>
  <c r="N97" i="14" s="1"/>
  <c r="D96" i="18"/>
  <c r="M96" i="14"/>
  <c r="N96" i="14" s="1"/>
  <c r="D95" i="18"/>
  <c r="M95" i="14"/>
  <c r="N95" i="14" s="1"/>
  <c r="D94" i="18"/>
  <c r="M94" i="14"/>
  <c r="N94" i="14" s="1"/>
  <c r="D93" i="18"/>
  <c r="M93" i="14"/>
  <c r="N93" i="14" s="1"/>
  <c r="M92" i="14"/>
  <c r="N92" i="14" s="1"/>
  <c r="D92" i="18"/>
  <c r="M91" i="14"/>
  <c r="N91" i="14" s="1"/>
  <c r="D91" i="18"/>
  <c r="D90" i="18"/>
  <c r="M90" i="14"/>
  <c r="N90" i="14" s="1"/>
  <c r="D89" i="18"/>
  <c r="M89" i="14"/>
  <c r="N89" i="14" s="1"/>
  <c r="D88" i="18"/>
  <c r="M88" i="14"/>
  <c r="N88" i="14" s="1"/>
  <c r="D87" i="18"/>
  <c r="M87" i="14"/>
  <c r="N87" i="14" s="1"/>
  <c r="M86" i="14"/>
  <c r="N86" i="14" s="1"/>
  <c r="D86" i="18"/>
  <c r="M85" i="14"/>
  <c r="N85" i="14" s="1"/>
  <c r="D85" i="18"/>
  <c r="D84" i="18"/>
  <c r="M84" i="14"/>
  <c r="N84" i="14" s="1"/>
  <c r="D83" i="18"/>
  <c r="M83" i="14"/>
  <c r="N83" i="14" s="1"/>
  <c r="M82" i="14"/>
  <c r="N82" i="14" s="1"/>
  <c r="D82" i="18"/>
  <c r="D81" i="18"/>
  <c r="M81" i="14"/>
  <c r="N81" i="14" s="1"/>
  <c r="D80" i="18"/>
  <c r="M80" i="14"/>
  <c r="N80" i="14" s="1"/>
  <c r="M79" i="14"/>
  <c r="N79" i="14" s="1"/>
  <c r="D79" i="18"/>
  <c r="M78" i="14"/>
  <c r="N78" i="14" s="1"/>
  <c r="D78" i="18"/>
  <c r="M77" i="14"/>
  <c r="N77" i="14" s="1"/>
  <c r="D77" i="18"/>
  <c r="M76" i="14"/>
  <c r="N76" i="14" s="1"/>
  <c r="D76" i="18"/>
  <c r="M75" i="14"/>
  <c r="N75" i="14" s="1"/>
  <c r="D75" i="18"/>
  <c r="D74" i="18"/>
  <c r="M74" i="14"/>
  <c r="N74" i="14" s="1"/>
  <c r="M73" i="14"/>
  <c r="N73" i="14" s="1"/>
  <c r="D73" i="18"/>
  <c r="M72" i="14"/>
  <c r="N72" i="14" s="1"/>
  <c r="D72" i="18"/>
  <c r="D71" i="18"/>
  <c r="M71" i="14"/>
  <c r="N71" i="14" s="1"/>
  <c r="M70" i="14"/>
  <c r="N70" i="14" s="1"/>
  <c r="D70" i="18"/>
  <c r="D69" i="18"/>
  <c r="M69" i="14"/>
  <c r="N69" i="14" s="1"/>
  <c r="M68" i="14"/>
  <c r="N68" i="14" s="1"/>
  <c r="D68" i="18"/>
  <c r="M67" i="14"/>
  <c r="N67" i="14" s="1"/>
  <c r="D67" i="18"/>
  <c r="M66" i="14"/>
  <c r="N66" i="14" s="1"/>
  <c r="D66" i="18"/>
  <c r="M65" i="14"/>
  <c r="N65" i="14" s="1"/>
  <c r="D65" i="18"/>
  <c r="D64" i="18"/>
  <c r="M64" i="14"/>
  <c r="N64" i="14" s="1"/>
  <c r="D63" i="18"/>
  <c r="M63" i="14"/>
  <c r="N63" i="14" s="1"/>
  <c r="D62" i="18"/>
  <c r="M62" i="14"/>
  <c r="N62" i="14" s="1"/>
  <c r="M61" i="14"/>
  <c r="N61" i="14" s="1"/>
  <c r="D61" i="18"/>
  <c r="D60" i="18"/>
  <c r="M60" i="14"/>
  <c r="N60" i="14" s="1"/>
  <c r="M59" i="14"/>
  <c r="N59" i="14" s="1"/>
  <c r="D59" i="18"/>
  <c r="D58" i="18"/>
  <c r="M58" i="14"/>
  <c r="N58" i="14" s="1"/>
  <c r="M57" i="14"/>
  <c r="N57" i="14" s="1"/>
  <c r="D57" i="18"/>
  <c r="M56" i="14"/>
  <c r="N56" i="14" s="1"/>
  <c r="D56" i="18"/>
  <c r="D55" i="18"/>
  <c r="M55" i="14"/>
  <c r="N55" i="14" s="1"/>
  <c r="D54" i="18"/>
  <c r="M54" i="14"/>
  <c r="N54" i="14" s="1"/>
  <c r="M53" i="14"/>
  <c r="N53" i="14" s="1"/>
  <c r="D53" i="18"/>
  <c r="M52" i="14"/>
  <c r="N52" i="14" s="1"/>
  <c r="D52" i="18"/>
  <c r="D51" i="18"/>
  <c r="M51" i="14"/>
  <c r="N51" i="14" s="1"/>
  <c r="M50" i="14"/>
  <c r="N50" i="14" s="1"/>
  <c r="D50" i="18"/>
  <c r="M49" i="14"/>
  <c r="N49" i="14" s="1"/>
  <c r="D49" i="18"/>
  <c r="D48" i="18"/>
  <c r="M48" i="14"/>
  <c r="N48" i="14" s="1"/>
  <c r="M47" i="14"/>
  <c r="N47" i="14" s="1"/>
  <c r="D47" i="18"/>
  <c r="D46" i="18"/>
  <c r="M46" i="14"/>
  <c r="N46" i="14" s="1"/>
  <c r="M45" i="14"/>
  <c r="N45" i="14" s="1"/>
  <c r="D45" i="18"/>
  <c r="M44" i="14"/>
  <c r="N44" i="14" s="1"/>
  <c r="D44" i="18"/>
  <c r="D43" i="18"/>
  <c r="M43" i="14"/>
  <c r="N43" i="14" s="1"/>
  <c r="M42" i="14"/>
  <c r="N42" i="14" s="1"/>
  <c r="D42" i="18"/>
  <c r="M41" i="14"/>
  <c r="N41" i="14" s="1"/>
  <c r="D41" i="18"/>
  <c r="M40" i="14"/>
  <c r="N40" i="14" s="1"/>
  <c r="D40" i="18"/>
  <c r="M39" i="14"/>
  <c r="N39" i="14" s="1"/>
  <c r="D39" i="18"/>
  <c r="M38" i="14"/>
  <c r="N38" i="14" s="1"/>
  <c r="D38" i="18"/>
  <c r="M37" i="14"/>
  <c r="N37" i="14" s="1"/>
  <c r="D37" i="18"/>
  <c r="M36" i="14"/>
  <c r="N36" i="14" s="1"/>
  <c r="D36" i="18"/>
  <c r="M35" i="14"/>
  <c r="N35" i="14" s="1"/>
  <c r="D35" i="18"/>
  <c r="M34" i="14"/>
  <c r="N34" i="14" s="1"/>
  <c r="D34" i="18"/>
  <c r="M33" i="14"/>
  <c r="N33" i="14" s="1"/>
  <c r="D33" i="18"/>
  <c r="M32" i="14"/>
  <c r="N32" i="14" s="1"/>
  <c r="D32" i="18"/>
  <c r="D31" i="18"/>
  <c r="M31" i="14"/>
  <c r="N31" i="14" s="1"/>
  <c r="M30" i="14"/>
  <c r="N30" i="14" s="1"/>
  <c r="D30" i="18"/>
  <c r="M29" i="14"/>
  <c r="N29" i="14" s="1"/>
  <c r="D29" i="18"/>
  <c r="M28" i="14"/>
  <c r="N28" i="14" s="1"/>
  <c r="D28" i="18"/>
  <c r="D27" i="18"/>
  <c r="M27" i="14"/>
  <c r="N27" i="14" s="1"/>
  <c r="D26" i="18"/>
  <c r="M26" i="14"/>
  <c r="N26" i="14" s="1"/>
  <c r="M25" i="14"/>
  <c r="N25" i="14" s="1"/>
  <c r="D25" i="18"/>
  <c r="D24" i="18"/>
  <c r="M24" i="14"/>
  <c r="N24" i="14" s="1"/>
  <c r="D23" i="18"/>
  <c r="M23" i="14"/>
  <c r="N23" i="14" s="1"/>
  <c r="M22" i="14"/>
  <c r="N22" i="14" s="1"/>
  <c r="D22" i="18"/>
  <c r="M21" i="14"/>
  <c r="N21" i="14" s="1"/>
  <c r="D21" i="18"/>
  <c r="D20" i="18"/>
  <c r="M20" i="14"/>
  <c r="N20" i="14" s="1"/>
  <c r="D19" i="18"/>
  <c r="M19" i="14"/>
  <c r="N19" i="14" s="1"/>
  <c r="M18" i="14"/>
  <c r="N18" i="14" s="1"/>
  <c r="D18" i="18"/>
  <c r="D17" i="18"/>
  <c r="M17" i="14"/>
  <c r="N17" i="14" s="1"/>
  <c r="D16" i="18"/>
  <c r="M16" i="14"/>
  <c r="N16" i="14" s="1"/>
  <c r="M15" i="14"/>
  <c r="N15" i="14" s="1"/>
  <c r="D15" i="18"/>
  <c r="D14" i="18"/>
  <c r="M14" i="14"/>
  <c r="N14" i="14" s="1"/>
  <c r="D13" i="18"/>
  <c r="M13" i="14"/>
  <c r="N13" i="14" s="1"/>
  <c r="M12" i="14"/>
  <c r="N12" i="14" s="1"/>
  <c r="D12" i="18"/>
  <c r="D11" i="18"/>
  <c r="M11" i="14"/>
  <c r="N11" i="14" s="1"/>
  <c r="M10" i="14"/>
  <c r="N10" i="14" s="1"/>
  <c r="D10" i="18"/>
  <c r="D9" i="18"/>
  <c r="M9" i="14"/>
  <c r="N9" i="14" s="1"/>
  <c r="D8" i="18"/>
  <c r="M8" i="14"/>
  <c r="N8" i="14" s="1"/>
  <c r="M7" i="14"/>
  <c r="N7" i="14" s="1"/>
  <c r="D7" i="18"/>
  <c r="M6" i="14"/>
  <c r="N6" i="14" s="1"/>
  <c r="D6" i="18"/>
  <c r="M5" i="14"/>
  <c r="N5" i="14" s="1"/>
  <c r="D5" i="18"/>
  <c r="B34" i="13" l="1"/>
  <c r="C20" i="17"/>
  <c r="E20" i="17" s="1"/>
  <c r="C23" i="17" s="1"/>
  <c r="F8" i="15"/>
  <c r="F7" i="15"/>
  <c r="F6"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A0F702-E1FB-4E35-A4A9-FC7C8DDA84E7}" keepAlive="1" name="Connection" type="5" refreshedVersion="8" saveData="1">
    <dbPr connection="Provider=Microsoft.Mashup.OleDb.1;Data Source=$Workbook$;Location=tWear;Extended Properties=&quot;&quot;" command="SELECT * FROM [tWear]"/>
  </connection>
  <connection id="2" xr16:uid="{2CCED391-40AC-4379-B48B-C62935429D60}" keepAlive="1" name="Connection1" type="5" refreshedVersion="8" saveData="1">
    <dbPr connection="Provider=Microsoft.Mashup.OleDb.1;Data Source=$Workbook$;Location=tQueue;Extended Properties=&quot;&quot;" command="SELECT * FROM [tQueue]"/>
  </connection>
  <connection id="3" xr16:uid="{40293AB4-9565-4F30-9A99-3C713D70D00C}" keepAlive="1" name="Connection2" type="5" refreshedVersion="8" saveData="1">
    <dbPr connection="Provider=Microsoft.Mashup.OleDb.1;Data Source=$Workbook$;Location=tBase;Extended Properties=&quot;&quot;" command="SELECT * FROM [tBase]"/>
  </connection>
  <connection id="4" xr16:uid="{C5B40C63-B79B-40B0-A19A-DCA77CDD95FA}" keepAlive="1" name="Connection3" type="5" refreshedVersion="8" saveData="1">
    <dbPr connection="Provider=Microsoft.Mashup.OleDb.1;Data Source=$Workbook$;Location=tKPI;Extended Properties=&quot;&quot;" command="SELECT * FROM [tKPI]"/>
  </connection>
  <connection id="5" xr16:uid="{EC9AEF10-8521-4DA4-8EA8-976F78E0DC29}" keepAlive="1" name="Connection4" type="5" refreshedVersion="8" saveData="1">
    <dbPr connection="Provider=Microsoft.Mashup.OleDb.1;Data Source=$Workbook$;Location=tSweep;Extended Properties=&quot;&quot;" command="SELECT * FROM [tSweep]"/>
  </connection>
  <connection id="6" xr16:uid="{E6347694-1CFB-4454-9FA0-AC5E9A4B4CC6}" keepAlive="1" name="Connection5" type="5" refreshedVersion="8" saveData="1">
    <dbPr connection="Provider=Microsoft.Mashup.OleDb.1;Data Source=$Workbook$;Location=tTargets;Extended Properties=&quot;&quot;" command="SELECT * FROM [tTargets]"/>
  </connection>
  <connection id="7" xr16:uid="{73104B84-3DF3-4DD2-9186-51C7F5FFD2EF}" keepAlive="1" name="Connection6" type="5" refreshedVersion="8" saveData="1">
    <dbPr connection="Provider=Microsoft.Mashup.OleDb.1;Data Source=$Workbook$;Location=tStress;Extended Properties=&quot;&quot;" command="SELECT * FROM [tStress]"/>
  </connection>
  <connection id="8" xr16:uid="{A5645542-2DF2-4C34-B932-A0B25A91EDFF}" keepAlive="1" name="Connection7" type="5" refreshedVersion="8" saveData="1">
    <dbPr connection="Provider=Microsoft.Mashup.OleDb.1;Data Source=$Workbook$;Location=tInterval;Extended Properties=&quot;&quot;" command="SELECT * FROM [tInterval]"/>
  </connection>
  <connection id="9" xr16:uid="{A904FE81-ED2D-46B4-9DB5-8F68B0012CFB}" keepAlive="1" name="Connection8" type="5" refreshedVersion="8" saveData="1">
    <dbPr connection="Provider=Microsoft.Mashup.OleDb.1;Data Source=$Workbook$;Location=tTrend;Extended Properties=&quot;&quot;" command="SELECT * FROM [tTrend]"/>
  </connection>
  <connection id="10" xr16:uid="{65BCB380-7B22-4E3A-97E1-FBA2676F46A7}" keepAlive="1" name="Connection9" type="5" refreshedVersion="8" saveData="1">
    <dbPr connection="Provider=Microsoft.Mashup.OleDb.1;Data Source=$Workbook$;Location=tDQ;Extended Properties=&quot;&quot;" command="SELECT * FROM [tDQ]"/>
  </connection>
</connections>
</file>

<file path=xl/sharedStrings.xml><?xml version="1.0" encoding="utf-8"?>
<sst xmlns="http://schemas.openxmlformats.org/spreadsheetml/2006/main" count="5703" uniqueCount="1011">
  <si>
    <t>MERIDIAN UAV SERVICES -- FLEET MAINTENANCE CONTROL</t>
  </si>
  <si>
    <t>Control panel. Every sheet reads its parameters from the cells below.</t>
  </si>
  <si>
    <t>PARAMETER</t>
  </si>
  <si>
    <t>VALUE</t>
  </si>
  <si>
    <t>WHAT IT CONTROLS</t>
  </si>
  <si>
    <t>Source folder</t>
  </si>
  <si>
    <t>C:\Users\inouf\OneDrive\Documents\Portfolio Projects\project-5-meridian-uav\data_exports</t>
  </si>
  <si>
    <t>Where the CSV extracts live. Power Query reads this cell, so the workbook moves with its data.</t>
  </si>
  <si>
    <t>Reporting date</t>
  </si>
  <si>
    <t>Pinned, not derived from the data. A figure anchored on "the latest row" stops matching the report that quoted it the moment anything is loaded.</t>
  </si>
  <si>
    <t>Hangar hours / week</t>
  </si>
  <si>
    <t>Maintenance capacity for the whole fleet. Change it and the week plan re-cuts itself -- this is how "what does another bay buy us" gets answered.</t>
  </si>
  <si>
    <t>Alert threshold</t>
  </si>
  <si>
    <t>Vibration multiple of a component's own baseline at which the alarm fires. Change it and the prediction figures re-state from the sweep.</t>
  </si>
  <si>
    <t>DATA DISCLOSURE</t>
  </si>
  <si>
    <t>Meridian UAV Services is a fictional UAV operator. All data in this workbook is synthetic and generated by the scripts in the sql\ folder. Degradation behaviour is modelled on publicly described characteristics of rotating machinery. No confidential data is used and no claim is made about any real aircraft, operator or manufacturer.</t>
  </si>
  <si>
    <t>InstallKey</t>
  </si>
  <si>
    <t>ComponentSerial</t>
  </si>
  <si>
    <t>ComponentCode</t>
  </si>
  <si>
    <t>ComponentName</t>
  </si>
  <si>
    <t>Criticality</t>
  </si>
  <si>
    <t>LeadTimeFlightHours</t>
  </si>
  <si>
    <t>TailNumber</t>
  </si>
  <si>
    <t>ModelCode</t>
  </si>
  <si>
    <t>BaseCode</t>
  </si>
  <si>
    <t>BaseName</t>
  </si>
  <si>
    <t>PositionNo</t>
  </si>
  <si>
    <t>InstalledDate</t>
  </si>
  <si>
    <t>Sorties</t>
  </si>
  <si>
    <t>Landings</t>
  </si>
  <si>
    <t>FlightHours</t>
  </si>
  <si>
    <t>StressHours</t>
  </si>
  <si>
    <t>IntervalFlightHours</t>
  </si>
  <si>
    <t>IntervalStressHours</t>
  </si>
  <si>
    <t>PctOfHourInterval</t>
  </si>
  <si>
    <t>PctOfStressInterval</t>
  </si>
  <si>
    <t>IsOverdueByHours</t>
  </si>
  <si>
    <t>IsOverdueByStress</t>
  </si>
  <si>
    <t>IsHiddenOverdue</t>
  </si>
  <si>
    <t>StressPerFlightHour</t>
  </si>
  <si>
    <t>RemainingStressHours</t>
  </si>
  <si>
    <t>RemainingFlightHours</t>
  </si>
  <si>
    <t>ProjectedFlightHoursToStressLimit</t>
  </si>
  <si>
    <t>LastSortieDate</t>
  </si>
  <si>
    <t>ROTOR-ASSY-00139</t>
  </si>
  <si>
    <t>ROTOR-ASSY</t>
  </si>
  <si>
    <t>Rotor assembly and bearing</t>
  </si>
  <si>
    <t>FlightCritical</t>
  </si>
  <si>
    <t>MU-008</t>
  </si>
  <si>
    <t>MRD-12H</t>
  </si>
  <si>
    <t>HIGHLND</t>
  </si>
  <si>
    <t>Highland Operations</t>
  </si>
  <si>
    <t>BATT-PACK-00049</t>
  </si>
  <si>
    <t>BATT-PACK</t>
  </si>
  <si>
    <t>Main battery pack</t>
  </si>
  <si>
    <t>MU-005</t>
  </si>
  <si>
    <t>MRD-8X</t>
  </si>
  <si>
    <t>PORT</t>
  </si>
  <si>
    <t>Port Logistics Hub</t>
  </si>
  <si>
    <t>BATT-PACK-00213</t>
  </si>
  <si>
    <t>MU-020</t>
  </si>
  <si>
    <t>ROTOR-ASSY-00026</t>
  </si>
  <si>
    <t>MU-002</t>
  </si>
  <si>
    <t>MOTOR-ESC-00100</t>
  </si>
  <si>
    <t>MOTOR-ESC</t>
  </si>
  <si>
    <t>Motor and speed controller</t>
  </si>
  <si>
    <t>ROTOR-ASSY-00545</t>
  </si>
  <si>
    <t>MU-030</t>
  </si>
  <si>
    <t>GIMBAL-00068</t>
  </si>
  <si>
    <t>GIMBAL</t>
  </si>
  <si>
    <t>Payload gimbal</t>
  </si>
  <si>
    <t>MissionCritical</t>
  </si>
  <si>
    <t>MU-027</t>
  </si>
  <si>
    <t>BATT-PACK-00055</t>
  </si>
  <si>
    <t>BATT-PACK-00077</t>
  </si>
  <si>
    <t>ROTOR-ASSY-00099</t>
  </si>
  <si>
    <t>ROTOR-ASSY-00325</t>
  </si>
  <si>
    <t>MU-018</t>
  </si>
  <si>
    <t>BATT-PACK-00266</t>
  </si>
  <si>
    <t>MU-025</t>
  </si>
  <si>
    <t>ROTOR-ASSY-00246</t>
  </si>
  <si>
    <t>MU-014</t>
  </si>
  <si>
    <t>MRD-6L</t>
  </si>
  <si>
    <t>BATT-PACK-00218</t>
  </si>
  <si>
    <t>ROTOR-ASSY-00363</t>
  </si>
  <si>
    <t>AIRDATA-00042</t>
  </si>
  <si>
    <t>AIRDATA</t>
  </si>
  <si>
    <t>Air data and pitot module</t>
  </si>
  <si>
    <t>MU-021</t>
  </si>
  <si>
    <t>ACADEMY</t>
  </si>
  <si>
    <t>Training Academy</t>
  </si>
  <si>
    <t>BATT-PACK-00083</t>
  </si>
  <si>
    <t>ROTOR-ASSY-00123</t>
  </si>
  <si>
    <t>MU-007</t>
  </si>
  <si>
    <t>MOTOR-ESC-00198</t>
  </si>
  <si>
    <t>MU-015</t>
  </si>
  <si>
    <t>GIMBAL-00028</t>
  </si>
  <si>
    <t>MU-011</t>
  </si>
  <si>
    <t>MOTOR-ESC-00003</t>
  </si>
  <si>
    <t>MU-001</t>
  </si>
  <si>
    <t>MOTOR-ESC-00006</t>
  </si>
  <si>
    <t>MOTOR-ESC-00022</t>
  </si>
  <si>
    <t>MOTOR-ESC-00284</t>
  </si>
  <si>
    <t>MOTOR-ESC-00286</t>
  </si>
  <si>
    <t>MOTOR-ESC-00288</t>
  </si>
  <si>
    <t>MOTOR-ESC-00274</t>
  </si>
  <si>
    <t>MOTOR-ESC-00403</t>
  </si>
  <si>
    <t>GIMBAL-00034</t>
  </si>
  <si>
    <t>MOTOR-ESC-00188</t>
  </si>
  <si>
    <t>ROTOR-ASSY-00285</t>
  </si>
  <si>
    <t>MU-016</t>
  </si>
  <si>
    <t>BATT-PACK-00280</t>
  </si>
  <si>
    <t>MU-026</t>
  </si>
  <si>
    <t>AIRDATA-00013</t>
  </si>
  <si>
    <t>AIRDATA-00004</t>
  </si>
  <si>
    <t>MOTOR-ESC-00210</t>
  </si>
  <si>
    <t>BATT-PACK-00194</t>
  </si>
  <si>
    <t>MOTOR-ESC-00151</t>
  </si>
  <si>
    <t>MOTOR-ESC-00064</t>
  </si>
  <si>
    <t>ROTOR-ASSY-00150</t>
  </si>
  <si>
    <t>ROTOR-ASSY-00204</t>
  </si>
  <si>
    <t>BATT-PACK-00110</t>
  </si>
  <si>
    <t>BATT-PACK-00072</t>
  </si>
  <si>
    <t>MOTOR-ESC-00191</t>
  </si>
  <si>
    <t>AIRDATA-00056</t>
  </si>
  <si>
    <t>MU-028</t>
  </si>
  <si>
    <t>LANDGEAR-00046</t>
  </si>
  <si>
    <t>LANDGEAR</t>
  </si>
  <si>
    <t>Landing gear assembly</t>
  </si>
  <si>
    <t>Degraded</t>
  </si>
  <si>
    <t>LANDGEAR-00049</t>
  </si>
  <si>
    <t>MOTOR-ESC-00218</t>
  </si>
  <si>
    <t>ROTOR-ASSY-00190</t>
  </si>
  <si>
    <t>MOTOR-ESC-00357</t>
  </si>
  <si>
    <t>ROTOR-ASSY-00494</t>
  </si>
  <si>
    <t>MOTOR-ESC-00010</t>
  </si>
  <si>
    <t>LANDGEAR-00066</t>
  </si>
  <si>
    <t>BATT-PACK-00006</t>
  </si>
  <si>
    <t>MOTOR-ESC-00085</t>
  </si>
  <si>
    <t>LANDGEAR-00016</t>
  </si>
  <si>
    <t>MOTOR-ESC-00155</t>
  </si>
  <si>
    <t>MOTOR-ESC-00222</t>
  </si>
  <si>
    <t>GIMBAL-00075</t>
  </si>
  <si>
    <t>LANDGEAR-00082</t>
  </si>
  <si>
    <t>MOTOR-ESC-00087</t>
  </si>
  <si>
    <t>MOTOR-ESC-00089</t>
  </si>
  <si>
    <t>ROTOR-ASSY-00242</t>
  </si>
  <si>
    <t>BATT-PACK-00018</t>
  </si>
  <si>
    <t>ROTOR-ASSY-00200</t>
  </si>
  <si>
    <t>LANDGEAR-00007</t>
  </si>
  <si>
    <t>ROTOR-ASSY-00238</t>
  </si>
  <si>
    <t>GIMBAL-00004</t>
  </si>
  <si>
    <t>GIMBAL-00058</t>
  </si>
  <si>
    <t>MU-023</t>
  </si>
  <si>
    <t>COASTAL</t>
  </si>
  <si>
    <t>Coastal Survey Base</t>
  </si>
  <si>
    <t>MOTOR-ESC-00315</t>
  </si>
  <si>
    <t>MOTOR-ESC-00318</t>
  </si>
  <si>
    <t>MOTOR-ESC-00413</t>
  </si>
  <si>
    <t>MOTOR-ESC-00362</t>
  </si>
  <si>
    <t>MOTOR-ESC-00295</t>
  </si>
  <si>
    <t>MU-022</t>
  </si>
  <si>
    <t>ROTOR-ASSY-00313</t>
  </si>
  <si>
    <t>MOTOR-ESC-00239</t>
  </si>
  <si>
    <t>ROTOR-ASSY-00268</t>
  </si>
  <si>
    <t>ROTOR-ASSY-00407</t>
  </si>
  <si>
    <t>ROTOR-ASSY-00421</t>
  </si>
  <si>
    <t>BATT-PACK-00242</t>
  </si>
  <si>
    <t>MOTOR-ESC-00365</t>
  </si>
  <si>
    <t>ROTOR-ASSY-00368</t>
  </si>
  <si>
    <t>ROTOR-ASSY-00390</t>
  </si>
  <si>
    <t>GIMBAL-00014</t>
  </si>
  <si>
    <t>GIMBAL-00056</t>
  </si>
  <si>
    <t>BATT-PACK-00298</t>
  </si>
  <si>
    <t>MOTOR-ESC-00298</t>
  </si>
  <si>
    <t>MOTOR-ESC-00301</t>
  </si>
  <si>
    <t>MOTOR-ESC-00304</t>
  </si>
  <si>
    <t>BATT-PACK-00322</t>
  </si>
  <si>
    <t>MU-031</t>
  </si>
  <si>
    <t>LANDGEAR-00093</t>
  </si>
  <si>
    <t>BATT-PACK-00012</t>
  </si>
  <si>
    <t>ROTOR-ASSY-00383</t>
  </si>
  <si>
    <t>MOTOR-ESC-00244</t>
  </si>
  <si>
    <t>AIRDATA-00031</t>
  </si>
  <si>
    <t>LANDGEAR-00003</t>
  </si>
  <si>
    <t>ROTOR-ASSY-00394</t>
  </si>
  <si>
    <t>ROTOR-ASSY-00398</t>
  </si>
  <si>
    <t>MOTOR-ESC-00202</t>
  </si>
  <si>
    <t>MOTOR-ESC-00030</t>
  </si>
  <si>
    <t>MOTOR-ESC-00261</t>
  </si>
  <si>
    <t>MU-019</t>
  </si>
  <si>
    <t>BATT-PACK-00044</t>
  </si>
  <si>
    <t>MU-004</t>
  </si>
  <si>
    <t>BATT-PACK-00172</t>
  </si>
  <si>
    <t>MOTOR-ESC-00161</t>
  </si>
  <si>
    <t>MU-012</t>
  </si>
  <si>
    <t>MOTOR-ESC-00410</t>
  </si>
  <si>
    <t>ROTOR-ASSY-00134</t>
  </si>
  <si>
    <t>MOTOR-ESC-00380</t>
  </si>
  <si>
    <t>MOTOR-ESC-00382</t>
  </si>
  <si>
    <t>MOTOR-ESC-00384</t>
  </si>
  <si>
    <t>MOTOR-ESC-00386</t>
  </si>
  <si>
    <t>AIRDATA-00010</t>
  </si>
  <si>
    <t>ROTOR-ASSY-00354</t>
  </si>
  <si>
    <t>GIMBAL-00016</t>
  </si>
  <si>
    <t>MU-006</t>
  </si>
  <si>
    <t>GIMBAL-00011</t>
  </si>
  <si>
    <t>AIRDATA-00015</t>
  </si>
  <si>
    <t>MOTOR-ESC-00393</t>
  </si>
  <si>
    <t>MU-029</t>
  </si>
  <si>
    <t>LANDGEAR-00069</t>
  </si>
  <si>
    <t>BATT-PACK-00231</t>
  </si>
  <si>
    <t>BATT-PACK-00273</t>
  </si>
  <si>
    <t>ROTOR-ASSY-00386</t>
  </si>
  <si>
    <t>ROTOR-ASSY-00376</t>
  </si>
  <si>
    <t>ROTOR-ASSY-00296</t>
  </si>
  <si>
    <t>BATT-PACK-00291</t>
  </si>
  <si>
    <t>LANDGEAR-00095</t>
  </si>
  <si>
    <t>MOTOR-ESC-00406</t>
  </si>
  <si>
    <t>ROTOR-ASSY-00195</t>
  </si>
  <si>
    <t>ROTOR-ASSY-00120</t>
  </si>
  <si>
    <t>MOTOR-ESC-00043</t>
  </si>
  <si>
    <t>MOTOR-ESC-00046</t>
  </si>
  <si>
    <t>MOTOR-ESC-00049</t>
  </si>
  <si>
    <t>MOTOR-ESC-00052</t>
  </si>
  <si>
    <t>BATT-PACK-00160</t>
  </si>
  <si>
    <t>ROTOR-ASSY-00108</t>
  </si>
  <si>
    <t>GIMBAL-00030</t>
  </si>
  <si>
    <t>ROTOR-ASSY-00536</t>
  </si>
  <si>
    <t>BATT-PACK-00222</t>
  </si>
  <si>
    <t>LANDGEAR-00025</t>
  </si>
  <si>
    <t>BATT-PACK-00141</t>
  </si>
  <si>
    <t>BATT-PACK-00147</t>
  </si>
  <si>
    <t>MOTOR-ESC-00080</t>
  </si>
  <si>
    <t>MOTOR-ESC-00083</t>
  </si>
  <si>
    <t>AIRDATA-00035</t>
  </si>
  <si>
    <t>BATT-PACK-00295</t>
  </si>
  <si>
    <t>AIRDATA-00029</t>
  </si>
  <si>
    <t>AIRDATA-00002</t>
  </si>
  <si>
    <t>ROTOR-ASSY-00061</t>
  </si>
  <si>
    <t>ROTOR-ASSY-00065</t>
  </si>
  <si>
    <t>GIMBAL-00026</t>
  </si>
  <si>
    <t>MU-010</t>
  </si>
  <si>
    <t>AIRDATA-00041</t>
  </si>
  <si>
    <t>BATT-PACK-00039</t>
  </si>
  <si>
    <t>ROTOR-ASSY-00359</t>
  </si>
  <si>
    <t>MOTOR-ESC-00249</t>
  </si>
  <si>
    <t>ROTOR-ASSY-00519</t>
  </si>
  <si>
    <t>LANDGEAR-00043</t>
  </si>
  <si>
    <t>ROTOR-ASSY-00112</t>
  </si>
  <si>
    <t>MOTOR-ESC-00158</t>
  </si>
  <si>
    <t>MOTOR-ESC-00164</t>
  </si>
  <si>
    <t>MOTOR-ESC-00167</t>
  </si>
  <si>
    <t>ROTOR-ASSY-00015</t>
  </si>
  <si>
    <t>MOTOR-ESC-00118</t>
  </si>
  <si>
    <t>MU-009</t>
  </si>
  <si>
    <t>MOTOR-ESC-00253</t>
  </si>
  <si>
    <t>MOTOR-ESC-00257</t>
  </si>
  <si>
    <t>ROTOR-ASSY-00380</t>
  </si>
  <si>
    <t>ROTOR-ASSY-00208</t>
  </si>
  <si>
    <t>ROTOR-ASSY-00212</t>
  </si>
  <si>
    <t>ROTOR-ASSY-00431</t>
  </si>
  <si>
    <t>MU-024</t>
  </si>
  <si>
    <t>MOTOR-ESC-00093</t>
  </si>
  <si>
    <t>ROTOR-ASSY-00031</t>
  </si>
  <si>
    <t>MOTOR-ESC-00282</t>
  </si>
  <si>
    <t>BATT-PACK-00126</t>
  </si>
  <si>
    <t>AIRDATA-00027</t>
  </si>
  <si>
    <t>LANDGEAR-00059</t>
  </si>
  <si>
    <t>BATT-PACK-00060</t>
  </si>
  <si>
    <t>MOTOR-ESC-00139</t>
  </si>
  <si>
    <t>ROTOR-ASSY-00216</t>
  </si>
  <si>
    <t>AIRDATA-00017</t>
  </si>
  <si>
    <t>MOTOR-ESC-00348</t>
  </si>
  <si>
    <t>BATT-PACK-00065</t>
  </si>
  <si>
    <t>GIMBAL-00064</t>
  </si>
  <si>
    <t>ROTOR-ASSY-00070</t>
  </si>
  <si>
    <t>ROTOR-ASSY-00043</t>
  </si>
  <si>
    <t>BATT-PACK-00166</t>
  </si>
  <si>
    <t>ROTOR-ASSY-00508</t>
  </si>
  <si>
    <t>LANDGEAR-00028</t>
  </si>
  <si>
    <t>MOTOR-ESC-00400</t>
  </si>
  <si>
    <t>ROTOR-ASSY-00337</t>
  </si>
  <si>
    <t>GIMBAL-00046</t>
  </si>
  <si>
    <t>MOTOR-ESC-00195</t>
  </si>
  <si>
    <t>LANDGEAR-00021</t>
  </si>
  <si>
    <t>ROTOR-ASSY-00549</t>
  </si>
  <si>
    <t>ROTOR-ASSY-00436</t>
  </si>
  <si>
    <t>ROTOR-ASSY-00541</t>
  </si>
  <si>
    <t>AIRDATA-00046</t>
  </si>
  <si>
    <t>ROTOR-ASSY-00273</t>
  </si>
  <si>
    <t>MOTOR-ESC-00133</t>
  </si>
  <si>
    <t>MOTOR-ESC-00136</t>
  </si>
  <si>
    <t>ROTOR-ASSY-00093</t>
  </si>
  <si>
    <t>AIRDATA-00048</t>
  </si>
  <si>
    <t>MOTOR-ESC-00292</t>
  </si>
  <si>
    <t>AIRDATA-00055</t>
  </si>
  <si>
    <t>MOTOR-ESC-00018</t>
  </si>
  <si>
    <t>MOTOR-ESC-00026</t>
  </si>
  <si>
    <t>AIRDATA-00044</t>
  </si>
  <si>
    <t>ROTOR-ASSY-00331</t>
  </si>
  <si>
    <t>ROTOR-ASSY-00469</t>
  </si>
  <si>
    <t>ROTOR-ASSY-00441</t>
  </si>
  <si>
    <t>ROTOR-ASSY-00010</t>
  </si>
  <si>
    <t>ROTOR-ASSY-00037</t>
  </si>
  <si>
    <t>MOTOR-ESC-00423</t>
  </si>
  <si>
    <t>LANDGEAR-00072</t>
  </si>
  <si>
    <t>GIMBAL-00018</t>
  </si>
  <si>
    <t>ROTOR-ASSY-00126</t>
  </si>
  <si>
    <t>MOTOR-ESC-00206</t>
  </si>
  <si>
    <t>ROTOR-ASSY-00532</t>
  </si>
  <si>
    <t>GIMBAL-00021</t>
  </si>
  <si>
    <t>GIMBAL-00049</t>
  </si>
  <si>
    <t>AIRDATA-00053</t>
  </si>
  <si>
    <t>MOTOR-ESC-00181</t>
  </si>
  <si>
    <t>BATT-PACK-00026</t>
  </si>
  <si>
    <t>GIMBAL-00078</t>
  </si>
  <si>
    <t>AIRDATA-00022</t>
  </si>
  <si>
    <t>BATT-PACK-00154</t>
  </si>
  <si>
    <t>GIMBAL-00070</t>
  </si>
  <si>
    <t>BATT-PACK-00248</t>
  </si>
  <si>
    <t>ROTOR-ASSY-00170</t>
  </si>
  <si>
    <t>MOTOR-ESC-00266</t>
  </si>
  <si>
    <t>BATT-PACK-00105</t>
  </si>
  <si>
    <t>BATT-PACK-00277</t>
  </si>
  <si>
    <t>GIMBAL-00054</t>
  </si>
  <si>
    <t>MOTOR-ESC-00114</t>
  </si>
  <si>
    <t>ROTOR-ASSY-00499</t>
  </si>
  <si>
    <t>BATT-PACK-00121</t>
  </si>
  <si>
    <t>BATT-PACK-00237</t>
  </si>
  <si>
    <t>AIRDATA-00060</t>
  </si>
  <si>
    <t>LANDGEAR-00087</t>
  </si>
  <si>
    <t>AIRDATA-00008</t>
  </si>
  <si>
    <t>MOTOR-ESC-00343</t>
  </si>
  <si>
    <t>LANDGEAR-00075</t>
  </si>
  <si>
    <t>ROTOR-ASSY-00505</t>
  </si>
  <si>
    <t>ROTOR-ASSY-00182</t>
  </si>
  <si>
    <t>ROTOR-ASSY-00523</t>
  </si>
  <si>
    <t>ROTOR-ASSY-00515</t>
  </si>
  <si>
    <t>AIRDATA-00012</t>
  </si>
  <si>
    <t>ROTOR-ASSY-00447</t>
  </si>
  <si>
    <t>ROTOR-ASSY-00465</t>
  </si>
  <si>
    <t>MOTOR-ESC-00369</t>
  </si>
  <si>
    <t>LANDGEAR-00055</t>
  </si>
  <si>
    <t>ROTOR-ASSY-00129</t>
  </si>
  <si>
    <t>GIMBAL-00038</t>
  </si>
  <si>
    <t>MOTOR-ESC-00308</t>
  </si>
  <si>
    <t>GIMBAL-00007</t>
  </si>
  <si>
    <t>ROTOR-ASSY-00186</t>
  </si>
  <si>
    <t>ROTOR-ASSY-00174</t>
  </si>
  <si>
    <t>ROTOR-ASSY-00178</t>
  </si>
  <si>
    <t>ROTOR-ASSY-00472</t>
  </si>
  <si>
    <t>GIMBAL-00073</t>
  </si>
  <si>
    <t>AIRDATA-00024</t>
  </si>
  <si>
    <t>MOTOR-ESC-00235</t>
  </si>
  <si>
    <t>MOTOR-ESC-00056</t>
  </si>
  <si>
    <t>LANDGEAR-00090</t>
  </si>
  <si>
    <t>MOTOR-ESC-00312</t>
  </si>
  <si>
    <t>BATT-PACK-00201</t>
  </si>
  <si>
    <t>ROTOR-ASSY-00319</t>
  </si>
  <si>
    <t>ROTOR-ASSY-00165</t>
  </si>
  <si>
    <t>BATT-PACK-00089</t>
  </si>
  <si>
    <t>BATT-PACK-00095</t>
  </si>
  <si>
    <t>LANDGEAR-00034</t>
  </si>
  <si>
    <t>ROTOR-ASSY-00252</t>
  </si>
  <si>
    <t>MOTOR-ESC-00069</t>
  </si>
  <si>
    <t>AIRDATA-00058</t>
  </si>
  <si>
    <t>MOTOR-ESC-00144</t>
  </si>
  <si>
    <t>ROTOR-ASSY-00475</t>
  </si>
  <si>
    <t>MOTOR-ESC-00097</t>
  </si>
  <si>
    <t>MOTOR-ESC-00339</t>
  </si>
  <si>
    <t>ROTOR-ASSY-00373</t>
  </si>
  <si>
    <t>MOTOR-ESC-00420</t>
  </si>
  <si>
    <t>MOTOR-ESC-00426</t>
  </si>
  <si>
    <t>ROTOR-ASSY-00005</t>
  </si>
  <si>
    <t>BATT-PACK-00226</t>
  </si>
  <si>
    <t>MOTOR-ESC-00105</t>
  </si>
  <si>
    <t>AIRDATA-00019</t>
  </si>
  <si>
    <t>ROTOR-ASSY-00453</t>
  </si>
  <si>
    <t>MOTOR-ESC-00148</t>
  </si>
  <si>
    <t>LANDGEAR-00013</t>
  </si>
  <si>
    <t>ROTOR-ASSY-00155</t>
  </si>
  <si>
    <t>ROTOR-ASSY-00160</t>
  </si>
  <si>
    <t>BATT-PACK-00303</t>
  </si>
  <si>
    <t>BATT-PACK-00308</t>
  </si>
  <si>
    <t>MOTOR-ESC-00014</t>
  </si>
  <si>
    <t>ROTOR-ASSY-00279</t>
  </si>
  <si>
    <t>MOTOR-ESC-00378</t>
  </si>
  <si>
    <t>LANDGEAR-00019</t>
  </si>
  <si>
    <t>MOTOR-ESC-00110</t>
  </si>
  <si>
    <t>ROTOR-ASSY-00403</t>
  </si>
  <si>
    <t>LANDGEAR-00063</t>
  </si>
  <si>
    <t>MOTOR-ESC-00352</t>
  </si>
  <si>
    <t>BATT-PACK-00100</t>
  </si>
  <si>
    <t>ROTOR-ASSY-00117</t>
  </si>
  <si>
    <t>ROTOR-ASSY-00257</t>
  </si>
  <si>
    <t>ROTOR-ASSY-00088</t>
  </si>
  <si>
    <t>MOTOR-ESC-00122</t>
  </si>
  <si>
    <t>MOTOR-ESC-00126</t>
  </si>
  <si>
    <t>LANDGEAR-00085</t>
  </si>
  <si>
    <t>MOTOR-ESC-00073</t>
  </si>
  <si>
    <t>ROTOR-ASSY-00290</t>
  </si>
  <si>
    <t>MOTOR-ESC-00373</t>
  </si>
  <si>
    <t>BATT-PACK-00313</t>
  </si>
  <si>
    <t>BATT-PACK-00318</t>
  </si>
  <si>
    <t>ROTOR-ASSY-00412</t>
  </si>
  <si>
    <t>AIRDATA-00039</t>
  </si>
  <si>
    <t>BATT-PACK-00188</t>
  </si>
  <si>
    <t>ROTOR-ASSY-00343</t>
  </si>
  <si>
    <t>ROTOR-ASSY-00081</t>
  </si>
  <si>
    <t>GIMBAL-00066</t>
  </si>
  <si>
    <t>GIMBAL-00052</t>
  </si>
  <si>
    <t>MOTOR-ESC-00214</t>
  </si>
  <si>
    <t>ROTOR-ASSY-00511</t>
  </si>
  <si>
    <t>ROTOR-ASSY-00502</t>
  </si>
  <si>
    <t>AIRDATA-00062</t>
  </si>
  <si>
    <t>ROTOR-ASSY-00459</t>
  </si>
  <si>
    <t>ROTOR-ASSY-00557</t>
  </si>
  <si>
    <t>ROTOR-ASSY-00263</t>
  </si>
  <si>
    <t>GIMBAL-00024</t>
  </si>
  <si>
    <t>ROTOR-ASSY-00075</t>
  </si>
  <si>
    <t>ROTOR-ASSY-00479</t>
  </si>
  <si>
    <t>LANDGEAR-00037</t>
  </si>
  <si>
    <t>LANDGEAR-00080</t>
  </si>
  <si>
    <t>ROTOR-ASSY-00528</t>
  </si>
  <si>
    <t>MOTOR-ESC-00355</t>
  </si>
  <si>
    <t>GIMBAL-00041</t>
  </si>
  <si>
    <t>MOTOR-ESC-00278</t>
  </si>
  <si>
    <t>BATT-PACK-00254</t>
  </si>
  <si>
    <t>ROTOR-ASSY-00020</t>
  </si>
  <si>
    <t>MOTOR-ESC-00417</t>
  </si>
  <si>
    <t>ROTOR-ASSY-00104</t>
  </si>
  <si>
    <t>MOTOR-ESC-00397</t>
  </si>
  <si>
    <t>ROTOR-ASSY-00221</t>
  </si>
  <si>
    <t>MOTOR-ESC-00271</t>
  </si>
  <si>
    <t>BATT-PACK-00116</t>
  </si>
  <si>
    <t>BATT-PACK-00327</t>
  </si>
  <si>
    <t>MOTOR-ESC-00130</t>
  </si>
  <si>
    <t>AIRDATA-00051</t>
  </si>
  <si>
    <t>BATT-PACK-00069</t>
  </si>
  <si>
    <t>LANDGEAR-00031</t>
  </si>
  <si>
    <t>ROTOR-ASSY-00417</t>
  </si>
  <si>
    <t>ROTOR-ASSY-00349</t>
  </si>
  <si>
    <t>MOTOR-ESC-00077</t>
  </si>
  <si>
    <t>MOTOR-ESC-00360</t>
  </si>
  <si>
    <t>ROTOR-ASSY-00484</t>
  </si>
  <si>
    <t>ROTOR-ASSY-00489</t>
  </si>
  <si>
    <t>MOTOR-ESC-00185</t>
  </si>
  <si>
    <t>MOTOR-ESC-00390</t>
  </si>
  <si>
    <t>ROTOR-ASSY-00561</t>
  </si>
  <si>
    <t>ROTOR-ASSY-00553</t>
  </si>
  <si>
    <t>ROTOR-ASSY-00426</t>
  </si>
  <si>
    <t>MOTOR-ESC-00322</t>
  </si>
  <si>
    <t>MOTOR-ESC-00326</t>
  </si>
  <si>
    <t>MOTOR-ESC-00330</t>
  </si>
  <si>
    <t>MOTOR-ESC-00334</t>
  </si>
  <si>
    <t>GIMBAL-00061</t>
  </si>
  <si>
    <t>BATT-PACK-00260</t>
  </si>
  <si>
    <t>BATT-PACK-00208</t>
  </si>
  <si>
    <t>MOTOR-ESC-00060</t>
  </si>
  <si>
    <t>ROTOR-ASSY-00145</t>
  </si>
  <si>
    <t>BATT-PACK-00286</t>
  </si>
  <si>
    <t>PriorityRank</t>
  </si>
  <si>
    <t>ActionCode</t>
  </si>
  <si>
    <t>JobHours</t>
  </si>
  <si>
    <t>CumulativeJobHours</t>
  </si>
  <si>
    <t>IsThisWeek</t>
  </si>
  <si>
    <t>RecommendedAction</t>
  </si>
  <si>
    <t>GROUND_AND_REPLACE</t>
  </si>
  <si>
    <t>Ground MU-008. Motor and speed controller at position 2 is at 201.08% of its stress interval while reading 93.15% on the hour meter.</t>
  </si>
  <si>
    <t>Ground MU-008. Rotor assembly and bearing at position 2 is at 205.46% of its stress interval while reading 93.16% on the hour meter.</t>
  </si>
  <si>
    <t>Ground MU-002. Rotor assembly and bearing at position 1 is at 201.88% of its stress interval while reading 88.68% on the hour meter.</t>
  </si>
  <si>
    <t>Ground MU-030. Rotor assembly and bearing at position 4 is at 199.89% of its stress interval while reading 98.02% on the hour meter.</t>
  </si>
  <si>
    <t>Ground MU-015. Motor and speed controller at position 2 is at 174.18% of its stress interval while reading 88.79% on the hour meter.</t>
  </si>
  <si>
    <t>Ground MU-001. Motor and speed controller at position 1 is at 171.52% of its stress interval while reading 85.51% on the hour meter.</t>
  </si>
  <si>
    <t>Ground MU-001. Motor and speed controller at position 2 is at 171.52% of its stress interval while reading 85.51% on the hour meter.</t>
  </si>
  <si>
    <t>Ground MU-002. Motor and speed controller at position 2 is at 170.90% of its stress interval while reading 75.10% on the hour meter.</t>
  </si>
  <si>
    <t>Ground MU-021. Motor and speed controller at position 1 is at 168.36% of its stress interval while reading 89.85% on the hour meter.</t>
  </si>
  <si>
    <t>Ground MU-021. Motor and speed controller at position 2 is at 168.36% of its stress interval while reading 89.85% on the hour meter.</t>
  </si>
  <si>
    <t>Ground MU-021. Motor and speed controller at position 3 is at 168.36% of its stress interval while reading 89.85% on the hour meter.</t>
  </si>
  <si>
    <t>Ground MU-020. Motor and speed controller at position 2 is at 168.35% of its stress interval while reading 79.17% on the hour meter.</t>
  </si>
  <si>
    <t>Ground MU-030. Motor and speed controller at position 1 is at 167.75% of its stress interval while reading 81.91% on the hour meter.</t>
  </si>
  <si>
    <t>Ground MU-005. Rotor assembly and bearing at position 4 is at 189.49% of its stress interval while reading 93.82% on the hour meter.</t>
  </si>
  <si>
    <t>Ground MU-018. Rotor assembly and bearing at position 3 is at 187.88% of its stress interval while reading 87.40% on the hour meter.</t>
  </si>
  <si>
    <t>Ground MU-014. Rotor assembly and bearing at position 3 is at 184.47% of its stress interval while reading 92.97% on the hour meter.</t>
  </si>
  <si>
    <t>Ground MU-005. Main battery pack at position 1 is at 205.22% of its stress interval while reading 101.25% on the hour meter.</t>
  </si>
  <si>
    <t>Ground MU-014. Motor and speed controller at position 3 is at 162.95% of its stress interval while reading 82.46% on the hour meter.</t>
  </si>
  <si>
    <t>Ground MU-020. Main battery pack at position 1 is at 203.81% of its stress interval while reading 93.25% on the hour meter.</t>
  </si>
  <si>
    <t>Ground MU-020. Rotor assembly and bearing at position 2 is at 178.65% of its stress interval while reading 84.03% on the hour meter.</t>
  </si>
  <si>
    <t>Ground MU-007. Rotor assembly and bearing at position 2 is at 177.43% of its stress interval while reading 95.48% on the hour meter.</t>
  </si>
  <si>
    <t>Ground MU-005. Main battery pack at position 2 is at 196.01% of its stress interval while reading 97.18% on the hour meter.</t>
  </si>
  <si>
    <t>Ground MU-008. Main battery pack at position 1 is at 194.25% of its stress interval while reading 87.36% on the hour meter.</t>
  </si>
  <si>
    <t>Ground MU-016. Motor and speed controller at position 1 is at 156.21% of its stress interval while reading 79.24% on the hour meter.</t>
  </si>
  <si>
    <t>Ground MU-011. Motor and speed controller at position 3 is at 153.08% of its stress interval while reading 71.15% on the hour meter.</t>
  </si>
  <si>
    <t>Ground MU-005. Motor and speed controller at position 3 is at 152.47% of its stress interval while reading 75.29% on the hour meter.</t>
  </si>
  <si>
    <t>Ground MU-025. Main battery pack at position 1 is at 186.20% of its stress interval while reading 85.60% on the hour meter.</t>
  </si>
  <si>
    <t>Ground MU-020. Main battery pack at position 2 is at 180.86% of its stress interval while reading 83.69% on the hour meter.</t>
  </si>
  <si>
    <t>Ground MU-016. Rotor assembly and bearing at position 2 is at 162.64% of its stress interval while reading 82.43% on the hour meter.</t>
  </si>
  <si>
    <t>Ground MU-008. Main battery pack at position 2 is at 177.65% of its stress interval while reading 80.54% on the hour meter.</t>
  </si>
  <si>
    <t>Ground MU-014. Motor and speed controller at position 4 is at 145.86% of its stress interval while reading 73.41% on the hour meter.</t>
  </si>
  <si>
    <t>Ground MU-016. Motor and speed controller at position 3 is at 142.91% of its stress interval while reading 72.88% on the hour meter.</t>
  </si>
  <si>
    <t>Ground MU-026. Motor and speed controller at position 2 is at 141.50% of its stress interval while reading 74.84% on the hour meter.</t>
  </si>
  <si>
    <t>Ground MU-001. Motor and speed controller at position 3 is at 139.74% of its stress interval while reading 67.70% on the hour meter.</t>
  </si>
  <si>
    <t>Ground MU-008. Rotor assembly and bearing at position 4 is at 151.73% of its stress interval while reading 68.23% on the hour meter.</t>
  </si>
  <si>
    <t>Ground MU-011. Rotor assembly and bearing at position 4 is at 150.01% of its stress interval while reading 70.29% on the hour meter.</t>
  </si>
  <si>
    <t>Ground MU-026. Main battery pack at position 2 is at 158.13% of its stress interval while reading 84.81% on the hour meter.</t>
  </si>
  <si>
    <t>Ground MU-007. Motor and speed controller at position 1 is at 134.85% of its stress interval while reading 73.01% on the hour meter.</t>
  </si>
  <si>
    <t>Ground MU-018. Main battery pack at position 2 is at 155.69% of its stress interval while reading 70.96% on the hour meter.</t>
  </si>
  <si>
    <t>Ground MU-011. Motor and speed controller at position 4 is at 133.36% of its stress interval while reading 61.78% on the hour meter.</t>
  </si>
  <si>
    <t>Ground MU-016. Motor and speed controller at position 4 is at 132.88% of its stress interval while reading 67.55% on the hour meter.</t>
  </si>
  <si>
    <t>Ground MU-011. Rotor assembly and bearing at position 1 is at 142.00% of its stress interval while reading 65.83% on the hour meter.</t>
  </si>
  <si>
    <t>Ground MU-027. Rotor assembly and bearing at position 3 is at 140.61% of its stress interval while reading 69.79% on the hour meter.</t>
  </si>
  <si>
    <t>Ground MU-011. Main battery pack at position 1 is at 149.16% of its stress interval while reading 67.64% on the hour meter.</t>
  </si>
  <si>
    <t>Ground MU-007. Main battery pack at position 2 is at 148.16% of its stress interval while reading 80.42% on the hour meter.</t>
  </si>
  <si>
    <t>Ground MU-007. Motor and speed controller at position 2 is at 127.67% of its stress interval while reading 68.96% on the hour meter.</t>
  </si>
  <si>
    <t>Ground MU-007. Motor and speed controller at position 3 is at 127.67% of its stress interval while reading 68.96% on the hour meter.</t>
  </si>
  <si>
    <t>Ground MU-001. Main battery pack at position 1 is at 134.90% of its stress interval while reading 65.39% on the hour meter.</t>
  </si>
  <si>
    <t>Ground MU-014. Rotor assembly and bearing at position 2 is at 127.35% of its stress interval while reading 63.54% on the hour meter.</t>
  </si>
  <si>
    <t>Ground MU-011. Rotor assembly and bearing at position 3 is at 126.05% of its stress interval while reading 58.13% on the hour meter.</t>
  </si>
  <si>
    <t>Ground MU-023. Motor and speed controller at position 3 is at 118.90% of its stress interval while reading 97.70% on the hour meter.</t>
  </si>
  <si>
    <t>Ground MU-023. Motor and speed controller at position 4 is at 118.90% of its stress interval while reading 97.70% on the hour meter.</t>
  </si>
  <si>
    <t>Ground MU-030. Motor and speed controller at position 4 is at 118.16% of its stress interval while reading 57.58% on the hour meter.</t>
  </si>
  <si>
    <t>Ground MU-026. Motor and speed controller at position 4 is at 118.00% of its stress interval while reading 63.02% on the hour meter.</t>
  </si>
  <si>
    <t>Ground MU-014. Rotor assembly and bearing at position 1 is at 123.63% of its stress interval while reading 61.61% on the hour meter.</t>
  </si>
  <si>
    <t>Ground MU-022. Motor and speed controller at position 1 is at 117.44% of its stress interval while reading 95.22% on the hour meter.</t>
  </si>
  <si>
    <t>Ground MU-018. Motor and speed controller at position 2 is at 116.62% of its stress interval while reading 54.28% on the hour meter.</t>
  </si>
  <si>
    <t>Ground MU-002. Main battery pack at position 1 is at 126.15% of its stress interval while reading 56.19% on the hour meter.</t>
  </si>
  <si>
    <t>Ground MU-027. Motor and speed controller at position 1 is at 114.73% of its stress interval while reading 56.39% on the hour meter.</t>
  </si>
  <si>
    <t>Ground MU-018. Rotor assembly and bearing at position 1 is at 116.87% of its stress interval while reading 53.37% on the hour meter.</t>
  </si>
  <si>
    <t>Ground MU-022. Motor and speed controller at position 2 is at 112.29% of its stress interval while reading 90.95% on the hour meter.</t>
  </si>
  <si>
    <t>Ground MU-022. Motor and speed controller at position 3 is at 112.29% of its stress interval while reading 90.95% on the hour meter.</t>
  </si>
  <si>
    <t>Ground MU-022. Motor and speed controller at position 4 is at 112.29% of its stress interval while reading 90.95% on the hour meter.</t>
  </si>
  <si>
    <t>Ground MU-023. Rotor assembly and bearing at position 1 is at 115.76% of its stress interval while reading 96.60% on the hour meter.</t>
  </si>
  <si>
    <t>Ground MU-023. Rotor assembly and bearing at position 4 is at 115.76% of its stress interval while reading 96.60% on the hour meter.</t>
  </si>
  <si>
    <t>Ground MU-015. Rotor assembly and bearing at position 3 is at 115.76% of its stress interval while reading 59.69% on the hour meter.</t>
  </si>
  <si>
    <t>Ground MU-020. Rotor assembly and bearing at position 3 is at 114.64% of its stress interval while reading 51.52% on the hour meter.</t>
  </si>
  <si>
    <t>Ground MU-022. Rotor assembly and bearing at position 1 is at 114.61% of its stress interval while reading 92.61% on the hour meter.</t>
  </si>
  <si>
    <t>Ground MU-018. Motor and speed controller at position 3 is at 109.26% of its stress interval while reading 50.46% on the hour meter.</t>
  </si>
  <si>
    <t>Ground MU-023. Main battery pack at position 1 is at 115.41% of its stress interval while reading 94.86% on the hour meter.</t>
  </si>
  <si>
    <t>Ground MU-028. Main battery pack at position 2 is at 112.64% of its stress interval while reading 61.64% on the hour meter.</t>
  </si>
  <si>
    <t>Ground MU-015. Motor and speed controller at position 3 is at 107.36% of its stress interval while reading 54.19% on the hour meter.</t>
  </si>
  <si>
    <t>Ground MU-021. Rotor assembly and bearing at position 3 is at 109.60% of its stress interval while reading 59.26% on the hour meter.</t>
  </si>
  <si>
    <t>Ground MU-031. Main battery pack at position 1 is at 111.73% of its stress interval while reading 97.54% on the hour meter.</t>
  </si>
  <si>
    <t>Ground MU-002. Motor and speed controller at position 4 is at 106.78% of its stress interval while reading 47.30% on the hour meter.</t>
  </si>
  <si>
    <t>Ground MU-019. Motor and speed controller at position 3 is at 106.09% of its stress interval while reading 55.78% on the hour meter.</t>
  </si>
  <si>
    <t>Ground MU-022. Rotor assembly and bearing at position 2 is at 108.02% of its stress interval while reading 86.18% on the hour meter.</t>
  </si>
  <si>
    <t>Ground MU-022. Rotor assembly and bearing at position 3 is at 108.02% of its stress interval while reading 86.18% on the hour meter.</t>
  </si>
  <si>
    <t>Ground MU-001. Main battery pack at position 2 is at 109.81% of its stress interval while reading 53.14% on the hour meter.</t>
  </si>
  <si>
    <t>Ground MU-012. Motor and speed controller at position 2 is at 105.33% of its stress interval while reading 88.79% on the hour meter.</t>
  </si>
  <si>
    <t>Ground MU-030. Motor and speed controller at position 3 is at 104.90% of its stress interval while reading 51.26% on the hour meter.</t>
  </si>
  <si>
    <t>Ground MU-028. Motor and speed controller at position 1 is at 103.62% of its stress interval while reading 57.56% on the hour meter.</t>
  </si>
  <si>
    <t>Ground MU-028. Motor and speed controller at position 2 is at 103.62% of its stress interval while reading 57.56% on the hour meter.</t>
  </si>
  <si>
    <t>Ground MU-028. Motor and speed controller at position 3 is at 103.62% of its stress interval while reading 57.56% on the hour meter.</t>
  </si>
  <si>
    <t>Ground MU-028. Motor and speed controller at position 4 is at 103.62% of its stress interval while reading 57.56% on the hour meter.</t>
  </si>
  <si>
    <t>Ground MU-008. Rotor assembly and bearing at position 1 is at 104.80% of its stress interval while reading 48.39% on the hour meter.</t>
  </si>
  <si>
    <t>Ground MU-004. Main battery pack at position 2 is at 105.50% of its stress interval while reading 92.69% on the hour meter.</t>
  </si>
  <si>
    <t>Ground MU-016. Main battery pack at position 2 is at 105.46% of its stress interval while reading 54.22% on the hour meter.</t>
  </si>
  <si>
    <t>Ground MU-019. Rotor assembly and bearing at position 4 is at 102.93% of its stress interval while reading 54.04% on the hour meter.</t>
  </si>
  <si>
    <t>Ground MU-029. Motor and speed controller at position 2 is at 100.27% of its stress interval while reading 86.60% on the hour meter.</t>
  </si>
  <si>
    <t>ORDER_PART_NOW</t>
  </si>
  <si>
    <t>Order a Main battery pack for MU-022. Projected to reach its stress limit in 1.01 flight hours against a 8.0 hour lead time.</t>
  </si>
  <si>
    <t>Order a Main battery pack for MU-025. Projected to reach its stress limit in 1.72 flight hours against a 8.0 hour lead time.</t>
  </si>
  <si>
    <t>Order a Main battery pack for MU-027. Projected to reach its stress limit in 2.26 flight hours against a 8.0 hour lead time.</t>
  </si>
  <si>
    <t>Order a Rotor assembly and bearing for MU-021. Projected to reach its stress limit in 2.68 flight hours against a 18.0 hour lead time.</t>
  </si>
  <si>
    <t>Order a Rotor assembly and bearing for MU-016. Projected to reach its stress limit in 2.73 flight hours against a 18.0 hour lead time.</t>
  </si>
  <si>
    <t>Order a Rotor assembly and bearing for MU-011. Projected to reach its stress limit in 3.21 flight hours against a 18.0 hour lead time.</t>
  </si>
  <si>
    <t>Order a Main battery pack for MU-015. Projected to reach its stress limit in 3.93 flight hours against a 8.0 hour lead time.</t>
  </si>
  <si>
    <t>Order a Rotor assembly and bearing for MU-007. Projected to reach its stress limit in 4.31 flight hours against a 18.0 hour lead time.</t>
  </si>
  <si>
    <t>Order a Motor and speed controller for MU-030. Projected to reach its stress limit in 4.73 flight hours against a 12.0 hour lead time.</t>
  </si>
  <si>
    <t>Order a Main battery pack for MU-021. Projected to reach its stress limit in 5.59 flight hours against a 8.0 hour lead time.</t>
  </si>
  <si>
    <t>Order a Main battery pack for MU-014. Projected to reach its stress limit in 5.94 flight hours against a 8.0 hour lead time.</t>
  </si>
  <si>
    <t>Order a Rotor assembly and bearing for MU-030. Projected to reach its stress limit in 5.98 flight hours against a 18.0 hour lead time.</t>
  </si>
  <si>
    <t>Order a Main battery pack for MU-028. Projected to reach its stress limit in 7.64 flight hours against a 8.0 hour lead time.</t>
  </si>
  <si>
    <t>Order a Rotor assembly and bearing for MU-006. Projected to reach its stress limit in 10.01 flight hours against a 18.0 hour lead time.</t>
  </si>
  <si>
    <t>Order a Motor and speed controller for MU-004. Projected to reach its stress limit in 10.69 flight hours against a 12.0 hour lead time.</t>
  </si>
  <si>
    <t>Order a Rotor assembly and bearing for MU-020. Projected to reach its stress limit in 11.23 flight hours against a 18.0 hour lead time.</t>
  </si>
  <si>
    <t>Order a Rotor assembly and bearing for MU-001. Projected to reach its stress limit in 15.87 flight hours against a 18.0 hour lead time.</t>
  </si>
  <si>
    <t>Order a Rotor assembly and bearing for MU-002. Projected to reach its stress limit in 16.02 flight hours against a 18.0 hour lead time.</t>
  </si>
  <si>
    <t>SCHEDULE_THIS_MONTH</t>
  </si>
  <si>
    <t>Schedule MU-018 within the month. Motor and speed controller projected to reach its stress limit in 16.71 flight hours.</t>
  </si>
  <si>
    <t>Schedule MU-004 within the month. Main battery pack projected to reach its stress limit in 17.14 flight hours.</t>
  </si>
  <si>
    <t>Schedule MU-006 within the month. Motor and speed controller projected to reach its stress limit in 17.77 flight hours.</t>
  </si>
  <si>
    <t>Schedule MU-021 within the month. Rotor assembly and bearing projected to reach its stress limit in 18.38 flight hours.</t>
  </si>
  <si>
    <t>Schedule MU-004 within the month. Rotor assembly and bearing projected to reach its stress limit in 19.77 flight hours.</t>
  </si>
  <si>
    <t>Schedule MU-016 within the month. Main battery pack projected to reach its stress limit in 19.95 flight hours.</t>
  </si>
  <si>
    <t>Schedule MU-002 within the month. Rotor assembly and bearing projected to reach its stress limit in 20.76 flight hours.</t>
  </si>
  <si>
    <t>Schedule MU-020 within the month. Motor and speed controller projected to reach its stress limit in 21.71 flight hours.</t>
  </si>
  <si>
    <t>Schedule MU-019 within the month. Motor and speed controller projected to reach its stress limit in 24.16 flight hours.</t>
  </si>
  <si>
    <t>Schedule MU-029 within the month. Rotor assembly and bearing projected to reach its stress limit in 24.66 flight hours.</t>
  </si>
  <si>
    <t>Schedule MU-002 within the month. Main battery pack projected to reach its stress limit in 25.32 flight hours.</t>
  </si>
  <si>
    <t>Schedule MU-019 within the month. Rotor assembly and bearing projected to reach its stress limit in 27.07 flight hours.</t>
  </si>
  <si>
    <t>Schedule MU-025 within the month. Motor and speed controller projected to reach its stress limit in 27.53 flight hours.</t>
  </si>
  <si>
    <t>Schedule MU-012 within the month. Main battery pack projected to reach its stress limit in 28.06 flight hours.</t>
  </si>
  <si>
    <t>Schedule MU-007 within the month. Motor and speed controller projected to reach its stress limit in 28.31 flight hours.</t>
  </si>
  <si>
    <t>Schedule MU-030 within the month. Rotor assembly and bearing projected to reach its stress limit in 28.46 flight hours.</t>
  </si>
  <si>
    <t>Schedule MU-006 within the month. Rotor assembly and bearing projected to reach its stress limit in 28.86 flight hours.</t>
  </si>
  <si>
    <t>Schedule MU-028 within the month. Rotor assembly and bearing projected to reach its stress limit in 29.25 flight hours.</t>
  </si>
  <si>
    <t>Schedule MU-002 within the month. Rotor assembly and bearing projected to reach its stress limit in 29.42 flight hours.</t>
  </si>
  <si>
    <t>Schedule MU-018 within the month. Rotor assembly and bearing projected to reach its stress limit in 29.99 flight hours.</t>
  </si>
  <si>
    <t>Schedule MU-015 within the month. Main battery pack projected to reach its stress limit in 30.91 flight hours.</t>
  </si>
  <si>
    <t>Schedule MU-006 within the month. Main battery pack projected to reach its stress limit in 31.37 flight hours.</t>
  </si>
  <si>
    <t>Schedule MU-026 within the month. Main battery pack projected to reach its stress limit in 31.72 flight hours.</t>
  </si>
  <si>
    <t>Schedule MU-015 within the month. Rotor assembly and bearing projected to reach its stress limit in 32.07 flight hours.</t>
  </si>
  <si>
    <t>Schedule MU-001 within the month. Rotor assembly and bearing projected to reach its stress limit in 32.38 flight hours.</t>
  </si>
  <si>
    <t>Schedule MU-005 within the month. Rotor assembly and bearing projected to reach its stress limit in 32.42 flight hours.</t>
  </si>
  <si>
    <t>Schedule MU-012 within the month. Rotor assembly and bearing projected to reach its stress limit in 32.98 flight hours.</t>
  </si>
  <si>
    <t>Schedule MU-006 within the month. Main battery pack projected to reach its stress limit in 33.34 flight hours.</t>
  </si>
  <si>
    <t>Schedule MU-024 within the month. Rotor assembly and bearing projected to reach its stress limit in 33.35 flight hours.</t>
  </si>
  <si>
    <t>Schedule MU-026 within the month. Rotor assembly and bearing projected to reach its stress limit in 34.21 flight hours.</t>
  </si>
  <si>
    <t>Schedule MU-030 within the month. Rotor assembly and bearing projected to reach its stress limit in 36.06 flight hours.</t>
  </si>
  <si>
    <t>Schedule MU-009 within the month. Motor and speed controller projected to reach its stress limit in 37.63 flight hours.</t>
  </si>
  <si>
    <t>Schedule MU-015 within the month. Motor and speed controller projected to reach its stress limit in 37.70 flight hours.</t>
  </si>
  <si>
    <t>Schedule MU-002 within the month. Motor and speed controller projected to reach its stress limit in 37.94 flight hours.</t>
  </si>
  <si>
    <t>Schedule MU-025 within the month. Rotor assembly and bearing projected to reach its stress limit in 38.60 flight hours.</t>
  </si>
  <si>
    <t>Schedule MU-012 within the month. Motor and speed controller projected to reach its stress limit in 39.01 flight hours.</t>
  </si>
  <si>
    <t>Schedule MU-019 within the month. Main battery pack projected to reach its stress limit in 39.77 flight hours.</t>
  </si>
  <si>
    <t>Schedule MU-012 within the month. Rotor assembly and bearing projected to reach its stress limit in 39.80 flight hours.</t>
  </si>
  <si>
    <t>REPLACE_AT_NEXT_SLOT</t>
  </si>
  <si>
    <t>Book MU-021 for Air data and pitot module replacement. Past its stress interval; not flight-critical, so it can wait for a slot.</t>
  </si>
  <si>
    <t>Book MU-027 for Payload gimbal replacement. Past its stress interval; not flight-critical, so it can wait for a slot.</t>
  </si>
  <si>
    <t>Book MU-007 for Air data and pitot module replacement. Past its stress interval; not flight-critical, so it can wait for a slot.</t>
  </si>
  <si>
    <t>Book MU-002 for Air data and pitot module replacement. Past its stress interval; not flight-critical, so it can wait for a slot.</t>
  </si>
  <si>
    <t>Book MU-011 for Payload gimbal replacement. Past its stress interval; not flight-critical, so it can wait for a slot.</t>
  </si>
  <si>
    <t>Book MU-014 for Payload gimbal replacement. Past its stress interval; not flight-critical, so it can wait for a slot.</t>
  </si>
  <si>
    <t>Book MU-028 for Air data and pitot module replacement. Past its stress interval; not flight-critical, so it can wait for a slot.</t>
  </si>
  <si>
    <t>Book MU-030 for Payload gimbal replacement. Past its stress interval; not flight-critical, so it can wait for a slot.</t>
  </si>
  <si>
    <t>Book MU-001 for Payload gimbal replacement. Past its stress interval; not flight-critical, so it can wait for a slot.</t>
  </si>
  <si>
    <t>Book MU-023 for Payload gimbal replacement. Past its stress interval; not flight-critical, so it can wait for a slot.</t>
  </si>
  <si>
    <t>Book MU-005 for Payload gimbal replacement. Past its stress interval; not flight-critical, so it can wait for a slot.</t>
  </si>
  <si>
    <t>Book MU-022 for Payload gimbal replacement. Past its stress interval; not flight-critical, so it can wait for a slot.</t>
  </si>
  <si>
    <t>Book MU-016 for Air data and pitot module replacement. Past its stress interval; not flight-critical, so it can wait for a slot.</t>
  </si>
  <si>
    <t>Book MU-005 for Air data and pitot module replacement. Past its stress interval; not flight-critical, so it can wait for a slot.</t>
  </si>
  <si>
    <t>Book MU-006 for Payload gimbal replacement. Past its stress interval; not flight-critical, so it can wait for a slot.</t>
  </si>
  <si>
    <t>Book MU-004 for Payload gimbal replacement. Past its stress interval; not flight-critical, so it can wait for a slot.</t>
  </si>
  <si>
    <t>Book MU-008 for Air data and pitot module replacement. Past its stress interval; not flight-critical, so it can wait for a slot.</t>
  </si>
  <si>
    <t>Schedule MU-018 within the month. Air data and pitot module projected to reach its stress limit in 19.32 flight hours.</t>
  </si>
  <si>
    <t>Order a Payload gimbal for MU-012. Projected to reach its stress limit in 20.82 flight hours against a 24.0 hour lead time.</t>
  </si>
  <si>
    <t>Schedule MU-015 within the month. Air data and pitot module projected to reach its stress limit in 25.30 flight hours.</t>
  </si>
  <si>
    <t>Schedule MU-001 within the month. Air data and pitot module projected to reach its stress limit in 25.37 flight hours.</t>
  </si>
  <si>
    <t>Schedule MU-020 within the month. Air data and pitot module projected to reach its stress limit in 26.95 flight hours.</t>
  </si>
  <si>
    <t>Book MU-015 for Landing gear assembly replacement. Past its stress interval; not flight-critical, so it can wait for a slot.</t>
  </si>
  <si>
    <t>Book MU-016 for Landing gear assembly replacement. Past its stress interval; not flight-critical, so it can wait for a slot.</t>
  </si>
  <si>
    <t>Book MU-021 for Landing gear assembly replacement. Past its stress interval; not flight-critical, so it can wait for a slot.</t>
  </si>
  <si>
    <t>Book MU-005 for Landing gear assembly replacement. Past its stress interval; not flight-critical, so it can wait for a slot.</t>
  </si>
  <si>
    <t>Book MU-026 for Landing gear assembly replacement. Past its stress interval; not flight-critical, so it can wait for a slot.</t>
  </si>
  <si>
    <t>Book MU-002 for Landing gear assembly replacement. Past its stress interval; not flight-critical, so it can wait for a slot.</t>
  </si>
  <si>
    <t>Book MU-030 for Landing gear assembly replacement. Past its stress interval; not flight-critical, so it can wait for a slot.</t>
  </si>
  <si>
    <t>Book MU-001 for Landing gear assembly replacement. Past its stress interval; not flight-critical, so it can wait for a slot.</t>
  </si>
  <si>
    <t>Order a Landing gear assembly for MU-022. Projected to reach its stress limit in 1.55 flight hours against a 4.0 hour lead time.</t>
  </si>
  <si>
    <t>Schedule MU-031 within the month. Landing gear assembly projected to reach its stress limit in 8.58 flight hours.</t>
  </si>
  <si>
    <t>Schedule MU-008 within the month. Landing gear assembly projected to reach its stress limit in 9.70 flight hours.</t>
  </si>
  <si>
    <t>Schedule MU-014 within the month. Landing gear assembly projected to reach its stress limit in 25.85 flight hours.</t>
  </si>
  <si>
    <t>Schedule MU-019 within the month. Landing gear assembly projected to reach its stress limit in 35.18 flight hours.</t>
  </si>
  <si>
    <t>Region</t>
  </si>
  <si>
    <t>HangarBays</t>
  </si>
  <si>
    <t>Airframes</t>
  </si>
  <si>
    <t>StressRatio</t>
  </si>
  <si>
    <t>FittedComponents</t>
  </si>
  <si>
    <t>HourCompliancePct</t>
  </si>
  <si>
    <t>StressCompliancePct</t>
  </si>
  <si>
    <t>ComplianceGapPoints</t>
  </si>
  <si>
    <t>HiddenOverdue</t>
  </si>
  <si>
    <t>HiddenOverdueFlightCritical</t>
  </si>
  <si>
    <t>UnscheduledRatePct</t>
  </si>
  <si>
    <t>MaintenanceEvents</t>
  </si>
  <si>
    <t>DowntimeHours</t>
  </si>
  <si>
    <t>East Estuary</t>
  </si>
  <si>
    <t>Central Plain</t>
  </si>
  <si>
    <t>North Highlands</t>
  </si>
  <si>
    <t>West Coast</t>
  </si>
  <si>
    <t>MetricName</t>
  </si>
  <si>
    <t>MetricValue</t>
  </si>
  <si>
    <t>Numerator</t>
  </si>
  <si>
    <t>Denominator</t>
  </si>
  <si>
    <t>TargetValue</t>
  </si>
  <si>
    <t>WarningValue</t>
  </si>
  <si>
    <t>Direction</t>
  </si>
  <si>
    <t>Unit</t>
  </si>
  <si>
    <t>RAGStatus</t>
  </si>
  <si>
    <t>Description</t>
  </si>
  <si>
    <t>ActionableLeadTimePct</t>
  </si>
  <si>
    <t>HigherBetter</t>
  </si>
  <si>
    <t>Percent</t>
  </si>
  <si>
    <t>Red</t>
  </si>
  <si>
    <t>Share of predicted failures caught with enough remaining life to order and fit the part. The only prediction quality measure that changes a decision.</t>
  </si>
  <si>
    <t>AirframeAvailabilityPct</t>
  </si>
  <si>
    <t>Green</t>
  </si>
  <si>
    <t>Share of active airframes not grounded for maintenance at the reporting date.</t>
  </si>
  <si>
    <t>Amber</t>
  </si>
  <si>
    <t>Fitted components inside their interval measured in FLIGHT hours. What the maintenance system enforces today, reported because the programme reports it.</t>
  </si>
  <si>
    <t>OverdueFlightCritical</t>
  </si>
  <si>
    <t>LowerBetter</t>
  </si>
  <si>
    <t>Count</t>
  </si>
  <si>
    <t>Flight-critical components past their stress interval and still fitted.</t>
  </si>
  <si>
    <t>PredictionPrecisionPct</t>
  </si>
  <si>
    <t>Of components the model flags, the share that genuinely fail within the horizon. Low precision means crews stop believing the alerts.</t>
  </si>
  <si>
    <t>PredictionRecallPct</t>
  </si>
  <si>
    <t>Of components that genuinely fail, the share the model flagged. Recall alone is not enough -- see ActionableLeadTimePct.</t>
  </si>
  <si>
    <t>Fitted components inside their interval measured in STRESS hours. The real compliance figure; 100% is the only passing value on flight-critical parts.</t>
  </si>
  <si>
    <t>Unscheduled maintenance events as a share of all events. A fleet above this is being maintained by its failures.</t>
  </si>
  <si>
    <t>VibThreshold</t>
  </si>
  <si>
    <t>Population</t>
  </si>
  <si>
    <t>Failures</t>
  </si>
  <si>
    <t>AlertsRaised</t>
  </si>
  <si>
    <t>TP</t>
  </si>
  <si>
    <t>FP</t>
  </si>
  <si>
    <t>FN</t>
  </si>
  <si>
    <t>TN</t>
  </si>
  <si>
    <t>ActionableTP</t>
  </si>
  <si>
    <t>LateTP</t>
  </si>
  <si>
    <t>PrecisionPct</t>
  </si>
  <si>
    <t>RecallPct</t>
  </si>
  <si>
    <t>PreventableFailurePct</t>
  </si>
  <si>
    <t>MedianLeadTimeFlightHours</t>
  </si>
  <si>
    <t>ProfileCode</t>
  </si>
  <si>
    <t>StressMultiplier</t>
  </si>
  <si>
    <t>CyclePenaltyHours</t>
  </si>
  <si>
    <t>PayloadPenaltyPerKg</t>
  </si>
  <si>
    <t>SourceNote</t>
  </si>
  <si>
    <t>MOUNTAIN</t>
  </si>
  <si>
    <t>Sustained high power at density altitude, with thermal turbulence. The largest hourly multiplier in the fleet and the reason the finding exists.</t>
  </si>
  <si>
    <t>CARGO</t>
  </si>
  <si>
    <t>Continuous high rotor loading at maximum payload. Lower turbulence than mountain work but the highest payload penalty.</t>
  </si>
  <si>
    <t>SAR</t>
  </si>
  <si>
    <t>Hover-heavy with an unpredictable profile, frequently flown in degraded conditions. Wide variance around this figure.</t>
  </si>
  <si>
    <t>URBAN</t>
  </si>
  <si>
    <t>Turbulence loading from building wake plus a high landing count. The cycle penalty dominates the hourly multiplier on short sorties.</t>
  </si>
  <si>
    <t>TRAINING</t>
  </si>
  <si>
    <t>Light payload reduces hourly loading, but circuit work produces far more landings per hour than any other profile. Training flies below the 12kg nominal, so the payload term goes NEGATIVE for this profile and removes stress -- which is the intent. A negative coefficient here would have added stress to a lighter aircraft.</t>
  </si>
  <si>
    <t>Baseline. Nominal payload, stable air, minimal thermal cycling. All other profiles are expressed relative to this.</t>
  </si>
  <si>
    <t>WeibullShape</t>
  </si>
  <si>
    <t>IntervalNote</t>
  </si>
  <si>
    <t>Effectively random failure. Shape 1.05 means scheduled replacement buys almost nothing -- replacing it early replaces a good part with an equally failure-prone new one.</t>
  </si>
  <si>
    <t>Capacity fade. Deep discharge on high-payload profiles accelerates it well beyond what the hour meter suggests.</t>
  </si>
  <si>
    <t>Servo and slip-ring wear. Nearly flat hazard: close to random failure, so condition monitoring earns less here than elsewhere.</t>
  </si>
  <si>
    <t>Fatigue driven almost entirely by landing count rather than airborne time. The clearest case in the fleet for measuring cycles instead of hours.</t>
  </si>
  <si>
    <t>Winding insulation and bearing degradation. Thermal cycling matters as much as running hours; the stress model has no temperature term, so cycling enters only through the per-landing cycle penalty and this interval is correspondingly approximate.</t>
  </si>
  <si>
    <t>Bearing wear-out. Shape 2.6 means the failure rate rises steeply with accumulated stress -- the mean is a poor guide and the interval must be set on the distribution, not the average.</t>
  </si>
  <si>
    <t>MonthEndDate</t>
  </si>
  <si>
    <t>CheckCode</t>
  </si>
  <si>
    <t>CheckName</t>
  </si>
  <si>
    <t>Severity</t>
  </si>
  <si>
    <t>EntityType</t>
  </si>
  <si>
    <t>EntityRef</t>
  </si>
  <si>
    <t>Detail</t>
  </si>
  <si>
    <t>AffectsCurrentWear</t>
  </si>
  <si>
    <t>DQ-01</t>
  </si>
  <si>
    <t>Duplicate sortie record</t>
  </si>
  <si>
    <t>High</t>
  </si>
  <si>
    <t>Sortie</t>
  </si>
  <si>
    <t>S-00008219</t>
  </si>
  <si>
    <t>Airframe MU-024 on 2026-07-27: 2 identical sorties (94 min, 1 landings, same profile). Flight and stress hours are double counted.</t>
  </si>
  <si>
    <t>D-00008219</t>
  </si>
  <si>
    <t>S-00003225</t>
  </si>
  <si>
    <t>Airframe MU-010 on 2024-11-02: 2 identical sorties (102 min, 2 landings, same profile). Flight and stress hours are double counted.</t>
  </si>
  <si>
    <t>D-00003225</t>
  </si>
  <si>
    <t>S-00006412</t>
  </si>
  <si>
    <t>Airframe MU-020 on 2024-08-17: 2 identical sorties (169 min, 1 landings, same profile). Flight and stress hours are double counted.</t>
  </si>
  <si>
    <t>D-00006412</t>
  </si>
  <si>
    <t>S-00009931</t>
  </si>
  <si>
    <t>Airframe MU-030 on 2024-12-16: 2 identical sorties (172 min, 2 landings, same profile). Flight and stress hours are double counted.</t>
  </si>
  <si>
    <t>D-00009931</t>
  </si>
  <si>
    <t>S-00006621</t>
  </si>
  <si>
    <t>Airframe MU-020 on 2026-04-02: 2 identical sorties (137 min, 2 landings, same profile). Flight and stress hours are double counted.</t>
  </si>
  <si>
    <t>D-00006621</t>
  </si>
  <si>
    <t>S-00001148</t>
  </si>
  <si>
    <t>Airframe MU-004 on 2025-08-13: 2 identical sorties (95 min, 1 landings, same profile). Flight and stress hours are double counted.</t>
  </si>
  <si>
    <t>D-00001148</t>
  </si>
  <si>
    <t>S-00004145</t>
  </si>
  <si>
    <t>Airframe MU-012 on 2026-09-16: 2 identical sorties (119 min, 1 landings, same profile). Flight and stress hours are double counted.</t>
  </si>
  <si>
    <t>D-00004145</t>
  </si>
  <si>
    <t>S-00001626</t>
  </si>
  <si>
    <t>Airframe MU-005 on 2026-04-20: 2 identical sorties (120 min, 2 landings, same profile). Flight and stress hours are double counted.</t>
  </si>
  <si>
    <t>D-00001626</t>
  </si>
  <si>
    <t>S-00009025</t>
  </si>
  <si>
    <t>Airframe MU-027 on 2025-05-06: 2 identical sorties (152 min, 2 landings, same profile). Flight and stress hours are double counted.</t>
  </si>
  <si>
    <t>D-00009025</t>
  </si>
  <si>
    <t>S-00009655</t>
  </si>
  <si>
    <t>Airframe MU-029 on 2025-01-09: 2 identical sorties (108 min, 2 landings, same profile). Flight and stress hours are double counted.</t>
  </si>
  <si>
    <t>D-00009655</t>
  </si>
  <si>
    <t>S-00000855</t>
  </si>
  <si>
    <t>Airframe MU-003 on 2025-01-10: 2 identical sorties (118 min, 2 landings, same profile). Flight and stress hours are double counted.</t>
  </si>
  <si>
    <t>D-00000855</t>
  </si>
  <si>
    <t>S-00009056</t>
  </si>
  <si>
    <t>Airframe MU-027 on 2025-07-23: 2 identical sorties (96 min, 1 landings, same profile). Flight and stress hours are double counted.</t>
  </si>
  <si>
    <t>D-00009056</t>
  </si>
  <si>
    <t>S-00003212</t>
  </si>
  <si>
    <t>Airframe MU-010 on 2024-09-17: 2 identical sorties (80 min, 2 landings, same profile). Flight and stress hours are double counted.</t>
  </si>
  <si>
    <t>D-00003212</t>
  </si>
  <si>
    <t>S-00001706</t>
  </si>
  <si>
    <t>Airframe MU-006 on 2024-04-09: 2 identical sorties (63 min, 2 landings, same profile). Flight and stress hours are double counted.</t>
  </si>
  <si>
    <t>D-00001706</t>
  </si>
  <si>
    <t>S-00001757</t>
  </si>
  <si>
    <t>Airframe MU-006 on 2024-08-28: 2 identical sorties (138 min, 2 landings, same profile). Flight and stress hours are double counted.</t>
  </si>
  <si>
    <t>D-00001757</t>
  </si>
  <si>
    <t>S-00001497</t>
  </si>
  <si>
    <t>Airframe MU-005 on 2025-05-03: 2 identical sorties (101 min, 3 landings, same profile). Flight and stress hours are double counted.</t>
  </si>
  <si>
    <t>D-00001497</t>
  </si>
  <si>
    <t>S-00010227</t>
  </si>
  <si>
    <t>Airframe MU-031 on 2024-12-04: 2 identical sorties (117 min, 2 landings, same profile). Flight and stress hours are double counted.</t>
  </si>
  <si>
    <t>D-00010227</t>
  </si>
  <si>
    <t>S-00001342</t>
  </si>
  <si>
    <t>Airframe MU-005 on 2024-04-12: 2 identical sorties (40 min, 5 landings, same profile). Flight and stress hours are double counted.</t>
  </si>
  <si>
    <t>D-00001342</t>
  </si>
  <si>
    <t>DQ-02</t>
  </si>
  <si>
    <t>Flight time recorded with zero landings</t>
  </si>
  <si>
    <t>S-00002432</t>
  </si>
  <si>
    <t>Airframe MU-008 on 2024-06-21: 62 flight minutes and 0 landings. Cycle stress is understated for this sortie.</t>
  </si>
  <si>
    <t>S-00003241</t>
  </si>
  <si>
    <t>Airframe MU-010 on 2024-12-11: 134 flight minutes and 0 landings. Cycle stress is understated for this sortie.</t>
  </si>
  <si>
    <t>S-00004312</t>
  </si>
  <si>
    <t>Airframe MU-013 on 2025-10-01: 73 flight minutes and 0 landings. Cycle stress is understated for this sortie.</t>
  </si>
  <si>
    <t>S-00004421</t>
  </si>
  <si>
    <t>Airframe MU-014 on 2024-12-23: 153 flight minutes and 0 landings. Cycle stress is understated for this sortie.</t>
  </si>
  <si>
    <t>S-00005188</t>
  </si>
  <si>
    <t>Airframe MU-016 on 2025-08-06: 83 flight minutes and 0 landings. Cycle stress is understated for this sortie.</t>
  </si>
  <si>
    <t>S-00007306</t>
  </si>
  <si>
    <t>Airframe MU-022 on 2025-09-24: 62 flight minutes and 0 landings. Cycle stress is understated for this sortie.</t>
  </si>
  <si>
    <t>S-00007459</t>
  </si>
  <si>
    <t>Airframe MU-023 on 2024-01-17: 126 flight minutes and 0 landings. Cycle stress is understated for this sortie.</t>
  </si>
  <si>
    <t>S-00008559</t>
  </si>
  <si>
    <t>Airframe MU-025 on 2026-05-08: 66 flight minutes and 0 landings. Cycle stress is understated for this sortie.</t>
  </si>
  <si>
    <t>S-00008565</t>
  </si>
  <si>
    <t>Airframe MU-025 on 2026-05-20: 157 flight minutes and 0 landings. Cycle stress is understated for this sortie.</t>
  </si>
  <si>
    <t>S-00008832</t>
  </si>
  <si>
    <t>Airframe MU-026 on 2026-01-22: 126 flight minutes and 0 landings. Cycle stress is understated for this sortie.</t>
  </si>
  <si>
    <t>S-00010256</t>
  </si>
  <si>
    <t>Airframe MU-031 on 2025-02-26: 126 flight minutes and 0 landings. Cycle stress is understated for this sortie.</t>
  </si>
  <si>
    <t>DQ-03</t>
  </si>
  <si>
    <t>Sensor reading outside the component fitted window</t>
  </si>
  <si>
    <t>SensorReading</t>
  </si>
  <si>
    <t>MOTOR-ESC-00036</t>
  </si>
  <si>
    <t>Reading on 2025-02-14 against MOTOR-ESC-00036, fitted 2024-03-03 and removed 2024-12-28. The component was not on the aircraft.</t>
  </si>
  <si>
    <t>ROTOR-ASSY-00067</t>
  </si>
  <si>
    <t>Reading on 2026-07-09 against ROTOR-ASSY-00067, fitted 2025-01-16 and removed 2025-08-22. The component was not on the aircraft.</t>
  </si>
  <si>
    <t>MOTOR-ESC-00054</t>
  </si>
  <si>
    <t>Reading on 2025-12-27 against MOTOR-ESC-00054, fitted 2025-01-21 and removed 2025-11-20. The component was not on the aircraft.</t>
  </si>
  <si>
    <t>BATT-PACK-00067</t>
  </si>
  <si>
    <t>Reading on 2026-05-29 against BATT-PACK-00067, fitted 2025-04-01 and removed 2026-01-19. The component was not on the aircraft.</t>
  </si>
  <si>
    <t>ROTOR-ASSY-00166</t>
  </si>
  <si>
    <t>Reading on 2026-06-05 against ROTOR-ASSY-00166, fitted 2024-01-13 and removed 2024-09-04. The component was not on the aircraft.</t>
  </si>
  <si>
    <t>GIMBAL-00044</t>
  </si>
  <si>
    <t>Reading on 2025-08-13 against GIMBAL-00044, fitted 2024-02-13 and removed 2025-01-04. The component was not on the aircraft.</t>
  </si>
  <si>
    <t>ROTOR-ASSY-00357</t>
  </si>
  <si>
    <t>Reading on 2026-05-15 against ROTOR-ASSY-00357, fitted 2025-07-09 and removed 2025-10-31. The component was not on the aircraft.</t>
  </si>
  <si>
    <t>ROTOR-ASSY-00369</t>
  </si>
  <si>
    <t>Reading on 2026-08-01 against ROTOR-ASSY-00369, fitted 2024-04-18 and removed 2024-12-20. The component was not on the aircraft.</t>
  </si>
  <si>
    <t>BATT-PACK-00223</t>
  </si>
  <si>
    <t>Reading on 2025-11-20 against BATT-PACK-00223, fitted 2024-01-08 and removed 2024-11-23. The component was not on the aircraft.</t>
  </si>
  <si>
    <t>ROTOR-ASSY-00382</t>
  </si>
  <si>
    <t>Reading on 2026-07-06 against ROTOR-ASSY-00382, fitted 2025-01-17 and removed 2026-02-10. The component was not on the aircraft.</t>
  </si>
  <si>
    <t>BATT-PACK-00238</t>
  </si>
  <si>
    <t>Reading on 2024-12-23 against BATT-PACK-00238, fitted 2024-01-04 and removed 2024-07-18. The component was not on the aircraft.</t>
  </si>
  <si>
    <t>BATT-PACK-00304</t>
  </si>
  <si>
    <t>Reading on 2026-09-30 against BATT-PACK-00304, fitted 2024-03-16 and removed 2024-10-10. The component was not on the aircraft.</t>
  </si>
  <si>
    <t>ROTOR-ASSY-00517</t>
  </si>
  <si>
    <t>Reading on 2025-09-15 against ROTOR-ASSY-00517, fitted 2024-12-11 and removed 2025-06-13. The component was not on the aircraft.</t>
  </si>
  <si>
    <t>DQ-04</t>
  </si>
  <si>
    <t>Maintenance event precedes component installation</t>
  </si>
  <si>
    <t>Medium</t>
  </si>
  <si>
    <t>MaintenanceEvent</t>
  </si>
  <si>
    <t>ME-000173</t>
  </si>
  <si>
    <t>Event ME-000173 dated 2024-05-20 against BATT-PACK-00040 installed 2024-06-03. Downtime is attributed to a component that was not yet fitted.</t>
  </si>
  <si>
    <t>ME-000254</t>
  </si>
  <si>
    <t>Event ME-000254 dated 2024-07-04 against BATT-PACK-00244 installed 2024-07-18. Downtime is attributed to a component that was not yet fitted.</t>
  </si>
  <si>
    <t>ME-000245</t>
  </si>
  <si>
    <t>Event ME-000245 dated 2024-07-19 against ROTOR-ASSY-00485 installed 2024-08-02. Downtime is attributed to a component that was not yet fitted.</t>
  </si>
  <si>
    <t>ME-000462</t>
  </si>
  <si>
    <t>Event ME-000462 dated 2024-07-26 against ROTOR-ASSY-00476 installed 2024-08-09. Downtime is attributed to a component that was not yet fitted.</t>
  </si>
  <si>
    <t>ME-001063</t>
  </si>
  <si>
    <t>Event ME-001063 dated 2024-07-27 against AIRDATA-00061 installed 2024-08-10. Downtime is attributed to a component that was not yet fitted.</t>
  </si>
  <si>
    <t>ME-000788</t>
  </si>
  <si>
    <t>Event ME-000788 dated 2025-05-20 against MOTOR-ESC-00169 installed 2025-06-03. Downtime is attributed to a component that was not yet fitted.</t>
  </si>
  <si>
    <t>ME-000561</t>
  </si>
  <si>
    <t>Event ME-000561 dated 2025-05-29 against ROTOR-ASSY-00148 installed 2025-06-12. Downtime is attributed to a component that was not yet fitted.</t>
  </si>
  <si>
    <t>DQ-05</t>
  </si>
  <si>
    <t>Component removed before it was installed</t>
  </si>
  <si>
    <t>ComponentInstall</t>
  </si>
  <si>
    <t>BATT-PACK-00287</t>
  </si>
  <si>
    <t>BATT-PACK-00287 installed 2024-08-02, removed 2024-07-24. Accrued life for this instance is meaningless.</t>
  </si>
  <si>
    <t>ROTOR-ASSY-00351</t>
  </si>
  <si>
    <t>ROTOR-ASSY-00351 installed 2024-08-12, removed 2024-08-03. Accrued life for this instance is meaningless.</t>
  </si>
  <si>
    <t>ROTOR-ASSY-00462</t>
  </si>
  <si>
    <t>ROTOR-ASSY-00462 installed 2024-10-19, removed 2024-10-10. Accrued life for this instance is meaningless.</t>
  </si>
  <si>
    <t>ROTOR-ASSY-00235</t>
  </si>
  <si>
    <t>ROTOR-ASSY-00235 installed 2024-10-31, removed 2024-10-22. Accrued life for this instance is meaningless.</t>
  </si>
  <si>
    <t>ROTOR-ASSY-00023</t>
  </si>
  <si>
    <t>ROTOR-ASSY-00023 installed 2024-12-27, removed 2024-12-18. Accrued life for this instance is meaningless.</t>
  </si>
  <si>
    <t>ROTOR-ASSY-00122</t>
  </si>
  <si>
    <t>ROTOR-ASSY-00122 installed 2025-05-22, removed 2025-05-13. Accrued life for this instance is meaningless.</t>
  </si>
  <si>
    <t>CALC -- the week cut, recomputed in Excel. Not a reporting sheet.</t>
  </si>
  <si>
    <t>SQL ranks the queue. Excel re-adds the hours and finds the line, so the Hangar hours cell on Control actually does something.</t>
  </si>
  <si>
    <t>Rank</t>
  </si>
  <si>
    <t>Cumulative (Excel)</t>
  </si>
  <si>
    <t>Within the week</t>
  </si>
  <si>
    <t>IS THIS FLEET INSIDE ITS MAINTENANCE INTERVALS?</t>
  </si>
  <si>
    <t>THE SAME COMPONENTS, THE SAME INTERVALS, THE SAME DAY</t>
  </si>
  <si>
    <t>MEASURE</t>
  </si>
  <si>
    <t>WHAT IT ACTUALLY MEANS</t>
  </si>
  <si>
    <t>Compliant on FLIGHT HOURS</t>
  </si>
  <si>
    <t>What the maintenance system reports. The hour meter is what it enforces against.</t>
  </si>
  <si>
    <t>Compliant on STRESS HOURS</t>
  </si>
  <si>
    <t>The same interval measured in the unit the wear actually accrues in.</t>
  </si>
  <si>
    <t>The gap</t>
  </si>
  <si>
    <t>Components past due that no current report shows.</t>
  </si>
  <si>
    <t>An hour is not a unit of wear. An hour of mountain survey at 22kg and an hour of coastal survey at 12kg damage a rotor bearing by very different amounts, and an hour of circuit training produces ten landings where cargo relay produces one. The interval is enforced in hours because that is what the hour meter produces.</t>
  </si>
  <si>
    <t>WHAT THAT MEANS IN COMPONENTS</t>
  </si>
  <si>
    <t>COUNT</t>
  </si>
  <si>
    <t>NOTE</t>
  </si>
  <si>
    <t>Components fitted</t>
  </si>
  <si>
    <t>The population every percentage above is over.</t>
  </si>
  <si>
    <t>Past due on stress, inside hour limit</t>
  </si>
  <si>
    <t>Invisible to every report the operator currently runs.</t>
  </si>
  <si>
    <t>...of which flight-critical</t>
  </si>
  <si>
    <t>Failure grounds the aircraft.</t>
  </si>
  <si>
    <t>Past due on stress (all)</t>
  </si>
  <si>
    <t>Including those the hour meter can already see.</t>
  </si>
  <si>
    <t>Past due on flight hours</t>
  </si>
  <si>
    <t>What the maintenance system is chasing today.</t>
  </si>
  <si>
    <t>FLEET SCORECARD -- against the targets in Ref_FleetTargets</t>
  </si>
  <si>
    <t>METRIC</t>
  </si>
  <si>
    <t>TARGET</t>
  </si>
  <si>
    <t>WARN</t>
  </si>
  <si>
    <t>STATUS</t>
  </si>
  <si>
    <t>THE WEEK -- recomputed here from the hangar hours on Control</t>
  </si>
  <si>
    <t>Jobs outstanding</t>
  </si>
  <si>
    <t>Across the whole fleet.</t>
  </si>
  <si>
    <t>Hangar hours to clear</t>
  </si>
  <si>
    <t>A procurement action costs no bay time and carries zero hours.</t>
  </si>
  <si>
    <t>Schedulable this week</t>
  </si>
  <si>
    <t>Where the cumulative hours cross the capacity on Control.</t>
  </si>
  <si>
    <t>Weeks at current capacity</t>
  </si>
  <si>
    <t>Change the capacity cell and this moves.</t>
  </si>
  <si>
    <t>Ground and replace now</t>
  </si>
  <si>
    <t>Flight-critical and already past its stress interval.</t>
  </si>
  <si>
    <t>Order a part now</t>
  </si>
  <si>
    <t>A purchase order, not a bay. Different person, different day.</t>
  </si>
  <si>
    <t>THE FLEET AVERAGE DESCRIBES NONE OF THE FOUR BASES</t>
  </si>
  <si>
    <t>StressRatio is stress hours accrued per logged flight hour. Read across: the hour meter cannot tell these bases apart, and the work they fly is not comparable.</t>
  </si>
  <si>
    <t>Base</t>
  </si>
  <si>
    <t>Stress / flight hr</t>
  </si>
  <si>
    <t>Hour compliance %</t>
  </si>
  <si>
    <t>Stress compliance %</t>
  </si>
  <si>
    <t>Gap (pts)</t>
  </si>
  <si>
    <t>Hidden overdue</t>
  </si>
  <si>
    <t>Unscheduled %</t>
  </si>
  <si>
    <t>Highland and Port are not worse-run bases; they fly mountain and cargo work, which is what the multiplier measures. The Academy is the one worth pausing on: it flies the lightest payloads and the fewest hours in the fleet, and circuit training produces so many landings that it wears its aircraft harder than the cargo hub.</t>
  </si>
  <si>
    <t>THE ALARM IS ACCURATE. THAT IS NOT THE SAME AS USEFUL.</t>
  </si>
  <si>
    <t>Change the Alert threshold on Control and every figure below re-states. Precision rises with it; lead time falls with it. There is no setting where both clear their target for both components.</t>
  </si>
  <si>
    <t>Component</t>
  </si>
  <si>
    <t>Part lead time (h)</t>
  </si>
  <si>
    <t>Threshold</t>
  </si>
  <si>
    <t>Alerts</t>
  </si>
  <si>
    <t>Caught</t>
  </si>
  <si>
    <t>Precision %</t>
  </si>
  <si>
    <t>Recall %</t>
  </si>
  <si>
    <t>Median warning (h)</t>
  </si>
  <si>
    <t>Actionable %</t>
  </si>
  <si>
    <t>Warning covers supply?</t>
  </si>
  <si>
    <t>FLEET (counts summed, not percentages averaged)</t>
  </si>
  <si>
    <t>A prediction is worth its LEAD TIME, not its accuracy. A rotor assembly takes 18 flight hours to obtain and fit, so an alert with 6 hours of warning is a correct prediction and a grounded aircraft. Precision and recall cannot tell those two alerts apart -- both are true positives. Set the threshold to 2.05 and watch the motor controller: precision falls, and the share of its failures caught in time to act rises from single figures to over 90%.</t>
  </si>
  <si>
    <t>WHAT TO DO THIS WEEK</t>
  </si>
  <si>
    <t>Tail</t>
  </si>
  <si>
    <t>Pos</t>
  </si>
  <si>
    <t>% hour interval</t>
  </si>
  <si>
    <t>% stress interval</t>
  </si>
  <si>
    <t>Projected hrs to limit</t>
  </si>
  <si>
    <t>Part lead (h)</t>
  </si>
  <si>
    <t>Action</t>
  </si>
  <si>
    <t>Job hrs</t>
  </si>
  <si>
    <t>Cumulative</t>
  </si>
  <si>
    <t>Within week</t>
  </si>
  <si>
    <t>VALIDATION -- Excel against SQL</t>
  </si>
  <si>
    <t>Each row recomputes a figure in Excel from the raw extract and compares it to what SQL published. A workbook that agrees with itself proves nothing.</t>
  </si>
  <si>
    <t>This proves the two AGREE. It does not prove either is right -- Project 1 shipped a workbook and a view that agreed exactly and were both wrong, because both came from the same flawed written definition.</t>
  </si>
  <si>
    <t>#</t>
  </si>
  <si>
    <t>CHECK</t>
  </si>
  <si>
    <t>EXCEL</t>
  </si>
  <si>
    <t>SQL</t>
  </si>
  <si>
    <t>RESULT</t>
  </si>
  <si>
    <t>Overdue flight-critical</t>
  </si>
  <si>
    <t>Hidden overdue, flt-crit</t>
  </si>
  <si>
    <t>Base fitted components sum</t>
  </si>
  <si>
    <t>Queue rows</t>
  </si>
  <si>
    <t>Queue hangar hours</t>
  </si>
  <si>
    <t>Ground-and-replace jobs</t>
  </si>
  <si>
    <t>Rotor precision at threshold</t>
  </si>
  <si>
    <t>Motor precision at threshold</t>
  </si>
  <si>
    <t>Actionable + late = caught</t>
  </si>
  <si>
    <t>Confusion matrix partitions</t>
  </si>
  <si>
    <t>Week cut within capacity</t>
  </si>
  <si>
    <t>DQ findings total</t>
  </si>
  <si>
    <t>CHECKS PASSING</t>
  </si>
  <si>
    <t>THE QUESTION</t>
  </si>
  <si>
    <t>Is this fleet inside its maintenance intervals? Both answers on the Dashboard are correct. They are the same components, the same intervals and the same day, and they differ only in the unit the interval is measured in.</t>
  </si>
  <si>
    <t>HOW TO READ IT</t>
  </si>
  <si>
    <t xml:space="preserve">  Control        Four cells. Two of them change the answer: hangar hours per week, and the alert threshold.</t>
  </si>
  <si>
    <t xml:space="preserve">  Dashboard      The headline comparison, computed here in Excel from the component extract. Nothing on it is pasted.</t>
  </si>
  <si>
    <t xml:space="preserve">  Bases          The cut the fleet average hides. StressRatio explains the rest of the row.</t>
  </si>
  <si>
    <t xml:space="preserve">  Action Queue   What to do this week, cut at the capacity on Control.</t>
  </si>
  <si>
    <t xml:space="preserve">  Prediction     What the alarm is worth at the threshold on Control -- accuracy and usefulness side by side.</t>
  </si>
  <si>
    <t xml:space="preserve">  Validation     Sixteen figures recomputed in Excel and reconciled against SQL.</t>
  </si>
  <si>
    <t xml:space="preserve">  Data_*         The extracts, loaded through Power Query and kept complete.</t>
  </si>
  <si>
    <t>TRY THIS</t>
  </si>
  <si>
    <t xml:space="preserve">  1. Set Hangar hours / week to 240 on Control. The week plan roughly doubles and the backlog halves.</t>
  </si>
  <si>
    <t xml:space="preserve">  2. Set Alert threshold to 2.05. Motor-controller precision falls and its actionable share rises from single figures to over 90%. That trade is the second finding.</t>
  </si>
  <si>
    <t>WHAT IS DELIBERATELY NOT HERE</t>
  </si>
  <si>
    <t xml:space="preserve">  No dynamic-array formulas. FILTER, SORT, UNIQUE and XLOOKUP would break this file on Excel 2019 and LibreOffice.</t>
  </si>
  <si>
    <t xml:space="preserve">  No macros. A portfolio workbook that asks a reviewer to enable content is a workbook they will not open.</t>
  </si>
  <si>
    <t xml:space="preserve">  No pasted headline figures. Both sides of the comparison are computed here, because a comparison where one side is copied from the other proves nothing.</t>
  </si>
  <si>
    <t>Meridian UAV Services is a fictional UAV operator. All data is synthetic and generated by the scripts in the sql\ folder. Degradation behaviour is modelled on publicly described characteristics of rotating machinery. No confidential data is used and no claim is made about any real aircraft, operator or manufacturer.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</si>
</sst>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
  </numFmts>
  <fonts count="15" x14ac:knownFonts="1">
    <font>
      <sz val="11"/>
      <color theme="1"/>
      <name val="Aptos Narrow"/>
      <family val="2"/>
      <scheme val="minor"/>
    </font>
    <font>
      <b/>
      <sz val="11"/>
      <color theme="1"/>
      <name val="Aptos Narrow"/>
      <family val="2"/>
      <scheme val="minor"/>
    </font>
    <font>
      <b/>
      <sz val="15"/>
      <color rgb="FF1F4E79"/>
      <name val="Aptos Narrow"/>
      <family val="2"/>
      <scheme val="minor"/>
    </font>
    <font>
      <i/>
      <sz val="11"/>
      <color theme="1"/>
      <name val="Aptos Narrow"/>
      <family val="2"/>
      <scheme val="minor"/>
    </font>
    <font>
      <i/>
      <sz val="11"/>
      <color rgb="FF595959"/>
      <name val="Aptos Narrow"/>
      <family val="2"/>
      <scheme val="minor"/>
    </font>
    <font>
      <b/>
      <sz val="11"/>
      <color rgb="FFFFFFFF"/>
      <name val="Aptos Narrow"/>
      <family val="2"/>
      <scheme val="minor"/>
    </font>
    <font>
      <sz val="8"/>
      <name val="Aptos Narrow"/>
      <family val="2"/>
      <scheme val="minor"/>
    </font>
    <font>
      <b/>
      <sz val="11"/>
      <color rgb="FF595959"/>
      <name val="Aptos Narrow"/>
      <family val="2"/>
      <scheme val="minor"/>
    </font>
    <font>
      <b/>
      <sz val="16"/>
      <color rgb="FF1F4E79"/>
      <name val="Aptos Narrow"/>
      <family val="2"/>
      <scheme val="minor"/>
    </font>
    <font>
      <b/>
      <sz val="11"/>
      <color rgb="FF1F4E79"/>
      <name val="Aptos Narrow"/>
      <family val="2"/>
      <scheme val="minor"/>
    </font>
    <font>
      <b/>
      <sz val="13"/>
      <color rgb="FFBF8F00"/>
      <name val="Aptos Narrow"/>
      <family val="2"/>
      <scheme val="minor"/>
    </font>
    <font>
      <b/>
      <sz val="13"/>
      <color rgb="FFC00000"/>
      <name val="Aptos Narrow"/>
      <family val="2"/>
      <scheme val="minor"/>
    </font>
    <font>
      <b/>
      <sz val="14"/>
      <color rgb="FF1F4E79"/>
      <name val="Aptos Narrow"/>
      <family val="2"/>
      <scheme val="minor"/>
    </font>
    <font>
      <i/>
      <sz val="11"/>
      <color rgb="FFC00000"/>
      <name val="Aptos Narrow"/>
      <family val="2"/>
      <scheme val="minor"/>
    </font>
    <font>
      <b/>
      <sz val="12"/>
      <color theme="1"/>
      <name val="Aptos Narrow"/>
      <family val="2"/>
      <scheme val="minor"/>
    </font>
  </fonts>
  <fills count="5">
    <fill>
      <patternFill patternType="none"/>
    </fill>
    <fill>
      <patternFill patternType="gray125"/>
    </fill>
    <fill>
      <patternFill patternType="solid">
        <fgColor rgb="FF1F4E79"/>
        <bgColor indexed="64"/>
      </patternFill>
    </fill>
    <fill>
      <patternFill patternType="solid">
        <fgColor rgb="FFFFF2CC"/>
        <bgColor indexed="64"/>
      </patternFill>
    </fill>
    <fill>
      <patternFill patternType="solid">
        <fgColor rgb="FFF2F2F2"/>
        <bgColor indexed="64"/>
      </patternFill>
    </fill>
  </fills>
  <borders count="1">
    <border>
      <left/>
      <right/>
      <top/>
      <bottom/>
      <diagonal/>
    </border>
  </borders>
  <cellStyleXfs count="1">
    <xf numFmtId="0" fontId="0" fillId="0" borderId="0"/>
  </cellStyleXfs>
  <cellXfs count="30">
    <xf numFmtId="0" fontId="0" fillId="0" borderId="0" xfId="0"/>
    <xf numFmtId="0" fontId="2" fillId="0" borderId="0" xfId="0" applyFont="1"/>
    <xf numFmtId="0" fontId="4" fillId="0" borderId="0" xfId="0" applyFont="1"/>
    <xf numFmtId="0" fontId="1" fillId="0" borderId="0" xfId="0" applyFont="1"/>
    <xf numFmtId="0" fontId="5" fillId="2" borderId="0" xfId="0" applyFont="1" applyFill="1"/>
    <xf numFmtId="0" fontId="1" fillId="3" borderId="0" xfId="0" applyFont="1" applyFill="1"/>
    <xf numFmtId="14" fontId="0" fillId="0" borderId="0" xfId="0" applyNumberFormat="1"/>
    <xf numFmtId="14" fontId="1" fillId="3" borderId="0" xfId="0" applyNumberFormat="1" applyFont="1" applyFill="1"/>
    <xf numFmtId="0" fontId="0" fillId="0" borderId="0" xfId="0" applyAlignment="1">
      <alignment vertical="top" wrapText="1"/>
    </xf>
    <xf numFmtId="0" fontId="0" fillId="0" borderId="0" xfId="0" applyNumberFormat="1"/>
    <xf numFmtId="0" fontId="7" fillId="0" borderId="0" xfId="0" applyFont="1"/>
    <xf numFmtId="0" fontId="8" fillId="0" borderId="0" xfId="0" applyFont="1"/>
    <xf numFmtId="0" fontId="9" fillId="0" borderId="0" xfId="0" applyFont="1"/>
    <xf numFmtId="0" fontId="1" fillId="4" borderId="0" xfId="0" applyFont="1" applyFill="1"/>
    <xf numFmtId="10" fontId="10" fillId="0" borderId="0" xfId="0" applyNumberFormat="1" applyFont="1"/>
    <xf numFmtId="10" fontId="11" fillId="0" borderId="0" xfId="0" applyNumberFormat="1" applyFont="1"/>
    <xf numFmtId="0" fontId="4" fillId="0" borderId="0" xfId="0" applyFont="1" applyAlignment="1">
      <alignment vertical="top" wrapText="1"/>
    </xf>
    <xf numFmtId="3" fontId="1" fillId="0" borderId="0" xfId="0" applyNumberFormat="1" applyFont="1"/>
    <xf numFmtId="4" fontId="0" fillId="0" borderId="0" xfId="0" applyNumberFormat="1"/>
    <xf numFmtId="164" fontId="1" fillId="0" borderId="0" xfId="0" applyNumberFormat="1" applyFont="1"/>
    <xf numFmtId="0" fontId="12" fillId="0" borderId="0" xfId="0" applyFont="1"/>
    <xf numFmtId="165" fontId="0" fillId="0" borderId="0" xfId="0" applyNumberFormat="1"/>
    <xf numFmtId="2" fontId="0" fillId="0" borderId="0" xfId="0" applyNumberFormat="1"/>
    <xf numFmtId="0" fontId="3" fillId="0" borderId="0" xfId="0" applyFont="1" applyAlignment="1">
      <alignment vertical="top" wrapText="1"/>
    </xf>
    <xf numFmtId="2" fontId="1" fillId="0" borderId="0" xfId="0" applyNumberFormat="1" applyFont="1"/>
    <xf numFmtId="166" fontId="0" fillId="0" borderId="0" xfId="0" applyNumberFormat="1"/>
    <xf numFmtId="0" fontId="13" fillId="0" borderId="0" xfId="0" applyFont="1"/>
    <xf numFmtId="0" fontId="14" fillId="0" borderId="0" xfId="0" applyFont="1"/>
    <xf numFmtId="0" fontId="0" fillId="0" borderId="0" xfId="0" applyAlignment="1"/>
    <xf numFmtId="0" fontId="9" fillId="0" borderId="0" xfId="0" applyFont="1" applyAlignment="1"/>
  </cellXfs>
  <cellStyles count="1">
    <cellStyle name="Normal" xfId="0" builtinId="0"/>
  </cellStyles>
  <dxfs count="62">
    <dxf>
      <font>
        <b/>
        <i val="0"/>
        <color rgb="FFC00000"/>
      </font>
      <fill>
        <patternFill>
          <bgColor rgb="FFFFE6E6"/>
        </patternFill>
      </fill>
    </dxf>
    <dxf>
      <font>
        <b/>
        <i val="0"/>
        <color rgb="FF548235"/>
      </font>
    </dxf>
    <dxf>
      <font>
        <b/>
        <i val="0"/>
        <color rgb="FF548235"/>
      </font>
    </dxf>
    <dxf>
      <font>
        <b/>
        <i val="0"/>
        <color rgb="FFC00000"/>
      </font>
    </dxf>
    <dxf>
      <font>
        <b/>
        <i val="0"/>
        <color rgb="FF548235"/>
      </font>
    </dxf>
    <dxf>
      <font>
        <b/>
        <i val="0"/>
        <color rgb="FFBF8F00"/>
      </font>
    </dxf>
    <dxf>
      <font>
        <b/>
        <i val="0"/>
        <color rgb="FFC00000"/>
      </font>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font>
        <b/>
      </font>
    </dxf>
    <dxf>
      <numFmt numFmtId="0" formatCode="General"/>
    </dxf>
    <dxf>
      <numFmt numFmtId="19" formatCode="m/d/yyyy"/>
    </dxf>
    <dxf>
      <font>
        <b/>
      </font>
    </dxf>
    <dxf>
      <numFmt numFmtId="0" formatCode="General"/>
    </dxf>
    <dxf>
      <numFmt numFmtId="0" formatCode="General"/>
    </dxf>
    <dxf>
      <font>
        <b/>
      </font>
    </dxf>
    <dxf>
      <numFmt numFmtId="0" formatCode="General"/>
    </dxf>
    <dxf>
      <numFmt numFmtId="0" formatCode="General"/>
    </dxf>
    <dxf>
      <font>
        <b/>
      </font>
    </dxf>
    <dxf>
      <numFmt numFmtId="0" formatCode="General"/>
    </dxf>
    <dxf>
      <numFmt numFmtId="0" formatCode="General"/>
    </dxf>
    <dxf>
      <numFmt numFmtId="0" formatCode="General"/>
    </dxf>
    <dxf>
      <numFmt numFmtId="0" formatCode="General"/>
    </dxf>
    <dxf>
      <font>
        <b/>
      </font>
    </dxf>
    <dxf>
      <numFmt numFmtId="0" formatCode="General"/>
    </dxf>
    <dxf>
      <font>
        <b/>
      </font>
    </dxf>
    <dxf>
      <numFmt numFmtId="0" formatCode="General"/>
    </dxf>
    <dxf>
      <numFmt numFmtId="0" formatCode="General"/>
    </dxf>
    <dxf>
      <numFmt numFmtId="0" formatCode="General"/>
    </dxf>
    <dxf>
      <numFmt numFmtId="0" formatCode="General"/>
    </dxf>
    <dxf>
      <numFmt numFmtId="0" formatCode="General"/>
    </dxf>
    <dxf>
      <font>
        <b/>
      </font>
    </dxf>
    <dxf>
      <numFmt numFmtId="0" formatCode="General"/>
    </dxf>
    <dxf>
      <numFmt numFmtId="0" formatCode="General"/>
    </dxf>
    <dxf>
      <numFmt numFmtId="0" formatCode="General"/>
    </dxf>
    <dxf>
      <font>
        <b/>
      </font>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0294395-851D-40A4-9805-44A6A72D9E7C}" autoFormatId="0" applyNumberFormats="0" applyBorderFormats="0" applyFontFormats="1" applyPatternFormats="1" applyAlignmentFormats="0" applyWidthHeightFormats="0">
  <queryTableRefresh nextId="29">
    <queryTableFields count="28">
      <queryTableField id="1" name="InstallKey" tableColumnId="29"/>
      <queryTableField id="2" name="ComponentSerial" tableColumnId="30"/>
      <queryTableField id="3" name="ComponentCode" tableColumnId="31"/>
      <queryTableField id="4" name="ComponentName" tableColumnId="32"/>
      <queryTableField id="5" name="Criticality" tableColumnId="33"/>
      <queryTableField id="6" name="LeadTimeFlightHours" tableColumnId="34"/>
      <queryTableField id="7" name="TailNumber" tableColumnId="35"/>
      <queryTableField id="8" name="ModelCode" tableColumnId="36"/>
      <queryTableField id="9" name="BaseCode" tableColumnId="37"/>
      <queryTableField id="10" name="BaseName" tableColumnId="38"/>
      <queryTableField id="11" name="PositionNo" tableColumnId="39"/>
      <queryTableField id="12" name="InstalledDate" tableColumnId="40"/>
      <queryTableField id="13" name="Sorties" tableColumnId="41"/>
      <queryTableField id="14" name="Landings" tableColumnId="42"/>
      <queryTableField id="15" name="FlightHours" tableColumnId="43"/>
      <queryTableField id="16" name="StressHours" tableColumnId="44"/>
      <queryTableField id="17" name="IntervalFlightHours" tableColumnId="45"/>
      <queryTableField id="18" name="IntervalStressHours" tableColumnId="46"/>
      <queryTableField id="19" name="PctOfHourInterval" tableColumnId="47"/>
      <queryTableField id="20" name="PctOfStressInterval" tableColumnId="48"/>
      <queryTableField id="21" name="IsOverdueByHours" tableColumnId="49"/>
      <queryTableField id="22" name="IsOverdueByStress" tableColumnId="50"/>
      <queryTableField id="23" name="IsHiddenOverdue" tableColumnId="51"/>
      <queryTableField id="24" name="StressPerFlightHour" tableColumnId="52"/>
      <queryTableField id="25" name="RemainingStressHours" tableColumnId="53"/>
      <queryTableField id="26" name="RemainingFlightHours" tableColumnId="54"/>
      <queryTableField id="27" name="ProjectedFlightHoursToStressLimit" tableColumnId="55"/>
      <queryTableField id="28" name="LastSortieDate" tableColumnId="5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29D26E29-BD61-4DD7-AE6C-FE4838A309D6}" autoFormatId="0" applyNumberFormats="0" applyBorderFormats="0" applyFontFormats="1" applyPatternFormats="1" applyAlignmentFormats="0" applyWidthHeightFormats="0">
  <queryTableRefresh nextId="30">
    <queryTableFields count="29">
      <queryTableField id="1" name="PriorityRank" tableColumnId="30"/>
      <queryTableField id="2" name="InstallKey" tableColumnId="31"/>
      <queryTableField id="3" name="ComponentSerial" tableColumnId="32"/>
      <queryTableField id="4" name="ComponentCode" tableColumnId="33"/>
      <queryTableField id="5" name="ComponentName" tableColumnId="34"/>
      <queryTableField id="6" name="Criticality" tableColumnId="35"/>
      <queryTableField id="7" name="TailNumber" tableColumnId="36"/>
      <queryTableField id="8" name="BaseCode" tableColumnId="37"/>
      <queryTableField id="9" name="BaseName" tableColumnId="38"/>
      <queryTableField id="10" name="PositionNo" tableColumnId="39"/>
      <queryTableField id="11" name="InstalledDate" tableColumnId="40"/>
      <queryTableField id="12" name="FlightHours" tableColumnId="41"/>
      <queryTableField id="13" name="StressHours" tableColumnId="42"/>
      <queryTableField id="14" name="IntervalFlightHours" tableColumnId="43"/>
      <queryTableField id="15" name="IntervalStressHours" tableColumnId="44"/>
      <queryTableField id="16" name="PctOfHourInterval" tableColumnId="45"/>
      <queryTableField id="17" name="PctOfStressInterval" tableColumnId="46"/>
      <queryTableField id="18" name="IsOverdueByHours" tableColumnId="47"/>
      <queryTableField id="19" name="IsOverdueByStress" tableColumnId="48"/>
      <queryTableField id="20" name="IsHiddenOverdue" tableColumnId="49"/>
      <queryTableField id="21" name="StressPerFlightHour" tableColumnId="50"/>
      <queryTableField id="22" name="RemainingStressHours" tableColumnId="51"/>
      <queryTableField id="23" name="ProjectedFlightHoursToStressLimit" tableColumnId="52"/>
      <queryTableField id="24" name="LeadTimeFlightHours" tableColumnId="53"/>
      <queryTableField id="25" name="ActionCode" tableColumnId="54"/>
      <queryTableField id="26" name="JobHours" tableColumnId="55"/>
      <queryTableField id="27" name="CumulativeJobHours" tableColumnId="56"/>
      <queryTableField id="28" name="IsThisWeek" tableColumnId="57"/>
      <queryTableField id="29" name="RecommendedAction" tableColumnId="5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343C5524-CF8C-4115-86F9-82949E0E2986}" autoFormatId="0" applyNumberFormats="0" applyBorderFormats="0" applyFontFormats="1" applyPatternFormats="1" applyAlignmentFormats="0" applyWidthHeightFormats="0">
  <queryTableRefresh nextId="18">
    <queryTableFields count="17">
      <queryTableField id="1" name="BaseCode" tableColumnId="18"/>
      <queryTableField id="2" name="BaseName" tableColumnId="19"/>
      <queryTableField id="3" name="Region" tableColumnId="20"/>
      <queryTableField id="4" name="HangarBays" tableColumnId="21"/>
      <queryTableField id="5" name="Airframes" tableColumnId="22"/>
      <queryTableField id="6" name="FlightHours" tableColumnId="23"/>
      <queryTableField id="7" name="StressHours" tableColumnId="24"/>
      <queryTableField id="8" name="StressRatio" tableColumnId="25"/>
      <queryTableField id="9" name="FittedComponents" tableColumnId="26"/>
      <queryTableField id="10" name="HourCompliancePct" tableColumnId="27"/>
      <queryTableField id="11" name="StressCompliancePct" tableColumnId="28"/>
      <queryTableField id="12" name="ComplianceGapPoints" tableColumnId="29"/>
      <queryTableField id="13" name="HiddenOverdue" tableColumnId="30"/>
      <queryTableField id="14" name="HiddenOverdueFlightCritical" tableColumnId="31"/>
      <queryTableField id="15" name="UnscheduledRatePct" tableColumnId="32"/>
      <queryTableField id="16" name="MaintenanceEvents" tableColumnId="33"/>
      <queryTableField id="17" name="DowntimeHours" tableColumnId="3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4E4A233A-3927-4776-9CA6-07FA31C54D1D}" autoFormatId="0" applyNumberFormats="0" applyBorderFormats="0" applyFontFormats="1" applyPatternFormats="1" applyAlignmentFormats="0" applyWidthHeightFormats="0">
  <queryTableRefresh nextId="11">
    <queryTableFields count="10">
      <queryTableField id="1" name="MetricName" tableColumnId="11"/>
      <queryTableField id="2" name="MetricValue" tableColumnId="12"/>
      <queryTableField id="3" name="Numerator" tableColumnId="13"/>
      <queryTableField id="4" name="Denominator" tableColumnId="14"/>
      <queryTableField id="5" name="TargetValue" tableColumnId="15"/>
      <queryTableField id="6" name="WarningValue" tableColumnId="16"/>
      <queryTableField id="7" name="Direction" tableColumnId="17"/>
      <queryTableField id="8" name="Unit" tableColumnId="18"/>
      <queryTableField id="9" name="RAGStatus" tableColumnId="19"/>
      <queryTableField id="10" name="Description" tableColumnId="2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D859F02F-162F-41C5-AE7A-E69604233258}" autoFormatId="0" applyNumberFormats="0" applyBorderFormats="0" applyFontFormats="1" applyPatternFormats="1" applyAlignmentFormats="0" applyWidthHeightFormats="0">
  <queryTableRefresh nextId="18">
    <queryTableFields count="17">
      <queryTableField id="1" name="VibThreshold" tableColumnId="18"/>
      <queryTableField id="2" name="ComponentCode" tableColumnId="19"/>
      <queryTableField id="3" name="Population" tableColumnId="20"/>
      <queryTableField id="4" name="Failures" tableColumnId="21"/>
      <queryTableField id="5" name="AlertsRaised" tableColumnId="22"/>
      <queryTableField id="6" name="TP" tableColumnId="23"/>
      <queryTableField id="7" name="FP" tableColumnId="24"/>
      <queryTableField id="8" name="FN" tableColumnId="25"/>
      <queryTableField id="9" name="TN" tableColumnId="26"/>
      <queryTableField id="10" name="ActionableTP" tableColumnId="27"/>
      <queryTableField id="11" name="LateTP" tableColumnId="28"/>
      <queryTableField id="12" name="PrecisionPct" tableColumnId="29"/>
      <queryTableField id="13" name="RecallPct" tableColumnId="30"/>
      <queryTableField id="14" name="ActionableLeadTimePct" tableColumnId="31"/>
      <queryTableField id="15" name="PreventableFailurePct" tableColumnId="32"/>
      <queryTableField id="16" name="MedianLeadTimeFlightHours" tableColumnId="33"/>
      <queryTableField id="17" name="LeadTimeFlightHours" tableColumnId="3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E95BE578-BAF0-4F72-A9F5-BE17D55ADD30}" autoFormatId="0" applyNumberFormats="0" applyBorderFormats="0" applyFontFormats="1" applyPatternFormats="1" applyAlignmentFormats="0" applyWidthHeightFormats="0">
  <queryTableRefresh nextId="7">
    <queryTableFields count="6">
      <queryTableField id="1" name="MetricName" tableColumnId="7"/>
      <queryTableField id="2" name="TargetValue" tableColumnId="8"/>
      <queryTableField id="3" name="WarningValue" tableColumnId="9"/>
      <queryTableField id="4" name="Direction" tableColumnId="10"/>
      <queryTableField id="5" name="Unit" tableColumnId="11"/>
      <queryTableField id="6" name="Description" tableColumnId="1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F8E78955-B7CE-4F02-8395-84E76C3FE052}" autoFormatId="0" applyNumberFormats="0" applyBorderFormats="0" applyFontFormats="1" applyPatternFormats="1" applyAlignmentFormats="0" applyWidthHeightFormats="0">
  <queryTableRefresh nextId="6">
    <queryTableFields count="5">
      <queryTableField id="1" name="ProfileCode" tableColumnId="6"/>
      <queryTableField id="2" name="StressMultiplier" tableColumnId="7"/>
      <queryTableField id="3" name="CyclePenaltyHours" tableColumnId="8"/>
      <queryTableField id="4" name="PayloadPenaltyPerKg" tableColumnId="9"/>
      <queryTableField id="5" name="SourceNote" tableColumnId="10"/>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8" xr16:uid="{5B9BC567-985C-4272-B110-D6A2A52CCF74}" autoFormatId="0" applyNumberFormats="0" applyBorderFormats="0" applyFontFormats="1" applyPatternFormats="1" applyAlignmentFormats="0" applyWidthHeightFormats="0">
  <queryTableRefresh nextId="6">
    <queryTableFields count="5">
      <queryTableField id="1" name="ComponentCode" tableColumnId="6"/>
      <queryTableField id="2" name="IntervalFlightHours" tableColumnId="7"/>
      <queryTableField id="3" name="IntervalStressHours" tableColumnId="8"/>
      <queryTableField id="4" name="WeibullShape" tableColumnId="9"/>
      <queryTableField id="5" name="IntervalNote" tableColumnId="10"/>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9" xr16:uid="{52484745-2E49-41A6-AECE-01FF67D64C91}" autoFormatId="0" applyNumberFormats="0" applyBorderFormats="0" applyFontFormats="1" applyPatternFormats="1" applyAlignmentFormats="0" applyWidthHeightFormats="0">
  <queryTableRefresh nextId="4">
    <queryTableFields count="3">
      <queryTableField id="1" name="MonthEndDate" tableColumnId="4"/>
      <queryTableField id="2" name="MetricName" tableColumnId="5"/>
      <queryTableField id="3" name="MetricValue" tableColumnId="6"/>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0" xr16:uid="{44FAEE8F-DCCA-4EDC-B00F-E61F2376FB12}" autoFormatId="0" applyNumberFormats="0" applyBorderFormats="0" applyFontFormats="1" applyPatternFormats="1" applyAlignmentFormats="0" applyWidthHeightFormats="0">
  <queryTableRefresh nextId="8">
    <queryTableFields count="7">
      <queryTableField id="1" name="CheckCode" tableColumnId="8"/>
      <queryTableField id="2" name="CheckName" tableColumnId="9"/>
      <queryTableField id="3" name="Severity" tableColumnId="10"/>
      <queryTableField id="4" name="EntityType" tableColumnId="11"/>
      <queryTableField id="5" name="EntityRef" tableColumnId="12"/>
      <queryTableField id="6" name="Detail" tableColumnId="13"/>
      <queryTableField id="7" name="AffectsCurrentWear"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D970CC-AF11-4DD9-ABA5-206AE7115F4E}" name="tWear" displayName="tWear" ref="A1:AB365" tableType="queryTable" totalsRowShown="0" headerRowDxfId="51">
  <autoFilter ref="A1:AB365" xr:uid="{BFD970CC-AF11-4DD9-ABA5-206AE7115F4E}"/>
  <tableColumns count="28">
    <tableColumn id="29" xr3:uid="{20EEB53C-8ACA-4984-B940-A0B2CBAAF3F1}" uniqueName="29" name="InstallKey" queryTableFieldId="1"/>
    <tableColumn id="30" xr3:uid="{9CAD7826-3FE4-473F-A733-4E5AB2F99C98}" uniqueName="30" name="ComponentSerial" queryTableFieldId="2" dataDxfId="61"/>
    <tableColumn id="31" xr3:uid="{C4334915-38F8-481F-BCAE-FAC015DE877C}" uniqueName="31" name="ComponentCode" queryTableFieldId="3" dataDxfId="60"/>
    <tableColumn id="32" xr3:uid="{6C089EA2-B014-4940-894A-288E78E72ADC}" uniqueName="32" name="ComponentName" queryTableFieldId="4" dataDxfId="59"/>
    <tableColumn id="33" xr3:uid="{32A2A39C-F0E0-4291-8FA4-F24EC17D933B}" uniqueName="33" name="Criticality" queryTableFieldId="5" dataDxfId="58"/>
    <tableColumn id="34" xr3:uid="{073221B7-5454-46DB-93E3-482B489F552F}" uniqueName="34" name="LeadTimeFlightHours" queryTableFieldId="6"/>
    <tableColumn id="35" xr3:uid="{BF42DE0F-0316-49F7-8436-3D5A8DDBCD5F}" uniqueName="35" name="TailNumber" queryTableFieldId="7" dataDxfId="57"/>
    <tableColumn id="36" xr3:uid="{A2596D6D-25DA-46B2-8255-5301860EB72E}" uniqueName="36" name="ModelCode" queryTableFieldId="8" dataDxfId="56"/>
    <tableColumn id="37" xr3:uid="{09F20970-F44B-4C0F-9098-FBDC196FE59A}" uniqueName="37" name="BaseCode" queryTableFieldId="9" dataDxfId="55"/>
    <tableColumn id="38" xr3:uid="{87DF46BE-D3DF-4FF2-9BED-A22999F2968E}" uniqueName="38" name="BaseName" queryTableFieldId="10" dataDxfId="54"/>
    <tableColumn id="39" xr3:uid="{3757C423-77C6-4E3E-A21C-0283845421DD}" uniqueName="39" name="PositionNo" queryTableFieldId="11"/>
    <tableColumn id="40" xr3:uid="{7460C248-259F-4F0A-BDD3-A058824FD7FC}" uniqueName="40" name="InstalledDate" queryTableFieldId="12" dataDxfId="53"/>
    <tableColumn id="41" xr3:uid="{D373A119-A16C-4844-89DB-C60D63F7A5E7}" uniqueName="41" name="Sorties" queryTableFieldId="13"/>
    <tableColumn id="42" xr3:uid="{A06DAD29-E59E-46DB-B516-2DB1A9F39C67}" uniqueName="42" name="Landings" queryTableFieldId="14"/>
    <tableColumn id="43" xr3:uid="{6E0FD2EE-05F1-4715-BF7D-1F1B22370FDE}" uniqueName="43" name="FlightHours" queryTableFieldId="15"/>
    <tableColumn id="44" xr3:uid="{32B87273-C851-42FD-A99C-3F0D06A42850}" uniqueName="44" name="StressHours" queryTableFieldId="16"/>
    <tableColumn id="45" xr3:uid="{A0EF4A78-E463-4E4D-ABCC-0C99006D7632}" uniqueName="45" name="IntervalFlightHours" queryTableFieldId="17"/>
    <tableColumn id="46" xr3:uid="{E8EF3B3C-8819-480A-832F-CA698E7D7F0A}" uniqueName="46" name="IntervalStressHours" queryTableFieldId="18"/>
    <tableColumn id="47" xr3:uid="{7B8313FB-CED0-4904-B474-DB3E224AFEC5}" uniqueName="47" name="PctOfHourInterval" queryTableFieldId="19"/>
    <tableColumn id="48" xr3:uid="{0FC557F1-F5FC-4275-B523-A570F70BC2B2}" uniqueName="48" name="PctOfStressInterval" queryTableFieldId="20"/>
    <tableColumn id="49" xr3:uid="{738284A9-D9C5-4E3C-8E30-50DD2FFACED3}" uniqueName="49" name="IsOverdueByHours" queryTableFieldId="21"/>
    <tableColumn id="50" xr3:uid="{2B2FFB51-7F64-44A2-815E-BB56BEF2A63A}" uniqueName="50" name="IsOverdueByStress" queryTableFieldId="22"/>
    <tableColumn id="51" xr3:uid="{F96AB705-7AC8-4D52-9D6B-9BAB0B0A5E2A}" uniqueName="51" name="IsHiddenOverdue" queryTableFieldId="23"/>
    <tableColumn id="52" xr3:uid="{63613201-4457-43E0-BD7C-8609B276175B}" uniqueName="52" name="StressPerFlightHour" queryTableFieldId="24"/>
    <tableColumn id="53" xr3:uid="{756EA49A-9455-46A7-9273-674A570D8CB1}" uniqueName="53" name="RemainingStressHours" queryTableFieldId="25"/>
    <tableColumn id="54" xr3:uid="{B3A2B888-FAC1-4867-98D3-2C572630D711}" uniqueName="54" name="RemainingFlightHours" queryTableFieldId="26"/>
    <tableColumn id="55" xr3:uid="{1B261848-5162-40D5-8DE6-6B9036383256}" uniqueName="55" name="ProjectedFlightHoursToStressLimit" queryTableFieldId="27"/>
    <tableColumn id="56" xr3:uid="{2E41F247-B626-4FBC-9FC5-FA3D2CC1C640}" uniqueName="56" name="LastSortieDate" queryTableFieldId="28" dataDxfId="5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31AA94-E89B-418C-B671-60FAB80B6E09}" name="tQueue" displayName="tQueue" ref="A1:AC195" tableType="queryTable" totalsRowShown="0" headerRowDxfId="40">
  <autoFilter ref="A1:AC195" xr:uid="{0731AA94-E89B-418C-B671-60FAB80B6E09}"/>
  <tableColumns count="29">
    <tableColumn id="30" xr3:uid="{3FCD7519-E420-46D0-873B-57A3581D86C8}" uniqueName="30" name="PriorityRank" queryTableFieldId="1"/>
    <tableColumn id="31" xr3:uid="{33752501-8BF4-42AC-BC50-398AD6E39D65}" uniqueName="31" name="InstallKey" queryTableFieldId="2"/>
    <tableColumn id="32" xr3:uid="{65B356CD-8B80-44EC-A9CA-F7458FC54EAE}" uniqueName="32" name="ComponentSerial" queryTableFieldId="3" dataDxfId="50"/>
    <tableColumn id="33" xr3:uid="{499D5A73-F8AE-4D9E-8666-E953D4AA14C3}" uniqueName="33" name="ComponentCode" queryTableFieldId="4" dataDxfId="49"/>
    <tableColumn id="34" xr3:uid="{1F583478-7504-435B-B736-23FBE0DA35CA}" uniqueName="34" name="ComponentName" queryTableFieldId="5" dataDxfId="48"/>
    <tableColumn id="35" xr3:uid="{CB1F7C79-8720-4614-AE20-0DB88B3D1CF5}" uniqueName="35" name="Criticality" queryTableFieldId="6" dataDxfId="47"/>
    <tableColumn id="36" xr3:uid="{F8002A28-DEDF-4077-A44C-82B8C6553DC8}" uniqueName="36" name="TailNumber" queryTableFieldId="7" dataDxfId="46"/>
    <tableColumn id="37" xr3:uid="{0381D39C-EFEB-420D-9C2C-74AF2DC3F3E1}" uniqueName="37" name="BaseCode" queryTableFieldId="8" dataDxfId="45"/>
    <tableColumn id="38" xr3:uid="{59F428F1-FB15-4E3F-A6F8-A78283FADAE2}" uniqueName="38" name="BaseName" queryTableFieldId="9" dataDxfId="44"/>
    <tableColumn id="39" xr3:uid="{460D9833-BF97-442B-8F51-815B1A7328EF}" uniqueName="39" name="PositionNo" queryTableFieldId="10"/>
    <tableColumn id="40" xr3:uid="{ED72E256-1EFC-40E1-9D29-B22B8F138BA5}" uniqueName="40" name="InstalledDate" queryTableFieldId="11" dataDxfId="43"/>
    <tableColumn id="41" xr3:uid="{A650A257-510B-456F-827E-A7B2FFAAD38A}" uniqueName="41" name="FlightHours" queryTableFieldId="12"/>
    <tableColumn id="42" xr3:uid="{BF79259F-A35B-4817-8C76-114D9DA82E97}" uniqueName="42" name="StressHours" queryTableFieldId="13"/>
    <tableColumn id="43" xr3:uid="{8E4AC151-ACF7-427E-B84C-9B018116677D}" uniqueName="43" name="IntervalFlightHours" queryTableFieldId="14"/>
    <tableColumn id="44" xr3:uid="{F5964833-8333-48E8-9F97-8CEBEFA3AA38}" uniqueName="44" name="IntervalStressHours" queryTableFieldId="15"/>
    <tableColumn id="45" xr3:uid="{E74F8040-6718-481F-BC1F-4F094B83C022}" uniqueName="45" name="PctOfHourInterval" queryTableFieldId="16"/>
    <tableColumn id="46" xr3:uid="{5DEAC144-5864-45A3-876E-002C4D557EC4}" uniqueName="46" name="PctOfStressInterval" queryTableFieldId="17"/>
    <tableColumn id="47" xr3:uid="{16366390-513D-4668-B5BE-DA8C8F53515D}" uniqueName="47" name="IsOverdueByHours" queryTableFieldId="18"/>
    <tableColumn id="48" xr3:uid="{E962F01D-3770-4DE5-977D-044D8C60ACE6}" uniqueName="48" name="IsOverdueByStress" queryTableFieldId="19"/>
    <tableColumn id="49" xr3:uid="{ECB323DE-FFB3-40D3-9B84-E1360C4ACE78}" uniqueName="49" name="IsHiddenOverdue" queryTableFieldId="20"/>
    <tableColumn id="50" xr3:uid="{FFC73F39-D4B8-4F33-B9B6-22AADDEB71EE}" uniqueName="50" name="StressPerFlightHour" queryTableFieldId="21"/>
    <tableColumn id="51" xr3:uid="{DD6742E7-FDFE-40B2-8B5B-2BE16E469525}" uniqueName="51" name="RemainingStressHours" queryTableFieldId="22"/>
    <tableColumn id="52" xr3:uid="{65C7AE00-E93A-4051-A426-8E1201E4CC09}" uniqueName="52" name="ProjectedFlightHoursToStressLimit" queryTableFieldId="23"/>
    <tableColumn id="53" xr3:uid="{6AB44954-BCAE-4663-9733-522B07EE13A5}" uniqueName="53" name="LeadTimeFlightHours" queryTableFieldId="24"/>
    <tableColumn id="54" xr3:uid="{A61229F8-99A6-4FE0-9EBC-37F26804AFB5}" uniqueName="54" name="ActionCode" queryTableFieldId="25" dataDxfId="42"/>
    <tableColumn id="55" xr3:uid="{4FB3DE77-798A-421C-87BE-C18DC63B93C6}" uniqueName="55" name="JobHours" queryTableFieldId="26"/>
    <tableColumn id="56" xr3:uid="{C47B5E71-27B7-4273-BCF1-D53C6095A3EA}" uniqueName="56" name="CumulativeJobHours" queryTableFieldId="27"/>
    <tableColumn id="57" xr3:uid="{E3195324-DE52-4DAF-AFF4-E06984611B63}" uniqueName="57" name="IsThisWeek" queryTableFieldId="28"/>
    <tableColumn id="58" xr3:uid="{55E704B2-E7B8-429F-8F45-50108C1C304F}" uniqueName="58" name="RecommendedAction" queryTableFieldId="29" dataDxfId="4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FEEFCB-CE90-41D4-99F6-3AB2A1A32A00}" name="tBase" displayName="tBase" ref="A1:Q5" tableType="queryTable" totalsRowShown="0" headerRowDxfId="36">
  <autoFilter ref="A1:Q5" xr:uid="{3AFEEFCB-CE90-41D4-99F6-3AB2A1A32A00}"/>
  <tableColumns count="17">
    <tableColumn id="18" xr3:uid="{913F7763-356C-4D85-ADE5-AB2E8CFA6FF0}" uniqueName="18" name="BaseCode" queryTableFieldId="1" dataDxfId="39"/>
    <tableColumn id="19" xr3:uid="{CA4EEDB0-21D1-4ED0-B9D5-03C3B2E58C73}" uniqueName="19" name="BaseName" queryTableFieldId="2" dataDxfId="38"/>
    <tableColumn id="20" xr3:uid="{F21514A0-8536-49D7-9112-5073614FB196}" uniqueName="20" name="Region" queryTableFieldId="3" dataDxfId="37"/>
    <tableColumn id="21" xr3:uid="{87739F49-3B7B-497F-9F94-4EC4797843C8}" uniqueName="21" name="HangarBays" queryTableFieldId="4"/>
    <tableColumn id="22" xr3:uid="{37B4AC25-DC1A-4856-AAF5-552061AC3351}" uniqueName="22" name="Airframes" queryTableFieldId="5"/>
    <tableColumn id="23" xr3:uid="{1F8EAB97-B726-40A7-B9F7-9B55FDF7A562}" uniqueName="23" name="FlightHours" queryTableFieldId="6"/>
    <tableColumn id="24" xr3:uid="{4EA813C8-025B-475F-ACFD-25165CDCBB39}" uniqueName="24" name="StressHours" queryTableFieldId="7"/>
    <tableColumn id="25" xr3:uid="{FA077E91-4BD7-4A58-A242-0579C4223300}" uniqueName="25" name="StressRatio" queryTableFieldId="8"/>
    <tableColumn id="26" xr3:uid="{B11A7B26-032B-4B5E-AAAC-B85A912FC2BF}" uniqueName="26" name="FittedComponents" queryTableFieldId="9"/>
    <tableColumn id="27" xr3:uid="{FD29B681-FE08-405C-B3AD-312482D81565}" uniqueName="27" name="HourCompliancePct" queryTableFieldId="10"/>
    <tableColumn id="28" xr3:uid="{F0405D9A-14CB-4334-BC9A-8A51C5716EC8}" uniqueName="28" name="StressCompliancePct" queryTableFieldId="11"/>
    <tableColumn id="29" xr3:uid="{70660556-380D-4076-891A-0CB46888FD89}" uniqueName="29" name="ComplianceGapPoints" queryTableFieldId="12"/>
    <tableColumn id="30" xr3:uid="{9F88D334-4ADA-49B8-97EA-B18A07D62D89}" uniqueName="30" name="HiddenOverdue" queryTableFieldId="13"/>
    <tableColumn id="31" xr3:uid="{FDC83498-E3C7-4FFD-A33A-E6FF2B81BAEB}" uniqueName="31" name="HiddenOverdueFlightCritical" queryTableFieldId="14"/>
    <tableColumn id="32" xr3:uid="{92FEDBEA-7F2C-4ED9-886D-536F569EA4F4}" uniqueName="32" name="UnscheduledRatePct" queryTableFieldId="15"/>
    <tableColumn id="33" xr3:uid="{E8E61B09-AE3D-4E55-9FF4-926D9CEEA412}" uniqueName="33" name="MaintenanceEvents" queryTableFieldId="16"/>
    <tableColumn id="34" xr3:uid="{6857FEAE-80CC-4A06-9010-C128F06645C7}" uniqueName="34" name="DowntimeHours"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BBC2F37-5D19-4BEB-B542-F14A48F2F054}" name="tKPI" displayName="tKPI" ref="A1:J9" tableType="queryTable" totalsRowShown="0" headerRowDxfId="30">
  <autoFilter ref="A1:J9" xr:uid="{DBBC2F37-5D19-4BEB-B542-F14A48F2F054}"/>
  <tableColumns count="10">
    <tableColumn id="11" xr3:uid="{528F3B62-2784-4148-A778-A137D8C751BB}" uniqueName="11" name="MetricName" queryTableFieldId="1" dataDxfId="35"/>
    <tableColumn id="12" xr3:uid="{AAEF51E2-768E-40A5-9DCF-AF06E0ABFEB5}" uniqueName="12" name="MetricValue" queryTableFieldId="2"/>
    <tableColumn id="13" xr3:uid="{0ADE4C1F-D085-4A07-9437-F1610EBDFC01}" uniqueName="13" name="Numerator" queryTableFieldId="3"/>
    <tableColumn id="14" xr3:uid="{A88619AB-002A-4263-A9EA-4951439EAF5D}" uniqueName="14" name="Denominator" queryTableFieldId="4"/>
    <tableColumn id="15" xr3:uid="{A1D781F2-240B-4561-807B-BD4EB01527C2}" uniqueName="15" name="TargetValue" queryTableFieldId="5"/>
    <tableColumn id="16" xr3:uid="{BEB2FE88-25DA-4452-86EB-06F1166DA6E4}" uniqueName="16" name="WarningValue" queryTableFieldId="6"/>
    <tableColumn id="17" xr3:uid="{D54B812A-B423-428B-A7D8-382427D941A0}" uniqueName="17" name="Direction" queryTableFieldId="7" dataDxfId="34"/>
    <tableColumn id="18" xr3:uid="{224F3FC4-DDED-4693-9460-AAF3303B8272}" uniqueName="18" name="Unit" queryTableFieldId="8" dataDxfId="33"/>
    <tableColumn id="19" xr3:uid="{D10FA932-DC7A-4C65-B303-FA7F3883EBA3}" uniqueName="19" name="RAGStatus" queryTableFieldId="9" dataDxfId="32"/>
    <tableColumn id="20" xr3:uid="{B02B541A-8393-4231-BBCB-A2BACD12C930}" uniqueName="20" name="Description" queryTableFieldId="10" dataDxfId="3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5DECB22-F55A-40FD-A704-A5B79C76BAC3}" name="tSweep" displayName="tSweep" ref="A1:Q115" tableType="queryTable" totalsRowShown="0" headerRowDxfId="28">
  <autoFilter ref="A1:Q115" xr:uid="{05DECB22-F55A-40FD-A704-A5B79C76BAC3}"/>
  <tableColumns count="17">
    <tableColumn id="18" xr3:uid="{58C2D2D9-340B-407A-A469-818E8713DC27}" uniqueName="18" name="VibThreshold" queryTableFieldId="1"/>
    <tableColumn id="19" xr3:uid="{DB929120-1FBE-4A19-90CD-32FE66CC5381}" uniqueName="19" name="ComponentCode" queryTableFieldId="2" dataDxfId="29"/>
    <tableColumn id="20" xr3:uid="{12BE2B62-9BF8-4927-9AC9-9320589B14B4}" uniqueName="20" name="Population" queryTableFieldId="3"/>
    <tableColumn id="21" xr3:uid="{8F777CAF-DBFA-4DE6-82CF-4B91D5716D1C}" uniqueName="21" name="Failures" queryTableFieldId="4"/>
    <tableColumn id="22" xr3:uid="{208AC4FD-D5F3-46D1-863B-E1B281D739A7}" uniqueName="22" name="AlertsRaised" queryTableFieldId="5"/>
    <tableColumn id="23" xr3:uid="{5AA2D1B4-8BD4-4732-9918-40C40D38D4B5}" uniqueName="23" name="TP" queryTableFieldId="6"/>
    <tableColumn id="24" xr3:uid="{08C22A26-9F9A-416E-80FB-5BD87EF3EA52}" uniqueName="24" name="FP" queryTableFieldId="7"/>
    <tableColumn id="25" xr3:uid="{81F9265A-CEE9-45C7-9797-D617D7FC0AE8}" uniqueName="25" name="FN" queryTableFieldId="8"/>
    <tableColumn id="26" xr3:uid="{F9BDD217-68BA-4F5D-8DDB-FA650197E0B5}" uniqueName="26" name="TN" queryTableFieldId="9"/>
    <tableColumn id="27" xr3:uid="{9B8B0B3B-AE1E-422B-85B1-7768B208107B}" uniqueName="27" name="ActionableTP" queryTableFieldId="10"/>
    <tableColumn id="28" xr3:uid="{003024A7-F62E-4B88-AC87-8DD1A6DC1BC1}" uniqueName="28" name="LateTP" queryTableFieldId="11"/>
    <tableColumn id="29" xr3:uid="{E129E462-55FD-4E8B-A5B0-A17EE392D7C2}" uniqueName="29" name="PrecisionPct" queryTableFieldId="12"/>
    <tableColumn id="30" xr3:uid="{E17BC6CB-3DCF-48A3-B291-58AF89C8B454}" uniqueName="30" name="RecallPct" queryTableFieldId="13"/>
    <tableColumn id="31" xr3:uid="{C8AAD0D7-0E29-4FA9-A8BF-47E39F1E2287}" uniqueName="31" name="ActionableLeadTimePct" queryTableFieldId="14"/>
    <tableColumn id="32" xr3:uid="{06EEAC7B-6B94-4773-8E85-EC36C1143F3B}" uniqueName="32" name="PreventableFailurePct" queryTableFieldId="15"/>
    <tableColumn id="33" xr3:uid="{A080EE98-FF21-41AF-A839-0E09479CDE46}" uniqueName="33" name="MedianLeadTimeFlightHours" queryTableFieldId="16"/>
    <tableColumn id="34" xr3:uid="{7355F2E7-518C-4E8E-AC45-AF2065262EE6}" uniqueName="34" name="LeadTimeFlightHours" queryTableFieldId="1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8D5A4C-336B-4D5F-8929-1C0E9A9D19E4}" name="tTargets" displayName="tTargets" ref="A1:F9" tableType="queryTable" totalsRowShown="0" headerRowDxfId="23">
  <autoFilter ref="A1:F9" xr:uid="{758D5A4C-336B-4D5F-8929-1C0E9A9D19E4}"/>
  <tableColumns count="6">
    <tableColumn id="7" xr3:uid="{07331D2F-2F0C-4FBE-9CEE-138F70B5A4C1}" uniqueName="7" name="MetricName" queryTableFieldId="1" dataDxfId="27"/>
    <tableColumn id="8" xr3:uid="{A1FB9E82-B568-47C4-93AB-74065BF0374D}" uniqueName="8" name="TargetValue" queryTableFieldId="2"/>
    <tableColumn id="9" xr3:uid="{3F984DCA-B837-4EF7-BB33-F999F408674E}" uniqueName="9" name="WarningValue" queryTableFieldId="3"/>
    <tableColumn id="10" xr3:uid="{C22C8F23-03BC-44BF-ACFB-1A682C434126}" uniqueName="10" name="Direction" queryTableFieldId="4" dataDxfId="26"/>
    <tableColumn id="11" xr3:uid="{9079881E-ED1B-43F9-94E7-AACCEF2F20EE}" uniqueName="11" name="Unit" queryTableFieldId="5" dataDxfId="25"/>
    <tableColumn id="12" xr3:uid="{AB0C5E71-246D-4503-A479-A9890B8598EC}" uniqueName="12" name="Description" queryTableFieldId="6" dataDxfId="2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43CD3E7-5DEA-4848-8452-B0B2856ECBA7}" name="tStress" displayName="tStress" ref="A1:E7" tableType="queryTable" totalsRowShown="0" headerRowDxfId="20">
  <autoFilter ref="A1:E7" xr:uid="{543CD3E7-5DEA-4848-8452-B0B2856ECBA7}"/>
  <tableColumns count="5">
    <tableColumn id="6" xr3:uid="{5B66DFA3-08CB-4457-9EE0-E04D6A55194C}" uniqueName="6" name="ProfileCode" queryTableFieldId="1" dataDxfId="22"/>
    <tableColumn id="7" xr3:uid="{59F57A0B-64BB-4648-973C-8877F0177B0A}" uniqueName="7" name="StressMultiplier" queryTableFieldId="2"/>
    <tableColumn id="8" xr3:uid="{D627A306-C45B-4A28-9916-A4A18277CF98}" uniqueName="8" name="CyclePenaltyHours" queryTableFieldId="3"/>
    <tableColumn id="9" xr3:uid="{25A784EC-29AA-46AD-B03D-BF5FA1771D53}" uniqueName="9" name="PayloadPenaltyPerKg" queryTableFieldId="4"/>
    <tableColumn id="10" xr3:uid="{0C7D12C7-66DD-4529-A12B-D13A23A168E2}" uniqueName="10" name="SourceNote" queryTableFieldId="5" dataDxfId="2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9571E0A-B7EF-4EC2-96CF-1E8787A1F8CF}" name="tInterval" displayName="tInterval" ref="A1:E7" tableType="queryTable" totalsRowShown="0" headerRowDxfId="17">
  <autoFilter ref="A1:E7" xr:uid="{D9571E0A-B7EF-4EC2-96CF-1E8787A1F8CF}"/>
  <tableColumns count="5">
    <tableColumn id="6" xr3:uid="{AB334768-3FD8-4839-BB13-4DA6D5F45099}" uniqueName="6" name="ComponentCode" queryTableFieldId="1" dataDxfId="19"/>
    <tableColumn id="7" xr3:uid="{1FB48CD0-1F4D-4562-A583-754875BD49A6}" uniqueName="7" name="IntervalFlightHours" queryTableFieldId="2"/>
    <tableColumn id="8" xr3:uid="{FCEC673D-4CCC-4596-A97F-0B32A10D8C25}" uniqueName="8" name="IntervalStressHours" queryTableFieldId="3"/>
    <tableColumn id="9" xr3:uid="{990C84E3-BCDD-4EBF-A79C-66F39B4D8519}" uniqueName="9" name="WeibullShape" queryTableFieldId="4"/>
    <tableColumn id="10" xr3:uid="{E710B10B-1477-45F2-A151-EA91937EF12E}" uniqueName="10" name="IntervalNote" queryTableFieldId="5" dataDxfId="18"/>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77D548C-A08B-428E-90DF-82798281C0DB}" name="tTrend" displayName="tTrend" ref="A1:C97" tableType="queryTable" totalsRowShown="0" headerRowDxfId="14">
  <autoFilter ref="A1:C97" xr:uid="{477D548C-A08B-428E-90DF-82798281C0DB}"/>
  <tableColumns count="3">
    <tableColumn id="4" xr3:uid="{07FD4814-ABF9-4AD6-964F-86C0E89E104B}" uniqueName="4" name="MonthEndDate" queryTableFieldId="1" dataDxfId="16"/>
    <tableColumn id="5" xr3:uid="{186D470A-51E0-40E0-A9EE-FCF57EAEB4AA}" uniqueName="5" name="MetricName" queryTableFieldId="2" dataDxfId="15"/>
    <tableColumn id="6" xr3:uid="{44BD47F3-2D9C-4406-917B-C380E66A26B5}" uniqueName="6" name="MetricValue" queryTableFieldId="3"/>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7754ABB-FF65-44A5-8391-AD82682EA9D1}" name="tDQ" displayName="tDQ" ref="A1:G74" tableType="queryTable" totalsRowShown="0" headerRowDxfId="7">
  <autoFilter ref="A1:G74" xr:uid="{37754ABB-FF65-44A5-8391-AD82682EA9D1}"/>
  <tableColumns count="7">
    <tableColumn id="8" xr3:uid="{75988ED3-0550-412C-A670-2AA29CE29BD7}" uniqueName="8" name="CheckCode" queryTableFieldId="1" dataDxfId="13"/>
    <tableColumn id="9" xr3:uid="{A5E4CEA1-5668-46BC-BFA4-2155F3FD6927}" uniqueName="9" name="CheckName" queryTableFieldId="2" dataDxfId="12"/>
    <tableColumn id="10" xr3:uid="{8650E99D-F29C-4C82-8F79-73AF998B23C6}" uniqueName="10" name="Severity" queryTableFieldId="3" dataDxfId="11"/>
    <tableColumn id="11" xr3:uid="{4A31FB0E-FB82-48ED-B4AB-9A1D719B134C}" uniqueName="11" name="EntityType" queryTableFieldId="4" dataDxfId="10"/>
    <tableColumn id="12" xr3:uid="{1D5219D8-359C-48CF-89CE-33F95D0325B9}" uniqueName="12" name="EntityRef" queryTableFieldId="5" dataDxfId="9"/>
    <tableColumn id="13" xr3:uid="{B33185DA-4BC2-463F-9E4D-F4ACD1BD601F}" uniqueName="13" name="Detail" queryTableFieldId="6" dataDxfId="8"/>
    <tableColumn id="14" xr3:uid="{BDFB905D-CAD4-4767-8737-AF38BBAD6AC0}" uniqueName="14" name="AffectsCurrentWear"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9A9A4-9803-4CB6-B234-976670316F31}">
  <dimension ref="A1:A26"/>
  <sheetViews>
    <sheetView workbookViewId="0"/>
  </sheetViews>
  <sheetFormatPr defaultRowHeight="14.5" x14ac:dyDescent="0.35"/>
  <cols>
    <col min="1" max="1" width="130.6328125" customWidth="1"/>
  </cols>
  <sheetData>
    <row r="1" spans="1:1" ht="21" x14ac:dyDescent="0.5">
      <c r="A1" s="11" t="s">
        <v>0</v>
      </c>
    </row>
    <row r="2" spans="1:1" x14ac:dyDescent="0.35">
      <c r="A2" s="28"/>
    </row>
    <row r="3" spans="1:1" x14ac:dyDescent="0.35">
      <c r="A3" s="29" t="s">
        <v>993</v>
      </c>
    </row>
    <row r="4" spans="1:1" x14ac:dyDescent="0.35">
      <c r="A4" s="28" t="s">
        <v>994</v>
      </c>
    </row>
    <row r="5" spans="1:1" x14ac:dyDescent="0.35">
      <c r="A5" s="28"/>
    </row>
    <row r="6" spans="1:1" x14ac:dyDescent="0.35">
      <c r="A6" s="29" t="s">
        <v>995</v>
      </c>
    </row>
    <row r="7" spans="1:1" x14ac:dyDescent="0.35">
      <c r="A7" s="28" t="s">
        <v>996</v>
      </c>
    </row>
    <row r="8" spans="1:1" x14ac:dyDescent="0.35">
      <c r="A8" s="28" t="s">
        <v>997</v>
      </c>
    </row>
    <row r="9" spans="1:1" x14ac:dyDescent="0.35">
      <c r="A9" s="28" t="s">
        <v>998</v>
      </c>
    </row>
    <row r="10" spans="1:1" x14ac:dyDescent="0.35">
      <c r="A10" s="28" t="s">
        <v>999</v>
      </c>
    </row>
    <row r="11" spans="1:1" x14ac:dyDescent="0.35">
      <c r="A11" s="28" t="s">
        <v>1000</v>
      </c>
    </row>
    <row r="12" spans="1:1" x14ac:dyDescent="0.35">
      <c r="A12" s="28" t="s">
        <v>1001</v>
      </c>
    </row>
    <row r="13" spans="1:1" x14ac:dyDescent="0.35">
      <c r="A13" s="28" t="s">
        <v>1002</v>
      </c>
    </row>
    <row r="14" spans="1:1" x14ac:dyDescent="0.35">
      <c r="A14" s="28"/>
    </row>
    <row r="15" spans="1:1" x14ac:dyDescent="0.35">
      <c r="A15" s="29" t="s">
        <v>1003</v>
      </c>
    </row>
    <row r="16" spans="1:1" x14ac:dyDescent="0.35">
      <c r="A16" s="28" t="s">
        <v>1004</v>
      </c>
    </row>
    <row r="17" spans="1:1" x14ac:dyDescent="0.35">
      <c r="A17" s="28" t="s">
        <v>1005</v>
      </c>
    </row>
    <row r="18" spans="1:1" x14ac:dyDescent="0.35">
      <c r="A18" s="28"/>
    </row>
    <row r="19" spans="1:1" x14ac:dyDescent="0.35">
      <c r="A19" s="29" t="s">
        <v>1006</v>
      </c>
    </row>
    <row r="20" spans="1:1" x14ac:dyDescent="0.35">
      <c r="A20" s="28" t="s">
        <v>1007</v>
      </c>
    </row>
    <row r="21" spans="1:1" x14ac:dyDescent="0.35">
      <c r="A21" s="28" t="s">
        <v>1008</v>
      </c>
    </row>
    <row r="22" spans="1:1" x14ac:dyDescent="0.35">
      <c r="A22" s="28" t="s">
        <v>1009</v>
      </c>
    </row>
    <row r="23" spans="1:1" x14ac:dyDescent="0.35">
      <c r="A23" s="28"/>
    </row>
    <row r="24" spans="1:1" x14ac:dyDescent="0.35">
      <c r="A24" s="29" t="s">
        <v>14</v>
      </c>
    </row>
    <row r="25" spans="1:1" x14ac:dyDescent="0.35">
      <c r="A25" s="28" t="s">
        <v>1010</v>
      </c>
    </row>
    <row r="26" spans="1:1" x14ac:dyDescent="0.35">
      <c r="A26" s="2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1EEAD-5D63-432F-A324-3F6FF6CD267D}">
  <dimension ref="A1:E37"/>
  <sheetViews>
    <sheetView tabSelected="1" workbookViewId="0"/>
  </sheetViews>
  <sheetFormatPr defaultRowHeight="14.5" x14ac:dyDescent="0.35"/>
  <cols>
    <col min="1" max="1" width="40.6328125" customWidth="1"/>
    <col min="2" max="2" width="14.6328125" customWidth="1"/>
    <col min="3" max="3" width="78.6328125" customWidth="1"/>
    <col min="4" max="5" width="10.6328125" customWidth="1"/>
  </cols>
  <sheetData>
    <row r="1" spans="1:3" ht="21" x14ac:dyDescent="0.5">
      <c r="A1" s="11" t="s">
        <v>895</v>
      </c>
    </row>
    <row r="2" spans="1:3" x14ac:dyDescent="0.35">
      <c r="A2" s="2" t="str">
        <f>"Reporting date " &amp; AsOfDate &amp; "   |   both figures below are computed in this workbook from the component extract, not copied from SQL."</f>
        <v>Reporting date 46295   |   both figures below are computed in this workbook from the component extract, not copied from SQL.</v>
      </c>
    </row>
    <row r="4" spans="1:3" x14ac:dyDescent="0.35">
      <c r="A4" s="12" t="s">
        <v>896</v>
      </c>
    </row>
    <row r="5" spans="1:3" x14ac:dyDescent="0.35">
      <c r="A5" s="13" t="s">
        <v>897</v>
      </c>
      <c r="B5" s="13" t="s">
        <v>3</v>
      </c>
      <c r="C5" s="13" t="s">
        <v>898</v>
      </c>
    </row>
    <row r="6" spans="1:3" ht="17" x14ac:dyDescent="0.4">
      <c r="A6" t="s">
        <v>899</v>
      </c>
      <c r="B6" s="14">
        <f>COUNTIFS(tWear[IsOverdueByHours],0)/COUNTA(tWear[InstallKey])</f>
        <v>0.99725274725274726</v>
      </c>
      <c r="C6" t="s">
        <v>900</v>
      </c>
    </row>
    <row r="7" spans="1:3" ht="17" x14ac:dyDescent="0.4">
      <c r="A7" t="s">
        <v>901</v>
      </c>
      <c r="B7" s="15">
        <f>COUNTIFS(tWear[IsOverdueByStress],0)/COUNTA(tWear[InstallKey])</f>
        <v>0.68406593406593408</v>
      </c>
      <c r="C7" t="s">
        <v>902</v>
      </c>
    </row>
    <row r="8" spans="1:3" ht="17" x14ac:dyDescent="0.4">
      <c r="A8" t="s">
        <v>903</v>
      </c>
      <c r="B8" s="15">
        <f>B6-B7</f>
        <v>0.31318681318681318</v>
      </c>
      <c r="C8" t="s">
        <v>904</v>
      </c>
    </row>
    <row r="10" spans="1:3" x14ac:dyDescent="0.35">
      <c r="A10" s="16" t="s">
        <v>905</v>
      </c>
      <c r="B10" s="8"/>
      <c r="C10" s="8"/>
    </row>
    <row r="11" spans="1:3" x14ac:dyDescent="0.35">
      <c r="A11" s="8"/>
      <c r="B11" s="8"/>
      <c r="C11" s="8"/>
    </row>
    <row r="13" spans="1:3" x14ac:dyDescent="0.35">
      <c r="A13" s="12" t="s">
        <v>906</v>
      </c>
    </row>
    <row r="14" spans="1:3" x14ac:dyDescent="0.35">
      <c r="A14" s="13" t="s">
        <v>897</v>
      </c>
      <c r="B14" s="13" t="s">
        <v>907</v>
      </c>
      <c r="C14" s="13" t="s">
        <v>908</v>
      </c>
    </row>
    <row r="15" spans="1:3" x14ac:dyDescent="0.35">
      <c r="A15" t="s">
        <v>909</v>
      </c>
      <c r="B15" s="17">
        <f>COUNTA(tWear[InstallKey])</f>
        <v>364</v>
      </c>
      <c r="C15" t="s">
        <v>910</v>
      </c>
    </row>
    <row r="16" spans="1:3" x14ac:dyDescent="0.35">
      <c r="A16" t="s">
        <v>911</v>
      </c>
      <c r="B16" s="17">
        <f>COUNTIFS(tWear[IsHiddenOverdue],1)</f>
        <v>114</v>
      </c>
      <c r="C16" t="s">
        <v>912</v>
      </c>
    </row>
    <row r="17" spans="1:5" x14ac:dyDescent="0.35">
      <c r="A17" t="s">
        <v>913</v>
      </c>
      <c r="B17" s="17">
        <f>COUNTIFS(tWear[IsHiddenOverdue],1,tWear[Criticality],"FlightCritical")</f>
        <v>89</v>
      </c>
      <c r="C17" t="s">
        <v>914</v>
      </c>
    </row>
    <row r="18" spans="1:5" x14ac:dyDescent="0.35">
      <c r="A18" t="s">
        <v>915</v>
      </c>
      <c r="B18" s="17">
        <f>COUNTIFS(tWear[IsOverdueByStress],1)</f>
        <v>115</v>
      </c>
      <c r="C18" t="s">
        <v>916</v>
      </c>
    </row>
    <row r="19" spans="1:5" x14ac:dyDescent="0.35">
      <c r="A19" t="s">
        <v>917</v>
      </c>
      <c r="B19" s="17">
        <f>COUNTIFS(tWear[IsOverdueByHours],1)</f>
        <v>1</v>
      </c>
      <c r="C19" t="s">
        <v>918</v>
      </c>
    </row>
    <row r="21" spans="1:5" x14ac:dyDescent="0.35">
      <c r="A21" s="12" t="s">
        <v>919</v>
      </c>
    </row>
    <row r="22" spans="1:5" x14ac:dyDescent="0.35">
      <c r="A22" s="13" t="s">
        <v>920</v>
      </c>
      <c r="B22" s="13" t="s">
        <v>3</v>
      </c>
      <c r="C22" s="13" t="s">
        <v>921</v>
      </c>
      <c r="D22" s="13" t="s">
        <v>922</v>
      </c>
      <c r="E22" s="13" t="s">
        <v>923</v>
      </c>
    </row>
    <row r="23" spans="1:5" x14ac:dyDescent="0.35">
      <c r="A23" t="s">
        <v>659</v>
      </c>
      <c r="B23" s="18">
        <f>INDEX(tKPI[MetricValue],MATCH(A23,tKPI[MetricName],0))</f>
        <v>68.41</v>
      </c>
      <c r="C23" s="18">
        <f>INDEX(tTargets[TargetValue],MATCH(A23,tTargets[MetricName],0))</f>
        <v>100</v>
      </c>
      <c r="D23" s="18">
        <f>INDEX(tTargets[WarningValue],MATCH(A23,tTargets[MetricName],0))</f>
        <v>95</v>
      </c>
      <c r="E23" t="str">
        <f>IF(INDEX(tTargets[Direction],MATCH(A23,tTargets[MetricName],0))="HigherBetter",IF(B23&gt;=C23,"Green",IF(B23&gt;=D23,"Amber","Red")),IF(B23&lt;=C23,"Green",IF(B23&lt;=D23,"Amber","Red")))</f>
        <v>Red</v>
      </c>
    </row>
    <row r="24" spans="1:5" x14ac:dyDescent="0.35">
      <c r="A24" t="s">
        <v>658</v>
      </c>
      <c r="B24" s="18">
        <f>INDEX(tKPI[MetricValue],MATCH(A24,tKPI[MetricName],0))</f>
        <v>99.73</v>
      </c>
      <c r="C24" s="18">
        <f>INDEX(tTargets[TargetValue],MATCH(A24,tTargets[MetricName],0))</f>
        <v>100</v>
      </c>
      <c r="D24" s="18">
        <f>INDEX(tTargets[WarningValue],MATCH(A24,tTargets[MetricName],0))</f>
        <v>95</v>
      </c>
      <c r="E24" t="str">
        <f>IF(INDEX(tTargets[Direction],MATCH(A24,tTargets[MetricName],0))="HigherBetter",IF(B24&gt;=C24,"Green",IF(B24&gt;=D24,"Amber","Red")),IF(B24&lt;=C24,"Green",IF(B24&lt;=D24,"Amber","Red")))</f>
        <v>Amber</v>
      </c>
    </row>
    <row r="25" spans="1:5" x14ac:dyDescent="0.35">
      <c r="A25" t="s">
        <v>690</v>
      </c>
      <c r="B25" s="18">
        <f>INDEX(tKPI[MetricValue],MATCH(A25,tKPI[MetricName],0))</f>
        <v>90</v>
      </c>
      <c r="C25" s="18">
        <f>INDEX(tTargets[TargetValue],MATCH(A25,tTargets[MetricName],0))</f>
        <v>0</v>
      </c>
      <c r="D25" s="18">
        <f>INDEX(tTargets[WarningValue],MATCH(A25,tTargets[MetricName],0))</f>
        <v>2</v>
      </c>
      <c r="E25" t="str">
        <f>IF(INDEX(tTargets[Direction],MATCH(A25,tTargets[MetricName],0))="HigherBetter",IF(B25&gt;=C25,"Green",IF(B25&gt;=D25,"Amber","Red")),IF(B25&lt;=C25,"Green",IF(B25&lt;=D25,"Amber","Red")))</f>
        <v>Red</v>
      </c>
    </row>
    <row r="26" spans="1:5" x14ac:dyDescent="0.35">
      <c r="A26" t="s">
        <v>663</v>
      </c>
      <c r="B26" s="18">
        <f>INDEX(tKPI[MetricValue],MATCH(A26,tKPI[MetricName],0))</f>
        <v>36.130000000000003</v>
      </c>
      <c r="C26" s="18">
        <f>INDEX(tTargets[TargetValue],MATCH(A26,tTargets[MetricName],0))</f>
        <v>15</v>
      </c>
      <c r="D26" s="18">
        <f>INDEX(tTargets[WarningValue],MATCH(A26,tTargets[MetricName],0))</f>
        <v>25</v>
      </c>
      <c r="E26" t="str">
        <f>IF(INDEX(tTargets[Direction],MATCH(A26,tTargets[MetricName],0))="HigherBetter",IF(B26&gt;=C26,"Green",IF(B26&gt;=D26,"Amber","Red")),IF(B26&lt;=C26,"Green",IF(B26&lt;=D26,"Amber","Red")))</f>
        <v>Red</v>
      </c>
    </row>
    <row r="27" spans="1:5" x14ac:dyDescent="0.35">
      <c r="A27" t="s">
        <v>685</v>
      </c>
      <c r="B27" s="18">
        <f>INDEX(tKPI[MetricValue],MATCH(A27,tKPI[MetricName],0))</f>
        <v>92.86</v>
      </c>
      <c r="C27" s="18">
        <f>INDEX(tTargets[TargetValue],MATCH(A27,tTargets[MetricName],0))</f>
        <v>85</v>
      </c>
      <c r="D27" s="18">
        <f>INDEX(tTargets[WarningValue],MATCH(A27,tTargets[MetricName],0))</f>
        <v>75</v>
      </c>
      <c r="E27" t="str">
        <f>IF(INDEX(tTargets[Direction],MATCH(A27,tTargets[MetricName],0))="HigherBetter",IF(B27&gt;=C27,"Green",IF(B27&gt;=D27,"Amber","Red")),IF(B27&lt;=C27,"Green",IF(B27&lt;=D27,"Amber","Red")))</f>
        <v>Green</v>
      </c>
    </row>
    <row r="30" spans="1:5" x14ac:dyDescent="0.35">
      <c r="A30" s="12" t="s">
        <v>924</v>
      </c>
    </row>
    <row r="31" spans="1:5" x14ac:dyDescent="0.35">
      <c r="A31" s="13" t="s">
        <v>897</v>
      </c>
      <c r="B31" s="13" t="s">
        <v>3</v>
      </c>
      <c r="C31" s="13" t="s">
        <v>908</v>
      </c>
    </row>
    <row r="32" spans="1:5" x14ac:dyDescent="0.35">
      <c r="A32" t="s">
        <v>925</v>
      </c>
      <c r="B32" s="17">
        <f>COUNTA(tQueue[PriorityRank])</f>
        <v>194</v>
      </c>
      <c r="C32" t="s">
        <v>926</v>
      </c>
    </row>
    <row r="33" spans="1:3" x14ac:dyDescent="0.35">
      <c r="A33" t="s">
        <v>927</v>
      </c>
      <c r="B33" s="19">
        <f>SUM(tQueue[JobHours])</f>
        <v>682.5</v>
      </c>
      <c r="C33" t="s">
        <v>928</v>
      </c>
    </row>
    <row r="34" spans="1:3" x14ac:dyDescent="0.35">
      <c r="A34" t="s">
        <v>929</v>
      </c>
      <c r="B34" s="17">
        <f>SUM(CalcInWeek)</f>
        <v>26</v>
      </c>
      <c r="C34" t="s">
        <v>930</v>
      </c>
    </row>
    <row r="35" spans="1:3" x14ac:dyDescent="0.35">
      <c r="A35" t="s">
        <v>931</v>
      </c>
      <c r="B35" s="19">
        <f>SUM(tQueue[JobHours])/HangarHoursPerWeek</f>
        <v>5.6875</v>
      </c>
      <c r="C35" t="s">
        <v>932</v>
      </c>
    </row>
    <row r="36" spans="1:3" x14ac:dyDescent="0.35">
      <c r="A36" t="s">
        <v>933</v>
      </c>
      <c r="B36" s="17">
        <f>COUNTIFS(tQueue[ActionCode],"GROUND_AND_REPLACE")</f>
        <v>90</v>
      </c>
      <c r="C36" t="s">
        <v>934</v>
      </c>
    </row>
    <row r="37" spans="1:3" x14ac:dyDescent="0.35">
      <c r="A37" t="s">
        <v>935</v>
      </c>
      <c r="B37" s="17">
        <f>COUNTIFS(tQueue[ActionCode],"ORDER_PART_NOW")</f>
        <v>25</v>
      </c>
      <c r="C37" t="s">
        <v>936</v>
      </c>
    </row>
  </sheetData>
  <mergeCells count="1">
    <mergeCell ref="A10:C11"/>
  </mergeCells>
  <conditionalFormatting sqref="E23:E27">
    <cfRule type="cellIs" dxfId="6" priority="1" stopIfTrue="1" operator="equal">
      <formula>"Red"</formula>
    </cfRule>
    <cfRule type="cellIs" dxfId="5" priority="2" stopIfTrue="1" operator="equal">
      <formula>"Amber"</formula>
    </cfRule>
    <cfRule type="cellIs" dxfId="4" priority="3" stopIfTrue="1" operator="equal">
      <formula>"Green"</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F03B6-B838-4903-8DC9-749E500346DB}">
  <dimension ref="A1:H12"/>
  <sheetViews>
    <sheetView workbookViewId="0"/>
  </sheetViews>
  <sheetFormatPr defaultRowHeight="14.5" x14ac:dyDescent="0.35"/>
  <cols>
    <col min="1" max="1" width="14.6328125" customWidth="1"/>
    <col min="2" max="8" width="20.6328125" customWidth="1"/>
  </cols>
  <sheetData>
    <row r="1" spans="1:8" ht="18.5" x14ac:dyDescent="0.45">
      <c r="A1" s="20" t="s">
        <v>937</v>
      </c>
    </row>
    <row r="2" spans="1:8" x14ac:dyDescent="0.35">
      <c r="A2" s="2" t="s">
        <v>938</v>
      </c>
    </row>
    <row r="4" spans="1:8" x14ac:dyDescent="0.35">
      <c r="A4" s="4" t="s">
        <v>939</v>
      </c>
      <c r="B4" s="4" t="s">
        <v>655</v>
      </c>
      <c r="C4" s="4" t="s">
        <v>940</v>
      </c>
      <c r="D4" s="4" t="s">
        <v>941</v>
      </c>
      <c r="E4" s="4" t="s">
        <v>942</v>
      </c>
      <c r="F4" s="4" t="s">
        <v>943</v>
      </c>
      <c r="G4" s="4" t="s">
        <v>944</v>
      </c>
      <c r="H4" s="4" t="s">
        <v>945</v>
      </c>
    </row>
    <row r="5" spans="1:8" x14ac:dyDescent="0.35">
      <c r="A5" t="str">
        <f>INDEX(tBase[BaseCode],MATCH(SMALL(tBase[StressCompliancePct],1),tBase[StressCompliancePct],0))</f>
        <v>PORT</v>
      </c>
      <c r="B5">
        <f>INDEX(tBase[Airframes],MATCH($A5,tBase[BaseCode],0))</f>
        <v>7</v>
      </c>
      <c r="C5" s="21">
        <f>INDEX(tBase[StressRatio],MATCH($A5,tBase[BaseCode],0))</f>
        <v>2.004</v>
      </c>
      <c r="D5" s="22">
        <f>INDEX(tBase[HourCompliancePct],MATCH($A5,tBase[BaseCode],0))</f>
        <v>98.9</v>
      </c>
      <c r="E5" s="22">
        <f>INDEX(tBase[StressCompliancePct],MATCH($A5,tBase[BaseCode],0))</f>
        <v>57.14</v>
      </c>
      <c r="F5" s="22">
        <f>D5-E5</f>
        <v>41.760000000000005</v>
      </c>
      <c r="G5">
        <f>INDEX(tBase[HiddenOverdue],MATCH($A5,tBase[BaseCode],0))</f>
        <v>38</v>
      </c>
      <c r="H5" s="22">
        <f>INDEX(tBase[UnscheduledRatePct],MATCH($A5,tBase[BaseCode],0))</f>
        <v>40.14</v>
      </c>
    </row>
    <row r="6" spans="1:8" x14ac:dyDescent="0.35">
      <c r="A6" t="str">
        <f>INDEX(tBase[BaseCode],MATCH(SMALL(tBase[StressCompliancePct],2),tBase[StressCompliancePct],0))</f>
        <v>ACADEMY</v>
      </c>
      <c r="B6">
        <f>INDEX(tBase[Airframes],MATCH($A6,tBase[BaseCode],0))</f>
        <v>4</v>
      </c>
      <c r="C6" s="21">
        <f>INDEX(tBase[StressRatio],MATCH($A6,tBase[BaseCode],0))</f>
        <v>1.8593999999999999</v>
      </c>
      <c r="D6" s="22">
        <f>INDEX(tBase[HourCompliancePct],MATCH($A6,tBase[BaseCode],0))</f>
        <v>100</v>
      </c>
      <c r="E6" s="22">
        <f>INDEX(tBase[StressCompliancePct],MATCH($A6,tBase[BaseCode],0))</f>
        <v>57.69</v>
      </c>
      <c r="F6" s="22">
        <f>D6-E6</f>
        <v>42.31</v>
      </c>
      <c r="G6">
        <f>INDEX(tBase[HiddenOverdue],MATCH($A6,tBase[BaseCode],0))</f>
        <v>22</v>
      </c>
      <c r="H6" s="22">
        <f>INDEX(tBase[UnscheduledRatePct],MATCH($A6,tBase[BaseCode],0))</f>
        <v>41.67</v>
      </c>
    </row>
    <row r="7" spans="1:8" x14ac:dyDescent="0.35">
      <c r="A7" t="str">
        <f>INDEX(tBase[BaseCode],MATCH(SMALL(tBase[StressCompliancePct],3),tBase[StressCompliancePct],0))</f>
        <v>HIGHLND</v>
      </c>
      <c r="B7">
        <f>INDEX(tBase[Airframes],MATCH($A7,tBase[BaseCode],0))</f>
        <v>7</v>
      </c>
      <c r="C7" s="21">
        <f>INDEX(tBase[StressRatio],MATCH($A7,tBase[BaseCode],0))</f>
        <v>2.1532</v>
      </c>
      <c r="D7" s="22">
        <f>INDEX(tBase[HourCompliancePct],MATCH($A7,tBase[BaseCode],0))</f>
        <v>100</v>
      </c>
      <c r="E7" s="22">
        <f>INDEX(tBase[StressCompliancePct],MATCH($A7,tBase[BaseCode],0))</f>
        <v>62.64</v>
      </c>
      <c r="F7" s="22">
        <f>D7-E7</f>
        <v>37.36</v>
      </c>
      <c r="G7">
        <f>INDEX(tBase[HiddenOverdue],MATCH($A7,tBase[BaseCode],0))</f>
        <v>34</v>
      </c>
      <c r="H7" s="22">
        <f>INDEX(tBase[UnscheduledRatePct],MATCH($A7,tBase[BaseCode],0))</f>
        <v>51.01</v>
      </c>
    </row>
    <row r="8" spans="1:8" x14ac:dyDescent="0.35">
      <c r="A8" t="str">
        <f>INDEX(tBase[BaseCode],MATCH(SMALL(tBase[StressCompliancePct],4),tBase[StressCompliancePct],0))</f>
        <v>COASTAL</v>
      </c>
      <c r="B8">
        <f>INDEX(tBase[Airframes],MATCH($A8,tBase[BaseCode],0))</f>
        <v>10</v>
      </c>
      <c r="C8" s="21">
        <f>INDEX(tBase[StressRatio],MATCH($A8,tBase[BaseCode],0))</f>
        <v>1.1740999999999999</v>
      </c>
      <c r="D8" s="22">
        <f>INDEX(tBase[HourCompliancePct],MATCH($A8,tBase[BaseCode],0))</f>
        <v>100</v>
      </c>
      <c r="E8" s="22">
        <f>INDEX(tBase[StressCompliancePct],MATCH($A8,tBase[BaseCode],0))</f>
        <v>84.62</v>
      </c>
      <c r="F8" s="22">
        <f>D8-E8</f>
        <v>15.379999999999995</v>
      </c>
      <c r="G8">
        <f>INDEX(tBase[HiddenOverdue],MATCH($A8,tBase[BaseCode],0))</f>
        <v>20</v>
      </c>
      <c r="H8" s="22">
        <f>INDEX(tBase[UnscheduledRatePct],MATCH($A8,tBase[BaseCode],0))</f>
        <v>17.86</v>
      </c>
    </row>
    <row r="10" spans="1:8" x14ac:dyDescent="0.35">
      <c r="A10" s="23" t="s">
        <v>946</v>
      </c>
      <c r="B10" s="8"/>
      <c r="C10" s="8"/>
      <c r="D10" s="8"/>
      <c r="E10" s="8"/>
      <c r="F10" s="8"/>
      <c r="G10" s="8"/>
      <c r="H10" s="8"/>
    </row>
    <row r="11" spans="1:8" x14ac:dyDescent="0.35">
      <c r="A11" s="8"/>
      <c r="B11" s="8"/>
      <c r="C11" s="8"/>
      <c r="D11" s="8"/>
      <c r="E11" s="8"/>
      <c r="F11" s="8"/>
      <c r="G11" s="8"/>
      <c r="H11" s="8"/>
    </row>
    <row r="12" spans="1:8" x14ac:dyDescent="0.35">
      <c r="A12" s="8"/>
      <c r="B12" s="8"/>
      <c r="C12" s="8"/>
      <c r="D12" s="8"/>
      <c r="E12" s="8"/>
      <c r="F12" s="8"/>
      <c r="G12" s="8"/>
      <c r="H12" s="8"/>
    </row>
  </sheetData>
  <mergeCells count="1">
    <mergeCell ref="A10:H12"/>
  </mergeCells>
  <conditionalFormatting sqref="E5:E8">
    <cfRule type="cellIs" dxfId="3" priority="1" stopIfTrue="1" operator="lessThan">
      <formula>70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05975-C00F-49FE-B564-C2469235F132}">
  <dimension ref="A1:N126"/>
  <sheetViews>
    <sheetView workbookViewId="0"/>
  </sheetViews>
  <sheetFormatPr defaultRowHeight="14.5" x14ac:dyDescent="0.35"/>
  <cols>
    <col min="1" max="1" width="7.6328125" customWidth="1"/>
    <col min="2" max="10" width="17.6328125" customWidth="1"/>
    <col min="11" max="11" width="24.6328125" customWidth="1"/>
    <col min="12" max="14" width="17.6328125" customWidth="1"/>
  </cols>
  <sheetData>
    <row r="1" spans="1:14" ht="18.5" x14ac:dyDescent="0.45">
      <c r="A1" s="20" t="s">
        <v>961</v>
      </c>
    </row>
    <row r="2" spans="1:14" x14ac:dyDescent="0.35">
      <c r="A2" s="2" t="str">
        <f>"Capacity " &amp; TEXT(HangarHoursPerWeek,"#,##0") &amp; " hangar hours. SQL ranks the queue; the Within-week column is recomputed in this workbook."</f>
        <v>Capacity 120 hangar hours. SQL ranks the queue; the Within-week column is recomputed in this workbook.</v>
      </c>
    </row>
    <row r="4" spans="1:14" x14ac:dyDescent="0.35">
      <c r="A4" s="4" t="s">
        <v>892</v>
      </c>
      <c r="B4" s="4" t="s">
        <v>962</v>
      </c>
      <c r="C4" s="4" t="s">
        <v>939</v>
      </c>
      <c r="D4" s="4" t="s">
        <v>949</v>
      </c>
      <c r="E4" s="4" t="s">
        <v>963</v>
      </c>
      <c r="F4" s="4" t="s">
        <v>20</v>
      </c>
      <c r="G4" s="4" t="s">
        <v>964</v>
      </c>
      <c r="H4" s="4" t="s">
        <v>965</v>
      </c>
      <c r="I4" s="4" t="s">
        <v>966</v>
      </c>
      <c r="J4" s="4" t="s">
        <v>967</v>
      </c>
      <c r="K4" s="4" t="s">
        <v>968</v>
      </c>
      <c r="L4" s="4" t="s">
        <v>969</v>
      </c>
      <c r="M4" s="4" t="s">
        <v>970</v>
      </c>
      <c r="N4" s="4" t="s">
        <v>971</v>
      </c>
    </row>
    <row r="5" spans="1:14" x14ac:dyDescent="0.35">
      <c r="A5">
        <v>1</v>
      </c>
      <c r="B5" t="str">
        <f>INDEX(tQueue[TailNumber],MATCH($A5,tQueue[PriorityRank],0))</f>
        <v>MU-008</v>
      </c>
      <c r="C5" t="str">
        <f>INDEX(tQueue[BaseCode],MATCH($A5,tQueue[PriorityRank],0))</f>
        <v>HIGHLND</v>
      </c>
      <c r="D5" t="str">
        <f>INDEX(tQueue[ComponentCode],MATCH($A5,tQueue[PriorityRank],0))</f>
        <v>MOTOR-ESC</v>
      </c>
      <c r="E5">
        <f>INDEX(tQueue[PositionNo],MATCH($A5,tQueue[PriorityRank],0))</f>
        <v>2</v>
      </c>
      <c r="F5" t="str">
        <f>INDEX(tQueue[Criticality],MATCH($A5,tQueue[PriorityRank],0))</f>
        <v>FlightCritical</v>
      </c>
      <c r="G5" s="22">
        <f>INDEX(tQueue[PctOfHourInterval],MATCH($A5,tQueue[PriorityRank],0))</f>
        <v>93.15</v>
      </c>
      <c r="H5" s="22">
        <f>INDEX(tQueue[PctOfStressInterval],MATCH($A5,tQueue[PriorityRank],0))</f>
        <v>201.08</v>
      </c>
      <c r="I5" s="22">
        <f>INDEX(tQueue[ProjectedFlightHoursToStressLimit],MATCH($A5,tQueue[PriorityRank],0))</f>
        <v>-87.5</v>
      </c>
      <c r="J5" s="22">
        <f>INDEX(tQueue[LeadTimeFlightHours],MATCH($A5,tQueue[PriorityRank],0))</f>
        <v>12</v>
      </c>
      <c r="K5" t="str">
        <f>INDEX(tQueue[ActionCode],MATCH($A5,tQueue[PriorityRank],0))</f>
        <v>GROUND_AND_REPLACE</v>
      </c>
      <c r="L5" s="25">
        <f>INDEX(tQueue[JobHours],MATCH($A5,tQueue[PriorityRank],0))</f>
        <v>4.5</v>
      </c>
      <c r="M5" s="25">
        <f>INDEX(Calc!$C$5:$C$198,MATCH($A5,Calc!$A$5:$A$198,0))</f>
        <v>4.5</v>
      </c>
      <c r="N5" t="str">
        <f>IF(M5&lt;=HangarHoursPerWeek,"yes","-")</f>
        <v>yes</v>
      </c>
    </row>
    <row r="6" spans="1:14" x14ac:dyDescent="0.35">
      <c r="A6">
        <v>2</v>
      </c>
      <c r="B6" t="str">
        <f>INDEX(tQueue[TailNumber],MATCH($A6,tQueue[PriorityRank],0))</f>
        <v>MU-008</v>
      </c>
      <c r="C6" t="str">
        <f>INDEX(tQueue[BaseCode],MATCH($A6,tQueue[PriorityRank],0))</f>
        <v>HIGHLND</v>
      </c>
      <c r="D6" t="str">
        <f>INDEX(tQueue[ComponentCode],MATCH($A6,tQueue[PriorityRank],0))</f>
        <v>ROTOR-ASSY</v>
      </c>
      <c r="E6">
        <f>INDEX(tQueue[PositionNo],MATCH($A6,tQueue[PriorityRank],0))</f>
        <v>2</v>
      </c>
      <c r="F6" t="str">
        <f>INDEX(tQueue[Criticality],MATCH($A6,tQueue[PriorityRank],0))</f>
        <v>FlightCritical</v>
      </c>
      <c r="G6" s="22">
        <f>INDEX(tQueue[PctOfHourInterval],MATCH($A6,tQueue[PriorityRank],0))</f>
        <v>93.16</v>
      </c>
      <c r="H6" s="22">
        <f>INDEX(tQueue[PctOfStressInterval],MATCH($A6,tQueue[PriorityRank],0))</f>
        <v>205.46</v>
      </c>
      <c r="I6" s="22">
        <f>INDEX(tQueue[ProjectedFlightHoursToStressLimit],MATCH($A6,tQueue[PriorityRank],0))</f>
        <v>-68.47</v>
      </c>
      <c r="J6" s="22">
        <f>INDEX(tQueue[LeadTimeFlightHours],MATCH($A6,tQueue[PriorityRank],0))</f>
        <v>18</v>
      </c>
      <c r="K6" t="str">
        <f>INDEX(tQueue[ActionCode],MATCH($A6,tQueue[PriorityRank],0))</f>
        <v>GROUND_AND_REPLACE</v>
      </c>
      <c r="L6" s="25">
        <f>INDEX(tQueue[JobHours],MATCH($A6,tQueue[PriorityRank],0))</f>
        <v>4.5</v>
      </c>
      <c r="M6" s="25">
        <f>INDEX(Calc!$C$5:$C$198,MATCH($A6,Calc!$A$5:$A$198,0))</f>
        <v>9</v>
      </c>
      <c r="N6" t="str">
        <f>IF(M6&lt;=HangarHoursPerWeek,"yes","-")</f>
        <v>yes</v>
      </c>
    </row>
    <row r="7" spans="1:14" x14ac:dyDescent="0.35">
      <c r="A7">
        <v>3</v>
      </c>
      <c r="B7" t="str">
        <f>INDEX(tQueue[TailNumber],MATCH($A7,tQueue[PriorityRank],0))</f>
        <v>MU-002</v>
      </c>
      <c r="C7" t="str">
        <f>INDEX(tQueue[BaseCode],MATCH($A7,tQueue[PriorityRank],0))</f>
        <v>HIGHLND</v>
      </c>
      <c r="D7" t="str">
        <f>INDEX(tQueue[ComponentCode],MATCH($A7,tQueue[PriorityRank],0))</f>
        <v>ROTOR-ASSY</v>
      </c>
      <c r="E7">
        <f>INDEX(tQueue[PositionNo],MATCH($A7,tQueue[PriorityRank],0))</f>
        <v>1</v>
      </c>
      <c r="F7" t="str">
        <f>INDEX(tQueue[Criticality],MATCH($A7,tQueue[PriorityRank],0))</f>
        <v>FlightCritical</v>
      </c>
      <c r="G7" s="22">
        <f>INDEX(tQueue[PctOfHourInterval],MATCH($A7,tQueue[PriorityRank],0))</f>
        <v>88.68</v>
      </c>
      <c r="H7" s="22">
        <f>INDEX(tQueue[PctOfStressInterval],MATCH($A7,tQueue[PriorityRank],0))</f>
        <v>201.88</v>
      </c>
      <c r="I7" s="22">
        <f>INDEX(tQueue[ProjectedFlightHoursToStressLimit],MATCH($A7,tQueue[PriorityRank],0))</f>
        <v>-67.010000000000005</v>
      </c>
      <c r="J7" s="22">
        <f>INDEX(tQueue[LeadTimeFlightHours],MATCH($A7,tQueue[PriorityRank],0))</f>
        <v>18</v>
      </c>
      <c r="K7" t="str">
        <f>INDEX(tQueue[ActionCode],MATCH($A7,tQueue[PriorityRank],0))</f>
        <v>GROUND_AND_REPLACE</v>
      </c>
      <c r="L7" s="25">
        <f>INDEX(tQueue[JobHours],MATCH($A7,tQueue[PriorityRank],0))</f>
        <v>4.5</v>
      </c>
      <c r="M7" s="25">
        <f>INDEX(Calc!$C$5:$C$198,MATCH($A7,Calc!$A$5:$A$198,0))</f>
        <v>13.5</v>
      </c>
      <c r="N7" t="str">
        <f>IF(M7&lt;=HangarHoursPerWeek,"yes","-")</f>
        <v>yes</v>
      </c>
    </row>
    <row r="8" spans="1:14" x14ac:dyDescent="0.35">
      <c r="A8">
        <v>4</v>
      </c>
      <c r="B8" t="str">
        <f>INDEX(tQueue[TailNumber],MATCH($A8,tQueue[PriorityRank],0))</f>
        <v>MU-030</v>
      </c>
      <c r="C8" t="str">
        <f>INDEX(tQueue[BaseCode],MATCH($A8,tQueue[PriorityRank],0))</f>
        <v>PORT</v>
      </c>
      <c r="D8" t="str">
        <f>INDEX(tQueue[ComponentCode],MATCH($A8,tQueue[PriorityRank],0))</f>
        <v>ROTOR-ASSY</v>
      </c>
      <c r="E8">
        <f>INDEX(tQueue[PositionNo],MATCH($A8,tQueue[PriorityRank],0))</f>
        <v>4</v>
      </c>
      <c r="F8" t="str">
        <f>INDEX(tQueue[Criticality],MATCH($A8,tQueue[PriorityRank],0))</f>
        <v>FlightCritical</v>
      </c>
      <c r="G8" s="22">
        <f>INDEX(tQueue[PctOfHourInterval],MATCH($A8,tQueue[PriorityRank],0))</f>
        <v>98.02</v>
      </c>
      <c r="H8" s="22">
        <f>INDEX(tQueue[PctOfStressInterval],MATCH($A8,tQueue[PriorityRank],0))</f>
        <v>199.89</v>
      </c>
      <c r="I8" s="22">
        <f>INDEX(tQueue[ProjectedFlightHoursToStressLimit],MATCH($A8,tQueue[PriorityRank],0))</f>
        <v>-76.34</v>
      </c>
      <c r="J8" s="22">
        <f>INDEX(tQueue[LeadTimeFlightHours],MATCH($A8,tQueue[PriorityRank],0))</f>
        <v>18</v>
      </c>
      <c r="K8" t="str">
        <f>INDEX(tQueue[ActionCode],MATCH($A8,tQueue[PriorityRank],0))</f>
        <v>GROUND_AND_REPLACE</v>
      </c>
      <c r="L8" s="25">
        <f>INDEX(tQueue[JobHours],MATCH($A8,tQueue[PriorityRank],0))</f>
        <v>4.5</v>
      </c>
      <c r="M8" s="25">
        <f>INDEX(Calc!$C$5:$C$198,MATCH($A8,Calc!$A$5:$A$198,0))</f>
        <v>18</v>
      </c>
      <c r="N8" t="str">
        <f>IF(M8&lt;=HangarHoursPerWeek,"yes","-")</f>
        <v>yes</v>
      </c>
    </row>
    <row r="9" spans="1:14" x14ac:dyDescent="0.35">
      <c r="A9">
        <v>5</v>
      </c>
      <c r="B9" t="str">
        <f>INDEX(tQueue[TailNumber],MATCH($A9,tQueue[PriorityRank],0))</f>
        <v>MU-015</v>
      </c>
      <c r="C9" t="str">
        <f>INDEX(tQueue[BaseCode],MATCH($A9,tQueue[PriorityRank],0))</f>
        <v>PORT</v>
      </c>
      <c r="D9" t="str">
        <f>INDEX(tQueue[ComponentCode],MATCH($A9,tQueue[PriorityRank],0))</f>
        <v>MOTOR-ESC</v>
      </c>
      <c r="E9">
        <f>INDEX(tQueue[PositionNo],MATCH($A9,tQueue[PriorityRank],0))</f>
        <v>2</v>
      </c>
      <c r="F9" t="str">
        <f>INDEX(tQueue[Criticality],MATCH($A9,tQueue[PriorityRank],0))</f>
        <v>FlightCritical</v>
      </c>
      <c r="G9" s="22">
        <f>INDEX(tQueue[PctOfHourInterval],MATCH($A9,tQueue[PriorityRank],0))</f>
        <v>88.79</v>
      </c>
      <c r="H9" s="22">
        <f>INDEX(tQueue[PctOfStressInterval],MATCH($A9,tQueue[PriorityRank],0))</f>
        <v>174.18</v>
      </c>
      <c r="I9" s="22">
        <f>INDEX(tQueue[ProjectedFlightHoursToStressLimit],MATCH($A9,tQueue[PriorityRank],0))</f>
        <v>-77.209999999999994</v>
      </c>
      <c r="J9" s="22">
        <f>INDEX(tQueue[LeadTimeFlightHours],MATCH($A9,tQueue[PriorityRank],0))</f>
        <v>12</v>
      </c>
      <c r="K9" t="str">
        <f>INDEX(tQueue[ActionCode],MATCH($A9,tQueue[PriorityRank],0))</f>
        <v>GROUND_AND_REPLACE</v>
      </c>
      <c r="L9" s="25">
        <f>INDEX(tQueue[JobHours],MATCH($A9,tQueue[PriorityRank],0))</f>
        <v>4.5</v>
      </c>
      <c r="M9" s="25">
        <f>INDEX(Calc!$C$5:$C$198,MATCH($A9,Calc!$A$5:$A$198,0))</f>
        <v>22.5</v>
      </c>
      <c r="N9" t="str">
        <f>IF(M9&lt;=HangarHoursPerWeek,"yes","-")</f>
        <v>yes</v>
      </c>
    </row>
    <row r="10" spans="1:14" x14ac:dyDescent="0.35">
      <c r="A10">
        <v>6</v>
      </c>
      <c r="B10" t="str">
        <f>INDEX(tQueue[TailNumber],MATCH($A10,tQueue[PriorityRank],0))</f>
        <v>MU-001</v>
      </c>
      <c r="C10" t="str">
        <f>INDEX(tQueue[BaseCode],MATCH($A10,tQueue[PriorityRank],0))</f>
        <v>PORT</v>
      </c>
      <c r="D10" t="str">
        <f>INDEX(tQueue[ComponentCode],MATCH($A10,tQueue[PriorityRank],0))</f>
        <v>MOTOR-ESC</v>
      </c>
      <c r="E10">
        <f>INDEX(tQueue[PositionNo],MATCH($A10,tQueue[PriorityRank],0))</f>
        <v>1</v>
      </c>
      <c r="F10" t="str">
        <f>INDEX(tQueue[Criticality],MATCH($A10,tQueue[PriorityRank],0))</f>
        <v>FlightCritical</v>
      </c>
      <c r="G10" s="22">
        <f>INDEX(tQueue[PctOfHourInterval],MATCH($A10,tQueue[PriorityRank],0))</f>
        <v>85.51</v>
      </c>
      <c r="H10" s="22">
        <f>INDEX(tQueue[PctOfStressInterval],MATCH($A10,tQueue[PriorityRank],0))</f>
        <v>171.52</v>
      </c>
      <c r="I10" s="22">
        <f>INDEX(tQueue[ProjectedFlightHoursToStressLimit],MATCH($A10,tQueue[PriorityRank],0))</f>
        <v>-69.31</v>
      </c>
      <c r="J10" s="22">
        <f>INDEX(tQueue[LeadTimeFlightHours],MATCH($A10,tQueue[PriorityRank],0))</f>
        <v>12</v>
      </c>
      <c r="K10" t="str">
        <f>INDEX(tQueue[ActionCode],MATCH($A10,tQueue[PriorityRank],0))</f>
        <v>GROUND_AND_REPLACE</v>
      </c>
      <c r="L10" s="25">
        <f>INDEX(tQueue[JobHours],MATCH($A10,tQueue[PriorityRank],0))</f>
        <v>4.5</v>
      </c>
      <c r="M10" s="25">
        <f>INDEX(Calc!$C$5:$C$198,MATCH($A10,Calc!$A$5:$A$198,0))</f>
        <v>27</v>
      </c>
      <c r="N10" t="str">
        <f>IF(M10&lt;=HangarHoursPerWeek,"yes","-")</f>
        <v>yes</v>
      </c>
    </row>
    <row r="11" spans="1:14" x14ac:dyDescent="0.35">
      <c r="A11">
        <v>7</v>
      </c>
      <c r="B11" t="str">
        <f>INDEX(tQueue[TailNumber],MATCH($A11,tQueue[PriorityRank],0))</f>
        <v>MU-001</v>
      </c>
      <c r="C11" t="str">
        <f>INDEX(tQueue[BaseCode],MATCH($A11,tQueue[PriorityRank],0))</f>
        <v>PORT</v>
      </c>
      <c r="D11" t="str">
        <f>INDEX(tQueue[ComponentCode],MATCH($A11,tQueue[PriorityRank],0))</f>
        <v>MOTOR-ESC</v>
      </c>
      <c r="E11">
        <f>INDEX(tQueue[PositionNo],MATCH($A11,tQueue[PriorityRank],0))</f>
        <v>2</v>
      </c>
      <c r="F11" t="str">
        <f>INDEX(tQueue[Criticality],MATCH($A11,tQueue[PriorityRank],0))</f>
        <v>FlightCritical</v>
      </c>
      <c r="G11" s="22">
        <f>INDEX(tQueue[PctOfHourInterval],MATCH($A11,tQueue[PriorityRank],0))</f>
        <v>85.51</v>
      </c>
      <c r="H11" s="22">
        <f>INDEX(tQueue[PctOfStressInterval],MATCH($A11,tQueue[PriorityRank],0))</f>
        <v>171.52</v>
      </c>
      <c r="I11" s="22">
        <f>INDEX(tQueue[ProjectedFlightHoursToStressLimit],MATCH($A11,tQueue[PriorityRank],0))</f>
        <v>-69.31</v>
      </c>
      <c r="J11" s="22">
        <f>INDEX(tQueue[LeadTimeFlightHours],MATCH($A11,tQueue[PriorityRank],0))</f>
        <v>12</v>
      </c>
      <c r="K11" t="str">
        <f>INDEX(tQueue[ActionCode],MATCH($A11,tQueue[PriorityRank],0))</f>
        <v>GROUND_AND_REPLACE</v>
      </c>
      <c r="L11" s="25">
        <f>INDEX(tQueue[JobHours],MATCH($A11,tQueue[PriorityRank],0))</f>
        <v>4.5</v>
      </c>
      <c r="M11" s="25">
        <f>INDEX(Calc!$C$5:$C$198,MATCH($A11,Calc!$A$5:$A$198,0))</f>
        <v>31.5</v>
      </c>
      <c r="N11" t="str">
        <f>IF(M11&lt;=HangarHoursPerWeek,"yes","-")</f>
        <v>yes</v>
      </c>
    </row>
    <row r="12" spans="1:14" x14ac:dyDescent="0.35">
      <c r="A12">
        <v>8</v>
      </c>
      <c r="B12" t="str">
        <f>INDEX(tQueue[TailNumber],MATCH($A12,tQueue[PriorityRank],0))</f>
        <v>MU-002</v>
      </c>
      <c r="C12" t="str">
        <f>INDEX(tQueue[BaseCode],MATCH($A12,tQueue[PriorityRank],0))</f>
        <v>HIGHLND</v>
      </c>
      <c r="D12" t="str">
        <f>INDEX(tQueue[ComponentCode],MATCH($A12,tQueue[PriorityRank],0))</f>
        <v>MOTOR-ESC</v>
      </c>
      <c r="E12">
        <f>INDEX(tQueue[PositionNo],MATCH($A12,tQueue[PriorityRank],0))</f>
        <v>2</v>
      </c>
      <c r="F12" t="str">
        <f>INDEX(tQueue[Criticality],MATCH($A12,tQueue[PriorityRank],0))</f>
        <v>FlightCritical</v>
      </c>
      <c r="G12" s="22">
        <f>INDEX(tQueue[PctOfHourInterval],MATCH($A12,tQueue[PriorityRank],0))</f>
        <v>75.099999999999994</v>
      </c>
      <c r="H12" s="22">
        <f>INDEX(tQueue[PctOfStressInterval],MATCH($A12,tQueue[PriorityRank],0))</f>
        <v>170.9</v>
      </c>
      <c r="I12" s="22">
        <f>INDEX(tQueue[ProjectedFlightHoursToStressLimit],MATCH($A12,tQueue[PriorityRank],0))</f>
        <v>-62.18</v>
      </c>
      <c r="J12" s="22">
        <f>INDEX(tQueue[LeadTimeFlightHours],MATCH($A12,tQueue[PriorityRank],0))</f>
        <v>12</v>
      </c>
      <c r="K12" t="str">
        <f>INDEX(tQueue[ActionCode],MATCH($A12,tQueue[PriorityRank],0))</f>
        <v>GROUND_AND_REPLACE</v>
      </c>
      <c r="L12" s="25">
        <f>INDEX(tQueue[JobHours],MATCH($A12,tQueue[PriorityRank],0))</f>
        <v>4.5</v>
      </c>
      <c r="M12" s="25">
        <f>INDEX(Calc!$C$5:$C$198,MATCH($A12,Calc!$A$5:$A$198,0))</f>
        <v>36</v>
      </c>
      <c r="N12" t="str">
        <f>IF(M12&lt;=HangarHoursPerWeek,"yes","-")</f>
        <v>yes</v>
      </c>
    </row>
    <row r="13" spans="1:14" x14ac:dyDescent="0.35">
      <c r="A13">
        <v>9</v>
      </c>
      <c r="B13" t="str">
        <f>INDEX(tQueue[TailNumber],MATCH($A13,tQueue[PriorityRank],0))</f>
        <v>MU-021</v>
      </c>
      <c r="C13" t="str">
        <f>INDEX(tQueue[BaseCode],MATCH($A13,tQueue[PriorityRank],0))</f>
        <v>ACADEMY</v>
      </c>
      <c r="D13" t="str">
        <f>INDEX(tQueue[ComponentCode],MATCH($A13,tQueue[PriorityRank],0))</f>
        <v>MOTOR-ESC</v>
      </c>
      <c r="E13">
        <f>INDEX(tQueue[PositionNo],MATCH($A13,tQueue[PriorityRank],0))</f>
        <v>1</v>
      </c>
      <c r="F13" t="str">
        <f>INDEX(tQueue[Criticality],MATCH($A13,tQueue[PriorityRank],0))</f>
        <v>FlightCritical</v>
      </c>
      <c r="G13" s="22">
        <f>INDEX(tQueue[PctOfHourInterval],MATCH($A13,tQueue[PriorityRank],0))</f>
        <v>89.85</v>
      </c>
      <c r="H13" s="22">
        <f>INDEX(tQueue[PctOfStressInterval],MATCH($A13,tQueue[PriorityRank],0))</f>
        <v>168.36</v>
      </c>
      <c r="I13" s="22">
        <f>INDEX(tQueue[ProjectedFlightHoursToStressLimit],MATCH($A13,tQueue[PriorityRank],0))</f>
        <v>-71.400000000000006</v>
      </c>
      <c r="J13" s="22">
        <f>INDEX(tQueue[LeadTimeFlightHours],MATCH($A13,tQueue[PriorityRank],0))</f>
        <v>12</v>
      </c>
      <c r="K13" t="str">
        <f>INDEX(tQueue[ActionCode],MATCH($A13,tQueue[PriorityRank],0))</f>
        <v>GROUND_AND_REPLACE</v>
      </c>
      <c r="L13" s="25">
        <f>INDEX(tQueue[JobHours],MATCH($A13,tQueue[PriorityRank],0))</f>
        <v>4.5</v>
      </c>
      <c r="M13" s="25">
        <f>INDEX(Calc!$C$5:$C$198,MATCH($A13,Calc!$A$5:$A$198,0))</f>
        <v>40.5</v>
      </c>
      <c r="N13" t="str">
        <f>IF(M13&lt;=HangarHoursPerWeek,"yes","-")</f>
        <v>yes</v>
      </c>
    </row>
    <row r="14" spans="1:14" x14ac:dyDescent="0.35">
      <c r="A14">
        <v>10</v>
      </c>
      <c r="B14" t="str">
        <f>INDEX(tQueue[TailNumber],MATCH($A14,tQueue[PriorityRank],0))</f>
        <v>MU-021</v>
      </c>
      <c r="C14" t="str">
        <f>INDEX(tQueue[BaseCode],MATCH($A14,tQueue[PriorityRank],0))</f>
        <v>ACADEMY</v>
      </c>
      <c r="D14" t="str">
        <f>INDEX(tQueue[ComponentCode],MATCH($A14,tQueue[PriorityRank],0))</f>
        <v>MOTOR-ESC</v>
      </c>
      <c r="E14">
        <f>INDEX(tQueue[PositionNo],MATCH($A14,tQueue[PriorityRank],0))</f>
        <v>2</v>
      </c>
      <c r="F14" t="str">
        <f>INDEX(tQueue[Criticality],MATCH($A14,tQueue[PriorityRank],0))</f>
        <v>FlightCritical</v>
      </c>
      <c r="G14" s="22">
        <f>INDEX(tQueue[PctOfHourInterval],MATCH($A14,tQueue[PriorityRank],0))</f>
        <v>89.85</v>
      </c>
      <c r="H14" s="22">
        <f>INDEX(tQueue[PctOfStressInterval],MATCH($A14,tQueue[PriorityRank],0))</f>
        <v>168.36</v>
      </c>
      <c r="I14" s="22">
        <f>INDEX(tQueue[ProjectedFlightHoursToStressLimit],MATCH($A14,tQueue[PriorityRank],0))</f>
        <v>-71.400000000000006</v>
      </c>
      <c r="J14" s="22">
        <f>INDEX(tQueue[LeadTimeFlightHours],MATCH($A14,tQueue[PriorityRank],0))</f>
        <v>12</v>
      </c>
      <c r="K14" t="str">
        <f>INDEX(tQueue[ActionCode],MATCH($A14,tQueue[PriorityRank],0))</f>
        <v>GROUND_AND_REPLACE</v>
      </c>
      <c r="L14" s="25">
        <f>INDEX(tQueue[JobHours],MATCH($A14,tQueue[PriorityRank],0))</f>
        <v>4.5</v>
      </c>
      <c r="M14" s="25">
        <f>INDEX(Calc!$C$5:$C$198,MATCH($A14,Calc!$A$5:$A$198,0))</f>
        <v>45</v>
      </c>
      <c r="N14" t="str">
        <f>IF(M14&lt;=HangarHoursPerWeek,"yes","-")</f>
        <v>yes</v>
      </c>
    </row>
    <row r="15" spans="1:14" x14ac:dyDescent="0.35">
      <c r="A15">
        <v>11</v>
      </c>
      <c r="B15" t="str">
        <f>INDEX(tQueue[TailNumber],MATCH($A15,tQueue[PriorityRank],0))</f>
        <v>MU-021</v>
      </c>
      <c r="C15" t="str">
        <f>INDEX(tQueue[BaseCode],MATCH($A15,tQueue[PriorityRank],0))</f>
        <v>ACADEMY</v>
      </c>
      <c r="D15" t="str">
        <f>INDEX(tQueue[ComponentCode],MATCH($A15,tQueue[PriorityRank],0))</f>
        <v>MOTOR-ESC</v>
      </c>
      <c r="E15">
        <f>INDEX(tQueue[PositionNo],MATCH($A15,tQueue[PriorityRank],0))</f>
        <v>3</v>
      </c>
      <c r="F15" t="str">
        <f>INDEX(tQueue[Criticality],MATCH($A15,tQueue[PriorityRank],0))</f>
        <v>FlightCritical</v>
      </c>
      <c r="G15" s="22">
        <f>INDEX(tQueue[PctOfHourInterval],MATCH($A15,tQueue[PriorityRank],0))</f>
        <v>89.85</v>
      </c>
      <c r="H15" s="22">
        <f>INDEX(tQueue[PctOfStressInterval],MATCH($A15,tQueue[PriorityRank],0))</f>
        <v>168.36</v>
      </c>
      <c r="I15" s="22">
        <f>INDEX(tQueue[ProjectedFlightHoursToStressLimit],MATCH($A15,tQueue[PriorityRank],0))</f>
        <v>-71.400000000000006</v>
      </c>
      <c r="J15" s="22">
        <f>INDEX(tQueue[LeadTimeFlightHours],MATCH($A15,tQueue[PriorityRank],0))</f>
        <v>12</v>
      </c>
      <c r="K15" t="str">
        <f>INDEX(tQueue[ActionCode],MATCH($A15,tQueue[PriorityRank],0))</f>
        <v>GROUND_AND_REPLACE</v>
      </c>
      <c r="L15" s="25">
        <f>INDEX(tQueue[JobHours],MATCH($A15,tQueue[PriorityRank],0))</f>
        <v>4.5</v>
      </c>
      <c r="M15" s="25">
        <f>INDEX(Calc!$C$5:$C$198,MATCH($A15,Calc!$A$5:$A$198,0))</f>
        <v>49.5</v>
      </c>
      <c r="N15" t="str">
        <f>IF(M15&lt;=HangarHoursPerWeek,"yes","-")</f>
        <v>yes</v>
      </c>
    </row>
    <row r="16" spans="1:14" x14ac:dyDescent="0.35">
      <c r="A16">
        <v>12</v>
      </c>
      <c r="B16" t="str">
        <f>INDEX(tQueue[TailNumber],MATCH($A16,tQueue[PriorityRank],0))</f>
        <v>MU-020</v>
      </c>
      <c r="C16" t="str">
        <f>INDEX(tQueue[BaseCode],MATCH($A16,tQueue[PriorityRank],0))</f>
        <v>HIGHLND</v>
      </c>
      <c r="D16" t="str">
        <f>INDEX(tQueue[ComponentCode],MATCH($A16,tQueue[PriorityRank],0))</f>
        <v>MOTOR-ESC</v>
      </c>
      <c r="E16">
        <f>INDEX(tQueue[PositionNo],MATCH($A16,tQueue[PriorityRank],0))</f>
        <v>2</v>
      </c>
      <c r="F16" t="str">
        <f>INDEX(tQueue[Criticality],MATCH($A16,tQueue[PriorityRank],0))</f>
        <v>FlightCritical</v>
      </c>
      <c r="G16" s="22">
        <f>INDEX(tQueue[PctOfHourInterval],MATCH($A16,tQueue[PriorityRank],0))</f>
        <v>79.17</v>
      </c>
      <c r="H16" s="22">
        <f>INDEX(tQueue[PctOfStressInterval],MATCH($A16,tQueue[PriorityRank],0))</f>
        <v>168.35</v>
      </c>
      <c r="I16" s="22">
        <f>INDEX(tQueue[ProjectedFlightHoursToStressLimit],MATCH($A16,tQueue[PriorityRank],0))</f>
        <v>-60.54</v>
      </c>
      <c r="J16" s="22">
        <f>INDEX(tQueue[LeadTimeFlightHours],MATCH($A16,tQueue[PriorityRank],0))</f>
        <v>12</v>
      </c>
      <c r="K16" t="str">
        <f>INDEX(tQueue[ActionCode],MATCH($A16,tQueue[PriorityRank],0))</f>
        <v>GROUND_AND_REPLACE</v>
      </c>
      <c r="L16" s="25">
        <f>INDEX(tQueue[JobHours],MATCH($A16,tQueue[PriorityRank],0))</f>
        <v>4.5</v>
      </c>
      <c r="M16" s="25">
        <f>INDEX(Calc!$C$5:$C$198,MATCH($A16,Calc!$A$5:$A$198,0))</f>
        <v>54</v>
      </c>
      <c r="N16" t="str">
        <f>IF(M16&lt;=HangarHoursPerWeek,"yes","-")</f>
        <v>yes</v>
      </c>
    </row>
    <row r="17" spans="1:14" x14ac:dyDescent="0.35">
      <c r="A17">
        <v>13</v>
      </c>
      <c r="B17" t="str">
        <f>INDEX(tQueue[TailNumber],MATCH($A17,tQueue[PriorityRank],0))</f>
        <v>MU-030</v>
      </c>
      <c r="C17" t="str">
        <f>INDEX(tQueue[BaseCode],MATCH($A17,tQueue[PriorityRank],0))</f>
        <v>PORT</v>
      </c>
      <c r="D17" t="str">
        <f>INDEX(tQueue[ComponentCode],MATCH($A17,tQueue[PriorityRank],0))</f>
        <v>MOTOR-ESC</v>
      </c>
      <c r="E17">
        <f>INDEX(tQueue[PositionNo],MATCH($A17,tQueue[PriorityRank],0))</f>
        <v>1</v>
      </c>
      <c r="F17" t="str">
        <f>INDEX(tQueue[Criticality],MATCH($A17,tQueue[PriorityRank],0))</f>
        <v>FlightCritical</v>
      </c>
      <c r="G17" s="22">
        <f>INDEX(tQueue[PctOfHourInterval],MATCH($A17,tQueue[PriorityRank],0))</f>
        <v>81.91</v>
      </c>
      <c r="H17" s="22">
        <f>INDEX(tQueue[PctOfStressInterval],MATCH($A17,tQueue[PriorityRank],0))</f>
        <v>167.75</v>
      </c>
      <c r="I17" s="22">
        <f>INDEX(tQueue[ProjectedFlightHoursToStressLimit],MATCH($A17,tQueue[PriorityRank],0))</f>
        <v>-69.040000000000006</v>
      </c>
      <c r="J17" s="22">
        <f>INDEX(tQueue[LeadTimeFlightHours],MATCH($A17,tQueue[PriorityRank],0))</f>
        <v>12</v>
      </c>
      <c r="K17" t="str">
        <f>INDEX(tQueue[ActionCode],MATCH($A17,tQueue[PriorityRank],0))</f>
        <v>GROUND_AND_REPLACE</v>
      </c>
      <c r="L17" s="25">
        <f>INDEX(tQueue[JobHours],MATCH($A17,tQueue[PriorityRank],0))</f>
        <v>4.5</v>
      </c>
      <c r="M17" s="25">
        <f>INDEX(Calc!$C$5:$C$198,MATCH($A17,Calc!$A$5:$A$198,0))</f>
        <v>58.5</v>
      </c>
      <c r="N17" t="str">
        <f>IF(M17&lt;=HangarHoursPerWeek,"yes","-")</f>
        <v>yes</v>
      </c>
    </row>
    <row r="18" spans="1:14" x14ac:dyDescent="0.35">
      <c r="A18">
        <v>14</v>
      </c>
      <c r="B18" t="str">
        <f>INDEX(tQueue[TailNumber],MATCH($A18,tQueue[PriorityRank],0))</f>
        <v>MU-005</v>
      </c>
      <c r="C18" t="str">
        <f>INDEX(tQueue[BaseCode],MATCH($A18,tQueue[PriorityRank],0))</f>
        <v>PORT</v>
      </c>
      <c r="D18" t="str">
        <f>INDEX(tQueue[ComponentCode],MATCH($A18,tQueue[PriorityRank],0))</f>
        <v>ROTOR-ASSY</v>
      </c>
      <c r="E18">
        <f>INDEX(tQueue[PositionNo],MATCH($A18,tQueue[PriorityRank],0))</f>
        <v>4</v>
      </c>
      <c r="F18" t="str">
        <f>INDEX(tQueue[Criticality],MATCH($A18,tQueue[PriorityRank],0))</f>
        <v>FlightCritical</v>
      </c>
      <c r="G18" s="22">
        <f>INDEX(tQueue[PctOfHourInterval],MATCH($A18,tQueue[PriorityRank],0))</f>
        <v>93.82</v>
      </c>
      <c r="H18" s="22">
        <f>INDEX(tQueue[PctOfStressInterval],MATCH($A18,tQueue[PriorityRank],0))</f>
        <v>189.49</v>
      </c>
      <c r="I18" s="22">
        <f>INDEX(tQueue[ProjectedFlightHoursToStressLimit],MATCH($A18,tQueue[PriorityRank],0))</f>
        <v>-70.180000000000007</v>
      </c>
      <c r="J18" s="22">
        <f>INDEX(tQueue[LeadTimeFlightHours],MATCH($A18,tQueue[PriorityRank],0))</f>
        <v>18</v>
      </c>
      <c r="K18" t="str">
        <f>INDEX(tQueue[ActionCode],MATCH($A18,tQueue[PriorityRank],0))</f>
        <v>GROUND_AND_REPLACE</v>
      </c>
      <c r="L18" s="25">
        <f>INDEX(tQueue[JobHours],MATCH($A18,tQueue[PriorityRank],0))</f>
        <v>4.5</v>
      </c>
      <c r="M18" s="25">
        <f>INDEX(Calc!$C$5:$C$198,MATCH($A18,Calc!$A$5:$A$198,0))</f>
        <v>63</v>
      </c>
      <c r="N18" t="str">
        <f>IF(M18&lt;=HangarHoursPerWeek,"yes","-")</f>
        <v>yes</v>
      </c>
    </row>
    <row r="19" spans="1:14" x14ac:dyDescent="0.35">
      <c r="A19">
        <v>15</v>
      </c>
      <c r="B19" t="str">
        <f>INDEX(tQueue[TailNumber],MATCH($A19,tQueue[PriorityRank],0))</f>
        <v>MU-018</v>
      </c>
      <c r="C19" t="str">
        <f>INDEX(tQueue[BaseCode],MATCH($A19,tQueue[PriorityRank],0))</f>
        <v>HIGHLND</v>
      </c>
      <c r="D19" t="str">
        <f>INDEX(tQueue[ComponentCode],MATCH($A19,tQueue[PriorityRank],0))</f>
        <v>ROTOR-ASSY</v>
      </c>
      <c r="E19">
        <f>INDEX(tQueue[PositionNo],MATCH($A19,tQueue[PriorityRank],0))</f>
        <v>3</v>
      </c>
      <c r="F19" t="str">
        <f>INDEX(tQueue[Criticality],MATCH($A19,tQueue[PriorityRank],0))</f>
        <v>FlightCritical</v>
      </c>
      <c r="G19" s="22">
        <f>INDEX(tQueue[PctOfHourInterval],MATCH($A19,tQueue[PriorityRank],0))</f>
        <v>87.4</v>
      </c>
      <c r="H19" s="22">
        <f>INDEX(tQueue[PctOfStressInterval],MATCH($A19,tQueue[PriorityRank],0))</f>
        <v>187.88</v>
      </c>
      <c r="I19" s="22">
        <f>INDEX(tQueue[ProjectedFlightHoursToStressLimit],MATCH($A19,tQueue[PriorityRank],0))</f>
        <v>-60</v>
      </c>
      <c r="J19" s="22">
        <f>INDEX(tQueue[LeadTimeFlightHours],MATCH($A19,tQueue[PriorityRank],0))</f>
        <v>18</v>
      </c>
      <c r="K19" t="str">
        <f>INDEX(tQueue[ActionCode],MATCH($A19,tQueue[PriorityRank],0))</f>
        <v>GROUND_AND_REPLACE</v>
      </c>
      <c r="L19" s="25">
        <f>INDEX(tQueue[JobHours],MATCH($A19,tQueue[PriorityRank],0))</f>
        <v>4.5</v>
      </c>
      <c r="M19" s="25">
        <f>INDEX(Calc!$C$5:$C$198,MATCH($A19,Calc!$A$5:$A$198,0))</f>
        <v>67.5</v>
      </c>
      <c r="N19" t="str">
        <f>IF(M19&lt;=HangarHoursPerWeek,"yes","-")</f>
        <v>yes</v>
      </c>
    </row>
    <row r="20" spans="1:14" x14ac:dyDescent="0.35">
      <c r="A20">
        <v>16</v>
      </c>
      <c r="B20" t="str">
        <f>INDEX(tQueue[TailNumber],MATCH($A20,tQueue[PriorityRank],0))</f>
        <v>MU-014</v>
      </c>
      <c r="C20" t="str">
        <f>INDEX(tQueue[BaseCode],MATCH($A20,tQueue[PriorityRank],0))</f>
        <v>PORT</v>
      </c>
      <c r="D20" t="str">
        <f>INDEX(tQueue[ComponentCode],MATCH($A20,tQueue[PriorityRank],0))</f>
        <v>ROTOR-ASSY</v>
      </c>
      <c r="E20">
        <f>INDEX(tQueue[PositionNo],MATCH($A20,tQueue[PriorityRank],0))</f>
        <v>3</v>
      </c>
      <c r="F20" t="str">
        <f>INDEX(tQueue[Criticality],MATCH($A20,tQueue[PriorityRank],0))</f>
        <v>FlightCritical</v>
      </c>
      <c r="G20" s="22">
        <f>INDEX(tQueue[PctOfHourInterval],MATCH($A20,tQueue[PriorityRank],0))</f>
        <v>92.97</v>
      </c>
      <c r="H20" s="22">
        <f>INDEX(tQueue[PctOfStressInterval],MATCH($A20,tQueue[PriorityRank],0))</f>
        <v>184.47</v>
      </c>
      <c r="I20" s="22">
        <f>INDEX(tQueue[ProjectedFlightHoursToStressLimit],MATCH($A20,tQueue[PriorityRank],0))</f>
        <v>-67.86</v>
      </c>
      <c r="J20" s="22">
        <f>INDEX(tQueue[LeadTimeFlightHours],MATCH($A20,tQueue[PriorityRank],0))</f>
        <v>18</v>
      </c>
      <c r="K20" t="str">
        <f>INDEX(tQueue[ActionCode],MATCH($A20,tQueue[PriorityRank],0))</f>
        <v>GROUND_AND_REPLACE</v>
      </c>
      <c r="L20" s="25">
        <f>INDEX(tQueue[JobHours],MATCH($A20,tQueue[PriorityRank],0))</f>
        <v>4.5</v>
      </c>
      <c r="M20" s="25">
        <f>INDEX(Calc!$C$5:$C$198,MATCH($A20,Calc!$A$5:$A$198,0))</f>
        <v>72</v>
      </c>
      <c r="N20" t="str">
        <f>IF(M20&lt;=HangarHoursPerWeek,"yes","-")</f>
        <v>yes</v>
      </c>
    </row>
    <row r="21" spans="1:14" x14ac:dyDescent="0.35">
      <c r="A21">
        <v>17</v>
      </c>
      <c r="B21" t="str">
        <f>INDEX(tQueue[TailNumber],MATCH($A21,tQueue[PriorityRank],0))</f>
        <v>MU-005</v>
      </c>
      <c r="C21" t="str">
        <f>INDEX(tQueue[BaseCode],MATCH($A21,tQueue[PriorityRank],0))</f>
        <v>PORT</v>
      </c>
      <c r="D21" t="str">
        <f>INDEX(tQueue[ComponentCode],MATCH($A21,tQueue[PriorityRank],0))</f>
        <v>BATT-PACK</v>
      </c>
      <c r="E21">
        <f>INDEX(tQueue[PositionNo],MATCH($A21,tQueue[PriorityRank],0))</f>
        <v>1</v>
      </c>
      <c r="F21" t="str">
        <f>INDEX(tQueue[Criticality],MATCH($A21,tQueue[PriorityRank],0))</f>
        <v>FlightCritical</v>
      </c>
      <c r="G21" s="22">
        <f>INDEX(tQueue[PctOfHourInterval],MATCH($A21,tQueue[PriorityRank],0))</f>
        <v>101.25</v>
      </c>
      <c r="H21" s="22">
        <f>INDEX(tQueue[PctOfStressInterval],MATCH($A21,tQueue[PriorityRank],0))</f>
        <v>205.22</v>
      </c>
      <c r="I21" s="22">
        <f>INDEX(tQueue[ProjectedFlightHoursToStressLimit],MATCH($A21,tQueue[PriorityRank],0))</f>
        <v>-66.010000000000005</v>
      </c>
      <c r="J21" s="22">
        <f>INDEX(tQueue[LeadTimeFlightHours],MATCH($A21,tQueue[PriorityRank],0))</f>
        <v>8</v>
      </c>
      <c r="K21" t="str">
        <f>INDEX(tQueue[ActionCode],MATCH($A21,tQueue[PriorityRank],0))</f>
        <v>GROUND_AND_REPLACE</v>
      </c>
      <c r="L21" s="25">
        <f>INDEX(tQueue[JobHours],MATCH($A21,tQueue[PriorityRank],0))</f>
        <v>4.5</v>
      </c>
      <c r="M21" s="25">
        <f>INDEX(Calc!$C$5:$C$198,MATCH($A21,Calc!$A$5:$A$198,0))</f>
        <v>76.5</v>
      </c>
      <c r="N21" t="str">
        <f>IF(M21&lt;=HangarHoursPerWeek,"yes","-")</f>
        <v>yes</v>
      </c>
    </row>
    <row r="22" spans="1:14" x14ac:dyDescent="0.35">
      <c r="A22">
        <v>18</v>
      </c>
      <c r="B22" t="str">
        <f>INDEX(tQueue[TailNumber],MATCH($A22,tQueue[PriorityRank],0))</f>
        <v>MU-014</v>
      </c>
      <c r="C22" t="str">
        <f>INDEX(tQueue[BaseCode],MATCH($A22,tQueue[PriorityRank],0))</f>
        <v>PORT</v>
      </c>
      <c r="D22" t="str">
        <f>INDEX(tQueue[ComponentCode],MATCH($A22,tQueue[PriorityRank],0))</f>
        <v>MOTOR-ESC</v>
      </c>
      <c r="E22">
        <f>INDEX(tQueue[PositionNo],MATCH($A22,tQueue[PriorityRank],0))</f>
        <v>3</v>
      </c>
      <c r="F22" t="str">
        <f>INDEX(tQueue[Criticality],MATCH($A22,tQueue[PriorityRank],0))</f>
        <v>FlightCritical</v>
      </c>
      <c r="G22" s="22">
        <f>INDEX(tQueue[PctOfHourInterval],MATCH($A22,tQueue[PriorityRank],0))</f>
        <v>82.46</v>
      </c>
      <c r="H22" s="22">
        <f>INDEX(tQueue[PctOfStressInterval],MATCH($A22,tQueue[PriorityRank],0))</f>
        <v>162.94999999999999</v>
      </c>
      <c r="I22" s="22">
        <f>INDEX(tQueue[ProjectedFlightHoursToStressLimit],MATCH($A22,tQueue[PriorityRank],0))</f>
        <v>-67.430000000000007</v>
      </c>
      <c r="J22" s="22">
        <f>INDEX(tQueue[LeadTimeFlightHours],MATCH($A22,tQueue[PriorityRank],0))</f>
        <v>12</v>
      </c>
      <c r="K22" t="str">
        <f>INDEX(tQueue[ActionCode],MATCH($A22,tQueue[PriorityRank],0))</f>
        <v>GROUND_AND_REPLACE</v>
      </c>
      <c r="L22" s="25">
        <f>INDEX(tQueue[JobHours],MATCH($A22,tQueue[PriorityRank],0))</f>
        <v>4.5</v>
      </c>
      <c r="M22" s="25">
        <f>INDEX(Calc!$C$5:$C$198,MATCH($A22,Calc!$A$5:$A$198,0))</f>
        <v>81</v>
      </c>
      <c r="N22" t="str">
        <f>IF(M22&lt;=HangarHoursPerWeek,"yes","-")</f>
        <v>yes</v>
      </c>
    </row>
    <row r="23" spans="1:14" x14ac:dyDescent="0.35">
      <c r="A23">
        <v>19</v>
      </c>
      <c r="B23" t="str">
        <f>INDEX(tQueue[TailNumber],MATCH($A23,tQueue[PriorityRank],0))</f>
        <v>MU-020</v>
      </c>
      <c r="C23" t="str">
        <f>INDEX(tQueue[BaseCode],MATCH($A23,tQueue[PriorityRank],0))</f>
        <v>HIGHLND</v>
      </c>
      <c r="D23" t="str">
        <f>INDEX(tQueue[ComponentCode],MATCH($A23,tQueue[PriorityRank],0))</f>
        <v>BATT-PACK</v>
      </c>
      <c r="E23">
        <f>INDEX(tQueue[PositionNo],MATCH($A23,tQueue[PriorityRank],0))</f>
        <v>1</v>
      </c>
      <c r="F23" t="str">
        <f>INDEX(tQueue[Criticality],MATCH($A23,tQueue[PriorityRank],0))</f>
        <v>FlightCritical</v>
      </c>
      <c r="G23" s="22">
        <f>INDEX(tQueue[PctOfHourInterval],MATCH($A23,tQueue[PriorityRank],0))</f>
        <v>93.25</v>
      </c>
      <c r="H23" s="22">
        <f>INDEX(tQueue[PctOfStressInterval],MATCH($A23,tQueue[PriorityRank],0))</f>
        <v>203.81</v>
      </c>
      <c r="I23" s="22">
        <f>INDEX(tQueue[ProjectedFlightHoursToStressLimit],MATCH($A23,tQueue[PriorityRank],0))</f>
        <v>-55.16</v>
      </c>
      <c r="J23" s="22">
        <f>INDEX(tQueue[LeadTimeFlightHours],MATCH($A23,tQueue[PriorityRank],0))</f>
        <v>8</v>
      </c>
      <c r="K23" t="str">
        <f>INDEX(tQueue[ActionCode],MATCH($A23,tQueue[PriorityRank],0))</f>
        <v>GROUND_AND_REPLACE</v>
      </c>
      <c r="L23" s="25">
        <f>INDEX(tQueue[JobHours],MATCH($A23,tQueue[PriorityRank],0))</f>
        <v>4.5</v>
      </c>
      <c r="M23" s="25">
        <f>INDEX(Calc!$C$5:$C$198,MATCH($A23,Calc!$A$5:$A$198,0))</f>
        <v>85.5</v>
      </c>
      <c r="N23" t="str">
        <f>IF(M23&lt;=HangarHoursPerWeek,"yes","-")</f>
        <v>yes</v>
      </c>
    </row>
    <row r="24" spans="1:14" x14ac:dyDescent="0.35">
      <c r="A24">
        <v>20</v>
      </c>
      <c r="B24" t="str">
        <f>INDEX(tQueue[TailNumber],MATCH($A24,tQueue[PriorityRank],0))</f>
        <v>MU-020</v>
      </c>
      <c r="C24" t="str">
        <f>INDEX(tQueue[BaseCode],MATCH($A24,tQueue[PriorityRank],0))</f>
        <v>HIGHLND</v>
      </c>
      <c r="D24" t="str">
        <f>INDEX(tQueue[ComponentCode],MATCH($A24,tQueue[PriorityRank],0))</f>
        <v>ROTOR-ASSY</v>
      </c>
      <c r="E24">
        <f>INDEX(tQueue[PositionNo],MATCH($A24,tQueue[PriorityRank],0))</f>
        <v>2</v>
      </c>
      <c r="F24" t="str">
        <f>INDEX(tQueue[Criticality],MATCH($A24,tQueue[PriorityRank],0))</f>
        <v>FlightCritical</v>
      </c>
      <c r="G24" s="22">
        <f>INDEX(tQueue[PctOfHourInterval],MATCH($A24,tQueue[PriorityRank],0))</f>
        <v>84.03</v>
      </c>
      <c r="H24" s="22">
        <f>INDEX(tQueue[PctOfStressInterval],MATCH($A24,tQueue[PriorityRank],0))</f>
        <v>178.65</v>
      </c>
      <c r="I24" s="22">
        <f>INDEX(tQueue[ProjectedFlightHoursToStressLimit],MATCH($A24,tQueue[PriorityRank],0))</f>
        <v>-52.25</v>
      </c>
      <c r="J24" s="22">
        <f>INDEX(tQueue[LeadTimeFlightHours],MATCH($A24,tQueue[PriorityRank],0))</f>
        <v>18</v>
      </c>
      <c r="K24" t="str">
        <f>INDEX(tQueue[ActionCode],MATCH($A24,tQueue[PriorityRank],0))</f>
        <v>GROUND_AND_REPLACE</v>
      </c>
      <c r="L24" s="25">
        <f>INDEX(tQueue[JobHours],MATCH($A24,tQueue[PriorityRank],0))</f>
        <v>4.5</v>
      </c>
      <c r="M24" s="25">
        <f>INDEX(Calc!$C$5:$C$198,MATCH($A24,Calc!$A$5:$A$198,0))</f>
        <v>90</v>
      </c>
      <c r="N24" t="str">
        <f>IF(M24&lt;=HangarHoursPerWeek,"yes","-")</f>
        <v>yes</v>
      </c>
    </row>
    <row r="25" spans="1:14" x14ac:dyDescent="0.35">
      <c r="A25">
        <v>21</v>
      </c>
      <c r="B25" t="str">
        <f>INDEX(tQueue[TailNumber],MATCH($A25,tQueue[PriorityRank],0))</f>
        <v>MU-007</v>
      </c>
      <c r="C25" t="str">
        <f>INDEX(tQueue[BaseCode],MATCH($A25,tQueue[PriorityRank],0))</f>
        <v>ACADEMY</v>
      </c>
      <c r="D25" t="str">
        <f>INDEX(tQueue[ComponentCode],MATCH($A25,tQueue[PriorityRank],0))</f>
        <v>ROTOR-ASSY</v>
      </c>
      <c r="E25">
        <f>INDEX(tQueue[PositionNo],MATCH($A25,tQueue[PriorityRank],0))</f>
        <v>2</v>
      </c>
      <c r="F25" t="str">
        <f>INDEX(tQueue[Criticality],MATCH($A25,tQueue[PriorityRank],0))</f>
        <v>FlightCritical</v>
      </c>
      <c r="G25" s="22">
        <f>INDEX(tQueue[PctOfHourInterval],MATCH($A25,tQueue[PriorityRank],0))</f>
        <v>95.48</v>
      </c>
      <c r="H25" s="22">
        <f>INDEX(tQueue[PctOfStressInterval],MATCH($A25,tQueue[PriorityRank],0))</f>
        <v>177.43</v>
      </c>
      <c r="I25" s="22">
        <f>INDEX(tQueue[ProjectedFlightHoursToStressLimit],MATCH($A25,tQueue[PriorityRank],0))</f>
        <v>-67.78</v>
      </c>
      <c r="J25" s="22">
        <f>INDEX(tQueue[LeadTimeFlightHours],MATCH($A25,tQueue[PriorityRank],0))</f>
        <v>18</v>
      </c>
      <c r="K25" t="str">
        <f>INDEX(tQueue[ActionCode],MATCH($A25,tQueue[PriorityRank],0))</f>
        <v>GROUND_AND_REPLACE</v>
      </c>
      <c r="L25" s="25">
        <f>INDEX(tQueue[JobHours],MATCH($A25,tQueue[PriorityRank],0))</f>
        <v>4.5</v>
      </c>
      <c r="M25" s="25">
        <f>INDEX(Calc!$C$5:$C$198,MATCH($A25,Calc!$A$5:$A$198,0))</f>
        <v>94.5</v>
      </c>
      <c r="N25" t="str">
        <f>IF(M25&lt;=HangarHoursPerWeek,"yes","-")</f>
        <v>yes</v>
      </c>
    </row>
    <row r="26" spans="1:14" x14ac:dyDescent="0.35">
      <c r="A26">
        <v>22</v>
      </c>
      <c r="B26" t="str">
        <f>INDEX(tQueue[TailNumber],MATCH($A26,tQueue[PriorityRank],0))</f>
        <v>MU-005</v>
      </c>
      <c r="C26" t="str">
        <f>INDEX(tQueue[BaseCode],MATCH($A26,tQueue[PriorityRank],0))</f>
        <v>PORT</v>
      </c>
      <c r="D26" t="str">
        <f>INDEX(tQueue[ComponentCode],MATCH($A26,tQueue[PriorityRank],0))</f>
        <v>BATT-PACK</v>
      </c>
      <c r="E26">
        <f>INDEX(tQueue[PositionNo],MATCH($A26,tQueue[PriorityRank],0))</f>
        <v>2</v>
      </c>
      <c r="F26" t="str">
        <f>INDEX(tQueue[Criticality],MATCH($A26,tQueue[PriorityRank],0))</f>
        <v>FlightCritical</v>
      </c>
      <c r="G26" s="22">
        <f>INDEX(tQueue[PctOfHourInterval],MATCH($A26,tQueue[PriorityRank],0))</f>
        <v>97.18</v>
      </c>
      <c r="H26" s="22">
        <f>INDEX(tQueue[PctOfStressInterval],MATCH($A26,tQueue[PriorityRank],0))</f>
        <v>196.01</v>
      </c>
      <c r="I26" s="22">
        <f>INDEX(tQueue[ProjectedFlightHoursToStressLimit],MATCH($A26,tQueue[PriorityRank],0))</f>
        <v>-60.24</v>
      </c>
      <c r="J26" s="22">
        <f>INDEX(tQueue[LeadTimeFlightHours],MATCH($A26,tQueue[PriorityRank],0))</f>
        <v>8</v>
      </c>
      <c r="K26" t="str">
        <f>INDEX(tQueue[ActionCode],MATCH($A26,tQueue[PriorityRank],0))</f>
        <v>GROUND_AND_REPLACE</v>
      </c>
      <c r="L26" s="25">
        <f>INDEX(tQueue[JobHours],MATCH($A26,tQueue[PriorityRank],0))</f>
        <v>4.5</v>
      </c>
      <c r="M26" s="25">
        <f>INDEX(Calc!$C$5:$C$198,MATCH($A26,Calc!$A$5:$A$198,0))</f>
        <v>99</v>
      </c>
      <c r="N26" t="str">
        <f>IF(M26&lt;=HangarHoursPerWeek,"yes","-")</f>
        <v>yes</v>
      </c>
    </row>
    <row r="27" spans="1:14" x14ac:dyDescent="0.35">
      <c r="A27">
        <v>23</v>
      </c>
      <c r="B27" t="str">
        <f>INDEX(tQueue[TailNumber],MATCH($A27,tQueue[PriorityRank],0))</f>
        <v>MU-008</v>
      </c>
      <c r="C27" t="str">
        <f>INDEX(tQueue[BaseCode],MATCH($A27,tQueue[PriorityRank],0))</f>
        <v>HIGHLND</v>
      </c>
      <c r="D27" t="str">
        <f>INDEX(tQueue[ComponentCode],MATCH($A27,tQueue[PriorityRank],0))</f>
        <v>BATT-PACK</v>
      </c>
      <c r="E27">
        <f>INDEX(tQueue[PositionNo],MATCH($A27,tQueue[PriorityRank],0))</f>
        <v>1</v>
      </c>
      <c r="F27" t="str">
        <f>INDEX(tQueue[Criticality],MATCH($A27,tQueue[PriorityRank],0))</f>
        <v>FlightCritical</v>
      </c>
      <c r="G27" s="22">
        <f>INDEX(tQueue[PctOfHourInterval],MATCH($A27,tQueue[PriorityRank],0))</f>
        <v>87.36</v>
      </c>
      <c r="H27" s="22">
        <f>INDEX(tQueue[PctOfStressInterval],MATCH($A27,tQueue[PriorityRank],0))</f>
        <v>194.25</v>
      </c>
      <c r="I27" s="22">
        <f>INDEX(tQueue[ProjectedFlightHoursToStressLimit],MATCH($A27,tQueue[PriorityRank],0))</f>
        <v>-48.95</v>
      </c>
      <c r="J27" s="22">
        <f>INDEX(tQueue[LeadTimeFlightHours],MATCH($A27,tQueue[PriorityRank],0))</f>
        <v>8</v>
      </c>
      <c r="K27" t="str">
        <f>INDEX(tQueue[ActionCode],MATCH($A27,tQueue[PriorityRank],0))</f>
        <v>GROUND_AND_REPLACE</v>
      </c>
      <c r="L27" s="25">
        <f>INDEX(tQueue[JobHours],MATCH($A27,tQueue[PriorityRank],0))</f>
        <v>4.5</v>
      </c>
      <c r="M27" s="25">
        <f>INDEX(Calc!$C$5:$C$198,MATCH($A27,Calc!$A$5:$A$198,0))</f>
        <v>103.5</v>
      </c>
      <c r="N27" t="str">
        <f>IF(M27&lt;=HangarHoursPerWeek,"yes","-")</f>
        <v>yes</v>
      </c>
    </row>
    <row r="28" spans="1:14" x14ac:dyDescent="0.35">
      <c r="A28">
        <v>24</v>
      </c>
      <c r="B28" t="str">
        <f>INDEX(tQueue[TailNumber],MATCH($A28,tQueue[PriorityRank],0))</f>
        <v>MU-016</v>
      </c>
      <c r="C28" t="str">
        <f>INDEX(tQueue[BaseCode],MATCH($A28,tQueue[PriorityRank],0))</f>
        <v>PORT</v>
      </c>
      <c r="D28" t="str">
        <f>INDEX(tQueue[ComponentCode],MATCH($A28,tQueue[PriorityRank],0))</f>
        <v>MOTOR-ESC</v>
      </c>
      <c r="E28">
        <f>INDEX(tQueue[PositionNo],MATCH($A28,tQueue[PriorityRank],0))</f>
        <v>1</v>
      </c>
      <c r="F28" t="str">
        <f>INDEX(tQueue[Criticality],MATCH($A28,tQueue[PriorityRank],0))</f>
        <v>FlightCritical</v>
      </c>
      <c r="G28" s="22">
        <f>INDEX(tQueue[PctOfHourInterval],MATCH($A28,tQueue[PriorityRank],0))</f>
        <v>79.239999999999995</v>
      </c>
      <c r="H28" s="22">
        <f>INDEX(tQueue[PctOfStressInterval],MATCH($A28,tQueue[PriorityRank],0))</f>
        <v>156.21</v>
      </c>
      <c r="I28" s="22">
        <f>INDEX(tQueue[ProjectedFlightHoursToStressLimit],MATCH($A28,tQueue[PriorityRank],0))</f>
        <v>-58.59</v>
      </c>
      <c r="J28" s="22">
        <f>INDEX(tQueue[LeadTimeFlightHours],MATCH($A28,tQueue[PriorityRank],0))</f>
        <v>12</v>
      </c>
      <c r="K28" t="str">
        <f>INDEX(tQueue[ActionCode],MATCH($A28,tQueue[PriorityRank],0))</f>
        <v>GROUND_AND_REPLACE</v>
      </c>
      <c r="L28" s="25">
        <f>INDEX(tQueue[JobHours],MATCH($A28,tQueue[PriorityRank],0))</f>
        <v>4.5</v>
      </c>
      <c r="M28" s="25">
        <f>INDEX(Calc!$C$5:$C$198,MATCH($A28,Calc!$A$5:$A$198,0))</f>
        <v>108</v>
      </c>
      <c r="N28" t="str">
        <f>IF(M28&lt;=HangarHoursPerWeek,"yes","-")</f>
        <v>yes</v>
      </c>
    </row>
    <row r="29" spans="1:14" x14ac:dyDescent="0.35">
      <c r="A29">
        <v>25</v>
      </c>
      <c r="B29" t="str">
        <f>INDEX(tQueue[TailNumber],MATCH($A29,tQueue[PriorityRank],0))</f>
        <v>MU-011</v>
      </c>
      <c r="C29" t="str">
        <f>INDEX(tQueue[BaseCode],MATCH($A29,tQueue[PriorityRank],0))</f>
        <v>HIGHLND</v>
      </c>
      <c r="D29" t="str">
        <f>INDEX(tQueue[ComponentCode],MATCH($A29,tQueue[PriorityRank],0))</f>
        <v>MOTOR-ESC</v>
      </c>
      <c r="E29">
        <f>INDEX(tQueue[PositionNo],MATCH($A29,tQueue[PriorityRank],0))</f>
        <v>3</v>
      </c>
      <c r="F29" t="str">
        <f>INDEX(tQueue[Criticality],MATCH($A29,tQueue[PriorityRank],0))</f>
        <v>FlightCritical</v>
      </c>
      <c r="G29" s="22">
        <f>INDEX(tQueue[PctOfHourInterval],MATCH($A29,tQueue[PriorityRank],0))</f>
        <v>71.150000000000006</v>
      </c>
      <c r="H29" s="22">
        <f>INDEX(tQueue[PctOfStressInterval],MATCH($A29,tQueue[PriorityRank],0))</f>
        <v>153.08000000000001</v>
      </c>
      <c r="I29" s="22">
        <f>INDEX(tQueue[ProjectedFlightHoursToStressLimit],MATCH($A29,tQueue[PriorityRank],0))</f>
        <v>-48.79</v>
      </c>
      <c r="J29" s="22">
        <f>INDEX(tQueue[LeadTimeFlightHours],MATCH($A29,tQueue[PriorityRank],0))</f>
        <v>12</v>
      </c>
      <c r="K29" t="str">
        <f>INDEX(tQueue[ActionCode],MATCH($A29,tQueue[PriorityRank],0))</f>
        <v>GROUND_AND_REPLACE</v>
      </c>
      <c r="L29" s="25">
        <f>INDEX(tQueue[JobHours],MATCH($A29,tQueue[PriorityRank],0))</f>
        <v>4.5</v>
      </c>
      <c r="M29" s="25">
        <f>INDEX(Calc!$C$5:$C$198,MATCH($A29,Calc!$A$5:$A$198,0))</f>
        <v>112.5</v>
      </c>
      <c r="N29" t="str">
        <f>IF(M29&lt;=HangarHoursPerWeek,"yes","-")</f>
        <v>yes</v>
      </c>
    </row>
    <row r="30" spans="1:14" x14ac:dyDescent="0.35">
      <c r="A30">
        <v>26</v>
      </c>
      <c r="B30" t="str">
        <f>INDEX(tQueue[TailNumber],MATCH($A30,tQueue[PriorityRank],0))</f>
        <v>MU-005</v>
      </c>
      <c r="C30" t="str">
        <f>INDEX(tQueue[BaseCode],MATCH($A30,tQueue[PriorityRank],0))</f>
        <v>PORT</v>
      </c>
      <c r="D30" t="str">
        <f>INDEX(tQueue[ComponentCode],MATCH($A30,tQueue[PriorityRank],0))</f>
        <v>MOTOR-ESC</v>
      </c>
      <c r="E30">
        <f>INDEX(tQueue[PositionNo],MATCH($A30,tQueue[PriorityRank],0))</f>
        <v>3</v>
      </c>
      <c r="F30" t="str">
        <f>INDEX(tQueue[Criticality],MATCH($A30,tQueue[PriorityRank],0))</f>
        <v>FlightCritical</v>
      </c>
      <c r="G30" s="22">
        <f>INDEX(tQueue[PctOfHourInterval],MATCH($A30,tQueue[PriorityRank],0))</f>
        <v>75.290000000000006</v>
      </c>
      <c r="H30" s="22">
        <f>INDEX(tQueue[PctOfStressInterval],MATCH($A30,tQueue[PriorityRank],0))</f>
        <v>152.47</v>
      </c>
      <c r="I30" s="22">
        <f>INDEX(tQueue[ProjectedFlightHoursToStressLimit],MATCH($A30,tQueue[PriorityRank],0))</f>
        <v>-54.86</v>
      </c>
      <c r="J30" s="22">
        <f>INDEX(tQueue[LeadTimeFlightHours],MATCH($A30,tQueue[PriorityRank],0))</f>
        <v>12</v>
      </c>
      <c r="K30" t="str">
        <f>INDEX(tQueue[ActionCode],MATCH($A30,tQueue[PriorityRank],0))</f>
        <v>GROUND_AND_REPLACE</v>
      </c>
      <c r="L30" s="25">
        <f>INDEX(tQueue[JobHours],MATCH($A30,tQueue[PriorityRank],0))</f>
        <v>4.5</v>
      </c>
      <c r="M30" s="25">
        <f>INDEX(Calc!$C$5:$C$198,MATCH($A30,Calc!$A$5:$A$198,0))</f>
        <v>117</v>
      </c>
      <c r="N30" t="str">
        <f>IF(M30&lt;=HangarHoursPerWeek,"yes","-")</f>
        <v>yes</v>
      </c>
    </row>
    <row r="31" spans="1:14" x14ac:dyDescent="0.35">
      <c r="A31">
        <v>27</v>
      </c>
      <c r="B31" t="str">
        <f>INDEX(tQueue[TailNumber],MATCH($A31,tQueue[PriorityRank],0))</f>
        <v>MU-025</v>
      </c>
      <c r="C31" t="str">
        <f>INDEX(tQueue[BaseCode],MATCH($A31,tQueue[PriorityRank],0))</f>
        <v>HIGHLND</v>
      </c>
      <c r="D31" t="str">
        <f>INDEX(tQueue[ComponentCode],MATCH($A31,tQueue[PriorityRank],0))</f>
        <v>BATT-PACK</v>
      </c>
      <c r="E31">
        <f>INDEX(tQueue[PositionNo],MATCH($A31,tQueue[PriorityRank],0))</f>
        <v>1</v>
      </c>
      <c r="F31" t="str">
        <f>INDEX(tQueue[Criticality],MATCH($A31,tQueue[PriorityRank],0))</f>
        <v>FlightCritical</v>
      </c>
      <c r="G31" s="22">
        <f>INDEX(tQueue[PctOfHourInterval],MATCH($A31,tQueue[PriorityRank],0))</f>
        <v>85.6</v>
      </c>
      <c r="H31" s="22">
        <f>INDEX(tQueue[PctOfStressInterval],MATCH($A31,tQueue[PriorityRank],0))</f>
        <v>186.2</v>
      </c>
      <c r="I31" s="22">
        <f>INDEX(tQueue[ProjectedFlightHoursToStressLimit],MATCH($A31,tQueue[PriorityRank],0))</f>
        <v>-47.63</v>
      </c>
      <c r="J31" s="22">
        <f>INDEX(tQueue[LeadTimeFlightHours],MATCH($A31,tQueue[PriorityRank],0))</f>
        <v>8</v>
      </c>
      <c r="K31" t="str">
        <f>INDEX(tQueue[ActionCode],MATCH($A31,tQueue[PriorityRank],0))</f>
        <v>GROUND_AND_REPLACE</v>
      </c>
      <c r="L31" s="25">
        <f>INDEX(tQueue[JobHours],MATCH($A31,tQueue[PriorityRank],0))</f>
        <v>4.5</v>
      </c>
      <c r="M31" s="25">
        <f>INDEX(Calc!$C$5:$C$198,MATCH($A31,Calc!$A$5:$A$198,0))</f>
        <v>121.5</v>
      </c>
      <c r="N31" t="str">
        <f>IF(M31&lt;=HangarHoursPerWeek,"yes","-")</f>
        <v>-</v>
      </c>
    </row>
    <row r="32" spans="1:14" x14ac:dyDescent="0.35">
      <c r="A32">
        <v>28</v>
      </c>
      <c r="B32" t="str">
        <f>INDEX(tQueue[TailNumber],MATCH($A32,tQueue[PriorityRank],0))</f>
        <v>MU-020</v>
      </c>
      <c r="C32" t="str">
        <f>INDEX(tQueue[BaseCode],MATCH($A32,tQueue[PriorityRank],0))</f>
        <v>HIGHLND</v>
      </c>
      <c r="D32" t="str">
        <f>INDEX(tQueue[ComponentCode],MATCH($A32,tQueue[PriorityRank],0))</f>
        <v>BATT-PACK</v>
      </c>
      <c r="E32">
        <f>INDEX(tQueue[PositionNo],MATCH($A32,tQueue[PriorityRank],0))</f>
        <v>2</v>
      </c>
      <c r="F32" t="str">
        <f>INDEX(tQueue[Criticality],MATCH($A32,tQueue[PriorityRank],0))</f>
        <v>FlightCritical</v>
      </c>
      <c r="G32" s="22">
        <f>INDEX(tQueue[PctOfHourInterval],MATCH($A32,tQueue[PriorityRank],0))</f>
        <v>83.69</v>
      </c>
      <c r="H32" s="22">
        <f>INDEX(tQueue[PctOfStressInterval],MATCH($A32,tQueue[PriorityRank],0))</f>
        <v>180.86</v>
      </c>
      <c r="I32" s="22">
        <f>INDEX(tQueue[ProjectedFlightHoursToStressLimit],MATCH($A32,tQueue[PriorityRank],0))</f>
        <v>-42.97</v>
      </c>
      <c r="J32" s="22">
        <f>INDEX(tQueue[LeadTimeFlightHours],MATCH($A32,tQueue[PriorityRank],0))</f>
        <v>8</v>
      </c>
      <c r="K32" t="str">
        <f>INDEX(tQueue[ActionCode],MATCH($A32,tQueue[PriorityRank],0))</f>
        <v>GROUND_AND_REPLACE</v>
      </c>
      <c r="L32" s="25">
        <f>INDEX(tQueue[JobHours],MATCH($A32,tQueue[PriorityRank],0))</f>
        <v>4.5</v>
      </c>
      <c r="M32" s="25">
        <f>INDEX(Calc!$C$5:$C$198,MATCH($A32,Calc!$A$5:$A$198,0))</f>
        <v>126</v>
      </c>
      <c r="N32" t="str">
        <f>IF(M32&lt;=HangarHoursPerWeek,"yes","-")</f>
        <v>-</v>
      </c>
    </row>
    <row r="33" spans="1:14" x14ac:dyDescent="0.35">
      <c r="A33">
        <v>29</v>
      </c>
      <c r="B33" t="str">
        <f>INDEX(tQueue[TailNumber],MATCH($A33,tQueue[PriorityRank],0))</f>
        <v>MU-016</v>
      </c>
      <c r="C33" t="str">
        <f>INDEX(tQueue[BaseCode],MATCH($A33,tQueue[PriorityRank],0))</f>
        <v>PORT</v>
      </c>
      <c r="D33" t="str">
        <f>INDEX(tQueue[ComponentCode],MATCH($A33,tQueue[PriorityRank],0))</f>
        <v>ROTOR-ASSY</v>
      </c>
      <c r="E33">
        <f>INDEX(tQueue[PositionNo],MATCH($A33,tQueue[PriorityRank],0))</f>
        <v>2</v>
      </c>
      <c r="F33" t="str">
        <f>INDEX(tQueue[Criticality],MATCH($A33,tQueue[PriorityRank],0))</f>
        <v>FlightCritical</v>
      </c>
      <c r="G33" s="22">
        <f>INDEX(tQueue[PctOfHourInterval],MATCH($A33,tQueue[PriorityRank],0))</f>
        <v>82.43</v>
      </c>
      <c r="H33" s="22">
        <f>INDEX(tQueue[PctOfStressInterval],MATCH($A33,tQueue[PriorityRank],0))</f>
        <v>162.63999999999999</v>
      </c>
      <c r="I33" s="22">
        <f>INDEX(tQueue[ProjectedFlightHoursToStressLimit],MATCH($A33,tQueue[PriorityRank],0))</f>
        <v>-48.97</v>
      </c>
      <c r="J33" s="22">
        <f>INDEX(tQueue[LeadTimeFlightHours],MATCH($A33,tQueue[PriorityRank],0))</f>
        <v>18</v>
      </c>
      <c r="K33" t="str">
        <f>INDEX(tQueue[ActionCode],MATCH($A33,tQueue[PriorityRank],0))</f>
        <v>GROUND_AND_REPLACE</v>
      </c>
      <c r="L33" s="25">
        <f>INDEX(tQueue[JobHours],MATCH($A33,tQueue[PriorityRank],0))</f>
        <v>4.5</v>
      </c>
      <c r="M33" s="25">
        <f>INDEX(Calc!$C$5:$C$198,MATCH($A33,Calc!$A$5:$A$198,0))</f>
        <v>130.5</v>
      </c>
      <c r="N33" t="str">
        <f>IF(M33&lt;=HangarHoursPerWeek,"yes","-")</f>
        <v>-</v>
      </c>
    </row>
    <row r="34" spans="1:14" x14ac:dyDescent="0.35">
      <c r="A34">
        <v>30</v>
      </c>
      <c r="B34" t="str">
        <f>INDEX(tQueue[TailNumber],MATCH($A34,tQueue[PriorityRank],0))</f>
        <v>MU-008</v>
      </c>
      <c r="C34" t="str">
        <f>INDEX(tQueue[BaseCode],MATCH($A34,tQueue[PriorityRank],0))</f>
        <v>HIGHLND</v>
      </c>
      <c r="D34" t="str">
        <f>INDEX(tQueue[ComponentCode],MATCH($A34,tQueue[PriorityRank],0))</f>
        <v>BATT-PACK</v>
      </c>
      <c r="E34">
        <f>INDEX(tQueue[PositionNo],MATCH($A34,tQueue[PriorityRank],0))</f>
        <v>2</v>
      </c>
      <c r="F34" t="str">
        <f>INDEX(tQueue[Criticality],MATCH($A34,tQueue[PriorityRank],0))</f>
        <v>FlightCritical</v>
      </c>
      <c r="G34" s="22">
        <f>INDEX(tQueue[PctOfHourInterval],MATCH($A34,tQueue[PriorityRank],0))</f>
        <v>80.540000000000006</v>
      </c>
      <c r="H34" s="22">
        <f>INDEX(tQueue[PctOfStressInterval],MATCH($A34,tQueue[PriorityRank],0))</f>
        <v>177.65</v>
      </c>
      <c r="I34" s="22">
        <f>INDEX(tQueue[ProjectedFlightHoursToStressLimit],MATCH($A34,tQueue[PriorityRank],0))</f>
        <v>-40.33</v>
      </c>
      <c r="J34" s="22">
        <f>INDEX(tQueue[LeadTimeFlightHours],MATCH($A34,tQueue[PriorityRank],0))</f>
        <v>8</v>
      </c>
      <c r="K34" t="str">
        <f>INDEX(tQueue[ActionCode],MATCH($A34,tQueue[PriorityRank],0))</f>
        <v>GROUND_AND_REPLACE</v>
      </c>
      <c r="L34" s="25">
        <f>INDEX(tQueue[JobHours],MATCH($A34,tQueue[PriorityRank],0))</f>
        <v>4.5</v>
      </c>
      <c r="M34" s="25">
        <f>INDEX(Calc!$C$5:$C$198,MATCH($A34,Calc!$A$5:$A$198,0))</f>
        <v>135</v>
      </c>
      <c r="N34" t="str">
        <f>IF(M34&lt;=HangarHoursPerWeek,"yes","-")</f>
        <v>-</v>
      </c>
    </row>
    <row r="35" spans="1:14" x14ac:dyDescent="0.35">
      <c r="A35">
        <v>31</v>
      </c>
      <c r="B35" t="str">
        <f>INDEX(tQueue[TailNumber],MATCH($A35,tQueue[PriorityRank],0))</f>
        <v>MU-014</v>
      </c>
      <c r="C35" t="str">
        <f>INDEX(tQueue[BaseCode],MATCH($A35,tQueue[PriorityRank],0))</f>
        <v>PORT</v>
      </c>
      <c r="D35" t="str">
        <f>INDEX(tQueue[ComponentCode],MATCH($A35,tQueue[PriorityRank],0))</f>
        <v>MOTOR-ESC</v>
      </c>
      <c r="E35">
        <f>INDEX(tQueue[PositionNo],MATCH($A35,tQueue[PriorityRank],0))</f>
        <v>4</v>
      </c>
      <c r="F35" t="str">
        <f>INDEX(tQueue[Criticality],MATCH($A35,tQueue[PriorityRank],0))</f>
        <v>FlightCritical</v>
      </c>
      <c r="G35" s="22">
        <f>INDEX(tQueue[PctOfHourInterval],MATCH($A35,tQueue[PriorityRank],0))</f>
        <v>73.41</v>
      </c>
      <c r="H35" s="22">
        <f>INDEX(tQueue[PctOfStressInterval],MATCH($A35,tQueue[PriorityRank],0))</f>
        <v>145.86000000000001</v>
      </c>
      <c r="I35" s="22">
        <f>INDEX(tQueue[ProjectedFlightHoursToStressLimit],MATCH($A35,tQueue[PriorityRank],0))</f>
        <v>-49.12</v>
      </c>
      <c r="J35" s="22">
        <f>INDEX(tQueue[LeadTimeFlightHours],MATCH($A35,tQueue[PriorityRank],0))</f>
        <v>12</v>
      </c>
      <c r="K35" t="str">
        <f>INDEX(tQueue[ActionCode],MATCH($A35,tQueue[PriorityRank],0))</f>
        <v>GROUND_AND_REPLACE</v>
      </c>
      <c r="L35" s="25">
        <f>INDEX(tQueue[JobHours],MATCH($A35,tQueue[PriorityRank],0))</f>
        <v>4.5</v>
      </c>
      <c r="M35" s="25">
        <f>INDEX(Calc!$C$5:$C$198,MATCH($A35,Calc!$A$5:$A$198,0))</f>
        <v>139.5</v>
      </c>
      <c r="N35" t="str">
        <f>IF(M35&lt;=HangarHoursPerWeek,"yes","-")</f>
        <v>-</v>
      </c>
    </row>
    <row r="36" spans="1:14" x14ac:dyDescent="0.35">
      <c r="A36">
        <v>32</v>
      </c>
      <c r="B36" t="str">
        <f>INDEX(tQueue[TailNumber],MATCH($A36,tQueue[PriorityRank],0))</f>
        <v>MU-016</v>
      </c>
      <c r="C36" t="str">
        <f>INDEX(tQueue[BaseCode],MATCH($A36,tQueue[PriorityRank],0))</f>
        <v>PORT</v>
      </c>
      <c r="D36" t="str">
        <f>INDEX(tQueue[ComponentCode],MATCH($A36,tQueue[PriorityRank],0))</f>
        <v>MOTOR-ESC</v>
      </c>
      <c r="E36">
        <f>INDEX(tQueue[PositionNo],MATCH($A36,tQueue[PriorityRank],0))</f>
        <v>3</v>
      </c>
      <c r="F36" t="str">
        <f>INDEX(tQueue[Criticality],MATCH($A36,tQueue[PriorityRank],0))</f>
        <v>FlightCritical</v>
      </c>
      <c r="G36" s="22">
        <f>INDEX(tQueue[PctOfHourInterval],MATCH($A36,tQueue[PriorityRank],0))</f>
        <v>72.88</v>
      </c>
      <c r="H36" s="22">
        <f>INDEX(tQueue[PctOfStressInterval],MATCH($A36,tQueue[PriorityRank],0))</f>
        <v>142.91</v>
      </c>
      <c r="I36" s="22">
        <f>INDEX(tQueue[ProjectedFlightHoursToStressLimit],MATCH($A36,tQueue[PriorityRank],0))</f>
        <v>-44.73</v>
      </c>
      <c r="J36" s="22">
        <f>INDEX(tQueue[LeadTimeFlightHours],MATCH($A36,tQueue[PriorityRank],0))</f>
        <v>12</v>
      </c>
      <c r="K36" t="str">
        <f>INDEX(tQueue[ActionCode],MATCH($A36,tQueue[PriorityRank],0))</f>
        <v>GROUND_AND_REPLACE</v>
      </c>
      <c r="L36" s="25">
        <f>INDEX(tQueue[JobHours],MATCH($A36,tQueue[PriorityRank],0))</f>
        <v>4.5</v>
      </c>
      <c r="M36" s="25">
        <f>INDEX(Calc!$C$5:$C$198,MATCH($A36,Calc!$A$5:$A$198,0))</f>
        <v>144</v>
      </c>
      <c r="N36" t="str">
        <f>IF(M36&lt;=HangarHoursPerWeek,"yes","-")</f>
        <v>-</v>
      </c>
    </row>
    <row r="37" spans="1:14" x14ac:dyDescent="0.35">
      <c r="A37">
        <v>33</v>
      </c>
      <c r="B37" t="str">
        <f>INDEX(tQueue[TailNumber],MATCH($A37,tQueue[PriorityRank],0))</f>
        <v>MU-026</v>
      </c>
      <c r="C37" t="str">
        <f>INDEX(tQueue[BaseCode],MATCH($A37,tQueue[PriorityRank],0))</f>
        <v>ACADEMY</v>
      </c>
      <c r="D37" t="str">
        <f>INDEX(tQueue[ComponentCode],MATCH($A37,tQueue[PriorityRank],0))</f>
        <v>MOTOR-ESC</v>
      </c>
      <c r="E37">
        <f>INDEX(tQueue[PositionNo],MATCH($A37,tQueue[PriorityRank],0))</f>
        <v>2</v>
      </c>
      <c r="F37" t="str">
        <f>INDEX(tQueue[Criticality],MATCH($A37,tQueue[PriorityRank],0))</f>
        <v>FlightCritical</v>
      </c>
      <c r="G37" s="22">
        <f>INDEX(tQueue[PctOfHourInterval],MATCH($A37,tQueue[PriorityRank],0))</f>
        <v>74.84</v>
      </c>
      <c r="H37" s="22">
        <f>INDEX(tQueue[PctOfStressInterval],MATCH($A37,tQueue[PriorityRank],0))</f>
        <v>141.5</v>
      </c>
      <c r="I37" s="22">
        <f>INDEX(tQueue[ProjectedFlightHoursToStressLimit],MATCH($A37,tQueue[PriorityRank],0))</f>
        <v>-43.01</v>
      </c>
      <c r="J37" s="22">
        <f>INDEX(tQueue[LeadTimeFlightHours],MATCH($A37,tQueue[PriorityRank],0))</f>
        <v>12</v>
      </c>
      <c r="K37" t="str">
        <f>INDEX(tQueue[ActionCode],MATCH($A37,tQueue[PriorityRank],0))</f>
        <v>GROUND_AND_REPLACE</v>
      </c>
      <c r="L37" s="25">
        <f>INDEX(tQueue[JobHours],MATCH($A37,tQueue[PriorityRank],0))</f>
        <v>4.5</v>
      </c>
      <c r="M37" s="25">
        <f>INDEX(Calc!$C$5:$C$198,MATCH($A37,Calc!$A$5:$A$198,0))</f>
        <v>148.5</v>
      </c>
      <c r="N37" t="str">
        <f>IF(M37&lt;=HangarHoursPerWeek,"yes","-")</f>
        <v>-</v>
      </c>
    </row>
    <row r="38" spans="1:14" x14ac:dyDescent="0.35">
      <c r="A38">
        <v>34</v>
      </c>
      <c r="B38" t="str">
        <f>INDEX(tQueue[TailNumber],MATCH($A38,tQueue[PriorityRank],0))</f>
        <v>MU-001</v>
      </c>
      <c r="C38" t="str">
        <f>INDEX(tQueue[BaseCode],MATCH($A38,tQueue[PriorityRank],0))</f>
        <v>PORT</v>
      </c>
      <c r="D38" t="str">
        <f>INDEX(tQueue[ComponentCode],MATCH($A38,tQueue[PriorityRank],0))</f>
        <v>MOTOR-ESC</v>
      </c>
      <c r="E38">
        <f>INDEX(tQueue[PositionNo],MATCH($A38,tQueue[PriorityRank],0))</f>
        <v>3</v>
      </c>
      <c r="F38" t="str">
        <f>INDEX(tQueue[Criticality],MATCH($A38,tQueue[PriorityRank],0))</f>
        <v>FlightCritical</v>
      </c>
      <c r="G38" s="22">
        <f>INDEX(tQueue[PctOfHourInterval],MATCH($A38,tQueue[PriorityRank],0))</f>
        <v>67.7</v>
      </c>
      <c r="H38" s="22">
        <f>INDEX(tQueue[PctOfStressInterval],MATCH($A38,tQueue[PriorityRank],0))</f>
        <v>139.74</v>
      </c>
      <c r="I38" s="22">
        <f>INDEX(tQueue[ProjectedFlightHoursToStressLimit],MATCH($A38,tQueue[PriorityRank],0))</f>
        <v>-38.520000000000003</v>
      </c>
      <c r="J38" s="22">
        <f>INDEX(tQueue[LeadTimeFlightHours],MATCH($A38,tQueue[PriorityRank],0))</f>
        <v>12</v>
      </c>
      <c r="K38" t="str">
        <f>INDEX(tQueue[ActionCode],MATCH($A38,tQueue[PriorityRank],0))</f>
        <v>GROUND_AND_REPLACE</v>
      </c>
      <c r="L38" s="25">
        <f>INDEX(tQueue[JobHours],MATCH($A38,tQueue[PriorityRank],0))</f>
        <v>4.5</v>
      </c>
      <c r="M38" s="25">
        <f>INDEX(Calc!$C$5:$C$198,MATCH($A38,Calc!$A$5:$A$198,0))</f>
        <v>153</v>
      </c>
      <c r="N38" t="str">
        <f>IF(M38&lt;=HangarHoursPerWeek,"yes","-")</f>
        <v>-</v>
      </c>
    </row>
    <row r="39" spans="1:14" x14ac:dyDescent="0.35">
      <c r="A39">
        <v>35</v>
      </c>
      <c r="B39" t="str">
        <f>INDEX(tQueue[TailNumber],MATCH($A39,tQueue[PriorityRank],0))</f>
        <v>MU-008</v>
      </c>
      <c r="C39" t="str">
        <f>INDEX(tQueue[BaseCode],MATCH($A39,tQueue[PriorityRank],0))</f>
        <v>HIGHLND</v>
      </c>
      <c r="D39" t="str">
        <f>INDEX(tQueue[ComponentCode],MATCH($A39,tQueue[PriorityRank],0))</f>
        <v>ROTOR-ASSY</v>
      </c>
      <c r="E39">
        <f>INDEX(tQueue[PositionNo],MATCH($A39,tQueue[PriorityRank],0))</f>
        <v>4</v>
      </c>
      <c r="F39" t="str">
        <f>INDEX(tQueue[Criticality],MATCH($A39,tQueue[PriorityRank],0))</f>
        <v>FlightCritical</v>
      </c>
      <c r="G39" s="22">
        <f>INDEX(tQueue[PctOfHourInterval],MATCH($A39,tQueue[PriorityRank],0))</f>
        <v>68.23</v>
      </c>
      <c r="H39" s="22">
        <f>INDEX(tQueue[PctOfStressInterval],MATCH($A39,tQueue[PriorityRank],0))</f>
        <v>151.72999999999999</v>
      </c>
      <c r="I39" s="22">
        <f>INDEX(tQueue[ProjectedFlightHoursToStressLimit],MATCH($A39,tQueue[PriorityRank],0))</f>
        <v>-33.590000000000003</v>
      </c>
      <c r="J39" s="22">
        <f>INDEX(tQueue[LeadTimeFlightHours],MATCH($A39,tQueue[PriorityRank],0))</f>
        <v>18</v>
      </c>
      <c r="K39" t="str">
        <f>INDEX(tQueue[ActionCode],MATCH($A39,tQueue[PriorityRank],0))</f>
        <v>GROUND_AND_REPLACE</v>
      </c>
      <c r="L39" s="25">
        <f>INDEX(tQueue[JobHours],MATCH($A39,tQueue[PriorityRank],0))</f>
        <v>4.5</v>
      </c>
      <c r="M39" s="25">
        <f>INDEX(Calc!$C$5:$C$198,MATCH($A39,Calc!$A$5:$A$198,0))</f>
        <v>157.5</v>
      </c>
      <c r="N39" t="str">
        <f>IF(M39&lt;=HangarHoursPerWeek,"yes","-")</f>
        <v>-</v>
      </c>
    </row>
    <row r="40" spans="1:14" x14ac:dyDescent="0.35">
      <c r="A40">
        <v>36</v>
      </c>
      <c r="B40" t="str">
        <f>INDEX(tQueue[TailNumber],MATCH($A40,tQueue[PriorityRank],0))</f>
        <v>MU-011</v>
      </c>
      <c r="C40" t="str">
        <f>INDEX(tQueue[BaseCode],MATCH($A40,tQueue[PriorityRank],0))</f>
        <v>HIGHLND</v>
      </c>
      <c r="D40" t="str">
        <f>INDEX(tQueue[ComponentCode],MATCH($A40,tQueue[PriorityRank],0))</f>
        <v>ROTOR-ASSY</v>
      </c>
      <c r="E40">
        <f>INDEX(tQueue[PositionNo],MATCH($A40,tQueue[PriorityRank],0))</f>
        <v>4</v>
      </c>
      <c r="F40" t="str">
        <f>INDEX(tQueue[Criticality],MATCH($A40,tQueue[PriorityRank],0))</f>
        <v>FlightCritical</v>
      </c>
      <c r="G40" s="22">
        <f>INDEX(tQueue[PctOfHourInterval],MATCH($A40,tQueue[PriorityRank],0))</f>
        <v>70.290000000000006</v>
      </c>
      <c r="H40" s="22">
        <f>INDEX(tQueue[PctOfStressInterval],MATCH($A40,tQueue[PriorityRank],0))</f>
        <v>150.01</v>
      </c>
      <c r="I40" s="22">
        <f>INDEX(tQueue[ProjectedFlightHoursToStressLimit],MATCH($A40,tQueue[PriorityRank],0))</f>
        <v>-34.47</v>
      </c>
      <c r="J40" s="22">
        <f>INDEX(tQueue[LeadTimeFlightHours],MATCH($A40,tQueue[PriorityRank],0))</f>
        <v>18</v>
      </c>
      <c r="K40" t="str">
        <f>INDEX(tQueue[ActionCode],MATCH($A40,tQueue[PriorityRank],0))</f>
        <v>GROUND_AND_REPLACE</v>
      </c>
      <c r="L40" s="25">
        <f>INDEX(tQueue[JobHours],MATCH($A40,tQueue[PriorityRank],0))</f>
        <v>4.5</v>
      </c>
      <c r="M40" s="25">
        <f>INDEX(Calc!$C$5:$C$198,MATCH($A40,Calc!$A$5:$A$198,0))</f>
        <v>162</v>
      </c>
      <c r="N40" t="str">
        <f>IF(M40&lt;=HangarHoursPerWeek,"yes","-")</f>
        <v>-</v>
      </c>
    </row>
    <row r="41" spans="1:14" x14ac:dyDescent="0.35">
      <c r="A41">
        <v>37</v>
      </c>
      <c r="B41" t="str">
        <f>INDEX(tQueue[TailNumber],MATCH($A41,tQueue[PriorityRank],0))</f>
        <v>MU-026</v>
      </c>
      <c r="C41" t="str">
        <f>INDEX(tQueue[BaseCode],MATCH($A41,tQueue[PriorityRank],0))</f>
        <v>ACADEMY</v>
      </c>
      <c r="D41" t="str">
        <f>INDEX(tQueue[ComponentCode],MATCH($A41,tQueue[PriorityRank],0))</f>
        <v>BATT-PACK</v>
      </c>
      <c r="E41">
        <f>INDEX(tQueue[PositionNo],MATCH($A41,tQueue[PriorityRank],0))</f>
        <v>2</v>
      </c>
      <c r="F41" t="str">
        <f>INDEX(tQueue[Criticality],MATCH($A41,tQueue[PriorityRank],0))</f>
        <v>FlightCritical</v>
      </c>
      <c r="G41" s="22">
        <f>INDEX(tQueue[PctOfHourInterval],MATCH($A41,tQueue[PriorityRank],0))</f>
        <v>84.81</v>
      </c>
      <c r="H41" s="22">
        <f>INDEX(tQueue[PctOfStressInterval],MATCH($A41,tQueue[PriorityRank],0))</f>
        <v>158.13</v>
      </c>
      <c r="I41" s="22">
        <f>INDEX(tQueue[ProjectedFlightHoursToStressLimit],MATCH($A41,tQueue[PriorityRank],0))</f>
        <v>-36.14</v>
      </c>
      <c r="J41" s="22">
        <f>INDEX(tQueue[LeadTimeFlightHours],MATCH($A41,tQueue[PriorityRank],0))</f>
        <v>8</v>
      </c>
      <c r="K41" t="str">
        <f>INDEX(tQueue[ActionCode],MATCH($A41,tQueue[PriorityRank],0))</f>
        <v>GROUND_AND_REPLACE</v>
      </c>
      <c r="L41" s="25">
        <f>INDEX(tQueue[JobHours],MATCH($A41,tQueue[PriorityRank],0))</f>
        <v>4.5</v>
      </c>
      <c r="M41" s="25">
        <f>INDEX(Calc!$C$5:$C$198,MATCH($A41,Calc!$A$5:$A$198,0))</f>
        <v>166.5</v>
      </c>
      <c r="N41" t="str">
        <f>IF(M41&lt;=HangarHoursPerWeek,"yes","-")</f>
        <v>-</v>
      </c>
    </row>
    <row r="42" spans="1:14" x14ac:dyDescent="0.35">
      <c r="A42">
        <v>38</v>
      </c>
      <c r="B42" t="str">
        <f>INDEX(tQueue[TailNumber],MATCH($A42,tQueue[PriorityRank],0))</f>
        <v>MU-007</v>
      </c>
      <c r="C42" t="str">
        <f>INDEX(tQueue[BaseCode],MATCH($A42,tQueue[PriorityRank],0))</f>
        <v>ACADEMY</v>
      </c>
      <c r="D42" t="str">
        <f>INDEX(tQueue[ComponentCode],MATCH($A42,tQueue[PriorityRank],0))</f>
        <v>MOTOR-ESC</v>
      </c>
      <c r="E42">
        <f>INDEX(tQueue[PositionNo],MATCH($A42,tQueue[PriorityRank],0))</f>
        <v>1</v>
      </c>
      <c r="F42" t="str">
        <f>INDEX(tQueue[Criticality],MATCH($A42,tQueue[PriorityRank],0))</f>
        <v>FlightCritical</v>
      </c>
      <c r="G42" s="22">
        <f>INDEX(tQueue[PctOfHourInterval],MATCH($A42,tQueue[PriorityRank],0))</f>
        <v>73.010000000000005</v>
      </c>
      <c r="H42" s="22">
        <f>INDEX(tQueue[PctOfStressInterval],MATCH($A42,tQueue[PriorityRank],0))</f>
        <v>134.85</v>
      </c>
      <c r="I42" s="22">
        <f>INDEX(tQueue[ProjectedFlightHoursToStressLimit],MATCH($A42,tQueue[PriorityRank],0))</f>
        <v>-40.67</v>
      </c>
      <c r="J42" s="22">
        <f>INDEX(tQueue[LeadTimeFlightHours],MATCH($A42,tQueue[PriorityRank],0))</f>
        <v>12</v>
      </c>
      <c r="K42" t="str">
        <f>INDEX(tQueue[ActionCode],MATCH($A42,tQueue[PriorityRank],0))</f>
        <v>GROUND_AND_REPLACE</v>
      </c>
      <c r="L42" s="25">
        <f>INDEX(tQueue[JobHours],MATCH($A42,tQueue[PriorityRank],0))</f>
        <v>4.5</v>
      </c>
      <c r="M42" s="25">
        <f>INDEX(Calc!$C$5:$C$198,MATCH($A42,Calc!$A$5:$A$198,0))</f>
        <v>171</v>
      </c>
      <c r="N42" t="str">
        <f>IF(M42&lt;=HangarHoursPerWeek,"yes","-")</f>
        <v>-</v>
      </c>
    </row>
    <row r="43" spans="1:14" x14ac:dyDescent="0.35">
      <c r="A43">
        <v>39</v>
      </c>
      <c r="B43" t="str">
        <f>INDEX(tQueue[TailNumber],MATCH($A43,tQueue[PriorityRank],0))</f>
        <v>MU-018</v>
      </c>
      <c r="C43" t="str">
        <f>INDEX(tQueue[BaseCode],MATCH($A43,tQueue[PriorityRank],0))</f>
        <v>HIGHLND</v>
      </c>
      <c r="D43" t="str">
        <f>INDEX(tQueue[ComponentCode],MATCH($A43,tQueue[PriorityRank],0))</f>
        <v>BATT-PACK</v>
      </c>
      <c r="E43">
        <f>INDEX(tQueue[PositionNo],MATCH($A43,tQueue[PriorityRank],0))</f>
        <v>2</v>
      </c>
      <c r="F43" t="str">
        <f>INDEX(tQueue[Criticality],MATCH($A43,tQueue[PriorityRank],0))</f>
        <v>FlightCritical</v>
      </c>
      <c r="G43" s="22">
        <f>INDEX(tQueue[PctOfHourInterval],MATCH($A43,tQueue[PriorityRank],0))</f>
        <v>70.959999999999994</v>
      </c>
      <c r="H43" s="22">
        <f>INDEX(tQueue[PctOfStressInterval],MATCH($A43,tQueue[PriorityRank],0))</f>
        <v>155.69</v>
      </c>
      <c r="I43" s="22">
        <f>INDEX(tQueue[ProjectedFlightHoursToStressLimit],MATCH($A43,tQueue[PriorityRank],0))</f>
        <v>-30.42</v>
      </c>
      <c r="J43" s="22">
        <f>INDEX(tQueue[LeadTimeFlightHours],MATCH($A43,tQueue[PriorityRank],0))</f>
        <v>8</v>
      </c>
      <c r="K43" t="str">
        <f>INDEX(tQueue[ActionCode],MATCH($A43,tQueue[PriorityRank],0))</f>
        <v>GROUND_AND_REPLACE</v>
      </c>
      <c r="L43" s="25">
        <f>INDEX(tQueue[JobHours],MATCH($A43,tQueue[PriorityRank],0))</f>
        <v>4.5</v>
      </c>
      <c r="M43" s="25">
        <f>INDEX(Calc!$C$5:$C$198,MATCH($A43,Calc!$A$5:$A$198,0))</f>
        <v>175.5</v>
      </c>
      <c r="N43" t="str">
        <f>IF(M43&lt;=HangarHoursPerWeek,"yes","-")</f>
        <v>-</v>
      </c>
    </row>
    <row r="44" spans="1:14" x14ac:dyDescent="0.35">
      <c r="A44">
        <v>40</v>
      </c>
      <c r="B44" t="str">
        <f>INDEX(tQueue[TailNumber],MATCH($A44,tQueue[PriorityRank],0))</f>
        <v>MU-011</v>
      </c>
      <c r="C44" t="str">
        <f>INDEX(tQueue[BaseCode],MATCH($A44,tQueue[PriorityRank],0))</f>
        <v>HIGHLND</v>
      </c>
      <c r="D44" t="str">
        <f>INDEX(tQueue[ComponentCode],MATCH($A44,tQueue[PriorityRank],0))</f>
        <v>MOTOR-ESC</v>
      </c>
      <c r="E44">
        <f>INDEX(tQueue[PositionNo],MATCH($A44,tQueue[PriorityRank],0))</f>
        <v>4</v>
      </c>
      <c r="F44" t="str">
        <f>INDEX(tQueue[Criticality],MATCH($A44,tQueue[PriorityRank],0))</f>
        <v>FlightCritical</v>
      </c>
      <c r="G44" s="22">
        <f>INDEX(tQueue[PctOfHourInterval],MATCH($A44,tQueue[PriorityRank],0))</f>
        <v>61.78</v>
      </c>
      <c r="H44" s="22">
        <f>INDEX(tQueue[PctOfStressInterval],MATCH($A44,tQueue[PriorityRank],0))</f>
        <v>133.36000000000001</v>
      </c>
      <c r="I44" s="22">
        <f>INDEX(tQueue[ProjectedFlightHoursToStressLimit],MATCH($A44,tQueue[PriorityRank],0))</f>
        <v>-30.66</v>
      </c>
      <c r="J44" s="22">
        <f>INDEX(tQueue[LeadTimeFlightHours],MATCH($A44,tQueue[PriorityRank],0))</f>
        <v>12</v>
      </c>
      <c r="K44" t="str">
        <f>INDEX(tQueue[ActionCode],MATCH($A44,tQueue[PriorityRank],0))</f>
        <v>GROUND_AND_REPLACE</v>
      </c>
      <c r="L44" s="25">
        <f>INDEX(tQueue[JobHours],MATCH($A44,tQueue[PriorityRank],0))</f>
        <v>4.5</v>
      </c>
      <c r="M44" s="25">
        <f>INDEX(Calc!$C$5:$C$198,MATCH($A44,Calc!$A$5:$A$198,0))</f>
        <v>180</v>
      </c>
      <c r="N44" t="str">
        <f>IF(M44&lt;=HangarHoursPerWeek,"yes","-")</f>
        <v>-</v>
      </c>
    </row>
    <row r="45" spans="1:14" x14ac:dyDescent="0.35">
      <c r="A45">
        <v>41</v>
      </c>
      <c r="B45" t="str">
        <f>INDEX(tQueue[TailNumber],MATCH($A45,tQueue[PriorityRank],0))</f>
        <v>MU-016</v>
      </c>
      <c r="C45" t="str">
        <f>INDEX(tQueue[BaseCode],MATCH($A45,tQueue[PriorityRank],0))</f>
        <v>PORT</v>
      </c>
      <c r="D45" t="str">
        <f>INDEX(tQueue[ComponentCode],MATCH($A45,tQueue[PriorityRank],0))</f>
        <v>MOTOR-ESC</v>
      </c>
      <c r="E45">
        <f>INDEX(tQueue[PositionNo],MATCH($A45,tQueue[PriorityRank],0))</f>
        <v>4</v>
      </c>
      <c r="F45" t="str">
        <f>INDEX(tQueue[Criticality],MATCH($A45,tQueue[PriorityRank],0))</f>
        <v>FlightCritical</v>
      </c>
      <c r="G45" s="22">
        <f>INDEX(tQueue[PctOfHourInterval],MATCH($A45,tQueue[PriorityRank],0))</f>
        <v>67.55</v>
      </c>
      <c r="H45" s="22">
        <f>INDEX(tQueue[PctOfStressInterval],MATCH($A45,tQueue[PriorityRank],0))</f>
        <v>132.88</v>
      </c>
      <c r="I45" s="22">
        <f>INDEX(tQueue[ProjectedFlightHoursToStressLimit],MATCH($A45,tQueue[PriorityRank],0))</f>
        <v>-34.270000000000003</v>
      </c>
      <c r="J45" s="22">
        <f>INDEX(tQueue[LeadTimeFlightHours],MATCH($A45,tQueue[PriorityRank],0))</f>
        <v>12</v>
      </c>
      <c r="K45" t="str">
        <f>INDEX(tQueue[ActionCode],MATCH($A45,tQueue[PriorityRank],0))</f>
        <v>GROUND_AND_REPLACE</v>
      </c>
      <c r="L45" s="25">
        <f>INDEX(tQueue[JobHours],MATCH($A45,tQueue[PriorityRank],0))</f>
        <v>4.5</v>
      </c>
      <c r="M45" s="25">
        <f>INDEX(Calc!$C$5:$C$198,MATCH($A45,Calc!$A$5:$A$198,0))</f>
        <v>184.5</v>
      </c>
      <c r="N45" t="str">
        <f>IF(M45&lt;=HangarHoursPerWeek,"yes","-")</f>
        <v>-</v>
      </c>
    </row>
    <row r="46" spans="1:14" x14ac:dyDescent="0.35">
      <c r="A46">
        <v>42</v>
      </c>
      <c r="B46" t="str">
        <f>INDEX(tQueue[TailNumber],MATCH($A46,tQueue[PriorityRank],0))</f>
        <v>MU-011</v>
      </c>
      <c r="C46" t="str">
        <f>INDEX(tQueue[BaseCode],MATCH($A46,tQueue[PriorityRank],0))</f>
        <v>HIGHLND</v>
      </c>
      <c r="D46" t="str">
        <f>INDEX(tQueue[ComponentCode],MATCH($A46,tQueue[PriorityRank],0))</f>
        <v>ROTOR-ASSY</v>
      </c>
      <c r="E46">
        <f>INDEX(tQueue[PositionNo],MATCH($A46,tQueue[PriorityRank],0))</f>
        <v>1</v>
      </c>
      <c r="F46" t="str">
        <f>INDEX(tQueue[Criticality],MATCH($A46,tQueue[PriorityRank],0))</f>
        <v>FlightCritical</v>
      </c>
      <c r="G46" s="22">
        <f>INDEX(tQueue[PctOfHourInterval],MATCH($A46,tQueue[PriorityRank],0))</f>
        <v>65.83</v>
      </c>
      <c r="H46" s="22">
        <f>INDEX(tQueue[PctOfStressInterval],MATCH($A46,tQueue[PriorityRank],0))</f>
        <v>142</v>
      </c>
      <c r="I46" s="22">
        <f>INDEX(tQueue[ProjectedFlightHoursToStressLimit],MATCH($A46,tQueue[PriorityRank],0))</f>
        <v>-28.95</v>
      </c>
      <c r="J46" s="22">
        <f>INDEX(tQueue[LeadTimeFlightHours],MATCH($A46,tQueue[PriorityRank],0))</f>
        <v>18</v>
      </c>
      <c r="K46" t="str">
        <f>INDEX(tQueue[ActionCode],MATCH($A46,tQueue[PriorityRank],0))</f>
        <v>GROUND_AND_REPLACE</v>
      </c>
      <c r="L46" s="25">
        <f>INDEX(tQueue[JobHours],MATCH($A46,tQueue[PriorityRank],0))</f>
        <v>4.5</v>
      </c>
      <c r="M46" s="25">
        <f>INDEX(Calc!$C$5:$C$198,MATCH($A46,Calc!$A$5:$A$198,0))</f>
        <v>189</v>
      </c>
      <c r="N46" t="str">
        <f>IF(M46&lt;=HangarHoursPerWeek,"yes","-")</f>
        <v>-</v>
      </c>
    </row>
    <row r="47" spans="1:14" x14ac:dyDescent="0.35">
      <c r="A47">
        <v>43</v>
      </c>
      <c r="B47" t="str">
        <f>INDEX(tQueue[TailNumber],MATCH($A47,tQueue[PriorityRank],0))</f>
        <v>MU-027</v>
      </c>
      <c r="C47" t="str">
        <f>INDEX(tQueue[BaseCode],MATCH($A47,tQueue[PriorityRank],0))</f>
        <v>HIGHLND</v>
      </c>
      <c r="D47" t="str">
        <f>INDEX(tQueue[ComponentCode],MATCH($A47,tQueue[PriorityRank],0))</f>
        <v>ROTOR-ASSY</v>
      </c>
      <c r="E47">
        <f>INDEX(tQueue[PositionNo],MATCH($A47,tQueue[PriorityRank],0))</f>
        <v>3</v>
      </c>
      <c r="F47" t="str">
        <f>INDEX(tQueue[Criticality],MATCH($A47,tQueue[PriorityRank],0))</f>
        <v>FlightCritical</v>
      </c>
      <c r="G47" s="22">
        <f>INDEX(tQueue[PctOfHourInterval],MATCH($A47,tQueue[PriorityRank],0))</f>
        <v>69.790000000000006</v>
      </c>
      <c r="H47" s="22">
        <f>INDEX(tQueue[PctOfStressInterval],MATCH($A47,tQueue[PriorityRank],0))</f>
        <v>140.61000000000001</v>
      </c>
      <c r="I47" s="22">
        <f>INDEX(tQueue[ProjectedFlightHoursToStressLimit],MATCH($A47,tQueue[PriorityRank],0))</f>
        <v>-31.92</v>
      </c>
      <c r="J47" s="22">
        <f>INDEX(tQueue[LeadTimeFlightHours],MATCH($A47,tQueue[PriorityRank],0))</f>
        <v>18</v>
      </c>
      <c r="K47" t="str">
        <f>INDEX(tQueue[ActionCode],MATCH($A47,tQueue[PriorityRank],0))</f>
        <v>GROUND_AND_REPLACE</v>
      </c>
      <c r="L47" s="25">
        <f>INDEX(tQueue[JobHours],MATCH($A47,tQueue[PriorityRank],0))</f>
        <v>4.5</v>
      </c>
      <c r="M47" s="25">
        <f>INDEX(Calc!$C$5:$C$198,MATCH($A47,Calc!$A$5:$A$198,0))</f>
        <v>193.5</v>
      </c>
      <c r="N47" t="str">
        <f>IF(M47&lt;=HangarHoursPerWeek,"yes","-")</f>
        <v>-</v>
      </c>
    </row>
    <row r="48" spans="1:14" x14ac:dyDescent="0.35">
      <c r="A48">
        <v>44</v>
      </c>
      <c r="B48" t="str">
        <f>INDEX(tQueue[TailNumber],MATCH($A48,tQueue[PriorityRank],0))</f>
        <v>MU-011</v>
      </c>
      <c r="C48" t="str">
        <f>INDEX(tQueue[BaseCode],MATCH($A48,tQueue[PriorityRank],0))</f>
        <v>HIGHLND</v>
      </c>
      <c r="D48" t="str">
        <f>INDEX(tQueue[ComponentCode],MATCH($A48,tQueue[PriorityRank],0))</f>
        <v>BATT-PACK</v>
      </c>
      <c r="E48">
        <f>INDEX(tQueue[PositionNo],MATCH($A48,tQueue[PriorityRank],0))</f>
        <v>1</v>
      </c>
      <c r="F48" t="str">
        <f>INDEX(tQueue[Criticality],MATCH($A48,tQueue[PriorityRank],0))</f>
        <v>FlightCritical</v>
      </c>
      <c r="G48" s="22">
        <f>INDEX(tQueue[PctOfHourInterval],MATCH($A48,tQueue[PriorityRank],0))</f>
        <v>67.64</v>
      </c>
      <c r="H48" s="22">
        <f>INDEX(tQueue[PctOfStressInterval],MATCH($A48,tQueue[PriorityRank],0))</f>
        <v>149.16</v>
      </c>
      <c r="I48" s="22">
        <f>INDEX(tQueue[ProjectedFlightHoursToStressLimit],MATCH($A48,tQueue[PriorityRank],0))</f>
        <v>-27.11</v>
      </c>
      <c r="J48" s="22">
        <f>INDEX(tQueue[LeadTimeFlightHours],MATCH($A48,tQueue[PriorityRank],0))</f>
        <v>8</v>
      </c>
      <c r="K48" t="str">
        <f>INDEX(tQueue[ActionCode],MATCH($A48,tQueue[PriorityRank],0))</f>
        <v>GROUND_AND_REPLACE</v>
      </c>
      <c r="L48" s="25">
        <f>INDEX(tQueue[JobHours],MATCH($A48,tQueue[PriorityRank],0))</f>
        <v>4.5</v>
      </c>
      <c r="M48" s="25">
        <f>INDEX(Calc!$C$5:$C$198,MATCH($A48,Calc!$A$5:$A$198,0))</f>
        <v>198</v>
      </c>
      <c r="N48" t="str">
        <f>IF(M48&lt;=HangarHoursPerWeek,"yes","-")</f>
        <v>-</v>
      </c>
    </row>
    <row r="49" spans="1:14" x14ac:dyDescent="0.35">
      <c r="A49">
        <v>45</v>
      </c>
      <c r="B49" t="str">
        <f>INDEX(tQueue[TailNumber],MATCH($A49,tQueue[PriorityRank],0))</f>
        <v>MU-007</v>
      </c>
      <c r="C49" t="str">
        <f>INDEX(tQueue[BaseCode],MATCH($A49,tQueue[PriorityRank],0))</f>
        <v>ACADEMY</v>
      </c>
      <c r="D49" t="str">
        <f>INDEX(tQueue[ComponentCode],MATCH($A49,tQueue[PriorityRank],0))</f>
        <v>BATT-PACK</v>
      </c>
      <c r="E49">
        <f>INDEX(tQueue[PositionNo],MATCH($A49,tQueue[PriorityRank],0))</f>
        <v>2</v>
      </c>
      <c r="F49" t="str">
        <f>INDEX(tQueue[Criticality],MATCH($A49,tQueue[PriorityRank],0))</f>
        <v>FlightCritical</v>
      </c>
      <c r="G49" s="22">
        <f>INDEX(tQueue[PctOfHourInterval],MATCH($A49,tQueue[PriorityRank],0))</f>
        <v>80.42</v>
      </c>
      <c r="H49" s="22">
        <f>INDEX(tQueue[PctOfStressInterval],MATCH($A49,tQueue[PriorityRank],0))</f>
        <v>148.16</v>
      </c>
      <c r="I49" s="22">
        <f>INDEX(tQueue[ProjectedFlightHoursToStressLimit],MATCH($A49,tQueue[PriorityRank],0))</f>
        <v>-33.72</v>
      </c>
      <c r="J49" s="22">
        <f>INDEX(tQueue[LeadTimeFlightHours],MATCH($A49,tQueue[PriorityRank],0))</f>
        <v>8</v>
      </c>
      <c r="K49" t="str">
        <f>INDEX(tQueue[ActionCode],MATCH($A49,tQueue[PriorityRank],0))</f>
        <v>GROUND_AND_REPLACE</v>
      </c>
      <c r="L49" s="25">
        <f>INDEX(tQueue[JobHours],MATCH($A49,tQueue[PriorityRank],0))</f>
        <v>4.5</v>
      </c>
      <c r="M49" s="25">
        <f>INDEX(Calc!$C$5:$C$198,MATCH($A49,Calc!$A$5:$A$198,0))</f>
        <v>202.5</v>
      </c>
      <c r="N49" t="str">
        <f>IF(M49&lt;=HangarHoursPerWeek,"yes","-")</f>
        <v>-</v>
      </c>
    </row>
    <row r="50" spans="1:14" x14ac:dyDescent="0.35">
      <c r="A50">
        <v>46</v>
      </c>
      <c r="B50" t="str">
        <f>INDEX(tQueue[TailNumber],MATCH($A50,tQueue[PriorityRank],0))</f>
        <v>MU-007</v>
      </c>
      <c r="C50" t="str">
        <f>INDEX(tQueue[BaseCode],MATCH($A50,tQueue[PriorityRank],0))</f>
        <v>ACADEMY</v>
      </c>
      <c r="D50" t="str">
        <f>INDEX(tQueue[ComponentCode],MATCH($A50,tQueue[PriorityRank],0))</f>
        <v>MOTOR-ESC</v>
      </c>
      <c r="E50">
        <f>INDEX(tQueue[PositionNo],MATCH($A50,tQueue[PriorityRank],0))</f>
        <v>2</v>
      </c>
      <c r="F50" t="str">
        <f>INDEX(tQueue[Criticality],MATCH($A50,tQueue[PriorityRank],0))</f>
        <v>FlightCritical</v>
      </c>
      <c r="G50" s="22">
        <f>INDEX(tQueue[PctOfHourInterval],MATCH($A50,tQueue[PriorityRank],0))</f>
        <v>68.959999999999994</v>
      </c>
      <c r="H50" s="22">
        <f>INDEX(tQueue[PctOfStressInterval],MATCH($A50,tQueue[PriorityRank],0))</f>
        <v>127.67</v>
      </c>
      <c r="I50" s="22">
        <f>INDEX(tQueue[ProjectedFlightHoursToStressLimit],MATCH($A50,tQueue[PriorityRank],0))</f>
        <v>-32.29</v>
      </c>
      <c r="J50" s="22">
        <f>INDEX(tQueue[LeadTimeFlightHours],MATCH($A50,tQueue[PriorityRank],0))</f>
        <v>12</v>
      </c>
      <c r="K50" t="str">
        <f>INDEX(tQueue[ActionCode],MATCH($A50,tQueue[PriorityRank],0))</f>
        <v>GROUND_AND_REPLACE</v>
      </c>
      <c r="L50" s="25">
        <f>INDEX(tQueue[JobHours],MATCH($A50,tQueue[PriorityRank],0))</f>
        <v>4.5</v>
      </c>
      <c r="M50" s="25">
        <f>INDEX(Calc!$C$5:$C$198,MATCH($A50,Calc!$A$5:$A$198,0))</f>
        <v>207</v>
      </c>
      <c r="N50" t="str">
        <f>IF(M50&lt;=HangarHoursPerWeek,"yes","-")</f>
        <v>-</v>
      </c>
    </row>
    <row r="51" spans="1:14" x14ac:dyDescent="0.35">
      <c r="A51">
        <v>47</v>
      </c>
      <c r="B51" t="str">
        <f>INDEX(tQueue[TailNumber],MATCH($A51,tQueue[PriorityRank],0))</f>
        <v>MU-007</v>
      </c>
      <c r="C51" t="str">
        <f>INDEX(tQueue[BaseCode],MATCH($A51,tQueue[PriorityRank],0))</f>
        <v>ACADEMY</v>
      </c>
      <c r="D51" t="str">
        <f>INDEX(tQueue[ComponentCode],MATCH($A51,tQueue[PriorityRank],0))</f>
        <v>MOTOR-ESC</v>
      </c>
      <c r="E51">
        <f>INDEX(tQueue[PositionNo],MATCH($A51,tQueue[PriorityRank],0))</f>
        <v>3</v>
      </c>
      <c r="F51" t="str">
        <f>INDEX(tQueue[Criticality],MATCH($A51,tQueue[PriorityRank],0))</f>
        <v>FlightCritical</v>
      </c>
      <c r="G51" s="22">
        <f>INDEX(tQueue[PctOfHourInterval],MATCH($A51,tQueue[PriorityRank],0))</f>
        <v>68.959999999999994</v>
      </c>
      <c r="H51" s="22">
        <f>INDEX(tQueue[PctOfStressInterval],MATCH($A51,tQueue[PriorityRank],0))</f>
        <v>127.67</v>
      </c>
      <c r="I51" s="22">
        <f>INDEX(tQueue[ProjectedFlightHoursToStressLimit],MATCH($A51,tQueue[PriorityRank],0))</f>
        <v>-32.29</v>
      </c>
      <c r="J51" s="22">
        <f>INDEX(tQueue[LeadTimeFlightHours],MATCH($A51,tQueue[PriorityRank],0))</f>
        <v>12</v>
      </c>
      <c r="K51" t="str">
        <f>INDEX(tQueue[ActionCode],MATCH($A51,tQueue[PriorityRank],0))</f>
        <v>GROUND_AND_REPLACE</v>
      </c>
      <c r="L51" s="25">
        <f>INDEX(tQueue[JobHours],MATCH($A51,tQueue[PriorityRank],0))</f>
        <v>4.5</v>
      </c>
      <c r="M51" s="25">
        <f>INDEX(Calc!$C$5:$C$198,MATCH($A51,Calc!$A$5:$A$198,0))</f>
        <v>211.5</v>
      </c>
      <c r="N51" t="str">
        <f>IF(M51&lt;=HangarHoursPerWeek,"yes","-")</f>
        <v>-</v>
      </c>
    </row>
    <row r="52" spans="1:14" x14ac:dyDescent="0.35">
      <c r="A52">
        <v>48</v>
      </c>
      <c r="B52" t="str">
        <f>INDEX(tQueue[TailNumber],MATCH($A52,tQueue[PriorityRank],0))</f>
        <v>MU-001</v>
      </c>
      <c r="C52" t="str">
        <f>INDEX(tQueue[BaseCode],MATCH($A52,tQueue[PriorityRank],0))</f>
        <v>PORT</v>
      </c>
      <c r="D52" t="str">
        <f>INDEX(tQueue[ComponentCode],MATCH($A52,tQueue[PriorityRank],0))</f>
        <v>BATT-PACK</v>
      </c>
      <c r="E52">
        <f>INDEX(tQueue[PositionNo],MATCH($A52,tQueue[PriorityRank],0))</f>
        <v>1</v>
      </c>
      <c r="F52" t="str">
        <f>INDEX(tQueue[Criticality],MATCH($A52,tQueue[PriorityRank],0))</f>
        <v>FlightCritical</v>
      </c>
      <c r="G52" s="22">
        <f>INDEX(tQueue[PctOfHourInterval],MATCH($A52,tQueue[PriorityRank],0))</f>
        <v>65.39</v>
      </c>
      <c r="H52" s="22">
        <f>INDEX(tQueue[PctOfStressInterval],MATCH($A52,tQueue[PriorityRank],0))</f>
        <v>134.9</v>
      </c>
      <c r="I52" s="22">
        <f>INDEX(tQueue[ProjectedFlightHoursToStressLimit],MATCH($A52,tQueue[PriorityRank],0))</f>
        <v>-20.29</v>
      </c>
      <c r="J52" s="22">
        <f>INDEX(tQueue[LeadTimeFlightHours],MATCH($A52,tQueue[PriorityRank],0))</f>
        <v>8</v>
      </c>
      <c r="K52" t="str">
        <f>INDEX(tQueue[ActionCode],MATCH($A52,tQueue[PriorityRank],0))</f>
        <v>GROUND_AND_REPLACE</v>
      </c>
      <c r="L52" s="25">
        <f>INDEX(tQueue[JobHours],MATCH($A52,tQueue[PriorityRank],0))</f>
        <v>4.5</v>
      </c>
      <c r="M52" s="25">
        <f>INDEX(Calc!$C$5:$C$198,MATCH($A52,Calc!$A$5:$A$198,0))</f>
        <v>216</v>
      </c>
      <c r="N52" t="str">
        <f>IF(M52&lt;=HangarHoursPerWeek,"yes","-")</f>
        <v>-</v>
      </c>
    </row>
    <row r="53" spans="1:14" x14ac:dyDescent="0.35">
      <c r="A53">
        <v>49</v>
      </c>
      <c r="B53" t="str">
        <f>INDEX(tQueue[TailNumber],MATCH($A53,tQueue[PriorityRank],0))</f>
        <v>MU-014</v>
      </c>
      <c r="C53" t="str">
        <f>INDEX(tQueue[BaseCode],MATCH($A53,tQueue[PriorityRank],0))</f>
        <v>PORT</v>
      </c>
      <c r="D53" t="str">
        <f>INDEX(tQueue[ComponentCode],MATCH($A53,tQueue[PriorityRank],0))</f>
        <v>ROTOR-ASSY</v>
      </c>
      <c r="E53">
        <f>INDEX(tQueue[PositionNo],MATCH($A53,tQueue[PriorityRank],0))</f>
        <v>2</v>
      </c>
      <c r="F53" t="str">
        <f>INDEX(tQueue[Criticality],MATCH($A53,tQueue[PriorityRank],0))</f>
        <v>FlightCritical</v>
      </c>
      <c r="G53" s="22">
        <f>INDEX(tQueue[PctOfHourInterval],MATCH($A53,tQueue[PriorityRank],0))</f>
        <v>63.54</v>
      </c>
      <c r="H53" s="22">
        <f>INDEX(tQueue[PctOfStressInterval],MATCH($A53,tQueue[PriorityRank],0))</f>
        <v>127.35</v>
      </c>
      <c r="I53" s="22">
        <f>INDEX(tQueue[ProjectedFlightHoursToStressLimit],MATCH($A53,tQueue[PriorityRank],0))</f>
        <v>-21.97</v>
      </c>
      <c r="J53" s="22">
        <f>INDEX(tQueue[LeadTimeFlightHours],MATCH($A53,tQueue[PriorityRank],0))</f>
        <v>18</v>
      </c>
      <c r="K53" t="str">
        <f>INDEX(tQueue[ActionCode],MATCH($A53,tQueue[PriorityRank],0))</f>
        <v>GROUND_AND_REPLACE</v>
      </c>
      <c r="L53" s="25">
        <f>INDEX(tQueue[JobHours],MATCH($A53,tQueue[PriorityRank],0))</f>
        <v>4.5</v>
      </c>
      <c r="M53" s="25">
        <f>INDEX(Calc!$C$5:$C$198,MATCH($A53,Calc!$A$5:$A$198,0))</f>
        <v>220.5</v>
      </c>
      <c r="N53" t="str">
        <f>IF(M53&lt;=HangarHoursPerWeek,"yes","-")</f>
        <v>-</v>
      </c>
    </row>
    <row r="54" spans="1:14" x14ac:dyDescent="0.35">
      <c r="A54">
        <v>50</v>
      </c>
      <c r="B54" t="str">
        <f>INDEX(tQueue[TailNumber],MATCH($A54,tQueue[PriorityRank],0))</f>
        <v>MU-011</v>
      </c>
      <c r="C54" t="str">
        <f>INDEX(tQueue[BaseCode],MATCH($A54,tQueue[PriorityRank],0))</f>
        <v>HIGHLND</v>
      </c>
      <c r="D54" t="str">
        <f>INDEX(tQueue[ComponentCode],MATCH($A54,tQueue[PriorityRank],0))</f>
        <v>ROTOR-ASSY</v>
      </c>
      <c r="E54">
        <f>INDEX(tQueue[PositionNo],MATCH($A54,tQueue[PriorityRank],0))</f>
        <v>3</v>
      </c>
      <c r="F54" t="str">
        <f>INDEX(tQueue[Criticality],MATCH($A54,tQueue[PriorityRank],0))</f>
        <v>FlightCritical</v>
      </c>
      <c r="G54" s="22">
        <f>INDEX(tQueue[PctOfHourInterval],MATCH($A54,tQueue[PriorityRank],0))</f>
        <v>58.13</v>
      </c>
      <c r="H54" s="22">
        <f>INDEX(tQueue[PctOfStressInterval],MATCH($A54,tQueue[PriorityRank],0))</f>
        <v>126.05</v>
      </c>
      <c r="I54" s="22">
        <f>INDEX(tQueue[ProjectedFlightHoursToStressLimit],MATCH($A54,tQueue[PriorityRank],0))</f>
        <v>-17.96</v>
      </c>
      <c r="J54" s="22">
        <f>INDEX(tQueue[LeadTimeFlightHours],MATCH($A54,tQueue[PriorityRank],0))</f>
        <v>18</v>
      </c>
      <c r="K54" t="str">
        <f>INDEX(tQueue[ActionCode],MATCH($A54,tQueue[PriorityRank],0))</f>
        <v>GROUND_AND_REPLACE</v>
      </c>
      <c r="L54" s="25">
        <f>INDEX(tQueue[JobHours],MATCH($A54,tQueue[PriorityRank],0))</f>
        <v>4.5</v>
      </c>
      <c r="M54" s="25">
        <f>INDEX(Calc!$C$5:$C$198,MATCH($A54,Calc!$A$5:$A$198,0))</f>
        <v>225</v>
      </c>
      <c r="N54" t="str">
        <f>IF(M54&lt;=HangarHoursPerWeek,"yes","-")</f>
        <v>-</v>
      </c>
    </row>
    <row r="55" spans="1:14" x14ac:dyDescent="0.35">
      <c r="A55">
        <v>51</v>
      </c>
      <c r="B55" t="str">
        <f>INDEX(tQueue[TailNumber],MATCH($A55,tQueue[PriorityRank],0))</f>
        <v>MU-023</v>
      </c>
      <c r="C55" t="str">
        <f>INDEX(tQueue[BaseCode],MATCH($A55,tQueue[PriorityRank],0))</f>
        <v>COASTAL</v>
      </c>
      <c r="D55" t="str">
        <f>INDEX(tQueue[ComponentCode],MATCH($A55,tQueue[PriorityRank],0))</f>
        <v>MOTOR-ESC</v>
      </c>
      <c r="E55">
        <f>INDEX(tQueue[PositionNo],MATCH($A55,tQueue[PriorityRank],0))</f>
        <v>3</v>
      </c>
      <c r="F55" t="str">
        <f>INDEX(tQueue[Criticality],MATCH($A55,tQueue[PriorityRank],0))</f>
        <v>FlightCritical</v>
      </c>
      <c r="G55" s="22">
        <f>INDEX(tQueue[PctOfHourInterval],MATCH($A55,tQueue[PriorityRank],0))</f>
        <v>97.7</v>
      </c>
      <c r="H55" s="22">
        <f>INDEX(tQueue[PctOfStressInterval],MATCH($A55,tQueue[PriorityRank],0))</f>
        <v>118.9</v>
      </c>
      <c r="I55" s="22">
        <f>INDEX(tQueue[ProjectedFlightHoursToStressLimit],MATCH($A55,tQueue[PriorityRank],0))</f>
        <v>-29.46</v>
      </c>
      <c r="J55" s="22">
        <f>INDEX(tQueue[LeadTimeFlightHours],MATCH($A55,tQueue[PriorityRank],0))</f>
        <v>12</v>
      </c>
      <c r="K55" t="str">
        <f>INDEX(tQueue[ActionCode],MATCH($A55,tQueue[PriorityRank],0))</f>
        <v>GROUND_AND_REPLACE</v>
      </c>
      <c r="L55" s="25">
        <f>INDEX(tQueue[JobHours],MATCH($A55,tQueue[PriorityRank],0))</f>
        <v>4.5</v>
      </c>
      <c r="M55" s="25">
        <f>INDEX(Calc!$C$5:$C$198,MATCH($A55,Calc!$A$5:$A$198,0))</f>
        <v>229.5</v>
      </c>
      <c r="N55" t="str">
        <f>IF(M55&lt;=HangarHoursPerWeek,"yes","-")</f>
        <v>-</v>
      </c>
    </row>
    <row r="56" spans="1:14" x14ac:dyDescent="0.35">
      <c r="A56">
        <v>52</v>
      </c>
      <c r="B56" t="str">
        <f>INDEX(tQueue[TailNumber],MATCH($A56,tQueue[PriorityRank],0))</f>
        <v>MU-023</v>
      </c>
      <c r="C56" t="str">
        <f>INDEX(tQueue[BaseCode],MATCH($A56,tQueue[PriorityRank],0))</f>
        <v>COASTAL</v>
      </c>
      <c r="D56" t="str">
        <f>INDEX(tQueue[ComponentCode],MATCH($A56,tQueue[PriorityRank],0))</f>
        <v>MOTOR-ESC</v>
      </c>
      <c r="E56">
        <f>INDEX(tQueue[PositionNo],MATCH($A56,tQueue[PriorityRank],0))</f>
        <v>4</v>
      </c>
      <c r="F56" t="str">
        <f>INDEX(tQueue[Criticality],MATCH($A56,tQueue[PriorityRank],0))</f>
        <v>FlightCritical</v>
      </c>
      <c r="G56" s="22">
        <f>INDEX(tQueue[PctOfHourInterval],MATCH($A56,tQueue[PriorityRank],0))</f>
        <v>97.7</v>
      </c>
      <c r="H56" s="22">
        <f>INDEX(tQueue[PctOfStressInterval],MATCH($A56,tQueue[PriorityRank],0))</f>
        <v>118.9</v>
      </c>
      <c r="I56" s="22">
        <f>INDEX(tQueue[ProjectedFlightHoursToStressLimit],MATCH($A56,tQueue[PriorityRank],0))</f>
        <v>-29.46</v>
      </c>
      <c r="J56" s="22">
        <f>INDEX(tQueue[LeadTimeFlightHours],MATCH($A56,tQueue[PriorityRank],0))</f>
        <v>12</v>
      </c>
      <c r="K56" t="str">
        <f>INDEX(tQueue[ActionCode],MATCH($A56,tQueue[PriorityRank],0))</f>
        <v>GROUND_AND_REPLACE</v>
      </c>
      <c r="L56" s="25">
        <f>INDEX(tQueue[JobHours],MATCH($A56,tQueue[PriorityRank],0))</f>
        <v>4.5</v>
      </c>
      <c r="M56" s="25">
        <f>INDEX(Calc!$C$5:$C$198,MATCH($A56,Calc!$A$5:$A$198,0))</f>
        <v>234</v>
      </c>
      <c r="N56" t="str">
        <f>IF(M56&lt;=HangarHoursPerWeek,"yes","-")</f>
        <v>-</v>
      </c>
    </row>
    <row r="57" spans="1:14" x14ac:dyDescent="0.35">
      <c r="A57">
        <v>53</v>
      </c>
      <c r="B57" t="str">
        <f>INDEX(tQueue[TailNumber],MATCH($A57,tQueue[PriorityRank],0))</f>
        <v>MU-030</v>
      </c>
      <c r="C57" t="str">
        <f>INDEX(tQueue[BaseCode],MATCH($A57,tQueue[PriorityRank],0))</f>
        <v>PORT</v>
      </c>
      <c r="D57" t="str">
        <f>INDEX(tQueue[ComponentCode],MATCH($A57,tQueue[PriorityRank],0))</f>
        <v>MOTOR-ESC</v>
      </c>
      <c r="E57">
        <f>INDEX(tQueue[PositionNo],MATCH($A57,tQueue[PriorityRank],0))</f>
        <v>4</v>
      </c>
      <c r="F57" t="str">
        <f>INDEX(tQueue[Criticality],MATCH($A57,tQueue[PriorityRank],0))</f>
        <v>FlightCritical</v>
      </c>
      <c r="G57" s="22">
        <f>INDEX(tQueue[PctOfHourInterval],MATCH($A57,tQueue[PriorityRank],0))</f>
        <v>57.58</v>
      </c>
      <c r="H57" s="22">
        <f>INDEX(tQueue[PctOfStressInterval],MATCH($A57,tQueue[PriorityRank],0))</f>
        <v>118.16</v>
      </c>
      <c r="I57" s="22">
        <f>INDEX(tQueue[ProjectedFlightHoursToStressLimit],MATCH($A57,tQueue[PriorityRank],0))</f>
        <v>-18.510000000000002</v>
      </c>
      <c r="J57" s="22">
        <f>INDEX(tQueue[LeadTimeFlightHours],MATCH($A57,tQueue[PriorityRank],0))</f>
        <v>12</v>
      </c>
      <c r="K57" t="str">
        <f>INDEX(tQueue[ActionCode],MATCH($A57,tQueue[PriorityRank],0))</f>
        <v>GROUND_AND_REPLACE</v>
      </c>
      <c r="L57" s="25">
        <f>INDEX(tQueue[JobHours],MATCH($A57,tQueue[PriorityRank],0))</f>
        <v>4.5</v>
      </c>
      <c r="M57" s="25">
        <f>INDEX(Calc!$C$5:$C$198,MATCH($A57,Calc!$A$5:$A$198,0))</f>
        <v>238.5</v>
      </c>
      <c r="N57" t="str">
        <f>IF(M57&lt;=HangarHoursPerWeek,"yes","-")</f>
        <v>-</v>
      </c>
    </row>
    <row r="58" spans="1:14" x14ac:dyDescent="0.35">
      <c r="A58">
        <v>54</v>
      </c>
      <c r="B58" t="str">
        <f>INDEX(tQueue[TailNumber],MATCH($A58,tQueue[PriorityRank],0))</f>
        <v>MU-026</v>
      </c>
      <c r="C58" t="str">
        <f>INDEX(tQueue[BaseCode],MATCH($A58,tQueue[PriorityRank],0))</f>
        <v>ACADEMY</v>
      </c>
      <c r="D58" t="str">
        <f>INDEX(tQueue[ComponentCode],MATCH($A58,tQueue[PriorityRank],0))</f>
        <v>MOTOR-ESC</v>
      </c>
      <c r="E58">
        <f>INDEX(tQueue[PositionNo],MATCH($A58,tQueue[PriorityRank],0))</f>
        <v>4</v>
      </c>
      <c r="F58" t="str">
        <f>INDEX(tQueue[Criticality],MATCH($A58,tQueue[PriorityRank],0))</f>
        <v>FlightCritical</v>
      </c>
      <c r="G58" s="22">
        <f>INDEX(tQueue[PctOfHourInterval],MATCH($A58,tQueue[PriorityRank],0))</f>
        <v>63.02</v>
      </c>
      <c r="H58" s="22">
        <f>INDEX(tQueue[PctOfStressInterval],MATCH($A58,tQueue[PriorityRank],0))</f>
        <v>118</v>
      </c>
      <c r="I58" s="22">
        <f>INDEX(tQueue[ProjectedFlightHoursToStressLimit],MATCH($A58,tQueue[PriorityRank],0))</f>
        <v>-18.649999999999999</v>
      </c>
      <c r="J58" s="22">
        <f>INDEX(tQueue[LeadTimeFlightHours],MATCH($A58,tQueue[PriorityRank],0))</f>
        <v>12</v>
      </c>
      <c r="K58" t="str">
        <f>INDEX(tQueue[ActionCode],MATCH($A58,tQueue[PriorityRank],0))</f>
        <v>GROUND_AND_REPLACE</v>
      </c>
      <c r="L58" s="25">
        <f>INDEX(tQueue[JobHours],MATCH($A58,tQueue[PriorityRank],0))</f>
        <v>4.5</v>
      </c>
      <c r="M58" s="25">
        <f>INDEX(Calc!$C$5:$C$198,MATCH($A58,Calc!$A$5:$A$198,0))</f>
        <v>243</v>
      </c>
      <c r="N58" t="str">
        <f>IF(M58&lt;=HangarHoursPerWeek,"yes","-")</f>
        <v>-</v>
      </c>
    </row>
    <row r="59" spans="1:14" x14ac:dyDescent="0.35">
      <c r="A59">
        <v>55</v>
      </c>
      <c r="B59" t="str">
        <f>INDEX(tQueue[TailNumber],MATCH($A59,tQueue[PriorityRank],0))</f>
        <v>MU-014</v>
      </c>
      <c r="C59" t="str">
        <f>INDEX(tQueue[BaseCode],MATCH($A59,tQueue[PriorityRank],0))</f>
        <v>PORT</v>
      </c>
      <c r="D59" t="str">
        <f>INDEX(tQueue[ComponentCode],MATCH($A59,tQueue[PriorityRank],0))</f>
        <v>ROTOR-ASSY</v>
      </c>
      <c r="E59">
        <f>INDEX(tQueue[PositionNo],MATCH($A59,tQueue[PriorityRank],0))</f>
        <v>1</v>
      </c>
      <c r="F59" t="str">
        <f>INDEX(tQueue[Criticality],MATCH($A59,tQueue[PriorityRank],0))</f>
        <v>FlightCritical</v>
      </c>
      <c r="G59" s="22">
        <f>INDEX(tQueue[PctOfHourInterval],MATCH($A59,tQueue[PriorityRank],0))</f>
        <v>61.61</v>
      </c>
      <c r="H59" s="22">
        <f>INDEX(tQueue[PctOfStressInterval],MATCH($A59,tQueue[PriorityRank],0))</f>
        <v>123.63</v>
      </c>
      <c r="I59" s="22">
        <f>INDEX(tQueue[ProjectedFlightHoursToStressLimit],MATCH($A59,tQueue[PriorityRank],0))</f>
        <v>-18.98</v>
      </c>
      <c r="J59" s="22">
        <f>INDEX(tQueue[LeadTimeFlightHours],MATCH($A59,tQueue[PriorityRank],0))</f>
        <v>18</v>
      </c>
      <c r="K59" t="str">
        <f>INDEX(tQueue[ActionCode],MATCH($A59,tQueue[PriorityRank],0))</f>
        <v>GROUND_AND_REPLACE</v>
      </c>
      <c r="L59" s="25">
        <f>INDEX(tQueue[JobHours],MATCH($A59,tQueue[PriorityRank],0))</f>
        <v>4.5</v>
      </c>
      <c r="M59" s="25">
        <f>INDEX(Calc!$C$5:$C$198,MATCH($A59,Calc!$A$5:$A$198,0))</f>
        <v>247.5</v>
      </c>
      <c r="N59" t="str">
        <f>IF(M59&lt;=HangarHoursPerWeek,"yes","-")</f>
        <v>-</v>
      </c>
    </row>
    <row r="60" spans="1:14" x14ac:dyDescent="0.35">
      <c r="A60">
        <v>56</v>
      </c>
      <c r="B60" t="str">
        <f>INDEX(tQueue[TailNumber],MATCH($A60,tQueue[PriorityRank],0))</f>
        <v>MU-022</v>
      </c>
      <c r="C60" t="str">
        <f>INDEX(tQueue[BaseCode],MATCH($A60,tQueue[PriorityRank],0))</f>
        <v>COASTAL</v>
      </c>
      <c r="D60" t="str">
        <f>INDEX(tQueue[ComponentCode],MATCH($A60,tQueue[PriorityRank],0))</f>
        <v>MOTOR-ESC</v>
      </c>
      <c r="E60">
        <f>INDEX(tQueue[PositionNo],MATCH($A60,tQueue[PriorityRank],0))</f>
        <v>1</v>
      </c>
      <c r="F60" t="str">
        <f>INDEX(tQueue[Criticality],MATCH($A60,tQueue[PriorityRank],0))</f>
        <v>FlightCritical</v>
      </c>
      <c r="G60" s="22">
        <f>INDEX(tQueue[PctOfHourInterval],MATCH($A60,tQueue[PriorityRank],0))</f>
        <v>95.22</v>
      </c>
      <c r="H60" s="22">
        <f>INDEX(tQueue[PctOfStressInterval],MATCH($A60,tQueue[PriorityRank],0))</f>
        <v>117.44</v>
      </c>
      <c r="I60" s="22">
        <f>INDEX(tQueue[ProjectedFlightHoursToStressLimit],MATCH($A60,tQueue[PriorityRank],0))</f>
        <v>-27.45</v>
      </c>
      <c r="J60" s="22">
        <f>INDEX(tQueue[LeadTimeFlightHours],MATCH($A60,tQueue[PriorityRank],0))</f>
        <v>12</v>
      </c>
      <c r="K60" t="str">
        <f>INDEX(tQueue[ActionCode],MATCH($A60,tQueue[PriorityRank],0))</f>
        <v>GROUND_AND_REPLACE</v>
      </c>
      <c r="L60" s="25">
        <f>INDEX(tQueue[JobHours],MATCH($A60,tQueue[PriorityRank],0))</f>
        <v>4.5</v>
      </c>
      <c r="M60" s="25">
        <f>INDEX(Calc!$C$5:$C$198,MATCH($A60,Calc!$A$5:$A$198,0))</f>
        <v>252</v>
      </c>
      <c r="N60" t="str">
        <f>IF(M60&lt;=HangarHoursPerWeek,"yes","-")</f>
        <v>-</v>
      </c>
    </row>
    <row r="61" spans="1:14" x14ac:dyDescent="0.35">
      <c r="A61">
        <v>57</v>
      </c>
      <c r="B61" t="str">
        <f>INDEX(tQueue[TailNumber],MATCH($A61,tQueue[PriorityRank],0))</f>
        <v>MU-018</v>
      </c>
      <c r="C61" t="str">
        <f>INDEX(tQueue[BaseCode],MATCH($A61,tQueue[PriorityRank],0))</f>
        <v>HIGHLND</v>
      </c>
      <c r="D61" t="str">
        <f>INDEX(tQueue[ComponentCode],MATCH($A61,tQueue[PriorityRank],0))</f>
        <v>MOTOR-ESC</v>
      </c>
      <c r="E61">
        <f>INDEX(tQueue[PositionNo],MATCH($A61,tQueue[PriorityRank],0))</f>
        <v>2</v>
      </c>
      <c r="F61" t="str">
        <f>INDEX(tQueue[Criticality],MATCH($A61,tQueue[PriorityRank],0))</f>
        <v>FlightCritical</v>
      </c>
      <c r="G61" s="22">
        <f>INDEX(tQueue[PctOfHourInterval],MATCH($A61,tQueue[PriorityRank],0))</f>
        <v>54.28</v>
      </c>
      <c r="H61" s="22">
        <f>INDEX(tQueue[PctOfStressInterval],MATCH($A61,tQueue[PriorityRank],0))</f>
        <v>116.62</v>
      </c>
      <c r="I61" s="22">
        <f>INDEX(tQueue[ProjectedFlightHoursToStressLimit],MATCH($A61,tQueue[PriorityRank],0))</f>
        <v>-15.13</v>
      </c>
      <c r="J61" s="22">
        <f>INDEX(tQueue[LeadTimeFlightHours],MATCH($A61,tQueue[PriorityRank],0))</f>
        <v>12</v>
      </c>
      <c r="K61" t="str">
        <f>INDEX(tQueue[ActionCode],MATCH($A61,tQueue[PriorityRank],0))</f>
        <v>GROUND_AND_REPLACE</v>
      </c>
      <c r="L61" s="25">
        <f>INDEX(tQueue[JobHours],MATCH($A61,tQueue[PriorityRank],0))</f>
        <v>4.5</v>
      </c>
      <c r="M61" s="25">
        <f>INDEX(Calc!$C$5:$C$198,MATCH($A61,Calc!$A$5:$A$198,0))</f>
        <v>256.5</v>
      </c>
      <c r="N61" t="str">
        <f>IF(M61&lt;=HangarHoursPerWeek,"yes","-")</f>
        <v>-</v>
      </c>
    </row>
    <row r="62" spans="1:14" x14ac:dyDescent="0.35">
      <c r="A62">
        <v>58</v>
      </c>
      <c r="B62" t="str">
        <f>INDEX(tQueue[TailNumber],MATCH($A62,tQueue[PriorityRank],0))</f>
        <v>MU-002</v>
      </c>
      <c r="C62" t="str">
        <f>INDEX(tQueue[BaseCode],MATCH($A62,tQueue[PriorityRank],0))</f>
        <v>HIGHLND</v>
      </c>
      <c r="D62" t="str">
        <f>INDEX(tQueue[ComponentCode],MATCH($A62,tQueue[PriorityRank],0))</f>
        <v>BATT-PACK</v>
      </c>
      <c r="E62">
        <f>INDEX(tQueue[PositionNo],MATCH($A62,tQueue[PriorityRank],0))</f>
        <v>1</v>
      </c>
      <c r="F62" t="str">
        <f>INDEX(tQueue[Criticality],MATCH($A62,tQueue[PriorityRank],0))</f>
        <v>FlightCritical</v>
      </c>
      <c r="G62" s="22">
        <f>INDEX(tQueue[PctOfHourInterval],MATCH($A62,tQueue[PriorityRank],0))</f>
        <v>56.19</v>
      </c>
      <c r="H62" s="22">
        <f>INDEX(tQueue[PctOfStressInterval],MATCH($A62,tQueue[PriorityRank],0))</f>
        <v>126.15</v>
      </c>
      <c r="I62" s="22">
        <f>INDEX(tQueue[ProjectedFlightHoursToStressLimit],MATCH($A62,tQueue[PriorityRank],0))</f>
        <v>-13.76</v>
      </c>
      <c r="J62" s="22">
        <f>INDEX(tQueue[LeadTimeFlightHours],MATCH($A62,tQueue[PriorityRank],0))</f>
        <v>8</v>
      </c>
      <c r="K62" t="str">
        <f>INDEX(tQueue[ActionCode],MATCH($A62,tQueue[PriorityRank],0))</f>
        <v>GROUND_AND_REPLACE</v>
      </c>
      <c r="L62" s="25">
        <f>INDEX(tQueue[JobHours],MATCH($A62,tQueue[PriorityRank],0))</f>
        <v>4.5</v>
      </c>
      <c r="M62" s="25">
        <f>INDEX(Calc!$C$5:$C$198,MATCH($A62,Calc!$A$5:$A$198,0))</f>
        <v>261</v>
      </c>
      <c r="N62" t="str">
        <f>IF(M62&lt;=HangarHoursPerWeek,"yes","-")</f>
        <v>-</v>
      </c>
    </row>
    <row r="63" spans="1:14" x14ac:dyDescent="0.35">
      <c r="A63">
        <v>59</v>
      </c>
      <c r="B63" t="str">
        <f>INDEX(tQueue[TailNumber],MATCH($A63,tQueue[PriorityRank],0))</f>
        <v>MU-027</v>
      </c>
      <c r="C63" t="str">
        <f>INDEX(tQueue[BaseCode],MATCH($A63,tQueue[PriorityRank],0))</f>
        <v>HIGHLND</v>
      </c>
      <c r="D63" t="str">
        <f>INDEX(tQueue[ComponentCode],MATCH($A63,tQueue[PriorityRank],0))</f>
        <v>MOTOR-ESC</v>
      </c>
      <c r="E63">
        <f>INDEX(tQueue[PositionNo],MATCH($A63,tQueue[PriorityRank],0))</f>
        <v>1</v>
      </c>
      <c r="F63" t="str">
        <f>INDEX(tQueue[Criticality],MATCH($A63,tQueue[PriorityRank],0))</f>
        <v>FlightCritical</v>
      </c>
      <c r="G63" s="22">
        <f>INDEX(tQueue[PctOfHourInterval],MATCH($A63,tQueue[PriorityRank],0))</f>
        <v>56.39</v>
      </c>
      <c r="H63" s="22">
        <f>INDEX(tQueue[PctOfStressInterval],MATCH($A63,tQueue[PriorityRank],0))</f>
        <v>114.73</v>
      </c>
      <c r="I63" s="22">
        <f>INDEX(tQueue[ProjectedFlightHoursToStressLimit],MATCH($A63,tQueue[PriorityRank],0))</f>
        <v>-15.44</v>
      </c>
      <c r="J63" s="22">
        <f>INDEX(tQueue[LeadTimeFlightHours],MATCH($A63,tQueue[PriorityRank],0))</f>
        <v>12</v>
      </c>
      <c r="K63" t="str">
        <f>INDEX(tQueue[ActionCode],MATCH($A63,tQueue[PriorityRank],0))</f>
        <v>GROUND_AND_REPLACE</v>
      </c>
      <c r="L63" s="25">
        <f>INDEX(tQueue[JobHours],MATCH($A63,tQueue[PriorityRank],0))</f>
        <v>4.5</v>
      </c>
      <c r="M63" s="25">
        <f>INDEX(Calc!$C$5:$C$198,MATCH($A63,Calc!$A$5:$A$198,0))</f>
        <v>265.5</v>
      </c>
      <c r="N63" t="str">
        <f>IF(M63&lt;=HangarHoursPerWeek,"yes","-")</f>
        <v>-</v>
      </c>
    </row>
    <row r="64" spans="1:14" x14ac:dyDescent="0.35">
      <c r="A64">
        <v>60</v>
      </c>
      <c r="B64" t="str">
        <f>INDEX(tQueue[TailNumber],MATCH($A64,tQueue[PriorityRank],0))</f>
        <v>MU-018</v>
      </c>
      <c r="C64" t="str">
        <f>INDEX(tQueue[BaseCode],MATCH($A64,tQueue[PriorityRank],0))</f>
        <v>HIGHLND</v>
      </c>
      <c r="D64" t="str">
        <f>INDEX(tQueue[ComponentCode],MATCH($A64,tQueue[PriorityRank],0))</f>
        <v>ROTOR-ASSY</v>
      </c>
      <c r="E64">
        <f>INDEX(tQueue[PositionNo],MATCH($A64,tQueue[PriorityRank],0))</f>
        <v>1</v>
      </c>
      <c r="F64" t="str">
        <f>INDEX(tQueue[Criticality],MATCH($A64,tQueue[PriorityRank],0))</f>
        <v>FlightCritical</v>
      </c>
      <c r="G64" s="22">
        <f>INDEX(tQueue[PctOfHourInterval],MATCH($A64,tQueue[PriorityRank],0))</f>
        <v>53.37</v>
      </c>
      <c r="H64" s="22">
        <f>INDEX(tQueue[PctOfStressInterval],MATCH($A64,tQueue[PriorityRank],0))</f>
        <v>116.87</v>
      </c>
      <c r="I64" s="22">
        <f>INDEX(tQueue[ProjectedFlightHoursToStressLimit],MATCH($A64,tQueue[PriorityRank],0))</f>
        <v>-11.52</v>
      </c>
      <c r="J64" s="22">
        <f>INDEX(tQueue[LeadTimeFlightHours],MATCH($A64,tQueue[PriorityRank],0))</f>
        <v>18</v>
      </c>
      <c r="K64" t="str">
        <f>INDEX(tQueue[ActionCode],MATCH($A64,tQueue[PriorityRank],0))</f>
        <v>GROUND_AND_REPLACE</v>
      </c>
      <c r="L64" s="25">
        <f>INDEX(tQueue[JobHours],MATCH($A64,tQueue[PriorityRank],0))</f>
        <v>4.5</v>
      </c>
      <c r="M64" s="25">
        <f>INDEX(Calc!$C$5:$C$198,MATCH($A64,Calc!$A$5:$A$198,0))</f>
        <v>270</v>
      </c>
      <c r="N64" t="str">
        <f>IF(M64&lt;=HangarHoursPerWeek,"yes","-")</f>
        <v>-</v>
      </c>
    </row>
    <row r="65" spans="1:14" x14ac:dyDescent="0.35">
      <c r="A65">
        <v>61</v>
      </c>
      <c r="B65" t="str">
        <f>INDEX(tQueue[TailNumber],MATCH($A65,tQueue[PriorityRank],0))</f>
        <v>MU-022</v>
      </c>
      <c r="C65" t="str">
        <f>INDEX(tQueue[BaseCode],MATCH($A65,tQueue[PriorityRank],0))</f>
        <v>COASTAL</v>
      </c>
      <c r="D65" t="str">
        <f>INDEX(tQueue[ComponentCode],MATCH($A65,tQueue[PriorityRank],0))</f>
        <v>MOTOR-ESC</v>
      </c>
      <c r="E65">
        <f>INDEX(tQueue[PositionNo],MATCH($A65,tQueue[PriorityRank],0))</f>
        <v>2</v>
      </c>
      <c r="F65" t="str">
        <f>INDEX(tQueue[Criticality],MATCH($A65,tQueue[PriorityRank],0))</f>
        <v>FlightCritical</v>
      </c>
      <c r="G65" s="22">
        <f>INDEX(tQueue[PctOfHourInterval],MATCH($A65,tQueue[PriorityRank],0))</f>
        <v>90.95</v>
      </c>
      <c r="H65" s="22">
        <f>INDEX(tQueue[PctOfStressInterval],MATCH($A65,tQueue[PriorityRank],0))</f>
        <v>112.29</v>
      </c>
      <c r="I65" s="22">
        <f>INDEX(tQueue[ProjectedFlightHoursToStressLimit],MATCH($A65,tQueue[PriorityRank],0))</f>
        <v>-19.36</v>
      </c>
      <c r="J65" s="22">
        <f>INDEX(tQueue[LeadTimeFlightHours],MATCH($A65,tQueue[PriorityRank],0))</f>
        <v>12</v>
      </c>
      <c r="K65" t="str">
        <f>INDEX(tQueue[ActionCode],MATCH($A65,tQueue[PriorityRank],0))</f>
        <v>GROUND_AND_REPLACE</v>
      </c>
      <c r="L65" s="25">
        <f>INDEX(tQueue[JobHours],MATCH($A65,tQueue[PriorityRank],0))</f>
        <v>4.5</v>
      </c>
      <c r="M65" s="25">
        <f>INDEX(Calc!$C$5:$C$198,MATCH($A65,Calc!$A$5:$A$198,0))</f>
        <v>274.5</v>
      </c>
      <c r="N65" t="str">
        <f>IF(M65&lt;=HangarHoursPerWeek,"yes","-")</f>
        <v>-</v>
      </c>
    </row>
    <row r="66" spans="1:14" x14ac:dyDescent="0.35">
      <c r="A66">
        <v>62</v>
      </c>
      <c r="B66" t="str">
        <f>INDEX(tQueue[TailNumber],MATCH($A66,tQueue[PriorityRank],0))</f>
        <v>MU-022</v>
      </c>
      <c r="C66" t="str">
        <f>INDEX(tQueue[BaseCode],MATCH($A66,tQueue[PriorityRank],0))</f>
        <v>COASTAL</v>
      </c>
      <c r="D66" t="str">
        <f>INDEX(tQueue[ComponentCode],MATCH($A66,tQueue[PriorityRank],0))</f>
        <v>MOTOR-ESC</v>
      </c>
      <c r="E66">
        <f>INDEX(tQueue[PositionNo],MATCH($A66,tQueue[PriorityRank],0))</f>
        <v>3</v>
      </c>
      <c r="F66" t="str">
        <f>INDEX(tQueue[Criticality],MATCH($A66,tQueue[PriorityRank],0))</f>
        <v>FlightCritical</v>
      </c>
      <c r="G66" s="22">
        <f>INDEX(tQueue[PctOfHourInterval],MATCH($A66,tQueue[PriorityRank],0))</f>
        <v>90.95</v>
      </c>
      <c r="H66" s="22">
        <f>INDEX(tQueue[PctOfStressInterval],MATCH($A66,tQueue[PriorityRank],0))</f>
        <v>112.29</v>
      </c>
      <c r="I66" s="22">
        <f>INDEX(tQueue[ProjectedFlightHoursToStressLimit],MATCH($A66,tQueue[PriorityRank],0))</f>
        <v>-19.36</v>
      </c>
      <c r="J66" s="22">
        <f>INDEX(tQueue[LeadTimeFlightHours],MATCH($A66,tQueue[PriorityRank],0))</f>
        <v>12</v>
      </c>
      <c r="K66" t="str">
        <f>INDEX(tQueue[ActionCode],MATCH($A66,tQueue[PriorityRank],0))</f>
        <v>GROUND_AND_REPLACE</v>
      </c>
      <c r="L66" s="25">
        <f>INDEX(tQueue[JobHours],MATCH($A66,tQueue[PriorityRank],0))</f>
        <v>4.5</v>
      </c>
      <c r="M66" s="25">
        <f>INDEX(Calc!$C$5:$C$198,MATCH($A66,Calc!$A$5:$A$198,0))</f>
        <v>279</v>
      </c>
      <c r="N66" t="str">
        <f>IF(M66&lt;=HangarHoursPerWeek,"yes","-")</f>
        <v>-</v>
      </c>
    </row>
    <row r="67" spans="1:14" x14ac:dyDescent="0.35">
      <c r="A67">
        <v>63</v>
      </c>
      <c r="B67" t="str">
        <f>INDEX(tQueue[TailNumber],MATCH($A67,tQueue[PriorityRank],0))</f>
        <v>MU-022</v>
      </c>
      <c r="C67" t="str">
        <f>INDEX(tQueue[BaseCode],MATCH($A67,tQueue[PriorityRank],0))</f>
        <v>COASTAL</v>
      </c>
      <c r="D67" t="str">
        <f>INDEX(tQueue[ComponentCode],MATCH($A67,tQueue[PriorityRank],0))</f>
        <v>MOTOR-ESC</v>
      </c>
      <c r="E67">
        <f>INDEX(tQueue[PositionNo],MATCH($A67,tQueue[PriorityRank],0))</f>
        <v>4</v>
      </c>
      <c r="F67" t="str">
        <f>INDEX(tQueue[Criticality],MATCH($A67,tQueue[PriorityRank],0))</f>
        <v>FlightCritical</v>
      </c>
      <c r="G67" s="22">
        <f>INDEX(tQueue[PctOfHourInterval],MATCH($A67,tQueue[PriorityRank],0))</f>
        <v>90.95</v>
      </c>
      <c r="H67" s="22">
        <f>INDEX(tQueue[PctOfStressInterval],MATCH($A67,tQueue[PriorityRank],0))</f>
        <v>112.29</v>
      </c>
      <c r="I67" s="22">
        <f>INDEX(tQueue[ProjectedFlightHoursToStressLimit],MATCH($A67,tQueue[PriorityRank],0))</f>
        <v>-19.36</v>
      </c>
      <c r="J67" s="22">
        <f>INDEX(tQueue[LeadTimeFlightHours],MATCH($A67,tQueue[PriorityRank],0))</f>
        <v>12</v>
      </c>
      <c r="K67" t="str">
        <f>INDEX(tQueue[ActionCode],MATCH($A67,tQueue[PriorityRank],0))</f>
        <v>GROUND_AND_REPLACE</v>
      </c>
      <c r="L67" s="25">
        <f>INDEX(tQueue[JobHours],MATCH($A67,tQueue[PriorityRank],0))</f>
        <v>4.5</v>
      </c>
      <c r="M67" s="25">
        <f>INDEX(Calc!$C$5:$C$198,MATCH($A67,Calc!$A$5:$A$198,0))</f>
        <v>283.5</v>
      </c>
      <c r="N67" t="str">
        <f>IF(M67&lt;=HangarHoursPerWeek,"yes","-")</f>
        <v>-</v>
      </c>
    </row>
    <row r="68" spans="1:14" x14ac:dyDescent="0.35">
      <c r="A68">
        <v>64</v>
      </c>
      <c r="B68" t="str">
        <f>INDEX(tQueue[TailNumber],MATCH($A68,tQueue[PriorityRank],0))</f>
        <v>MU-023</v>
      </c>
      <c r="C68" t="str">
        <f>INDEX(tQueue[BaseCode],MATCH($A68,tQueue[PriorityRank],0))</f>
        <v>COASTAL</v>
      </c>
      <c r="D68" t="str">
        <f>INDEX(tQueue[ComponentCode],MATCH($A68,tQueue[PriorityRank],0))</f>
        <v>ROTOR-ASSY</v>
      </c>
      <c r="E68">
        <f>INDEX(tQueue[PositionNo],MATCH($A68,tQueue[PriorityRank],0))</f>
        <v>1</v>
      </c>
      <c r="F68" t="str">
        <f>INDEX(tQueue[Criticality],MATCH($A68,tQueue[PriorityRank],0))</f>
        <v>FlightCritical</v>
      </c>
      <c r="G68" s="22">
        <f>INDEX(tQueue[PctOfHourInterval],MATCH($A68,tQueue[PriorityRank],0))</f>
        <v>96.6</v>
      </c>
      <c r="H68" s="22">
        <f>INDEX(tQueue[PctOfStressInterval],MATCH($A68,tQueue[PriorityRank],0))</f>
        <v>115.76</v>
      </c>
      <c r="I68" s="22">
        <f>INDEX(tQueue[ProjectedFlightHoursToStressLimit],MATCH($A68,tQueue[PriorityRank],0))</f>
        <v>-18.43</v>
      </c>
      <c r="J68" s="22">
        <f>INDEX(tQueue[LeadTimeFlightHours],MATCH($A68,tQueue[PriorityRank],0))</f>
        <v>18</v>
      </c>
      <c r="K68" t="str">
        <f>INDEX(tQueue[ActionCode],MATCH($A68,tQueue[PriorityRank],0))</f>
        <v>GROUND_AND_REPLACE</v>
      </c>
      <c r="L68" s="25">
        <f>INDEX(tQueue[JobHours],MATCH($A68,tQueue[PriorityRank],0))</f>
        <v>4.5</v>
      </c>
      <c r="M68" s="25">
        <f>INDEX(Calc!$C$5:$C$198,MATCH($A68,Calc!$A$5:$A$198,0))</f>
        <v>288</v>
      </c>
      <c r="N68" t="str">
        <f>IF(M68&lt;=HangarHoursPerWeek,"yes","-")</f>
        <v>-</v>
      </c>
    </row>
    <row r="69" spans="1:14" x14ac:dyDescent="0.35">
      <c r="A69">
        <v>65</v>
      </c>
      <c r="B69" t="str">
        <f>INDEX(tQueue[TailNumber],MATCH($A69,tQueue[PriorityRank],0))</f>
        <v>MU-023</v>
      </c>
      <c r="C69" t="str">
        <f>INDEX(tQueue[BaseCode],MATCH($A69,tQueue[PriorityRank],0))</f>
        <v>COASTAL</v>
      </c>
      <c r="D69" t="str">
        <f>INDEX(tQueue[ComponentCode],MATCH($A69,tQueue[PriorityRank],0))</f>
        <v>ROTOR-ASSY</v>
      </c>
      <c r="E69">
        <f>INDEX(tQueue[PositionNo],MATCH($A69,tQueue[PriorityRank],0))</f>
        <v>4</v>
      </c>
      <c r="F69" t="str">
        <f>INDEX(tQueue[Criticality],MATCH($A69,tQueue[PriorityRank],0))</f>
        <v>FlightCritical</v>
      </c>
      <c r="G69" s="22">
        <f>INDEX(tQueue[PctOfHourInterval],MATCH($A69,tQueue[PriorityRank],0))</f>
        <v>96.6</v>
      </c>
      <c r="H69" s="22">
        <f>INDEX(tQueue[PctOfStressInterval],MATCH($A69,tQueue[PriorityRank],0))</f>
        <v>115.76</v>
      </c>
      <c r="I69" s="22">
        <f>INDEX(tQueue[ProjectedFlightHoursToStressLimit],MATCH($A69,tQueue[PriorityRank],0))</f>
        <v>-18.43</v>
      </c>
      <c r="J69" s="22">
        <f>INDEX(tQueue[LeadTimeFlightHours],MATCH($A69,tQueue[PriorityRank],0))</f>
        <v>18</v>
      </c>
      <c r="K69" t="str">
        <f>INDEX(tQueue[ActionCode],MATCH($A69,tQueue[PriorityRank],0))</f>
        <v>GROUND_AND_REPLACE</v>
      </c>
      <c r="L69" s="25">
        <f>INDEX(tQueue[JobHours],MATCH($A69,tQueue[PriorityRank],0))</f>
        <v>4.5</v>
      </c>
      <c r="M69" s="25">
        <f>INDEX(Calc!$C$5:$C$198,MATCH($A69,Calc!$A$5:$A$198,0))</f>
        <v>292.5</v>
      </c>
      <c r="N69" t="str">
        <f>IF(M69&lt;=HangarHoursPerWeek,"yes","-")</f>
        <v>-</v>
      </c>
    </row>
    <row r="70" spans="1:14" x14ac:dyDescent="0.35">
      <c r="A70">
        <v>66</v>
      </c>
      <c r="B70" t="str">
        <f>INDEX(tQueue[TailNumber],MATCH($A70,tQueue[PriorityRank],0))</f>
        <v>MU-015</v>
      </c>
      <c r="C70" t="str">
        <f>INDEX(tQueue[BaseCode],MATCH($A70,tQueue[PriorityRank],0))</f>
        <v>PORT</v>
      </c>
      <c r="D70" t="str">
        <f>INDEX(tQueue[ComponentCode],MATCH($A70,tQueue[PriorityRank],0))</f>
        <v>ROTOR-ASSY</v>
      </c>
      <c r="E70">
        <f>INDEX(tQueue[PositionNo],MATCH($A70,tQueue[PriorityRank],0))</f>
        <v>3</v>
      </c>
      <c r="F70" t="str">
        <f>INDEX(tQueue[Criticality],MATCH($A70,tQueue[PriorityRank],0))</f>
        <v>FlightCritical</v>
      </c>
      <c r="G70" s="22">
        <f>INDEX(tQueue[PctOfHourInterval],MATCH($A70,tQueue[PriorityRank],0))</f>
        <v>59.69</v>
      </c>
      <c r="H70" s="22">
        <f>INDEX(tQueue[PctOfStressInterval],MATCH($A70,tQueue[PriorityRank],0))</f>
        <v>115.76</v>
      </c>
      <c r="I70" s="22">
        <f>INDEX(tQueue[ProjectedFlightHoursToStressLimit],MATCH($A70,tQueue[PriorityRank],0))</f>
        <v>-12.3</v>
      </c>
      <c r="J70" s="22">
        <f>INDEX(tQueue[LeadTimeFlightHours],MATCH($A70,tQueue[PriorityRank],0))</f>
        <v>18</v>
      </c>
      <c r="K70" t="str">
        <f>INDEX(tQueue[ActionCode],MATCH($A70,tQueue[PriorityRank],0))</f>
        <v>GROUND_AND_REPLACE</v>
      </c>
      <c r="L70" s="25">
        <f>INDEX(tQueue[JobHours],MATCH($A70,tQueue[PriorityRank],0))</f>
        <v>4.5</v>
      </c>
      <c r="M70" s="25">
        <f>INDEX(Calc!$C$5:$C$198,MATCH($A70,Calc!$A$5:$A$198,0))</f>
        <v>297</v>
      </c>
      <c r="N70" t="str">
        <f>IF(M70&lt;=HangarHoursPerWeek,"yes","-")</f>
        <v>-</v>
      </c>
    </row>
    <row r="71" spans="1:14" x14ac:dyDescent="0.35">
      <c r="A71">
        <v>67</v>
      </c>
      <c r="B71" t="str">
        <f>INDEX(tQueue[TailNumber],MATCH($A71,tQueue[PriorityRank],0))</f>
        <v>MU-020</v>
      </c>
      <c r="C71" t="str">
        <f>INDEX(tQueue[BaseCode],MATCH($A71,tQueue[PriorityRank],0))</f>
        <v>HIGHLND</v>
      </c>
      <c r="D71" t="str">
        <f>INDEX(tQueue[ComponentCode],MATCH($A71,tQueue[PriorityRank],0))</f>
        <v>ROTOR-ASSY</v>
      </c>
      <c r="E71">
        <f>INDEX(tQueue[PositionNo],MATCH($A71,tQueue[PriorityRank],0))</f>
        <v>3</v>
      </c>
      <c r="F71" t="str">
        <f>INDEX(tQueue[Criticality],MATCH($A71,tQueue[PriorityRank],0))</f>
        <v>FlightCritical</v>
      </c>
      <c r="G71" s="22">
        <f>INDEX(tQueue[PctOfHourInterval],MATCH($A71,tQueue[PriorityRank],0))</f>
        <v>51.52</v>
      </c>
      <c r="H71" s="22">
        <f>INDEX(tQueue[PctOfStressInterval],MATCH($A71,tQueue[PriorityRank],0))</f>
        <v>114.64</v>
      </c>
      <c r="I71" s="22">
        <f>INDEX(tQueue[ProjectedFlightHoursToStressLimit],MATCH($A71,tQueue[PriorityRank],0))</f>
        <v>-9.73</v>
      </c>
      <c r="J71" s="22">
        <f>INDEX(tQueue[LeadTimeFlightHours],MATCH($A71,tQueue[PriorityRank],0))</f>
        <v>18</v>
      </c>
      <c r="K71" t="str">
        <f>INDEX(tQueue[ActionCode],MATCH($A71,tQueue[PriorityRank],0))</f>
        <v>GROUND_AND_REPLACE</v>
      </c>
      <c r="L71" s="25">
        <f>INDEX(tQueue[JobHours],MATCH($A71,tQueue[PriorityRank],0))</f>
        <v>4.5</v>
      </c>
      <c r="M71" s="25">
        <f>INDEX(Calc!$C$5:$C$198,MATCH($A71,Calc!$A$5:$A$198,0))</f>
        <v>301.5</v>
      </c>
      <c r="N71" t="str">
        <f>IF(M71&lt;=HangarHoursPerWeek,"yes","-")</f>
        <v>-</v>
      </c>
    </row>
    <row r="72" spans="1:14" x14ac:dyDescent="0.35">
      <c r="A72">
        <v>68</v>
      </c>
      <c r="B72" t="str">
        <f>INDEX(tQueue[TailNumber],MATCH($A72,tQueue[PriorityRank],0))</f>
        <v>MU-022</v>
      </c>
      <c r="C72" t="str">
        <f>INDEX(tQueue[BaseCode],MATCH($A72,tQueue[PriorityRank],0))</f>
        <v>COASTAL</v>
      </c>
      <c r="D72" t="str">
        <f>INDEX(tQueue[ComponentCode],MATCH($A72,tQueue[PriorityRank],0))</f>
        <v>ROTOR-ASSY</v>
      </c>
      <c r="E72">
        <f>INDEX(tQueue[PositionNo],MATCH($A72,tQueue[PriorityRank],0))</f>
        <v>1</v>
      </c>
      <c r="F72" t="str">
        <f>INDEX(tQueue[Criticality],MATCH($A72,tQueue[PriorityRank],0))</f>
        <v>FlightCritical</v>
      </c>
      <c r="G72" s="22">
        <f>INDEX(tQueue[PctOfHourInterval],MATCH($A72,tQueue[PriorityRank],0))</f>
        <v>92.61</v>
      </c>
      <c r="H72" s="22">
        <f>INDEX(tQueue[PctOfStressInterval],MATCH($A72,tQueue[PriorityRank],0))</f>
        <v>114.61</v>
      </c>
      <c r="I72" s="22">
        <f>INDEX(tQueue[ProjectedFlightHoursToStressLimit],MATCH($A72,tQueue[PriorityRank],0))</f>
        <v>-17.260000000000002</v>
      </c>
      <c r="J72" s="22">
        <f>INDEX(tQueue[LeadTimeFlightHours],MATCH($A72,tQueue[PriorityRank],0))</f>
        <v>18</v>
      </c>
      <c r="K72" t="str">
        <f>INDEX(tQueue[ActionCode],MATCH($A72,tQueue[PriorityRank],0))</f>
        <v>GROUND_AND_REPLACE</v>
      </c>
      <c r="L72" s="25">
        <f>INDEX(tQueue[JobHours],MATCH($A72,tQueue[PriorityRank],0))</f>
        <v>4.5</v>
      </c>
      <c r="M72" s="25">
        <f>INDEX(Calc!$C$5:$C$198,MATCH($A72,Calc!$A$5:$A$198,0))</f>
        <v>306</v>
      </c>
      <c r="N72" t="str">
        <f>IF(M72&lt;=HangarHoursPerWeek,"yes","-")</f>
        <v>-</v>
      </c>
    </row>
    <row r="73" spans="1:14" x14ac:dyDescent="0.35">
      <c r="A73">
        <v>69</v>
      </c>
      <c r="B73" t="str">
        <f>INDEX(tQueue[TailNumber],MATCH($A73,tQueue[PriorityRank],0))</f>
        <v>MU-018</v>
      </c>
      <c r="C73" t="str">
        <f>INDEX(tQueue[BaseCode],MATCH($A73,tQueue[PriorityRank],0))</f>
        <v>HIGHLND</v>
      </c>
      <c r="D73" t="str">
        <f>INDEX(tQueue[ComponentCode],MATCH($A73,tQueue[PriorityRank],0))</f>
        <v>MOTOR-ESC</v>
      </c>
      <c r="E73">
        <f>INDEX(tQueue[PositionNo],MATCH($A73,tQueue[PriorityRank],0))</f>
        <v>3</v>
      </c>
      <c r="F73" t="str">
        <f>INDEX(tQueue[Criticality],MATCH($A73,tQueue[PriorityRank],0))</f>
        <v>FlightCritical</v>
      </c>
      <c r="G73" s="22">
        <f>INDEX(tQueue[PctOfHourInterval],MATCH($A73,tQueue[PriorityRank],0))</f>
        <v>50.46</v>
      </c>
      <c r="H73" s="22">
        <f>INDEX(tQueue[PctOfStressInterval],MATCH($A73,tQueue[PriorityRank],0))</f>
        <v>109.26</v>
      </c>
      <c r="I73" s="22">
        <f>INDEX(tQueue[ProjectedFlightHoursToStressLimit],MATCH($A73,tQueue[PriorityRank],0))</f>
        <v>-8.43</v>
      </c>
      <c r="J73" s="22">
        <f>INDEX(tQueue[LeadTimeFlightHours],MATCH($A73,tQueue[PriorityRank],0))</f>
        <v>12</v>
      </c>
      <c r="K73" t="str">
        <f>INDEX(tQueue[ActionCode],MATCH($A73,tQueue[PriorityRank],0))</f>
        <v>GROUND_AND_REPLACE</v>
      </c>
      <c r="L73" s="25">
        <f>INDEX(tQueue[JobHours],MATCH($A73,tQueue[PriorityRank],0))</f>
        <v>4.5</v>
      </c>
      <c r="M73" s="25">
        <f>INDEX(Calc!$C$5:$C$198,MATCH($A73,Calc!$A$5:$A$198,0))</f>
        <v>310.5</v>
      </c>
      <c r="N73" t="str">
        <f>IF(M73&lt;=HangarHoursPerWeek,"yes","-")</f>
        <v>-</v>
      </c>
    </row>
    <row r="74" spans="1:14" x14ac:dyDescent="0.35">
      <c r="A74">
        <v>70</v>
      </c>
      <c r="B74" t="str">
        <f>INDEX(tQueue[TailNumber],MATCH($A74,tQueue[PriorityRank],0))</f>
        <v>MU-023</v>
      </c>
      <c r="C74" t="str">
        <f>INDEX(tQueue[BaseCode],MATCH($A74,tQueue[PriorityRank],0))</f>
        <v>COASTAL</v>
      </c>
      <c r="D74" t="str">
        <f>INDEX(tQueue[ComponentCode],MATCH($A74,tQueue[PriorityRank],0))</f>
        <v>BATT-PACK</v>
      </c>
      <c r="E74">
        <f>INDEX(tQueue[PositionNo],MATCH($A74,tQueue[PriorityRank],0))</f>
        <v>1</v>
      </c>
      <c r="F74" t="str">
        <f>INDEX(tQueue[Criticality],MATCH($A74,tQueue[PriorityRank],0))</f>
        <v>FlightCritical</v>
      </c>
      <c r="G74" s="22">
        <f>INDEX(tQueue[PctOfHourInterval],MATCH($A74,tQueue[PriorityRank],0))</f>
        <v>94.86</v>
      </c>
      <c r="H74" s="22">
        <f>INDEX(tQueue[PctOfStressInterval],MATCH($A74,tQueue[PriorityRank],0))</f>
        <v>115.41</v>
      </c>
      <c r="I74" s="22">
        <f>INDEX(tQueue[ProjectedFlightHoursToStressLimit],MATCH($A74,tQueue[PriorityRank],0))</f>
        <v>-14.42</v>
      </c>
      <c r="J74" s="22">
        <f>INDEX(tQueue[LeadTimeFlightHours],MATCH($A74,tQueue[PriorityRank],0))</f>
        <v>8</v>
      </c>
      <c r="K74" t="str">
        <f>INDEX(tQueue[ActionCode],MATCH($A74,tQueue[PriorityRank],0))</f>
        <v>GROUND_AND_REPLACE</v>
      </c>
      <c r="L74" s="25">
        <f>INDEX(tQueue[JobHours],MATCH($A74,tQueue[PriorityRank],0))</f>
        <v>4.5</v>
      </c>
      <c r="M74" s="25">
        <f>INDEX(Calc!$C$5:$C$198,MATCH($A74,Calc!$A$5:$A$198,0))</f>
        <v>315</v>
      </c>
      <c r="N74" t="str">
        <f>IF(M74&lt;=HangarHoursPerWeek,"yes","-")</f>
        <v>-</v>
      </c>
    </row>
    <row r="75" spans="1:14" x14ac:dyDescent="0.35">
      <c r="A75">
        <v>71</v>
      </c>
      <c r="B75" t="str">
        <f>INDEX(tQueue[TailNumber],MATCH($A75,tQueue[PriorityRank],0))</f>
        <v>MU-028</v>
      </c>
      <c r="C75" t="str">
        <f>INDEX(tQueue[BaseCode],MATCH($A75,tQueue[PriorityRank],0))</f>
        <v>ACADEMY</v>
      </c>
      <c r="D75" t="str">
        <f>INDEX(tQueue[ComponentCode],MATCH($A75,tQueue[PriorityRank],0))</f>
        <v>BATT-PACK</v>
      </c>
      <c r="E75">
        <f>INDEX(tQueue[PositionNo],MATCH($A75,tQueue[PriorityRank],0))</f>
        <v>2</v>
      </c>
      <c r="F75" t="str">
        <f>INDEX(tQueue[Criticality],MATCH($A75,tQueue[PriorityRank],0))</f>
        <v>FlightCritical</v>
      </c>
      <c r="G75" s="22">
        <f>INDEX(tQueue[PctOfHourInterval],MATCH($A75,tQueue[PriorityRank],0))</f>
        <v>61.64</v>
      </c>
      <c r="H75" s="22">
        <f>INDEX(tQueue[PctOfStressInterval],MATCH($A75,tQueue[PriorityRank],0))</f>
        <v>112.64</v>
      </c>
      <c r="I75" s="22">
        <f>INDEX(tQueue[ProjectedFlightHoursToStressLimit],MATCH($A75,tQueue[PriorityRank],0))</f>
        <v>-8.77</v>
      </c>
      <c r="J75" s="22">
        <f>INDEX(tQueue[LeadTimeFlightHours],MATCH($A75,tQueue[PriorityRank],0))</f>
        <v>8</v>
      </c>
      <c r="K75" t="str">
        <f>INDEX(tQueue[ActionCode],MATCH($A75,tQueue[PriorityRank],0))</f>
        <v>GROUND_AND_REPLACE</v>
      </c>
      <c r="L75" s="25">
        <f>INDEX(tQueue[JobHours],MATCH($A75,tQueue[PriorityRank],0))</f>
        <v>4.5</v>
      </c>
      <c r="M75" s="25">
        <f>INDEX(Calc!$C$5:$C$198,MATCH($A75,Calc!$A$5:$A$198,0))</f>
        <v>319.5</v>
      </c>
      <c r="N75" t="str">
        <f>IF(M75&lt;=HangarHoursPerWeek,"yes","-")</f>
        <v>-</v>
      </c>
    </row>
    <row r="76" spans="1:14" x14ac:dyDescent="0.35">
      <c r="A76">
        <v>72</v>
      </c>
      <c r="B76" t="str">
        <f>INDEX(tQueue[TailNumber],MATCH($A76,tQueue[PriorityRank],0))</f>
        <v>MU-015</v>
      </c>
      <c r="C76" t="str">
        <f>INDEX(tQueue[BaseCode],MATCH($A76,tQueue[PriorityRank],0))</f>
        <v>PORT</v>
      </c>
      <c r="D76" t="str">
        <f>INDEX(tQueue[ComponentCode],MATCH($A76,tQueue[PriorityRank],0))</f>
        <v>MOTOR-ESC</v>
      </c>
      <c r="E76">
        <f>INDEX(tQueue[PositionNo],MATCH($A76,tQueue[PriorityRank],0))</f>
        <v>3</v>
      </c>
      <c r="F76" t="str">
        <f>INDEX(tQueue[Criticality],MATCH($A76,tQueue[PriorityRank],0))</f>
        <v>FlightCritical</v>
      </c>
      <c r="G76" s="22">
        <f>INDEX(tQueue[PctOfHourInterval],MATCH($A76,tQueue[PriorityRank],0))</f>
        <v>54.19</v>
      </c>
      <c r="H76" s="22">
        <f>INDEX(tQueue[PctOfStressInterval],MATCH($A76,tQueue[PriorityRank],0))</f>
        <v>107.36</v>
      </c>
      <c r="I76" s="22">
        <f>INDEX(tQueue[ProjectedFlightHoursToStressLimit],MATCH($A76,tQueue[PriorityRank],0))</f>
        <v>-7.66</v>
      </c>
      <c r="J76" s="22">
        <f>INDEX(tQueue[LeadTimeFlightHours],MATCH($A76,tQueue[PriorityRank],0))</f>
        <v>12</v>
      </c>
      <c r="K76" t="str">
        <f>INDEX(tQueue[ActionCode],MATCH($A76,tQueue[PriorityRank],0))</f>
        <v>GROUND_AND_REPLACE</v>
      </c>
      <c r="L76" s="25">
        <f>INDEX(tQueue[JobHours],MATCH($A76,tQueue[PriorityRank],0))</f>
        <v>4.5</v>
      </c>
      <c r="M76" s="25">
        <f>INDEX(Calc!$C$5:$C$198,MATCH($A76,Calc!$A$5:$A$198,0))</f>
        <v>324</v>
      </c>
      <c r="N76" t="str">
        <f>IF(M76&lt;=HangarHoursPerWeek,"yes","-")</f>
        <v>-</v>
      </c>
    </row>
    <row r="77" spans="1:14" x14ac:dyDescent="0.35">
      <c r="A77">
        <v>73</v>
      </c>
      <c r="B77" t="str">
        <f>INDEX(tQueue[TailNumber],MATCH($A77,tQueue[PriorityRank],0))</f>
        <v>MU-021</v>
      </c>
      <c r="C77" t="str">
        <f>INDEX(tQueue[BaseCode],MATCH($A77,tQueue[PriorityRank],0))</f>
        <v>ACADEMY</v>
      </c>
      <c r="D77" t="str">
        <f>INDEX(tQueue[ComponentCode],MATCH($A77,tQueue[PriorityRank],0))</f>
        <v>ROTOR-ASSY</v>
      </c>
      <c r="E77">
        <f>INDEX(tQueue[PositionNo],MATCH($A77,tQueue[PriorityRank],0))</f>
        <v>3</v>
      </c>
      <c r="F77" t="str">
        <f>INDEX(tQueue[Criticality],MATCH($A77,tQueue[PriorityRank],0))</f>
        <v>FlightCritical</v>
      </c>
      <c r="G77" s="22">
        <f>INDEX(tQueue[PctOfHourInterval],MATCH($A77,tQueue[PriorityRank],0))</f>
        <v>59.26</v>
      </c>
      <c r="H77" s="22">
        <f>INDEX(tQueue[PctOfStressInterval],MATCH($A77,tQueue[PriorityRank],0))</f>
        <v>109.6</v>
      </c>
      <c r="I77" s="22">
        <f>INDEX(tQueue[ProjectedFlightHoursToStressLimit],MATCH($A77,tQueue[PriorityRank],0))</f>
        <v>-7.52</v>
      </c>
      <c r="J77" s="22">
        <f>INDEX(tQueue[LeadTimeFlightHours],MATCH($A77,tQueue[PriorityRank],0))</f>
        <v>18</v>
      </c>
      <c r="K77" t="str">
        <f>INDEX(tQueue[ActionCode],MATCH($A77,tQueue[PriorityRank],0))</f>
        <v>GROUND_AND_REPLACE</v>
      </c>
      <c r="L77" s="25">
        <f>INDEX(tQueue[JobHours],MATCH($A77,tQueue[PriorityRank],0))</f>
        <v>4.5</v>
      </c>
      <c r="M77" s="25">
        <f>INDEX(Calc!$C$5:$C$198,MATCH($A77,Calc!$A$5:$A$198,0))</f>
        <v>328.5</v>
      </c>
      <c r="N77" t="str">
        <f>IF(M77&lt;=HangarHoursPerWeek,"yes","-")</f>
        <v>-</v>
      </c>
    </row>
    <row r="78" spans="1:14" x14ac:dyDescent="0.35">
      <c r="A78">
        <v>74</v>
      </c>
      <c r="B78" t="str">
        <f>INDEX(tQueue[TailNumber],MATCH($A78,tQueue[PriorityRank],0))</f>
        <v>MU-031</v>
      </c>
      <c r="C78" t="str">
        <f>INDEX(tQueue[BaseCode],MATCH($A78,tQueue[PriorityRank],0))</f>
        <v>COASTAL</v>
      </c>
      <c r="D78" t="str">
        <f>INDEX(tQueue[ComponentCode],MATCH($A78,tQueue[PriorityRank],0))</f>
        <v>BATT-PACK</v>
      </c>
      <c r="E78">
        <f>INDEX(tQueue[PositionNo],MATCH($A78,tQueue[PriorityRank],0))</f>
        <v>1</v>
      </c>
      <c r="F78" t="str">
        <f>INDEX(tQueue[Criticality],MATCH($A78,tQueue[PriorityRank],0))</f>
        <v>FlightCritical</v>
      </c>
      <c r="G78" s="22">
        <f>INDEX(tQueue[PctOfHourInterval],MATCH($A78,tQueue[PriorityRank],0))</f>
        <v>97.54</v>
      </c>
      <c r="H78" s="22">
        <f>INDEX(tQueue[PctOfStressInterval],MATCH($A78,tQueue[PriorityRank],0))</f>
        <v>111.73</v>
      </c>
      <c r="I78" s="22">
        <f>INDEX(tQueue[ProjectedFlightHoursToStressLimit],MATCH($A78,tQueue[PriorityRank],0))</f>
        <v>-12.17</v>
      </c>
      <c r="J78" s="22">
        <f>INDEX(tQueue[LeadTimeFlightHours],MATCH($A78,tQueue[PriorityRank],0))</f>
        <v>8</v>
      </c>
      <c r="K78" t="str">
        <f>INDEX(tQueue[ActionCode],MATCH($A78,tQueue[PriorityRank],0))</f>
        <v>GROUND_AND_REPLACE</v>
      </c>
      <c r="L78" s="25">
        <f>INDEX(tQueue[JobHours],MATCH($A78,tQueue[PriorityRank],0))</f>
        <v>4.5</v>
      </c>
      <c r="M78" s="25">
        <f>INDEX(Calc!$C$5:$C$198,MATCH($A78,Calc!$A$5:$A$198,0))</f>
        <v>333</v>
      </c>
      <c r="N78" t="str">
        <f>IF(M78&lt;=HangarHoursPerWeek,"yes","-")</f>
        <v>-</v>
      </c>
    </row>
    <row r="79" spans="1:14" x14ac:dyDescent="0.35">
      <c r="A79">
        <v>75</v>
      </c>
      <c r="B79" t="str">
        <f>INDEX(tQueue[TailNumber],MATCH($A79,tQueue[PriorityRank],0))</f>
        <v>MU-002</v>
      </c>
      <c r="C79" t="str">
        <f>INDEX(tQueue[BaseCode],MATCH($A79,tQueue[PriorityRank],0))</f>
        <v>HIGHLND</v>
      </c>
      <c r="D79" t="str">
        <f>INDEX(tQueue[ComponentCode],MATCH($A79,tQueue[PriorityRank],0))</f>
        <v>MOTOR-ESC</v>
      </c>
      <c r="E79">
        <f>INDEX(tQueue[PositionNo],MATCH($A79,tQueue[PriorityRank],0))</f>
        <v>4</v>
      </c>
      <c r="F79" t="str">
        <f>INDEX(tQueue[Criticality],MATCH($A79,tQueue[PriorityRank],0))</f>
        <v>FlightCritical</v>
      </c>
      <c r="G79" s="22">
        <f>INDEX(tQueue[PctOfHourInterval],MATCH($A79,tQueue[PriorityRank],0))</f>
        <v>47.3</v>
      </c>
      <c r="H79" s="22">
        <f>INDEX(tQueue[PctOfStressInterval],MATCH($A79,tQueue[PriorityRank],0))</f>
        <v>106.78</v>
      </c>
      <c r="I79" s="22">
        <f>INDEX(tQueue[ProjectedFlightHoursToStressLimit],MATCH($A79,tQueue[PriorityRank],0))</f>
        <v>-5.94</v>
      </c>
      <c r="J79" s="22">
        <f>INDEX(tQueue[LeadTimeFlightHours],MATCH($A79,tQueue[PriorityRank],0))</f>
        <v>12</v>
      </c>
      <c r="K79" t="str">
        <f>INDEX(tQueue[ActionCode],MATCH($A79,tQueue[PriorityRank],0))</f>
        <v>GROUND_AND_REPLACE</v>
      </c>
      <c r="L79" s="25">
        <f>INDEX(tQueue[JobHours],MATCH($A79,tQueue[PriorityRank],0))</f>
        <v>4.5</v>
      </c>
      <c r="M79" s="25">
        <f>INDEX(Calc!$C$5:$C$198,MATCH($A79,Calc!$A$5:$A$198,0))</f>
        <v>337.5</v>
      </c>
      <c r="N79" t="str">
        <f>IF(M79&lt;=HangarHoursPerWeek,"yes","-")</f>
        <v>-</v>
      </c>
    </row>
    <row r="80" spans="1:14" x14ac:dyDescent="0.35">
      <c r="A80">
        <v>76</v>
      </c>
      <c r="B80" t="str">
        <f>INDEX(tQueue[TailNumber],MATCH($A80,tQueue[PriorityRank],0))</f>
        <v>MU-019</v>
      </c>
      <c r="C80" t="str">
        <f>INDEX(tQueue[BaseCode],MATCH($A80,tQueue[PriorityRank],0))</f>
        <v>PORT</v>
      </c>
      <c r="D80" t="str">
        <f>INDEX(tQueue[ComponentCode],MATCH($A80,tQueue[PriorityRank],0))</f>
        <v>MOTOR-ESC</v>
      </c>
      <c r="E80">
        <f>INDEX(tQueue[PositionNo],MATCH($A80,tQueue[PriorityRank],0))</f>
        <v>3</v>
      </c>
      <c r="F80" t="str">
        <f>INDEX(tQueue[Criticality],MATCH($A80,tQueue[PriorityRank],0))</f>
        <v>FlightCritical</v>
      </c>
      <c r="G80" s="22">
        <f>INDEX(tQueue[PctOfHourInterval],MATCH($A80,tQueue[PriorityRank],0))</f>
        <v>55.78</v>
      </c>
      <c r="H80" s="22">
        <f>INDEX(tQueue[PctOfStressInterval],MATCH($A80,tQueue[PriorityRank],0))</f>
        <v>106.09</v>
      </c>
      <c r="I80" s="22">
        <f>INDEX(tQueue[ProjectedFlightHoursToStressLimit],MATCH($A80,tQueue[PriorityRank],0))</f>
        <v>-6.45</v>
      </c>
      <c r="J80" s="22">
        <f>INDEX(tQueue[LeadTimeFlightHours],MATCH($A80,tQueue[PriorityRank],0))</f>
        <v>12</v>
      </c>
      <c r="K80" t="str">
        <f>INDEX(tQueue[ActionCode],MATCH($A80,tQueue[PriorityRank],0))</f>
        <v>GROUND_AND_REPLACE</v>
      </c>
      <c r="L80" s="25">
        <f>INDEX(tQueue[JobHours],MATCH($A80,tQueue[PriorityRank],0))</f>
        <v>4.5</v>
      </c>
      <c r="M80" s="25">
        <f>INDEX(Calc!$C$5:$C$198,MATCH($A80,Calc!$A$5:$A$198,0))</f>
        <v>342</v>
      </c>
      <c r="N80" t="str">
        <f>IF(M80&lt;=HangarHoursPerWeek,"yes","-")</f>
        <v>-</v>
      </c>
    </row>
    <row r="81" spans="1:14" x14ac:dyDescent="0.35">
      <c r="A81">
        <v>77</v>
      </c>
      <c r="B81" t="str">
        <f>INDEX(tQueue[TailNumber],MATCH($A81,tQueue[PriorityRank],0))</f>
        <v>MU-022</v>
      </c>
      <c r="C81" t="str">
        <f>INDEX(tQueue[BaseCode],MATCH($A81,tQueue[PriorityRank],0))</f>
        <v>COASTAL</v>
      </c>
      <c r="D81" t="str">
        <f>INDEX(tQueue[ComponentCode],MATCH($A81,tQueue[PriorityRank],0))</f>
        <v>ROTOR-ASSY</v>
      </c>
      <c r="E81">
        <f>INDEX(tQueue[PositionNo],MATCH($A81,tQueue[PriorityRank],0))</f>
        <v>2</v>
      </c>
      <c r="F81" t="str">
        <f>INDEX(tQueue[Criticality],MATCH($A81,tQueue[PriorityRank],0))</f>
        <v>FlightCritical</v>
      </c>
      <c r="G81" s="22">
        <f>INDEX(tQueue[PctOfHourInterval],MATCH($A81,tQueue[PriorityRank],0))</f>
        <v>86.18</v>
      </c>
      <c r="H81" s="22">
        <f>INDEX(tQueue[PctOfStressInterval],MATCH($A81,tQueue[PriorityRank],0))</f>
        <v>108.02</v>
      </c>
      <c r="I81" s="22">
        <f>INDEX(tQueue[ProjectedFlightHoursToStressLimit],MATCH($A81,tQueue[PriorityRank],0))</f>
        <v>-9.4700000000000006</v>
      </c>
      <c r="J81" s="22">
        <f>INDEX(tQueue[LeadTimeFlightHours],MATCH($A81,tQueue[PriorityRank],0))</f>
        <v>18</v>
      </c>
      <c r="K81" t="str">
        <f>INDEX(tQueue[ActionCode],MATCH($A81,tQueue[PriorityRank],0))</f>
        <v>GROUND_AND_REPLACE</v>
      </c>
      <c r="L81" s="25">
        <f>INDEX(tQueue[JobHours],MATCH($A81,tQueue[PriorityRank],0))</f>
        <v>4.5</v>
      </c>
      <c r="M81" s="25">
        <f>INDEX(Calc!$C$5:$C$198,MATCH($A81,Calc!$A$5:$A$198,0))</f>
        <v>346.5</v>
      </c>
      <c r="N81" t="str">
        <f>IF(M81&lt;=HangarHoursPerWeek,"yes","-")</f>
        <v>-</v>
      </c>
    </row>
    <row r="82" spans="1:14" x14ac:dyDescent="0.35">
      <c r="A82">
        <v>78</v>
      </c>
      <c r="B82" t="str">
        <f>INDEX(tQueue[TailNumber],MATCH($A82,tQueue[PriorityRank],0))</f>
        <v>MU-022</v>
      </c>
      <c r="C82" t="str">
        <f>INDEX(tQueue[BaseCode],MATCH($A82,tQueue[PriorityRank],0))</f>
        <v>COASTAL</v>
      </c>
      <c r="D82" t="str">
        <f>INDEX(tQueue[ComponentCode],MATCH($A82,tQueue[PriorityRank],0))</f>
        <v>ROTOR-ASSY</v>
      </c>
      <c r="E82">
        <f>INDEX(tQueue[PositionNo],MATCH($A82,tQueue[PriorityRank],0))</f>
        <v>3</v>
      </c>
      <c r="F82" t="str">
        <f>INDEX(tQueue[Criticality],MATCH($A82,tQueue[PriorityRank],0))</f>
        <v>FlightCritical</v>
      </c>
      <c r="G82" s="22">
        <f>INDEX(tQueue[PctOfHourInterval],MATCH($A82,tQueue[PriorityRank],0))</f>
        <v>86.18</v>
      </c>
      <c r="H82" s="22">
        <f>INDEX(tQueue[PctOfStressInterval],MATCH($A82,tQueue[PriorityRank],0))</f>
        <v>108.02</v>
      </c>
      <c r="I82" s="22">
        <f>INDEX(tQueue[ProjectedFlightHoursToStressLimit],MATCH($A82,tQueue[PriorityRank],0))</f>
        <v>-9.4700000000000006</v>
      </c>
      <c r="J82" s="22">
        <f>INDEX(tQueue[LeadTimeFlightHours],MATCH($A82,tQueue[PriorityRank],0))</f>
        <v>18</v>
      </c>
      <c r="K82" t="str">
        <f>INDEX(tQueue[ActionCode],MATCH($A82,tQueue[PriorityRank],0))</f>
        <v>GROUND_AND_REPLACE</v>
      </c>
      <c r="L82" s="25">
        <f>INDEX(tQueue[JobHours],MATCH($A82,tQueue[PriorityRank],0))</f>
        <v>4.5</v>
      </c>
      <c r="M82" s="25">
        <f>INDEX(Calc!$C$5:$C$198,MATCH($A82,Calc!$A$5:$A$198,0))</f>
        <v>351</v>
      </c>
      <c r="N82" t="str">
        <f>IF(M82&lt;=HangarHoursPerWeek,"yes","-")</f>
        <v>-</v>
      </c>
    </row>
    <row r="83" spans="1:14" x14ac:dyDescent="0.35">
      <c r="A83">
        <v>79</v>
      </c>
      <c r="B83" t="str">
        <f>INDEX(tQueue[TailNumber],MATCH($A83,tQueue[PriorityRank],0))</f>
        <v>MU-001</v>
      </c>
      <c r="C83" t="str">
        <f>INDEX(tQueue[BaseCode],MATCH($A83,tQueue[PriorityRank],0))</f>
        <v>PORT</v>
      </c>
      <c r="D83" t="str">
        <f>INDEX(tQueue[ComponentCode],MATCH($A83,tQueue[PriorityRank],0))</f>
        <v>BATT-PACK</v>
      </c>
      <c r="E83">
        <f>INDEX(tQueue[PositionNo],MATCH($A83,tQueue[PriorityRank],0))</f>
        <v>2</v>
      </c>
      <c r="F83" t="str">
        <f>INDEX(tQueue[Criticality],MATCH($A83,tQueue[PriorityRank],0))</f>
        <v>FlightCritical</v>
      </c>
      <c r="G83" s="22">
        <f>INDEX(tQueue[PctOfHourInterval],MATCH($A83,tQueue[PriorityRank],0))</f>
        <v>53.14</v>
      </c>
      <c r="H83" s="22">
        <f>INDEX(tQueue[PctOfStressInterval],MATCH($A83,tQueue[PriorityRank],0))</f>
        <v>109.81</v>
      </c>
      <c r="I83" s="22">
        <f>INDEX(tQueue[ProjectedFlightHoursToStressLimit],MATCH($A83,tQueue[PriorityRank],0))</f>
        <v>-5.7</v>
      </c>
      <c r="J83" s="22">
        <f>INDEX(tQueue[LeadTimeFlightHours],MATCH($A83,tQueue[PriorityRank],0))</f>
        <v>8</v>
      </c>
      <c r="K83" t="str">
        <f>INDEX(tQueue[ActionCode],MATCH($A83,tQueue[PriorityRank],0))</f>
        <v>GROUND_AND_REPLACE</v>
      </c>
      <c r="L83" s="25">
        <f>INDEX(tQueue[JobHours],MATCH($A83,tQueue[PriorityRank],0))</f>
        <v>4.5</v>
      </c>
      <c r="M83" s="25">
        <f>INDEX(Calc!$C$5:$C$198,MATCH($A83,Calc!$A$5:$A$198,0))</f>
        <v>355.5</v>
      </c>
      <c r="N83" t="str">
        <f>IF(M83&lt;=HangarHoursPerWeek,"yes","-")</f>
        <v>-</v>
      </c>
    </row>
    <row r="84" spans="1:14" x14ac:dyDescent="0.35">
      <c r="A84">
        <v>80</v>
      </c>
      <c r="B84" t="str">
        <f>INDEX(tQueue[TailNumber],MATCH($A84,tQueue[PriorityRank],0))</f>
        <v>MU-012</v>
      </c>
      <c r="C84" t="str">
        <f>INDEX(tQueue[BaseCode],MATCH($A84,tQueue[PriorityRank],0))</f>
        <v>COASTAL</v>
      </c>
      <c r="D84" t="str">
        <f>INDEX(tQueue[ComponentCode],MATCH($A84,tQueue[PriorityRank],0))</f>
        <v>MOTOR-ESC</v>
      </c>
      <c r="E84">
        <f>INDEX(tQueue[PositionNo],MATCH($A84,tQueue[PriorityRank],0))</f>
        <v>2</v>
      </c>
      <c r="F84" t="str">
        <f>INDEX(tQueue[Criticality],MATCH($A84,tQueue[PriorityRank],0))</f>
        <v>FlightCritical</v>
      </c>
      <c r="G84" s="22">
        <f>INDEX(tQueue[PctOfHourInterval],MATCH($A84,tQueue[PriorityRank],0))</f>
        <v>88.79</v>
      </c>
      <c r="H84" s="22">
        <f>INDEX(tQueue[PctOfStressInterval],MATCH($A84,tQueue[PriorityRank],0))</f>
        <v>105.33</v>
      </c>
      <c r="I84" s="22">
        <f>INDEX(tQueue[ProjectedFlightHoursToStressLimit],MATCH($A84,tQueue[PriorityRank],0))</f>
        <v>-9.85</v>
      </c>
      <c r="J84" s="22">
        <f>INDEX(tQueue[LeadTimeFlightHours],MATCH($A84,tQueue[PriorityRank],0))</f>
        <v>12</v>
      </c>
      <c r="K84" t="str">
        <f>INDEX(tQueue[ActionCode],MATCH($A84,tQueue[PriorityRank],0))</f>
        <v>GROUND_AND_REPLACE</v>
      </c>
      <c r="L84" s="25">
        <f>INDEX(tQueue[JobHours],MATCH($A84,tQueue[PriorityRank],0))</f>
        <v>4.5</v>
      </c>
      <c r="M84" s="25">
        <f>INDEX(Calc!$C$5:$C$198,MATCH($A84,Calc!$A$5:$A$198,0))</f>
        <v>360</v>
      </c>
      <c r="N84" t="str">
        <f>IF(M84&lt;=HangarHoursPerWeek,"yes","-")</f>
        <v>-</v>
      </c>
    </row>
    <row r="85" spans="1:14" x14ac:dyDescent="0.35">
      <c r="A85">
        <v>81</v>
      </c>
      <c r="B85" t="str">
        <f>INDEX(tQueue[TailNumber],MATCH($A85,tQueue[PriorityRank],0))</f>
        <v>MU-030</v>
      </c>
      <c r="C85" t="str">
        <f>INDEX(tQueue[BaseCode],MATCH($A85,tQueue[PriorityRank],0))</f>
        <v>PORT</v>
      </c>
      <c r="D85" t="str">
        <f>INDEX(tQueue[ComponentCode],MATCH($A85,tQueue[PriorityRank],0))</f>
        <v>MOTOR-ESC</v>
      </c>
      <c r="E85">
        <f>INDEX(tQueue[PositionNo],MATCH($A85,tQueue[PriorityRank],0))</f>
        <v>3</v>
      </c>
      <c r="F85" t="str">
        <f>INDEX(tQueue[Criticality],MATCH($A85,tQueue[PriorityRank],0))</f>
        <v>FlightCritical</v>
      </c>
      <c r="G85" s="22">
        <f>INDEX(tQueue[PctOfHourInterval],MATCH($A85,tQueue[PriorityRank],0))</f>
        <v>51.26</v>
      </c>
      <c r="H85" s="22">
        <f>INDEX(tQueue[PctOfStressInterval],MATCH($A85,tQueue[PriorityRank],0))</f>
        <v>104.9</v>
      </c>
      <c r="I85" s="22">
        <f>INDEX(tQueue[ProjectedFlightHoursToStressLimit],MATCH($A85,tQueue[PriorityRank],0))</f>
        <v>-5</v>
      </c>
      <c r="J85" s="22">
        <f>INDEX(tQueue[LeadTimeFlightHours],MATCH($A85,tQueue[PriorityRank],0))</f>
        <v>12</v>
      </c>
      <c r="K85" t="str">
        <f>INDEX(tQueue[ActionCode],MATCH($A85,tQueue[PriorityRank],0))</f>
        <v>GROUND_AND_REPLACE</v>
      </c>
      <c r="L85" s="25">
        <f>INDEX(tQueue[JobHours],MATCH($A85,tQueue[PriorityRank],0))</f>
        <v>4.5</v>
      </c>
      <c r="M85" s="25">
        <f>INDEX(Calc!$C$5:$C$198,MATCH($A85,Calc!$A$5:$A$198,0))</f>
        <v>364.5</v>
      </c>
      <c r="N85" t="str">
        <f>IF(M85&lt;=HangarHoursPerWeek,"yes","-")</f>
        <v>-</v>
      </c>
    </row>
    <row r="86" spans="1:14" x14ac:dyDescent="0.35">
      <c r="A86">
        <v>82</v>
      </c>
      <c r="B86" t="str">
        <f>INDEX(tQueue[TailNumber],MATCH($A86,tQueue[PriorityRank],0))</f>
        <v>MU-028</v>
      </c>
      <c r="C86" t="str">
        <f>INDEX(tQueue[BaseCode],MATCH($A86,tQueue[PriorityRank],0))</f>
        <v>ACADEMY</v>
      </c>
      <c r="D86" t="str">
        <f>INDEX(tQueue[ComponentCode],MATCH($A86,tQueue[PriorityRank],0))</f>
        <v>MOTOR-ESC</v>
      </c>
      <c r="E86">
        <f>INDEX(tQueue[PositionNo],MATCH($A86,tQueue[PriorityRank],0))</f>
        <v>1</v>
      </c>
      <c r="F86" t="str">
        <f>INDEX(tQueue[Criticality],MATCH($A86,tQueue[PriorityRank],0))</f>
        <v>FlightCritical</v>
      </c>
      <c r="G86" s="22">
        <f>INDEX(tQueue[PctOfHourInterval],MATCH($A86,tQueue[PriorityRank],0))</f>
        <v>57.56</v>
      </c>
      <c r="H86" s="22">
        <f>INDEX(tQueue[PctOfStressInterval],MATCH($A86,tQueue[PriorityRank],0))</f>
        <v>103.62</v>
      </c>
      <c r="I86" s="22">
        <f>INDEX(tQueue[ProjectedFlightHoursToStressLimit],MATCH($A86,tQueue[PriorityRank],0))</f>
        <v>-4.18</v>
      </c>
      <c r="J86" s="22">
        <f>INDEX(tQueue[LeadTimeFlightHours],MATCH($A86,tQueue[PriorityRank],0))</f>
        <v>12</v>
      </c>
      <c r="K86" t="str">
        <f>INDEX(tQueue[ActionCode],MATCH($A86,tQueue[PriorityRank],0))</f>
        <v>GROUND_AND_REPLACE</v>
      </c>
      <c r="L86" s="25">
        <f>INDEX(tQueue[JobHours],MATCH($A86,tQueue[PriorityRank],0))</f>
        <v>4.5</v>
      </c>
      <c r="M86" s="25">
        <f>INDEX(Calc!$C$5:$C$198,MATCH($A86,Calc!$A$5:$A$198,0))</f>
        <v>369</v>
      </c>
      <c r="N86" t="str">
        <f>IF(M86&lt;=HangarHoursPerWeek,"yes","-")</f>
        <v>-</v>
      </c>
    </row>
    <row r="87" spans="1:14" x14ac:dyDescent="0.35">
      <c r="A87">
        <v>83</v>
      </c>
      <c r="B87" t="str">
        <f>INDEX(tQueue[TailNumber],MATCH($A87,tQueue[PriorityRank],0))</f>
        <v>MU-028</v>
      </c>
      <c r="C87" t="str">
        <f>INDEX(tQueue[BaseCode],MATCH($A87,tQueue[PriorityRank],0))</f>
        <v>ACADEMY</v>
      </c>
      <c r="D87" t="str">
        <f>INDEX(tQueue[ComponentCode],MATCH($A87,tQueue[PriorityRank],0))</f>
        <v>MOTOR-ESC</v>
      </c>
      <c r="E87">
        <f>INDEX(tQueue[PositionNo],MATCH($A87,tQueue[PriorityRank],0))</f>
        <v>2</v>
      </c>
      <c r="F87" t="str">
        <f>INDEX(tQueue[Criticality],MATCH($A87,tQueue[PriorityRank],0))</f>
        <v>FlightCritical</v>
      </c>
      <c r="G87" s="22">
        <f>INDEX(tQueue[PctOfHourInterval],MATCH($A87,tQueue[PriorityRank],0))</f>
        <v>57.56</v>
      </c>
      <c r="H87" s="22">
        <f>INDEX(tQueue[PctOfStressInterval],MATCH($A87,tQueue[PriorityRank],0))</f>
        <v>103.62</v>
      </c>
      <c r="I87" s="22">
        <f>INDEX(tQueue[ProjectedFlightHoursToStressLimit],MATCH($A87,tQueue[PriorityRank],0))</f>
        <v>-4.18</v>
      </c>
      <c r="J87" s="22">
        <f>INDEX(tQueue[LeadTimeFlightHours],MATCH($A87,tQueue[PriorityRank],0))</f>
        <v>12</v>
      </c>
      <c r="K87" t="str">
        <f>INDEX(tQueue[ActionCode],MATCH($A87,tQueue[PriorityRank],0))</f>
        <v>GROUND_AND_REPLACE</v>
      </c>
      <c r="L87" s="25">
        <f>INDEX(tQueue[JobHours],MATCH($A87,tQueue[PriorityRank],0))</f>
        <v>4.5</v>
      </c>
      <c r="M87" s="25">
        <f>INDEX(Calc!$C$5:$C$198,MATCH($A87,Calc!$A$5:$A$198,0))</f>
        <v>373.5</v>
      </c>
      <c r="N87" t="str">
        <f>IF(M87&lt;=HangarHoursPerWeek,"yes","-")</f>
        <v>-</v>
      </c>
    </row>
    <row r="88" spans="1:14" x14ac:dyDescent="0.35">
      <c r="A88">
        <v>84</v>
      </c>
      <c r="B88" t="str">
        <f>INDEX(tQueue[TailNumber],MATCH($A88,tQueue[PriorityRank],0))</f>
        <v>MU-028</v>
      </c>
      <c r="C88" t="str">
        <f>INDEX(tQueue[BaseCode],MATCH($A88,tQueue[PriorityRank],0))</f>
        <v>ACADEMY</v>
      </c>
      <c r="D88" t="str">
        <f>INDEX(tQueue[ComponentCode],MATCH($A88,tQueue[PriorityRank],0))</f>
        <v>MOTOR-ESC</v>
      </c>
      <c r="E88">
        <f>INDEX(tQueue[PositionNo],MATCH($A88,tQueue[PriorityRank],0))</f>
        <v>3</v>
      </c>
      <c r="F88" t="str">
        <f>INDEX(tQueue[Criticality],MATCH($A88,tQueue[PriorityRank],0))</f>
        <v>FlightCritical</v>
      </c>
      <c r="G88" s="22">
        <f>INDEX(tQueue[PctOfHourInterval],MATCH($A88,tQueue[PriorityRank],0))</f>
        <v>57.56</v>
      </c>
      <c r="H88" s="22">
        <f>INDEX(tQueue[PctOfStressInterval],MATCH($A88,tQueue[PriorityRank],0))</f>
        <v>103.62</v>
      </c>
      <c r="I88" s="22">
        <f>INDEX(tQueue[ProjectedFlightHoursToStressLimit],MATCH($A88,tQueue[PriorityRank],0))</f>
        <v>-4.18</v>
      </c>
      <c r="J88" s="22">
        <f>INDEX(tQueue[LeadTimeFlightHours],MATCH($A88,tQueue[PriorityRank],0))</f>
        <v>12</v>
      </c>
      <c r="K88" t="str">
        <f>INDEX(tQueue[ActionCode],MATCH($A88,tQueue[PriorityRank],0))</f>
        <v>GROUND_AND_REPLACE</v>
      </c>
      <c r="L88" s="25">
        <f>INDEX(tQueue[JobHours],MATCH($A88,tQueue[PriorityRank],0))</f>
        <v>4.5</v>
      </c>
      <c r="M88" s="25">
        <f>INDEX(Calc!$C$5:$C$198,MATCH($A88,Calc!$A$5:$A$198,0))</f>
        <v>378</v>
      </c>
      <c r="N88" t="str">
        <f>IF(M88&lt;=HangarHoursPerWeek,"yes","-")</f>
        <v>-</v>
      </c>
    </row>
    <row r="89" spans="1:14" x14ac:dyDescent="0.35">
      <c r="A89">
        <v>85</v>
      </c>
      <c r="B89" t="str">
        <f>INDEX(tQueue[TailNumber],MATCH($A89,tQueue[PriorityRank],0))</f>
        <v>MU-028</v>
      </c>
      <c r="C89" t="str">
        <f>INDEX(tQueue[BaseCode],MATCH($A89,tQueue[PriorityRank],0))</f>
        <v>ACADEMY</v>
      </c>
      <c r="D89" t="str">
        <f>INDEX(tQueue[ComponentCode],MATCH($A89,tQueue[PriorityRank],0))</f>
        <v>MOTOR-ESC</v>
      </c>
      <c r="E89">
        <f>INDEX(tQueue[PositionNo],MATCH($A89,tQueue[PriorityRank],0))</f>
        <v>4</v>
      </c>
      <c r="F89" t="str">
        <f>INDEX(tQueue[Criticality],MATCH($A89,tQueue[PriorityRank],0))</f>
        <v>FlightCritical</v>
      </c>
      <c r="G89" s="22">
        <f>INDEX(tQueue[PctOfHourInterval],MATCH($A89,tQueue[PriorityRank],0))</f>
        <v>57.56</v>
      </c>
      <c r="H89" s="22">
        <f>INDEX(tQueue[PctOfStressInterval],MATCH($A89,tQueue[PriorityRank],0))</f>
        <v>103.62</v>
      </c>
      <c r="I89" s="22">
        <f>INDEX(tQueue[ProjectedFlightHoursToStressLimit],MATCH($A89,tQueue[PriorityRank],0))</f>
        <v>-4.18</v>
      </c>
      <c r="J89" s="22">
        <f>INDEX(tQueue[LeadTimeFlightHours],MATCH($A89,tQueue[PriorityRank],0))</f>
        <v>12</v>
      </c>
      <c r="K89" t="str">
        <f>INDEX(tQueue[ActionCode],MATCH($A89,tQueue[PriorityRank],0))</f>
        <v>GROUND_AND_REPLACE</v>
      </c>
      <c r="L89" s="25">
        <f>INDEX(tQueue[JobHours],MATCH($A89,tQueue[PriorityRank],0))</f>
        <v>4.5</v>
      </c>
      <c r="M89" s="25">
        <f>INDEX(Calc!$C$5:$C$198,MATCH($A89,Calc!$A$5:$A$198,0))</f>
        <v>382.5</v>
      </c>
      <c r="N89" t="str">
        <f>IF(M89&lt;=HangarHoursPerWeek,"yes","-")</f>
        <v>-</v>
      </c>
    </row>
    <row r="90" spans="1:14" x14ac:dyDescent="0.35">
      <c r="A90">
        <v>86</v>
      </c>
      <c r="B90" t="str">
        <f>INDEX(tQueue[TailNumber],MATCH($A90,tQueue[PriorityRank],0))</f>
        <v>MU-008</v>
      </c>
      <c r="C90" t="str">
        <f>INDEX(tQueue[BaseCode],MATCH($A90,tQueue[PriorityRank],0))</f>
        <v>HIGHLND</v>
      </c>
      <c r="D90" t="str">
        <f>INDEX(tQueue[ComponentCode],MATCH($A90,tQueue[PriorityRank],0))</f>
        <v>ROTOR-ASSY</v>
      </c>
      <c r="E90">
        <f>INDEX(tQueue[PositionNo],MATCH($A90,tQueue[PriorityRank],0))</f>
        <v>1</v>
      </c>
      <c r="F90" t="str">
        <f>INDEX(tQueue[Criticality],MATCH($A90,tQueue[PriorityRank],0))</f>
        <v>FlightCritical</v>
      </c>
      <c r="G90" s="22">
        <f>INDEX(tQueue[PctOfHourInterval],MATCH($A90,tQueue[PriorityRank],0))</f>
        <v>48.39</v>
      </c>
      <c r="H90" s="22">
        <f>INDEX(tQueue[PctOfStressInterval],MATCH($A90,tQueue[PriorityRank],0))</f>
        <v>104.8</v>
      </c>
      <c r="I90" s="22">
        <f>INDEX(tQueue[ProjectedFlightHoursToStressLimit],MATCH($A90,tQueue[PriorityRank],0))</f>
        <v>-3.11</v>
      </c>
      <c r="J90" s="22">
        <f>INDEX(tQueue[LeadTimeFlightHours],MATCH($A90,tQueue[PriorityRank],0))</f>
        <v>18</v>
      </c>
      <c r="K90" t="str">
        <f>INDEX(tQueue[ActionCode],MATCH($A90,tQueue[PriorityRank],0))</f>
        <v>GROUND_AND_REPLACE</v>
      </c>
      <c r="L90" s="25">
        <f>INDEX(tQueue[JobHours],MATCH($A90,tQueue[PriorityRank],0))</f>
        <v>4.5</v>
      </c>
      <c r="M90" s="25">
        <f>INDEX(Calc!$C$5:$C$198,MATCH($A90,Calc!$A$5:$A$198,0))</f>
        <v>387</v>
      </c>
      <c r="N90" t="str">
        <f>IF(M90&lt;=HangarHoursPerWeek,"yes","-")</f>
        <v>-</v>
      </c>
    </row>
    <row r="91" spans="1:14" x14ac:dyDescent="0.35">
      <c r="A91">
        <v>87</v>
      </c>
      <c r="B91" t="str">
        <f>INDEX(tQueue[TailNumber],MATCH($A91,tQueue[PriorityRank],0))</f>
        <v>MU-004</v>
      </c>
      <c r="C91" t="str">
        <f>INDEX(tQueue[BaseCode],MATCH($A91,tQueue[PriorityRank],0))</f>
        <v>COASTAL</v>
      </c>
      <c r="D91" t="str">
        <f>INDEX(tQueue[ComponentCode],MATCH($A91,tQueue[PriorityRank],0))</f>
        <v>BATT-PACK</v>
      </c>
      <c r="E91">
        <f>INDEX(tQueue[PositionNo],MATCH($A91,tQueue[PriorityRank],0))</f>
        <v>2</v>
      </c>
      <c r="F91" t="str">
        <f>INDEX(tQueue[Criticality],MATCH($A91,tQueue[PriorityRank],0))</f>
        <v>FlightCritical</v>
      </c>
      <c r="G91" s="22">
        <f>INDEX(tQueue[PctOfHourInterval],MATCH($A91,tQueue[PriorityRank],0))</f>
        <v>92.69</v>
      </c>
      <c r="H91" s="22">
        <f>INDEX(tQueue[PctOfStressInterval],MATCH($A91,tQueue[PriorityRank],0))</f>
        <v>105.5</v>
      </c>
      <c r="I91" s="22">
        <f>INDEX(tQueue[ProjectedFlightHoursToStressLimit],MATCH($A91,tQueue[PriorityRank],0))</f>
        <v>-6</v>
      </c>
      <c r="J91" s="22">
        <f>INDEX(tQueue[LeadTimeFlightHours],MATCH($A91,tQueue[PriorityRank],0))</f>
        <v>8</v>
      </c>
      <c r="K91" t="str">
        <f>INDEX(tQueue[ActionCode],MATCH($A91,tQueue[PriorityRank],0))</f>
        <v>GROUND_AND_REPLACE</v>
      </c>
      <c r="L91" s="25">
        <f>INDEX(tQueue[JobHours],MATCH($A91,tQueue[PriorityRank],0))</f>
        <v>4.5</v>
      </c>
      <c r="M91" s="25">
        <f>INDEX(Calc!$C$5:$C$198,MATCH($A91,Calc!$A$5:$A$198,0))</f>
        <v>391.5</v>
      </c>
      <c r="N91" t="str">
        <f>IF(M91&lt;=HangarHoursPerWeek,"yes","-")</f>
        <v>-</v>
      </c>
    </row>
    <row r="92" spans="1:14" x14ac:dyDescent="0.35">
      <c r="A92">
        <v>88</v>
      </c>
      <c r="B92" t="str">
        <f>INDEX(tQueue[TailNumber],MATCH($A92,tQueue[PriorityRank],0))</f>
        <v>MU-016</v>
      </c>
      <c r="C92" t="str">
        <f>INDEX(tQueue[BaseCode],MATCH($A92,tQueue[PriorityRank],0))</f>
        <v>PORT</v>
      </c>
      <c r="D92" t="str">
        <f>INDEX(tQueue[ComponentCode],MATCH($A92,tQueue[PriorityRank],0))</f>
        <v>BATT-PACK</v>
      </c>
      <c r="E92">
        <f>INDEX(tQueue[PositionNo],MATCH($A92,tQueue[PriorityRank],0))</f>
        <v>2</v>
      </c>
      <c r="F92" t="str">
        <f>INDEX(tQueue[Criticality],MATCH($A92,tQueue[PriorityRank],0))</f>
        <v>FlightCritical</v>
      </c>
      <c r="G92" s="22">
        <f>INDEX(tQueue[PctOfHourInterval],MATCH($A92,tQueue[PriorityRank],0))</f>
        <v>54.22</v>
      </c>
      <c r="H92" s="22">
        <f>INDEX(tQueue[PctOfStressInterval],MATCH($A92,tQueue[PriorityRank],0))</f>
        <v>105.46</v>
      </c>
      <c r="I92" s="22">
        <f>INDEX(tQueue[ProjectedFlightHoursToStressLimit],MATCH($A92,tQueue[PriorityRank],0))</f>
        <v>-3.41</v>
      </c>
      <c r="J92" s="22">
        <f>INDEX(tQueue[LeadTimeFlightHours],MATCH($A92,tQueue[PriorityRank],0))</f>
        <v>8</v>
      </c>
      <c r="K92" t="str">
        <f>INDEX(tQueue[ActionCode],MATCH($A92,tQueue[PriorityRank],0))</f>
        <v>GROUND_AND_REPLACE</v>
      </c>
      <c r="L92" s="25">
        <f>INDEX(tQueue[JobHours],MATCH($A92,tQueue[PriorityRank],0))</f>
        <v>4.5</v>
      </c>
      <c r="M92" s="25">
        <f>INDEX(Calc!$C$5:$C$198,MATCH($A92,Calc!$A$5:$A$198,0))</f>
        <v>396</v>
      </c>
      <c r="N92" t="str">
        <f>IF(M92&lt;=HangarHoursPerWeek,"yes","-")</f>
        <v>-</v>
      </c>
    </row>
    <row r="93" spans="1:14" x14ac:dyDescent="0.35">
      <c r="A93">
        <v>89</v>
      </c>
      <c r="B93" t="str">
        <f>INDEX(tQueue[TailNumber],MATCH($A93,tQueue[PriorityRank],0))</f>
        <v>MU-019</v>
      </c>
      <c r="C93" t="str">
        <f>INDEX(tQueue[BaseCode],MATCH($A93,tQueue[PriorityRank],0))</f>
        <v>PORT</v>
      </c>
      <c r="D93" t="str">
        <f>INDEX(tQueue[ComponentCode],MATCH($A93,tQueue[PriorityRank],0))</f>
        <v>ROTOR-ASSY</v>
      </c>
      <c r="E93">
        <f>INDEX(tQueue[PositionNo],MATCH($A93,tQueue[PriorityRank],0))</f>
        <v>4</v>
      </c>
      <c r="F93" t="str">
        <f>INDEX(tQueue[Criticality],MATCH($A93,tQueue[PriorityRank],0))</f>
        <v>FlightCritical</v>
      </c>
      <c r="G93" s="22">
        <f>INDEX(tQueue[PctOfHourInterval],MATCH($A93,tQueue[PriorityRank],0))</f>
        <v>54.04</v>
      </c>
      <c r="H93" s="22">
        <f>INDEX(tQueue[PctOfStressInterval],MATCH($A93,tQueue[PriorityRank],0))</f>
        <v>102.93</v>
      </c>
      <c r="I93" s="22">
        <f>INDEX(tQueue[ProjectedFlightHoursToStressLimit],MATCH($A93,tQueue[PriorityRank],0))</f>
        <v>-2.3199999999999998</v>
      </c>
      <c r="J93" s="22">
        <f>INDEX(tQueue[LeadTimeFlightHours],MATCH($A93,tQueue[PriorityRank],0))</f>
        <v>18</v>
      </c>
      <c r="K93" t="str">
        <f>INDEX(tQueue[ActionCode],MATCH($A93,tQueue[PriorityRank],0))</f>
        <v>GROUND_AND_REPLACE</v>
      </c>
      <c r="L93" s="25">
        <f>INDEX(tQueue[JobHours],MATCH($A93,tQueue[PriorityRank],0))</f>
        <v>4.5</v>
      </c>
      <c r="M93" s="25">
        <f>INDEX(Calc!$C$5:$C$198,MATCH($A93,Calc!$A$5:$A$198,0))</f>
        <v>400.5</v>
      </c>
      <c r="N93" t="str">
        <f>IF(M93&lt;=HangarHoursPerWeek,"yes","-")</f>
        <v>-</v>
      </c>
    </row>
    <row r="94" spans="1:14" x14ac:dyDescent="0.35">
      <c r="A94">
        <v>90</v>
      </c>
      <c r="B94" t="str">
        <f>INDEX(tQueue[TailNumber],MATCH($A94,tQueue[PriorityRank],0))</f>
        <v>MU-029</v>
      </c>
      <c r="C94" t="str">
        <f>INDEX(tQueue[BaseCode],MATCH($A94,tQueue[PriorityRank],0))</f>
        <v>COASTAL</v>
      </c>
      <c r="D94" t="str">
        <f>INDEX(tQueue[ComponentCode],MATCH($A94,tQueue[PriorityRank],0))</f>
        <v>MOTOR-ESC</v>
      </c>
      <c r="E94">
        <f>INDEX(tQueue[PositionNo],MATCH($A94,tQueue[PriorityRank],0))</f>
        <v>2</v>
      </c>
      <c r="F94" t="str">
        <f>INDEX(tQueue[Criticality],MATCH($A94,tQueue[PriorityRank],0))</f>
        <v>FlightCritical</v>
      </c>
      <c r="G94" s="22">
        <f>INDEX(tQueue[PctOfHourInterval],MATCH($A94,tQueue[PriorityRank],0))</f>
        <v>86.6</v>
      </c>
      <c r="H94" s="22">
        <f>INDEX(tQueue[PctOfStressInterval],MATCH($A94,tQueue[PriorityRank],0))</f>
        <v>100.27</v>
      </c>
      <c r="I94" s="22">
        <f>INDEX(tQueue[ProjectedFlightHoursToStressLimit],MATCH($A94,tQueue[PriorityRank],0))</f>
        <v>-0.46</v>
      </c>
      <c r="J94" s="22">
        <f>INDEX(tQueue[LeadTimeFlightHours],MATCH($A94,tQueue[PriorityRank],0))</f>
        <v>12</v>
      </c>
      <c r="K94" t="str">
        <f>INDEX(tQueue[ActionCode],MATCH($A94,tQueue[PriorityRank],0))</f>
        <v>GROUND_AND_REPLACE</v>
      </c>
      <c r="L94" s="25">
        <f>INDEX(tQueue[JobHours],MATCH($A94,tQueue[PriorityRank],0))</f>
        <v>4.5</v>
      </c>
      <c r="M94" s="25">
        <f>INDEX(Calc!$C$5:$C$198,MATCH($A94,Calc!$A$5:$A$198,0))</f>
        <v>405</v>
      </c>
      <c r="N94" t="str">
        <f>IF(M94&lt;=HangarHoursPerWeek,"yes","-")</f>
        <v>-</v>
      </c>
    </row>
    <row r="95" spans="1:14" x14ac:dyDescent="0.35">
      <c r="A95">
        <v>91</v>
      </c>
      <c r="B95" t="str">
        <f>INDEX(tQueue[TailNumber],MATCH($A95,tQueue[PriorityRank],0))</f>
        <v>MU-022</v>
      </c>
      <c r="C95" t="str">
        <f>INDEX(tQueue[BaseCode],MATCH($A95,tQueue[PriorityRank],0))</f>
        <v>COASTAL</v>
      </c>
      <c r="D95" t="str">
        <f>INDEX(tQueue[ComponentCode],MATCH($A95,tQueue[PriorityRank],0))</f>
        <v>BATT-PACK</v>
      </c>
      <c r="E95">
        <f>INDEX(tQueue[PositionNo],MATCH($A95,tQueue[PriorityRank],0))</f>
        <v>1</v>
      </c>
      <c r="F95" t="str">
        <f>INDEX(tQueue[Criticality],MATCH($A95,tQueue[PriorityRank],0))</f>
        <v>FlightCritical</v>
      </c>
      <c r="G95" s="22">
        <f>INDEX(tQueue[PctOfHourInterval],MATCH($A95,tQueue[PriorityRank],0))</f>
        <v>80.61</v>
      </c>
      <c r="H95" s="22">
        <f>INDEX(tQueue[PctOfStressInterval],MATCH($A95,tQueue[PriorityRank],0))</f>
        <v>98.93</v>
      </c>
      <c r="I95" s="22">
        <f>INDEX(tQueue[ProjectedFlightHoursToStressLimit],MATCH($A95,tQueue[PriorityRank],0))</f>
        <v>1.01</v>
      </c>
      <c r="J95" s="22">
        <f>INDEX(tQueue[LeadTimeFlightHours],MATCH($A95,tQueue[PriorityRank],0))</f>
        <v>8</v>
      </c>
      <c r="K95" t="str">
        <f>INDEX(tQueue[ActionCode],MATCH($A95,tQueue[PriorityRank],0))</f>
        <v>ORDER_PART_NOW</v>
      </c>
      <c r="L95" s="25">
        <f>INDEX(tQueue[JobHours],MATCH($A95,tQueue[PriorityRank],0))</f>
        <v>0</v>
      </c>
      <c r="M95" s="25">
        <f>INDEX(Calc!$C$5:$C$198,MATCH($A95,Calc!$A$5:$A$198,0))</f>
        <v>405</v>
      </c>
      <c r="N95" t="str">
        <f>IF(M95&lt;=HangarHoursPerWeek,"yes","-")</f>
        <v>-</v>
      </c>
    </row>
    <row r="96" spans="1:14" x14ac:dyDescent="0.35">
      <c r="A96">
        <v>92</v>
      </c>
      <c r="B96" t="str">
        <f>INDEX(tQueue[TailNumber],MATCH($A96,tQueue[PriorityRank],0))</f>
        <v>MU-025</v>
      </c>
      <c r="C96" t="str">
        <f>INDEX(tQueue[BaseCode],MATCH($A96,tQueue[PriorityRank],0))</f>
        <v>HIGHLND</v>
      </c>
      <c r="D96" t="str">
        <f>INDEX(tQueue[ComponentCode],MATCH($A96,tQueue[PriorityRank],0))</f>
        <v>BATT-PACK</v>
      </c>
      <c r="E96">
        <f>INDEX(tQueue[PositionNo],MATCH($A96,tQueue[PriorityRank],0))</f>
        <v>2</v>
      </c>
      <c r="F96" t="str">
        <f>INDEX(tQueue[Criticality],MATCH($A96,tQueue[PriorityRank],0))</f>
        <v>FlightCritical</v>
      </c>
      <c r="G96" s="22">
        <f>INDEX(tQueue[PctOfHourInterval],MATCH($A96,tQueue[PriorityRank],0))</f>
        <v>44.61</v>
      </c>
      <c r="H96" s="22">
        <f>INDEX(tQueue[PctOfStressInterval],MATCH($A96,tQueue[PriorityRank],0))</f>
        <v>96.89</v>
      </c>
      <c r="I96" s="22">
        <f>INDEX(tQueue[ProjectedFlightHoursToStressLimit],MATCH($A96,tQueue[PriorityRank],0))</f>
        <v>1.72</v>
      </c>
      <c r="J96" s="22">
        <f>INDEX(tQueue[LeadTimeFlightHours],MATCH($A96,tQueue[PriorityRank],0))</f>
        <v>8</v>
      </c>
      <c r="K96" t="str">
        <f>INDEX(tQueue[ActionCode],MATCH($A96,tQueue[PriorityRank],0))</f>
        <v>ORDER_PART_NOW</v>
      </c>
      <c r="L96" s="25">
        <f>INDEX(tQueue[JobHours],MATCH($A96,tQueue[PriorityRank],0))</f>
        <v>0</v>
      </c>
      <c r="M96" s="25">
        <f>INDEX(Calc!$C$5:$C$198,MATCH($A96,Calc!$A$5:$A$198,0))</f>
        <v>405</v>
      </c>
      <c r="N96" t="str">
        <f>IF(M96&lt;=HangarHoursPerWeek,"yes","-")</f>
        <v>-</v>
      </c>
    </row>
    <row r="97" spans="1:14" x14ac:dyDescent="0.35">
      <c r="A97">
        <v>93</v>
      </c>
      <c r="B97" t="str">
        <f>INDEX(tQueue[TailNumber],MATCH($A97,tQueue[PriorityRank],0))</f>
        <v>MU-027</v>
      </c>
      <c r="C97" t="str">
        <f>INDEX(tQueue[BaseCode],MATCH($A97,tQueue[PriorityRank],0))</f>
        <v>HIGHLND</v>
      </c>
      <c r="D97" t="str">
        <f>INDEX(tQueue[ComponentCode],MATCH($A97,tQueue[PriorityRank],0))</f>
        <v>BATT-PACK</v>
      </c>
      <c r="E97">
        <f>INDEX(tQueue[PositionNo],MATCH($A97,tQueue[PriorityRank],0))</f>
        <v>2</v>
      </c>
      <c r="F97" t="str">
        <f>INDEX(tQueue[Criticality],MATCH($A97,tQueue[PriorityRank],0))</f>
        <v>FlightCritical</v>
      </c>
      <c r="G97" s="22">
        <f>INDEX(tQueue[PctOfHourInterval],MATCH($A97,tQueue[PriorityRank],0))</f>
        <v>48.72</v>
      </c>
      <c r="H97" s="22">
        <f>INDEX(tQueue[PctOfStressInterval],MATCH($A97,tQueue[PriorityRank],0))</f>
        <v>96.41</v>
      </c>
      <c r="I97" s="22">
        <f>INDEX(tQueue[ProjectedFlightHoursToStressLimit],MATCH($A97,tQueue[PriorityRank],0))</f>
        <v>2.2599999999999998</v>
      </c>
      <c r="J97" s="22">
        <f>INDEX(tQueue[LeadTimeFlightHours],MATCH($A97,tQueue[PriorityRank],0))</f>
        <v>8</v>
      </c>
      <c r="K97" t="str">
        <f>INDEX(tQueue[ActionCode],MATCH($A97,tQueue[PriorityRank],0))</f>
        <v>ORDER_PART_NOW</v>
      </c>
      <c r="L97" s="25">
        <f>INDEX(tQueue[JobHours],MATCH($A97,tQueue[PriorityRank],0))</f>
        <v>0</v>
      </c>
      <c r="M97" s="25">
        <f>INDEX(Calc!$C$5:$C$198,MATCH($A97,Calc!$A$5:$A$198,0))</f>
        <v>405</v>
      </c>
      <c r="N97" t="str">
        <f>IF(M97&lt;=HangarHoursPerWeek,"yes","-")</f>
        <v>-</v>
      </c>
    </row>
    <row r="98" spans="1:14" x14ac:dyDescent="0.35">
      <c r="A98">
        <v>94</v>
      </c>
      <c r="B98" t="str">
        <f>INDEX(tQueue[TailNumber],MATCH($A98,tQueue[PriorityRank],0))</f>
        <v>MU-021</v>
      </c>
      <c r="C98" t="str">
        <f>INDEX(tQueue[BaseCode],MATCH($A98,tQueue[PriorityRank],0))</f>
        <v>ACADEMY</v>
      </c>
      <c r="D98" t="str">
        <f>INDEX(tQueue[ComponentCode],MATCH($A98,tQueue[PriorityRank],0))</f>
        <v>ROTOR-ASSY</v>
      </c>
      <c r="E98">
        <f>INDEX(tQueue[PositionNo],MATCH($A98,tQueue[PriorityRank],0))</f>
        <v>1</v>
      </c>
      <c r="F98" t="str">
        <f>INDEX(tQueue[Criticality],MATCH($A98,tQueue[PriorityRank],0))</f>
        <v>FlightCritical</v>
      </c>
      <c r="G98" s="22">
        <f>INDEX(tQueue[PctOfHourInterval],MATCH($A98,tQueue[PriorityRank],0))</f>
        <v>52.46</v>
      </c>
      <c r="H98" s="22">
        <f>INDEX(tQueue[PctOfStressInterval],MATCH($A98,tQueue[PriorityRank],0))</f>
        <v>96.58</v>
      </c>
      <c r="I98" s="22">
        <f>INDEX(tQueue[ProjectedFlightHoursToStressLimit],MATCH($A98,tQueue[PriorityRank],0))</f>
        <v>2.68</v>
      </c>
      <c r="J98" s="22">
        <f>INDEX(tQueue[LeadTimeFlightHours],MATCH($A98,tQueue[PriorityRank],0))</f>
        <v>18</v>
      </c>
      <c r="K98" t="str">
        <f>INDEX(tQueue[ActionCode],MATCH($A98,tQueue[PriorityRank],0))</f>
        <v>ORDER_PART_NOW</v>
      </c>
      <c r="L98" s="25">
        <f>INDEX(tQueue[JobHours],MATCH($A98,tQueue[PriorityRank],0))</f>
        <v>0</v>
      </c>
      <c r="M98" s="25">
        <f>INDEX(Calc!$C$5:$C$198,MATCH($A98,Calc!$A$5:$A$198,0))</f>
        <v>405</v>
      </c>
      <c r="N98" t="str">
        <f>IF(M98&lt;=HangarHoursPerWeek,"yes","-")</f>
        <v>-</v>
      </c>
    </row>
    <row r="99" spans="1:14" x14ac:dyDescent="0.35">
      <c r="A99">
        <v>95</v>
      </c>
      <c r="B99" t="str">
        <f>INDEX(tQueue[TailNumber],MATCH($A99,tQueue[PriorityRank],0))</f>
        <v>MU-021</v>
      </c>
      <c r="C99" t="str">
        <f>INDEX(tQueue[BaseCode],MATCH($A99,tQueue[PriorityRank],0))</f>
        <v>ACADEMY</v>
      </c>
      <c r="D99" t="str">
        <f>INDEX(tQueue[ComponentCode],MATCH($A99,tQueue[PriorityRank],0))</f>
        <v>ROTOR-ASSY</v>
      </c>
      <c r="E99">
        <f>INDEX(tQueue[PositionNo],MATCH($A99,tQueue[PriorityRank],0))</f>
        <v>4</v>
      </c>
      <c r="F99" t="str">
        <f>INDEX(tQueue[Criticality],MATCH($A99,tQueue[PriorityRank],0))</f>
        <v>FlightCritical</v>
      </c>
      <c r="G99" s="22">
        <f>INDEX(tQueue[PctOfHourInterval],MATCH($A99,tQueue[PriorityRank],0))</f>
        <v>52.46</v>
      </c>
      <c r="H99" s="22">
        <f>INDEX(tQueue[PctOfStressInterval],MATCH($A99,tQueue[PriorityRank],0))</f>
        <v>96.58</v>
      </c>
      <c r="I99" s="22">
        <f>INDEX(tQueue[ProjectedFlightHoursToStressLimit],MATCH($A99,tQueue[PriorityRank],0))</f>
        <v>2.68</v>
      </c>
      <c r="J99" s="22">
        <f>INDEX(tQueue[LeadTimeFlightHours],MATCH($A99,tQueue[PriorityRank],0))</f>
        <v>18</v>
      </c>
      <c r="K99" t="str">
        <f>INDEX(tQueue[ActionCode],MATCH($A99,tQueue[PriorityRank],0))</f>
        <v>ORDER_PART_NOW</v>
      </c>
      <c r="L99" s="25">
        <f>INDEX(tQueue[JobHours],MATCH($A99,tQueue[PriorityRank],0))</f>
        <v>0</v>
      </c>
      <c r="M99" s="25">
        <f>INDEX(Calc!$C$5:$C$198,MATCH($A99,Calc!$A$5:$A$198,0))</f>
        <v>405</v>
      </c>
      <c r="N99" t="str">
        <f>IF(M99&lt;=HangarHoursPerWeek,"yes","-")</f>
        <v>-</v>
      </c>
    </row>
    <row r="100" spans="1:14" x14ac:dyDescent="0.35">
      <c r="A100">
        <v>96</v>
      </c>
      <c r="B100" t="str">
        <f>INDEX(tQueue[TailNumber],MATCH($A100,tQueue[PriorityRank],0))</f>
        <v>MU-016</v>
      </c>
      <c r="C100" t="str">
        <f>INDEX(tQueue[BaseCode],MATCH($A100,tQueue[PriorityRank],0))</f>
        <v>PORT</v>
      </c>
      <c r="D100" t="str">
        <f>INDEX(tQueue[ComponentCode],MATCH($A100,tQueue[PriorityRank],0))</f>
        <v>ROTOR-ASSY</v>
      </c>
      <c r="E100">
        <f>INDEX(tQueue[PositionNo],MATCH($A100,tQueue[PriorityRank],0))</f>
        <v>4</v>
      </c>
      <c r="F100" t="str">
        <f>INDEX(tQueue[Criticality],MATCH($A100,tQueue[PriorityRank],0))</f>
        <v>FlightCritical</v>
      </c>
      <c r="G100" s="22">
        <f>INDEX(tQueue[PctOfHourInterval],MATCH($A100,tQueue[PriorityRank],0))</f>
        <v>50.09</v>
      </c>
      <c r="H100" s="22">
        <f>INDEX(tQueue[PctOfStressInterval],MATCH($A100,tQueue[PriorityRank],0))</f>
        <v>96.5</v>
      </c>
      <c r="I100" s="22">
        <f>INDEX(tQueue[ProjectedFlightHoursToStressLimit],MATCH($A100,tQueue[PriorityRank],0))</f>
        <v>2.73</v>
      </c>
      <c r="J100" s="22">
        <f>INDEX(tQueue[LeadTimeFlightHours],MATCH($A100,tQueue[PriorityRank],0))</f>
        <v>18</v>
      </c>
      <c r="K100" t="str">
        <f>INDEX(tQueue[ActionCode],MATCH($A100,tQueue[PriorityRank],0))</f>
        <v>ORDER_PART_NOW</v>
      </c>
      <c r="L100" s="25">
        <f>INDEX(tQueue[JobHours],MATCH($A100,tQueue[PriorityRank],0))</f>
        <v>0</v>
      </c>
      <c r="M100" s="25">
        <f>INDEX(Calc!$C$5:$C$198,MATCH($A100,Calc!$A$5:$A$198,0))</f>
        <v>405</v>
      </c>
      <c r="N100" t="str">
        <f>IF(M100&lt;=HangarHoursPerWeek,"yes","-")</f>
        <v>-</v>
      </c>
    </row>
    <row r="101" spans="1:14" x14ac:dyDescent="0.35">
      <c r="A101">
        <v>97</v>
      </c>
      <c r="B101" t="str">
        <f>INDEX(tQueue[TailNumber],MATCH($A101,tQueue[PriorityRank],0))</f>
        <v>MU-011</v>
      </c>
      <c r="C101" t="str">
        <f>INDEX(tQueue[BaseCode],MATCH($A101,tQueue[PriorityRank],0))</f>
        <v>HIGHLND</v>
      </c>
      <c r="D101" t="str">
        <f>INDEX(tQueue[ComponentCode],MATCH($A101,tQueue[PriorityRank],0))</f>
        <v>ROTOR-ASSY</v>
      </c>
      <c r="E101">
        <f>INDEX(tQueue[PositionNo],MATCH($A101,tQueue[PriorityRank],0))</f>
        <v>2</v>
      </c>
      <c r="F101" t="str">
        <f>INDEX(tQueue[Criticality],MATCH($A101,tQueue[PriorityRank],0))</f>
        <v>FlightCritical</v>
      </c>
      <c r="G101" s="22">
        <f>INDEX(tQueue[PctOfHourInterval],MATCH($A101,tQueue[PriorityRank],0))</f>
        <v>43.49</v>
      </c>
      <c r="H101" s="22">
        <f>INDEX(tQueue[PctOfStressInterval],MATCH($A101,tQueue[PriorityRank],0))</f>
        <v>95.35</v>
      </c>
      <c r="I101" s="22">
        <f>INDEX(tQueue[ProjectedFlightHoursToStressLimit],MATCH($A101,tQueue[PriorityRank],0))</f>
        <v>3.21</v>
      </c>
      <c r="J101" s="22">
        <f>INDEX(tQueue[LeadTimeFlightHours],MATCH($A101,tQueue[PriorityRank],0))</f>
        <v>18</v>
      </c>
      <c r="K101" t="str">
        <f>INDEX(tQueue[ActionCode],MATCH($A101,tQueue[PriorityRank],0))</f>
        <v>ORDER_PART_NOW</v>
      </c>
      <c r="L101" s="25">
        <f>INDEX(tQueue[JobHours],MATCH($A101,tQueue[PriorityRank],0))</f>
        <v>0</v>
      </c>
      <c r="M101" s="25">
        <f>INDEX(Calc!$C$5:$C$198,MATCH($A101,Calc!$A$5:$A$198,0))</f>
        <v>405</v>
      </c>
      <c r="N101" t="str">
        <f>IF(M101&lt;=HangarHoursPerWeek,"yes","-")</f>
        <v>-</v>
      </c>
    </row>
    <row r="102" spans="1:14" x14ac:dyDescent="0.35">
      <c r="A102">
        <v>98</v>
      </c>
      <c r="B102" t="str">
        <f>INDEX(tQueue[TailNumber],MATCH($A102,tQueue[PriorityRank],0))</f>
        <v>MU-015</v>
      </c>
      <c r="C102" t="str">
        <f>INDEX(tQueue[BaseCode],MATCH($A102,tQueue[PriorityRank],0))</f>
        <v>PORT</v>
      </c>
      <c r="D102" t="str">
        <f>INDEX(tQueue[ComponentCode],MATCH($A102,tQueue[PriorityRank],0))</f>
        <v>BATT-PACK</v>
      </c>
      <c r="E102">
        <f>INDEX(tQueue[PositionNo],MATCH($A102,tQueue[PriorityRank],0))</f>
        <v>2</v>
      </c>
      <c r="F102" t="str">
        <f>INDEX(tQueue[Criticality],MATCH($A102,tQueue[PriorityRank],0))</f>
        <v>FlightCritical</v>
      </c>
      <c r="G102" s="22">
        <f>INDEX(tQueue[PctOfHourInterval],MATCH($A102,tQueue[PriorityRank],0))</f>
        <v>48.19</v>
      </c>
      <c r="H102" s="22">
        <f>INDEX(tQueue[PctOfStressInterval],MATCH($A102,tQueue[PriorityRank],0))</f>
        <v>93.71</v>
      </c>
      <c r="I102" s="22">
        <f>INDEX(tQueue[ProjectedFlightHoursToStressLimit],MATCH($A102,tQueue[PriorityRank],0))</f>
        <v>3.93</v>
      </c>
      <c r="J102" s="22">
        <f>INDEX(tQueue[LeadTimeFlightHours],MATCH($A102,tQueue[PriorityRank],0))</f>
        <v>8</v>
      </c>
      <c r="K102" t="str">
        <f>INDEX(tQueue[ActionCode],MATCH($A102,tQueue[PriorityRank],0))</f>
        <v>ORDER_PART_NOW</v>
      </c>
      <c r="L102" s="25">
        <f>INDEX(tQueue[JobHours],MATCH($A102,tQueue[PriorityRank],0))</f>
        <v>0</v>
      </c>
      <c r="M102" s="25">
        <f>INDEX(Calc!$C$5:$C$198,MATCH($A102,Calc!$A$5:$A$198,0))</f>
        <v>405</v>
      </c>
      <c r="N102" t="str">
        <f>IF(M102&lt;=HangarHoursPerWeek,"yes","-")</f>
        <v>-</v>
      </c>
    </row>
    <row r="103" spans="1:14" x14ac:dyDescent="0.35">
      <c r="A103">
        <v>99</v>
      </c>
      <c r="B103" t="str">
        <f>INDEX(tQueue[TailNumber],MATCH($A103,tQueue[PriorityRank],0))</f>
        <v>MU-007</v>
      </c>
      <c r="C103" t="str">
        <f>INDEX(tQueue[BaseCode],MATCH($A103,tQueue[PriorityRank],0))</f>
        <v>ACADEMY</v>
      </c>
      <c r="D103" t="str">
        <f>INDEX(tQueue[ComponentCode],MATCH($A103,tQueue[PriorityRank],0))</f>
        <v>ROTOR-ASSY</v>
      </c>
      <c r="E103">
        <f>INDEX(tQueue[PositionNo],MATCH($A103,tQueue[PriorityRank],0))</f>
        <v>1</v>
      </c>
      <c r="F103" t="str">
        <f>INDEX(tQueue[Criticality],MATCH($A103,tQueue[PriorityRank],0))</f>
        <v>FlightCritical</v>
      </c>
      <c r="G103" s="22">
        <f>INDEX(tQueue[PctOfHourInterval],MATCH($A103,tQueue[PriorityRank],0))</f>
        <v>52.8</v>
      </c>
      <c r="H103" s="22">
        <f>INDEX(tQueue[PctOfStressInterval],MATCH($A103,tQueue[PriorityRank],0))</f>
        <v>95.08</v>
      </c>
      <c r="I103" s="22">
        <f>INDEX(tQueue[ProjectedFlightHoursToStressLimit],MATCH($A103,tQueue[PriorityRank],0))</f>
        <v>4.3099999999999996</v>
      </c>
      <c r="J103" s="22">
        <f>INDEX(tQueue[LeadTimeFlightHours],MATCH($A103,tQueue[PriorityRank],0))</f>
        <v>18</v>
      </c>
      <c r="K103" t="str">
        <f>INDEX(tQueue[ActionCode],MATCH($A103,tQueue[PriorityRank],0))</f>
        <v>ORDER_PART_NOW</v>
      </c>
      <c r="L103" s="25">
        <f>INDEX(tQueue[JobHours],MATCH($A103,tQueue[PriorityRank],0))</f>
        <v>0</v>
      </c>
      <c r="M103" s="25">
        <f>INDEX(Calc!$C$5:$C$198,MATCH($A103,Calc!$A$5:$A$198,0))</f>
        <v>405</v>
      </c>
      <c r="N103" t="str">
        <f>IF(M103&lt;=HangarHoursPerWeek,"yes","-")</f>
        <v>-</v>
      </c>
    </row>
    <row r="104" spans="1:14" x14ac:dyDescent="0.35">
      <c r="A104">
        <v>100</v>
      </c>
      <c r="B104" t="str">
        <f>INDEX(tQueue[TailNumber],MATCH($A104,tQueue[PriorityRank],0))</f>
        <v>MU-030</v>
      </c>
      <c r="C104" t="str">
        <f>INDEX(tQueue[BaseCode],MATCH($A104,tQueue[PriorityRank],0))</f>
        <v>PORT</v>
      </c>
      <c r="D104" t="str">
        <f>INDEX(tQueue[ComponentCode],MATCH($A104,tQueue[PriorityRank],0))</f>
        <v>MOTOR-ESC</v>
      </c>
      <c r="E104">
        <f>INDEX(tQueue[PositionNo],MATCH($A104,tQueue[PriorityRank],0))</f>
        <v>2</v>
      </c>
      <c r="F104" t="str">
        <f>INDEX(tQueue[Criticality],MATCH($A104,tQueue[PriorityRank],0))</f>
        <v>FlightCritical</v>
      </c>
      <c r="G104" s="22">
        <f>INDEX(tQueue[PctOfHourInterval],MATCH($A104,tQueue[PriorityRank],0))</f>
        <v>46.62</v>
      </c>
      <c r="H104" s="22">
        <f>INDEX(tQueue[PctOfStressInterval],MATCH($A104,tQueue[PriorityRank],0))</f>
        <v>95.35</v>
      </c>
      <c r="I104" s="22">
        <f>INDEX(tQueue[ProjectedFlightHoursToStressLimit],MATCH($A104,tQueue[PriorityRank],0))</f>
        <v>4.7300000000000004</v>
      </c>
      <c r="J104" s="22">
        <f>INDEX(tQueue[LeadTimeFlightHours],MATCH($A104,tQueue[PriorityRank],0))</f>
        <v>12</v>
      </c>
      <c r="K104" t="str">
        <f>INDEX(tQueue[ActionCode],MATCH($A104,tQueue[PriorityRank],0))</f>
        <v>ORDER_PART_NOW</v>
      </c>
      <c r="L104" s="25">
        <f>INDEX(tQueue[JobHours],MATCH($A104,tQueue[PriorityRank],0))</f>
        <v>0</v>
      </c>
      <c r="M104" s="25">
        <f>INDEX(Calc!$C$5:$C$198,MATCH($A104,Calc!$A$5:$A$198,0))</f>
        <v>405</v>
      </c>
      <c r="N104" t="str">
        <f>IF(M104&lt;=HangarHoursPerWeek,"yes","-")</f>
        <v>-</v>
      </c>
    </row>
    <row r="105" spans="1:14" x14ac:dyDescent="0.35">
      <c r="A105">
        <v>101</v>
      </c>
      <c r="B105" t="str">
        <f>INDEX(tQueue[TailNumber],MATCH($A105,tQueue[PriorityRank],0))</f>
        <v>MU-021</v>
      </c>
      <c r="C105" t="str">
        <f>INDEX(tQueue[BaseCode],MATCH($A105,tQueue[PriorityRank],0))</f>
        <v>ACADEMY</v>
      </c>
      <c r="D105" t="str">
        <f>INDEX(tQueue[ComponentCode],MATCH($A105,tQueue[PriorityRank],0))</f>
        <v>BATT-PACK</v>
      </c>
      <c r="E105">
        <f>INDEX(tQueue[PositionNo],MATCH($A105,tQueue[PriorityRank],0))</f>
        <v>1</v>
      </c>
      <c r="F105" t="str">
        <f>INDEX(tQueue[Criticality],MATCH($A105,tQueue[PriorityRank],0))</f>
        <v>FlightCritical</v>
      </c>
      <c r="G105" s="22">
        <f>INDEX(tQueue[PctOfHourInterval],MATCH($A105,tQueue[PriorityRank],0))</f>
        <v>48.58</v>
      </c>
      <c r="H105" s="22">
        <f>INDEX(tQueue[PctOfStressInterval],MATCH($A105,tQueue[PriorityRank],0))</f>
        <v>91.09</v>
      </c>
      <c r="I105" s="22">
        <f>INDEX(tQueue[ProjectedFlightHoursToStressLimit],MATCH($A105,tQueue[PriorityRank],0))</f>
        <v>5.59</v>
      </c>
      <c r="J105" s="22">
        <f>INDEX(tQueue[LeadTimeFlightHours],MATCH($A105,tQueue[PriorityRank],0))</f>
        <v>8</v>
      </c>
      <c r="K105" t="str">
        <f>INDEX(tQueue[ActionCode],MATCH($A105,tQueue[PriorityRank],0))</f>
        <v>ORDER_PART_NOW</v>
      </c>
      <c r="L105" s="25">
        <f>INDEX(tQueue[JobHours],MATCH($A105,tQueue[PriorityRank],0))</f>
        <v>0</v>
      </c>
      <c r="M105" s="25">
        <f>INDEX(Calc!$C$5:$C$198,MATCH($A105,Calc!$A$5:$A$198,0))</f>
        <v>405</v>
      </c>
      <c r="N105" t="str">
        <f>IF(M105&lt;=HangarHoursPerWeek,"yes","-")</f>
        <v>-</v>
      </c>
    </row>
    <row r="106" spans="1:14" x14ac:dyDescent="0.35">
      <c r="A106">
        <v>102</v>
      </c>
      <c r="B106" t="str">
        <f>INDEX(tQueue[TailNumber],MATCH($A106,tQueue[PriorityRank],0))</f>
        <v>MU-014</v>
      </c>
      <c r="C106" t="str">
        <f>INDEX(tQueue[BaseCode],MATCH($A106,tQueue[PriorityRank],0))</f>
        <v>PORT</v>
      </c>
      <c r="D106" t="str">
        <f>INDEX(tQueue[ComponentCode],MATCH($A106,tQueue[PriorityRank],0))</f>
        <v>BATT-PACK</v>
      </c>
      <c r="E106">
        <f>INDEX(tQueue[PositionNo],MATCH($A106,tQueue[PriorityRank],0))</f>
        <v>1</v>
      </c>
      <c r="F106" t="str">
        <f>INDEX(tQueue[Criticality],MATCH($A106,tQueue[PriorityRank],0))</f>
        <v>FlightCritical</v>
      </c>
      <c r="G106" s="22">
        <f>INDEX(tQueue[PctOfHourInterval],MATCH($A106,tQueue[PriorityRank],0))</f>
        <v>47.89</v>
      </c>
      <c r="H106" s="22">
        <f>INDEX(tQueue[PctOfStressInterval],MATCH($A106,tQueue[PriorityRank],0))</f>
        <v>90.75</v>
      </c>
      <c r="I106" s="22">
        <f>INDEX(tQueue[ProjectedFlightHoursToStressLimit],MATCH($A106,tQueue[PriorityRank],0))</f>
        <v>5.94</v>
      </c>
      <c r="J106" s="22">
        <f>INDEX(tQueue[LeadTimeFlightHours],MATCH($A106,tQueue[PriorityRank],0))</f>
        <v>8</v>
      </c>
      <c r="K106" t="str">
        <f>INDEX(tQueue[ActionCode],MATCH($A106,tQueue[PriorityRank],0))</f>
        <v>ORDER_PART_NOW</v>
      </c>
      <c r="L106" s="25">
        <f>INDEX(tQueue[JobHours],MATCH($A106,tQueue[PriorityRank],0))</f>
        <v>0</v>
      </c>
      <c r="M106" s="25">
        <f>INDEX(Calc!$C$5:$C$198,MATCH($A106,Calc!$A$5:$A$198,0))</f>
        <v>405</v>
      </c>
      <c r="N106" t="str">
        <f>IF(M106&lt;=HangarHoursPerWeek,"yes","-")</f>
        <v>-</v>
      </c>
    </row>
    <row r="107" spans="1:14" x14ac:dyDescent="0.35">
      <c r="A107">
        <v>103</v>
      </c>
      <c r="B107" t="str">
        <f>INDEX(tQueue[TailNumber],MATCH($A107,tQueue[PriorityRank],0))</f>
        <v>MU-014</v>
      </c>
      <c r="C107" t="str">
        <f>INDEX(tQueue[BaseCode],MATCH($A107,tQueue[PriorityRank],0))</f>
        <v>PORT</v>
      </c>
      <c r="D107" t="str">
        <f>INDEX(tQueue[ComponentCode],MATCH($A107,tQueue[PriorityRank],0))</f>
        <v>BATT-PACK</v>
      </c>
      <c r="E107">
        <f>INDEX(tQueue[PositionNo],MATCH($A107,tQueue[PriorityRank],0))</f>
        <v>2</v>
      </c>
      <c r="F107" t="str">
        <f>INDEX(tQueue[Criticality],MATCH($A107,tQueue[PriorityRank],0))</f>
        <v>FlightCritical</v>
      </c>
      <c r="G107" s="22">
        <f>INDEX(tQueue[PctOfHourInterval],MATCH($A107,tQueue[PriorityRank],0))</f>
        <v>47.89</v>
      </c>
      <c r="H107" s="22">
        <f>INDEX(tQueue[PctOfStressInterval],MATCH($A107,tQueue[PriorityRank],0))</f>
        <v>90.75</v>
      </c>
      <c r="I107" s="22">
        <f>INDEX(tQueue[ProjectedFlightHoursToStressLimit],MATCH($A107,tQueue[PriorityRank],0))</f>
        <v>5.94</v>
      </c>
      <c r="J107" s="22">
        <f>INDEX(tQueue[LeadTimeFlightHours],MATCH($A107,tQueue[PriorityRank],0))</f>
        <v>8</v>
      </c>
      <c r="K107" t="str">
        <f>INDEX(tQueue[ActionCode],MATCH($A107,tQueue[PriorityRank],0))</f>
        <v>ORDER_PART_NOW</v>
      </c>
      <c r="L107" s="25">
        <f>INDEX(tQueue[JobHours],MATCH($A107,tQueue[PriorityRank],0))</f>
        <v>0</v>
      </c>
      <c r="M107" s="25">
        <f>INDEX(Calc!$C$5:$C$198,MATCH($A107,Calc!$A$5:$A$198,0))</f>
        <v>405</v>
      </c>
      <c r="N107" t="str">
        <f>IF(M107&lt;=HangarHoursPerWeek,"yes","-")</f>
        <v>-</v>
      </c>
    </row>
    <row r="108" spans="1:14" x14ac:dyDescent="0.35">
      <c r="A108">
        <v>104</v>
      </c>
      <c r="B108" t="str">
        <f>INDEX(tQueue[TailNumber],MATCH($A108,tQueue[PriorityRank],0))</f>
        <v>MU-030</v>
      </c>
      <c r="C108" t="str">
        <f>INDEX(tQueue[BaseCode],MATCH($A108,tQueue[PriorityRank],0))</f>
        <v>PORT</v>
      </c>
      <c r="D108" t="str">
        <f>INDEX(tQueue[ComponentCode],MATCH($A108,tQueue[PriorityRank],0))</f>
        <v>ROTOR-ASSY</v>
      </c>
      <c r="E108">
        <f>INDEX(tQueue[PositionNo],MATCH($A108,tQueue[PriorityRank],0))</f>
        <v>2</v>
      </c>
      <c r="F108" t="str">
        <f>INDEX(tQueue[Criticality],MATCH($A108,tQueue[PriorityRank],0))</f>
        <v>FlightCritical</v>
      </c>
      <c r="G108" s="22">
        <f>INDEX(tQueue[PctOfHourInterval],MATCH($A108,tQueue[PriorityRank],0))</f>
        <v>46</v>
      </c>
      <c r="H108" s="22">
        <f>INDEX(tQueue[PctOfStressInterval],MATCH($A108,tQueue[PriorityRank],0))</f>
        <v>92.17</v>
      </c>
      <c r="I108" s="22">
        <f>INDEX(tQueue[ProjectedFlightHoursToStressLimit],MATCH($A108,tQueue[PriorityRank],0))</f>
        <v>5.98</v>
      </c>
      <c r="J108" s="22">
        <f>INDEX(tQueue[LeadTimeFlightHours],MATCH($A108,tQueue[PriorityRank],0))</f>
        <v>18</v>
      </c>
      <c r="K108" t="str">
        <f>INDEX(tQueue[ActionCode],MATCH($A108,tQueue[PriorityRank],0))</f>
        <v>ORDER_PART_NOW</v>
      </c>
      <c r="L108" s="25">
        <f>INDEX(tQueue[JobHours],MATCH($A108,tQueue[PriorityRank],0))</f>
        <v>0</v>
      </c>
      <c r="M108" s="25">
        <f>INDEX(Calc!$C$5:$C$198,MATCH($A108,Calc!$A$5:$A$198,0))</f>
        <v>405</v>
      </c>
      <c r="N108" t="str">
        <f>IF(M108&lt;=HangarHoursPerWeek,"yes","-")</f>
        <v>-</v>
      </c>
    </row>
    <row r="109" spans="1:14" x14ac:dyDescent="0.35">
      <c r="A109">
        <v>105</v>
      </c>
      <c r="B109" t="str">
        <f>INDEX(tQueue[TailNumber],MATCH($A109,tQueue[PriorityRank],0))</f>
        <v>MU-028</v>
      </c>
      <c r="C109" t="str">
        <f>INDEX(tQueue[BaseCode],MATCH($A109,tQueue[PriorityRank],0))</f>
        <v>ACADEMY</v>
      </c>
      <c r="D109" t="str">
        <f>INDEX(tQueue[ComponentCode],MATCH($A109,tQueue[PriorityRank],0))</f>
        <v>BATT-PACK</v>
      </c>
      <c r="E109">
        <f>INDEX(tQueue[PositionNo],MATCH($A109,tQueue[PriorityRank],0))</f>
        <v>1</v>
      </c>
      <c r="F109" t="str">
        <f>INDEX(tQueue[Criticality],MATCH($A109,tQueue[PriorityRank],0))</f>
        <v>FlightCritical</v>
      </c>
      <c r="G109" s="22">
        <f>INDEX(tQueue[PctOfHourInterval],MATCH($A109,tQueue[PriorityRank],0))</f>
        <v>49.67</v>
      </c>
      <c r="H109" s="22">
        <f>INDEX(tQueue[PctOfStressInterval],MATCH($A109,tQueue[PriorityRank],0))</f>
        <v>88.98</v>
      </c>
      <c r="I109" s="22">
        <f>INDEX(tQueue[ProjectedFlightHoursToStressLimit],MATCH($A109,tQueue[PriorityRank],0))</f>
        <v>7.64</v>
      </c>
      <c r="J109" s="22">
        <f>INDEX(tQueue[LeadTimeFlightHours],MATCH($A109,tQueue[PriorityRank],0))</f>
        <v>8</v>
      </c>
      <c r="K109" t="str">
        <f>INDEX(tQueue[ActionCode],MATCH($A109,tQueue[PriorityRank],0))</f>
        <v>ORDER_PART_NOW</v>
      </c>
      <c r="L109" s="25">
        <f>INDEX(tQueue[JobHours],MATCH($A109,tQueue[PriorityRank],0))</f>
        <v>0</v>
      </c>
      <c r="M109" s="25">
        <f>INDEX(Calc!$C$5:$C$198,MATCH($A109,Calc!$A$5:$A$198,0))</f>
        <v>405</v>
      </c>
      <c r="N109" t="str">
        <f>IF(M109&lt;=HangarHoursPerWeek,"yes","-")</f>
        <v>-</v>
      </c>
    </row>
    <row r="110" spans="1:14" x14ac:dyDescent="0.35">
      <c r="A110">
        <v>106</v>
      </c>
      <c r="B110" t="str">
        <f>INDEX(tQueue[TailNumber],MATCH($A110,tQueue[PriorityRank],0))</f>
        <v>MU-006</v>
      </c>
      <c r="C110" t="str">
        <f>INDEX(tQueue[BaseCode],MATCH($A110,tQueue[PriorityRank],0))</f>
        <v>COASTAL</v>
      </c>
      <c r="D110" t="str">
        <f>INDEX(tQueue[ComponentCode],MATCH($A110,tQueue[PriorityRank],0))</f>
        <v>ROTOR-ASSY</v>
      </c>
      <c r="E110">
        <f>INDEX(tQueue[PositionNo],MATCH($A110,tQueue[PriorityRank],0))</f>
        <v>2</v>
      </c>
      <c r="F110" t="str">
        <f>INDEX(tQueue[Criticality],MATCH($A110,tQueue[PriorityRank],0))</f>
        <v>FlightCritical</v>
      </c>
      <c r="G110" s="22">
        <f>INDEX(tQueue[PctOfHourInterval],MATCH($A110,tQueue[PriorityRank],0))</f>
        <v>77.959999999999994</v>
      </c>
      <c r="H110" s="22">
        <f>INDEX(tQueue[PctOfStressInterval],MATCH($A110,tQueue[PriorityRank],0))</f>
        <v>92.79</v>
      </c>
      <c r="I110" s="22">
        <f>INDEX(tQueue[ProjectedFlightHoursToStressLimit],MATCH($A110,tQueue[PriorityRank],0))</f>
        <v>10.01</v>
      </c>
      <c r="J110" s="22">
        <f>INDEX(tQueue[LeadTimeFlightHours],MATCH($A110,tQueue[PriorityRank],0))</f>
        <v>18</v>
      </c>
      <c r="K110" t="str">
        <f>INDEX(tQueue[ActionCode],MATCH($A110,tQueue[PriorityRank],0))</f>
        <v>ORDER_PART_NOW</v>
      </c>
      <c r="L110" s="25">
        <f>INDEX(tQueue[JobHours],MATCH($A110,tQueue[PriorityRank],0))</f>
        <v>0</v>
      </c>
      <c r="M110" s="25">
        <f>INDEX(Calc!$C$5:$C$198,MATCH($A110,Calc!$A$5:$A$198,0))</f>
        <v>405</v>
      </c>
      <c r="N110" t="str">
        <f>IF(M110&lt;=HangarHoursPerWeek,"yes","-")</f>
        <v>-</v>
      </c>
    </row>
    <row r="111" spans="1:14" x14ac:dyDescent="0.35">
      <c r="A111">
        <v>107</v>
      </c>
      <c r="B111" t="str">
        <f>INDEX(tQueue[TailNumber],MATCH($A111,tQueue[PriorityRank],0))</f>
        <v>MU-004</v>
      </c>
      <c r="C111" t="str">
        <f>INDEX(tQueue[BaseCode],MATCH($A111,tQueue[PriorityRank],0))</f>
        <v>COASTAL</v>
      </c>
      <c r="D111" t="str">
        <f>INDEX(tQueue[ComponentCode],MATCH($A111,tQueue[PriorityRank],0))</f>
        <v>MOTOR-ESC</v>
      </c>
      <c r="E111">
        <f>INDEX(tQueue[PositionNo],MATCH($A111,tQueue[PriorityRank],0))</f>
        <v>1</v>
      </c>
      <c r="F111" t="str">
        <f>INDEX(tQueue[Criticality],MATCH($A111,tQueue[PriorityRank],0))</f>
        <v>FlightCritical</v>
      </c>
      <c r="G111" s="22">
        <f>INDEX(tQueue[PctOfHourInterval],MATCH($A111,tQueue[PriorityRank],0))</f>
        <v>82.22</v>
      </c>
      <c r="H111" s="22">
        <f>INDEX(tQueue[PctOfStressInterval],MATCH($A111,tQueue[PriorityRank],0))</f>
        <v>94.12</v>
      </c>
      <c r="I111" s="22">
        <f>INDEX(tQueue[ProjectedFlightHoursToStressLimit],MATCH($A111,tQueue[PriorityRank],0))</f>
        <v>10.69</v>
      </c>
      <c r="J111" s="22">
        <f>INDEX(tQueue[LeadTimeFlightHours],MATCH($A111,tQueue[PriorityRank],0))</f>
        <v>12</v>
      </c>
      <c r="K111" t="str">
        <f>INDEX(tQueue[ActionCode],MATCH($A111,tQueue[PriorityRank],0))</f>
        <v>ORDER_PART_NOW</v>
      </c>
      <c r="L111" s="25">
        <f>INDEX(tQueue[JobHours],MATCH($A111,tQueue[PriorityRank],0))</f>
        <v>0</v>
      </c>
      <c r="M111" s="25">
        <f>INDEX(Calc!$C$5:$C$198,MATCH($A111,Calc!$A$5:$A$198,0))</f>
        <v>405</v>
      </c>
      <c r="N111" t="str">
        <f>IF(M111&lt;=HangarHoursPerWeek,"yes","-")</f>
        <v>-</v>
      </c>
    </row>
    <row r="112" spans="1:14" x14ac:dyDescent="0.35">
      <c r="A112">
        <v>108</v>
      </c>
      <c r="B112" t="str">
        <f>INDEX(tQueue[TailNumber],MATCH($A112,tQueue[PriorityRank],0))</f>
        <v>MU-004</v>
      </c>
      <c r="C112" t="str">
        <f>INDEX(tQueue[BaseCode],MATCH($A112,tQueue[PriorityRank],0))</f>
        <v>COASTAL</v>
      </c>
      <c r="D112" t="str">
        <f>INDEX(tQueue[ComponentCode],MATCH($A112,tQueue[PriorityRank],0))</f>
        <v>MOTOR-ESC</v>
      </c>
      <c r="E112">
        <f>INDEX(tQueue[PositionNo],MATCH($A112,tQueue[PriorityRank],0))</f>
        <v>2</v>
      </c>
      <c r="F112" t="str">
        <f>INDEX(tQueue[Criticality],MATCH($A112,tQueue[PriorityRank],0))</f>
        <v>FlightCritical</v>
      </c>
      <c r="G112" s="22">
        <f>INDEX(tQueue[PctOfHourInterval],MATCH($A112,tQueue[PriorityRank],0))</f>
        <v>82.22</v>
      </c>
      <c r="H112" s="22">
        <f>INDEX(tQueue[PctOfStressInterval],MATCH($A112,tQueue[PriorityRank],0))</f>
        <v>94.12</v>
      </c>
      <c r="I112" s="22">
        <f>INDEX(tQueue[ProjectedFlightHoursToStressLimit],MATCH($A112,tQueue[PriorityRank],0))</f>
        <v>10.69</v>
      </c>
      <c r="J112" s="22">
        <f>INDEX(tQueue[LeadTimeFlightHours],MATCH($A112,tQueue[PriorityRank],0))</f>
        <v>12</v>
      </c>
      <c r="K112" t="str">
        <f>INDEX(tQueue[ActionCode],MATCH($A112,tQueue[PriorityRank],0))</f>
        <v>ORDER_PART_NOW</v>
      </c>
      <c r="L112" s="25">
        <f>INDEX(tQueue[JobHours],MATCH($A112,tQueue[PriorityRank],0))</f>
        <v>0</v>
      </c>
      <c r="M112" s="25">
        <f>INDEX(Calc!$C$5:$C$198,MATCH($A112,Calc!$A$5:$A$198,0))</f>
        <v>405</v>
      </c>
      <c r="N112" t="str">
        <f>IF(M112&lt;=HangarHoursPerWeek,"yes","-")</f>
        <v>-</v>
      </c>
    </row>
    <row r="113" spans="1:14" x14ac:dyDescent="0.35">
      <c r="A113">
        <v>109</v>
      </c>
      <c r="B113" t="str">
        <f>INDEX(tQueue[TailNumber],MATCH($A113,tQueue[PriorityRank],0))</f>
        <v>MU-004</v>
      </c>
      <c r="C113" t="str">
        <f>INDEX(tQueue[BaseCode],MATCH($A113,tQueue[PriorityRank],0))</f>
        <v>COASTAL</v>
      </c>
      <c r="D113" t="str">
        <f>INDEX(tQueue[ComponentCode],MATCH($A113,tQueue[PriorityRank],0))</f>
        <v>MOTOR-ESC</v>
      </c>
      <c r="E113">
        <f>INDEX(tQueue[PositionNo],MATCH($A113,tQueue[PriorityRank],0))</f>
        <v>3</v>
      </c>
      <c r="F113" t="str">
        <f>INDEX(tQueue[Criticality],MATCH($A113,tQueue[PriorityRank],0))</f>
        <v>FlightCritical</v>
      </c>
      <c r="G113" s="22">
        <f>INDEX(tQueue[PctOfHourInterval],MATCH($A113,tQueue[PriorityRank],0))</f>
        <v>82.22</v>
      </c>
      <c r="H113" s="22">
        <f>INDEX(tQueue[PctOfStressInterval],MATCH($A113,tQueue[PriorityRank],0))</f>
        <v>94.12</v>
      </c>
      <c r="I113" s="22">
        <f>INDEX(tQueue[ProjectedFlightHoursToStressLimit],MATCH($A113,tQueue[PriorityRank],0))</f>
        <v>10.69</v>
      </c>
      <c r="J113" s="22">
        <f>INDEX(tQueue[LeadTimeFlightHours],MATCH($A113,tQueue[PriorityRank],0))</f>
        <v>12</v>
      </c>
      <c r="K113" t="str">
        <f>INDEX(tQueue[ActionCode],MATCH($A113,tQueue[PriorityRank],0))</f>
        <v>ORDER_PART_NOW</v>
      </c>
      <c r="L113" s="25">
        <f>INDEX(tQueue[JobHours],MATCH($A113,tQueue[PriorityRank],0))</f>
        <v>0</v>
      </c>
      <c r="M113" s="25">
        <f>INDEX(Calc!$C$5:$C$198,MATCH($A113,Calc!$A$5:$A$198,0))</f>
        <v>405</v>
      </c>
      <c r="N113" t="str">
        <f>IF(M113&lt;=HangarHoursPerWeek,"yes","-")</f>
        <v>-</v>
      </c>
    </row>
    <row r="114" spans="1:14" x14ac:dyDescent="0.35">
      <c r="A114">
        <v>110</v>
      </c>
      <c r="B114" t="str">
        <f>INDEX(tQueue[TailNumber],MATCH($A114,tQueue[PriorityRank],0))</f>
        <v>MU-004</v>
      </c>
      <c r="C114" t="str">
        <f>INDEX(tQueue[BaseCode],MATCH($A114,tQueue[PriorityRank],0))</f>
        <v>COASTAL</v>
      </c>
      <c r="D114" t="str">
        <f>INDEX(tQueue[ComponentCode],MATCH($A114,tQueue[PriorityRank],0))</f>
        <v>MOTOR-ESC</v>
      </c>
      <c r="E114">
        <f>INDEX(tQueue[PositionNo],MATCH($A114,tQueue[PriorityRank],0))</f>
        <v>4</v>
      </c>
      <c r="F114" t="str">
        <f>INDEX(tQueue[Criticality],MATCH($A114,tQueue[PriorityRank],0))</f>
        <v>FlightCritical</v>
      </c>
      <c r="G114" s="22">
        <f>INDEX(tQueue[PctOfHourInterval],MATCH($A114,tQueue[PriorityRank],0))</f>
        <v>82.22</v>
      </c>
      <c r="H114" s="22">
        <f>INDEX(tQueue[PctOfStressInterval],MATCH($A114,tQueue[PriorityRank],0))</f>
        <v>94.12</v>
      </c>
      <c r="I114" s="22">
        <f>INDEX(tQueue[ProjectedFlightHoursToStressLimit],MATCH($A114,tQueue[PriorityRank],0))</f>
        <v>10.69</v>
      </c>
      <c r="J114" s="22">
        <f>INDEX(tQueue[LeadTimeFlightHours],MATCH($A114,tQueue[PriorityRank],0))</f>
        <v>12</v>
      </c>
      <c r="K114" t="str">
        <f>INDEX(tQueue[ActionCode],MATCH($A114,tQueue[PriorityRank],0))</f>
        <v>ORDER_PART_NOW</v>
      </c>
      <c r="L114" s="25">
        <f>INDEX(tQueue[JobHours],MATCH($A114,tQueue[PriorityRank],0))</f>
        <v>0</v>
      </c>
      <c r="M114" s="25">
        <f>INDEX(Calc!$C$5:$C$198,MATCH($A114,Calc!$A$5:$A$198,0))</f>
        <v>405</v>
      </c>
      <c r="N114" t="str">
        <f>IF(M114&lt;=HangarHoursPerWeek,"yes","-")</f>
        <v>-</v>
      </c>
    </row>
    <row r="115" spans="1:14" x14ac:dyDescent="0.35">
      <c r="A115">
        <v>111</v>
      </c>
      <c r="B115" t="str">
        <f>INDEX(tQueue[TailNumber],MATCH($A115,tQueue[PriorityRank],0))</f>
        <v>MU-020</v>
      </c>
      <c r="C115" t="str">
        <f>INDEX(tQueue[BaseCode],MATCH($A115,tQueue[PriorityRank],0))</f>
        <v>HIGHLND</v>
      </c>
      <c r="D115" t="str">
        <f>INDEX(tQueue[ComponentCode],MATCH($A115,tQueue[PriorityRank],0))</f>
        <v>ROTOR-ASSY</v>
      </c>
      <c r="E115">
        <f>INDEX(tQueue[PositionNo],MATCH($A115,tQueue[PriorityRank],0))</f>
        <v>1</v>
      </c>
      <c r="F115" t="str">
        <f>INDEX(tQueue[Criticality],MATCH($A115,tQueue[PriorityRank],0))</f>
        <v>FlightCritical</v>
      </c>
      <c r="G115" s="22">
        <f>INDEX(tQueue[PctOfHourInterval],MATCH($A115,tQueue[PriorityRank],0))</f>
        <v>37.729999999999997</v>
      </c>
      <c r="H115" s="22">
        <f>INDEX(tQueue[PctOfStressInterval],MATCH($A115,tQueue[PriorityRank],0))</f>
        <v>83.09</v>
      </c>
      <c r="I115" s="22">
        <f>INDEX(tQueue[ProjectedFlightHoursToStressLimit],MATCH($A115,tQueue[PriorityRank],0))</f>
        <v>11.23</v>
      </c>
      <c r="J115" s="22">
        <f>INDEX(tQueue[LeadTimeFlightHours],MATCH($A115,tQueue[PriorityRank],0))</f>
        <v>18</v>
      </c>
      <c r="K115" t="str">
        <f>INDEX(tQueue[ActionCode],MATCH($A115,tQueue[PriorityRank],0))</f>
        <v>ORDER_PART_NOW</v>
      </c>
      <c r="L115" s="25">
        <f>INDEX(tQueue[JobHours],MATCH($A115,tQueue[PriorityRank],0))</f>
        <v>0</v>
      </c>
      <c r="M115" s="25">
        <f>INDEX(Calc!$C$5:$C$198,MATCH($A115,Calc!$A$5:$A$198,0))</f>
        <v>405</v>
      </c>
      <c r="N115" t="str">
        <f>IF(M115&lt;=HangarHoursPerWeek,"yes","-")</f>
        <v>-</v>
      </c>
    </row>
    <row r="116" spans="1:14" x14ac:dyDescent="0.35">
      <c r="A116">
        <v>112</v>
      </c>
      <c r="B116" t="str">
        <f>INDEX(tQueue[TailNumber],MATCH($A116,tQueue[PriorityRank],0))</f>
        <v>MU-001</v>
      </c>
      <c r="C116" t="str">
        <f>INDEX(tQueue[BaseCode],MATCH($A116,tQueue[PriorityRank],0))</f>
        <v>PORT</v>
      </c>
      <c r="D116" t="str">
        <f>INDEX(tQueue[ComponentCode],MATCH($A116,tQueue[PriorityRank],0))</f>
        <v>ROTOR-ASSY</v>
      </c>
      <c r="E116">
        <f>INDEX(tQueue[PositionNo],MATCH($A116,tQueue[PriorityRank],0))</f>
        <v>3</v>
      </c>
      <c r="F116" t="str">
        <f>INDEX(tQueue[Criticality],MATCH($A116,tQueue[PriorityRank],0))</f>
        <v>FlightCritical</v>
      </c>
      <c r="G116" s="22">
        <f>INDEX(tQueue[PctOfHourInterval],MATCH($A116,tQueue[PriorityRank],0))</f>
        <v>37.76</v>
      </c>
      <c r="H116" s="22">
        <f>INDEX(tQueue[PctOfStressInterval],MATCH($A116,tQueue[PriorityRank],0))</f>
        <v>78.17</v>
      </c>
      <c r="I116" s="22">
        <f>INDEX(tQueue[ProjectedFlightHoursToStressLimit],MATCH($A116,tQueue[PriorityRank],0))</f>
        <v>15.87</v>
      </c>
      <c r="J116" s="22">
        <f>INDEX(tQueue[LeadTimeFlightHours],MATCH($A116,tQueue[PriorityRank],0))</f>
        <v>18</v>
      </c>
      <c r="K116" t="str">
        <f>INDEX(tQueue[ActionCode],MATCH($A116,tQueue[PriorityRank],0))</f>
        <v>ORDER_PART_NOW</v>
      </c>
      <c r="L116" s="25">
        <f>INDEX(tQueue[JobHours],MATCH($A116,tQueue[PriorityRank],0))</f>
        <v>0</v>
      </c>
      <c r="M116" s="25">
        <f>INDEX(Calc!$C$5:$C$198,MATCH($A116,Calc!$A$5:$A$198,0))</f>
        <v>405</v>
      </c>
      <c r="N116" t="str">
        <f>IF(M116&lt;=HangarHoursPerWeek,"yes","-")</f>
        <v>-</v>
      </c>
    </row>
    <row r="117" spans="1:14" x14ac:dyDescent="0.35">
      <c r="A117">
        <v>113</v>
      </c>
      <c r="B117" t="str">
        <f>INDEX(tQueue[TailNumber],MATCH($A117,tQueue[PriorityRank],0))</f>
        <v>MU-002</v>
      </c>
      <c r="C117" t="str">
        <f>INDEX(tQueue[BaseCode],MATCH($A117,tQueue[PriorityRank],0))</f>
        <v>HIGHLND</v>
      </c>
      <c r="D117" t="str">
        <f>INDEX(tQueue[ComponentCode],MATCH($A117,tQueue[PriorityRank],0))</f>
        <v>ROTOR-ASSY</v>
      </c>
      <c r="E117">
        <f>INDEX(tQueue[PositionNo],MATCH($A117,tQueue[PriorityRank],0))</f>
        <v>2</v>
      </c>
      <c r="F117" t="str">
        <f>INDEX(tQueue[Criticality],MATCH($A117,tQueue[PriorityRank],0))</f>
        <v>FlightCritical</v>
      </c>
      <c r="G117" s="22">
        <f>INDEX(tQueue[PctOfHourInterval],MATCH($A117,tQueue[PriorityRank],0))</f>
        <v>33.43</v>
      </c>
      <c r="H117" s="22">
        <f>INDEX(tQueue[PctOfStressInterval],MATCH($A117,tQueue[PriorityRank],0))</f>
        <v>75.650000000000006</v>
      </c>
      <c r="I117" s="22">
        <f>INDEX(tQueue[ProjectedFlightHoursToStressLimit],MATCH($A117,tQueue[PriorityRank],0))</f>
        <v>16.02</v>
      </c>
      <c r="J117" s="22">
        <f>INDEX(tQueue[LeadTimeFlightHours],MATCH($A117,tQueue[PriorityRank],0))</f>
        <v>18</v>
      </c>
      <c r="K117" t="str">
        <f>INDEX(tQueue[ActionCode],MATCH($A117,tQueue[PriorityRank],0))</f>
        <v>ORDER_PART_NOW</v>
      </c>
      <c r="L117" s="25">
        <f>INDEX(tQueue[JobHours],MATCH($A117,tQueue[PriorityRank],0))</f>
        <v>0</v>
      </c>
      <c r="M117" s="25">
        <f>INDEX(Calc!$C$5:$C$198,MATCH($A117,Calc!$A$5:$A$198,0))</f>
        <v>405</v>
      </c>
      <c r="N117" t="str">
        <f>IF(M117&lt;=HangarHoursPerWeek,"yes","-")</f>
        <v>-</v>
      </c>
    </row>
    <row r="118" spans="1:14" x14ac:dyDescent="0.35">
      <c r="A118">
        <v>114</v>
      </c>
      <c r="B118" t="str">
        <f>INDEX(tQueue[TailNumber],MATCH($A118,tQueue[PriorityRank],0))</f>
        <v>MU-018</v>
      </c>
      <c r="C118" t="str">
        <f>INDEX(tQueue[BaseCode],MATCH($A118,tQueue[PriorityRank],0))</f>
        <v>HIGHLND</v>
      </c>
      <c r="D118" t="str">
        <f>INDEX(tQueue[ComponentCode],MATCH($A118,tQueue[PriorityRank],0))</f>
        <v>MOTOR-ESC</v>
      </c>
      <c r="E118">
        <f>INDEX(tQueue[PositionNo],MATCH($A118,tQueue[PriorityRank],0))</f>
        <v>4</v>
      </c>
      <c r="F118" t="str">
        <f>INDEX(tQueue[Criticality],MATCH($A118,tQueue[PriorityRank],0))</f>
        <v>FlightCritical</v>
      </c>
      <c r="G118" s="22">
        <f>INDEX(tQueue[PctOfHourInterval],MATCH($A118,tQueue[PriorityRank],0))</f>
        <v>37.44</v>
      </c>
      <c r="H118" s="22">
        <f>INDEX(tQueue[PctOfStressInterval],MATCH($A118,tQueue[PriorityRank],0))</f>
        <v>81.650000000000006</v>
      </c>
      <c r="I118" s="22">
        <f>INDEX(tQueue[ProjectedFlightHoursToStressLimit],MATCH($A118,tQueue[PriorityRank],0))</f>
        <v>16.71</v>
      </c>
      <c r="J118" s="22">
        <f>INDEX(tQueue[LeadTimeFlightHours],MATCH($A118,tQueue[PriorityRank],0))</f>
        <v>12</v>
      </c>
      <c r="K118" t="str">
        <f>INDEX(tQueue[ActionCode],MATCH($A118,tQueue[PriorityRank],0))</f>
        <v>SCHEDULE_THIS_MONTH</v>
      </c>
      <c r="L118" s="25">
        <f>INDEX(tQueue[JobHours],MATCH($A118,tQueue[PriorityRank],0))</f>
        <v>4.5</v>
      </c>
      <c r="M118" s="25">
        <f>INDEX(Calc!$C$5:$C$198,MATCH($A118,Calc!$A$5:$A$198,0))</f>
        <v>409.5</v>
      </c>
      <c r="N118" t="str">
        <f>IF(M118&lt;=HangarHoursPerWeek,"yes","-")</f>
        <v>-</v>
      </c>
    </row>
    <row r="119" spans="1:14" x14ac:dyDescent="0.35">
      <c r="A119">
        <v>115</v>
      </c>
      <c r="B119" t="str">
        <f>INDEX(tQueue[TailNumber],MATCH($A119,tQueue[PriorityRank],0))</f>
        <v>MU-004</v>
      </c>
      <c r="C119" t="str">
        <f>INDEX(tQueue[BaseCode],MATCH($A119,tQueue[PriorityRank],0))</f>
        <v>COASTAL</v>
      </c>
      <c r="D119" t="str">
        <f>INDEX(tQueue[ComponentCode],MATCH($A119,tQueue[PriorityRank],0))</f>
        <v>BATT-PACK</v>
      </c>
      <c r="E119">
        <f>INDEX(tQueue[PositionNo],MATCH($A119,tQueue[PriorityRank],0))</f>
        <v>1</v>
      </c>
      <c r="F119" t="str">
        <f>INDEX(tQueue[Criticality],MATCH($A119,tQueue[PriorityRank],0))</f>
        <v>FlightCritical</v>
      </c>
      <c r="G119" s="22">
        <f>INDEX(tQueue[PctOfHourInterval],MATCH($A119,tQueue[PriorityRank],0))</f>
        <v>73.72</v>
      </c>
      <c r="H119" s="22">
        <f>INDEX(tQueue[PctOfStressInterval],MATCH($A119,tQueue[PriorityRank],0))</f>
        <v>84.29</v>
      </c>
      <c r="I119" s="22">
        <f>INDEX(tQueue[ProjectedFlightHoursToStressLimit],MATCH($A119,tQueue[PriorityRank],0))</f>
        <v>17.14</v>
      </c>
      <c r="J119" s="22">
        <f>INDEX(tQueue[LeadTimeFlightHours],MATCH($A119,tQueue[PriorityRank],0))</f>
        <v>8</v>
      </c>
      <c r="K119" t="str">
        <f>INDEX(tQueue[ActionCode],MATCH($A119,tQueue[PriorityRank],0))</f>
        <v>SCHEDULE_THIS_MONTH</v>
      </c>
      <c r="L119" s="25">
        <f>INDEX(tQueue[JobHours],MATCH($A119,tQueue[PriorityRank],0))</f>
        <v>4.5</v>
      </c>
      <c r="M119" s="25">
        <f>INDEX(Calc!$C$5:$C$198,MATCH($A119,Calc!$A$5:$A$198,0))</f>
        <v>414</v>
      </c>
      <c r="N119" t="str">
        <f>IF(M119&lt;=HangarHoursPerWeek,"yes","-")</f>
        <v>-</v>
      </c>
    </row>
    <row r="120" spans="1:14" x14ac:dyDescent="0.35">
      <c r="A120">
        <v>116</v>
      </c>
      <c r="B120" t="str">
        <f>INDEX(tQueue[TailNumber],MATCH($A120,tQueue[PriorityRank],0))</f>
        <v>MU-006</v>
      </c>
      <c r="C120" t="str">
        <f>INDEX(tQueue[BaseCode],MATCH($A120,tQueue[PriorityRank],0))</f>
        <v>COASTAL</v>
      </c>
      <c r="D120" t="str">
        <f>INDEX(tQueue[ComponentCode],MATCH($A120,tQueue[PriorityRank],0))</f>
        <v>MOTOR-ESC</v>
      </c>
      <c r="E120">
        <f>INDEX(tQueue[PositionNo],MATCH($A120,tQueue[PriorityRank],0))</f>
        <v>3</v>
      </c>
      <c r="F120" t="str">
        <f>INDEX(tQueue[Criticality],MATCH($A120,tQueue[PriorityRank],0))</f>
        <v>FlightCritical</v>
      </c>
      <c r="G120" s="22">
        <f>INDEX(tQueue[PctOfHourInterval],MATCH($A120,tQueue[PriorityRank],0))</f>
        <v>77.930000000000007</v>
      </c>
      <c r="H120" s="22">
        <f>INDEX(tQueue[PctOfStressInterval],MATCH($A120,tQueue[PriorityRank],0))</f>
        <v>90.4</v>
      </c>
      <c r="I120" s="22">
        <f>INDEX(tQueue[ProjectedFlightHoursToStressLimit],MATCH($A120,tQueue[PriorityRank],0))</f>
        <v>17.77</v>
      </c>
      <c r="J120" s="22">
        <f>INDEX(tQueue[LeadTimeFlightHours],MATCH($A120,tQueue[PriorityRank],0))</f>
        <v>12</v>
      </c>
      <c r="K120" t="str">
        <f>INDEX(tQueue[ActionCode],MATCH($A120,tQueue[PriorityRank],0))</f>
        <v>SCHEDULE_THIS_MONTH</v>
      </c>
      <c r="L120" s="25">
        <f>INDEX(tQueue[JobHours],MATCH($A120,tQueue[PriorityRank],0))</f>
        <v>4.5</v>
      </c>
      <c r="M120" s="25">
        <f>INDEX(Calc!$C$5:$C$198,MATCH($A120,Calc!$A$5:$A$198,0))</f>
        <v>418.5</v>
      </c>
      <c r="N120" t="str">
        <f>IF(M120&lt;=HangarHoursPerWeek,"yes","-")</f>
        <v>-</v>
      </c>
    </row>
    <row r="121" spans="1:14" x14ac:dyDescent="0.35">
      <c r="A121">
        <v>117</v>
      </c>
      <c r="B121" t="str">
        <f>INDEX(tQueue[TailNumber],MATCH($A121,tQueue[PriorityRank],0))</f>
        <v>MU-006</v>
      </c>
      <c r="C121" t="str">
        <f>INDEX(tQueue[BaseCode],MATCH($A121,tQueue[PriorityRank],0))</f>
        <v>COASTAL</v>
      </c>
      <c r="D121" t="str">
        <f>INDEX(tQueue[ComponentCode],MATCH($A121,tQueue[PriorityRank],0))</f>
        <v>MOTOR-ESC</v>
      </c>
      <c r="E121">
        <f>INDEX(tQueue[PositionNo],MATCH($A121,tQueue[PriorityRank],0))</f>
        <v>4</v>
      </c>
      <c r="F121" t="str">
        <f>INDEX(tQueue[Criticality],MATCH($A121,tQueue[PriorityRank],0))</f>
        <v>FlightCritical</v>
      </c>
      <c r="G121" s="22">
        <f>INDEX(tQueue[PctOfHourInterval],MATCH($A121,tQueue[PriorityRank],0))</f>
        <v>77.930000000000007</v>
      </c>
      <c r="H121" s="22">
        <f>INDEX(tQueue[PctOfStressInterval],MATCH($A121,tQueue[PriorityRank],0))</f>
        <v>90.4</v>
      </c>
      <c r="I121" s="22">
        <f>INDEX(tQueue[ProjectedFlightHoursToStressLimit],MATCH($A121,tQueue[PriorityRank],0))</f>
        <v>17.77</v>
      </c>
      <c r="J121" s="22">
        <f>INDEX(tQueue[LeadTimeFlightHours],MATCH($A121,tQueue[PriorityRank],0))</f>
        <v>12</v>
      </c>
      <c r="K121" t="str">
        <f>INDEX(tQueue[ActionCode],MATCH($A121,tQueue[PriorityRank],0))</f>
        <v>SCHEDULE_THIS_MONTH</v>
      </c>
      <c r="L121" s="25">
        <f>INDEX(tQueue[JobHours],MATCH($A121,tQueue[PriorityRank],0))</f>
        <v>4.5</v>
      </c>
      <c r="M121" s="25">
        <f>INDEX(Calc!$C$5:$C$198,MATCH($A121,Calc!$A$5:$A$198,0))</f>
        <v>423</v>
      </c>
      <c r="N121" t="str">
        <f>IF(M121&lt;=HangarHoursPerWeek,"yes","-")</f>
        <v>-</v>
      </c>
    </row>
    <row r="122" spans="1:14" x14ac:dyDescent="0.35">
      <c r="A122">
        <v>118</v>
      </c>
      <c r="B122" t="str">
        <f>INDEX(tQueue[TailNumber],MATCH($A122,tQueue[PriorityRank],0))</f>
        <v>MU-021</v>
      </c>
      <c r="C122" t="str">
        <f>INDEX(tQueue[BaseCode],MATCH($A122,tQueue[PriorityRank],0))</f>
        <v>ACADEMY</v>
      </c>
      <c r="D122" t="str">
        <f>INDEX(tQueue[ComponentCode],MATCH($A122,tQueue[PriorityRank],0))</f>
        <v>ROTOR-ASSY</v>
      </c>
      <c r="E122">
        <f>INDEX(tQueue[PositionNo],MATCH($A122,tQueue[PriorityRank],0))</f>
        <v>2</v>
      </c>
      <c r="F122" t="str">
        <f>INDEX(tQueue[Criticality],MATCH($A122,tQueue[PriorityRank],0))</f>
        <v>FlightCritical</v>
      </c>
      <c r="G122" s="22">
        <f>INDEX(tQueue[PctOfHourInterval],MATCH($A122,tQueue[PriorityRank],0))</f>
        <v>41.53</v>
      </c>
      <c r="H122" s="22">
        <f>INDEX(tQueue[PctOfStressInterval],MATCH($A122,tQueue[PriorityRank],0))</f>
        <v>76.540000000000006</v>
      </c>
      <c r="I122" s="22">
        <f>INDEX(tQueue[ProjectedFlightHoursToStressLimit],MATCH($A122,tQueue[PriorityRank],0))</f>
        <v>18.38</v>
      </c>
      <c r="J122" s="22">
        <f>INDEX(tQueue[LeadTimeFlightHours],MATCH($A122,tQueue[PriorityRank],0))</f>
        <v>18</v>
      </c>
      <c r="K122" t="str">
        <f>INDEX(tQueue[ActionCode],MATCH($A122,tQueue[PriorityRank],0))</f>
        <v>SCHEDULE_THIS_MONTH</v>
      </c>
      <c r="L122" s="25">
        <f>INDEX(tQueue[JobHours],MATCH($A122,tQueue[PriorityRank],0))</f>
        <v>4.5</v>
      </c>
      <c r="M122" s="25">
        <f>INDEX(Calc!$C$5:$C$198,MATCH($A122,Calc!$A$5:$A$198,0))</f>
        <v>427.5</v>
      </c>
      <c r="N122" t="str">
        <f>IF(M122&lt;=HangarHoursPerWeek,"yes","-")</f>
        <v>-</v>
      </c>
    </row>
    <row r="123" spans="1:14" x14ac:dyDescent="0.35">
      <c r="A123">
        <v>119</v>
      </c>
      <c r="B123" t="str">
        <f>INDEX(tQueue[TailNumber],MATCH($A123,tQueue[PriorityRank],0))</f>
        <v>MU-004</v>
      </c>
      <c r="C123" t="str">
        <f>INDEX(tQueue[BaseCode],MATCH($A123,tQueue[PriorityRank],0))</f>
        <v>COASTAL</v>
      </c>
      <c r="D123" t="str">
        <f>INDEX(tQueue[ComponentCode],MATCH($A123,tQueue[PriorityRank],0))</f>
        <v>ROTOR-ASSY</v>
      </c>
      <c r="E123">
        <f>INDEX(tQueue[PositionNo],MATCH($A123,tQueue[PriorityRank],0))</f>
        <v>1</v>
      </c>
      <c r="F123" t="str">
        <f>INDEX(tQueue[Criticality],MATCH($A123,tQueue[PriorityRank],0))</f>
        <v>FlightCritical</v>
      </c>
      <c r="G123" s="22">
        <f>INDEX(tQueue[PctOfHourInterval],MATCH($A123,tQueue[PriorityRank],0))</f>
        <v>74.86</v>
      </c>
      <c r="H123" s="22">
        <f>INDEX(tQueue[PctOfStressInterval],MATCH($A123,tQueue[PriorityRank],0))</f>
        <v>85.5</v>
      </c>
      <c r="I123" s="22">
        <f>INDEX(tQueue[ProjectedFlightHoursToStressLimit],MATCH($A123,tQueue[PriorityRank],0))</f>
        <v>19.77</v>
      </c>
      <c r="J123" s="22">
        <f>INDEX(tQueue[LeadTimeFlightHours],MATCH($A123,tQueue[PriorityRank],0))</f>
        <v>18</v>
      </c>
      <c r="K123" t="str">
        <f>INDEX(tQueue[ActionCode],MATCH($A123,tQueue[PriorityRank],0))</f>
        <v>SCHEDULE_THIS_MONTH</v>
      </c>
      <c r="L123" s="25">
        <f>INDEX(tQueue[JobHours],MATCH($A123,tQueue[PriorityRank],0))</f>
        <v>4.5</v>
      </c>
      <c r="M123" s="25">
        <f>INDEX(Calc!$C$5:$C$198,MATCH($A123,Calc!$A$5:$A$198,0))</f>
        <v>432</v>
      </c>
      <c r="N123" t="str">
        <f>IF(M123&lt;=HangarHoursPerWeek,"yes","-")</f>
        <v>-</v>
      </c>
    </row>
    <row r="124" spans="1:14" x14ac:dyDescent="0.35">
      <c r="A124">
        <v>120</v>
      </c>
      <c r="B124" t="str">
        <f>INDEX(tQueue[TailNumber],MATCH($A124,tQueue[PriorityRank],0))</f>
        <v>MU-004</v>
      </c>
      <c r="C124" t="str">
        <f>INDEX(tQueue[BaseCode],MATCH($A124,tQueue[PriorityRank],0))</f>
        <v>COASTAL</v>
      </c>
      <c r="D124" t="str">
        <f>INDEX(tQueue[ComponentCode],MATCH($A124,tQueue[PriorityRank],0))</f>
        <v>ROTOR-ASSY</v>
      </c>
      <c r="E124">
        <f>INDEX(tQueue[PositionNo],MATCH($A124,tQueue[PriorityRank],0))</f>
        <v>2</v>
      </c>
      <c r="F124" t="str">
        <f>INDEX(tQueue[Criticality],MATCH($A124,tQueue[PriorityRank],0))</f>
        <v>FlightCritical</v>
      </c>
      <c r="G124" s="22">
        <f>INDEX(tQueue[PctOfHourInterval],MATCH($A124,tQueue[PriorityRank],0))</f>
        <v>74.86</v>
      </c>
      <c r="H124" s="22">
        <f>INDEX(tQueue[PctOfStressInterval],MATCH($A124,tQueue[PriorityRank],0))</f>
        <v>85.5</v>
      </c>
      <c r="I124" s="22">
        <f>INDEX(tQueue[ProjectedFlightHoursToStressLimit],MATCH($A124,tQueue[PriorityRank],0))</f>
        <v>19.77</v>
      </c>
      <c r="J124" s="22">
        <f>INDEX(tQueue[LeadTimeFlightHours],MATCH($A124,tQueue[PriorityRank],0))</f>
        <v>18</v>
      </c>
      <c r="K124" t="str">
        <f>INDEX(tQueue[ActionCode],MATCH($A124,tQueue[PriorityRank],0))</f>
        <v>SCHEDULE_THIS_MONTH</v>
      </c>
      <c r="L124" s="25">
        <f>INDEX(tQueue[JobHours],MATCH($A124,tQueue[PriorityRank],0))</f>
        <v>4.5</v>
      </c>
      <c r="M124" s="25">
        <f>INDEX(Calc!$C$5:$C$198,MATCH($A124,Calc!$A$5:$A$198,0))</f>
        <v>436.5</v>
      </c>
      <c r="N124" t="str">
        <f>IF(M124&lt;=HangarHoursPerWeek,"yes","-")</f>
        <v>-</v>
      </c>
    </row>
    <row r="126" spans="1:14" x14ac:dyDescent="0.35">
      <c r="A126" s="2" t="str">
        <f>"Showing the top 120 of " &amp; COUNTA(tQueue[PriorityRank]) &amp; " outstanding jobs. The full queue is on Data_Queue -- it is kept complete for audit, and cut here only for reading."</f>
        <v>Showing the top 120 of 194 outstanding jobs. The full queue is on Data_Queue -- it is kept complete for audit, and cut here only for reading.</v>
      </c>
    </row>
  </sheetData>
  <conditionalFormatting sqref="N5:N124">
    <cfRule type="cellIs" dxfId="2" priority="1" stopIfTrue="1" operator="equal">
      <formula>"yes"</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ED304-1EE5-4081-98D9-868A03080F13}">
  <dimension ref="A1:J14"/>
  <sheetViews>
    <sheetView workbookViewId="0"/>
  </sheetViews>
  <sheetFormatPr defaultRowHeight="14.5" x14ac:dyDescent="0.35"/>
  <cols>
    <col min="1" max="1" width="16.6328125" customWidth="1"/>
    <col min="2" max="9" width="18.6328125" customWidth="1"/>
    <col min="10" max="10" width="58.6328125" customWidth="1"/>
  </cols>
  <sheetData>
    <row r="1" spans="1:10" ht="18.5" x14ac:dyDescent="0.45">
      <c r="A1" s="20" t="s">
        <v>947</v>
      </c>
    </row>
    <row r="2" spans="1:10" x14ac:dyDescent="0.35">
      <c r="A2" s="2" t="s">
        <v>948</v>
      </c>
    </row>
    <row r="4" spans="1:10" x14ac:dyDescent="0.35">
      <c r="A4" s="4" t="s">
        <v>949</v>
      </c>
      <c r="B4" s="4" t="s">
        <v>950</v>
      </c>
      <c r="C4" s="4" t="s">
        <v>951</v>
      </c>
      <c r="D4" s="4" t="s">
        <v>952</v>
      </c>
      <c r="E4" s="4" t="s">
        <v>953</v>
      </c>
      <c r="F4" s="4" t="s">
        <v>954</v>
      </c>
      <c r="G4" s="4" t="s">
        <v>955</v>
      </c>
      <c r="H4" s="4" t="s">
        <v>956</v>
      </c>
      <c r="I4" s="4" t="s">
        <v>957</v>
      </c>
      <c r="J4" s="4" t="s">
        <v>958</v>
      </c>
    </row>
    <row r="5" spans="1:10" x14ac:dyDescent="0.35">
      <c r="A5" t="s">
        <v>45</v>
      </c>
      <c r="B5" s="22">
        <f>SUMIFS(tSweep[LeadTimeFlightHours],tSweep[ComponentCode],$A5,tSweep[VibThreshold],AlertThreshold)</f>
        <v>18</v>
      </c>
      <c r="C5" s="22">
        <f>AlertThreshold</f>
        <v>3.4</v>
      </c>
      <c r="D5">
        <f>SUMIFS(tSweep[AlertsRaised],tSweep[ComponentCode],$A5,tSweep[VibThreshold],AlertThreshold)</f>
        <v>241</v>
      </c>
      <c r="E5">
        <f>SUMIFS(tSweep[TP],tSweep[ComponentCode],$A5,tSweep[VibThreshold],AlertThreshold)</f>
        <v>180</v>
      </c>
      <c r="F5" s="22">
        <f>SUMIFS(tSweep[PrecisionPct],tSweep[ComponentCode],$A5,tSweep[VibThreshold],AlertThreshold)</f>
        <v>74.69</v>
      </c>
      <c r="G5" s="22">
        <f>SUMIFS(tSweep[RecallPct],tSweep[ComponentCode],$A5,tSweep[VibThreshold],AlertThreshold)</f>
        <v>97.83</v>
      </c>
      <c r="H5" s="22">
        <f>SUMIFS(tSweep[MedianLeadTimeFlightHours],tSweep[ComponentCode],$A5,tSweep[VibThreshold],AlertThreshold)</f>
        <v>18.93</v>
      </c>
      <c r="I5" s="22">
        <f>SUMIFS(tSweep[ActionableLeadTimePct],tSweep[ComponentCode],$A5,tSweep[VibThreshold],AlertThreshold)</f>
        <v>54.44</v>
      </c>
      <c r="J5" t="str">
        <f>IF(H5&gt;=B5,"yes","NO -- the median warning is shorter than the time to get the part")</f>
        <v>yes</v>
      </c>
    </row>
    <row r="6" spans="1:10" x14ac:dyDescent="0.35">
      <c r="A6" t="s">
        <v>64</v>
      </c>
      <c r="B6" s="22">
        <f>SUMIFS(tSweep[LeadTimeFlightHours],tSweep[ComponentCode],$A6,tSweep[VibThreshold],AlertThreshold)</f>
        <v>12</v>
      </c>
      <c r="C6" s="22">
        <f>AlertThreshold</f>
        <v>3.4</v>
      </c>
      <c r="D6">
        <f>SUMIFS(tSweep[AlertsRaised],tSweep[ComponentCode],$A6,tSweep[VibThreshold],AlertThreshold)</f>
        <v>106</v>
      </c>
      <c r="E6">
        <f>SUMIFS(tSweep[TP],tSweep[ComponentCode],$A6,tSweep[VibThreshold],AlertThreshold)</f>
        <v>103</v>
      </c>
      <c r="F6" s="22">
        <f>SUMIFS(tSweep[PrecisionPct],tSweep[ComponentCode],$A6,tSweep[VibThreshold],AlertThreshold)</f>
        <v>97.17</v>
      </c>
      <c r="G6" s="22">
        <f>SUMIFS(tSweep[RecallPct],tSweep[ComponentCode],$A6,tSweep[VibThreshold],AlertThreshold)</f>
        <v>99.04</v>
      </c>
      <c r="H6" s="22">
        <f>SUMIFS(tSweep[MedianLeadTimeFlightHours],tSweep[ComponentCode],$A6,tSweep[VibThreshold],AlertThreshold)</f>
        <v>6.75</v>
      </c>
      <c r="I6" s="22">
        <f>SUMIFS(tSweep[ActionableLeadTimePct],tSweep[ComponentCode],$A6,tSweep[VibThreshold],AlertThreshold)</f>
        <v>8.74</v>
      </c>
      <c r="J6" t="str">
        <f>IF(H6&gt;=B6,"yes","NO -- the median warning is shorter than the time to get the part")</f>
        <v>NO -- the median warning is shorter than the time to get the part</v>
      </c>
    </row>
    <row r="8" spans="1:10" x14ac:dyDescent="0.35">
      <c r="A8" s="3" t="s">
        <v>959</v>
      </c>
      <c r="D8" s="3">
        <f>SUM(D5:D6)</f>
        <v>347</v>
      </c>
      <c r="E8" s="3">
        <f>SUM(E5:E6)</f>
        <v>283</v>
      </c>
      <c r="F8" s="24">
        <f>E8/D8*100</f>
        <v>81.556195965417871</v>
      </c>
      <c r="G8" s="3"/>
      <c r="H8" s="3"/>
      <c r="I8" s="24">
        <f>SUMPRODUCT(SUMIFS(tSweep[ActionableTP],tSweep[ComponentCode],A5:A6,tSweep[VibThreshold],AlertThreshold))/E8*100</f>
        <v>37.809187279151942</v>
      </c>
    </row>
    <row r="11" spans="1:10" x14ac:dyDescent="0.35">
      <c r="A11" s="23" t="s">
        <v>960</v>
      </c>
      <c r="B11" s="8"/>
      <c r="C11" s="8"/>
      <c r="D11" s="8"/>
      <c r="E11" s="8"/>
      <c r="F11" s="8"/>
      <c r="G11" s="8"/>
      <c r="H11" s="8"/>
      <c r="I11" s="8"/>
      <c r="J11" s="8"/>
    </row>
    <row r="12" spans="1:10" x14ac:dyDescent="0.35">
      <c r="A12" s="8"/>
      <c r="B12" s="8"/>
      <c r="C12" s="8"/>
      <c r="D12" s="8"/>
      <c r="E12" s="8"/>
      <c r="F12" s="8"/>
      <c r="G12" s="8"/>
      <c r="H12" s="8"/>
      <c r="I12" s="8"/>
      <c r="J12" s="8"/>
    </row>
    <row r="13" spans="1:10" x14ac:dyDescent="0.35">
      <c r="A13" s="8"/>
      <c r="B13" s="8"/>
      <c r="C13" s="8"/>
      <c r="D13" s="8"/>
      <c r="E13" s="8"/>
      <c r="F13" s="8"/>
      <c r="G13" s="8"/>
      <c r="H13" s="8"/>
      <c r="I13" s="8"/>
      <c r="J13" s="8"/>
    </row>
    <row r="14" spans="1:10" x14ac:dyDescent="0.35">
      <c r="A14" s="8"/>
      <c r="B14" s="8"/>
      <c r="C14" s="8"/>
      <c r="D14" s="8"/>
      <c r="E14" s="8"/>
      <c r="F14" s="8"/>
      <c r="G14" s="8"/>
      <c r="H14" s="8"/>
      <c r="I14" s="8"/>
      <c r="J14" s="8"/>
    </row>
  </sheetData>
  <mergeCells count="1">
    <mergeCell ref="A11:J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87F33-592E-4A66-A39F-566EDB4A04D9}">
  <dimension ref="A1:E23"/>
  <sheetViews>
    <sheetView workbookViewId="0"/>
  </sheetViews>
  <sheetFormatPr defaultRowHeight="14.5" x14ac:dyDescent="0.35"/>
  <cols>
    <col min="1" max="1" width="5.6328125" customWidth="1"/>
    <col min="2" max="2" width="34.6328125" customWidth="1"/>
    <col min="3" max="4" width="16.6328125" customWidth="1"/>
    <col min="5" max="5" width="14.6328125" customWidth="1"/>
  </cols>
  <sheetData>
    <row r="1" spans="1:5" ht="18.5" x14ac:dyDescent="0.45">
      <c r="A1" s="20" t="s">
        <v>972</v>
      </c>
    </row>
    <row r="2" spans="1:5" x14ac:dyDescent="0.35">
      <c r="A2" s="2" t="s">
        <v>973</v>
      </c>
    </row>
    <row r="3" spans="1:5" x14ac:dyDescent="0.35">
      <c r="A3" s="26" t="s">
        <v>974</v>
      </c>
    </row>
    <row r="5" spans="1:5" x14ac:dyDescent="0.35">
      <c r="A5" s="4" t="s">
        <v>975</v>
      </c>
      <c r="B5" s="4" t="s">
        <v>976</v>
      </c>
      <c r="C5" s="4" t="s">
        <v>977</v>
      </c>
      <c r="D5" s="4" t="s">
        <v>978</v>
      </c>
      <c r="E5" s="4" t="s">
        <v>979</v>
      </c>
    </row>
    <row r="6" spans="1:5" x14ac:dyDescent="0.35">
      <c r="A6">
        <v>1</v>
      </c>
      <c r="B6" t="s">
        <v>942</v>
      </c>
      <c r="C6" s="18">
        <f>COUNTIFS(tWear[IsOverdueByStress],0)/COUNTA(tWear[InstallKey])*100</f>
        <v>68.406593406593402</v>
      </c>
      <c r="D6" s="18">
        <f>INDEX(tKPI[MetricValue],MATCH("StressCompliancePct",tKPI[MetricName],0))</f>
        <v>68.41</v>
      </c>
      <c r="E6" t="str">
        <f>IF(ABS(C6-D6)&lt;0.011,"OK","MISMATCH")</f>
        <v>OK</v>
      </c>
    </row>
    <row r="7" spans="1:5" x14ac:dyDescent="0.35">
      <c r="A7">
        <v>2</v>
      </c>
      <c r="B7" t="s">
        <v>941</v>
      </c>
      <c r="C7" s="18">
        <f>COUNTIFS(tWear[IsOverdueByHours],0)/COUNTA(tWear[InstallKey])*100</f>
        <v>99.72527472527473</v>
      </c>
      <c r="D7" s="18">
        <f>INDEX(tKPI[MetricValue],MATCH("HourCompliancePct",tKPI[MetricName],0))</f>
        <v>99.73</v>
      </c>
      <c r="E7" t="str">
        <f>IF(ABS(C7-D7)&lt;0.011,"OK","MISMATCH")</f>
        <v>OK</v>
      </c>
    </row>
    <row r="8" spans="1:5" x14ac:dyDescent="0.35">
      <c r="A8">
        <v>3</v>
      </c>
      <c r="B8" t="s">
        <v>980</v>
      </c>
      <c r="C8" s="18">
        <f>COUNTIFS(tWear[IsOverdueByStress],1,tWear[Criticality],"FlightCritical")</f>
        <v>90</v>
      </c>
      <c r="D8" s="18">
        <f>INDEX(tKPI[MetricValue],MATCH("OverdueFlightCritical",tKPI[MetricName],0))</f>
        <v>90</v>
      </c>
      <c r="E8" t="str">
        <f>IF(ABS(C8-D8)&lt;0.011,"OK","MISMATCH")</f>
        <v>OK</v>
      </c>
    </row>
    <row r="9" spans="1:5" x14ac:dyDescent="0.35">
      <c r="A9">
        <v>4</v>
      </c>
      <c r="B9" t="s">
        <v>909</v>
      </c>
      <c r="C9" s="18">
        <f>COUNTA(tWear[InstallKey])</f>
        <v>364</v>
      </c>
      <c r="D9" s="18">
        <f>INDEX(tKPI[Denominator],MATCH("StressCompliancePct",tKPI[MetricName],0))</f>
        <v>364</v>
      </c>
      <c r="E9" t="str">
        <f>IF(ABS(C9-D9)&lt;0.011,"OK","MISMATCH")</f>
        <v>OK</v>
      </c>
    </row>
    <row r="10" spans="1:5" x14ac:dyDescent="0.35">
      <c r="A10">
        <v>5</v>
      </c>
      <c r="B10" t="s">
        <v>944</v>
      </c>
      <c r="C10" s="18">
        <f>COUNTIFS(tWear[IsHiddenOverdue],1)</f>
        <v>114</v>
      </c>
      <c r="D10" s="18">
        <f>SUM(tBase[HiddenOverdue])</f>
        <v>114</v>
      </c>
      <c r="E10" t="str">
        <f>IF(ABS(C10-D10)&lt;0.011,"OK","MISMATCH")</f>
        <v>OK</v>
      </c>
    </row>
    <row r="11" spans="1:5" x14ac:dyDescent="0.35">
      <c r="A11">
        <v>6</v>
      </c>
      <c r="B11" t="s">
        <v>981</v>
      </c>
      <c r="C11" s="18">
        <f>COUNTIFS(tWear[IsHiddenOverdue],1,tWear[Criticality],"FlightCritical")</f>
        <v>89</v>
      </c>
      <c r="D11" s="18">
        <f>SUM(tBase[HiddenOverdueFlightCritical])</f>
        <v>89</v>
      </c>
      <c r="E11" t="str">
        <f>IF(ABS(C11-D11)&lt;0.011,"OK","MISMATCH")</f>
        <v>OK</v>
      </c>
    </row>
    <row r="12" spans="1:5" x14ac:dyDescent="0.35">
      <c r="A12">
        <v>7</v>
      </c>
      <c r="B12" t="s">
        <v>982</v>
      </c>
      <c r="C12" s="18">
        <f>SUM(tBase[FittedComponents])</f>
        <v>364</v>
      </c>
      <c r="D12" s="18">
        <f>COUNTA(tWear[InstallKey])</f>
        <v>364</v>
      </c>
      <c r="E12" t="str">
        <f>IF(ABS(C12-D12)&lt;0.011,"OK","MISMATCH")</f>
        <v>OK</v>
      </c>
    </row>
    <row r="13" spans="1:5" x14ac:dyDescent="0.35">
      <c r="A13">
        <v>8</v>
      </c>
      <c r="B13" t="s">
        <v>983</v>
      </c>
      <c r="C13" s="18">
        <f>COUNTA(tQueue[PriorityRank])</f>
        <v>194</v>
      </c>
      <c r="D13" s="18">
        <f>MAX(tQueue[PriorityRank])</f>
        <v>194</v>
      </c>
      <c r="E13" t="str">
        <f>IF(ABS(C13-D13)&lt;0.011,"OK","MISMATCH")</f>
        <v>OK</v>
      </c>
    </row>
    <row r="14" spans="1:5" x14ac:dyDescent="0.35">
      <c r="A14">
        <v>9</v>
      </c>
      <c r="B14" t="s">
        <v>984</v>
      </c>
      <c r="C14" s="18">
        <f>SUM(tQueue[JobHours])</f>
        <v>682.5</v>
      </c>
      <c r="D14" s="18">
        <f>MAX(tQueue[CumulativeJobHours])</f>
        <v>682.5</v>
      </c>
      <c r="E14" t="str">
        <f>IF(ABS(C14-D14)&lt;0.011,"OK","MISMATCH")</f>
        <v>OK</v>
      </c>
    </row>
    <row r="15" spans="1:5" x14ac:dyDescent="0.35">
      <c r="A15">
        <v>10</v>
      </c>
      <c r="B15" t="s">
        <v>985</v>
      </c>
      <c r="C15" s="18">
        <f>COUNTIFS(tQueue[ActionCode],"GROUND_AND_REPLACE")</f>
        <v>90</v>
      </c>
      <c r="D15" s="18">
        <f>COUNTIFS(tWear[IsOverdueByStress],1,tWear[Criticality],"FlightCritical")</f>
        <v>90</v>
      </c>
      <c r="E15" t="str">
        <f>IF(ABS(C15-D15)&lt;0.011,"OK","MISMATCH")</f>
        <v>OK</v>
      </c>
    </row>
    <row r="16" spans="1:5" x14ac:dyDescent="0.35">
      <c r="A16">
        <v>11</v>
      </c>
      <c r="B16" t="s">
        <v>986</v>
      </c>
      <c r="C16" s="18">
        <f>SUMIFS(tSweep[PrecisionPct],tSweep[ComponentCode],"ROTOR-ASSY",tSweep[VibThreshold],AlertThreshold)</f>
        <v>74.69</v>
      </c>
      <c r="D16" s="18">
        <f>SUMIFS(tSweep[TP],tSweep[ComponentCode],"ROTOR-ASSY",tSweep[VibThreshold],AlertThreshold)/SUMIFS(tSweep[AlertsRaised],tSweep[ComponentCode],"ROTOR-ASSY",tSweep[VibThreshold],AlertThreshold)*100</f>
        <v>74.68879668049793</v>
      </c>
      <c r="E16" t="str">
        <f>IF(ABS(C16-D16)&lt;0.011,"OK","MISMATCH")</f>
        <v>OK</v>
      </c>
    </row>
    <row r="17" spans="1:5" x14ac:dyDescent="0.35">
      <c r="A17">
        <v>12</v>
      </c>
      <c r="B17" t="s">
        <v>987</v>
      </c>
      <c r="C17" s="18">
        <f>SUMIFS(tSweep[PrecisionPct],tSweep[ComponentCode],"MOTOR-ESC",tSweep[VibThreshold],AlertThreshold)</f>
        <v>97.17</v>
      </c>
      <c r="D17" s="18">
        <f>SUMIFS(tSweep[TP],tSweep[ComponentCode],"MOTOR-ESC",tSweep[VibThreshold],AlertThreshold)/SUMIFS(tSweep[AlertsRaised],tSweep[ComponentCode],"MOTOR-ESC",tSweep[VibThreshold],AlertThreshold)*100</f>
        <v>97.169811320754718</v>
      </c>
      <c r="E17" t="str">
        <f>IF(ABS(C17-D17)&lt;0.011,"OK","MISMATCH")</f>
        <v>OK</v>
      </c>
    </row>
    <row r="18" spans="1:5" x14ac:dyDescent="0.35">
      <c r="A18">
        <v>13</v>
      </c>
      <c r="B18" t="s">
        <v>988</v>
      </c>
      <c r="C18" s="18">
        <f>SUMIFS(tSweep[ActionableTP],tSweep[VibThreshold],AlertThreshold)+SUMIFS(tSweep[LateTP],tSweep[VibThreshold],AlertThreshold)</f>
        <v>283</v>
      </c>
      <c r="D18" s="18">
        <f>SUMIFS(tSweep[TP],tSweep[VibThreshold],AlertThreshold)</f>
        <v>283</v>
      </c>
      <c r="E18" t="str">
        <f>IF(ABS(C18-D18)&lt;0.011,"OK","MISMATCH")</f>
        <v>OK</v>
      </c>
    </row>
    <row r="19" spans="1:5" x14ac:dyDescent="0.35">
      <c r="A19">
        <v>14</v>
      </c>
      <c r="B19" t="s">
        <v>989</v>
      </c>
      <c r="C19" s="18">
        <f>SUMIFS(tSweep[TP],tSweep[VibThreshold],AlertThreshold)+SUMIFS(tSweep[FP],tSweep[VibThreshold],AlertThreshold)+SUMIFS(tSweep[FN],tSweep[VibThreshold],AlertThreshold)+SUMIFS(tSweep[TN],tSweep[VibThreshold],AlertThreshold)</f>
        <v>734</v>
      </c>
      <c r="D19" s="18">
        <f>SUMIFS(tSweep[Population],tSweep[VibThreshold],AlertThreshold)</f>
        <v>734</v>
      </c>
      <c r="E19" t="str">
        <f>IF(ABS(C19-D19)&lt;0.011,"OK","MISMATCH")</f>
        <v>OK</v>
      </c>
    </row>
    <row r="20" spans="1:5" x14ac:dyDescent="0.35">
      <c r="A20">
        <v>15</v>
      </c>
      <c r="B20" t="s">
        <v>990</v>
      </c>
      <c r="C20" s="18">
        <f>SUMPRODUCT(CalcInWeek)</f>
        <v>26</v>
      </c>
      <c r="D20" s="18">
        <f>COUNTIFS(tQueue[IsThisWeek],1)</f>
        <v>26</v>
      </c>
      <c r="E20" t="str">
        <f>IF(ABS(C20-D20)&lt;0.011,"OK","MISMATCH")</f>
        <v>OK</v>
      </c>
    </row>
    <row r="21" spans="1:5" x14ac:dyDescent="0.35">
      <c r="A21">
        <v>16</v>
      </c>
      <c r="B21" t="s">
        <v>991</v>
      </c>
      <c r="C21" s="18">
        <f>COUNTA(tDQ[CheckCode])</f>
        <v>73</v>
      </c>
      <c r="D21" s="18">
        <f>COUNTA(tDQ[Detail])</f>
        <v>73</v>
      </c>
      <c r="E21" t="str">
        <f>IF(ABS(C21-D21)&lt;0.011,"OK","MISMATCH")</f>
        <v>OK</v>
      </c>
    </row>
    <row r="23" spans="1:5" ht="16" x14ac:dyDescent="0.4">
      <c r="B23" s="3" t="s">
        <v>992</v>
      </c>
      <c r="C23" s="27" t="str">
        <f>COUNTIF(E6:E21,"OK") &amp; " of " &amp; COUNTA(E6:E21)</f>
        <v>16 of 16</v>
      </c>
    </row>
  </sheetData>
  <conditionalFormatting sqref="E6:E21">
    <cfRule type="cellIs" dxfId="1" priority="1" stopIfTrue="1" operator="equal">
      <formula>"OK"</formula>
    </cfRule>
    <cfRule type="cellIs" dxfId="0" priority="2" stopIfTrue="1" operator="equal">
      <formula>"MISMATCH"</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15263-9CAF-472B-8B4E-FE27EFF3F9C9}">
  <dimension ref="A1:C14"/>
  <sheetViews>
    <sheetView workbookViewId="0"/>
  </sheetViews>
  <sheetFormatPr defaultRowHeight="14.5" x14ac:dyDescent="0.35"/>
  <cols>
    <col min="1" max="1" width="24.6328125" customWidth="1"/>
    <col min="2" max="2" width="44.6328125" customWidth="1"/>
    <col min="3" max="3" width="96.6328125" customWidth="1"/>
  </cols>
  <sheetData>
    <row r="1" spans="1:3" ht="19.5" x14ac:dyDescent="0.45">
      <c r="A1" s="1" t="s">
        <v>0</v>
      </c>
    </row>
    <row r="2" spans="1:3" x14ac:dyDescent="0.35">
      <c r="A2" s="2" t="s">
        <v>1</v>
      </c>
    </row>
    <row r="4" spans="1:3" x14ac:dyDescent="0.35">
      <c r="A4" s="4" t="s">
        <v>2</v>
      </c>
      <c r="B4" s="4" t="s">
        <v>3</v>
      </c>
      <c r="C4" s="4" t="s">
        <v>4</v>
      </c>
    </row>
    <row r="5" spans="1:3" x14ac:dyDescent="0.35">
      <c r="A5" t="s">
        <v>5</v>
      </c>
      <c r="B5" s="5" t="s">
        <v>6</v>
      </c>
      <c r="C5" t="s">
        <v>7</v>
      </c>
    </row>
    <row r="6" spans="1:3" x14ac:dyDescent="0.35">
      <c r="A6" t="s">
        <v>8</v>
      </c>
      <c r="B6" s="7">
        <v>46295</v>
      </c>
      <c r="C6" t="s">
        <v>9</v>
      </c>
    </row>
    <row r="7" spans="1:3" x14ac:dyDescent="0.35">
      <c r="A7" t="s">
        <v>10</v>
      </c>
      <c r="B7" s="5">
        <v>120</v>
      </c>
      <c r="C7" t="s">
        <v>11</v>
      </c>
    </row>
    <row r="8" spans="1:3" x14ac:dyDescent="0.35">
      <c r="A8" t="s">
        <v>12</v>
      </c>
      <c r="B8" s="5">
        <v>3.4</v>
      </c>
      <c r="C8" t="s">
        <v>13</v>
      </c>
    </row>
    <row r="11" spans="1:3" x14ac:dyDescent="0.35">
      <c r="A11" s="3" t="s">
        <v>14</v>
      </c>
    </row>
    <row r="12" spans="1:3" x14ac:dyDescent="0.35">
      <c r="A12" s="8" t="s">
        <v>15</v>
      </c>
      <c r="B12" s="8"/>
      <c r="C12" s="8"/>
    </row>
    <row r="13" spans="1:3" x14ac:dyDescent="0.35">
      <c r="A13" s="8"/>
      <c r="B13" s="8"/>
      <c r="C13" s="8"/>
    </row>
    <row r="14" spans="1:3" x14ac:dyDescent="0.35">
      <c r="A14" s="8"/>
      <c r="B14" s="8"/>
      <c r="C14" s="8"/>
    </row>
  </sheetData>
  <mergeCells count="1">
    <mergeCell ref="A12:C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0CB2D-9587-4F7C-9DD3-2276D33AA854}">
  <dimension ref="A1:AB365"/>
  <sheetViews>
    <sheetView workbookViewId="0"/>
  </sheetViews>
  <sheetFormatPr defaultRowHeight="14.5" x14ac:dyDescent="0.35"/>
  <cols>
    <col min="1" max="1" width="11.36328125" bestFit="1" customWidth="1"/>
    <col min="2" max="2" width="17.81640625" bestFit="1" customWidth="1"/>
    <col min="3" max="3" width="17.36328125" bestFit="1" customWidth="1"/>
    <col min="4" max="4" width="23.1796875" bestFit="1" customWidth="1"/>
    <col min="5" max="5" width="13" bestFit="1" customWidth="1"/>
    <col min="6" max="6" width="21" bestFit="1" customWidth="1"/>
    <col min="7" max="7" width="12.81640625" bestFit="1" customWidth="1"/>
    <col min="8" max="8" width="12.54296875" bestFit="1" customWidth="1"/>
    <col min="9" max="9" width="11.453125" bestFit="1" customWidth="1"/>
    <col min="10" max="10" width="17.453125" bestFit="1" customWidth="1"/>
    <col min="11" max="11" width="12.1796875" bestFit="1" customWidth="1"/>
    <col min="12" max="12" width="14.36328125" bestFit="1" customWidth="1"/>
    <col min="13" max="13" width="8.90625" bestFit="1" customWidth="1"/>
    <col min="14" max="14" width="10.6328125" bestFit="1" customWidth="1"/>
    <col min="15" max="15" width="12.7265625" bestFit="1" customWidth="1"/>
    <col min="16" max="16" width="13.1796875" bestFit="1" customWidth="1"/>
    <col min="17" max="17" width="19.26953125" bestFit="1" customWidth="1"/>
    <col min="18" max="18" width="19.7265625" bestFit="1" customWidth="1"/>
    <col min="19" max="19" width="18.1796875" bestFit="1" customWidth="1"/>
    <col min="20" max="20" width="19.453125" bestFit="1" customWidth="1"/>
    <col min="21" max="21" width="18.54296875" bestFit="1" customWidth="1"/>
    <col min="22" max="22" width="18.81640625" bestFit="1" customWidth="1"/>
    <col min="23" max="23" width="17.7265625" bestFit="1" customWidth="1"/>
    <col min="24" max="24" width="19.90625" bestFit="1" customWidth="1"/>
    <col min="25" max="25" width="22.36328125" bestFit="1" customWidth="1"/>
    <col min="26" max="26" width="21.90625" bestFit="1" customWidth="1"/>
    <col min="27" max="27" width="32.54296875" bestFit="1" customWidth="1"/>
    <col min="28" max="28" width="15.453125" bestFit="1" customWidth="1"/>
  </cols>
  <sheetData>
    <row r="1" spans="1:28" s="3" customFormat="1" x14ac:dyDescent="0.35">
      <c r="A1" s="3" t="s">
        <v>16</v>
      </c>
      <c r="B1" s="3" t="s">
        <v>17</v>
      </c>
      <c r="C1" s="3" t="s">
        <v>18</v>
      </c>
      <c r="D1" s="3" t="s">
        <v>19</v>
      </c>
      <c r="E1" s="3" t="s">
        <v>20</v>
      </c>
      <c r="F1" s="3" t="s">
        <v>21</v>
      </c>
      <c r="G1" s="3" t="s">
        <v>22</v>
      </c>
      <c r="H1" s="3" t="s">
        <v>23</v>
      </c>
      <c r="I1" s="3" t="s">
        <v>24</v>
      </c>
      <c r="J1" s="3" t="s">
        <v>25</v>
      </c>
      <c r="K1" s="3" t="s">
        <v>26</v>
      </c>
      <c r="L1" s="3" t="s">
        <v>27</v>
      </c>
      <c r="M1" s="3" t="s">
        <v>28</v>
      </c>
      <c r="N1" s="3" t="s">
        <v>29</v>
      </c>
      <c r="O1" s="3" t="s">
        <v>30</v>
      </c>
      <c r="P1" s="3" t="s">
        <v>31</v>
      </c>
      <c r="Q1" s="3" t="s">
        <v>32</v>
      </c>
      <c r="R1" s="3" t="s">
        <v>33</v>
      </c>
      <c r="S1" s="3" t="s">
        <v>34</v>
      </c>
      <c r="T1" s="3" t="s">
        <v>35</v>
      </c>
      <c r="U1" s="3" t="s">
        <v>36</v>
      </c>
      <c r="V1" s="3" t="s">
        <v>37</v>
      </c>
      <c r="W1" s="3" t="s">
        <v>38</v>
      </c>
      <c r="X1" s="3" t="s">
        <v>39</v>
      </c>
      <c r="Y1" s="3" t="s">
        <v>40</v>
      </c>
      <c r="Z1" s="3" t="s">
        <v>41</v>
      </c>
      <c r="AA1" s="3" t="s">
        <v>42</v>
      </c>
      <c r="AB1" s="3" t="s">
        <v>43</v>
      </c>
    </row>
    <row r="2" spans="1:28" x14ac:dyDescent="0.35">
      <c r="A2">
        <v>392</v>
      </c>
      <c r="B2" s="9" t="s">
        <v>44</v>
      </c>
      <c r="C2" s="9" t="s">
        <v>45</v>
      </c>
      <c r="D2" s="9" t="s">
        <v>46</v>
      </c>
      <c r="E2" s="9" t="s">
        <v>47</v>
      </c>
      <c r="F2">
        <v>18</v>
      </c>
      <c r="G2" s="9" t="s">
        <v>48</v>
      </c>
      <c r="H2" s="9" t="s">
        <v>49</v>
      </c>
      <c r="I2" s="9" t="s">
        <v>50</v>
      </c>
      <c r="J2" s="9" t="s">
        <v>51</v>
      </c>
      <c r="K2">
        <v>2</v>
      </c>
      <c r="L2" s="6"/>
      <c r="M2">
        <v>85</v>
      </c>
      <c r="N2">
        <v>167</v>
      </c>
      <c r="O2">
        <v>139.7328</v>
      </c>
      <c r="P2">
        <v>308.19459999999998</v>
      </c>
      <c r="Q2">
        <v>150</v>
      </c>
      <c r="R2">
        <v>150</v>
      </c>
      <c r="S2">
        <v>93.16</v>
      </c>
      <c r="T2">
        <v>205.46</v>
      </c>
      <c r="U2">
        <v>0</v>
      </c>
      <c r="V2">
        <v>1</v>
      </c>
      <c r="W2">
        <v>1</v>
      </c>
      <c r="X2">
        <v>2.3105000000000002</v>
      </c>
      <c r="Y2">
        <v>-158.19460000000001</v>
      </c>
      <c r="Z2">
        <v>10.267200000000001</v>
      </c>
      <c r="AA2">
        <v>-68.47</v>
      </c>
      <c r="AB2" s="6"/>
    </row>
    <row r="3" spans="1:28" x14ac:dyDescent="0.35">
      <c r="A3">
        <v>209</v>
      </c>
      <c r="B3" s="9" t="s">
        <v>52</v>
      </c>
      <c r="C3" s="9" t="s">
        <v>53</v>
      </c>
      <c r="D3" s="9" t="s">
        <v>54</v>
      </c>
      <c r="E3" s="9" t="s">
        <v>47</v>
      </c>
      <c r="F3">
        <v>8</v>
      </c>
      <c r="G3" s="9" t="s">
        <v>55</v>
      </c>
      <c r="H3" s="9" t="s">
        <v>56</v>
      </c>
      <c r="I3" s="9" t="s">
        <v>57</v>
      </c>
      <c r="J3" s="9" t="s">
        <v>58</v>
      </c>
      <c r="K3">
        <v>1</v>
      </c>
      <c r="L3" s="6"/>
      <c r="M3">
        <v>71</v>
      </c>
      <c r="N3">
        <v>153</v>
      </c>
      <c r="O3">
        <v>121.5</v>
      </c>
      <c r="P3">
        <v>246.26519999999999</v>
      </c>
      <c r="Q3">
        <v>120</v>
      </c>
      <c r="R3">
        <v>120</v>
      </c>
      <c r="S3">
        <v>101.25</v>
      </c>
      <c r="T3">
        <v>205.22</v>
      </c>
      <c r="U3">
        <v>1</v>
      </c>
      <c r="V3">
        <v>1</v>
      </c>
      <c r="W3">
        <v>0</v>
      </c>
      <c r="X3">
        <v>1.9127000000000001</v>
      </c>
      <c r="Y3">
        <v>-126.26519999999999</v>
      </c>
      <c r="Z3">
        <v>-1.5</v>
      </c>
      <c r="AA3">
        <v>-66.010000000000005</v>
      </c>
      <c r="AB3" s="6"/>
    </row>
    <row r="4" spans="1:28" x14ac:dyDescent="0.35">
      <c r="A4">
        <v>981</v>
      </c>
      <c r="B4" s="9" t="s">
        <v>59</v>
      </c>
      <c r="C4" s="9" t="s">
        <v>53</v>
      </c>
      <c r="D4" s="9" t="s">
        <v>54</v>
      </c>
      <c r="E4" s="9" t="s">
        <v>47</v>
      </c>
      <c r="F4">
        <v>8</v>
      </c>
      <c r="G4" s="9" t="s">
        <v>60</v>
      </c>
      <c r="H4" s="9" t="s">
        <v>56</v>
      </c>
      <c r="I4" s="9" t="s">
        <v>50</v>
      </c>
      <c r="J4" s="9" t="s">
        <v>51</v>
      </c>
      <c r="K4">
        <v>1</v>
      </c>
      <c r="L4" s="6"/>
      <c r="M4">
        <v>67</v>
      </c>
      <c r="N4">
        <v>131</v>
      </c>
      <c r="O4">
        <v>111.8997</v>
      </c>
      <c r="P4">
        <v>244.57300000000001</v>
      </c>
      <c r="Q4">
        <v>120</v>
      </c>
      <c r="R4">
        <v>120</v>
      </c>
      <c r="S4">
        <v>93.25</v>
      </c>
      <c r="T4">
        <v>203.81</v>
      </c>
      <c r="U4">
        <v>0</v>
      </c>
      <c r="V4">
        <v>1</v>
      </c>
      <c r="W4">
        <v>1</v>
      </c>
      <c r="X4">
        <v>2.2582</v>
      </c>
      <c r="Y4">
        <v>-124.57299999999999</v>
      </c>
      <c r="Z4">
        <v>8.1003000000000007</v>
      </c>
      <c r="AA4">
        <v>-55.16</v>
      </c>
      <c r="AB4" s="6"/>
    </row>
    <row r="5" spans="1:28" x14ac:dyDescent="0.35">
      <c r="A5">
        <v>99</v>
      </c>
      <c r="B5" s="9" t="s">
        <v>61</v>
      </c>
      <c r="C5" s="9" t="s">
        <v>45</v>
      </c>
      <c r="D5" s="9" t="s">
        <v>46</v>
      </c>
      <c r="E5" s="9" t="s">
        <v>47</v>
      </c>
      <c r="F5">
        <v>18</v>
      </c>
      <c r="G5" s="9" t="s">
        <v>62</v>
      </c>
      <c r="H5" s="9" t="s">
        <v>56</v>
      </c>
      <c r="I5" s="9" t="s">
        <v>50</v>
      </c>
      <c r="J5" s="9" t="s">
        <v>51</v>
      </c>
      <c r="K5">
        <v>1</v>
      </c>
      <c r="L5" s="6"/>
      <c r="M5">
        <v>81</v>
      </c>
      <c r="N5">
        <v>139</v>
      </c>
      <c r="O5">
        <v>133.01669999999999</v>
      </c>
      <c r="P5">
        <v>302.82060000000001</v>
      </c>
      <c r="Q5">
        <v>150</v>
      </c>
      <c r="R5">
        <v>150</v>
      </c>
      <c r="S5">
        <v>88.68</v>
      </c>
      <c r="T5">
        <v>201.88</v>
      </c>
      <c r="U5">
        <v>0</v>
      </c>
      <c r="V5">
        <v>1</v>
      </c>
      <c r="W5">
        <v>1</v>
      </c>
      <c r="X5">
        <v>2.2806999999999999</v>
      </c>
      <c r="Y5">
        <v>-152.82060000000001</v>
      </c>
      <c r="Z5">
        <v>16.9833</v>
      </c>
      <c r="AA5">
        <v>-67.010000000000005</v>
      </c>
      <c r="AB5" s="6"/>
    </row>
    <row r="6" spans="1:28" x14ac:dyDescent="0.35">
      <c r="A6">
        <v>372</v>
      </c>
      <c r="B6" s="9" t="s">
        <v>63</v>
      </c>
      <c r="C6" s="9" t="s">
        <v>64</v>
      </c>
      <c r="D6" s="9" t="s">
        <v>65</v>
      </c>
      <c r="E6" s="9" t="s">
        <v>47</v>
      </c>
      <c r="F6">
        <v>12</v>
      </c>
      <c r="G6" s="9" t="s">
        <v>48</v>
      </c>
      <c r="H6" s="9" t="s">
        <v>49</v>
      </c>
      <c r="I6" s="9" t="s">
        <v>50</v>
      </c>
      <c r="J6" s="9" t="s">
        <v>51</v>
      </c>
      <c r="K6">
        <v>2</v>
      </c>
      <c r="L6" s="6"/>
      <c r="M6">
        <v>111</v>
      </c>
      <c r="N6">
        <v>221</v>
      </c>
      <c r="O6">
        <v>186.2996</v>
      </c>
      <c r="P6">
        <v>402.1619</v>
      </c>
      <c r="Q6">
        <v>200</v>
      </c>
      <c r="R6">
        <v>200</v>
      </c>
      <c r="S6">
        <v>93.15</v>
      </c>
      <c r="T6">
        <v>201.08</v>
      </c>
      <c r="U6">
        <v>0</v>
      </c>
      <c r="V6">
        <v>1</v>
      </c>
      <c r="W6">
        <v>1</v>
      </c>
      <c r="X6">
        <v>2.3105000000000002</v>
      </c>
      <c r="Y6">
        <v>-202.1619</v>
      </c>
      <c r="Z6">
        <v>13.7004</v>
      </c>
      <c r="AA6">
        <v>-87.5</v>
      </c>
      <c r="AB6" s="6"/>
    </row>
    <row r="7" spans="1:28" x14ac:dyDescent="0.35">
      <c r="A7">
        <v>1503</v>
      </c>
      <c r="B7" s="9" t="s">
        <v>66</v>
      </c>
      <c r="C7" s="9" t="s">
        <v>45</v>
      </c>
      <c r="D7" s="9" t="s">
        <v>46</v>
      </c>
      <c r="E7" s="9" t="s">
        <v>47</v>
      </c>
      <c r="F7">
        <v>18</v>
      </c>
      <c r="G7" s="9" t="s">
        <v>67</v>
      </c>
      <c r="H7" s="9" t="s">
        <v>56</v>
      </c>
      <c r="I7" s="9" t="s">
        <v>57</v>
      </c>
      <c r="J7" s="9" t="s">
        <v>58</v>
      </c>
      <c r="K7">
        <v>4</v>
      </c>
      <c r="L7" s="6"/>
      <c r="M7">
        <v>85</v>
      </c>
      <c r="N7">
        <v>262</v>
      </c>
      <c r="O7">
        <v>147.0335</v>
      </c>
      <c r="P7">
        <v>299.8295</v>
      </c>
      <c r="Q7">
        <v>150</v>
      </c>
      <c r="R7">
        <v>150</v>
      </c>
      <c r="S7">
        <v>98.02</v>
      </c>
      <c r="T7">
        <v>199.89</v>
      </c>
      <c r="U7">
        <v>0</v>
      </c>
      <c r="V7">
        <v>1</v>
      </c>
      <c r="W7">
        <v>1</v>
      </c>
      <c r="X7">
        <v>1.9626999999999999</v>
      </c>
      <c r="Y7">
        <v>-149.8295</v>
      </c>
      <c r="Z7">
        <v>2.9664999999999999</v>
      </c>
      <c r="AA7">
        <v>-76.34</v>
      </c>
      <c r="AB7" s="6"/>
    </row>
    <row r="8" spans="1:28" x14ac:dyDescent="0.35">
      <c r="A8">
        <v>1336</v>
      </c>
      <c r="B8" s="9" t="s">
        <v>68</v>
      </c>
      <c r="C8" s="9" t="s">
        <v>69</v>
      </c>
      <c r="D8" s="9" t="s">
        <v>70</v>
      </c>
      <c r="E8" s="9" t="s">
        <v>71</v>
      </c>
      <c r="F8">
        <v>24</v>
      </c>
      <c r="G8" s="9" t="s">
        <v>72</v>
      </c>
      <c r="H8" s="9" t="s">
        <v>56</v>
      </c>
      <c r="I8" s="9" t="s">
        <v>50</v>
      </c>
      <c r="J8" s="9" t="s">
        <v>51</v>
      </c>
      <c r="K8">
        <v>1</v>
      </c>
      <c r="L8" s="6"/>
      <c r="M8">
        <v>162</v>
      </c>
      <c r="N8">
        <v>287</v>
      </c>
      <c r="O8">
        <v>282.05</v>
      </c>
      <c r="P8">
        <v>588.2364</v>
      </c>
      <c r="Q8">
        <v>300</v>
      </c>
      <c r="R8">
        <v>300</v>
      </c>
      <c r="S8">
        <v>94.02</v>
      </c>
      <c r="T8">
        <v>196.08</v>
      </c>
      <c r="U8">
        <v>0</v>
      </c>
      <c r="V8">
        <v>1</v>
      </c>
      <c r="W8">
        <v>1</v>
      </c>
      <c r="X8">
        <v>1.9079999999999999</v>
      </c>
      <c r="Y8">
        <v>-288.2364</v>
      </c>
      <c r="Z8">
        <v>17.95</v>
      </c>
      <c r="AA8">
        <v>-151.07</v>
      </c>
      <c r="AB8" s="6"/>
    </row>
    <row r="9" spans="1:28" x14ac:dyDescent="0.35">
      <c r="A9">
        <v>215</v>
      </c>
      <c r="B9" s="9" t="s">
        <v>73</v>
      </c>
      <c r="C9" s="9" t="s">
        <v>53</v>
      </c>
      <c r="D9" s="9" t="s">
        <v>54</v>
      </c>
      <c r="E9" s="9" t="s">
        <v>47</v>
      </c>
      <c r="F9">
        <v>8</v>
      </c>
      <c r="G9" s="9" t="s">
        <v>55</v>
      </c>
      <c r="H9" s="9" t="s">
        <v>56</v>
      </c>
      <c r="I9" s="9" t="s">
        <v>57</v>
      </c>
      <c r="J9" s="9" t="s">
        <v>58</v>
      </c>
      <c r="K9">
        <v>2</v>
      </c>
      <c r="L9" s="6"/>
      <c r="M9">
        <v>69</v>
      </c>
      <c r="N9">
        <v>150</v>
      </c>
      <c r="O9">
        <v>116.61660000000001</v>
      </c>
      <c r="P9">
        <v>235.2122</v>
      </c>
      <c r="Q9">
        <v>120</v>
      </c>
      <c r="R9">
        <v>120</v>
      </c>
      <c r="S9">
        <v>97.18</v>
      </c>
      <c r="T9">
        <v>196.01</v>
      </c>
      <c r="U9">
        <v>0</v>
      </c>
      <c r="V9">
        <v>1</v>
      </c>
      <c r="W9">
        <v>1</v>
      </c>
      <c r="X9">
        <v>1.9127000000000001</v>
      </c>
      <c r="Y9">
        <v>-115.2122</v>
      </c>
      <c r="Z9">
        <v>3.3834</v>
      </c>
      <c r="AA9">
        <v>-60.24</v>
      </c>
      <c r="AB9" s="6"/>
    </row>
    <row r="10" spans="1:28" x14ac:dyDescent="0.35">
      <c r="A10">
        <v>352</v>
      </c>
      <c r="B10" s="9" t="s">
        <v>74</v>
      </c>
      <c r="C10" s="9" t="s">
        <v>53</v>
      </c>
      <c r="D10" s="9" t="s">
        <v>54</v>
      </c>
      <c r="E10" s="9" t="s">
        <v>47</v>
      </c>
      <c r="F10">
        <v>8</v>
      </c>
      <c r="G10" s="9" t="s">
        <v>48</v>
      </c>
      <c r="H10" s="9" t="s">
        <v>49</v>
      </c>
      <c r="I10" s="9" t="s">
        <v>50</v>
      </c>
      <c r="J10" s="9" t="s">
        <v>51</v>
      </c>
      <c r="K10">
        <v>1</v>
      </c>
      <c r="L10" s="6"/>
      <c r="M10">
        <v>63</v>
      </c>
      <c r="N10">
        <v>121</v>
      </c>
      <c r="O10">
        <v>104.833</v>
      </c>
      <c r="P10">
        <v>233.09809999999999</v>
      </c>
      <c r="Q10">
        <v>120</v>
      </c>
      <c r="R10">
        <v>120</v>
      </c>
      <c r="S10">
        <v>87.36</v>
      </c>
      <c r="T10">
        <v>194.25</v>
      </c>
      <c r="U10">
        <v>0</v>
      </c>
      <c r="V10">
        <v>1</v>
      </c>
      <c r="W10">
        <v>1</v>
      </c>
      <c r="X10">
        <v>2.3105000000000002</v>
      </c>
      <c r="Y10">
        <v>-113.0981</v>
      </c>
      <c r="Z10">
        <v>15.167</v>
      </c>
      <c r="AA10">
        <v>-48.95</v>
      </c>
      <c r="AB10" s="6"/>
    </row>
    <row r="11" spans="1:28" x14ac:dyDescent="0.35">
      <c r="A11">
        <v>262</v>
      </c>
      <c r="B11" s="9" t="s">
        <v>75</v>
      </c>
      <c r="C11" s="9" t="s">
        <v>45</v>
      </c>
      <c r="D11" s="9" t="s">
        <v>46</v>
      </c>
      <c r="E11" s="9" t="s">
        <v>47</v>
      </c>
      <c r="F11">
        <v>18</v>
      </c>
      <c r="G11" s="9" t="s">
        <v>55</v>
      </c>
      <c r="H11" s="9" t="s">
        <v>56</v>
      </c>
      <c r="I11" s="9" t="s">
        <v>57</v>
      </c>
      <c r="J11" s="9" t="s">
        <v>58</v>
      </c>
      <c r="K11">
        <v>4</v>
      </c>
      <c r="L11" s="6"/>
      <c r="M11">
        <v>82</v>
      </c>
      <c r="N11">
        <v>177</v>
      </c>
      <c r="O11">
        <v>140.73320000000001</v>
      </c>
      <c r="P11">
        <v>284.23169999999999</v>
      </c>
      <c r="Q11">
        <v>150</v>
      </c>
      <c r="R11">
        <v>150</v>
      </c>
      <c r="S11">
        <v>93.82</v>
      </c>
      <c r="T11">
        <v>189.49</v>
      </c>
      <c r="U11">
        <v>0</v>
      </c>
      <c r="V11">
        <v>1</v>
      </c>
      <c r="W11">
        <v>1</v>
      </c>
      <c r="X11">
        <v>1.9127000000000001</v>
      </c>
      <c r="Y11">
        <v>-134.23169999999999</v>
      </c>
      <c r="Z11">
        <v>9.2667999999999999</v>
      </c>
      <c r="AA11">
        <v>-70.180000000000007</v>
      </c>
      <c r="AB11" s="6"/>
    </row>
    <row r="12" spans="1:28" x14ac:dyDescent="0.35">
      <c r="A12">
        <v>903</v>
      </c>
      <c r="B12" s="9" t="s">
        <v>76</v>
      </c>
      <c r="C12" s="9" t="s">
        <v>45</v>
      </c>
      <c r="D12" s="9" t="s">
        <v>46</v>
      </c>
      <c r="E12" s="9" t="s">
        <v>47</v>
      </c>
      <c r="F12">
        <v>18</v>
      </c>
      <c r="G12" s="9" t="s">
        <v>77</v>
      </c>
      <c r="H12" s="9" t="s">
        <v>49</v>
      </c>
      <c r="I12" s="9" t="s">
        <v>50</v>
      </c>
      <c r="J12" s="9" t="s">
        <v>51</v>
      </c>
      <c r="K12">
        <v>3</v>
      </c>
      <c r="L12" s="6"/>
      <c r="M12">
        <v>79</v>
      </c>
      <c r="N12">
        <v>146</v>
      </c>
      <c r="O12">
        <v>131.1003</v>
      </c>
      <c r="P12">
        <v>281.81720000000001</v>
      </c>
      <c r="Q12">
        <v>150</v>
      </c>
      <c r="R12">
        <v>150</v>
      </c>
      <c r="S12">
        <v>87.4</v>
      </c>
      <c r="T12">
        <v>187.88</v>
      </c>
      <c r="U12">
        <v>0</v>
      </c>
      <c r="V12">
        <v>1</v>
      </c>
      <c r="W12">
        <v>1</v>
      </c>
      <c r="X12">
        <v>2.1968999999999999</v>
      </c>
      <c r="Y12">
        <v>-131.81720000000001</v>
      </c>
      <c r="Z12">
        <v>18.899699999999999</v>
      </c>
      <c r="AA12">
        <v>-60</v>
      </c>
      <c r="AB12" s="6"/>
    </row>
    <row r="13" spans="1:28" x14ac:dyDescent="0.35">
      <c r="A13">
        <v>1227</v>
      </c>
      <c r="B13" s="9" t="s">
        <v>78</v>
      </c>
      <c r="C13" s="9" t="s">
        <v>53</v>
      </c>
      <c r="D13" s="9" t="s">
        <v>54</v>
      </c>
      <c r="E13" s="9" t="s">
        <v>47</v>
      </c>
      <c r="F13">
        <v>8</v>
      </c>
      <c r="G13" s="9" t="s">
        <v>79</v>
      </c>
      <c r="H13" s="9" t="s">
        <v>56</v>
      </c>
      <c r="I13" s="9" t="s">
        <v>50</v>
      </c>
      <c r="J13" s="9" t="s">
        <v>51</v>
      </c>
      <c r="K13">
        <v>1</v>
      </c>
      <c r="L13" s="6"/>
      <c r="M13">
        <v>60</v>
      </c>
      <c r="N13">
        <v>114</v>
      </c>
      <c r="O13">
        <v>102.7169</v>
      </c>
      <c r="P13">
        <v>223.43709999999999</v>
      </c>
      <c r="Q13">
        <v>120</v>
      </c>
      <c r="R13">
        <v>120</v>
      </c>
      <c r="S13">
        <v>85.6</v>
      </c>
      <c r="T13">
        <v>186.2</v>
      </c>
      <c r="U13">
        <v>0</v>
      </c>
      <c r="V13">
        <v>1</v>
      </c>
      <c r="W13">
        <v>1</v>
      </c>
      <c r="X13">
        <v>2.1718000000000002</v>
      </c>
      <c r="Y13">
        <v>-103.4371</v>
      </c>
      <c r="Z13">
        <v>17.283100000000001</v>
      </c>
      <c r="AA13">
        <v>-47.63</v>
      </c>
      <c r="AB13" s="6"/>
    </row>
    <row r="14" spans="1:28" x14ac:dyDescent="0.35">
      <c r="A14">
        <v>687</v>
      </c>
      <c r="B14" s="9" t="s">
        <v>80</v>
      </c>
      <c r="C14" s="9" t="s">
        <v>45</v>
      </c>
      <c r="D14" s="9" t="s">
        <v>46</v>
      </c>
      <c r="E14" s="9" t="s">
        <v>47</v>
      </c>
      <c r="F14">
        <v>18</v>
      </c>
      <c r="G14" s="9" t="s">
        <v>81</v>
      </c>
      <c r="H14" s="9" t="s">
        <v>82</v>
      </c>
      <c r="I14" s="9" t="s">
        <v>57</v>
      </c>
      <c r="J14" s="9" t="s">
        <v>58</v>
      </c>
      <c r="K14">
        <v>3</v>
      </c>
      <c r="L14" s="6"/>
      <c r="M14">
        <v>81</v>
      </c>
      <c r="N14">
        <v>212</v>
      </c>
      <c r="O14">
        <v>139.44999999999999</v>
      </c>
      <c r="P14">
        <v>276.69850000000002</v>
      </c>
      <c r="Q14">
        <v>150</v>
      </c>
      <c r="R14">
        <v>150</v>
      </c>
      <c r="S14">
        <v>92.97</v>
      </c>
      <c r="T14">
        <v>184.47</v>
      </c>
      <c r="U14">
        <v>0</v>
      </c>
      <c r="V14">
        <v>1</v>
      </c>
      <c r="W14">
        <v>1</v>
      </c>
      <c r="X14">
        <v>1.8671</v>
      </c>
      <c r="Y14">
        <v>-126.6985</v>
      </c>
      <c r="Z14">
        <v>10.55</v>
      </c>
      <c r="AA14">
        <v>-67.86</v>
      </c>
      <c r="AB14" s="6"/>
    </row>
    <row r="15" spans="1:28" x14ac:dyDescent="0.35">
      <c r="A15">
        <v>986</v>
      </c>
      <c r="B15" s="9" t="s">
        <v>83</v>
      </c>
      <c r="C15" s="9" t="s">
        <v>53</v>
      </c>
      <c r="D15" s="9" t="s">
        <v>54</v>
      </c>
      <c r="E15" s="9" t="s">
        <v>47</v>
      </c>
      <c r="F15">
        <v>8</v>
      </c>
      <c r="G15" s="9" t="s">
        <v>60</v>
      </c>
      <c r="H15" s="9" t="s">
        <v>56</v>
      </c>
      <c r="I15" s="9" t="s">
        <v>50</v>
      </c>
      <c r="J15" s="9" t="s">
        <v>51</v>
      </c>
      <c r="K15">
        <v>2</v>
      </c>
      <c r="L15" s="6"/>
      <c r="M15">
        <v>60</v>
      </c>
      <c r="N15">
        <v>115</v>
      </c>
      <c r="O15">
        <v>100.4331</v>
      </c>
      <c r="P15">
        <v>217.02879999999999</v>
      </c>
      <c r="Q15">
        <v>120</v>
      </c>
      <c r="R15">
        <v>120</v>
      </c>
      <c r="S15">
        <v>83.69</v>
      </c>
      <c r="T15">
        <v>180.86</v>
      </c>
      <c r="U15">
        <v>0</v>
      </c>
      <c r="V15">
        <v>1</v>
      </c>
      <c r="W15">
        <v>1</v>
      </c>
      <c r="X15">
        <v>2.2582</v>
      </c>
      <c r="Y15">
        <v>-97.028800000000004</v>
      </c>
      <c r="Z15">
        <v>19.5669</v>
      </c>
      <c r="AA15">
        <v>-42.97</v>
      </c>
      <c r="AB15" s="6"/>
    </row>
    <row r="16" spans="1:28" x14ac:dyDescent="0.35">
      <c r="A16">
        <v>1018</v>
      </c>
      <c r="B16" s="9" t="s">
        <v>84</v>
      </c>
      <c r="C16" s="9" t="s">
        <v>45</v>
      </c>
      <c r="D16" s="9" t="s">
        <v>46</v>
      </c>
      <c r="E16" s="9" t="s">
        <v>47</v>
      </c>
      <c r="F16">
        <v>18</v>
      </c>
      <c r="G16" s="9" t="s">
        <v>60</v>
      </c>
      <c r="H16" s="9" t="s">
        <v>56</v>
      </c>
      <c r="I16" s="9" t="s">
        <v>50</v>
      </c>
      <c r="J16" s="9" t="s">
        <v>51</v>
      </c>
      <c r="K16">
        <v>2</v>
      </c>
      <c r="L16" s="6"/>
      <c r="M16">
        <v>74</v>
      </c>
      <c r="N16">
        <v>147</v>
      </c>
      <c r="O16">
        <v>126.0496</v>
      </c>
      <c r="P16">
        <v>267.98239999999998</v>
      </c>
      <c r="Q16">
        <v>150</v>
      </c>
      <c r="R16">
        <v>150</v>
      </c>
      <c r="S16">
        <v>84.03</v>
      </c>
      <c r="T16">
        <v>178.65</v>
      </c>
      <c r="U16">
        <v>0</v>
      </c>
      <c r="V16">
        <v>1</v>
      </c>
      <c r="W16">
        <v>1</v>
      </c>
      <c r="X16">
        <v>2.2582</v>
      </c>
      <c r="Y16">
        <v>-117.9824</v>
      </c>
      <c r="Z16">
        <v>23.950399999999998</v>
      </c>
      <c r="AA16">
        <v>-52.25</v>
      </c>
      <c r="AB16" s="6"/>
    </row>
    <row r="17" spans="1:28" x14ac:dyDescent="0.35">
      <c r="A17">
        <v>1029</v>
      </c>
      <c r="B17" s="9" t="s">
        <v>85</v>
      </c>
      <c r="C17" s="9" t="s">
        <v>86</v>
      </c>
      <c r="D17" s="9" t="s">
        <v>87</v>
      </c>
      <c r="E17" s="9" t="s">
        <v>71</v>
      </c>
      <c r="F17">
        <v>6</v>
      </c>
      <c r="G17" s="9" t="s">
        <v>88</v>
      </c>
      <c r="H17" s="9" t="s">
        <v>56</v>
      </c>
      <c r="I17" s="9" t="s">
        <v>89</v>
      </c>
      <c r="J17" s="9" t="s">
        <v>90</v>
      </c>
      <c r="K17">
        <v>1</v>
      </c>
      <c r="L17" s="6"/>
      <c r="M17">
        <v>382</v>
      </c>
      <c r="N17">
        <v>3076</v>
      </c>
      <c r="O17">
        <v>380.19990000000001</v>
      </c>
      <c r="P17">
        <v>712.3306</v>
      </c>
      <c r="Q17">
        <v>400</v>
      </c>
      <c r="R17">
        <v>400</v>
      </c>
      <c r="S17">
        <v>95.05</v>
      </c>
      <c r="T17">
        <v>178.08</v>
      </c>
      <c r="U17">
        <v>0</v>
      </c>
      <c r="V17">
        <v>1</v>
      </c>
      <c r="W17">
        <v>1</v>
      </c>
      <c r="X17">
        <v>1.9149</v>
      </c>
      <c r="Y17">
        <v>-312.3306</v>
      </c>
      <c r="Z17">
        <v>19.8001</v>
      </c>
      <c r="AA17">
        <v>-163.11000000000001</v>
      </c>
      <c r="AB17" s="6"/>
    </row>
    <row r="18" spans="1:28" x14ac:dyDescent="0.35">
      <c r="A18">
        <v>358</v>
      </c>
      <c r="B18" s="9" t="s">
        <v>91</v>
      </c>
      <c r="C18" s="9" t="s">
        <v>53</v>
      </c>
      <c r="D18" s="9" t="s">
        <v>54</v>
      </c>
      <c r="E18" s="9" t="s">
        <v>47</v>
      </c>
      <c r="F18">
        <v>8</v>
      </c>
      <c r="G18" s="9" t="s">
        <v>48</v>
      </c>
      <c r="H18" s="9" t="s">
        <v>49</v>
      </c>
      <c r="I18" s="9" t="s">
        <v>50</v>
      </c>
      <c r="J18" s="9" t="s">
        <v>51</v>
      </c>
      <c r="K18">
        <v>2</v>
      </c>
      <c r="L18" s="6"/>
      <c r="M18">
        <v>59</v>
      </c>
      <c r="N18">
        <v>115</v>
      </c>
      <c r="O18">
        <v>96.649699999999996</v>
      </c>
      <c r="P18">
        <v>213.17949999999999</v>
      </c>
      <c r="Q18">
        <v>120</v>
      </c>
      <c r="R18">
        <v>120</v>
      </c>
      <c r="S18">
        <v>80.540000000000006</v>
      </c>
      <c r="T18">
        <v>177.65</v>
      </c>
      <c r="U18">
        <v>0</v>
      </c>
      <c r="V18">
        <v>1</v>
      </c>
      <c r="W18">
        <v>1</v>
      </c>
      <c r="X18">
        <v>2.3105000000000002</v>
      </c>
      <c r="Y18">
        <v>-93.179500000000004</v>
      </c>
      <c r="Z18">
        <v>23.350300000000001</v>
      </c>
      <c r="AA18">
        <v>-40.33</v>
      </c>
      <c r="AB18" s="6"/>
    </row>
    <row r="19" spans="1:28" x14ac:dyDescent="0.35">
      <c r="A19">
        <v>339</v>
      </c>
      <c r="B19" s="9" t="s">
        <v>92</v>
      </c>
      <c r="C19" s="9" t="s">
        <v>45</v>
      </c>
      <c r="D19" s="9" t="s">
        <v>46</v>
      </c>
      <c r="E19" s="9" t="s">
        <v>47</v>
      </c>
      <c r="F19">
        <v>18</v>
      </c>
      <c r="G19" s="9" t="s">
        <v>93</v>
      </c>
      <c r="H19" s="9" t="s">
        <v>49</v>
      </c>
      <c r="I19" s="9" t="s">
        <v>89</v>
      </c>
      <c r="J19" s="9" t="s">
        <v>90</v>
      </c>
      <c r="K19">
        <v>2</v>
      </c>
      <c r="L19" s="6"/>
      <c r="M19">
        <v>145</v>
      </c>
      <c r="N19">
        <v>1134</v>
      </c>
      <c r="O19">
        <v>143.2165</v>
      </c>
      <c r="P19">
        <v>266.14670000000001</v>
      </c>
      <c r="Q19">
        <v>150</v>
      </c>
      <c r="R19">
        <v>150</v>
      </c>
      <c r="S19">
        <v>95.48</v>
      </c>
      <c r="T19">
        <v>177.43</v>
      </c>
      <c r="U19">
        <v>0</v>
      </c>
      <c r="V19">
        <v>1</v>
      </c>
      <c r="W19">
        <v>1</v>
      </c>
      <c r="X19">
        <v>1.7137</v>
      </c>
      <c r="Y19">
        <v>-116.1467</v>
      </c>
      <c r="Z19">
        <v>6.7835000000000001</v>
      </c>
      <c r="AA19">
        <v>-67.78</v>
      </c>
      <c r="AB19" s="6"/>
    </row>
    <row r="20" spans="1:28" x14ac:dyDescent="0.35">
      <c r="A20">
        <v>722</v>
      </c>
      <c r="B20" s="9" t="s">
        <v>94</v>
      </c>
      <c r="C20" s="9" t="s">
        <v>64</v>
      </c>
      <c r="D20" s="9" t="s">
        <v>65</v>
      </c>
      <c r="E20" s="9" t="s">
        <v>47</v>
      </c>
      <c r="F20">
        <v>12</v>
      </c>
      <c r="G20" s="9" t="s">
        <v>95</v>
      </c>
      <c r="H20" s="9" t="s">
        <v>49</v>
      </c>
      <c r="I20" s="9" t="s">
        <v>57</v>
      </c>
      <c r="J20" s="9" t="s">
        <v>58</v>
      </c>
      <c r="K20">
        <v>2</v>
      </c>
      <c r="L20" s="6"/>
      <c r="M20">
        <v>97</v>
      </c>
      <c r="N20">
        <v>205</v>
      </c>
      <c r="O20">
        <v>177.58320000000001</v>
      </c>
      <c r="P20">
        <v>348.35930000000002</v>
      </c>
      <c r="Q20">
        <v>200</v>
      </c>
      <c r="R20">
        <v>200</v>
      </c>
      <c r="S20">
        <v>88.79</v>
      </c>
      <c r="T20">
        <v>174.18</v>
      </c>
      <c r="U20">
        <v>0</v>
      </c>
      <c r="V20">
        <v>1</v>
      </c>
      <c r="W20">
        <v>1</v>
      </c>
      <c r="X20">
        <v>1.9216</v>
      </c>
      <c r="Y20">
        <v>-148.35929999999999</v>
      </c>
      <c r="Z20">
        <v>22.416799999999999</v>
      </c>
      <c r="AA20">
        <v>-77.209999999999994</v>
      </c>
      <c r="AB20" s="6"/>
    </row>
    <row r="21" spans="1:28" x14ac:dyDescent="0.35">
      <c r="A21">
        <v>521</v>
      </c>
      <c r="B21" s="9" t="s">
        <v>96</v>
      </c>
      <c r="C21" s="9" t="s">
        <v>69</v>
      </c>
      <c r="D21" s="9" t="s">
        <v>70</v>
      </c>
      <c r="E21" s="9" t="s">
        <v>71</v>
      </c>
      <c r="F21">
        <v>24</v>
      </c>
      <c r="G21" s="9" t="s">
        <v>97</v>
      </c>
      <c r="H21" s="9" t="s">
        <v>49</v>
      </c>
      <c r="I21" s="9" t="s">
        <v>50</v>
      </c>
      <c r="J21" s="9" t="s">
        <v>51</v>
      </c>
      <c r="K21">
        <v>1</v>
      </c>
      <c r="L21" s="6"/>
      <c r="M21">
        <v>142</v>
      </c>
      <c r="N21">
        <v>278</v>
      </c>
      <c r="O21">
        <v>242.0667</v>
      </c>
      <c r="P21">
        <v>516.54859999999996</v>
      </c>
      <c r="Q21">
        <v>300</v>
      </c>
      <c r="R21">
        <v>300</v>
      </c>
      <c r="S21">
        <v>80.69</v>
      </c>
      <c r="T21">
        <v>172.18</v>
      </c>
      <c r="U21">
        <v>0</v>
      </c>
      <c r="V21">
        <v>1</v>
      </c>
      <c r="W21">
        <v>1</v>
      </c>
      <c r="X21">
        <v>2.1760999999999999</v>
      </c>
      <c r="Y21">
        <v>-216.54859999999999</v>
      </c>
      <c r="Z21">
        <v>57.933300000000003</v>
      </c>
      <c r="AA21">
        <v>-99.51</v>
      </c>
      <c r="AB21" s="6"/>
    </row>
    <row r="22" spans="1:28" x14ac:dyDescent="0.35">
      <c r="A22">
        <v>23</v>
      </c>
      <c r="B22" s="9" t="s">
        <v>98</v>
      </c>
      <c r="C22" s="9" t="s">
        <v>64</v>
      </c>
      <c r="D22" s="9" t="s">
        <v>65</v>
      </c>
      <c r="E22" s="9" t="s">
        <v>47</v>
      </c>
      <c r="F22">
        <v>12</v>
      </c>
      <c r="G22" s="9" t="s">
        <v>99</v>
      </c>
      <c r="H22" s="9" t="s">
        <v>56</v>
      </c>
      <c r="I22" s="9" t="s">
        <v>57</v>
      </c>
      <c r="J22" s="9" t="s">
        <v>58</v>
      </c>
      <c r="K22">
        <v>1</v>
      </c>
      <c r="L22" s="6"/>
      <c r="M22">
        <v>102</v>
      </c>
      <c r="N22">
        <v>245</v>
      </c>
      <c r="O22">
        <v>171.01730000000001</v>
      </c>
      <c r="P22">
        <v>343.04809999999998</v>
      </c>
      <c r="Q22">
        <v>200</v>
      </c>
      <c r="R22">
        <v>200</v>
      </c>
      <c r="S22">
        <v>85.51</v>
      </c>
      <c r="T22">
        <v>171.52</v>
      </c>
      <c r="U22">
        <v>0</v>
      </c>
      <c r="V22">
        <v>1</v>
      </c>
      <c r="W22">
        <v>1</v>
      </c>
      <c r="X22">
        <v>2.0638000000000001</v>
      </c>
      <c r="Y22">
        <v>-143.04810000000001</v>
      </c>
      <c r="Z22">
        <v>28.982700000000001</v>
      </c>
      <c r="AA22">
        <v>-69.31</v>
      </c>
      <c r="AB22" s="6"/>
    </row>
    <row r="23" spans="1:28" x14ac:dyDescent="0.35">
      <c r="A23">
        <v>26</v>
      </c>
      <c r="B23" s="9" t="s">
        <v>100</v>
      </c>
      <c r="C23" s="9" t="s">
        <v>64</v>
      </c>
      <c r="D23" s="9" t="s">
        <v>65</v>
      </c>
      <c r="E23" s="9" t="s">
        <v>47</v>
      </c>
      <c r="F23">
        <v>12</v>
      </c>
      <c r="G23" s="9" t="s">
        <v>99</v>
      </c>
      <c r="H23" s="9" t="s">
        <v>56</v>
      </c>
      <c r="I23" s="9" t="s">
        <v>57</v>
      </c>
      <c r="J23" s="9" t="s">
        <v>58</v>
      </c>
      <c r="K23">
        <v>2</v>
      </c>
      <c r="L23" s="6"/>
      <c r="M23">
        <v>102</v>
      </c>
      <c r="N23">
        <v>245</v>
      </c>
      <c r="O23">
        <v>171.01730000000001</v>
      </c>
      <c r="P23">
        <v>343.04809999999998</v>
      </c>
      <c r="Q23">
        <v>200</v>
      </c>
      <c r="R23">
        <v>200</v>
      </c>
      <c r="S23">
        <v>85.51</v>
      </c>
      <c r="T23">
        <v>171.52</v>
      </c>
      <c r="U23">
        <v>0</v>
      </c>
      <c r="V23">
        <v>1</v>
      </c>
      <c r="W23">
        <v>1</v>
      </c>
      <c r="X23">
        <v>2.0638000000000001</v>
      </c>
      <c r="Y23">
        <v>-143.04810000000001</v>
      </c>
      <c r="Z23">
        <v>28.982700000000001</v>
      </c>
      <c r="AA23">
        <v>-69.31</v>
      </c>
      <c r="AB23" s="6"/>
    </row>
    <row r="24" spans="1:28" x14ac:dyDescent="0.35">
      <c r="A24">
        <v>85</v>
      </c>
      <c r="B24" s="9" t="s">
        <v>101</v>
      </c>
      <c r="C24" s="9" t="s">
        <v>64</v>
      </c>
      <c r="D24" s="9" t="s">
        <v>65</v>
      </c>
      <c r="E24" s="9" t="s">
        <v>47</v>
      </c>
      <c r="F24">
        <v>12</v>
      </c>
      <c r="G24" s="9" t="s">
        <v>62</v>
      </c>
      <c r="H24" s="9" t="s">
        <v>56</v>
      </c>
      <c r="I24" s="9" t="s">
        <v>50</v>
      </c>
      <c r="J24" s="9" t="s">
        <v>51</v>
      </c>
      <c r="K24">
        <v>2</v>
      </c>
      <c r="L24" s="6"/>
      <c r="M24">
        <v>90</v>
      </c>
      <c r="N24">
        <v>158</v>
      </c>
      <c r="O24">
        <v>150.20009999999999</v>
      </c>
      <c r="P24">
        <v>341.80810000000002</v>
      </c>
      <c r="Q24">
        <v>200</v>
      </c>
      <c r="R24">
        <v>200</v>
      </c>
      <c r="S24">
        <v>75.099999999999994</v>
      </c>
      <c r="T24">
        <v>170.9</v>
      </c>
      <c r="U24">
        <v>0</v>
      </c>
      <c r="V24">
        <v>1</v>
      </c>
      <c r="W24">
        <v>1</v>
      </c>
      <c r="X24">
        <v>2.2806999999999999</v>
      </c>
      <c r="Y24">
        <v>-141.8081</v>
      </c>
      <c r="Z24">
        <v>49.799900000000001</v>
      </c>
      <c r="AA24">
        <v>-62.18</v>
      </c>
      <c r="AB24" s="6"/>
    </row>
    <row r="25" spans="1:28" x14ac:dyDescent="0.35">
      <c r="A25">
        <v>1044</v>
      </c>
      <c r="B25" s="9" t="s">
        <v>102</v>
      </c>
      <c r="C25" s="9" t="s">
        <v>64</v>
      </c>
      <c r="D25" s="9" t="s">
        <v>65</v>
      </c>
      <c r="E25" s="9" t="s">
        <v>47</v>
      </c>
      <c r="F25">
        <v>12</v>
      </c>
      <c r="G25" s="9" t="s">
        <v>88</v>
      </c>
      <c r="H25" s="9" t="s">
        <v>56</v>
      </c>
      <c r="I25" s="9" t="s">
        <v>89</v>
      </c>
      <c r="J25" s="9" t="s">
        <v>90</v>
      </c>
      <c r="K25">
        <v>1</v>
      </c>
      <c r="L25" s="6"/>
      <c r="M25">
        <v>180</v>
      </c>
      <c r="N25">
        <v>1450</v>
      </c>
      <c r="O25">
        <v>179.7</v>
      </c>
      <c r="P25">
        <v>336.71679999999998</v>
      </c>
      <c r="Q25">
        <v>200</v>
      </c>
      <c r="R25">
        <v>200</v>
      </c>
      <c r="S25">
        <v>89.85</v>
      </c>
      <c r="T25">
        <v>168.36</v>
      </c>
      <c r="U25">
        <v>0</v>
      </c>
      <c r="V25">
        <v>1</v>
      </c>
      <c r="W25">
        <v>1</v>
      </c>
      <c r="X25">
        <v>1.9149</v>
      </c>
      <c r="Y25">
        <v>-136.71680000000001</v>
      </c>
      <c r="Z25">
        <v>20.3</v>
      </c>
      <c r="AA25">
        <v>-71.400000000000006</v>
      </c>
      <c r="AB25" s="6"/>
    </row>
    <row r="26" spans="1:28" x14ac:dyDescent="0.35">
      <c r="A26">
        <v>1046</v>
      </c>
      <c r="B26" s="9" t="s">
        <v>103</v>
      </c>
      <c r="C26" s="9" t="s">
        <v>64</v>
      </c>
      <c r="D26" s="9" t="s">
        <v>65</v>
      </c>
      <c r="E26" s="9" t="s">
        <v>47</v>
      </c>
      <c r="F26">
        <v>12</v>
      </c>
      <c r="G26" s="9" t="s">
        <v>88</v>
      </c>
      <c r="H26" s="9" t="s">
        <v>56</v>
      </c>
      <c r="I26" s="9" t="s">
        <v>89</v>
      </c>
      <c r="J26" s="9" t="s">
        <v>90</v>
      </c>
      <c r="K26">
        <v>2</v>
      </c>
      <c r="L26" s="6"/>
      <c r="M26">
        <v>180</v>
      </c>
      <c r="N26">
        <v>1450</v>
      </c>
      <c r="O26">
        <v>179.7</v>
      </c>
      <c r="P26">
        <v>336.71679999999998</v>
      </c>
      <c r="Q26">
        <v>200</v>
      </c>
      <c r="R26">
        <v>200</v>
      </c>
      <c r="S26">
        <v>89.85</v>
      </c>
      <c r="T26">
        <v>168.36</v>
      </c>
      <c r="U26">
        <v>0</v>
      </c>
      <c r="V26">
        <v>1</v>
      </c>
      <c r="W26">
        <v>1</v>
      </c>
      <c r="X26">
        <v>1.9149</v>
      </c>
      <c r="Y26">
        <v>-136.71680000000001</v>
      </c>
      <c r="Z26">
        <v>20.3</v>
      </c>
      <c r="AA26">
        <v>-71.400000000000006</v>
      </c>
      <c r="AB26" s="6"/>
    </row>
    <row r="27" spans="1:28" x14ac:dyDescent="0.35">
      <c r="A27">
        <v>1048</v>
      </c>
      <c r="B27" s="9" t="s">
        <v>104</v>
      </c>
      <c r="C27" s="9" t="s">
        <v>64</v>
      </c>
      <c r="D27" s="9" t="s">
        <v>65</v>
      </c>
      <c r="E27" s="9" t="s">
        <v>47</v>
      </c>
      <c r="F27">
        <v>12</v>
      </c>
      <c r="G27" s="9" t="s">
        <v>88</v>
      </c>
      <c r="H27" s="9" t="s">
        <v>56</v>
      </c>
      <c r="I27" s="9" t="s">
        <v>89</v>
      </c>
      <c r="J27" s="9" t="s">
        <v>90</v>
      </c>
      <c r="K27">
        <v>3</v>
      </c>
      <c r="L27" s="6"/>
      <c r="M27">
        <v>180</v>
      </c>
      <c r="N27">
        <v>1450</v>
      </c>
      <c r="O27">
        <v>179.7</v>
      </c>
      <c r="P27">
        <v>336.71679999999998</v>
      </c>
      <c r="Q27">
        <v>200</v>
      </c>
      <c r="R27">
        <v>200</v>
      </c>
      <c r="S27">
        <v>89.85</v>
      </c>
      <c r="T27">
        <v>168.36</v>
      </c>
      <c r="U27">
        <v>0</v>
      </c>
      <c r="V27">
        <v>1</v>
      </c>
      <c r="W27">
        <v>1</v>
      </c>
      <c r="X27">
        <v>1.9149</v>
      </c>
      <c r="Y27">
        <v>-136.71680000000001</v>
      </c>
      <c r="Z27">
        <v>20.3</v>
      </c>
      <c r="AA27">
        <v>-71.400000000000006</v>
      </c>
      <c r="AB27" s="6"/>
    </row>
    <row r="28" spans="1:28" x14ac:dyDescent="0.35">
      <c r="A28">
        <v>1001</v>
      </c>
      <c r="B28" s="9" t="s">
        <v>105</v>
      </c>
      <c r="C28" s="9" t="s">
        <v>64</v>
      </c>
      <c r="D28" s="9" t="s">
        <v>65</v>
      </c>
      <c r="E28" s="9" t="s">
        <v>47</v>
      </c>
      <c r="F28">
        <v>12</v>
      </c>
      <c r="G28" s="9" t="s">
        <v>60</v>
      </c>
      <c r="H28" s="9" t="s">
        <v>56</v>
      </c>
      <c r="I28" s="9" t="s">
        <v>50</v>
      </c>
      <c r="J28" s="9" t="s">
        <v>51</v>
      </c>
      <c r="K28">
        <v>2</v>
      </c>
      <c r="L28" s="6"/>
      <c r="M28">
        <v>91</v>
      </c>
      <c r="N28">
        <v>186</v>
      </c>
      <c r="O28">
        <v>158.3329</v>
      </c>
      <c r="P28">
        <v>336.7002</v>
      </c>
      <c r="Q28">
        <v>200</v>
      </c>
      <c r="R28">
        <v>200</v>
      </c>
      <c r="S28">
        <v>79.17</v>
      </c>
      <c r="T28">
        <v>168.35</v>
      </c>
      <c r="U28">
        <v>0</v>
      </c>
      <c r="V28">
        <v>1</v>
      </c>
      <c r="W28">
        <v>1</v>
      </c>
      <c r="X28">
        <v>2.2582</v>
      </c>
      <c r="Y28">
        <v>-136.7002</v>
      </c>
      <c r="Z28">
        <v>41.667099999999998</v>
      </c>
      <c r="AA28">
        <v>-60.54</v>
      </c>
      <c r="AB28" s="6"/>
    </row>
    <row r="29" spans="1:28" x14ac:dyDescent="0.35">
      <c r="A29">
        <v>1476</v>
      </c>
      <c r="B29" s="9" t="s">
        <v>106</v>
      </c>
      <c r="C29" s="9" t="s">
        <v>64</v>
      </c>
      <c r="D29" s="9" t="s">
        <v>65</v>
      </c>
      <c r="E29" s="9" t="s">
        <v>47</v>
      </c>
      <c r="F29">
        <v>12</v>
      </c>
      <c r="G29" s="9" t="s">
        <v>67</v>
      </c>
      <c r="H29" s="9" t="s">
        <v>56</v>
      </c>
      <c r="I29" s="9" t="s">
        <v>57</v>
      </c>
      <c r="J29" s="9" t="s">
        <v>58</v>
      </c>
      <c r="K29">
        <v>1</v>
      </c>
      <c r="L29" s="6"/>
      <c r="M29">
        <v>94</v>
      </c>
      <c r="N29">
        <v>284</v>
      </c>
      <c r="O29">
        <v>163.8167</v>
      </c>
      <c r="P29">
        <v>335.50170000000003</v>
      </c>
      <c r="Q29">
        <v>200</v>
      </c>
      <c r="R29">
        <v>200</v>
      </c>
      <c r="S29">
        <v>81.91</v>
      </c>
      <c r="T29">
        <v>167.75</v>
      </c>
      <c r="U29">
        <v>0</v>
      </c>
      <c r="V29">
        <v>1</v>
      </c>
      <c r="W29">
        <v>1</v>
      </c>
      <c r="X29">
        <v>1.9626999999999999</v>
      </c>
      <c r="Y29">
        <v>-135.5017</v>
      </c>
      <c r="Z29">
        <v>36.183300000000003</v>
      </c>
      <c r="AA29">
        <v>-69.040000000000006</v>
      </c>
      <c r="AB29" s="6"/>
    </row>
    <row r="30" spans="1:28" x14ac:dyDescent="0.35">
      <c r="A30">
        <v>657</v>
      </c>
      <c r="B30" s="9" t="s">
        <v>107</v>
      </c>
      <c r="C30" s="9" t="s">
        <v>69</v>
      </c>
      <c r="D30" s="9" t="s">
        <v>70</v>
      </c>
      <c r="E30" s="9" t="s">
        <v>71</v>
      </c>
      <c r="F30">
        <v>24</v>
      </c>
      <c r="G30" s="9" t="s">
        <v>81</v>
      </c>
      <c r="H30" s="9" t="s">
        <v>82</v>
      </c>
      <c r="I30" s="9" t="s">
        <v>57</v>
      </c>
      <c r="J30" s="9" t="s">
        <v>58</v>
      </c>
      <c r="K30">
        <v>1</v>
      </c>
      <c r="L30" s="6"/>
      <c r="M30">
        <v>145</v>
      </c>
      <c r="N30">
        <v>372</v>
      </c>
      <c r="O30">
        <v>248.25030000000001</v>
      </c>
      <c r="P30">
        <v>496.07589999999999</v>
      </c>
      <c r="Q30">
        <v>300</v>
      </c>
      <c r="R30">
        <v>300</v>
      </c>
      <c r="S30">
        <v>82.75</v>
      </c>
      <c r="T30">
        <v>165.36</v>
      </c>
      <c r="U30">
        <v>0</v>
      </c>
      <c r="V30">
        <v>1</v>
      </c>
      <c r="W30">
        <v>1</v>
      </c>
      <c r="X30">
        <v>1.8671</v>
      </c>
      <c r="Y30">
        <v>-196.07589999999999</v>
      </c>
      <c r="Z30">
        <v>51.749699999999997</v>
      </c>
      <c r="AA30">
        <v>-105.02</v>
      </c>
      <c r="AB30" s="6"/>
    </row>
    <row r="31" spans="1:28" x14ac:dyDescent="0.35">
      <c r="A31">
        <v>671</v>
      </c>
      <c r="B31" s="9" t="s">
        <v>108</v>
      </c>
      <c r="C31" s="9" t="s">
        <v>64</v>
      </c>
      <c r="D31" s="9" t="s">
        <v>65</v>
      </c>
      <c r="E31" s="9" t="s">
        <v>47</v>
      </c>
      <c r="F31">
        <v>12</v>
      </c>
      <c r="G31" s="9" t="s">
        <v>81</v>
      </c>
      <c r="H31" s="9" t="s">
        <v>82</v>
      </c>
      <c r="I31" s="9" t="s">
        <v>57</v>
      </c>
      <c r="J31" s="9" t="s">
        <v>58</v>
      </c>
      <c r="K31">
        <v>3</v>
      </c>
      <c r="L31" s="6"/>
      <c r="M31">
        <v>96</v>
      </c>
      <c r="N31">
        <v>255</v>
      </c>
      <c r="O31">
        <v>164.91659999999999</v>
      </c>
      <c r="P31">
        <v>325.90350000000001</v>
      </c>
      <c r="Q31">
        <v>200</v>
      </c>
      <c r="R31">
        <v>200</v>
      </c>
      <c r="S31">
        <v>82.46</v>
      </c>
      <c r="T31">
        <v>162.94999999999999</v>
      </c>
      <c r="U31">
        <v>0</v>
      </c>
      <c r="V31">
        <v>1</v>
      </c>
      <c r="W31">
        <v>1</v>
      </c>
      <c r="X31">
        <v>1.8671</v>
      </c>
      <c r="Y31">
        <v>-125.90349999999999</v>
      </c>
      <c r="Z31">
        <v>35.083399999999997</v>
      </c>
      <c r="AA31">
        <v>-67.430000000000007</v>
      </c>
      <c r="AB31" s="6"/>
    </row>
    <row r="32" spans="1:28" x14ac:dyDescent="0.35">
      <c r="A32">
        <v>799</v>
      </c>
      <c r="B32" s="9" t="s">
        <v>109</v>
      </c>
      <c r="C32" s="9" t="s">
        <v>45</v>
      </c>
      <c r="D32" s="9" t="s">
        <v>46</v>
      </c>
      <c r="E32" s="9" t="s">
        <v>47</v>
      </c>
      <c r="F32">
        <v>18</v>
      </c>
      <c r="G32" s="9" t="s">
        <v>110</v>
      </c>
      <c r="H32" s="9" t="s">
        <v>82</v>
      </c>
      <c r="I32" s="9" t="s">
        <v>57</v>
      </c>
      <c r="J32" s="9" t="s">
        <v>58</v>
      </c>
      <c r="K32">
        <v>2</v>
      </c>
      <c r="L32" s="6"/>
      <c r="M32">
        <v>69</v>
      </c>
      <c r="N32">
        <v>169</v>
      </c>
      <c r="O32">
        <v>123.6502</v>
      </c>
      <c r="P32">
        <v>243.96360000000001</v>
      </c>
      <c r="Q32">
        <v>150</v>
      </c>
      <c r="R32">
        <v>150</v>
      </c>
      <c r="S32">
        <v>82.43</v>
      </c>
      <c r="T32">
        <v>162.63999999999999</v>
      </c>
      <c r="U32">
        <v>0</v>
      </c>
      <c r="V32">
        <v>1</v>
      </c>
      <c r="W32">
        <v>1</v>
      </c>
      <c r="X32">
        <v>1.9188000000000001</v>
      </c>
      <c r="Y32">
        <v>-93.9636</v>
      </c>
      <c r="Z32">
        <v>26.349799999999998</v>
      </c>
      <c r="AA32">
        <v>-48.97</v>
      </c>
      <c r="AB32" s="6"/>
    </row>
    <row r="33" spans="1:28" x14ac:dyDescent="0.35">
      <c r="A33">
        <v>1293</v>
      </c>
      <c r="B33" s="9" t="s">
        <v>111</v>
      </c>
      <c r="C33" s="9" t="s">
        <v>53</v>
      </c>
      <c r="D33" s="9" t="s">
        <v>54</v>
      </c>
      <c r="E33" s="9" t="s">
        <v>47</v>
      </c>
      <c r="F33">
        <v>8</v>
      </c>
      <c r="G33" s="9" t="s">
        <v>112</v>
      </c>
      <c r="H33" s="9" t="s">
        <v>56</v>
      </c>
      <c r="I33" s="9" t="s">
        <v>89</v>
      </c>
      <c r="J33" s="9" t="s">
        <v>90</v>
      </c>
      <c r="K33">
        <v>2</v>
      </c>
      <c r="L33" s="6"/>
      <c r="M33">
        <v>101</v>
      </c>
      <c r="N33">
        <v>802</v>
      </c>
      <c r="O33">
        <v>101.767</v>
      </c>
      <c r="P33">
        <v>189.7509</v>
      </c>
      <c r="Q33">
        <v>120</v>
      </c>
      <c r="R33">
        <v>120</v>
      </c>
      <c r="S33">
        <v>84.81</v>
      </c>
      <c r="T33">
        <v>158.13</v>
      </c>
      <c r="U33">
        <v>0</v>
      </c>
      <c r="V33">
        <v>1</v>
      </c>
      <c r="W33">
        <v>1</v>
      </c>
      <c r="X33">
        <v>1.9300999999999999</v>
      </c>
      <c r="Y33">
        <v>-69.750900000000001</v>
      </c>
      <c r="Z33">
        <v>18.233000000000001</v>
      </c>
      <c r="AA33">
        <v>-36.14</v>
      </c>
      <c r="AB33" s="6"/>
    </row>
    <row r="34" spans="1:28" x14ac:dyDescent="0.35">
      <c r="A34">
        <v>312</v>
      </c>
      <c r="B34" s="9" t="s">
        <v>113</v>
      </c>
      <c r="C34" s="9" t="s">
        <v>86</v>
      </c>
      <c r="D34" s="9" t="s">
        <v>87</v>
      </c>
      <c r="E34" s="9" t="s">
        <v>71</v>
      </c>
      <c r="F34">
        <v>6</v>
      </c>
      <c r="G34" s="9" t="s">
        <v>93</v>
      </c>
      <c r="H34" s="9" t="s">
        <v>49</v>
      </c>
      <c r="I34" s="9" t="s">
        <v>89</v>
      </c>
      <c r="J34" s="9" t="s">
        <v>90</v>
      </c>
      <c r="K34">
        <v>1</v>
      </c>
      <c r="L34" s="6"/>
      <c r="M34">
        <v>340</v>
      </c>
      <c r="N34">
        <v>2698</v>
      </c>
      <c r="O34">
        <v>337.96620000000001</v>
      </c>
      <c r="P34">
        <v>628.66409999999996</v>
      </c>
      <c r="Q34">
        <v>400</v>
      </c>
      <c r="R34">
        <v>400</v>
      </c>
      <c r="S34">
        <v>84.49</v>
      </c>
      <c r="T34">
        <v>157.16999999999999</v>
      </c>
      <c r="U34">
        <v>0</v>
      </c>
      <c r="V34">
        <v>1</v>
      </c>
      <c r="W34">
        <v>1</v>
      </c>
      <c r="X34">
        <v>1.7137</v>
      </c>
      <c r="Y34">
        <v>-228.66409999999999</v>
      </c>
      <c r="Z34">
        <v>62.033799999999999</v>
      </c>
      <c r="AA34">
        <v>-133.43</v>
      </c>
      <c r="AB34" s="6"/>
    </row>
    <row r="35" spans="1:28" x14ac:dyDescent="0.35">
      <c r="A35">
        <v>56</v>
      </c>
      <c r="B35" s="9" t="s">
        <v>114</v>
      </c>
      <c r="C35" s="9" t="s">
        <v>86</v>
      </c>
      <c r="D35" s="9" t="s">
        <v>87</v>
      </c>
      <c r="E35" s="9" t="s">
        <v>71</v>
      </c>
      <c r="F35">
        <v>6</v>
      </c>
      <c r="G35" s="9" t="s">
        <v>62</v>
      </c>
      <c r="H35" s="9" t="s">
        <v>56</v>
      </c>
      <c r="I35" s="9" t="s">
        <v>50</v>
      </c>
      <c r="J35" s="9" t="s">
        <v>51</v>
      </c>
      <c r="K35">
        <v>1</v>
      </c>
      <c r="L35" s="6"/>
      <c r="M35">
        <v>170</v>
      </c>
      <c r="N35">
        <v>309</v>
      </c>
      <c r="O35">
        <v>285.50009999999997</v>
      </c>
      <c r="P35">
        <v>626.47979999999995</v>
      </c>
      <c r="Q35">
        <v>400</v>
      </c>
      <c r="R35">
        <v>400</v>
      </c>
      <c r="S35">
        <v>71.38</v>
      </c>
      <c r="T35">
        <v>156.62</v>
      </c>
      <c r="U35">
        <v>0</v>
      </c>
      <c r="V35">
        <v>1</v>
      </c>
      <c r="W35">
        <v>1</v>
      </c>
      <c r="X35">
        <v>2.2806999999999999</v>
      </c>
      <c r="Y35">
        <v>-226.47980000000001</v>
      </c>
      <c r="Z35">
        <v>114.4999</v>
      </c>
      <c r="AA35">
        <v>-99.3</v>
      </c>
      <c r="AB35" s="6"/>
    </row>
    <row r="36" spans="1:28" x14ac:dyDescent="0.35">
      <c r="A36">
        <v>775</v>
      </c>
      <c r="B36" s="9" t="s">
        <v>115</v>
      </c>
      <c r="C36" s="9" t="s">
        <v>64</v>
      </c>
      <c r="D36" s="9" t="s">
        <v>65</v>
      </c>
      <c r="E36" s="9" t="s">
        <v>47</v>
      </c>
      <c r="F36">
        <v>12</v>
      </c>
      <c r="G36" s="9" t="s">
        <v>110</v>
      </c>
      <c r="H36" s="9" t="s">
        <v>82</v>
      </c>
      <c r="I36" s="9" t="s">
        <v>57</v>
      </c>
      <c r="J36" s="9" t="s">
        <v>58</v>
      </c>
      <c r="K36">
        <v>1</v>
      </c>
      <c r="L36" s="6"/>
      <c r="M36">
        <v>88</v>
      </c>
      <c r="N36">
        <v>216</v>
      </c>
      <c r="O36">
        <v>158.48339999999999</v>
      </c>
      <c r="P36">
        <v>312.42059999999998</v>
      </c>
      <c r="Q36">
        <v>200</v>
      </c>
      <c r="R36">
        <v>200</v>
      </c>
      <c r="S36">
        <v>79.239999999999995</v>
      </c>
      <c r="T36">
        <v>156.21</v>
      </c>
      <c r="U36">
        <v>0</v>
      </c>
      <c r="V36">
        <v>1</v>
      </c>
      <c r="W36">
        <v>1</v>
      </c>
      <c r="X36">
        <v>1.9188000000000001</v>
      </c>
      <c r="Y36">
        <v>-112.42059999999999</v>
      </c>
      <c r="Z36">
        <v>41.516599999999997</v>
      </c>
      <c r="AA36">
        <v>-58.59</v>
      </c>
      <c r="AB36" s="6"/>
    </row>
    <row r="37" spans="1:28" x14ac:dyDescent="0.35">
      <c r="A37">
        <v>861</v>
      </c>
      <c r="B37" s="9" t="s">
        <v>116</v>
      </c>
      <c r="C37" s="9" t="s">
        <v>53</v>
      </c>
      <c r="D37" s="9" t="s">
        <v>54</v>
      </c>
      <c r="E37" s="9" t="s">
        <v>47</v>
      </c>
      <c r="F37">
        <v>8</v>
      </c>
      <c r="G37" s="9" t="s">
        <v>77</v>
      </c>
      <c r="H37" s="9" t="s">
        <v>49</v>
      </c>
      <c r="I37" s="9" t="s">
        <v>50</v>
      </c>
      <c r="J37" s="9" t="s">
        <v>51</v>
      </c>
      <c r="K37">
        <v>2</v>
      </c>
      <c r="L37" s="6"/>
      <c r="M37">
        <v>52</v>
      </c>
      <c r="N37">
        <v>101</v>
      </c>
      <c r="O37">
        <v>85.150199999999998</v>
      </c>
      <c r="P37">
        <v>186.8278</v>
      </c>
      <c r="Q37">
        <v>120</v>
      </c>
      <c r="R37">
        <v>120</v>
      </c>
      <c r="S37">
        <v>70.959999999999994</v>
      </c>
      <c r="T37">
        <v>155.69</v>
      </c>
      <c r="U37">
        <v>0</v>
      </c>
      <c r="V37">
        <v>1</v>
      </c>
      <c r="W37">
        <v>1</v>
      </c>
      <c r="X37">
        <v>2.1968999999999999</v>
      </c>
      <c r="Y37">
        <v>-66.827799999999996</v>
      </c>
      <c r="Z37">
        <v>34.849800000000002</v>
      </c>
      <c r="AA37">
        <v>-30.42</v>
      </c>
      <c r="AB37" s="6"/>
    </row>
    <row r="38" spans="1:28" x14ac:dyDescent="0.35">
      <c r="A38">
        <v>536</v>
      </c>
      <c r="B38" s="9" t="s">
        <v>117</v>
      </c>
      <c r="C38" s="9" t="s">
        <v>64</v>
      </c>
      <c r="D38" s="9" t="s">
        <v>65</v>
      </c>
      <c r="E38" s="9" t="s">
        <v>47</v>
      </c>
      <c r="F38">
        <v>12</v>
      </c>
      <c r="G38" s="9" t="s">
        <v>97</v>
      </c>
      <c r="H38" s="9" t="s">
        <v>49</v>
      </c>
      <c r="I38" s="9" t="s">
        <v>50</v>
      </c>
      <c r="J38" s="9" t="s">
        <v>51</v>
      </c>
      <c r="K38">
        <v>3</v>
      </c>
      <c r="L38" s="6"/>
      <c r="M38">
        <v>83</v>
      </c>
      <c r="N38">
        <v>154</v>
      </c>
      <c r="O38">
        <v>142.2998</v>
      </c>
      <c r="P38">
        <v>306.16950000000003</v>
      </c>
      <c r="Q38">
        <v>200</v>
      </c>
      <c r="R38">
        <v>200</v>
      </c>
      <c r="S38">
        <v>71.150000000000006</v>
      </c>
      <c r="T38">
        <v>153.08000000000001</v>
      </c>
      <c r="U38">
        <v>0</v>
      </c>
      <c r="V38">
        <v>1</v>
      </c>
      <c r="W38">
        <v>1</v>
      </c>
      <c r="X38">
        <v>2.1760999999999999</v>
      </c>
      <c r="Y38">
        <v>-106.1695</v>
      </c>
      <c r="Z38">
        <v>57.700200000000002</v>
      </c>
      <c r="AA38">
        <v>-48.79</v>
      </c>
      <c r="AB38" s="6"/>
    </row>
    <row r="39" spans="1:28" x14ac:dyDescent="0.35">
      <c r="A39">
        <v>233</v>
      </c>
      <c r="B39" s="9" t="s">
        <v>118</v>
      </c>
      <c r="C39" s="9" t="s">
        <v>64</v>
      </c>
      <c r="D39" s="9" t="s">
        <v>65</v>
      </c>
      <c r="E39" s="9" t="s">
        <v>47</v>
      </c>
      <c r="F39">
        <v>12</v>
      </c>
      <c r="G39" s="9" t="s">
        <v>55</v>
      </c>
      <c r="H39" s="9" t="s">
        <v>56</v>
      </c>
      <c r="I39" s="9" t="s">
        <v>57</v>
      </c>
      <c r="J39" s="9" t="s">
        <v>58</v>
      </c>
      <c r="K39">
        <v>3</v>
      </c>
      <c r="L39" s="6"/>
      <c r="M39">
        <v>88</v>
      </c>
      <c r="N39">
        <v>193</v>
      </c>
      <c r="O39">
        <v>150.58320000000001</v>
      </c>
      <c r="P39">
        <v>304.93200000000002</v>
      </c>
      <c r="Q39">
        <v>200</v>
      </c>
      <c r="R39">
        <v>200</v>
      </c>
      <c r="S39">
        <v>75.290000000000006</v>
      </c>
      <c r="T39">
        <v>152.47</v>
      </c>
      <c r="U39">
        <v>0</v>
      </c>
      <c r="V39">
        <v>1</v>
      </c>
      <c r="W39">
        <v>1</v>
      </c>
      <c r="X39">
        <v>1.9127000000000001</v>
      </c>
      <c r="Y39">
        <v>-104.932</v>
      </c>
      <c r="Z39">
        <v>49.416800000000002</v>
      </c>
      <c r="AA39">
        <v>-54.86</v>
      </c>
      <c r="AB39" s="6"/>
    </row>
    <row r="40" spans="1:28" x14ac:dyDescent="0.35">
      <c r="A40">
        <v>403</v>
      </c>
      <c r="B40" s="9" t="s">
        <v>119</v>
      </c>
      <c r="C40" s="9" t="s">
        <v>45</v>
      </c>
      <c r="D40" s="9" t="s">
        <v>46</v>
      </c>
      <c r="E40" s="9" t="s">
        <v>47</v>
      </c>
      <c r="F40">
        <v>18</v>
      </c>
      <c r="G40" s="9" t="s">
        <v>48</v>
      </c>
      <c r="H40" s="9" t="s">
        <v>49</v>
      </c>
      <c r="I40" s="9" t="s">
        <v>50</v>
      </c>
      <c r="J40" s="9" t="s">
        <v>51</v>
      </c>
      <c r="K40">
        <v>4</v>
      </c>
      <c r="L40" s="6"/>
      <c r="M40">
        <v>62</v>
      </c>
      <c r="N40">
        <v>120</v>
      </c>
      <c r="O40">
        <v>102.3497</v>
      </c>
      <c r="P40">
        <v>227.5985</v>
      </c>
      <c r="Q40">
        <v>150</v>
      </c>
      <c r="R40">
        <v>150</v>
      </c>
      <c r="S40">
        <v>68.23</v>
      </c>
      <c r="T40">
        <v>151.72999999999999</v>
      </c>
      <c r="U40">
        <v>0</v>
      </c>
      <c r="V40">
        <v>1</v>
      </c>
      <c r="W40">
        <v>1</v>
      </c>
      <c r="X40">
        <v>2.3105000000000002</v>
      </c>
      <c r="Y40">
        <v>-77.598500000000001</v>
      </c>
      <c r="Z40">
        <v>47.650300000000001</v>
      </c>
      <c r="AA40">
        <v>-33.590000000000003</v>
      </c>
      <c r="AB40" s="6"/>
    </row>
    <row r="41" spans="1:28" x14ac:dyDescent="0.35">
      <c r="A41">
        <v>558</v>
      </c>
      <c r="B41" s="9" t="s">
        <v>120</v>
      </c>
      <c r="C41" s="9" t="s">
        <v>45</v>
      </c>
      <c r="D41" s="9" t="s">
        <v>46</v>
      </c>
      <c r="E41" s="9" t="s">
        <v>47</v>
      </c>
      <c r="F41">
        <v>18</v>
      </c>
      <c r="G41" s="9" t="s">
        <v>97</v>
      </c>
      <c r="H41" s="9" t="s">
        <v>49</v>
      </c>
      <c r="I41" s="9" t="s">
        <v>50</v>
      </c>
      <c r="J41" s="9" t="s">
        <v>51</v>
      </c>
      <c r="K41">
        <v>4</v>
      </c>
      <c r="L41" s="6"/>
      <c r="M41">
        <v>62</v>
      </c>
      <c r="N41">
        <v>116</v>
      </c>
      <c r="O41">
        <v>105.4332</v>
      </c>
      <c r="P41">
        <v>225.02080000000001</v>
      </c>
      <c r="Q41">
        <v>150</v>
      </c>
      <c r="R41">
        <v>150</v>
      </c>
      <c r="S41">
        <v>70.290000000000006</v>
      </c>
      <c r="T41">
        <v>150.01</v>
      </c>
      <c r="U41">
        <v>0</v>
      </c>
      <c r="V41">
        <v>1</v>
      </c>
      <c r="W41">
        <v>1</v>
      </c>
      <c r="X41">
        <v>2.1760999999999999</v>
      </c>
      <c r="Y41">
        <v>-75.020799999999994</v>
      </c>
      <c r="Z41">
        <v>44.566800000000001</v>
      </c>
      <c r="AA41">
        <v>-34.47</v>
      </c>
      <c r="AB41" s="6"/>
    </row>
    <row r="42" spans="1:28" x14ac:dyDescent="0.35">
      <c r="A42">
        <v>513</v>
      </c>
      <c r="B42" s="9" t="s">
        <v>121</v>
      </c>
      <c r="C42" s="9" t="s">
        <v>53</v>
      </c>
      <c r="D42" s="9" t="s">
        <v>54</v>
      </c>
      <c r="E42" s="9" t="s">
        <v>47</v>
      </c>
      <c r="F42">
        <v>8</v>
      </c>
      <c r="G42" s="9" t="s">
        <v>97</v>
      </c>
      <c r="H42" s="9" t="s">
        <v>49</v>
      </c>
      <c r="I42" s="9" t="s">
        <v>50</v>
      </c>
      <c r="J42" s="9" t="s">
        <v>51</v>
      </c>
      <c r="K42">
        <v>1</v>
      </c>
      <c r="L42" s="6"/>
      <c r="M42">
        <v>48</v>
      </c>
      <c r="N42">
        <v>91</v>
      </c>
      <c r="O42">
        <v>81.166600000000003</v>
      </c>
      <c r="P42">
        <v>178.9957</v>
      </c>
      <c r="Q42">
        <v>120</v>
      </c>
      <c r="R42">
        <v>120</v>
      </c>
      <c r="S42">
        <v>67.64</v>
      </c>
      <c r="T42">
        <v>149.16</v>
      </c>
      <c r="U42">
        <v>0</v>
      </c>
      <c r="V42">
        <v>1</v>
      </c>
      <c r="W42">
        <v>1</v>
      </c>
      <c r="X42">
        <v>2.1760999999999999</v>
      </c>
      <c r="Y42">
        <v>-58.995699999999999</v>
      </c>
      <c r="Z42">
        <v>38.833399999999997</v>
      </c>
      <c r="AA42">
        <v>-27.11</v>
      </c>
      <c r="AB42" s="6"/>
    </row>
    <row r="43" spans="1:28" x14ac:dyDescent="0.35">
      <c r="A43">
        <v>319</v>
      </c>
      <c r="B43" s="9" t="s">
        <v>122</v>
      </c>
      <c r="C43" s="9" t="s">
        <v>53</v>
      </c>
      <c r="D43" s="9" t="s">
        <v>54</v>
      </c>
      <c r="E43" s="9" t="s">
        <v>47</v>
      </c>
      <c r="F43">
        <v>8</v>
      </c>
      <c r="G43" s="9" t="s">
        <v>93</v>
      </c>
      <c r="H43" s="9" t="s">
        <v>49</v>
      </c>
      <c r="I43" s="9" t="s">
        <v>89</v>
      </c>
      <c r="J43" s="9" t="s">
        <v>90</v>
      </c>
      <c r="K43">
        <v>2</v>
      </c>
      <c r="L43" s="6"/>
      <c r="M43">
        <v>96</v>
      </c>
      <c r="N43">
        <v>747</v>
      </c>
      <c r="O43">
        <v>96.499799999999993</v>
      </c>
      <c r="P43">
        <v>177.79079999999999</v>
      </c>
      <c r="Q43">
        <v>120</v>
      </c>
      <c r="R43">
        <v>120</v>
      </c>
      <c r="S43">
        <v>80.42</v>
      </c>
      <c r="T43">
        <v>148.16</v>
      </c>
      <c r="U43">
        <v>0</v>
      </c>
      <c r="V43">
        <v>1</v>
      </c>
      <c r="W43">
        <v>1</v>
      </c>
      <c r="X43">
        <v>1.7137</v>
      </c>
      <c r="Y43">
        <v>-57.790799999999997</v>
      </c>
      <c r="Z43">
        <v>23.5002</v>
      </c>
      <c r="AA43">
        <v>-33.72</v>
      </c>
      <c r="AB43" s="6"/>
    </row>
    <row r="44" spans="1:28" x14ac:dyDescent="0.35">
      <c r="A44">
        <v>674</v>
      </c>
      <c r="B44" s="9" t="s">
        <v>123</v>
      </c>
      <c r="C44" s="9" t="s">
        <v>64</v>
      </c>
      <c r="D44" s="9" t="s">
        <v>65</v>
      </c>
      <c r="E44" s="9" t="s">
        <v>47</v>
      </c>
      <c r="F44">
        <v>12</v>
      </c>
      <c r="G44" s="9" t="s">
        <v>81</v>
      </c>
      <c r="H44" s="9" t="s">
        <v>82</v>
      </c>
      <c r="I44" s="9" t="s">
        <v>57</v>
      </c>
      <c r="J44" s="9" t="s">
        <v>58</v>
      </c>
      <c r="K44">
        <v>4</v>
      </c>
      <c r="L44" s="6"/>
      <c r="M44">
        <v>85</v>
      </c>
      <c r="N44">
        <v>218</v>
      </c>
      <c r="O44">
        <v>146.81659999999999</v>
      </c>
      <c r="P44">
        <v>291.71089999999998</v>
      </c>
      <c r="Q44">
        <v>200</v>
      </c>
      <c r="R44">
        <v>200</v>
      </c>
      <c r="S44">
        <v>73.41</v>
      </c>
      <c r="T44">
        <v>145.86000000000001</v>
      </c>
      <c r="U44">
        <v>0</v>
      </c>
      <c r="V44">
        <v>1</v>
      </c>
      <c r="W44">
        <v>1</v>
      </c>
      <c r="X44">
        <v>1.8671</v>
      </c>
      <c r="Y44">
        <v>-91.710899999999995</v>
      </c>
      <c r="Z44">
        <v>53.183399999999999</v>
      </c>
      <c r="AA44">
        <v>-49.12</v>
      </c>
      <c r="AB44" s="6"/>
    </row>
    <row r="45" spans="1:28" x14ac:dyDescent="0.35">
      <c r="A45">
        <v>1376</v>
      </c>
      <c r="B45" s="9" t="s">
        <v>124</v>
      </c>
      <c r="C45" s="9" t="s">
        <v>86</v>
      </c>
      <c r="D45" s="9" t="s">
        <v>87</v>
      </c>
      <c r="E45" s="9" t="s">
        <v>71</v>
      </c>
      <c r="F45">
        <v>6</v>
      </c>
      <c r="G45" s="9" t="s">
        <v>125</v>
      </c>
      <c r="H45" s="9" t="s">
        <v>56</v>
      </c>
      <c r="I45" s="9" t="s">
        <v>89</v>
      </c>
      <c r="J45" s="9" t="s">
        <v>90</v>
      </c>
      <c r="K45">
        <v>1</v>
      </c>
      <c r="L45" s="6"/>
      <c r="M45">
        <v>312</v>
      </c>
      <c r="N45">
        <v>2450</v>
      </c>
      <c r="O45">
        <v>315.3168</v>
      </c>
      <c r="P45">
        <v>578.9008</v>
      </c>
      <c r="Q45">
        <v>400</v>
      </c>
      <c r="R45">
        <v>400</v>
      </c>
      <c r="S45">
        <v>78.83</v>
      </c>
      <c r="T45">
        <v>144.72999999999999</v>
      </c>
      <c r="U45">
        <v>0</v>
      </c>
      <c r="V45">
        <v>1</v>
      </c>
      <c r="W45">
        <v>1</v>
      </c>
      <c r="X45">
        <v>1.7297</v>
      </c>
      <c r="Y45">
        <v>-178.9008</v>
      </c>
      <c r="Z45">
        <v>84.683199999999999</v>
      </c>
      <c r="AA45">
        <v>-103.43</v>
      </c>
      <c r="AB45" s="6"/>
    </row>
    <row r="46" spans="1:28" x14ac:dyDescent="0.35">
      <c r="A46">
        <v>715</v>
      </c>
      <c r="B46" s="9" t="s">
        <v>126</v>
      </c>
      <c r="C46" s="9" t="s">
        <v>127</v>
      </c>
      <c r="D46" s="9" t="s">
        <v>128</v>
      </c>
      <c r="E46" s="9" t="s">
        <v>129</v>
      </c>
      <c r="F46">
        <v>4</v>
      </c>
      <c r="G46" s="9" t="s">
        <v>95</v>
      </c>
      <c r="H46" s="9" t="s">
        <v>49</v>
      </c>
      <c r="I46" s="9" t="s">
        <v>57</v>
      </c>
      <c r="J46" s="9" t="s">
        <v>58</v>
      </c>
      <c r="K46">
        <v>1</v>
      </c>
      <c r="L46" s="6"/>
      <c r="M46">
        <v>100</v>
      </c>
      <c r="N46">
        <v>209</v>
      </c>
      <c r="O46">
        <v>182.7165</v>
      </c>
      <c r="P46">
        <v>360.00290000000001</v>
      </c>
      <c r="Q46">
        <v>250</v>
      </c>
      <c r="R46">
        <v>250</v>
      </c>
      <c r="S46">
        <v>73.09</v>
      </c>
      <c r="T46">
        <v>144</v>
      </c>
      <c r="U46">
        <v>0</v>
      </c>
      <c r="V46">
        <v>1</v>
      </c>
      <c r="W46">
        <v>1</v>
      </c>
      <c r="X46">
        <v>1.9216</v>
      </c>
      <c r="Y46">
        <v>-110.0029</v>
      </c>
      <c r="Z46">
        <v>67.283500000000004</v>
      </c>
      <c r="AA46">
        <v>-57.25</v>
      </c>
      <c r="AB46" s="6"/>
    </row>
    <row r="47" spans="1:28" x14ac:dyDescent="0.35">
      <c r="A47">
        <v>771</v>
      </c>
      <c r="B47" s="9" t="s">
        <v>130</v>
      </c>
      <c r="C47" s="9" t="s">
        <v>127</v>
      </c>
      <c r="D47" s="9" t="s">
        <v>128</v>
      </c>
      <c r="E47" s="9" t="s">
        <v>129</v>
      </c>
      <c r="F47">
        <v>4</v>
      </c>
      <c r="G47" s="9" t="s">
        <v>110</v>
      </c>
      <c r="H47" s="9" t="s">
        <v>82</v>
      </c>
      <c r="I47" s="9" t="s">
        <v>57</v>
      </c>
      <c r="J47" s="9" t="s">
        <v>58</v>
      </c>
      <c r="K47">
        <v>1</v>
      </c>
      <c r="L47" s="6"/>
      <c r="M47">
        <v>102</v>
      </c>
      <c r="N47">
        <v>248</v>
      </c>
      <c r="O47">
        <v>182.1</v>
      </c>
      <c r="P47">
        <v>358.34210000000002</v>
      </c>
      <c r="Q47">
        <v>250</v>
      </c>
      <c r="R47">
        <v>250</v>
      </c>
      <c r="S47">
        <v>72.84</v>
      </c>
      <c r="T47">
        <v>143.34</v>
      </c>
      <c r="U47">
        <v>0</v>
      </c>
      <c r="V47">
        <v>1</v>
      </c>
      <c r="W47">
        <v>1</v>
      </c>
      <c r="X47">
        <v>1.9188000000000001</v>
      </c>
      <c r="Y47">
        <v>-108.3421</v>
      </c>
      <c r="Z47">
        <v>67.900000000000006</v>
      </c>
      <c r="AA47">
        <v>-56.46</v>
      </c>
      <c r="AB47" s="6"/>
    </row>
    <row r="48" spans="1:28" x14ac:dyDescent="0.35">
      <c r="A48">
        <v>783</v>
      </c>
      <c r="B48" s="9" t="s">
        <v>131</v>
      </c>
      <c r="C48" s="9" t="s">
        <v>64</v>
      </c>
      <c r="D48" s="9" t="s">
        <v>65</v>
      </c>
      <c r="E48" s="9" t="s">
        <v>47</v>
      </c>
      <c r="F48">
        <v>12</v>
      </c>
      <c r="G48" s="9" t="s">
        <v>110</v>
      </c>
      <c r="H48" s="9" t="s">
        <v>82</v>
      </c>
      <c r="I48" s="9" t="s">
        <v>57</v>
      </c>
      <c r="J48" s="9" t="s">
        <v>58</v>
      </c>
      <c r="K48">
        <v>3</v>
      </c>
      <c r="L48" s="6"/>
      <c r="M48">
        <v>81</v>
      </c>
      <c r="N48">
        <v>199</v>
      </c>
      <c r="O48">
        <v>145.76679999999999</v>
      </c>
      <c r="P48">
        <v>285.81970000000001</v>
      </c>
      <c r="Q48">
        <v>200</v>
      </c>
      <c r="R48">
        <v>200</v>
      </c>
      <c r="S48">
        <v>72.88</v>
      </c>
      <c r="T48">
        <v>142.91</v>
      </c>
      <c r="U48">
        <v>0</v>
      </c>
      <c r="V48">
        <v>1</v>
      </c>
      <c r="W48">
        <v>1</v>
      </c>
      <c r="X48">
        <v>1.9188000000000001</v>
      </c>
      <c r="Y48">
        <v>-85.819699999999997</v>
      </c>
      <c r="Z48">
        <v>54.233199999999997</v>
      </c>
      <c r="AA48">
        <v>-44.73</v>
      </c>
      <c r="AB48" s="6"/>
    </row>
    <row r="49" spans="1:28" x14ac:dyDescent="0.35">
      <c r="A49">
        <v>544</v>
      </c>
      <c r="B49" s="9" t="s">
        <v>132</v>
      </c>
      <c r="C49" s="9" t="s">
        <v>45</v>
      </c>
      <c r="D49" s="9" t="s">
        <v>46</v>
      </c>
      <c r="E49" s="9" t="s">
        <v>47</v>
      </c>
      <c r="F49">
        <v>18</v>
      </c>
      <c r="G49" s="9" t="s">
        <v>97</v>
      </c>
      <c r="H49" s="9" t="s">
        <v>49</v>
      </c>
      <c r="I49" s="9" t="s">
        <v>50</v>
      </c>
      <c r="J49" s="9" t="s">
        <v>51</v>
      </c>
      <c r="K49">
        <v>1</v>
      </c>
      <c r="L49" s="6"/>
      <c r="M49">
        <v>57</v>
      </c>
      <c r="N49">
        <v>106</v>
      </c>
      <c r="O49">
        <v>98.749899999999997</v>
      </c>
      <c r="P49">
        <v>212.99610000000001</v>
      </c>
      <c r="Q49">
        <v>150</v>
      </c>
      <c r="R49">
        <v>150</v>
      </c>
      <c r="S49">
        <v>65.83</v>
      </c>
      <c r="T49">
        <v>142</v>
      </c>
      <c r="U49">
        <v>0</v>
      </c>
      <c r="V49">
        <v>1</v>
      </c>
      <c r="W49">
        <v>1</v>
      </c>
      <c r="X49">
        <v>2.1760999999999999</v>
      </c>
      <c r="Y49">
        <v>-62.996099999999998</v>
      </c>
      <c r="Z49">
        <v>51.250100000000003</v>
      </c>
      <c r="AA49">
        <v>-28.95</v>
      </c>
      <c r="AB49" s="6"/>
    </row>
    <row r="50" spans="1:28" x14ac:dyDescent="0.35">
      <c r="A50">
        <v>1302</v>
      </c>
      <c r="B50" s="9" t="s">
        <v>133</v>
      </c>
      <c r="C50" s="9" t="s">
        <v>64</v>
      </c>
      <c r="D50" s="9" t="s">
        <v>65</v>
      </c>
      <c r="E50" s="9" t="s">
        <v>47</v>
      </c>
      <c r="F50">
        <v>12</v>
      </c>
      <c r="G50" s="9" t="s">
        <v>112</v>
      </c>
      <c r="H50" s="9" t="s">
        <v>56</v>
      </c>
      <c r="I50" s="9" t="s">
        <v>89</v>
      </c>
      <c r="J50" s="9" t="s">
        <v>90</v>
      </c>
      <c r="K50">
        <v>2</v>
      </c>
      <c r="L50" s="6"/>
      <c r="M50">
        <v>152</v>
      </c>
      <c r="N50">
        <v>1222</v>
      </c>
      <c r="O50">
        <v>149.68389999999999</v>
      </c>
      <c r="P50">
        <v>283.00560000000002</v>
      </c>
      <c r="Q50">
        <v>200</v>
      </c>
      <c r="R50">
        <v>200</v>
      </c>
      <c r="S50">
        <v>74.84</v>
      </c>
      <c r="T50">
        <v>141.5</v>
      </c>
      <c r="U50">
        <v>0</v>
      </c>
      <c r="V50">
        <v>1</v>
      </c>
      <c r="W50">
        <v>1</v>
      </c>
      <c r="X50">
        <v>1.9300999999999999</v>
      </c>
      <c r="Y50">
        <v>-83.005600000000001</v>
      </c>
      <c r="Z50">
        <v>50.316099999999999</v>
      </c>
      <c r="AA50">
        <v>-43.01</v>
      </c>
      <c r="AB50" s="6"/>
    </row>
    <row r="51" spans="1:28" x14ac:dyDescent="0.35">
      <c r="A51">
        <v>1370</v>
      </c>
      <c r="B51" s="9" t="s">
        <v>134</v>
      </c>
      <c r="C51" s="9" t="s">
        <v>45</v>
      </c>
      <c r="D51" s="9" t="s">
        <v>46</v>
      </c>
      <c r="E51" s="9" t="s">
        <v>47</v>
      </c>
      <c r="F51">
        <v>18</v>
      </c>
      <c r="G51" s="9" t="s">
        <v>72</v>
      </c>
      <c r="H51" s="9" t="s">
        <v>56</v>
      </c>
      <c r="I51" s="9" t="s">
        <v>50</v>
      </c>
      <c r="J51" s="9" t="s">
        <v>51</v>
      </c>
      <c r="K51">
        <v>3</v>
      </c>
      <c r="L51" s="6"/>
      <c r="M51">
        <v>62</v>
      </c>
      <c r="N51">
        <v>104</v>
      </c>
      <c r="O51">
        <v>104.6832</v>
      </c>
      <c r="P51">
        <v>210.91220000000001</v>
      </c>
      <c r="Q51">
        <v>150</v>
      </c>
      <c r="R51">
        <v>150</v>
      </c>
      <c r="S51">
        <v>69.790000000000006</v>
      </c>
      <c r="T51">
        <v>140.61000000000001</v>
      </c>
      <c r="U51">
        <v>0</v>
      </c>
      <c r="V51">
        <v>1</v>
      </c>
      <c r="W51">
        <v>1</v>
      </c>
      <c r="X51">
        <v>1.9079999999999999</v>
      </c>
      <c r="Y51">
        <v>-60.912199999999999</v>
      </c>
      <c r="Z51">
        <v>45.316800000000001</v>
      </c>
      <c r="AA51">
        <v>-31.92</v>
      </c>
      <c r="AB51" s="6"/>
    </row>
    <row r="52" spans="1:28" x14ac:dyDescent="0.35">
      <c r="A52">
        <v>30</v>
      </c>
      <c r="B52" s="9" t="s">
        <v>135</v>
      </c>
      <c r="C52" s="9" t="s">
        <v>64</v>
      </c>
      <c r="D52" s="9" t="s">
        <v>65</v>
      </c>
      <c r="E52" s="9" t="s">
        <v>47</v>
      </c>
      <c r="F52">
        <v>12</v>
      </c>
      <c r="G52" s="9" t="s">
        <v>99</v>
      </c>
      <c r="H52" s="9" t="s">
        <v>56</v>
      </c>
      <c r="I52" s="9" t="s">
        <v>57</v>
      </c>
      <c r="J52" s="9" t="s">
        <v>58</v>
      </c>
      <c r="K52">
        <v>3</v>
      </c>
      <c r="L52" s="6"/>
      <c r="M52">
        <v>80</v>
      </c>
      <c r="N52">
        <v>191</v>
      </c>
      <c r="O52">
        <v>135.40039999999999</v>
      </c>
      <c r="P52">
        <v>279.48770000000002</v>
      </c>
      <c r="Q52">
        <v>200</v>
      </c>
      <c r="R52">
        <v>200</v>
      </c>
      <c r="S52">
        <v>67.7</v>
      </c>
      <c r="T52">
        <v>139.74</v>
      </c>
      <c r="U52">
        <v>0</v>
      </c>
      <c r="V52">
        <v>1</v>
      </c>
      <c r="W52">
        <v>1</v>
      </c>
      <c r="X52">
        <v>2.0638000000000001</v>
      </c>
      <c r="Y52">
        <v>-79.487700000000004</v>
      </c>
      <c r="Z52">
        <v>64.599599999999995</v>
      </c>
      <c r="AA52">
        <v>-38.520000000000003</v>
      </c>
      <c r="AB52" s="6"/>
    </row>
    <row r="53" spans="1:28" x14ac:dyDescent="0.35">
      <c r="A53">
        <v>1042</v>
      </c>
      <c r="B53" s="9" t="s">
        <v>136</v>
      </c>
      <c r="C53" s="9" t="s">
        <v>127</v>
      </c>
      <c r="D53" s="9" t="s">
        <v>128</v>
      </c>
      <c r="E53" s="9" t="s">
        <v>129</v>
      </c>
      <c r="F53">
        <v>4</v>
      </c>
      <c r="G53" s="9" t="s">
        <v>88</v>
      </c>
      <c r="H53" s="9" t="s">
        <v>56</v>
      </c>
      <c r="I53" s="9" t="s">
        <v>89</v>
      </c>
      <c r="J53" s="9" t="s">
        <v>90</v>
      </c>
      <c r="K53">
        <v>1</v>
      </c>
      <c r="L53" s="6"/>
      <c r="M53">
        <v>186</v>
      </c>
      <c r="N53">
        <v>1492</v>
      </c>
      <c r="O53">
        <v>185.16669999999999</v>
      </c>
      <c r="P53">
        <v>346.65499999999997</v>
      </c>
      <c r="Q53">
        <v>250</v>
      </c>
      <c r="R53">
        <v>250</v>
      </c>
      <c r="S53">
        <v>74.069999999999993</v>
      </c>
      <c r="T53">
        <v>138.66</v>
      </c>
      <c r="U53">
        <v>0</v>
      </c>
      <c r="V53">
        <v>1</v>
      </c>
      <c r="W53">
        <v>1</v>
      </c>
      <c r="X53">
        <v>1.9149</v>
      </c>
      <c r="Y53">
        <v>-96.655000000000001</v>
      </c>
      <c r="Z53">
        <v>64.833299999999994</v>
      </c>
      <c r="AA53">
        <v>-50.48</v>
      </c>
      <c r="AB53" s="6"/>
    </row>
    <row r="54" spans="1:28" x14ac:dyDescent="0.35">
      <c r="A54">
        <v>7</v>
      </c>
      <c r="B54" s="9" t="s">
        <v>137</v>
      </c>
      <c r="C54" s="9" t="s">
        <v>53</v>
      </c>
      <c r="D54" s="9" t="s">
        <v>54</v>
      </c>
      <c r="E54" s="9" t="s">
        <v>47</v>
      </c>
      <c r="F54">
        <v>8</v>
      </c>
      <c r="G54" s="9" t="s">
        <v>99</v>
      </c>
      <c r="H54" s="9" t="s">
        <v>56</v>
      </c>
      <c r="I54" s="9" t="s">
        <v>57</v>
      </c>
      <c r="J54" s="9" t="s">
        <v>58</v>
      </c>
      <c r="K54">
        <v>1</v>
      </c>
      <c r="L54" s="6"/>
      <c r="M54">
        <v>46</v>
      </c>
      <c r="N54">
        <v>108</v>
      </c>
      <c r="O54">
        <v>78.466800000000006</v>
      </c>
      <c r="P54">
        <v>161.87880000000001</v>
      </c>
      <c r="Q54">
        <v>120</v>
      </c>
      <c r="R54">
        <v>120</v>
      </c>
      <c r="S54">
        <v>65.39</v>
      </c>
      <c r="T54">
        <v>134.9</v>
      </c>
      <c r="U54">
        <v>0</v>
      </c>
      <c r="V54">
        <v>1</v>
      </c>
      <c r="W54">
        <v>1</v>
      </c>
      <c r="X54">
        <v>2.0638000000000001</v>
      </c>
      <c r="Y54">
        <v>-41.878799999999998</v>
      </c>
      <c r="Z54">
        <v>41.533200000000001</v>
      </c>
      <c r="AA54">
        <v>-20.29</v>
      </c>
      <c r="AB54" s="6"/>
    </row>
    <row r="55" spans="1:28" x14ac:dyDescent="0.35">
      <c r="A55">
        <v>325</v>
      </c>
      <c r="B55" s="9" t="s">
        <v>138</v>
      </c>
      <c r="C55" s="9" t="s">
        <v>64</v>
      </c>
      <c r="D55" s="9" t="s">
        <v>65</v>
      </c>
      <c r="E55" s="9" t="s">
        <v>47</v>
      </c>
      <c r="F55">
        <v>12</v>
      </c>
      <c r="G55" s="9" t="s">
        <v>93</v>
      </c>
      <c r="H55" s="9" t="s">
        <v>49</v>
      </c>
      <c r="I55" s="9" t="s">
        <v>89</v>
      </c>
      <c r="J55" s="9" t="s">
        <v>90</v>
      </c>
      <c r="K55">
        <v>1</v>
      </c>
      <c r="L55" s="6"/>
      <c r="M55">
        <v>147</v>
      </c>
      <c r="N55">
        <v>1141</v>
      </c>
      <c r="O55">
        <v>146.01650000000001</v>
      </c>
      <c r="P55">
        <v>269.69150000000002</v>
      </c>
      <c r="Q55">
        <v>200</v>
      </c>
      <c r="R55">
        <v>200</v>
      </c>
      <c r="S55">
        <v>73.010000000000005</v>
      </c>
      <c r="T55">
        <v>134.85</v>
      </c>
      <c r="U55">
        <v>0</v>
      </c>
      <c r="V55">
        <v>1</v>
      </c>
      <c r="W55">
        <v>1</v>
      </c>
      <c r="X55">
        <v>1.7137</v>
      </c>
      <c r="Y55">
        <v>-69.691500000000005</v>
      </c>
      <c r="Z55">
        <v>53.983499999999999</v>
      </c>
      <c r="AA55">
        <v>-40.67</v>
      </c>
      <c r="AB55" s="6"/>
    </row>
    <row r="56" spans="1:28" x14ac:dyDescent="0.35">
      <c r="A56">
        <v>221</v>
      </c>
      <c r="B56" s="9" t="s">
        <v>139</v>
      </c>
      <c r="C56" s="9" t="s">
        <v>127</v>
      </c>
      <c r="D56" s="9" t="s">
        <v>128</v>
      </c>
      <c r="E56" s="9" t="s">
        <v>129</v>
      </c>
      <c r="F56">
        <v>4</v>
      </c>
      <c r="G56" s="9" t="s">
        <v>55</v>
      </c>
      <c r="H56" s="9" t="s">
        <v>56</v>
      </c>
      <c r="I56" s="9" t="s">
        <v>57</v>
      </c>
      <c r="J56" s="9" t="s">
        <v>58</v>
      </c>
      <c r="K56">
        <v>1</v>
      </c>
      <c r="L56" s="6"/>
      <c r="M56">
        <v>96</v>
      </c>
      <c r="N56">
        <v>209</v>
      </c>
      <c r="O56">
        <v>164.78319999999999</v>
      </c>
      <c r="P56">
        <v>335.25020000000001</v>
      </c>
      <c r="Q56">
        <v>250</v>
      </c>
      <c r="R56">
        <v>250</v>
      </c>
      <c r="S56">
        <v>65.91</v>
      </c>
      <c r="T56">
        <v>134.1</v>
      </c>
      <c r="U56">
        <v>0</v>
      </c>
      <c r="V56">
        <v>1</v>
      </c>
      <c r="W56">
        <v>1</v>
      </c>
      <c r="X56">
        <v>1.9127000000000001</v>
      </c>
      <c r="Y56">
        <v>-85.250200000000007</v>
      </c>
      <c r="Z56">
        <v>85.216800000000006</v>
      </c>
      <c r="AA56">
        <v>-44.57</v>
      </c>
      <c r="AB56" s="6"/>
    </row>
    <row r="57" spans="1:28" x14ac:dyDescent="0.35">
      <c r="A57">
        <v>540</v>
      </c>
      <c r="B57" s="9" t="s">
        <v>140</v>
      </c>
      <c r="C57" s="9" t="s">
        <v>64</v>
      </c>
      <c r="D57" s="9" t="s">
        <v>65</v>
      </c>
      <c r="E57" s="9" t="s">
        <v>47</v>
      </c>
      <c r="F57">
        <v>12</v>
      </c>
      <c r="G57" s="9" t="s">
        <v>97</v>
      </c>
      <c r="H57" s="9" t="s">
        <v>49</v>
      </c>
      <c r="I57" s="9" t="s">
        <v>50</v>
      </c>
      <c r="J57" s="9" t="s">
        <v>51</v>
      </c>
      <c r="K57">
        <v>4</v>
      </c>
      <c r="L57" s="6"/>
      <c r="M57">
        <v>72</v>
      </c>
      <c r="N57">
        <v>135</v>
      </c>
      <c r="O57">
        <v>123.5665</v>
      </c>
      <c r="P57">
        <v>266.71600000000001</v>
      </c>
      <c r="Q57">
        <v>200</v>
      </c>
      <c r="R57">
        <v>200</v>
      </c>
      <c r="S57">
        <v>61.78</v>
      </c>
      <c r="T57">
        <v>133.36000000000001</v>
      </c>
      <c r="U57">
        <v>0</v>
      </c>
      <c r="V57">
        <v>1</v>
      </c>
      <c r="W57">
        <v>1</v>
      </c>
      <c r="X57">
        <v>2.1760999999999999</v>
      </c>
      <c r="Y57">
        <v>-66.715999999999994</v>
      </c>
      <c r="Z57">
        <v>76.433499999999995</v>
      </c>
      <c r="AA57">
        <v>-30.66</v>
      </c>
      <c r="AB57" s="6"/>
    </row>
    <row r="58" spans="1:28" x14ac:dyDescent="0.35">
      <c r="A58">
        <v>787</v>
      </c>
      <c r="B58" s="9" t="s">
        <v>141</v>
      </c>
      <c r="C58" s="9" t="s">
        <v>64</v>
      </c>
      <c r="D58" s="9" t="s">
        <v>65</v>
      </c>
      <c r="E58" s="9" t="s">
        <v>47</v>
      </c>
      <c r="F58">
        <v>12</v>
      </c>
      <c r="G58" s="9" t="s">
        <v>110</v>
      </c>
      <c r="H58" s="9" t="s">
        <v>82</v>
      </c>
      <c r="I58" s="9" t="s">
        <v>57</v>
      </c>
      <c r="J58" s="9" t="s">
        <v>58</v>
      </c>
      <c r="K58">
        <v>4</v>
      </c>
      <c r="L58" s="6"/>
      <c r="M58">
        <v>75</v>
      </c>
      <c r="N58">
        <v>183</v>
      </c>
      <c r="O58">
        <v>135.1001</v>
      </c>
      <c r="P58">
        <v>265.75420000000003</v>
      </c>
      <c r="Q58">
        <v>200</v>
      </c>
      <c r="R58">
        <v>200</v>
      </c>
      <c r="S58">
        <v>67.55</v>
      </c>
      <c r="T58">
        <v>132.88</v>
      </c>
      <c r="U58">
        <v>0</v>
      </c>
      <c r="V58">
        <v>1</v>
      </c>
      <c r="W58">
        <v>1</v>
      </c>
      <c r="X58">
        <v>1.9188000000000001</v>
      </c>
      <c r="Y58">
        <v>-65.754199999999997</v>
      </c>
      <c r="Z58">
        <v>64.899900000000002</v>
      </c>
      <c r="AA58">
        <v>-34.270000000000003</v>
      </c>
      <c r="AB58" s="6"/>
    </row>
    <row r="59" spans="1:28" x14ac:dyDescent="0.35">
      <c r="A59">
        <v>1470</v>
      </c>
      <c r="B59" s="9" t="s">
        <v>142</v>
      </c>
      <c r="C59" s="9" t="s">
        <v>69</v>
      </c>
      <c r="D59" s="9" t="s">
        <v>70</v>
      </c>
      <c r="E59" s="9" t="s">
        <v>71</v>
      </c>
      <c r="F59">
        <v>24</v>
      </c>
      <c r="G59" s="9" t="s">
        <v>67</v>
      </c>
      <c r="H59" s="9" t="s">
        <v>56</v>
      </c>
      <c r="I59" s="9" t="s">
        <v>57</v>
      </c>
      <c r="J59" s="9" t="s">
        <v>58</v>
      </c>
      <c r="K59">
        <v>1</v>
      </c>
      <c r="L59" s="6"/>
      <c r="M59">
        <v>110</v>
      </c>
      <c r="N59">
        <v>324</v>
      </c>
      <c r="O59">
        <v>193.36670000000001</v>
      </c>
      <c r="P59">
        <v>395.82839999999999</v>
      </c>
      <c r="Q59">
        <v>300</v>
      </c>
      <c r="R59">
        <v>300</v>
      </c>
      <c r="S59">
        <v>64.459999999999994</v>
      </c>
      <c r="T59">
        <v>131.94</v>
      </c>
      <c r="U59">
        <v>0</v>
      </c>
      <c r="V59">
        <v>1</v>
      </c>
      <c r="W59">
        <v>1</v>
      </c>
      <c r="X59">
        <v>1.9626999999999999</v>
      </c>
      <c r="Y59">
        <v>-95.828400000000002</v>
      </c>
      <c r="Z59">
        <v>106.63330000000001</v>
      </c>
      <c r="AA59">
        <v>-48.82</v>
      </c>
      <c r="AB59" s="6"/>
    </row>
    <row r="60" spans="1:28" x14ac:dyDescent="0.35">
      <c r="A60">
        <v>1297</v>
      </c>
      <c r="B60" s="9" t="s">
        <v>143</v>
      </c>
      <c r="C60" s="9" t="s">
        <v>127</v>
      </c>
      <c r="D60" s="9" t="s">
        <v>128</v>
      </c>
      <c r="E60" s="9" t="s">
        <v>129</v>
      </c>
      <c r="F60">
        <v>4</v>
      </c>
      <c r="G60" s="9" t="s">
        <v>112</v>
      </c>
      <c r="H60" s="9" t="s">
        <v>56</v>
      </c>
      <c r="I60" s="9" t="s">
        <v>89</v>
      </c>
      <c r="J60" s="9" t="s">
        <v>90</v>
      </c>
      <c r="K60">
        <v>1</v>
      </c>
      <c r="L60" s="6"/>
      <c r="M60">
        <v>173</v>
      </c>
      <c r="N60">
        <v>1382</v>
      </c>
      <c r="O60">
        <v>169.53370000000001</v>
      </c>
      <c r="P60">
        <v>319.90600000000001</v>
      </c>
      <c r="Q60">
        <v>250</v>
      </c>
      <c r="R60">
        <v>250</v>
      </c>
      <c r="S60">
        <v>67.81</v>
      </c>
      <c r="T60">
        <v>127.96</v>
      </c>
      <c r="U60">
        <v>0</v>
      </c>
      <c r="V60">
        <v>1</v>
      </c>
      <c r="W60">
        <v>1</v>
      </c>
      <c r="X60">
        <v>1.9300999999999999</v>
      </c>
      <c r="Y60">
        <v>-69.906000000000006</v>
      </c>
      <c r="Z60">
        <v>80.466300000000004</v>
      </c>
      <c r="AA60">
        <v>-36.22</v>
      </c>
      <c r="AB60" s="6"/>
    </row>
    <row r="61" spans="1:28" x14ac:dyDescent="0.35">
      <c r="A61">
        <v>327</v>
      </c>
      <c r="B61" s="9" t="s">
        <v>144</v>
      </c>
      <c r="C61" s="9" t="s">
        <v>64</v>
      </c>
      <c r="D61" s="9" t="s">
        <v>65</v>
      </c>
      <c r="E61" s="9" t="s">
        <v>47</v>
      </c>
      <c r="F61">
        <v>12</v>
      </c>
      <c r="G61" s="9" t="s">
        <v>93</v>
      </c>
      <c r="H61" s="9" t="s">
        <v>49</v>
      </c>
      <c r="I61" s="9" t="s">
        <v>89</v>
      </c>
      <c r="J61" s="9" t="s">
        <v>90</v>
      </c>
      <c r="K61">
        <v>2</v>
      </c>
      <c r="L61" s="6"/>
      <c r="M61">
        <v>139</v>
      </c>
      <c r="N61">
        <v>1084</v>
      </c>
      <c r="O61">
        <v>137.91659999999999</v>
      </c>
      <c r="P61">
        <v>255.3424</v>
      </c>
      <c r="Q61">
        <v>200</v>
      </c>
      <c r="R61">
        <v>200</v>
      </c>
      <c r="S61">
        <v>68.959999999999994</v>
      </c>
      <c r="T61">
        <v>127.67</v>
      </c>
      <c r="U61">
        <v>0</v>
      </c>
      <c r="V61">
        <v>1</v>
      </c>
      <c r="W61">
        <v>1</v>
      </c>
      <c r="X61">
        <v>1.7137</v>
      </c>
      <c r="Y61">
        <v>-55.342399999999998</v>
      </c>
      <c r="Z61">
        <v>62.083399999999997</v>
      </c>
      <c r="AA61">
        <v>-32.29</v>
      </c>
      <c r="AB61" s="6"/>
    </row>
    <row r="62" spans="1:28" x14ac:dyDescent="0.35">
      <c r="A62">
        <v>329</v>
      </c>
      <c r="B62" s="9" t="s">
        <v>145</v>
      </c>
      <c r="C62" s="9" t="s">
        <v>64</v>
      </c>
      <c r="D62" s="9" t="s">
        <v>65</v>
      </c>
      <c r="E62" s="9" t="s">
        <v>47</v>
      </c>
      <c r="F62">
        <v>12</v>
      </c>
      <c r="G62" s="9" t="s">
        <v>93</v>
      </c>
      <c r="H62" s="9" t="s">
        <v>49</v>
      </c>
      <c r="I62" s="9" t="s">
        <v>89</v>
      </c>
      <c r="J62" s="9" t="s">
        <v>90</v>
      </c>
      <c r="K62">
        <v>3</v>
      </c>
      <c r="L62" s="6"/>
      <c r="M62">
        <v>139</v>
      </c>
      <c r="N62">
        <v>1084</v>
      </c>
      <c r="O62">
        <v>137.91659999999999</v>
      </c>
      <c r="P62">
        <v>255.3424</v>
      </c>
      <c r="Q62">
        <v>200</v>
      </c>
      <c r="R62">
        <v>200</v>
      </c>
      <c r="S62">
        <v>68.959999999999994</v>
      </c>
      <c r="T62">
        <v>127.67</v>
      </c>
      <c r="U62">
        <v>0</v>
      </c>
      <c r="V62">
        <v>1</v>
      </c>
      <c r="W62">
        <v>1</v>
      </c>
      <c r="X62">
        <v>1.7137</v>
      </c>
      <c r="Y62">
        <v>-55.342399999999998</v>
      </c>
      <c r="Z62">
        <v>62.083399999999997</v>
      </c>
      <c r="AA62">
        <v>-32.29</v>
      </c>
      <c r="AB62" s="6"/>
    </row>
    <row r="63" spans="1:28" x14ac:dyDescent="0.35">
      <c r="A63">
        <v>683</v>
      </c>
      <c r="B63" s="9" t="s">
        <v>146</v>
      </c>
      <c r="C63" s="9" t="s">
        <v>45</v>
      </c>
      <c r="D63" s="9" t="s">
        <v>46</v>
      </c>
      <c r="E63" s="9" t="s">
        <v>47</v>
      </c>
      <c r="F63">
        <v>18</v>
      </c>
      <c r="G63" s="9" t="s">
        <v>81</v>
      </c>
      <c r="H63" s="9" t="s">
        <v>82</v>
      </c>
      <c r="I63" s="9" t="s">
        <v>57</v>
      </c>
      <c r="J63" s="9" t="s">
        <v>58</v>
      </c>
      <c r="K63">
        <v>2</v>
      </c>
      <c r="L63" s="6"/>
      <c r="M63">
        <v>55</v>
      </c>
      <c r="N63">
        <v>146</v>
      </c>
      <c r="O63">
        <v>95.316699999999997</v>
      </c>
      <c r="P63">
        <v>191.02690000000001</v>
      </c>
      <c r="Q63">
        <v>150</v>
      </c>
      <c r="R63">
        <v>150</v>
      </c>
      <c r="S63">
        <v>63.54</v>
      </c>
      <c r="T63">
        <v>127.35</v>
      </c>
      <c r="U63">
        <v>0</v>
      </c>
      <c r="V63">
        <v>1</v>
      </c>
      <c r="W63">
        <v>1</v>
      </c>
      <c r="X63">
        <v>1.8671</v>
      </c>
      <c r="Y63">
        <v>-41.026899999999998</v>
      </c>
      <c r="Z63">
        <v>54.683300000000003</v>
      </c>
      <c r="AA63">
        <v>-21.97</v>
      </c>
      <c r="AB63" s="6"/>
    </row>
    <row r="64" spans="1:28" x14ac:dyDescent="0.35">
      <c r="A64">
        <v>62</v>
      </c>
      <c r="B64" s="9" t="s">
        <v>147</v>
      </c>
      <c r="C64" s="9" t="s">
        <v>53</v>
      </c>
      <c r="D64" s="9" t="s">
        <v>54</v>
      </c>
      <c r="E64" s="9" t="s">
        <v>47</v>
      </c>
      <c r="F64">
        <v>8</v>
      </c>
      <c r="G64" s="9" t="s">
        <v>62</v>
      </c>
      <c r="H64" s="9" t="s">
        <v>56</v>
      </c>
      <c r="I64" s="9" t="s">
        <v>50</v>
      </c>
      <c r="J64" s="9" t="s">
        <v>51</v>
      </c>
      <c r="K64">
        <v>1</v>
      </c>
      <c r="L64" s="6"/>
      <c r="M64">
        <v>42</v>
      </c>
      <c r="N64">
        <v>66</v>
      </c>
      <c r="O64">
        <v>67.433199999999999</v>
      </c>
      <c r="P64">
        <v>151.3844</v>
      </c>
      <c r="Q64">
        <v>120</v>
      </c>
      <c r="R64">
        <v>120</v>
      </c>
      <c r="S64">
        <v>56.19</v>
      </c>
      <c r="T64">
        <v>126.15</v>
      </c>
      <c r="U64">
        <v>0</v>
      </c>
      <c r="V64">
        <v>1</v>
      </c>
      <c r="W64">
        <v>1</v>
      </c>
      <c r="X64">
        <v>2.2806999999999999</v>
      </c>
      <c r="Y64">
        <v>-31.384399999999999</v>
      </c>
      <c r="Z64">
        <v>52.566800000000001</v>
      </c>
      <c r="AA64">
        <v>-13.76</v>
      </c>
      <c r="AB64" s="6"/>
    </row>
    <row r="65" spans="1:28" x14ac:dyDescent="0.35">
      <c r="A65">
        <v>554</v>
      </c>
      <c r="B65" s="9" t="s">
        <v>148</v>
      </c>
      <c r="C65" s="9" t="s">
        <v>45</v>
      </c>
      <c r="D65" s="9" t="s">
        <v>46</v>
      </c>
      <c r="E65" s="9" t="s">
        <v>47</v>
      </c>
      <c r="F65">
        <v>18</v>
      </c>
      <c r="G65" s="9" t="s">
        <v>97</v>
      </c>
      <c r="H65" s="9" t="s">
        <v>49</v>
      </c>
      <c r="I65" s="9" t="s">
        <v>50</v>
      </c>
      <c r="J65" s="9" t="s">
        <v>51</v>
      </c>
      <c r="K65">
        <v>3</v>
      </c>
      <c r="L65" s="6"/>
      <c r="M65">
        <v>52</v>
      </c>
      <c r="N65">
        <v>99</v>
      </c>
      <c r="O65">
        <v>87.1999</v>
      </c>
      <c r="P65">
        <v>189.07560000000001</v>
      </c>
      <c r="Q65">
        <v>150</v>
      </c>
      <c r="R65">
        <v>150</v>
      </c>
      <c r="S65">
        <v>58.13</v>
      </c>
      <c r="T65">
        <v>126.05</v>
      </c>
      <c r="U65">
        <v>0</v>
      </c>
      <c r="V65">
        <v>1</v>
      </c>
      <c r="W65">
        <v>1</v>
      </c>
      <c r="X65">
        <v>2.1760999999999999</v>
      </c>
      <c r="Y65">
        <v>-39.075600000000001</v>
      </c>
      <c r="Z65">
        <v>62.8001</v>
      </c>
      <c r="AA65">
        <v>-17.96</v>
      </c>
      <c r="AB65" s="6"/>
    </row>
    <row r="66" spans="1:28" x14ac:dyDescent="0.35">
      <c r="A66">
        <v>77</v>
      </c>
      <c r="B66" s="9" t="s">
        <v>149</v>
      </c>
      <c r="C66" s="9" t="s">
        <v>127</v>
      </c>
      <c r="D66" s="9" t="s">
        <v>128</v>
      </c>
      <c r="E66" s="9" t="s">
        <v>129</v>
      </c>
      <c r="F66">
        <v>4</v>
      </c>
      <c r="G66" s="9" t="s">
        <v>62</v>
      </c>
      <c r="H66" s="9" t="s">
        <v>56</v>
      </c>
      <c r="I66" s="9" t="s">
        <v>50</v>
      </c>
      <c r="J66" s="9" t="s">
        <v>51</v>
      </c>
      <c r="K66">
        <v>1</v>
      </c>
      <c r="L66" s="6"/>
      <c r="M66">
        <v>83</v>
      </c>
      <c r="N66">
        <v>142</v>
      </c>
      <c r="O66">
        <v>136.91669999999999</v>
      </c>
      <c r="P66">
        <v>311.47899999999998</v>
      </c>
      <c r="Q66">
        <v>250</v>
      </c>
      <c r="R66">
        <v>250</v>
      </c>
      <c r="S66">
        <v>54.77</v>
      </c>
      <c r="T66">
        <v>124.59</v>
      </c>
      <c r="U66">
        <v>0</v>
      </c>
      <c r="V66">
        <v>1</v>
      </c>
      <c r="W66">
        <v>1</v>
      </c>
      <c r="X66">
        <v>2.2806999999999999</v>
      </c>
      <c r="Y66">
        <v>-61.478999999999999</v>
      </c>
      <c r="Z66">
        <v>113.08329999999999</v>
      </c>
      <c r="AA66">
        <v>-26.96</v>
      </c>
      <c r="AB66" s="6"/>
    </row>
    <row r="67" spans="1:28" x14ac:dyDescent="0.35">
      <c r="A67">
        <v>679</v>
      </c>
      <c r="B67" s="9" t="s">
        <v>150</v>
      </c>
      <c r="C67" s="9" t="s">
        <v>45</v>
      </c>
      <c r="D67" s="9" t="s">
        <v>46</v>
      </c>
      <c r="E67" s="9" t="s">
        <v>47</v>
      </c>
      <c r="F67">
        <v>18</v>
      </c>
      <c r="G67" s="9" t="s">
        <v>81</v>
      </c>
      <c r="H67" s="9" t="s">
        <v>82</v>
      </c>
      <c r="I67" s="9" t="s">
        <v>57</v>
      </c>
      <c r="J67" s="9" t="s">
        <v>58</v>
      </c>
      <c r="K67">
        <v>1</v>
      </c>
      <c r="L67" s="6"/>
      <c r="M67">
        <v>52</v>
      </c>
      <c r="N67">
        <v>138</v>
      </c>
      <c r="O67">
        <v>92.416700000000006</v>
      </c>
      <c r="P67">
        <v>185.43819999999999</v>
      </c>
      <c r="Q67">
        <v>150</v>
      </c>
      <c r="R67">
        <v>150</v>
      </c>
      <c r="S67">
        <v>61.61</v>
      </c>
      <c r="T67">
        <v>123.63</v>
      </c>
      <c r="U67">
        <v>0</v>
      </c>
      <c r="V67">
        <v>1</v>
      </c>
      <c r="W67">
        <v>1</v>
      </c>
      <c r="X67">
        <v>1.8671</v>
      </c>
      <c r="Y67">
        <v>-35.438200000000002</v>
      </c>
      <c r="Z67">
        <v>57.583300000000001</v>
      </c>
      <c r="AA67">
        <v>-18.98</v>
      </c>
      <c r="AB67" s="6"/>
    </row>
    <row r="68" spans="1:28" x14ac:dyDescent="0.35">
      <c r="A68">
        <v>17</v>
      </c>
      <c r="B68" s="9" t="s">
        <v>151</v>
      </c>
      <c r="C68" s="9" t="s">
        <v>69</v>
      </c>
      <c r="D68" s="9" t="s">
        <v>70</v>
      </c>
      <c r="E68" s="9" t="s">
        <v>71</v>
      </c>
      <c r="F68">
        <v>24</v>
      </c>
      <c r="G68" s="9" t="s">
        <v>99</v>
      </c>
      <c r="H68" s="9" t="s">
        <v>56</v>
      </c>
      <c r="I68" s="9" t="s">
        <v>57</v>
      </c>
      <c r="J68" s="9" t="s">
        <v>58</v>
      </c>
      <c r="K68">
        <v>1</v>
      </c>
      <c r="L68" s="6"/>
      <c r="M68">
        <v>110</v>
      </c>
      <c r="N68">
        <v>257</v>
      </c>
      <c r="O68">
        <v>184.03389999999999</v>
      </c>
      <c r="P68">
        <v>369.03210000000001</v>
      </c>
      <c r="Q68">
        <v>300</v>
      </c>
      <c r="R68">
        <v>300</v>
      </c>
      <c r="S68">
        <v>61.34</v>
      </c>
      <c r="T68">
        <v>123.01</v>
      </c>
      <c r="U68">
        <v>0</v>
      </c>
      <c r="V68">
        <v>1</v>
      </c>
      <c r="W68">
        <v>1</v>
      </c>
      <c r="X68">
        <v>2.0638000000000001</v>
      </c>
      <c r="Y68">
        <v>-69.0321</v>
      </c>
      <c r="Z68">
        <v>115.9661</v>
      </c>
      <c r="AA68">
        <v>-33.450000000000003</v>
      </c>
      <c r="AB68" s="6"/>
    </row>
    <row r="69" spans="1:28" x14ac:dyDescent="0.35">
      <c r="A69">
        <v>1127</v>
      </c>
      <c r="B69" s="9" t="s">
        <v>152</v>
      </c>
      <c r="C69" s="9" t="s">
        <v>69</v>
      </c>
      <c r="D69" s="9" t="s">
        <v>70</v>
      </c>
      <c r="E69" s="9" t="s">
        <v>71</v>
      </c>
      <c r="F69">
        <v>24</v>
      </c>
      <c r="G69" s="9" t="s">
        <v>153</v>
      </c>
      <c r="H69" s="9" t="s">
        <v>82</v>
      </c>
      <c r="I69" s="9" t="s">
        <v>154</v>
      </c>
      <c r="J69" s="9" t="s">
        <v>155</v>
      </c>
      <c r="K69">
        <v>1</v>
      </c>
      <c r="L69" s="6"/>
      <c r="M69">
        <v>201</v>
      </c>
      <c r="N69">
        <v>463</v>
      </c>
      <c r="O69">
        <v>297.00040000000001</v>
      </c>
      <c r="P69">
        <v>364.52</v>
      </c>
      <c r="Q69">
        <v>300</v>
      </c>
      <c r="R69">
        <v>300</v>
      </c>
      <c r="S69">
        <v>99</v>
      </c>
      <c r="T69">
        <v>121.51</v>
      </c>
      <c r="U69">
        <v>0</v>
      </c>
      <c r="V69">
        <v>1</v>
      </c>
      <c r="W69">
        <v>1</v>
      </c>
      <c r="X69">
        <v>1.2827</v>
      </c>
      <c r="Y69">
        <v>-64.52</v>
      </c>
      <c r="Z69">
        <v>2.9996</v>
      </c>
      <c r="AA69">
        <v>-50.3</v>
      </c>
      <c r="AB69" s="6"/>
    </row>
    <row r="70" spans="1:28" x14ac:dyDescent="0.35">
      <c r="A70">
        <v>1141</v>
      </c>
      <c r="B70" s="9" t="s">
        <v>156</v>
      </c>
      <c r="C70" s="9" t="s">
        <v>64</v>
      </c>
      <c r="D70" s="9" t="s">
        <v>65</v>
      </c>
      <c r="E70" s="9" t="s">
        <v>47</v>
      </c>
      <c r="F70">
        <v>12</v>
      </c>
      <c r="G70" s="9" t="s">
        <v>153</v>
      </c>
      <c r="H70" s="9" t="s">
        <v>82</v>
      </c>
      <c r="I70" s="9" t="s">
        <v>154</v>
      </c>
      <c r="J70" s="9" t="s">
        <v>155</v>
      </c>
      <c r="K70">
        <v>3</v>
      </c>
      <c r="L70" s="6"/>
      <c r="M70">
        <v>132</v>
      </c>
      <c r="N70">
        <v>280</v>
      </c>
      <c r="O70">
        <v>195.4</v>
      </c>
      <c r="P70">
        <v>237.79069999999999</v>
      </c>
      <c r="Q70">
        <v>200</v>
      </c>
      <c r="R70">
        <v>200</v>
      </c>
      <c r="S70">
        <v>97.7</v>
      </c>
      <c r="T70">
        <v>118.9</v>
      </c>
      <c r="U70">
        <v>0</v>
      </c>
      <c r="V70">
        <v>1</v>
      </c>
      <c r="W70">
        <v>1</v>
      </c>
      <c r="X70">
        <v>1.2827</v>
      </c>
      <c r="Y70">
        <v>-37.790700000000001</v>
      </c>
      <c r="Z70">
        <v>4.5999999999999996</v>
      </c>
      <c r="AA70">
        <v>-29.46</v>
      </c>
      <c r="AB70" s="6"/>
    </row>
    <row r="71" spans="1:28" x14ac:dyDescent="0.35">
      <c r="A71">
        <v>1144</v>
      </c>
      <c r="B71" s="9" t="s">
        <v>157</v>
      </c>
      <c r="C71" s="9" t="s">
        <v>64</v>
      </c>
      <c r="D71" s="9" t="s">
        <v>65</v>
      </c>
      <c r="E71" s="9" t="s">
        <v>47</v>
      </c>
      <c r="F71">
        <v>12</v>
      </c>
      <c r="G71" s="9" t="s">
        <v>153</v>
      </c>
      <c r="H71" s="9" t="s">
        <v>82</v>
      </c>
      <c r="I71" s="9" t="s">
        <v>154</v>
      </c>
      <c r="J71" s="9" t="s">
        <v>155</v>
      </c>
      <c r="K71">
        <v>4</v>
      </c>
      <c r="L71" s="6"/>
      <c r="M71">
        <v>132</v>
      </c>
      <c r="N71">
        <v>280</v>
      </c>
      <c r="O71">
        <v>195.4</v>
      </c>
      <c r="P71">
        <v>237.79069999999999</v>
      </c>
      <c r="Q71">
        <v>200</v>
      </c>
      <c r="R71">
        <v>200</v>
      </c>
      <c r="S71">
        <v>97.7</v>
      </c>
      <c r="T71">
        <v>118.9</v>
      </c>
      <c r="U71">
        <v>0</v>
      </c>
      <c r="V71">
        <v>1</v>
      </c>
      <c r="W71">
        <v>1</v>
      </c>
      <c r="X71">
        <v>1.2827</v>
      </c>
      <c r="Y71">
        <v>-37.790700000000001</v>
      </c>
      <c r="Z71">
        <v>4.5999999999999996</v>
      </c>
      <c r="AA71">
        <v>-29.46</v>
      </c>
      <c r="AB71" s="6"/>
    </row>
    <row r="72" spans="1:28" x14ac:dyDescent="0.35">
      <c r="A72">
        <v>1486</v>
      </c>
      <c r="B72" s="9" t="s">
        <v>158</v>
      </c>
      <c r="C72" s="9" t="s">
        <v>64</v>
      </c>
      <c r="D72" s="9" t="s">
        <v>65</v>
      </c>
      <c r="E72" s="9" t="s">
        <v>47</v>
      </c>
      <c r="F72">
        <v>12</v>
      </c>
      <c r="G72" s="9" t="s">
        <v>67</v>
      </c>
      <c r="H72" s="9" t="s">
        <v>56</v>
      </c>
      <c r="I72" s="9" t="s">
        <v>57</v>
      </c>
      <c r="J72" s="9" t="s">
        <v>58</v>
      </c>
      <c r="K72">
        <v>4</v>
      </c>
      <c r="L72" s="6"/>
      <c r="M72">
        <v>65</v>
      </c>
      <c r="N72">
        <v>190</v>
      </c>
      <c r="O72">
        <v>115.15</v>
      </c>
      <c r="P72">
        <v>236.32929999999999</v>
      </c>
      <c r="Q72">
        <v>200</v>
      </c>
      <c r="R72">
        <v>200</v>
      </c>
      <c r="S72">
        <v>57.58</v>
      </c>
      <c r="T72">
        <v>118.16</v>
      </c>
      <c r="U72">
        <v>0</v>
      </c>
      <c r="V72">
        <v>1</v>
      </c>
      <c r="W72">
        <v>1</v>
      </c>
      <c r="X72">
        <v>1.9626999999999999</v>
      </c>
      <c r="Y72">
        <v>-36.329300000000003</v>
      </c>
      <c r="Z72">
        <v>84.85</v>
      </c>
      <c r="AA72">
        <v>-18.510000000000002</v>
      </c>
      <c r="AB72" s="6"/>
    </row>
    <row r="73" spans="1:28" x14ac:dyDescent="0.35">
      <c r="A73">
        <v>1307</v>
      </c>
      <c r="B73" s="9" t="s">
        <v>159</v>
      </c>
      <c r="C73" s="9" t="s">
        <v>64</v>
      </c>
      <c r="D73" s="9" t="s">
        <v>65</v>
      </c>
      <c r="E73" s="9" t="s">
        <v>47</v>
      </c>
      <c r="F73">
        <v>12</v>
      </c>
      <c r="G73" s="9" t="s">
        <v>112</v>
      </c>
      <c r="H73" s="9" t="s">
        <v>56</v>
      </c>
      <c r="I73" s="9" t="s">
        <v>89</v>
      </c>
      <c r="J73" s="9" t="s">
        <v>90</v>
      </c>
      <c r="K73">
        <v>4</v>
      </c>
      <c r="L73" s="6"/>
      <c r="M73">
        <v>127</v>
      </c>
      <c r="N73">
        <v>1008</v>
      </c>
      <c r="O73">
        <v>126.0338</v>
      </c>
      <c r="P73">
        <v>235.99180000000001</v>
      </c>
      <c r="Q73">
        <v>200</v>
      </c>
      <c r="R73">
        <v>200</v>
      </c>
      <c r="S73">
        <v>63.02</v>
      </c>
      <c r="T73">
        <v>118</v>
      </c>
      <c r="U73">
        <v>0</v>
      </c>
      <c r="V73">
        <v>1</v>
      </c>
      <c r="W73">
        <v>1</v>
      </c>
      <c r="X73">
        <v>1.9300999999999999</v>
      </c>
      <c r="Y73">
        <v>-35.991799999999998</v>
      </c>
      <c r="Z73">
        <v>73.966200000000001</v>
      </c>
      <c r="AA73">
        <v>-18.649999999999999</v>
      </c>
      <c r="AB73" s="6"/>
    </row>
    <row r="74" spans="1:28" x14ac:dyDescent="0.35">
      <c r="A74">
        <v>1086</v>
      </c>
      <c r="B74" s="9" t="s">
        <v>160</v>
      </c>
      <c r="C74" s="9" t="s">
        <v>64</v>
      </c>
      <c r="D74" s="9" t="s">
        <v>65</v>
      </c>
      <c r="E74" s="9" t="s">
        <v>47</v>
      </c>
      <c r="F74">
        <v>12</v>
      </c>
      <c r="G74" s="9" t="s">
        <v>161</v>
      </c>
      <c r="H74" s="9" t="s">
        <v>82</v>
      </c>
      <c r="I74" s="9" t="s">
        <v>154</v>
      </c>
      <c r="J74" s="9" t="s">
        <v>155</v>
      </c>
      <c r="K74">
        <v>1</v>
      </c>
      <c r="L74" s="6"/>
      <c r="M74">
        <v>131</v>
      </c>
      <c r="N74">
        <v>310</v>
      </c>
      <c r="O74">
        <v>190.43360000000001</v>
      </c>
      <c r="P74">
        <v>234.8751</v>
      </c>
      <c r="Q74">
        <v>200</v>
      </c>
      <c r="R74">
        <v>200</v>
      </c>
      <c r="S74">
        <v>95.22</v>
      </c>
      <c r="T74">
        <v>117.44</v>
      </c>
      <c r="U74">
        <v>0</v>
      </c>
      <c r="V74">
        <v>1</v>
      </c>
      <c r="W74">
        <v>1</v>
      </c>
      <c r="X74">
        <v>1.2703</v>
      </c>
      <c r="Y74">
        <v>-34.875100000000003</v>
      </c>
      <c r="Z74">
        <v>9.5663999999999998</v>
      </c>
      <c r="AA74">
        <v>-27.45</v>
      </c>
      <c r="AB74" s="6"/>
    </row>
    <row r="75" spans="1:28" x14ac:dyDescent="0.35">
      <c r="A75">
        <v>891</v>
      </c>
      <c r="B75" s="9" t="s">
        <v>162</v>
      </c>
      <c r="C75" s="9" t="s">
        <v>45</v>
      </c>
      <c r="D75" s="9" t="s">
        <v>46</v>
      </c>
      <c r="E75" s="9" t="s">
        <v>47</v>
      </c>
      <c r="F75">
        <v>18</v>
      </c>
      <c r="G75" s="9" t="s">
        <v>77</v>
      </c>
      <c r="H75" s="9" t="s">
        <v>49</v>
      </c>
      <c r="I75" s="9" t="s">
        <v>50</v>
      </c>
      <c r="J75" s="9" t="s">
        <v>51</v>
      </c>
      <c r="K75">
        <v>1</v>
      </c>
      <c r="L75" s="6"/>
      <c r="M75">
        <v>49</v>
      </c>
      <c r="N75">
        <v>92</v>
      </c>
      <c r="O75">
        <v>80.050200000000004</v>
      </c>
      <c r="P75">
        <v>175.29859999999999</v>
      </c>
      <c r="Q75">
        <v>150</v>
      </c>
      <c r="R75">
        <v>150</v>
      </c>
      <c r="S75">
        <v>53.37</v>
      </c>
      <c r="T75">
        <v>116.87</v>
      </c>
      <c r="U75">
        <v>0</v>
      </c>
      <c r="V75">
        <v>1</v>
      </c>
      <c r="W75">
        <v>1</v>
      </c>
      <c r="X75">
        <v>2.1968999999999999</v>
      </c>
      <c r="Y75">
        <v>-25.2986</v>
      </c>
      <c r="Z75">
        <v>69.949799999999996</v>
      </c>
      <c r="AA75">
        <v>-11.52</v>
      </c>
      <c r="AB75" s="6"/>
    </row>
    <row r="76" spans="1:28" x14ac:dyDescent="0.35">
      <c r="A76">
        <v>876</v>
      </c>
      <c r="B76" s="9" t="s">
        <v>163</v>
      </c>
      <c r="C76" s="9" t="s">
        <v>64</v>
      </c>
      <c r="D76" s="9" t="s">
        <v>65</v>
      </c>
      <c r="E76" s="9" t="s">
        <v>47</v>
      </c>
      <c r="F76">
        <v>12</v>
      </c>
      <c r="G76" s="9" t="s">
        <v>77</v>
      </c>
      <c r="H76" s="9" t="s">
        <v>49</v>
      </c>
      <c r="I76" s="9" t="s">
        <v>50</v>
      </c>
      <c r="J76" s="9" t="s">
        <v>51</v>
      </c>
      <c r="K76">
        <v>2</v>
      </c>
      <c r="L76" s="6"/>
      <c r="M76">
        <v>66</v>
      </c>
      <c r="N76">
        <v>125</v>
      </c>
      <c r="O76">
        <v>108.5671</v>
      </c>
      <c r="P76">
        <v>233.24590000000001</v>
      </c>
      <c r="Q76">
        <v>200</v>
      </c>
      <c r="R76">
        <v>200</v>
      </c>
      <c r="S76">
        <v>54.28</v>
      </c>
      <c r="T76">
        <v>116.62</v>
      </c>
      <c r="U76">
        <v>0</v>
      </c>
      <c r="V76">
        <v>1</v>
      </c>
      <c r="W76">
        <v>1</v>
      </c>
      <c r="X76">
        <v>2.1968999999999999</v>
      </c>
      <c r="Y76">
        <v>-33.245899999999999</v>
      </c>
      <c r="Z76">
        <v>91.432900000000004</v>
      </c>
      <c r="AA76">
        <v>-15.13</v>
      </c>
      <c r="AB76" s="6"/>
    </row>
    <row r="77" spans="1:28" x14ac:dyDescent="0.35">
      <c r="A77">
        <v>746</v>
      </c>
      <c r="B77" s="9" t="s">
        <v>164</v>
      </c>
      <c r="C77" s="9" t="s">
        <v>45</v>
      </c>
      <c r="D77" s="9" t="s">
        <v>46</v>
      </c>
      <c r="E77" s="9" t="s">
        <v>47</v>
      </c>
      <c r="F77">
        <v>18</v>
      </c>
      <c r="G77" s="9" t="s">
        <v>95</v>
      </c>
      <c r="H77" s="9" t="s">
        <v>49</v>
      </c>
      <c r="I77" s="9" t="s">
        <v>57</v>
      </c>
      <c r="J77" s="9" t="s">
        <v>58</v>
      </c>
      <c r="K77">
        <v>3</v>
      </c>
      <c r="L77" s="6"/>
      <c r="M77">
        <v>49</v>
      </c>
      <c r="N77">
        <v>93</v>
      </c>
      <c r="O77">
        <v>89.533299999999997</v>
      </c>
      <c r="P77">
        <v>173.64179999999999</v>
      </c>
      <c r="Q77">
        <v>150</v>
      </c>
      <c r="R77">
        <v>150</v>
      </c>
      <c r="S77">
        <v>59.69</v>
      </c>
      <c r="T77">
        <v>115.76</v>
      </c>
      <c r="U77">
        <v>0</v>
      </c>
      <c r="V77">
        <v>1</v>
      </c>
      <c r="W77">
        <v>1</v>
      </c>
      <c r="X77">
        <v>1.9216</v>
      </c>
      <c r="Y77">
        <v>-23.6418</v>
      </c>
      <c r="Z77">
        <v>60.466700000000003</v>
      </c>
      <c r="AA77">
        <v>-12.3</v>
      </c>
      <c r="AB77" s="6"/>
    </row>
    <row r="78" spans="1:28" x14ac:dyDescent="0.35">
      <c r="A78">
        <v>1148</v>
      </c>
      <c r="B78" s="9" t="s">
        <v>165</v>
      </c>
      <c r="C78" s="9" t="s">
        <v>45</v>
      </c>
      <c r="D78" s="9" t="s">
        <v>46</v>
      </c>
      <c r="E78" s="9" t="s">
        <v>47</v>
      </c>
      <c r="F78">
        <v>18</v>
      </c>
      <c r="G78" s="9" t="s">
        <v>153</v>
      </c>
      <c r="H78" s="9" t="s">
        <v>82</v>
      </c>
      <c r="I78" s="9" t="s">
        <v>154</v>
      </c>
      <c r="J78" s="9" t="s">
        <v>155</v>
      </c>
      <c r="K78">
        <v>1</v>
      </c>
      <c r="L78" s="6"/>
      <c r="M78">
        <v>98</v>
      </c>
      <c r="N78">
        <v>203</v>
      </c>
      <c r="O78">
        <v>144.9</v>
      </c>
      <c r="P78">
        <v>173.6421</v>
      </c>
      <c r="Q78">
        <v>150</v>
      </c>
      <c r="R78">
        <v>150</v>
      </c>
      <c r="S78">
        <v>96.6</v>
      </c>
      <c r="T78">
        <v>115.76</v>
      </c>
      <c r="U78">
        <v>0</v>
      </c>
      <c r="V78">
        <v>1</v>
      </c>
      <c r="W78">
        <v>1</v>
      </c>
      <c r="X78">
        <v>1.2827</v>
      </c>
      <c r="Y78">
        <v>-23.642099999999999</v>
      </c>
      <c r="Z78">
        <v>5.0999999999999996</v>
      </c>
      <c r="AA78">
        <v>-18.43</v>
      </c>
      <c r="AB78" s="6"/>
    </row>
    <row r="79" spans="1:28" x14ac:dyDescent="0.35">
      <c r="A79">
        <v>1162</v>
      </c>
      <c r="B79" s="9" t="s">
        <v>166</v>
      </c>
      <c r="C79" s="9" t="s">
        <v>45</v>
      </c>
      <c r="D79" s="9" t="s">
        <v>46</v>
      </c>
      <c r="E79" s="9" t="s">
        <v>47</v>
      </c>
      <c r="F79">
        <v>18</v>
      </c>
      <c r="G79" s="9" t="s">
        <v>153</v>
      </c>
      <c r="H79" s="9" t="s">
        <v>82</v>
      </c>
      <c r="I79" s="9" t="s">
        <v>154</v>
      </c>
      <c r="J79" s="9" t="s">
        <v>155</v>
      </c>
      <c r="K79">
        <v>4</v>
      </c>
      <c r="L79" s="6"/>
      <c r="M79">
        <v>98</v>
      </c>
      <c r="N79">
        <v>203</v>
      </c>
      <c r="O79">
        <v>144.9</v>
      </c>
      <c r="P79">
        <v>173.6421</v>
      </c>
      <c r="Q79">
        <v>150</v>
      </c>
      <c r="R79">
        <v>150</v>
      </c>
      <c r="S79">
        <v>96.6</v>
      </c>
      <c r="T79">
        <v>115.76</v>
      </c>
      <c r="U79">
        <v>0</v>
      </c>
      <c r="V79">
        <v>1</v>
      </c>
      <c r="W79">
        <v>1</v>
      </c>
      <c r="X79">
        <v>1.2827</v>
      </c>
      <c r="Y79">
        <v>-23.642099999999999</v>
      </c>
      <c r="Z79">
        <v>5.0999999999999996</v>
      </c>
      <c r="AA79">
        <v>-18.43</v>
      </c>
      <c r="AB79" s="6"/>
    </row>
    <row r="80" spans="1:28" x14ac:dyDescent="0.35">
      <c r="A80">
        <v>1119</v>
      </c>
      <c r="B80" s="9" t="s">
        <v>167</v>
      </c>
      <c r="C80" s="9" t="s">
        <v>53</v>
      </c>
      <c r="D80" s="9" t="s">
        <v>54</v>
      </c>
      <c r="E80" s="9" t="s">
        <v>47</v>
      </c>
      <c r="F80">
        <v>8</v>
      </c>
      <c r="G80" s="9" t="s">
        <v>153</v>
      </c>
      <c r="H80" s="9" t="s">
        <v>82</v>
      </c>
      <c r="I80" s="9" t="s">
        <v>154</v>
      </c>
      <c r="J80" s="9" t="s">
        <v>155</v>
      </c>
      <c r="K80">
        <v>1</v>
      </c>
      <c r="L80" s="6"/>
      <c r="M80">
        <v>77</v>
      </c>
      <c r="N80">
        <v>157</v>
      </c>
      <c r="O80">
        <v>113.8331</v>
      </c>
      <c r="P80">
        <v>138.49209999999999</v>
      </c>
      <c r="Q80">
        <v>120</v>
      </c>
      <c r="R80">
        <v>120</v>
      </c>
      <c r="S80">
        <v>94.86</v>
      </c>
      <c r="T80">
        <v>115.41</v>
      </c>
      <c r="U80">
        <v>0</v>
      </c>
      <c r="V80">
        <v>1</v>
      </c>
      <c r="W80">
        <v>1</v>
      </c>
      <c r="X80">
        <v>1.2827</v>
      </c>
      <c r="Y80">
        <v>-18.492100000000001</v>
      </c>
      <c r="Z80">
        <v>6.1669</v>
      </c>
      <c r="AA80">
        <v>-14.42</v>
      </c>
      <c r="AB80" s="6"/>
    </row>
    <row r="81" spans="1:28" x14ac:dyDescent="0.35">
      <c r="A81">
        <v>1342</v>
      </c>
      <c r="B81" s="9" t="s">
        <v>168</v>
      </c>
      <c r="C81" s="9" t="s">
        <v>64</v>
      </c>
      <c r="D81" s="9" t="s">
        <v>65</v>
      </c>
      <c r="E81" s="9" t="s">
        <v>47</v>
      </c>
      <c r="F81">
        <v>12</v>
      </c>
      <c r="G81" s="9" t="s">
        <v>72</v>
      </c>
      <c r="H81" s="9" t="s">
        <v>56</v>
      </c>
      <c r="I81" s="9" t="s">
        <v>50</v>
      </c>
      <c r="J81" s="9" t="s">
        <v>51</v>
      </c>
      <c r="K81">
        <v>1</v>
      </c>
      <c r="L81" s="6"/>
      <c r="M81">
        <v>66</v>
      </c>
      <c r="N81">
        <v>110</v>
      </c>
      <c r="O81">
        <v>112.78319999999999</v>
      </c>
      <c r="P81">
        <v>229.46109999999999</v>
      </c>
      <c r="Q81">
        <v>200</v>
      </c>
      <c r="R81">
        <v>200</v>
      </c>
      <c r="S81">
        <v>56.39</v>
      </c>
      <c r="T81">
        <v>114.73</v>
      </c>
      <c r="U81">
        <v>0</v>
      </c>
      <c r="V81">
        <v>1</v>
      </c>
      <c r="W81">
        <v>1</v>
      </c>
      <c r="X81">
        <v>1.9079999999999999</v>
      </c>
      <c r="Y81">
        <v>-29.461099999999998</v>
      </c>
      <c r="Z81">
        <v>87.216800000000006</v>
      </c>
      <c r="AA81">
        <v>-15.44</v>
      </c>
      <c r="AB81" s="6"/>
    </row>
    <row r="82" spans="1:28" x14ac:dyDescent="0.35">
      <c r="A82">
        <v>1023</v>
      </c>
      <c r="B82" s="9" t="s">
        <v>169</v>
      </c>
      <c r="C82" s="9" t="s">
        <v>45</v>
      </c>
      <c r="D82" s="9" t="s">
        <v>46</v>
      </c>
      <c r="E82" s="9" t="s">
        <v>47</v>
      </c>
      <c r="F82">
        <v>18</v>
      </c>
      <c r="G82" s="9" t="s">
        <v>60</v>
      </c>
      <c r="H82" s="9" t="s">
        <v>56</v>
      </c>
      <c r="I82" s="9" t="s">
        <v>50</v>
      </c>
      <c r="J82" s="9" t="s">
        <v>51</v>
      </c>
      <c r="K82">
        <v>3</v>
      </c>
      <c r="L82" s="6"/>
      <c r="M82">
        <v>45</v>
      </c>
      <c r="N82">
        <v>80</v>
      </c>
      <c r="O82">
        <v>77.283100000000005</v>
      </c>
      <c r="P82">
        <v>171.96129999999999</v>
      </c>
      <c r="Q82">
        <v>150</v>
      </c>
      <c r="R82">
        <v>150</v>
      </c>
      <c r="S82">
        <v>51.52</v>
      </c>
      <c r="T82">
        <v>114.64</v>
      </c>
      <c r="U82">
        <v>0</v>
      </c>
      <c r="V82">
        <v>1</v>
      </c>
      <c r="W82">
        <v>1</v>
      </c>
      <c r="X82">
        <v>2.2582</v>
      </c>
      <c r="Y82">
        <v>-21.961300000000001</v>
      </c>
      <c r="Z82">
        <v>72.716899999999995</v>
      </c>
      <c r="AA82">
        <v>-9.73</v>
      </c>
      <c r="AB82" s="6"/>
    </row>
    <row r="83" spans="1:28" x14ac:dyDescent="0.35">
      <c r="A83">
        <v>1099</v>
      </c>
      <c r="B83" s="9" t="s">
        <v>170</v>
      </c>
      <c r="C83" s="9" t="s">
        <v>45</v>
      </c>
      <c r="D83" s="9" t="s">
        <v>46</v>
      </c>
      <c r="E83" s="9" t="s">
        <v>47</v>
      </c>
      <c r="F83">
        <v>18</v>
      </c>
      <c r="G83" s="9" t="s">
        <v>161</v>
      </c>
      <c r="H83" s="9" t="s">
        <v>82</v>
      </c>
      <c r="I83" s="9" t="s">
        <v>154</v>
      </c>
      <c r="J83" s="9" t="s">
        <v>155</v>
      </c>
      <c r="K83">
        <v>1</v>
      </c>
      <c r="L83" s="6"/>
      <c r="M83">
        <v>95</v>
      </c>
      <c r="N83">
        <v>211</v>
      </c>
      <c r="O83">
        <v>138.917</v>
      </c>
      <c r="P83">
        <v>171.92009999999999</v>
      </c>
      <c r="Q83">
        <v>150</v>
      </c>
      <c r="R83">
        <v>150</v>
      </c>
      <c r="S83">
        <v>92.61</v>
      </c>
      <c r="T83">
        <v>114.61</v>
      </c>
      <c r="U83">
        <v>0</v>
      </c>
      <c r="V83">
        <v>1</v>
      </c>
      <c r="W83">
        <v>1</v>
      </c>
      <c r="X83">
        <v>1.2703</v>
      </c>
      <c r="Y83">
        <v>-21.920100000000001</v>
      </c>
      <c r="Z83">
        <v>11.083</v>
      </c>
      <c r="AA83">
        <v>-17.260000000000002</v>
      </c>
      <c r="AB83" s="6"/>
    </row>
    <row r="84" spans="1:28" x14ac:dyDescent="0.35">
      <c r="A84">
        <v>218</v>
      </c>
      <c r="B84" s="9" t="s">
        <v>171</v>
      </c>
      <c r="C84" s="9" t="s">
        <v>69</v>
      </c>
      <c r="D84" s="9" t="s">
        <v>70</v>
      </c>
      <c r="E84" s="9" t="s">
        <v>71</v>
      </c>
      <c r="F84">
        <v>24</v>
      </c>
      <c r="G84" s="9" t="s">
        <v>55</v>
      </c>
      <c r="H84" s="9" t="s">
        <v>56</v>
      </c>
      <c r="I84" s="9" t="s">
        <v>57</v>
      </c>
      <c r="J84" s="9" t="s">
        <v>58</v>
      </c>
      <c r="K84">
        <v>1</v>
      </c>
      <c r="L84" s="6"/>
      <c r="M84">
        <v>98</v>
      </c>
      <c r="N84">
        <v>211</v>
      </c>
      <c r="O84">
        <v>168.76650000000001</v>
      </c>
      <c r="P84">
        <v>341.65320000000003</v>
      </c>
      <c r="Q84">
        <v>300</v>
      </c>
      <c r="R84">
        <v>300</v>
      </c>
      <c r="S84">
        <v>56.26</v>
      </c>
      <c r="T84">
        <v>113.88</v>
      </c>
      <c r="U84">
        <v>0</v>
      </c>
      <c r="V84">
        <v>1</v>
      </c>
      <c r="W84">
        <v>1</v>
      </c>
      <c r="X84">
        <v>1.9127000000000001</v>
      </c>
      <c r="Y84">
        <v>-41.653199999999998</v>
      </c>
      <c r="Z84">
        <v>131.23349999999999</v>
      </c>
      <c r="AA84">
        <v>-21.78</v>
      </c>
      <c r="AB84" s="6"/>
    </row>
    <row r="85" spans="1:28" x14ac:dyDescent="0.35">
      <c r="A85">
        <v>1080</v>
      </c>
      <c r="B85" s="9" t="s">
        <v>172</v>
      </c>
      <c r="C85" s="9" t="s">
        <v>69</v>
      </c>
      <c r="D85" s="9" t="s">
        <v>70</v>
      </c>
      <c r="E85" s="9" t="s">
        <v>71</v>
      </c>
      <c r="F85">
        <v>24</v>
      </c>
      <c r="G85" s="9" t="s">
        <v>161</v>
      </c>
      <c r="H85" s="9" t="s">
        <v>82</v>
      </c>
      <c r="I85" s="9" t="s">
        <v>154</v>
      </c>
      <c r="J85" s="9" t="s">
        <v>155</v>
      </c>
      <c r="K85">
        <v>1</v>
      </c>
      <c r="L85" s="6"/>
      <c r="M85">
        <v>184</v>
      </c>
      <c r="N85">
        <v>411</v>
      </c>
      <c r="O85">
        <v>282.58339999999998</v>
      </c>
      <c r="P85">
        <v>341.03539999999998</v>
      </c>
      <c r="Q85">
        <v>300</v>
      </c>
      <c r="R85">
        <v>300</v>
      </c>
      <c r="S85">
        <v>94.19</v>
      </c>
      <c r="T85">
        <v>113.68</v>
      </c>
      <c r="U85">
        <v>0</v>
      </c>
      <c r="V85">
        <v>1</v>
      </c>
      <c r="W85">
        <v>1</v>
      </c>
      <c r="X85">
        <v>1.2703</v>
      </c>
      <c r="Y85">
        <v>-41.035400000000003</v>
      </c>
      <c r="Z85">
        <v>17.416599999999999</v>
      </c>
      <c r="AA85">
        <v>-32.299999999999997</v>
      </c>
      <c r="AB85" s="6"/>
    </row>
    <row r="86" spans="1:28" x14ac:dyDescent="0.35">
      <c r="A86">
        <v>1383</v>
      </c>
      <c r="B86" s="9" t="s">
        <v>173</v>
      </c>
      <c r="C86" s="9" t="s">
        <v>53</v>
      </c>
      <c r="D86" s="9" t="s">
        <v>54</v>
      </c>
      <c r="E86" s="9" t="s">
        <v>47</v>
      </c>
      <c r="F86">
        <v>8</v>
      </c>
      <c r="G86" s="9" t="s">
        <v>125</v>
      </c>
      <c r="H86" s="9" t="s">
        <v>56</v>
      </c>
      <c r="I86" s="9" t="s">
        <v>89</v>
      </c>
      <c r="J86" s="9" t="s">
        <v>90</v>
      </c>
      <c r="K86">
        <v>2</v>
      </c>
      <c r="L86" s="6"/>
      <c r="M86">
        <v>75</v>
      </c>
      <c r="N86">
        <v>573</v>
      </c>
      <c r="O86">
        <v>73.966700000000003</v>
      </c>
      <c r="P86">
        <v>135.16540000000001</v>
      </c>
      <c r="Q86">
        <v>120</v>
      </c>
      <c r="R86">
        <v>120</v>
      </c>
      <c r="S86">
        <v>61.64</v>
      </c>
      <c r="T86">
        <v>112.64</v>
      </c>
      <c r="U86">
        <v>0</v>
      </c>
      <c r="V86">
        <v>1</v>
      </c>
      <c r="W86">
        <v>1</v>
      </c>
      <c r="X86">
        <v>1.7297</v>
      </c>
      <c r="Y86">
        <v>-15.1654</v>
      </c>
      <c r="Z86">
        <v>46.033299999999997</v>
      </c>
      <c r="AA86">
        <v>-8.77</v>
      </c>
      <c r="AB86" s="6"/>
    </row>
    <row r="87" spans="1:28" x14ac:dyDescent="0.35">
      <c r="A87">
        <v>1089</v>
      </c>
      <c r="B87" s="9" t="s">
        <v>174</v>
      </c>
      <c r="C87" s="9" t="s">
        <v>64</v>
      </c>
      <c r="D87" s="9" t="s">
        <v>65</v>
      </c>
      <c r="E87" s="9" t="s">
        <v>47</v>
      </c>
      <c r="F87">
        <v>12</v>
      </c>
      <c r="G87" s="9" t="s">
        <v>161</v>
      </c>
      <c r="H87" s="9" t="s">
        <v>82</v>
      </c>
      <c r="I87" s="9" t="s">
        <v>154</v>
      </c>
      <c r="J87" s="9" t="s">
        <v>155</v>
      </c>
      <c r="K87">
        <v>2</v>
      </c>
      <c r="L87" s="6"/>
      <c r="M87">
        <v>125</v>
      </c>
      <c r="N87">
        <v>298</v>
      </c>
      <c r="O87">
        <v>181.90029999999999</v>
      </c>
      <c r="P87">
        <v>224.58869999999999</v>
      </c>
      <c r="Q87">
        <v>200</v>
      </c>
      <c r="R87">
        <v>200</v>
      </c>
      <c r="S87">
        <v>90.95</v>
      </c>
      <c r="T87">
        <v>112.29</v>
      </c>
      <c r="U87">
        <v>0</v>
      </c>
      <c r="V87">
        <v>1</v>
      </c>
      <c r="W87">
        <v>1</v>
      </c>
      <c r="X87">
        <v>1.2703</v>
      </c>
      <c r="Y87">
        <v>-24.588699999999999</v>
      </c>
      <c r="Z87">
        <v>18.099699999999999</v>
      </c>
      <c r="AA87">
        <v>-19.36</v>
      </c>
      <c r="AB87" s="6"/>
    </row>
    <row r="88" spans="1:28" x14ac:dyDescent="0.35">
      <c r="A88">
        <v>1092</v>
      </c>
      <c r="B88" s="9" t="s">
        <v>175</v>
      </c>
      <c r="C88" s="9" t="s">
        <v>64</v>
      </c>
      <c r="D88" s="9" t="s">
        <v>65</v>
      </c>
      <c r="E88" s="9" t="s">
        <v>47</v>
      </c>
      <c r="F88">
        <v>12</v>
      </c>
      <c r="G88" s="9" t="s">
        <v>161</v>
      </c>
      <c r="H88" s="9" t="s">
        <v>82</v>
      </c>
      <c r="I88" s="9" t="s">
        <v>154</v>
      </c>
      <c r="J88" s="9" t="s">
        <v>155</v>
      </c>
      <c r="K88">
        <v>3</v>
      </c>
      <c r="L88" s="6"/>
      <c r="M88">
        <v>125</v>
      </c>
      <c r="N88">
        <v>298</v>
      </c>
      <c r="O88">
        <v>181.90029999999999</v>
      </c>
      <c r="P88">
        <v>224.58869999999999</v>
      </c>
      <c r="Q88">
        <v>200</v>
      </c>
      <c r="R88">
        <v>200</v>
      </c>
      <c r="S88">
        <v>90.95</v>
      </c>
      <c r="T88">
        <v>112.29</v>
      </c>
      <c r="U88">
        <v>0</v>
      </c>
      <c r="V88">
        <v>1</v>
      </c>
      <c r="W88">
        <v>1</v>
      </c>
      <c r="X88">
        <v>1.2703</v>
      </c>
      <c r="Y88">
        <v>-24.588699999999999</v>
      </c>
      <c r="Z88">
        <v>18.099699999999999</v>
      </c>
      <c r="AA88">
        <v>-19.36</v>
      </c>
      <c r="AB88" s="6"/>
    </row>
    <row r="89" spans="1:28" x14ac:dyDescent="0.35">
      <c r="A89">
        <v>1095</v>
      </c>
      <c r="B89" s="9" t="s">
        <v>176</v>
      </c>
      <c r="C89" s="9" t="s">
        <v>64</v>
      </c>
      <c r="D89" s="9" t="s">
        <v>65</v>
      </c>
      <c r="E89" s="9" t="s">
        <v>47</v>
      </c>
      <c r="F89">
        <v>12</v>
      </c>
      <c r="G89" s="9" t="s">
        <v>161</v>
      </c>
      <c r="H89" s="9" t="s">
        <v>82</v>
      </c>
      <c r="I89" s="9" t="s">
        <v>154</v>
      </c>
      <c r="J89" s="9" t="s">
        <v>155</v>
      </c>
      <c r="K89">
        <v>4</v>
      </c>
      <c r="L89" s="6"/>
      <c r="M89">
        <v>125</v>
      </c>
      <c r="N89">
        <v>298</v>
      </c>
      <c r="O89">
        <v>181.90029999999999</v>
      </c>
      <c r="P89">
        <v>224.58869999999999</v>
      </c>
      <c r="Q89">
        <v>200</v>
      </c>
      <c r="R89">
        <v>200</v>
      </c>
      <c r="S89">
        <v>90.95</v>
      </c>
      <c r="T89">
        <v>112.29</v>
      </c>
      <c r="U89">
        <v>0</v>
      </c>
      <c r="V89">
        <v>1</v>
      </c>
      <c r="W89">
        <v>1</v>
      </c>
      <c r="X89">
        <v>1.2703</v>
      </c>
      <c r="Y89">
        <v>-24.588699999999999</v>
      </c>
      <c r="Z89">
        <v>18.099699999999999</v>
      </c>
      <c r="AA89">
        <v>-19.36</v>
      </c>
      <c r="AB89" s="6"/>
    </row>
    <row r="90" spans="1:28" x14ac:dyDescent="0.35">
      <c r="A90">
        <v>1509</v>
      </c>
      <c r="B90" s="9" t="s">
        <v>177</v>
      </c>
      <c r="C90" s="9" t="s">
        <v>53</v>
      </c>
      <c r="D90" s="9" t="s">
        <v>54</v>
      </c>
      <c r="E90" s="9" t="s">
        <v>47</v>
      </c>
      <c r="F90">
        <v>8</v>
      </c>
      <c r="G90" s="9" t="s">
        <v>178</v>
      </c>
      <c r="H90" s="9" t="s">
        <v>56</v>
      </c>
      <c r="I90" s="9" t="s">
        <v>154</v>
      </c>
      <c r="J90" s="9" t="s">
        <v>155</v>
      </c>
      <c r="K90">
        <v>1</v>
      </c>
      <c r="L90" s="6"/>
      <c r="M90">
        <v>79</v>
      </c>
      <c r="N90">
        <v>147</v>
      </c>
      <c r="O90">
        <v>117.04989999999999</v>
      </c>
      <c r="P90">
        <v>134.07640000000001</v>
      </c>
      <c r="Q90">
        <v>120</v>
      </c>
      <c r="R90">
        <v>120</v>
      </c>
      <c r="S90">
        <v>97.54</v>
      </c>
      <c r="T90">
        <v>111.73</v>
      </c>
      <c r="U90">
        <v>0</v>
      </c>
      <c r="V90">
        <v>1</v>
      </c>
      <c r="W90">
        <v>1</v>
      </c>
      <c r="X90">
        <v>1.1561999999999999</v>
      </c>
      <c r="Y90">
        <v>-14.0764</v>
      </c>
      <c r="Z90">
        <v>2.9500999999999999</v>
      </c>
      <c r="AA90">
        <v>-12.17</v>
      </c>
      <c r="AB90" s="6"/>
    </row>
    <row r="91" spans="1:28" x14ac:dyDescent="0.35">
      <c r="A91">
        <v>1473</v>
      </c>
      <c r="B91" s="9" t="s">
        <v>179</v>
      </c>
      <c r="C91" s="9" t="s">
        <v>127</v>
      </c>
      <c r="D91" s="9" t="s">
        <v>128</v>
      </c>
      <c r="E91" s="9" t="s">
        <v>129</v>
      </c>
      <c r="F91">
        <v>4</v>
      </c>
      <c r="G91" s="9" t="s">
        <v>67</v>
      </c>
      <c r="H91" s="9" t="s">
        <v>56</v>
      </c>
      <c r="I91" s="9" t="s">
        <v>57</v>
      </c>
      <c r="J91" s="9" t="s">
        <v>58</v>
      </c>
      <c r="K91">
        <v>1</v>
      </c>
      <c r="L91" s="6"/>
      <c r="M91">
        <v>78</v>
      </c>
      <c r="N91">
        <v>232</v>
      </c>
      <c r="O91">
        <v>135.26669999999999</v>
      </c>
      <c r="P91">
        <v>275.27859999999998</v>
      </c>
      <c r="Q91">
        <v>250</v>
      </c>
      <c r="R91">
        <v>250</v>
      </c>
      <c r="S91">
        <v>54.11</v>
      </c>
      <c r="T91">
        <v>110.11</v>
      </c>
      <c r="U91">
        <v>0</v>
      </c>
      <c r="V91">
        <v>1</v>
      </c>
      <c r="W91">
        <v>1</v>
      </c>
      <c r="X91">
        <v>1.9626999999999999</v>
      </c>
      <c r="Y91">
        <v>-25.278600000000001</v>
      </c>
      <c r="Z91">
        <v>114.7333</v>
      </c>
      <c r="AA91">
        <v>-12.88</v>
      </c>
      <c r="AB91" s="6"/>
    </row>
    <row r="92" spans="1:28" x14ac:dyDescent="0.35">
      <c r="A92">
        <v>13</v>
      </c>
      <c r="B92" s="9" t="s">
        <v>180</v>
      </c>
      <c r="C92" s="9" t="s">
        <v>53</v>
      </c>
      <c r="D92" s="9" t="s">
        <v>54</v>
      </c>
      <c r="E92" s="9" t="s">
        <v>47</v>
      </c>
      <c r="F92">
        <v>8</v>
      </c>
      <c r="G92" s="9" t="s">
        <v>99</v>
      </c>
      <c r="H92" s="9" t="s">
        <v>56</v>
      </c>
      <c r="I92" s="9" t="s">
        <v>57</v>
      </c>
      <c r="J92" s="9" t="s">
        <v>58</v>
      </c>
      <c r="K92">
        <v>2</v>
      </c>
      <c r="L92" s="6"/>
      <c r="M92">
        <v>38</v>
      </c>
      <c r="N92">
        <v>86</v>
      </c>
      <c r="O92">
        <v>63.767000000000003</v>
      </c>
      <c r="P92">
        <v>131.7722</v>
      </c>
      <c r="Q92">
        <v>120</v>
      </c>
      <c r="R92">
        <v>120</v>
      </c>
      <c r="S92">
        <v>53.14</v>
      </c>
      <c r="T92">
        <v>109.81</v>
      </c>
      <c r="U92">
        <v>0</v>
      </c>
      <c r="V92">
        <v>1</v>
      </c>
      <c r="W92">
        <v>1</v>
      </c>
      <c r="X92">
        <v>2.0638000000000001</v>
      </c>
      <c r="Y92">
        <v>-11.7722</v>
      </c>
      <c r="Z92">
        <v>56.232999999999997</v>
      </c>
      <c r="AA92">
        <v>-5.7</v>
      </c>
      <c r="AB92" s="6"/>
    </row>
    <row r="93" spans="1:28" x14ac:dyDescent="0.35">
      <c r="A93">
        <v>1062</v>
      </c>
      <c r="B93" s="9" t="s">
        <v>181</v>
      </c>
      <c r="C93" s="9" t="s">
        <v>45</v>
      </c>
      <c r="D93" s="9" t="s">
        <v>46</v>
      </c>
      <c r="E93" s="9" t="s">
        <v>47</v>
      </c>
      <c r="F93">
        <v>18</v>
      </c>
      <c r="G93" s="9" t="s">
        <v>88</v>
      </c>
      <c r="H93" s="9" t="s">
        <v>56</v>
      </c>
      <c r="I93" s="9" t="s">
        <v>89</v>
      </c>
      <c r="J93" s="9" t="s">
        <v>90</v>
      </c>
      <c r="K93">
        <v>3</v>
      </c>
      <c r="L93" s="6"/>
      <c r="M93">
        <v>89</v>
      </c>
      <c r="N93">
        <v>693</v>
      </c>
      <c r="O93">
        <v>88.883600000000001</v>
      </c>
      <c r="P93">
        <v>164.39859999999999</v>
      </c>
      <c r="Q93">
        <v>150</v>
      </c>
      <c r="R93">
        <v>150</v>
      </c>
      <c r="S93">
        <v>59.26</v>
      </c>
      <c r="T93">
        <v>109.6</v>
      </c>
      <c r="U93">
        <v>0</v>
      </c>
      <c r="V93">
        <v>1</v>
      </c>
      <c r="W93">
        <v>1</v>
      </c>
      <c r="X93">
        <v>1.9149</v>
      </c>
      <c r="Y93">
        <v>-14.3986</v>
      </c>
      <c r="Z93">
        <v>61.116399999999999</v>
      </c>
      <c r="AA93">
        <v>-7.52</v>
      </c>
      <c r="AB93" s="6"/>
    </row>
    <row r="94" spans="1:28" x14ac:dyDescent="0.35">
      <c r="A94">
        <v>881</v>
      </c>
      <c r="B94" s="9" t="s">
        <v>182</v>
      </c>
      <c r="C94" s="9" t="s">
        <v>64</v>
      </c>
      <c r="D94" s="9" t="s">
        <v>65</v>
      </c>
      <c r="E94" s="9" t="s">
        <v>47</v>
      </c>
      <c r="F94">
        <v>12</v>
      </c>
      <c r="G94" s="9" t="s">
        <v>77</v>
      </c>
      <c r="H94" s="9" t="s">
        <v>49</v>
      </c>
      <c r="I94" s="9" t="s">
        <v>50</v>
      </c>
      <c r="J94" s="9" t="s">
        <v>51</v>
      </c>
      <c r="K94">
        <v>3</v>
      </c>
      <c r="L94" s="6"/>
      <c r="M94">
        <v>61</v>
      </c>
      <c r="N94">
        <v>118</v>
      </c>
      <c r="O94">
        <v>100.917</v>
      </c>
      <c r="P94">
        <v>218.5197</v>
      </c>
      <c r="Q94">
        <v>200</v>
      </c>
      <c r="R94">
        <v>200</v>
      </c>
      <c r="S94">
        <v>50.46</v>
      </c>
      <c r="T94">
        <v>109.26</v>
      </c>
      <c r="U94">
        <v>0</v>
      </c>
      <c r="V94">
        <v>1</v>
      </c>
      <c r="W94">
        <v>1</v>
      </c>
      <c r="X94">
        <v>2.1968999999999999</v>
      </c>
      <c r="Y94">
        <v>-18.5197</v>
      </c>
      <c r="Z94">
        <v>99.082999999999998</v>
      </c>
      <c r="AA94">
        <v>-8.43</v>
      </c>
      <c r="AB94" s="6"/>
    </row>
    <row r="95" spans="1:28" x14ac:dyDescent="0.35">
      <c r="A95">
        <v>753</v>
      </c>
      <c r="B95" s="9" t="s">
        <v>183</v>
      </c>
      <c r="C95" s="9" t="s">
        <v>86</v>
      </c>
      <c r="D95" s="9" t="s">
        <v>87</v>
      </c>
      <c r="E95" s="9" t="s">
        <v>71</v>
      </c>
      <c r="F95">
        <v>6</v>
      </c>
      <c r="G95" s="9" t="s">
        <v>110</v>
      </c>
      <c r="H95" s="9" t="s">
        <v>82</v>
      </c>
      <c r="I95" s="9" t="s">
        <v>57</v>
      </c>
      <c r="J95" s="9" t="s">
        <v>58</v>
      </c>
      <c r="K95">
        <v>1</v>
      </c>
      <c r="L95" s="6"/>
      <c r="M95">
        <v>127</v>
      </c>
      <c r="N95">
        <v>307</v>
      </c>
      <c r="O95">
        <v>219.9</v>
      </c>
      <c r="P95">
        <v>435.87720000000002</v>
      </c>
      <c r="Q95">
        <v>400</v>
      </c>
      <c r="R95">
        <v>400</v>
      </c>
      <c r="S95">
        <v>54.98</v>
      </c>
      <c r="T95">
        <v>108.97</v>
      </c>
      <c r="U95">
        <v>0</v>
      </c>
      <c r="V95">
        <v>1</v>
      </c>
      <c r="W95">
        <v>1</v>
      </c>
      <c r="X95">
        <v>1.9188000000000001</v>
      </c>
      <c r="Y95">
        <v>-35.877200000000002</v>
      </c>
      <c r="Z95">
        <v>180.1</v>
      </c>
      <c r="AA95">
        <v>-18.7</v>
      </c>
      <c r="AB95" s="6"/>
    </row>
    <row r="96" spans="1:28" x14ac:dyDescent="0.35">
      <c r="A96">
        <v>20</v>
      </c>
      <c r="B96" s="9" t="s">
        <v>184</v>
      </c>
      <c r="C96" s="9" t="s">
        <v>127</v>
      </c>
      <c r="D96" s="9" t="s">
        <v>128</v>
      </c>
      <c r="E96" s="9" t="s">
        <v>129</v>
      </c>
      <c r="F96">
        <v>4</v>
      </c>
      <c r="G96" s="9" t="s">
        <v>99</v>
      </c>
      <c r="H96" s="9" t="s">
        <v>56</v>
      </c>
      <c r="I96" s="9" t="s">
        <v>57</v>
      </c>
      <c r="J96" s="9" t="s">
        <v>58</v>
      </c>
      <c r="K96">
        <v>1</v>
      </c>
      <c r="L96" s="6"/>
      <c r="M96">
        <v>77</v>
      </c>
      <c r="N96">
        <v>184</v>
      </c>
      <c r="O96">
        <v>131.11709999999999</v>
      </c>
      <c r="P96">
        <v>271.75150000000002</v>
      </c>
      <c r="Q96">
        <v>250</v>
      </c>
      <c r="R96">
        <v>250</v>
      </c>
      <c r="S96">
        <v>52.45</v>
      </c>
      <c r="T96">
        <v>108.7</v>
      </c>
      <c r="U96">
        <v>0</v>
      </c>
      <c r="V96">
        <v>1</v>
      </c>
      <c r="W96">
        <v>1</v>
      </c>
      <c r="X96">
        <v>2.0638000000000001</v>
      </c>
      <c r="Y96">
        <v>-21.7515</v>
      </c>
      <c r="Z96">
        <v>118.88290000000001</v>
      </c>
      <c r="AA96">
        <v>-10.54</v>
      </c>
      <c r="AB96" s="6"/>
    </row>
    <row r="97" spans="1:28" x14ac:dyDescent="0.35">
      <c r="A97">
        <v>1103</v>
      </c>
      <c r="B97" s="9" t="s">
        <v>185</v>
      </c>
      <c r="C97" s="9" t="s">
        <v>45</v>
      </c>
      <c r="D97" s="9" t="s">
        <v>46</v>
      </c>
      <c r="E97" s="9" t="s">
        <v>47</v>
      </c>
      <c r="F97">
        <v>18</v>
      </c>
      <c r="G97" s="9" t="s">
        <v>161</v>
      </c>
      <c r="H97" s="9" t="s">
        <v>82</v>
      </c>
      <c r="I97" s="9" t="s">
        <v>154</v>
      </c>
      <c r="J97" s="9" t="s">
        <v>155</v>
      </c>
      <c r="K97">
        <v>2</v>
      </c>
      <c r="L97" s="6"/>
      <c r="M97">
        <v>88</v>
      </c>
      <c r="N97">
        <v>199</v>
      </c>
      <c r="O97">
        <v>129.267</v>
      </c>
      <c r="P97">
        <v>162.0301</v>
      </c>
      <c r="Q97">
        <v>150</v>
      </c>
      <c r="R97">
        <v>150</v>
      </c>
      <c r="S97">
        <v>86.18</v>
      </c>
      <c r="T97">
        <v>108.02</v>
      </c>
      <c r="U97">
        <v>0</v>
      </c>
      <c r="V97">
        <v>1</v>
      </c>
      <c r="W97">
        <v>1</v>
      </c>
      <c r="X97">
        <v>1.2703</v>
      </c>
      <c r="Y97">
        <v>-12.030099999999999</v>
      </c>
      <c r="Z97">
        <v>20.733000000000001</v>
      </c>
      <c r="AA97">
        <v>-9.4700000000000006</v>
      </c>
      <c r="AB97" s="6"/>
    </row>
    <row r="98" spans="1:28" x14ac:dyDescent="0.35">
      <c r="A98">
        <v>1107</v>
      </c>
      <c r="B98" s="9" t="s">
        <v>186</v>
      </c>
      <c r="C98" s="9" t="s">
        <v>45</v>
      </c>
      <c r="D98" s="9" t="s">
        <v>46</v>
      </c>
      <c r="E98" s="9" t="s">
        <v>47</v>
      </c>
      <c r="F98">
        <v>18</v>
      </c>
      <c r="G98" s="9" t="s">
        <v>161</v>
      </c>
      <c r="H98" s="9" t="s">
        <v>82</v>
      </c>
      <c r="I98" s="9" t="s">
        <v>154</v>
      </c>
      <c r="J98" s="9" t="s">
        <v>155</v>
      </c>
      <c r="K98">
        <v>3</v>
      </c>
      <c r="L98" s="6"/>
      <c r="M98">
        <v>88</v>
      </c>
      <c r="N98">
        <v>199</v>
      </c>
      <c r="O98">
        <v>129.267</v>
      </c>
      <c r="P98">
        <v>162.0301</v>
      </c>
      <c r="Q98">
        <v>150</v>
      </c>
      <c r="R98">
        <v>150</v>
      </c>
      <c r="S98">
        <v>86.18</v>
      </c>
      <c r="T98">
        <v>108.02</v>
      </c>
      <c r="U98">
        <v>0</v>
      </c>
      <c r="V98">
        <v>1</v>
      </c>
      <c r="W98">
        <v>1</v>
      </c>
      <c r="X98">
        <v>1.2703</v>
      </c>
      <c r="Y98">
        <v>-12.030099999999999</v>
      </c>
      <c r="Z98">
        <v>20.733000000000001</v>
      </c>
      <c r="AA98">
        <v>-9.4700000000000006</v>
      </c>
      <c r="AB98" s="6"/>
    </row>
    <row r="99" spans="1:28" x14ac:dyDescent="0.35">
      <c r="A99">
        <v>726</v>
      </c>
      <c r="B99" s="9" t="s">
        <v>187</v>
      </c>
      <c r="C99" s="9" t="s">
        <v>64</v>
      </c>
      <c r="D99" s="9" t="s">
        <v>65</v>
      </c>
      <c r="E99" s="9" t="s">
        <v>47</v>
      </c>
      <c r="F99">
        <v>12</v>
      </c>
      <c r="G99" s="9" t="s">
        <v>95</v>
      </c>
      <c r="H99" s="9" t="s">
        <v>49</v>
      </c>
      <c r="I99" s="9" t="s">
        <v>57</v>
      </c>
      <c r="J99" s="9" t="s">
        <v>58</v>
      </c>
      <c r="K99">
        <v>3</v>
      </c>
      <c r="L99" s="6"/>
      <c r="M99">
        <v>59</v>
      </c>
      <c r="N99">
        <v>112</v>
      </c>
      <c r="O99">
        <v>108.38339999999999</v>
      </c>
      <c r="P99">
        <v>214.71379999999999</v>
      </c>
      <c r="Q99">
        <v>200</v>
      </c>
      <c r="R99">
        <v>200</v>
      </c>
      <c r="S99">
        <v>54.19</v>
      </c>
      <c r="T99">
        <v>107.36</v>
      </c>
      <c r="U99">
        <v>0</v>
      </c>
      <c r="V99">
        <v>1</v>
      </c>
      <c r="W99">
        <v>1</v>
      </c>
      <c r="X99">
        <v>1.9216</v>
      </c>
      <c r="Y99">
        <v>-14.713800000000001</v>
      </c>
      <c r="Z99">
        <v>91.616600000000005</v>
      </c>
      <c r="AA99">
        <v>-7.66</v>
      </c>
      <c r="AB99" s="6"/>
    </row>
    <row r="100" spans="1:28" x14ac:dyDescent="0.35">
      <c r="A100">
        <v>93</v>
      </c>
      <c r="B100" s="9" t="s">
        <v>188</v>
      </c>
      <c r="C100" s="9" t="s">
        <v>64</v>
      </c>
      <c r="D100" s="9" t="s">
        <v>65</v>
      </c>
      <c r="E100" s="9" t="s">
        <v>47</v>
      </c>
      <c r="F100">
        <v>12</v>
      </c>
      <c r="G100" s="9" t="s">
        <v>62</v>
      </c>
      <c r="H100" s="9" t="s">
        <v>56</v>
      </c>
      <c r="I100" s="9" t="s">
        <v>50</v>
      </c>
      <c r="J100" s="9" t="s">
        <v>51</v>
      </c>
      <c r="K100">
        <v>4</v>
      </c>
      <c r="L100" s="6"/>
      <c r="M100">
        <v>58</v>
      </c>
      <c r="N100">
        <v>90</v>
      </c>
      <c r="O100">
        <v>94.600099999999998</v>
      </c>
      <c r="P100">
        <v>213.55459999999999</v>
      </c>
      <c r="Q100">
        <v>200</v>
      </c>
      <c r="R100">
        <v>200</v>
      </c>
      <c r="S100">
        <v>47.3</v>
      </c>
      <c r="T100">
        <v>106.78</v>
      </c>
      <c r="U100">
        <v>0</v>
      </c>
      <c r="V100">
        <v>1</v>
      </c>
      <c r="W100">
        <v>1</v>
      </c>
      <c r="X100">
        <v>2.2806999999999999</v>
      </c>
      <c r="Y100">
        <v>-13.554600000000001</v>
      </c>
      <c r="Z100">
        <v>105.3999</v>
      </c>
      <c r="AA100">
        <v>-5.94</v>
      </c>
      <c r="AB100" s="6"/>
    </row>
    <row r="101" spans="1:28" x14ac:dyDescent="0.35">
      <c r="A101">
        <v>946</v>
      </c>
      <c r="B101" s="9" t="s">
        <v>189</v>
      </c>
      <c r="C101" s="9" t="s">
        <v>64</v>
      </c>
      <c r="D101" s="9" t="s">
        <v>65</v>
      </c>
      <c r="E101" s="9" t="s">
        <v>47</v>
      </c>
      <c r="F101">
        <v>12</v>
      </c>
      <c r="G101" s="9" t="s">
        <v>190</v>
      </c>
      <c r="H101" s="9" t="s">
        <v>56</v>
      </c>
      <c r="I101" s="9" t="s">
        <v>57</v>
      </c>
      <c r="J101" s="9" t="s">
        <v>58</v>
      </c>
      <c r="K101">
        <v>3</v>
      </c>
      <c r="L101" s="6"/>
      <c r="M101">
        <v>67</v>
      </c>
      <c r="N101">
        <v>177</v>
      </c>
      <c r="O101">
        <v>111.5665</v>
      </c>
      <c r="P101">
        <v>212.17410000000001</v>
      </c>
      <c r="Q101">
        <v>200</v>
      </c>
      <c r="R101">
        <v>200</v>
      </c>
      <c r="S101">
        <v>55.78</v>
      </c>
      <c r="T101">
        <v>106.09</v>
      </c>
      <c r="U101">
        <v>0</v>
      </c>
      <c r="V101">
        <v>1</v>
      </c>
      <c r="W101">
        <v>1</v>
      </c>
      <c r="X101">
        <v>1.8878999999999999</v>
      </c>
      <c r="Y101">
        <v>-12.174099999999999</v>
      </c>
      <c r="Z101">
        <v>88.433499999999995</v>
      </c>
      <c r="AA101">
        <v>-6.45</v>
      </c>
      <c r="AB101" s="6"/>
    </row>
    <row r="102" spans="1:28" x14ac:dyDescent="0.35">
      <c r="A102">
        <v>167</v>
      </c>
      <c r="B102" s="9" t="s">
        <v>191</v>
      </c>
      <c r="C102" s="9" t="s">
        <v>53</v>
      </c>
      <c r="D102" s="9" t="s">
        <v>54</v>
      </c>
      <c r="E102" s="9" t="s">
        <v>47</v>
      </c>
      <c r="F102">
        <v>8</v>
      </c>
      <c r="G102" s="9" t="s">
        <v>192</v>
      </c>
      <c r="H102" s="9" t="s">
        <v>49</v>
      </c>
      <c r="I102" s="9" t="s">
        <v>154</v>
      </c>
      <c r="J102" s="9" t="s">
        <v>155</v>
      </c>
      <c r="K102">
        <v>2</v>
      </c>
      <c r="L102" s="6"/>
      <c r="M102">
        <v>73</v>
      </c>
      <c r="N102">
        <v>152</v>
      </c>
      <c r="O102">
        <v>111.23309999999999</v>
      </c>
      <c r="P102">
        <v>126.5973</v>
      </c>
      <c r="Q102">
        <v>120</v>
      </c>
      <c r="R102">
        <v>120</v>
      </c>
      <c r="S102">
        <v>92.69</v>
      </c>
      <c r="T102">
        <v>105.5</v>
      </c>
      <c r="U102">
        <v>0</v>
      </c>
      <c r="V102">
        <v>1</v>
      </c>
      <c r="W102">
        <v>1</v>
      </c>
      <c r="X102">
        <v>1.1001000000000001</v>
      </c>
      <c r="Y102">
        <v>-6.5972999999999997</v>
      </c>
      <c r="Z102">
        <v>8.7668999999999997</v>
      </c>
      <c r="AA102">
        <v>-6</v>
      </c>
      <c r="AB102" s="6"/>
    </row>
    <row r="103" spans="1:28" x14ac:dyDescent="0.35">
      <c r="A103">
        <v>765</v>
      </c>
      <c r="B103" s="9" t="s">
        <v>193</v>
      </c>
      <c r="C103" s="9" t="s">
        <v>53</v>
      </c>
      <c r="D103" s="9" t="s">
        <v>54</v>
      </c>
      <c r="E103" s="9" t="s">
        <v>47</v>
      </c>
      <c r="F103">
        <v>8</v>
      </c>
      <c r="G103" s="9" t="s">
        <v>110</v>
      </c>
      <c r="H103" s="9" t="s">
        <v>82</v>
      </c>
      <c r="I103" s="9" t="s">
        <v>57</v>
      </c>
      <c r="J103" s="9" t="s">
        <v>58</v>
      </c>
      <c r="K103">
        <v>2</v>
      </c>
      <c r="L103" s="6"/>
      <c r="M103">
        <v>38</v>
      </c>
      <c r="N103">
        <v>102</v>
      </c>
      <c r="O103">
        <v>65.066599999999994</v>
      </c>
      <c r="P103">
        <v>126.55</v>
      </c>
      <c r="Q103">
        <v>120</v>
      </c>
      <c r="R103">
        <v>120</v>
      </c>
      <c r="S103">
        <v>54.22</v>
      </c>
      <c r="T103">
        <v>105.46</v>
      </c>
      <c r="U103">
        <v>0</v>
      </c>
      <c r="V103">
        <v>1</v>
      </c>
      <c r="W103">
        <v>1</v>
      </c>
      <c r="X103">
        <v>1.9188000000000001</v>
      </c>
      <c r="Y103">
        <v>-6.55</v>
      </c>
      <c r="Z103">
        <v>54.933399999999999</v>
      </c>
      <c r="AA103">
        <v>-3.41</v>
      </c>
      <c r="AB103" s="6"/>
    </row>
    <row r="104" spans="1:28" x14ac:dyDescent="0.35">
      <c r="A104">
        <v>581</v>
      </c>
      <c r="B104" s="9" t="s">
        <v>194</v>
      </c>
      <c r="C104" s="9" t="s">
        <v>64</v>
      </c>
      <c r="D104" s="9" t="s">
        <v>65</v>
      </c>
      <c r="E104" s="9" t="s">
        <v>47</v>
      </c>
      <c r="F104">
        <v>12</v>
      </c>
      <c r="G104" s="9" t="s">
        <v>195</v>
      </c>
      <c r="H104" s="9" t="s">
        <v>56</v>
      </c>
      <c r="I104" s="9" t="s">
        <v>154</v>
      </c>
      <c r="J104" s="9" t="s">
        <v>155</v>
      </c>
      <c r="K104">
        <v>2</v>
      </c>
      <c r="L104" s="6"/>
      <c r="M104">
        <v>113</v>
      </c>
      <c r="N104">
        <v>238</v>
      </c>
      <c r="O104">
        <v>177.5831</v>
      </c>
      <c r="P104">
        <v>210.65979999999999</v>
      </c>
      <c r="Q104">
        <v>200</v>
      </c>
      <c r="R104">
        <v>200</v>
      </c>
      <c r="S104">
        <v>88.79</v>
      </c>
      <c r="T104">
        <v>105.33</v>
      </c>
      <c r="U104">
        <v>0</v>
      </c>
      <c r="V104">
        <v>1</v>
      </c>
      <c r="W104">
        <v>1</v>
      </c>
      <c r="X104">
        <v>1.0819000000000001</v>
      </c>
      <c r="Y104">
        <v>-10.659800000000001</v>
      </c>
      <c r="Z104">
        <v>22.416899999999998</v>
      </c>
      <c r="AA104">
        <v>-9.85</v>
      </c>
      <c r="AB104" s="6"/>
    </row>
    <row r="105" spans="1:28" x14ac:dyDescent="0.35">
      <c r="A105">
        <v>1483</v>
      </c>
      <c r="B105" s="9" t="s">
        <v>196</v>
      </c>
      <c r="C105" s="9" t="s">
        <v>64</v>
      </c>
      <c r="D105" s="9" t="s">
        <v>65</v>
      </c>
      <c r="E105" s="9" t="s">
        <v>47</v>
      </c>
      <c r="F105">
        <v>12</v>
      </c>
      <c r="G105" s="9" t="s">
        <v>67</v>
      </c>
      <c r="H105" s="9" t="s">
        <v>56</v>
      </c>
      <c r="I105" s="9" t="s">
        <v>57</v>
      </c>
      <c r="J105" s="9" t="s">
        <v>58</v>
      </c>
      <c r="K105">
        <v>3</v>
      </c>
      <c r="L105" s="6"/>
      <c r="M105">
        <v>57</v>
      </c>
      <c r="N105">
        <v>162</v>
      </c>
      <c r="O105">
        <v>102.5166</v>
      </c>
      <c r="P105">
        <v>209.80520000000001</v>
      </c>
      <c r="Q105">
        <v>200</v>
      </c>
      <c r="R105">
        <v>200</v>
      </c>
      <c r="S105">
        <v>51.26</v>
      </c>
      <c r="T105">
        <v>104.9</v>
      </c>
      <c r="U105">
        <v>0</v>
      </c>
      <c r="V105">
        <v>1</v>
      </c>
      <c r="W105">
        <v>1</v>
      </c>
      <c r="X105">
        <v>1.9626999999999999</v>
      </c>
      <c r="Y105">
        <v>-9.8051999999999992</v>
      </c>
      <c r="Z105">
        <v>97.483400000000003</v>
      </c>
      <c r="AA105">
        <v>-5</v>
      </c>
      <c r="AB105" s="6"/>
    </row>
    <row r="106" spans="1:28" x14ac:dyDescent="0.35">
      <c r="A106">
        <v>387</v>
      </c>
      <c r="B106" s="9" t="s">
        <v>197</v>
      </c>
      <c r="C106" s="9" t="s">
        <v>45</v>
      </c>
      <c r="D106" s="9" t="s">
        <v>46</v>
      </c>
      <c r="E106" s="9" t="s">
        <v>47</v>
      </c>
      <c r="F106">
        <v>18</v>
      </c>
      <c r="G106" s="9" t="s">
        <v>48</v>
      </c>
      <c r="H106" s="9" t="s">
        <v>49</v>
      </c>
      <c r="I106" s="9" t="s">
        <v>50</v>
      </c>
      <c r="J106" s="9" t="s">
        <v>51</v>
      </c>
      <c r="K106">
        <v>1</v>
      </c>
      <c r="L106" s="6"/>
      <c r="M106">
        <v>45</v>
      </c>
      <c r="N106">
        <v>90</v>
      </c>
      <c r="O106">
        <v>72.583100000000002</v>
      </c>
      <c r="P106">
        <v>157.19479999999999</v>
      </c>
      <c r="Q106">
        <v>150</v>
      </c>
      <c r="R106">
        <v>150</v>
      </c>
      <c r="S106">
        <v>48.39</v>
      </c>
      <c r="T106">
        <v>104.8</v>
      </c>
      <c r="U106">
        <v>0</v>
      </c>
      <c r="V106">
        <v>1</v>
      </c>
      <c r="W106">
        <v>1</v>
      </c>
      <c r="X106">
        <v>2.3105000000000002</v>
      </c>
      <c r="Y106">
        <v>-7.1947999999999999</v>
      </c>
      <c r="Z106">
        <v>77.416899999999998</v>
      </c>
      <c r="AA106">
        <v>-3.11</v>
      </c>
      <c r="AB106" s="6"/>
    </row>
    <row r="107" spans="1:28" x14ac:dyDescent="0.35">
      <c r="A107">
        <v>1389</v>
      </c>
      <c r="B107" s="9" t="s">
        <v>198</v>
      </c>
      <c r="C107" s="9" t="s">
        <v>64</v>
      </c>
      <c r="D107" s="9" t="s">
        <v>65</v>
      </c>
      <c r="E107" s="9" t="s">
        <v>47</v>
      </c>
      <c r="F107">
        <v>12</v>
      </c>
      <c r="G107" s="9" t="s">
        <v>125</v>
      </c>
      <c r="H107" s="9" t="s">
        <v>56</v>
      </c>
      <c r="I107" s="9" t="s">
        <v>89</v>
      </c>
      <c r="J107" s="9" t="s">
        <v>90</v>
      </c>
      <c r="K107">
        <v>1</v>
      </c>
      <c r="L107" s="6"/>
      <c r="M107">
        <v>113</v>
      </c>
      <c r="N107">
        <v>858</v>
      </c>
      <c r="O107">
        <v>115.11660000000001</v>
      </c>
      <c r="P107">
        <v>207.2329</v>
      </c>
      <c r="Q107">
        <v>200</v>
      </c>
      <c r="R107">
        <v>200</v>
      </c>
      <c r="S107">
        <v>57.56</v>
      </c>
      <c r="T107">
        <v>103.62</v>
      </c>
      <c r="U107">
        <v>0</v>
      </c>
      <c r="V107">
        <v>1</v>
      </c>
      <c r="W107">
        <v>1</v>
      </c>
      <c r="X107">
        <v>1.7297</v>
      </c>
      <c r="Y107">
        <v>-7.2328999999999999</v>
      </c>
      <c r="Z107">
        <v>84.883399999999995</v>
      </c>
      <c r="AA107">
        <v>-4.18</v>
      </c>
      <c r="AB107" s="6"/>
    </row>
    <row r="108" spans="1:28" x14ac:dyDescent="0.35">
      <c r="A108">
        <v>1391</v>
      </c>
      <c r="B108" s="9" t="s">
        <v>199</v>
      </c>
      <c r="C108" s="9" t="s">
        <v>64</v>
      </c>
      <c r="D108" s="9" t="s">
        <v>65</v>
      </c>
      <c r="E108" s="9" t="s">
        <v>47</v>
      </c>
      <c r="F108">
        <v>12</v>
      </c>
      <c r="G108" s="9" t="s">
        <v>125</v>
      </c>
      <c r="H108" s="9" t="s">
        <v>56</v>
      </c>
      <c r="I108" s="9" t="s">
        <v>89</v>
      </c>
      <c r="J108" s="9" t="s">
        <v>90</v>
      </c>
      <c r="K108">
        <v>2</v>
      </c>
      <c r="L108" s="6"/>
      <c r="M108">
        <v>113</v>
      </c>
      <c r="N108">
        <v>858</v>
      </c>
      <c r="O108">
        <v>115.11660000000001</v>
      </c>
      <c r="P108">
        <v>207.2329</v>
      </c>
      <c r="Q108">
        <v>200</v>
      </c>
      <c r="R108">
        <v>200</v>
      </c>
      <c r="S108">
        <v>57.56</v>
      </c>
      <c r="T108">
        <v>103.62</v>
      </c>
      <c r="U108">
        <v>0</v>
      </c>
      <c r="V108">
        <v>1</v>
      </c>
      <c r="W108">
        <v>1</v>
      </c>
      <c r="X108">
        <v>1.7297</v>
      </c>
      <c r="Y108">
        <v>-7.2328999999999999</v>
      </c>
      <c r="Z108">
        <v>84.883399999999995</v>
      </c>
      <c r="AA108">
        <v>-4.18</v>
      </c>
      <c r="AB108" s="6"/>
    </row>
    <row r="109" spans="1:28" x14ac:dyDescent="0.35">
      <c r="A109">
        <v>1393</v>
      </c>
      <c r="B109" s="9" t="s">
        <v>200</v>
      </c>
      <c r="C109" s="9" t="s">
        <v>64</v>
      </c>
      <c r="D109" s="9" t="s">
        <v>65</v>
      </c>
      <c r="E109" s="9" t="s">
        <v>47</v>
      </c>
      <c r="F109">
        <v>12</v>
      </c>
      <c r="G109" s="9" t="s">
        <v>125</v>
      </c>
      <c r="H109" s="9" t="s">
        <v>56</v>
      </c>
      <c r="I109" s="9" t="s">
        <v>89</v>
      </c>
      <c r="J109" s="9" t="s">
        <v>90</v>
      </c>
      <c r="K109">
        <v>3</v>
      </c>
      <c r="L109" s="6"/>
      <c r="M109">
        <v>113</v>
      </c>
      <c r="N109">
        <v>858</v>
      </c>
      <c r="O109">
        <v>115.11660000000001</v>
      </c>
      <c r="P109">
        <v>207.2329</v>
      </c>
      <c r="Q109">
        <v>200</v>
      </c>
      <c r="R109">
        <v>200</v>
      </c>
      <c r="S109">
        <v>57.56</v>
      </c>
      <c r="T109">
        <v>103.62</v>
      </c>
      <c r="U109">
        <v>0</v>
      </c>
      <c r="V109">
        <v>1</v>
      </c>
      <c r="W109">
        <v>1</v>
      </c>
      <c r="X109">
        <v>1.7297</v>
      </c>
      <c r="Y109">
        <v>-7.2328999999999999</v>
      </c>
      <c r="Z109">
        <v>84.883399999999995</v>
      </c>
      <c r="AA109">
        <v>-4.18</v>
      </c>
      <c r="AB109" s="6"/>
    </row>
    <row r="110" spans="1:28" x14ac:dyDescent="0.35">
      <c r="A110">
        <v>1395</v>
      </c>
      <c r="B110" s="9" t="s">
        <v>201</v>
      </c>
      <c r="C110" s="9" t="s">
        <v>64</v>
      </c>
      <c r="D110" s="9" t="s">
        <v>65</v>
      </c>
      <c r="E110" s="9" t="s">
        <v>47</v>
      </c>
      <c r="F110">
        <v>12</v>
      </c>
      <c r="G110" s="9" t="s">
        <v>125</v>
      </c>
      <c r="H110" s="9" t="s">
        <v>56</v>
      </c>
      <c r="I110" s="9" t="s">
        <v>89</v>
      </c>
      <c r="J110" s="9" t="s">
        <v>90</v>
      </c>
      <c r="K110">
        <v>4</v>
      </c>
      <c r="L110" s="6"/>
      <c r="M110">
        <v>113</v>
      </c>
      <c r="N110">
        <v>858</v>
      </c>
      <c r="O110">
        <v>115.11660000000001</v>
      </c>
      <c r="P110">
        <v>207.2329</v>
      </c>
      <c r="Q110">
        <v>200</v>
      </c>
      <c r="R110">
        <v>200</v>
      </c>
      <c r="S110">
        <v>57.56</v>
      </c>
      <c r="T110">
        <v>103.62</v>
      </c>
      <c r="U110">
        <v>0</v>
      </c>
      <c r="V110">
        <v>1</v>
      </c>
      <c r="W110">
        <v>1</v>
      </c>
      <c r="X110">
        <v>1.7297</v>
      </c>
      <c r="Y110">
        <v>-7.2328999999999999</v>
      </c>
      <c r="Z110">
        <v>84.883399999999995</v>
      </c>
      <c r="AA110">
        <v>-4.18</v>
      </c>
      <c r="AB110" s="6"/>
    </row>
    <row r="111" spans="1:28" x14ac:dyDescent="0.35">
      <c r="A111">
        <v>204</v>
      </c>
      <c r="B111" s="9" t="s">
        <v>202</v>
      </c>
      <c r="C111" s="9" t="s">
        <v>86</v>
      </c>
      <c r="D111" s="9" t="s">
        <v>87</v>
      </c>
      <c r="E111" s="9" t="s">
        <v>71</v>
      </c>
      <c r="F111">
        <v>6</v>
      </c>
      <c r="G111" s="9" t="s">
        <v>55</v>
      </c>
      <c r="H111" s="9" t="s">
        <v>56</v>
      </c>
      <c r="I111" s="9" t="s">
        <v>57</v>
      </c>
      <c r="J111" s="9" t="s">
        <v>58</v>
      </c>
      <c r="K111">
        <v>1</v>
      </c>
      <c r="L111" s="6"/>
      <c r="M111">
        <v>118</v>
      </c>
      <c r="N111">
        <v>259</v>
      </c>
      <c r="O111">
        <v>204.49979999999999</v>
      </c>
      <c r="P111">
        <v>414.13380000000001</v>
      </c>
      <c r="Q111">
        <v>400</v>
      </c>
      <c r="R111">
        <v>400</v>
      </c>
      <c r="S111">
        <v>51.12</v>
      </c>
      <c r="T111">
        <v>103.53</v>
      </c>
      <c r="U111">
        <v>0</v>
      </c>
      <c r="V111">
        <v>1</v>
      </c>
      <c r="W111">
        <v>1</v>
      </c>
      <c r="X111">
        <v>1.9127000000000001</v>
      </c>
      <c r="Y111">
        <v>-14.133800000000001</v>
      </c>
      <c r="Z111">
        <v>195.50020000000001</v>
      </c>
      <c r="AA111">
        <v>-7.39</v>
      </c>
      <c r="AB111" s="6"/>
    </row>
    <row r="112" spans="1:28" x14ac:dyDescent="0.35">
      <c r="A112">
        <v>974</v>
      </c>
      <c r="B112" s="9" t="s">
        <v>203</v>
      </c>
      <c r="C112" s="9" t="s">
        <v>45</v>
      </c>
      <c r="D112" s="9" t="s">
        <v>46</v>
      </c>
      <c r="E112" s="9" t="s">
        <v>47</v>
      </c>
      <c r="F112">
        <v>18</v>
      </c>
      <c r="G112" s="9" t="s">
        <v>190</v>
      </c>
      <c r="H112" s="9" t="s">
        <v>56</v>
      </c>
      <c r="I112" s="9" t="s">
        <v>57</v>
      </c>
      <c r="J112" s="9" t="s">
        <v>58</v>
      </c>
      <c r="K112">
        <v>4</v>
      </c>
      <c r="L112" s="6"/>
      <c r="M112">
        <v>50</v>
      </c>
      <c r="N112">
        <v>139</v>
      </c>
      <c r="O112">
        <v>81.066599999999994</v>
      </c>
      <c r="P112">
        <v>154.38810000000001</v>
      </c>
      <c r="Q112">
        <v>150</v>
      </c>
      <c r="R112">
        <v>150</v>
      </c>
      <c r="S112">
        <v>54.04</v>
      </c>
      <c r="T112">
        <v>102.93</v>
      </c>
      <c r="U112">
        <v>0</v>
      </c>
      <c r="V112">
        <v>1</v>
      </c>
      <c r="W112">
        <v>1</v>
      </c>
      <c r="X112">
        <v>1.8878999999999999</v>
      </c>
      <c r="Y112">
        <v>-4.3880999999999997</v>
      </c>
      <c r="Z112">
        <v>68.933400000000006</v>
      </c>
      <c r="AA112">
        <v>-2.3199999999999998</v>
      </c>
      <c r="AB112" s="6"/>
    </row>
    <row r="113" spans="1:28" x14ac:dyDescent="0.35">
      <c r="A113">
        <v>276</v>
      </c>
      <c r="B113" s="9" t="s">
        <v>204</v>
      </c>
      <c r="C113" s="9" t="s">
        <v>69</v>
      </c>
      <c r="D113" s="9" t="s">
        <v>70</v>
      </c>
      <c r="E113" s="9" t="s">
        <v>71</v>
      </c>
      <c r="F113">
        <v>24</v>
      </c>
      <c r="G113" s="9" t="s">
        <v>205</v>
      </c>
      <c r="H113" s="9" t="s">
        <v>56</v>
      </c>
      <c r="I113" s="9" t="s">
        <v>154</v>
      </c>
      <c r="J113" s="9" t="s">
        <v>155</v>
      </c>
      <c r="K113">
        <v>1</v>
      </c>
      <c r="L113" s="6"/>
      <c r="M113">
        <v>168</v>
      </c>
      <c r="N113">
        <v>358</v>
      </c>
      <c r="O113">
        <v>256.4332</v>
      </c>
      <c r="P113">
        <v>305.18450000000001</v>
      </c>
      <c r="Q113">
        <v>300</v>
      </c>
      <c r="R113">
        <v>300</v>
      </c>
      <c r="S113">
        <v>85.48</v>
      </c>
      <c r="T113">
        <v>101.73</v>
      </c>
      <c r="U113">
        <v>0</v>
      </c>
      <c r="V113">
        <v>1</v>
      </c>
      <c r="W113">
        <v>1</v>
      </c>
      <c r="X113">
        <v>1.08</v>
      </c>
      <c r="Y113">
        <v>-5.1844999999999999</v>
      </c>
      <c r="Z113">
        <v>43.566800000000001</v>
      </c>
      <c r="AA113">
        <v>-4.8</v>
      </c>
      <c r="AB113" s="6"/>
    </row>
    <row r="114" spans="1:28" x14ac:dyDescent="0.35">
      <c r="A114">
        <v>169</v>
      </c>
      <c r="B114" s="9" t="s">
        <v>206</v>
      </c>
      <c r="C114" s="9" t="s">
        <v>69</v>
      </c>
      <c r="D114" s="9" t="s">
        <v>70</v>
      </c>
      <c r="E114" s="9" t="s">
        <v>71</v>
      </c>
      <c r="F114">
        <v>24</v>
      </c>
      <c r="G114" s="9" t="s">
        <v>192</v>
      </c>
      <c r="H114" s="9" t="s">
        <v>49</v>
      </c>
      <c r="I114" s="9" t="s">
        <v>154</v>
      </c>
      <c r="J114" s="9" t="s">
        <v>155</v>
      </c>
      <c r="K114">
        <v>1</v>
      </c>
      <c r="L114" s="6"/>
      <c r="M114">
        <v>175</v>
      </c>
      <c r="N114">
        <v>355</v>
      </c>
      <c r="O114">
        <v>263.76609999999999</v>
      </c>
      <c r="P114">
        <v>302.84750000000003</v>
      </c>
      <c r="Q114">
        <v>300</v>
      </c>
      <c r="R114">
        <v>300</v>
      </c>
      <c r="S114">
        <v>87.92</v>
      </c>
      <c r="T114">
        <v>100.95</v>
      </c>
      <c r="U114">
        <v>0</v>
      </c>
      <c r="V114">
        <v>1</v>
      </c>
      <c r="W114">
        <v>1</v>
      </c>
      <c r="X114">
        <v>1.1001000000000001</v>
      </c>
      <c r="Y114">
        <v>-2.8475000000000001</v>
      </c>
      <c r="Z114">
        <v>36.233899999999998</v>
      </c>
      <c r="AA114">
        <v>-2.59</v>
      </c>
      <c r="AB114" s="6"/>
    </row>
    <row r="115" spans="1:28" x14ac:dyDescent="0.35">
      <c r="A115">
        <v>347</v>
      </c>
      <c r="B115" s="9" t="s">
        <v>207</v>
      </c>
      <c r="C115" s="9" t="s">
        <v>86</v>
      </c>
      <c r="D115" s="9" t="s">
        <v>87</v>
      </c>
      <c r="E115" s="9" t="s">
        <v>71</v>
      </c>
      <c r="F115">
        <v>6</v>
      </c>
      <c r="G115" s="9" t="s">
        <v>48</v>
      </c>
      <c r="H115" s="9" t="s">
        <v>49</v>
      </c>
      <c r="I115" s="9" t="s">
        <v>50</v>
      </c>
      <c r="J115" s="9" t="s">
        <v>51</v>
      </c>
      <c r="K115">
        <v>1</v>
      </c>
      <c r="L115" s="6"/>
      <c r="M115">
        <v>111</v>
      </c>
      <c r="N115">
        <v>221</v>
      </c>
      <c r="O115">
        <v>186.2996</v>
      </c>
      <c r="P115">
        <v>402.1619</v>
      </c>
      <c r="Q115">
        <v>400</v>
      </c>
      <c r="R115">
        <v>400</v>
      </c>
      <c r="S115">
        <v>46.57</v>
      </c>
      <c r="T115">
        <v>100.54</v>
      </c>
      <c r="U115">
        <v>0</v>
      </c>
      <c r="V115">
        <v>1</v>
      </c>
      <c r="W115">
        <v>1</v>
      </c>
      <c r="X115">
        <v>2.3105000000000002</v>
      </c>
      <c r="Y115">
        <v>-2.1619000000000002</v>
      </c>
      <c r="Z115">
        <v>213.7004</v>
      </c>
      <c r="AA115">
        <v>-0.94</v>
      </c>
      <c r="AB115" s="6"/>
    </row>
    <row r="116" spans="1:28" x14ac:dyDescent="0.35">
      <c r="A116">
        <v>1432</v>
      </c>
      <c r="B116" s="9" t="s">
        <v>208</v>
      </c>
      <c r="C116" s="9" t="s">
        <v>64</v>
      </c>
      <c r="D116" s="9" t="s">
        <v>65</v>
      </c>
      <c r="E116" s="9" t="s">
        <v>47</v>
      </c>
      <c r="F116">
        <v>12</v>
      </c>
      <c r="G116" s="9" t="s">
        <v>209</v>
      </c>
      <c r="H116" s="9" t="s">
        <v>49</v>
      </c>
      <c r="I116" s="9" t="s">
        <v>154</v>
      </c>
      <c r="J116" s="9" t="s">
        <v>155</v>
      </c>
      <c r="K116">
        <v>2</v>
      </c>
      <c r="L116" s="6"/>
      <c r="M116">
        <v>116</v>
      </c>
      <c r="N116">
        <v>237</v>
      </c>
      <c r="O116">
        <v>173.19990000000001</v>
      </c>
      <c r="P116">
        <v>200.53440000000001</v>
      </c>
      <c r="Q116">
        <v>200</v>
      </c>
      <c r="R116">
        <v>200</v>
      </c>
      <c r="S116">
        <v>86.6</v>
      </c>
      <c r="T116">
        <v>100.27</v>
      </c>
      <c r="U116">
        <v>0</v>
      </c>
      <c r="V116">
        <v>1</v>
      </c>
      <c r="W116">
        <v>1</v>
      </c>
      <c r="X116">
        <v>1.1733</v>
      </c>
      <c r="Y116">
        <v>-0.53439999999999999</v>
      </c>
      <c r="Z116">
        <v>26.8001</v>
      </c>
      <c r="AA116">
        <v>-0.46</v>
      </c>
      <c r="AB116" s="6"/>
    </row>
    <row r="117" spans="1:28" x14ac:dyDescent="0.35">
      <c r="A117">
        <v>1083</v>
      </c>
      <c r="B117" s="9" t="s">
        <v>210</v>
      </c>
      <c r="C117" s="9" t="s">
        <v>127</v>
      </c>
      <c r="D117" s="9" t="s">
        <v>128</v>
      </c>
      <c r="E117" s="9" t="s">
        <v>129</v>
      </c>
      <c r="F117">
        <v>4</v>
      </c>
      <c r="G117" s="9" t="s">
        <v>161</v>
      </c>
      <c r="H117" s="9" t="s">
        <v>82</v>
      </c>
      <c r="I117" s="9" t="s">
        <v>154</v>
      </c>
      <c r="J117" s="9" t="s">
        <v>155</v>
      </c>
      <c r="K117">
        <v>1</v>
      </c>
      <c r="L117" s="6"/>
      <c r="M117">
        <v>138</v>
      </c>
      <c r="N117">
        <v>320</v>
      </c>
      <c r="O117">
        <v>203.3836</v>
      </c>
      <c r="P117">
        <v>248.02510000000001</v>
      </c>
      <c r="Q117">
        <v>250</v>
      </c>
      <c r="R117">
        <v>250</v>
      </c>
      <c r="S117">
        <v>81.349999999999994</v>
      </c>
      <c r="T117">
        <v>99.21</v>
      </c>
      <c r="U117">
        <v>0</v>
      </c>
      <c r="V117">
        <v>0</v>
      </c>
      <c r="W117">
        <v>0</v>
      </c>
      <c r="X117">
        <v>1.2703</v>
      </c>
      <c r="Y117">
        <v>1.9749000000000001</v>
      </c>
      <c r="Z117">
        <v>46.616399999999999</v>
      </c>
      <c r="AA117">
        <v>1.55</v>
      </c>
      <c r="AB117" s="6"/>
    </row>
    <row r="118" spans="1:28" x14ac:dyDescent="0.35">
      <c r="A118">
        <v>1072</v>
      </c>
      <c r="B118" s="9" t="s">
        <v>211</v>
      </c>
      <c r="C118" s="9" t="s">
        <v>53</v>
      </c>
      <c r="D118" s="9" t="s">
        <v>54</v>
      </c>
      <c r="E118" s="9" t="s">
        <v>47</v>
      </c>
      <c r="F118">
        <v>8</v>
      </c>
      <c r="G118" s="9" t="s">
        <v>161</v>
      </c>
      <c r="H118" s="9" t="s">
        <v>82</v>
      </c>
      <c r="I118" s="9" t="s">
        <v>154</v>
      </c>
      <c r="J118" s="9" t="s">
        <v>155</v>
      </c>
      <c r="K118">
        <v>1</v>
      </c>
      <c r="L118" s="6"/>
      <c r="M118">
        <v>67</v>
      </c>
      <c r="N118">
        <v>152</v>
      </c>
      <c r="O118">
        <v>96.733699999999999</v>
      </c>
      <c r="P118">
        <v>118.71680000000001</v>
      </c>
      <c r="Q118">
        <v>120</v>
      </c>
      <c r="R118">
        <v>120</v>
      </c>
      <c r="S118">
        <v>80.61</v>
      </c>
      <c r="T118">
        <v>98.93</v>
      </c>
      <c r="U118">
        <v>0</v>
      </c>
      <c r="V118">
        <v>0</v>
      </c>
      <c r="W118">
        <v>0</v>
      </c>
      <c r="X118">
        <v>1.2703</v>
      </c>
      <c r="Y118">
        <v>1.2831999999999999</v>
      </c>
      <c r="Z118">
        <v>23.266300000000001</v>
      </c>
      <c r="AA118">
        <v>1.01</v>
      </c>
      <c r="AB118" s="6"/>
    </row>
    <row r="119" spans="1:28" x14ac:dyDescent="0.35">
      <c r="A119">
        <v>1234</v>
      </c>
      <c r="B119" s="9" t="s">
        <v>212</v>
      </c>
      <c r="C119" s="9" t="s">
        <v>53</v>
      </c>
      <c r="D119" s="9" t="s">
        <v>54</v>
      </c>
      <c r="E119" s="9" t="s">
        <v>47</v>
      </c>
      <c r="F119">
        <v>8</v>
      </c>
      <c r="G119" s="9" t="s">
        <v>79</v>
      </c>
      <c r="H119" s="9" t="s">
        <v>56</v>
      </c>
      <c r="I119" s="9" t="s">
        <v>50</v>
      </c>
      <c r="J119" s="9" t="s">
        <v>51</v>
      </c>
      <c r="K119">
        <v>2</v>
      </c>
      <c r="L119" s="6"/>
      <c r="M119">
        <v>30</v>
      </c>
      <c r="N119">
        <v>57</v>
      </c>
      <c r="O119">
        <v>53.5334</v>
      </c>
      <c r="P119">
        <v>116.26430000000001</v>
      </c>
      <c r="Q119">
        <v>120</v>
      </c>
      <c r="R119">
        <v>120</v>
      </c>
      <c r="S119">
        <v>44.61</v>
      </c>
      <c r="T119">
        <v>96.89</v>
      </c>
      <c r="U119">
        <v>0</v>
      </c>
      <c r="V119">
        <v>0</v>
      </c>
      <c r="W119">
        <v>0</v>
      </c>
      <c r="X119">
        <v>2.1718000000000002</v>
      </c>
      <c r="Y119">
        <v>3.7357</v>
      </c>
      <c r="Z119">
        <v>66.4666</v>
      </c>
      <c r="AA119">
        <v>1.72</v>
      </c>
      <c r="AB119" s="6"/>
    </row>
    <row r="120" spans="1:28" x14ac:dyDescent="0.35">
      <c r="A120">
        <v>1065</v>
      </c>
      <c r="B120" s="9" t="s">
        <v>213</v>
      </c>
      <c r="C120" s="9" t="s">
        <v>45</v>
      </c>
      <c r="D120" s="9" t="s">
        <v>46</v>
      </c>
      <c r="E120" s="9" t="s">
        <v>47</v>
      </c>
      <c r="F120">
        <v>18</v>
      </c>
      <c r="G120" s="9" t="s">
        <v>88</v>
      </c>
      <c r="H120" s="9" t="s">
        <v>56</v>
      </c>
      <c r="I120" s="9" t="s">
        <v>89</v>
      </c>
      <c r="J120" s="9" t="s">
        <v>90</v>
      </c>
      <c r="K120">
        <v>4</v>
      </c>
      <c r="L120" s="6"/>
      <c r="M120">
        <v>79</v>
      </c>
      <c r="N120">
        <v>606</v>
      </c>
      <c r="O120">
        <v>78.683800000000005</v>
      </c>
      <c r="P120">
        <v>144.87190000000001</v>
      </c>
      <c r="Q120">
        <v>150</v>
      </c>
      <c r="R120">
        <v>150</v>
      </c>
      <c r="S120">
        <v>52.46</v>
      </c>
      <c r="T120">
        <v>96.58</v>
      </c>
      <c r="U120">
        <v>0</v>
      </c>
      <c r="V120">
        <v>0</v>
      </c>
      <c r="W120">
        <v>0</v>
      </c>
      <c r="X120">
        <v>1.9149</v>
      </c>
      <c r="Y120">
        <v>5.1280999999999999</v>
      </c>
      <c r="Z120">
        <v>71.316199999999995</v>
      </c>
      <c r="AA120">
        <v>2.68</v>
      </c>
      <c r="AB120" s="6"/>
    </row>
    <row r="121" spans="1:28" x14ac:dyDescent="0.35">
      <c r="A121">
        <v>1055</v>
      </c>
      <c r="B121" s="9" t="s">
        <v>214</v>
      </c>
      <c r="C121" s="9" t="s">
        <v>45</v>
      </c>
      <c r="D121" s="9" t="s">
        <v>46</v>
      </c>
      <c r="E121" s="9" t="s">
        <v>47</v>
      </c>
      <c r="F121">
        <v>18</v>
      </c>
      <c r="G121" s="9" t="s">
        <v>88</v>
      </c>
      <c r="H121" s="9" t="s">
        <v>56</v>
      </c>
      <c r="I121" s="9" t="s">
        <v>89</v>
      </c>
      <c r="J121" s="9" t="s">
        <v>90</v>
      </c>
      <c r="K121">
        <v>1</v>
      </c>
      <c r="L121" s="6"/>
      <c r="M121">
        <v>79</v>
      </c>
      <c r="N121">
        <v>606</v>
      </c>
      <c r="O121">
        <v>78.683800000000005</v>
      </c>
      <c r="P121">
        <v>144.87190000000001</v>
      </c>
      <c r="Q121">
        <v>150</v>
      </c>
      <c r="R121">
        <v>150</v>
      </c>
      <c r="S121">
        <v>52.46</v>
      </c>
      <c r="T121">
        <v>96.58</v>
      </c>
      <c r="U121">
        <v>0</v>
      </c>
      <c r="V121">
        <v>0</v>
      </c>
      <c r="W121">
        <v>0</v>
      </c>
      <c r="X121">
        <v>1.9149</v>
      </c>
      <c r="Y121">
        <v>5.1280999999999999</v>
      </c>
      <c r="Z121">
        <v>71.316199999999995</v>
      </c>
      <c r="AA121">
        <v>2.68</v>
      </c>
      <c r="AB121" s="6"/>
    </row>
    <row r="122" spans="1:28" x14ac:dyDescent="0.35">
      <c r="A122">
        <v>810</v>
      </c>
      <c r="B122" s="9" t="s">
        <v>215</v>
      </c>
      <c r="C122" s="9" t="s">
        <v>45</v>
      </c>
      <c r="D122" s="9" t="s">
        <v>46</v>
      </c>
      <c r="E122" s="9" t="s">
        <v>47</v>
      </c>
      <c r="F122">
        <v>18</v>
      </c>
      <c r="G122" s="9" t="s">
        <v>110</v>
      </c>
      <c r="H122" s="9" t="s">
        <v>82</v>
      </c>
      <c r="I122" s="9" t="s">
        <v>57</v>
      </c>
      <c r="J122" s="9" t="s">
        <v>58</v>
      </c>
      <c r="K122">
        <v>4</v>
      </c>
      <c r="L122" s="6"/>
      <c r="M122">
        <v>43</v>
      </c>
      <c r="N122">
        <v>110</v>
      </c>
      <c r="O122">
        <v>75.133300000000006</v>
      </c>
      <c r="P122">
        <v>144.75239999999999</v>
      </c>
      <c r="Q122">
        <v>150</v>
      </c>
      <c r="R122">
        <v>150</v>
      </c>
      <c r="S122">
        <v>50.09</v>
      </c>
      <c r="T122">
        <v>96.5</v>
      </c>
      <c r="U122">
        <v>0</v>
      </c>
      <c r="V122">
        <v>0</v>
      </c>
      <c r="W122">
        <v>0</v>
      </c>
      <c r="X122">
        <v>1.9188000000000001</v>
      </c>
      <c r="Y122">
        <v>5.2476000000000003</v>
      </c>
      <c r="Z122">
        <v>74.866699999999994</v>
      </c>
      <c r="AA122">
        <v>2.73</v>
      </c>
      <c r="AB122" s="6"/>
    </row>
    <row r="123" spans="1:28" x14ac:dyDescent="0.35">
      <c r="A123">
        <v>1334</v>
      </c>
      <c r="B123" s="9" t="s">
        <v>216</v>
      </c>
      <c r="C123" s="9" t="s">
        <v>53</v>
      </c>
      <c r="D123" s="9" t="s">
        <v>54</v>
      </c>
      <c r="E123" s="9" t="s">
        <v>47</v>
      </c>
      <c r="F123">
        <v>8</v>
      </c>
      <c r="G123" s="9" t="s">
        <v>72</v>
      </c>
      <c r="H123" s="9" t="s">
        <v>56</v>
      </c>
      <c r="I123" s="9" t="s">
        <v>50</v>
      </c>
      <c r="J123" s="9" t="s">
        <v>51</v>
      </c>
      <c r="K123">
        <v>2</v>
      </c>
      <c r="L123" s="6"/>
      <c r="M123">
        <v>35</v>
      </c>
      <c r="N123">
        <v>58</v>
      </c>
      <c r="O123">
        <v>58.466799999999999</v>
      </c>
      <c r="P123">
        <v>115.6889</v>
      </c>
      <c r="Q123">
        <v>120</v>
      </c>
      <c r="R123">
        <v>120</v>
      </c>
      <c r="S123">
        <v>48.72</v>
      </c>
      <c r="T123">
        <v>96.41</v>
      </c>
      <c r="U123">
        <v>0</v>
      </c>
      <c r="V123">
        <v>0</v>
      </c>
      <c r="W123">
        <v>0</v>
      </c>
      <c r="X123">
        <v>1.9079999999999999</v>
      </c>
      <c r="Y123">
        <v>4.3110999999999997</v>
      </c>
      <c r="Z123">
        <v>61.533200000000001</v>
      </c>
      <c r="AA123">
        <v>2.2599999999999998</v>
      </c>
      <c r="AB123" s="6"/>
    </row>
    <row r="124" spans="1:28" x14ac:dyDescent="0.35">
      <c r="A124">
        <v>1519</v>
      </c>
      <c r="B124" s="9" t="s">
        <v>217</v>
      </c>
      <c r="C124" s="9" t="s">
        <v>127</v>
      </c>
      <c r="D124" s="9" t="s">
        <v>128</v>
      </c>
      <c r="E124" s="9" t="s">
        <v>129</v>
      </c>
      <c r="F124">
        <v>4</v>
      </c>
      <c r="G124" s="9" t="s">
        <v>178</v>
      </c>
      <c r="H124" s="9" t="s">
        <v>56</v>
      </c>
      <c r="I124" s="9" t="s">
        <v>154</v>
      </c>
      <c r="J124" s="9" t="s">
        <v>155</v>
      </c>
      <c r="K124">
        <v>1</v>
      </c>
      <c r="L124" s="6"/>
      <c r="M124">
        <v>135</v>
      </c>
      <c r="N124">
        <v>267</v>
      </c>
      <c r="O124">
        <v>203.2167</v>
      </c>
      <c r="P124">
        <v>240.0848</v>
      </c>
      <c r="Q124">
        <v>250</v>
      </c>
      <c r="R124">
        <v>250</v>
      </c>
      <c r="S124">
        <v>81.290000000000006</v>
      </c>
      <c r="T124">
        <v>96.03</v>
      </c>
      <c r="U124">
        <v>0</v>
      </c>
      <c r="V124">
        <v>0</v>
      </c>
      <c r="W124">
        <v>0</v>
      </c>
      <c r="X124">
        <v>1.1561999999999999</v>
      </c>
      <c r="Y124">
        <v>9.9152000000000005</v>
      </c>
      <c r="Z124">
        <v>46.783299999999997</v>
      </c>
      <c r="AA124">
        <v>8.58</v>
      </c>
      <c r="AB124" s="6"/>
    </row>
    <row r="125" spans="1:28" x14ac:dyDescent="0.35">
      <c r="A125">
        <v>1479</v>
      </c>
      <c r="B125" s="9" t="s">
        <v>218</v>
      </c>
      <c r="C125" s="9" t="s">
        <v>64</v>
      </c>
      <c r="D125" s="9" t="s">
        <v>65</v>
      </c>
      <c r="E125" s="9" t="s">
        <v>47</v>
      </c>
      <c r="F125">
        <v>12</v>
      </c>
      <c r="G125" s="9" t="s">
        <v>67</v>
      </c>
      <c r="H125" s="9" t="s">
        <v>56</v>
      </c>
      <c r="I125" s="9" t="s">
        <v>57</v>
      </c>
      <c r="J125" s="9" t="s">
        <v>58</v>
      </c>
      <c r="K125">
        <v>2</v>
      </c>
      <c r="L125" s="6"/>
      <c r="M125">
        <v>52</v>
      </c>
      <c r="N125">
        <v>154</v>
      </c>
      <c r="O125">
        <v>93.249899999999997</v>
      </c>
      <c r="P125">
        <v>190.70849999999999</v>
      </c>
      <c r="Q125">
        <v>200</v>
      </c>
      <c r="R125">
        <v>200</v>
      </c>
      <c r="S125">
        <v>46.62</v>
      </c>
      <c r="T125">
        <v>95.35</v>
      </c>
      <c r="U125">
        <v>0</v>
      </c>
      <c r="V125">
        <v>0</v>
      </c>
      <c r="W125">
        <v>0</v>
      </c>
      <c r="X125">
        <v>1.9626999999999999</v>
      </c>
      <c r="Y125">
        <v>9.2914999999999992</v>
      </c>
      <c r="Z125">
        <v>106.7501</v>
      </c>
      <c r="AA125">
        <v>4.7300000000000004</v>
      </c>
      <c r="AB125" s="6"/>
    </row>
    <row r="126" spans="1:28" x14ac:dyDescent="0.35">
      <c r="A126">
        <v>549</v>
      </c>
      <c r="B126" s="9" t="s">
        <v>219</v>
      </c>
      <c r="C126" s="9" t="s">
        <v>45</v>
      </c>
      <c r="D126" s="9" t="s">
        <v>46</v>
      </c>
      <c r="E126" s="9" t="s">
        <v>47</v>
      </c>
      <c r="F126">
        <v>18</v>
      </c>
      <c r="G126" s="9" t="s">
        <v>97</v>
      </c>
      <c r="H126" s="9" t="s">
        <v>49</v>
      </c>
      <c r="I126" s="9" t="s">
        <v>50</v>
      </c>
      <c r="J126" s="9" t="s">
        <v>51</v>
      </c>
      <c r="K126">
        <v>2</v>
      </c>
      <c r="L126" s="6"/>
      <c r="M126">
        <v>39</v>
      </c>
      <c r="N126">
        <v>71</v>
      </c>
      <c r="O126">
        <v>65.233199999999997</v>
      </c>
      <c r="P126">
        <v>143.0205</v>
      </c>
      <c r="Q126">
        <v>150</v>
      </c>
      <c r="R126">
        <v>150</v>
      </c>
      <c r="S126">
        <v>43.49</v>
      </c>
      <c r="T126">
        <v>95.35</v>
      </c>
      <c r="U126">
        <v>0</v>
      </c>
      <c r="V126">
        <v>0</v>
      </c>
      <c r="W126">
        <v>0</v>
      </c>
      <c r="X126">
        <v>2.1760999999999999</v>
      </c>
      <c r="Y126">
        <v>6.9794999999999998</v>
      </c>
      <c r="Z126">
        <v>84.766800000000003</v>
      </c>
      <c r="AA126">
        <v>3.21</v>
      </c>
      <c r="AB126" s="6"/>
    </row>
    <row r="127" spans="1:28" x14ac:dyDescent="0.35">
      <c r="A127">
        <v>336</v>
      </c>
      <c r="B127" s="9" t="s">
        <v>220</v>
      </c>
      <c r="C127" s="9" t="s">
        <v>45</v>
      </c>
      <c r="D127" s="9" t="s">
        <v>46</v>
      </c>
      <c r="E127" s="9" t="s">
        <v>47</v>
      </c>
      <c r="F127">
        <v>18</v>
      </c>
      <c r="G127" s="9" t="s">
        <v>93</v>
      </c>
      <c r="H127" s="9" t="s">
        <v>49</v>
      </c>
      <c r="I127" s="9" t="s">
        <v>89</v>
      </c>
      <c r="J127" s="9" t="s">
        <v>90</v>
      </c>
      <c r="K127">
        <v>1</v>
      </c>
      <c r="L127" s="6"/>
      <c r="M127">
        <v>77</v>
      </c>
      <c r="N127">
        <v>583</v>
      </c>
      <c r="O127">
        <v>79.199799999999996</v>
      </c>
      <c r="P127">
        <v>142.6207</v>
      </c>
      <c r="Q127">
        <v>150</v>
      </c>
      <c r="R127">
        <v>150</v>
      </c>
      <c r="S127">
        <v>52.8</v>
      </c>
      <c r="T127">
        <v>95.08</v>
      </c>
      <c r="U127">
        <v>0</v>
      </c>
      <c r="V127">
        <v>0</v>
      </c>
      <c r="W127">
        <v>0</v>
      </c>
      <c r="X127">
        <v>1.7137</v>
      </c>
      <c r="Y127">
        <v>7.3792999999999997</v>
      </c>
      <c r="Z127">
        <v>70.800200000000004</v>
      </c>
      <c r="AA127">
        <v>4.3099999999999996</v>
      </c>
      <c r="AB127" s="6"/>
    </row>
    <row r="128" spans="1:28" x14ac:dyDescent="0.35">
      <c r="A128">
        <v>175</v>
      </c>
      <c r="B128" s="9" t="s">
        <v>221</v>
      </c>
      <c r="C128" s="9" t="s">
        <v>64</v>
      </c>
      <c r="D128" s="9" t="s">
        <v>65</v>
      </c>
      <c r="E128" s="9" t="s">
        <v>47</v>
      </c>
      <c r="F128">
        <v>12</v>
      </c>
      <c r="G128" s="9" t="s">
        <v>192</v>
      </c>
      <c r="H128" s="9" t="s">
        <v>49</v>
      </c>
      <c r="I128" s="9" t="s">
        <v>154</v>
      </c>
      <c r="J128" s="9" t="s">
        <v>155</v>
      </c>
      <c r="K128">
        <v>1</v>
      </c>
      <c r="L128" s="6"/>
      <c r="M128">
        <v>107</v>
      </c>
      <c r="N128">
        <v>221</v>
      </c>
      <c r="O128">
        <v>164.43299999999999</v>
      </c>
      <c r="P128">
        <v>188.24340000000001</v>
      </c>
      <c r="Q128">
        <v>200</v>
      </c>
      <c r="R128">
        <v>200</v>
      </c>
      <c r="S128">
        <v>82.22</v>
      </c>
      <c r="T128">
        <v>94.12</v>
      </c>
      <c r="U128">
        <v>0</v>
      </c>
      <c r="V128">
        <v>0</v>
      </c>
      <c r="W128">
        <v>0</v>
      </c>
      <c r="X128">
        <v>1.1001000000000001</v>
      </c>
      <c r="Y128">
        <v>11.756600000000001</v>
      </c>
      <c r="Z128">
        <v>35.567</v>
      </c>
      <c r="AA128">
        <v>10.69</v>
      </c>
      <c r="AB128" s="6"/>
    </row>
    <row r="129" spans="1:28" x14ac:dyDescent="0.35">
      <c r="A129">
        <v>178</v>
      </c>
      <c r="B129" s="9" t="s">
        <v>222</v>
      </c>
      <c r="C129" s="9" t="s">
        <v>64</v>
      </c>
      <c r="D129" s="9" t="s">
        <v>65</v>
      </c>
      <c r="E129" s="9" t="s">
        <v>47</v>
      </c>
      <c r="F129">
        <v>12</v>
      </c>
      <c r="G129" s="9" t="s">
        <v>192</v>
      </c>
      <c r="H129" s="9" t="s">
        <v>49</v>
      </c>
      <c r="I129" s="9" t="s">
        <v>154</v>
      </c>
      <c r="J129" s="9" t="s">
        <v>155</v>
      </c>
      <c r="K129">
        <v>2</v>
      </c>
      <c r="L129" s="6"/>
      <c r="M129">
        <v>107</v>
      </c>
      <c r="N129">
        <v>221</v>
      </c>
      <c r="O129">
        <v>164.43299999999999</v>
      </c>
      <c r="P129">
        <v>188.24340000000001</v>
      </c>
      <c r="Q129">
        <v>200</v>
      </c>
      <c r="R129">
        <v>200</v>
      </c>
      <c r="S129">
        <v>82.22</v>
      </c>
      <c r="T129">
        <v>94.12</v>
      </c>
      <c r="U129">
        <v>0</v>
      </c>
      <c r="V129">
        <v>0</v>
      </c>
      <c r="W129">
        <v>0</v>
      </c>
      <c r="X129">
        <v>1.1001000000000001</v>
      </c>
      <c r="Y129">
        <v>11.756600000000001</v>
      </c>
      <c r="Z129">
        <v>35.567</v>
      </c>
      <c r="AA129">
        <v>10.69</v>
      </c>
      <c r="AB129" s="6"/>
    </row>
    <row r="130" spans="1:28" x14ac:dyDescent="0.35">
      <c r="A130">
        <v>181</v>
      </c>
      <c r="B130" s="9" t="s">
        <v>223</v>
      </c>
      <c r="C130" s="9" t="s">
        <v>64</v>
      </c>
      <c r="D130" s="9" t="s">
        <v>65</v>
      </c>
      <c r="E130" s="9" t="s">
        <v>47</v>
      </c>
      <c r="F130">
        <v>12</v>
      </c>
      <c r="G130" s="9" t="s">
        <v>192</v>
      </c>
      <c r="H130" s="9" t="s">
        <v>49</v>
      </c>
      <c r="I130" s="9" t="s">
        <v>154</v>
      </c>
      <c r="J130" s="9" t="s">
        <v>155</v>
      </c>
      <c r="K130">
        <v>3</v>
      </c>
      <c r="L130" s="6"/>
      <c r="M130">
        <v>107</v>
      </c>
      <c r="N130">
        <v>221</v>
      </c>
      <c r="O130">
        <v>164.43299999999999</v>
      </c>
      <c r="P130">
        <v>188.24340000000001</v>
      </c>
      <c r="Q130">
        <v>200</v>
      </c>
      <c r="R130">
        <v>200</v>
      </c>
      <c r="S130">
        <v>82.22</v>
      </c>
      <c r="T130">
        <v>94.12</v>
      </c>
      <c r="U130">
        <v>0</v>
      </c>
      <c r="V130">
        <v>0</v>
      </c>
      <c r="W130">
        <v>0</v>
      </c>
      <c r="X130">
        <v>1.1001000000000001</v>
      </c>
      <c r="Y130">
        <v>11.756600000000001</v>
      </c>
      <c r="Z130">
        <v>35.567</v>
      </c>
      <c r="AA130">
        <v>10.69</v>
      </c>
      <c r="AB130" s="6"/>
    </row>
    <row r="131" spans="1:28" x14ac:dyDescent="0.35">
      <c r="A131">
        <v>184</v>
      </c>
      <c r="B131" s="9" t="s">
        <v>224</v>
      </c>
      <c r="C131" s="9" t="s">
        <v>64</v>
      </c>
      <c r="D131" s="9" t="s">
        <v>65</v>
      </c>
      <c r="E131" s="9" t="s">
        <v>47</v>
      </c>
      <c r="F131">
        <v>12</v>
      </c>
      <c r="G131" s="9" t="s">
        <v>192</v>
      </c>
      <c r="H131" s="9" t="s">
        <v>49</v>
      </c>
      <c r="I131" s="9" t="s">
        <v>154</v>
      </c>
      <c r="J131" s="9" t="s">
        <v>155</v>
      </c>
      <c r="K131">
        <v>4</v>
      </c>
      <c r="L131" s="6"/>
      <c r="M131">
        <v>107</v>
      </c>
      <c r="N131">
        <v>221</v>
      </c>
      <c r="O131">
        <v>164.43299999999999</v>
      </c>
      <c r="P131">
        <v>188.24340000000001</v>
      </c>
      <c r="Q131">
        <v>200</v>
      </c>
      <c r="R131">
        <v>200</v>
      </c>
      <c r="S131">
        <v>82.22</v>
      </c>
      <c r="T131">
        <v>94.12</v>
      </c>
      <c r="U131">
        <v>0</v>
      </c>
      <c r="V131">
        <v>0</v>
      </c>
      <c r="W131">
        <v>0</v>
      </c>
      <c r="X131">
        <v>1.1001000000000001</v>
      </c>
      <c r="Y131">
        <v>11.756600000000001</v>
      </c>
      <c r="Z131">
        <v>35.567</v>
      </c>
      <c r="AA131">
        <v>10.69</v>
      </c>
      <c r="AB131" s="6"/>
    </row>
    <row r="132" spans="1:28" x14ac:dyDescent="0.35">
      <c r="A132">
        <v>708</v>
      </c>
      <c r="B132" s="9" t="s">
        <v>225</v>
      </c>
      <c r="C132" s="9" t="s">
        <v>53</v>
      </c>
      <c r="D132" s="9" t="s">
        <v>54</v>
      </c>
      <c r="E132" s="9" t="s">
        <v>47</v>
      </c>
      <c r="F132">
        <v>8</v>
      </c>
      <c r="G132" s="9" t="s">
        <v>95</v>
      </c>
      <c r="H132" s="9" t="s">
        <v>49</v>
      </c>
      <c r="I132" s="9" t="s">
        <v>57</v>
      </c>
      <c r="J132" s="9" t="s">
        <v>58</v>
      </c>
      <c r="K132">
        <v>2</v>
      </c>
      <c r="L132" s="6"/>
      <c r="M132">
        <v>33</v>
      </c>
      <c r="N132">
        <v>67</v>
      </c>
      <c r="O132">
        <v>57.833399999999997</v>
      </c>
      <c r="P132">
        <v>112.4564</v>
      </c>
      <c r="Q132">
        <v>120</v>
      </c>
      <c r="R132">
        <v>120</v>
      </c>
      <c r="S132">
        <v>48.19</v>
      </c>
      <c r="T132">
        <v>93.71</v>
      </c>
      <c r="U132">
        <v>0</v>
      </c>
      <c r="V132">
        <v>0</v>
      </c>
      <c r="W132">
        <v>0</v>
      </c>
      <c r="X132">
        <v>1.9216</v>
      </c>
      <c r="Y132">
        <v>7.5435999999999996</v>
      </c>
      <c r="Z132">
        <v>62.166600000000003</v>
      </c>
      <c r="AA132">
        <v>3.93</v>
      </c>
      <c r="AB132" s="6"/>
    </row>
    <row r="133" spans="1:28" x14ac:dyDescent="0.35">
      <c r="A133">
        <v>302</v>
      </c>
      <c r="B133" s="9" t="s">
        <v>226</v>
      </c>
      <c r="C133" s="9" t="s">
        <v>45</v>
      </c>
      <c r="D133" s="9" t="s">
        <v>46</v>
      </c>
      <c r="E133" s="9" t="s">
        <v>47</v>
      </c>
      <c r="F133">
        <v>18</v>
      </c>
      <c r="G133" s="9" t="s">
        <v>205</v>
      </c>
      <c r="H133" s="9" t="s">
        <v>56</v>
      </c>
      <c r="I133" s="9" t="s">
        <v>154</v>
      </c>
      <c r="J133" s="9" t="s">
        <v>155</v>
      </c>
      <c r="K133">
        <v>2</v>
      </c>
      <c r="L133" s="6"/>
      <c r="M133">
        <v>77</v>
      </c>
      <c r="N133">
        <v>155</v>
      </c>
      <c r="O133">
        <v>116.9335</v>
      </c>
      <c r="P133">
        <v>139.18510000000001</v>
      </c>
      <c r="Q133">
        <v>150</v>
      </c>
      <c r="R133">
        <v>150</v>
      </c>
      <c r="S133">
        <v>77.959999999999994</v>
      </c>
      <c r="T133">
        <v>92.79</v>
      </c>
      <c r="U133">
        <v>0</v>
      </c>
      <c r="V133">
        <v>0</v>
      </c>
      <c r="W133">
        <v>0</v>
      </c>
      <c r="X133">
        <v>1.08</v>
      </c>
      <c r="Y133">
        <v>10.8149</v>
      </c>
      <c r="Z133">
        <v>33.066499999999998</v>
      </c>
      <c r="AA133">
        <v>10.01</v>
      </c>
      <c r="AB133" s="6"/>
    </row>
    <row r="134" spans="1:28" x14ac:dyDescent="0.35">
      <c r="A134">
        <v>572</v>
      </c>
      <c r="B134" s="9" t="s">
        <v>227</v>
      </c>
      <c r="C134" s="9" t="s">
        <v>69</v>
      </c>
      <c r="D134" s="9" t="s">
        <v>70</v>
      </c>
      <c r="E134" s="9" t="s">
        <v>71</v>
      </c>
      <c r="F134">
        <v>24</v>
      </c>
      <c r="G134" s="9" t="s">
        <v>195</v>
      </c>
      <c r="H134" s="9" t="s">
        <v>56</v>
      </c>
      <c r="I134" s="9" t="s">
        <v>154</v>
      </c>
      <c r="J134" s="9" t="s">
        <v>155</v>
      </c>
      <c r="K134">
        <v>1</v>
      </c>
      <c r="L134" s="6"/>
      <c r="M134">
        <v>151</v>
      </c>
      <c r="N134">
        <v>317</v>
      </c>
      <c r="O134">
        <v>234.91650000000001</v>
      </c>
      <c r="P134">
        <v>277.47949999999997</v>
      </c>
      <c r="Q134">
        <v>300</v>
      </c>
      <c r="R134">
        <v>300</v>
      </c>
      <c r="S134">
        <v>78.31</v>
      </c>
      <c r="T134">
        <v>92.49</v>
      </c>
      <c r="U134">
        <v>0</v>
      </c>
      <c r="V134">
        <v>0</v>
      </c>
      <c r="W134">
        <v>0</v>
      </c>
      <c r="X134">
        <v>1.0819000000000001</v>
      </c>
      <c r="Y134">
        <v>22.520499999999998</v>
      </c>
      <c r="Z134">
        <v>65.083500000000001</v>
      </c>
      <c r="AA134">
        <v>20.82</v>
      </c>
      <c r="AB134" s="6"/>
    </row>
    <row r="135" spans="1:28" x14ac:dyDescent="0.35">
      <c r="A135">
        <v>1494</v>
      </c>
      <c r="B135" s="9" t="s">
        <v>228</v>
      </c>
      <c r="C135" s="9" t="s">
        <v>45</v>
      </c>
      <c r="D135" s="9" t="s">
        <v>46</v>
      </c>
      <c r="E135" s="9" t="s">
        <v>47</v>
      </c>
      <c r="F135">
        <v>18</v>
      </c>
      <c r="G135" s="9" t="s">
        <v>67</v>
      </c>
      <c r="H135" s="9" t="s">
        <v>56</v>
      </c>
      <c r="I135" s="9" t="s">
        <v>57</v>
      </c>
      <c r="J135" s="9" t="s">
        <v>58</v>
      </c>
      <c r="K135">
        <v>2</v>
      </c>
      <c r="L135" s="6"/>
      <c r="M135">
        <v>40</v>
      </c>
      <c r="N135">
        <v>128</v>
      </c>
      <c r="O135">
        <v>69.000100000000003</v>
      </c>
      <c r="P135">
        <v>138.25960000000001</v>
      </c>
      <c r="Q135">
        <v>150</v>
      </c>
      <c r="R135">
        <v>150</v>
      </c>
      <c r="S135">
        <v>46</v>
      </c>
      <c r="T135">
        <v>92.17</v>
      </c>
      <c r="U135">
        <v>0</v>
      </c>
      <c r="V135">
        <v>0</v>
      </c>
      <c r="W135">
        <v>0</v>
      </c>
      <c r="X135">
        <v>1.9626999999999999</v>
      </c>
      <c r="Y135">
        <v>11.740399999999999</v>
      </c>
      <c r="Z135">
        <v>80.999899999999997</v>
      </c>
      <c r="AA135">
        <v>5.98</v>
      </c>
      <c r="AB135" s="6"/>
    </row>
    <row r="136" spans="1:28" x14ac:dyDescent="0.35">
      <c r="A136">
        <v>1033</v>
      </c>
      <c r="B136" s="9" t="s">
        <v>229</v>
      </c>
      <c r="C136" s="9" t="s">
        <v>53</v>
      </c>
      <c r="D136" s="9" t="s">
        <v>54</v>
      </c>
      <c r="E136" s="9" t="s">
        <v>47</v>
      </c>
      <c r="F136">
        <v>8</v>
      </c>
      <c r="G136" s="9" t="s">
        <v>88</v>
      </c>
      <c r="H136" s="9" t="s">
        <v>56</v>
      </c>
      <c r="I136" s="9" t="s">
        <v>89</v>
      </c>
      <c r="J136" s="9" t="s">
        <v>90</v>
      </c>
      <c r="K136">
        <v>1</v>
      </c>
      <c r="L136" s="6"/>
      <c r="M136">
        <v>60</v>
      </c>
      <c r="N136">
        <v>467</v>
      </c>
      <c r="O136">
        <v>58.300400000000003</v>
      </c>
      <c r="P136">
        <v>109.3051</v>
      </c>
      <c r="Q136">
        <v>120</v>
      </c>
      <c r="R136">
        <v>120</v>
      </c>
      <c r="S136">
        <v>48.58</v>
      </c>
      <c r="T136">
        <v>91.09</v>
      </c>
      <c r="U136">
        <v>0</v>
      </c>
      <c r="V136">
        <v>0</v>
      </c>
      <c r="W136">
        <v>0</v>
      </c>
      <c r="X136">
        <v>1.9149</v>
      </c>
      <c r="Y136">
        <v>10.694900000000001</v>
      </c>
      <c r="Z136">
        <v>61.699599999999997</v>
      </c>
      <c r="AA136">
        <v>5.59</v>
      </c>
      <c r="AB136" s="6"/>
    </row>
    <row r="137" spans="1:28" x14ac:dyDescent="0.35">
      <c r="A137">
        <v>365</v>
      </c>
      <c r="B137" s="9" t="s">
        <v>230</v>
      </c>
      <c r="C137" s="9" t="s">
        <v>127</v>
      </c>
      <c r="D137" s="9" t="s">
        <v>128</v>
      </c>
      <c r="E137" s="9" t="s">
        <v>129</v>
      </c>
      <c r="F137">
        <v>4</v>
      </c>
      <c r="G137" s="9" t="s">
        <v>48</v>
      </c>
      <c r="H137" s="9" t="s">
        <v>49</v>
      </c>
      <c r="I137" s="9" t="s">
        <v>50</v>
      </c>
      <c r="J137" s="9" t="s">
        <v>51</v>
      </c>
      <c r="K137">
        <v>1</v>
      </c>
      <c r="L137" s="6"/>
      <c r="M137">
        <v>62</v>
      </c>
      <c r="N137">
        <v>120</v>
      </c>
      <c r="O137">
        <v>102.3497</v>
      </c>
      <c r="P137">
        <v>227.5985</v>
      </c>
      <c r="Q137">
        <v>250</v>
      </c>
      <c r="R137">
        <v>250</v>
      </c>
      <c r="S137">
        <v>40.94</v>
      </c>
      <c r="T137">
        <v>91.04</v>
      </c>
      <c r="U137">
        <v>0</v>
      </c>
      <c r="V137">
        <v>0</v>
      </c>
      <c r="W137">
        <v>0</v>
      </c>
      <c r="X137">
        <v>2.3105000000000002</v>
      </c>
      <c r="Y137">
        <v>22.401499999999999</v>
      </c>
      <c r="Z137">
        <v>147.65029999999999</v>
      </c>
      <c r="AA137">
        <v>9.6999999999999993</v>
      </c>
      <c r="AB137" s="6"/>
    </row>
    <row r="138" spans="1:28" x14ac:dyDescent="0.35">
      <c r="A138">
        <v>649</v>
      </c>
      <c r="B138" s="9" t="s">
        <v>231</v>
      </c>
      <c r="C138" s="9" t="s">
        <v>53</v>
      </c>
      <c r="D138" s="9" t="s">
        <v>54</v>
      </c>
      <c r="E138" s="9" t="s">
        <v>47</v>
      </c>
      <c r="F138">
        <v>8</v>
      </c>
      <c r="G138" s="9" t="s">
        <v>81</v>
      </c>
      <c r="H138" s="9" t="s">
        <v>82</v>
      </c>
      <c r="I138" s="9" t="s">
        <v>57</v>
      </c>
      <c r="J138" s="9" t="s">
        <v>58</v>
      </c>
      <c r="K138">
        <v>1</v>
      </c>
      <c r="L138" s="6"/>
      <c r="M138">
        <v>35</v>
      </c>
      <c r="N138">
        <v>100</v>
      </c>
      <c r="O138">
        <v>57.466700000000003</v>
      </c>
      <c r="P138">
        <v>108.90130000000001</v>
      </c>
      <c r="Q138">
        <v>120</v>
      </c>
      <c r="R138">
        <v>120</v>
      </c>
      <c r="S138">
        <v>47.89</v>
      </c>
      <c r="T138">
        <v>90.75</v>
      </c>
      <c r="U138">
        <v>0</v>
      </c>
      <c r="V138">
        <v>0</v>
      </c>
      <c r="W138">
        <v>0</v>
      </c>
      <c r="X138">
        <v>1.8671</v>
      </c>
      <c r="Y138">
        <v>11.098699999999999</v>
      </c>
      <c r="Z138">
        <v>62.533299999999997</v>
      </c>
      <c r="AA138">
        <v>5.94</v>
      </c>
      <c r="AB138" s="6"/>
    </row>
    <row r="139" spans="1:28" x14ac:dyDescent="0.35">
      <c r="A139">
        <v>655</v>
      </c>
      <c r="B139" s="9" t="s">
        <v>232</v>
      </c>
      <c r="C139" s="9" t="s">
        <v>53</v>
      </c>
      <c r="D139" s="9" t="s">
        <v>54</v>
      </c>
      <c r="E139" s="9" t="s">
        <v>47</v>
      </c>
      <c r="F139">
        <v>8</v>
      </c>
      <c r="G139" s="9" t="s">
        <v>81</v>
      </c>
      <c r="H139" s="9" t="s">
        <v>82</v>
      </c>
      <c r="I139" s="9" t="s">
        <v>57</v>
      </c>
      <c r="J139" s="9" t="s">
        <v>58</v>
      </c>
      <c r="K139">
        <v>2</v>
      </c>
      <c r="L139" s="6"/>
      <c r="M139">
        <v>35</v>
      </c>
      <c r="N139">
        <v>100</v>
      </c>
      <c r="O139">
        <v>57.466700000000003</v>
      </c>
      <c r="P139">
        <v>108.90130000000001</v>
      </c>
      <c r="Q139">
        <v>120</v>
      </c>
      <c r="R139">
        <v>120</v>
      </c>
      <c r="S139">
        <v>47.89</v>
      </c>
      <c r="T139">
        <v>90.75</v>
      </c>
      <c r="U139">
        <v>0</v>
      </c>
      <c r="V139">
        <v>0</v>
      </c>
      <c r="W139">
        <v>0</v>
      </c>
      <c r="X139">
        <v>1.8671</v>
      </c>
      <c r="Y139">
        <v>11.098699999999999</v>
      </c>
      <c r="Z139">
        <v>62.533299999999997</v>
      </c>
      <c r="AA139">
        <v>5.94</v>
      </c>
      <c r="AB139" s="6"/>
    </row>
    <row r="140" spans="1:28" x14ac:dyDescent="0.35">
      <c r="A140">
        <v>290</v>
      </c>
      <c r="B140" s="9" t="s">
        <v>233</v>
      </c>
      <c r="C140" s="9" t="s">
        <v>64</v>
      </c>
      <c r="D140" s="9" t="s">
        <v>65</v>
      </c>
      <c r="E140" s="9" t="s">
        <v>47</v>
      </c>
      <c r="F140">
        <v>12</v>
      </c>
      <c r="G140" s="9" t="s">
        <v>205</v>
      </c>
      <c r="H140" s="9" t="s">
        <v>56</v>
      </c>
      <c r="I140" s="9" t="s">
        <v>154</v>
      </c>
      <c r="J140" s="9" t="s">
        <v>155</v>
      </c>
      <c r="K140">
        <v>3</v>
      </c>
      <c r="L140" s="6"/>
      <c r="M140">
        <v>101</v>
      </c>
      <c r="N140">
        <v>201</v>
      </c>
      <c r="O140">
        <v>155.8503</v>
      </c>
      <c r="P140">
        <v>180.80850000000001</v>
      </c>
      <c r="Q140">
        <v>200</v>
      </c>
      <c r="R140">
        <v>200</v>
      </c>
      <c r="S140">
        <v>77.930000000000007</v>
      </c>
      <c r="T140">
        <v>90.4</v>
      </c>
      <c r="U140">
        <v>0</v>
      </c>
      <c r="V140">
        <v>0</v>
      </c>
      <c r="W140">
        <v>0</v>
      </c>
      <c r="X140">
        <v>1.08</v>
      </c>
      <c r="Y140">
        <v>19.191500000000001</v>
      </c>
      <c r="Z140">
        <v>44.149700000000003</v>
      </c>
      <c r="AA140">
        <v>17.77</v>
      </c>
      <c r="AB140" s="6"/>
    </row>
    <row r="141" spans="1:28" x14ac:dyDescent="0.35">
      <c r="A141">
        <v>293</v>
      </c>
      <c r="B141" s="9" t="s">
        <v>234</v>
      </c>
      <c r="C141" s="9" t="s">
        <v>64</v>
      </c>
      <c r="D141" s="9" t="s">
        <v>65</v>
      </c>
      <c r="E141" s="9" t="s">
        <v>47</v>
      </c>
      <c r="F141">
        <v>12</v>
      </c>
      <c r="G141" s="9" t="s">
        <v>205</v>
      </c>
      <c r="H141" s="9" t="s">
        <v>56</v>
      </c>
      <c r="I141" s="9" t="s">
        <v>154</v>
      </c>
      <c r="J141" s="9" t="s">
        <v>155</v>
      </c>
      <c r="K141">
        <v>4</v>
      </c>
      <c r="L141" s="6"/>
      <c r="M141">
        <v>101</v>
      </c>
      <c r="N141">
        <v>201</v>
      </c>
      <c r="O141">
        <v>155.8503</v>
      </c>
      <c r="P141">
        <v>180.80850000000001</v>
      </c>
      <c r="Q141">
        <v>200</v>
      </c>
      <c r="R141">
        <v>200</v>
      </c>
      <c r="S141">
        <v>77.930000000000007</v>
      </c>
      <c r="T141">
        <v>90.4</v>
      </c>
      <c r="U141">
        <v>0</v>
      </c>
      <c r="V141">
        <v>0</v>
      </c>
      <c r="W141">
        <v>0</v>
      </c>
      <c r="X141">
        <v>1.08</v>
      </c>
      <c r="Y141">
        <v>19.191500000000001</v>
      </c>
      <c r="Z141">
        <v>44.149700000000003</v>
      </c>
      <c r="AA141">
        <v>17.77</v>
      </c>
      <c r="AB141" s="6"/>
    </row>
    <row r="142" spans="1:28" x14ac:dyDescent="0.35">
      <c r="A142">
        <v>848</v>
      </c>
      <c r="B142" s="9" t="s">
        <v>235</v>
      </c>
      <c r="C142" s="9" t="s">
        <v>86</v>
      </c>
      <c r="D142" s="9" t="s">
        <v>87</v>
      </c>
      <c r="E142" s="9" t="s">
        <v>71</v>
      </c>
      <c r="F142">
        <v>6</v>
      </c>
      <c r="G142" s="9" t="s">
        <v>77</v>
      </c>
      <c r="H142" s="9" t="s">
        <v>49</v>
      </c>
      <c r="I142" s="9" t="s">
        <v>50</v>
      </c>
      <c r="J142" s="9" t="s">
        <v>51</v>
      </c>
      <c r="K142">
        <v>1</v>
      </c>
      <c r="L142" s="6"/>
      <c r="M142">
        <v>99</v>
      </c>
      <c r="N142">
        <v>181</v>
      </c>
      <c r="O142">
        <v>165.36709999999999</v>
      </c>
      <c r="P142">
        <v>357.54950000000002</v>
      </c>
      <c r="Q142">
        <v>400</v>
      </c>
      <c r="R142">
        <v>400</v>
      </c>
      <c r="S142">
        <v>41.34</v>
      </c>
      <c r="T142">
        <v>89.39</v>
      </c>
      <c r="U142">
        <v>0</v>
      </c>
      <c r="V142">
        <v>0</v>
      </c>
      <c r="W142">
        <v>0</v>
      </c>
      <c r="X142">
        <v>2.1968999999999999</v>
      </c>
      <c r="Y142">
        <v>42.450499999999998</v>
      </c>
      <c r="Z142">
        <v>234.63290000000001</v>
      </c>
      <c r="AA142">
        <v>19.32</v>
      </c>
      <c r="AB142" s="6"/>
    </row>
    <row r="143" spans="1:28" x14ac:dyDescent="0.35">
      <c r="A143">
        <v>1380</v>
      </c>
      <c r="B143" s="9" t="s">
        <v>236</v>
      </c>
      <c r="C143" s="9" t="s">
        <v>53</v>
      </c>
      <c r="D143" s="9" t="s">
        <v>54</v>
      </c>
      <c r="E143" s="9" t="s">
        <v>47</v>
      </c>
      <c r="F143">
        <v>8</v>
      </c>
      <c r="G143" s="9" t="s">
        <v>125</v>
      </c>
      <c r="H143" s="9" t="s">
        <v>56</v>
      </c>
      <c r="I143" s="9" t="s">
        <v>89</v>
      </c>
      <c r="J143" s="9" t="s">
        <v>90</v>
      </c>
      <c r="K143">
        <v>1</v>
      </c>
      <c r="L143" s="6"/>
      <c r="M143">
        <v>60</v>
      </c>
      <c r="N143">
        <v>441</v>
      </c>
      <c r="O143">
        <v>59.6</v>
      </c>
      <c r="P143">
        <v>106.7775</v>
      </c>
      <c r="Q143">
        <v>120</v>
      </c>
      <c r="R143">
        <v>120</v>
      </c>
      <c r="S143">
        <v>49.67</v>
      </c>
      <c r="T143">
        <v>88.98</v>
      </c>
      <c r="U143">
        <v>0</v>
      </c>
      <c r="V143">
        <v>0</v>
      </c>
      <c r="W143">
        <v>0</v>
      </c>
      <c r="X143">
        <v>1.7297</v>
      </c>
      <c r="Y143">
        <v>13.2225</v>
      </c>
      <c r="Z143">
        <v>60.4</v>
      </c>
      <c r="AA143">
        <v>7.64</v>
      </c>
      <c r="AB143" s="6"/>
    </row>
    <row r="144" spans="1:28" x14ac:dyDescent="0.35">
      <c r="A144">
        <v>695</v>
      </c>
      <c r="B144" s="9" t="s">
        <v>237</v>
      </c>
      <c r="C144" s="9" t="s">
        <v>86</v>
      </c>
      <c r="D144" s="9" t="s">
        <v>87</v>
      </c>
      <c r="E144" s="9" t="s">
        <v>71</v>
      </c>
      <c r="F144">
        <v>6</v>
      </c>
      <c r="G144" s="9" t="s">
        <v>95</v>
      </c>
      <c r="H144" s="9" t="s">
        <v>49</v>
      </c>
      <c r="I144" s="9" t="s">
        <v>57</v>
      </c>
      <c r="J144" s="9" t="s">
        <v>58</v>
      </c>
      <c r="K144">
        <v>1</v>
      </c>
      <c r="L144" s="6"/>
      <c r="M144">
        <v>98</v>
      </c>
      <c r="N144">
        <v>206</v>
      </c>
      <c r="O144">
        <v>178.91650000000001</v>
      </c>
      <c r="P144">
        <v>351.38929999999999</v>
      </c>
      <c r="Q144">
        <v>400</v>
      </c>
      <c r="R144">
        <v>400</v>
      </c>
      <c r="S144">
        <v>44.73</v>
      </c>
      <c r="T144">
        <v>87.85</v>
      </c>
      <c r="U144">
        <v>0</v>
      </c>
      <c r="V144">
        <v>0</v>
      </c>
      <c r="W144">
        <v>0</v>
      </c>
      <c r="X144">
        <v>1.9216</v>
      </c>
      <c r="Y144">
        <v>48.610700000000001</v>
      </c>
      <c r="Z144">
        <v>221.08349999999999</v>
      </c>
      <c r="AA144">
        <v>25.3</v>
      </c>
      <c r="AB144" s="6"/>
    </row>
    <row r="145" spans="1:28" x14ac:dyDescent="0.35">
      <c r="A145">
        <v>1</v>
      </c>
      <c r="B145" s="9" t="s">
        <v>238</v>
      </c>
      <c r="C145" s="9" t="s">
        <v>86</v>
      </c>
      <c r="D145" s="9" t="s">
        <v>87</v>
      </c>
      <c r="E145" s="9" t="s">
        <v>71</v>
      </c>
      <c r="F145">
        <v>6</v>
      </c>
      <c r="G145" s="9" t="s">
        <v>99</v>
      </c>
      <c r="H145" s="9" t="s">
        <v>56</v>
      </c>
      <c r="I145" s="9" t="s">
        <v>57</v>
      </c>
      <c r="J145" s="9" t="s">
        <v>58</v>
      </c>
      <c r="K145">
        <v>1</v>
      </c>
      <c r="L145" s="6"/>
      <c r="M145">
        <v>103</v>
      </c>
      <c r="N145">
        <v>246</v>
      </c>
      <c r="O145">
        <v>173.0506</v>
      </c>
      <c r="P145">
        <v>347.64339999999999</v>
      </c>
      <c r="Q145">
        <v>400</v>
      </c>
      <c r="R145">
        <v>400</v>
      </c>
      <c r="S145">
        <v>43.26</v>
      </c>
      <c r="T145">
        <v>86.91</v>
      </c>
      <c r="U145">
        <v>0</v>
      </c>
      <c r="V145">
        <v>0</v>
      </c>
      <c r="W145">
        <v>0</v>
      </c>
      <c r="X145">
        <v>2.0638000000000001</v>
      </c>
      <c r="Y145">
        <v>52.3566</v>
      </c>
      <c r="Z145">
        <v>226.9494</v>
      </c>
      <c r="AA145">
        <v>25.37</v>
      </c>
      <c r="AB145" s="6"/>
    </row>
    <row r="146" spans="1:28" x14ac:dyDescent="0.35">
      <c r="A146">
        <v>188</v>
      </c>
      <c r="B146" s="9" t="s">
        <v>239</v>
      </c>
      <c r="C146" s="9" t="s">
        <v>45</v>
      </c>
      <c r="D146" s="9" t="s">
        <v>46</v>
      </c>
      <c r="E146" s="9" t="s">
        <v>47</v>
      </c>
      <c r="F146">
        <v>18</v>
      </c>
      <c r="G146" s="9" t="s">
        <v>192</v>
      </c>
      <c r="H146" s="9" t="s">
        <v>49</v>
      </c>
      <c r="I146" s="9" t="s">
        <v>154</v>
      </c>
      <c r="J146" s="9" t="s">
        <v>155</v>
      </c>
      <c r="K146">
        <v>1</v>
      </c>
      <c r="L146" s="6"/>
      <c r="M146">
        <v>74</v>
      </c>
      <c r="N146">
        <v>156</v>
      </c>
      <c r="O146">
        <v>112.2831</v>
      </c>
      <c r="P146">
        <v>128.25409999999999</v>
      </c>
      <c r="Q146">
        <v>150</v>
      </c>
      <c r="R146">
        <v>150</v>
      </c>
      <c r="S146">
        <v>74.86</v>
      </c>
      <c r="T146">
        <v>85.5</v>
      </c>
      <c r="U146">
        <v>0</v>
      </c>
      <c r="V146">
        <v>0</v>
      </c>
      <c r="W146">
        <v>0</v>
      </c>
      <c r="X146">
        <v>1.1001000000000001</v>
      </c>
      <c r="Y146">
        <v>21.745899999999999</v>
      </c>
      <c r="Z146">
        <v>37.716900000000003</v>
      </c>
      <c r="AA146">
        <v>19.77</v>
      </c>
      <c r="AB146" s="6"/>
    </row>
    <row r="147" spans="1:28" x14ac:dyDescent="0.35">
      <c r="A147">
        <v>192</v>
      </c>
      <c r="B147" s="9" t="s">
        <v>240</v>
      </c>
      <c r="C147" s="9" t="s">
        <v>45</v>
      </c>
      <c r="D147" s="9" t="s">
        <v>46</v>
      </c>
      <c r="E147" s="9" t="s">
        <v>47</v>
      </c>
      <c r="F147">
        <v>18</v>
      </c>
      <c r="G147" s="9" t="s">
        <v>192</v>
      </c>
      <c r="H147" s="9" t="s">
        <v>49</v>
      </c>
      <c r="I147" s="9" t="s">
        <v>154</v>
      </c>
      <c r="J147" s="9" t="s">
        <v>155</v>
      </c>
      <c r="K147">
        <v>2</v>
      </c>
      <c r="L147" s="6"/>
      <c r="M147">
        <v>74</v>
      </c>
      <c r="N147">
        <v>156</v>
      </c>
      <c r="O147">
        <v>112.2831</v>
      </c>
      <c r="P147">
        <v>128.25409999999999</v>
      </c>
      <c r="Q147">
        <v>150</v>
      </c>
      <c r="R147">
        <v>150</v>
      </c>
      <c r="S147">
        <v>74.86</v>
      </c>
      <c r="T147">
        <v>85.5</v>
      </c>
      <c r="U147">
        <v>0</v>
      </c>
      <c r="V147">
        <v>0</v>
      </c>
      <c r="W147">
        <v>0</v>
      </c>
      <c r="X147">
        <v>1.1001000000000001</v>
      </c>
      <c r="Y147">
        <v>21.745899999999999</v>
      </c>
      <c r="Z147">
        <v>37.716900000000003</v>
      </c>
      <c r="AA147">
        <v>19.77</v>
      </c>
      <c r="AB147" s="6"/>
    </row>
    <row r="148" spans="1:28" x14ac:dyDescent="0.35">
      <c r="A148">
        <v>473</v>
      </c>
      <c r="B148" s="9" t="s">
        <v>241</v>
      </c>
      <c r="C148" s="9" t="s">
        <v>69</v>
      </c>
      <c r="D148" s="9" t="s">
        <v>70</v>
      </c>
      <c r="E148" s="9" t="s">
        <v>71</v>
      </c>
      <c r="F148">
        <v>24</v>
      </c>
      <c r="G148" s="9" t="s">
        <v>242</v>
      </c>
      <c r="H148" s="9" t="s">
        <v>49</v>
      </c>
      <c r="I148" s="9" t="s">
        <v>154</v>
      </c>
      <c r="J148" s="9" t="s">
        <v>155</v>
      </c>
      <c r="K148">
        <v>1</v>
      </c>
      <c r="L148" s="6"/>
      <c r="M148">
        <v>144</v>
      </c>
      <c r="N148">
        <v>294</v>
      </c>
      <c r="O148">
        <v>227.3503</v>
      </c>
      <c r="P148">
        <v>256.19349999999997</v>
      </c>
      <c r="Q148">
        <v>300</v>
      </c>
      <c r="R148">
        <v>300</v>
      </c>
      <c r="S148">
        <v>75.78</v>
      </c>
      <c r="T148">
        <v>85.4</v>
      </c>
      <c r="U148">
        <v>0</v>
      </c>
      <c r="V148">
        <v>0</v>
      </c>
      <c r="W148">
        <v>0</v>
      </c>
      <c r="X148">
        <v>1.0768</v>
      </c>
      <c r="Y148">
        <v>43.8065</v>
      </c>
      <c r="Z148">
        <v>72.649699999999996</v>
      </c>
      <c r="AA148">
        <v>40.68</v>
      </c>
      <c r="AB148" s="6"/>
    </row>
    <row r="149" spans="1:28" x14ac:dyDescent="0.35">
      <c r="A149">
        <v>976</v>
      </c>
      <c r="B149" s="9" t="s">
        <v>243</v>
      </c>
      <c r="C149" s="9" t="s">
        <v>86</v>
      </c>
      <c r="D149" s="9" t="s">
        <v>87</v>
      </c>
      <c r="E149" s="9" t="s">
        <v>71</v>
      </c>
      <c r="F149">
        <v>6</v>
      </c>
      <c r="G149" s="9" t="s">
        <v>60</v>
      </c>
      <c r="H149" s="9" t="s">
        <v>56</v>
      </c>
      <c r="I149" s="9" t="s">
        <v>50</v>
      </c>
      <c r="J149" s="9" t="s">
        <v>51</v>
      </c>
      <c r="K149">
        <v>1</v>
      </c>
      <c r="L149" s="6"/>
      <c r="M149">
        <v>92</v>
      </c>
      <c r="N149">
        <v>190</v>
      </c>
      <c r="O149">
        <v>159.4829</v>
      </c>
      <c r="P149">
        <v>339.13740000000001</v>
      </c>
      <c r="Q149">
        <v>400</v>
      </c>
      <c r="R149">
        <v>400</v>
      </c>
      <c r="S149">
        <v>39.869999999999997</v>
      </c>
      <c r="T149">
        <v>84.78</v>
      </c>
      <c r="U149">
        <v>0</v>
      </c>
      <c r="V149">
        <v>0</v>
      </c>
      <c r="W149">
        <v>0</v>
      </c>
      <c r="X149">
        <v>2.2582</v>
      </c>
      <c r="Y149">
        <v>60.8626</v>
      </c>
      <c r="Z149">
        <v>240.5171</v>
      </c>
      <c r="AA149">
        <v>26.95</v>
      </c>
      <c r="AB149" s="6"/>
    </row>
    <row r="150" spans="1:28" x14ac:dyDescent="0.35">
      <c r="A150">
        <v>162</v>
      </c>
      <c r="B150" s="9" t="s">
        <v>244</v>
      </c>
      <c r="C150" s="9" t="s">
        <v>53</v>
      </c>
      <c r="D150" s="9" t="s">
        <v>54</v>
      </c>
      <c r="E150" s="9" t="s">
        <v>47</v>
      </c>
      <c r="F150">
        <v>8</v>
      </c>
      <c r="G150" s="9" t="s">
        <v>192</v>
      </c>
      <c r="H150" s="9" t="s">
        <v>49</v>
      </c>
      <c r="I150" s="9" t="s">
        <v>154</v>
      </c>
      <c r="J150" s="9" t="s">
        <v>155</v>
      </c>
      <c r="K150">
        <v>1</v>
      </c>
      <c r="L150" s="6"/>
      <c r="M150">
        <v>57</v>
      </c>
      <c r="N150">
        <v>116</v>
      </c>
      <c r="O150">
        <v>88.466399999999993</v>
      </c>
      <c r="P150">
        <v>101.14660000000001</v>
      </c>
      <c r="Q150">
        <v>120</v>
      </c>
      <c r="R150">
        <v>120</v>
      </c>
      <c r="S150">
        <v>73.72</v>
      </c>
      <c r="T150">
        <v>84.29</v>
      </c>
      <c r="U150">
        <v>0</v>
      </c>
      <c r="V150">
        <v>0</v>
      </c>
      <c r="W150">
        <v>0</v>
      </c>
      <c r="X150">
        <v>1.1001000000000001</v>
      </c>
      <c r="Y150">
        <v>18.853400000000001</v>
      </c>
      <c r="Z150">
        <v>31.5336</v>
      </c>
      <c r="AA150">
        <v>17.14</v>
      </c>
      <c r="AB150" s="6"/>
    </row>
    <row r="151" spans="1:28" x14ac:dyDescent="0.35">
      <c r="A151">
        <v>1014</v>
      </c>
      <c r="B151" s="9" t="s">
        <v>245</v>
      </c>
      <c r="C151" s="9" t="s">
        <v>45</v>
      </c>
      <c r="D151" s="9" t="s">
        <v>46</v>
      </c>
      <c r="E151" s="9" t="s">
        <v>47</v>
      </c>
      <c r="F151">
        <v>18</v>
      </c>
      <c r="G151" s="9" t="s">
        <v>60</v>
      </c>
      <c r="H151" s="9" t="s">
        <v>56</v>
      </c>
      <c r="I151" s="9" t="s">
        <v>50</v>
      </c>
      <c r="J151" s="9" t="s">
        <v>51</v>
      </c>
      <c r="K151">
        <v>1</v>
      </c>
      <c r="L151" s="6"/>
      <c r="M151">
        <v>34</v>
      </c>
      <c r="N151">
        <v>58</v>
      </c>
      <c r="O151">
        <v>56.599699999999999</v>
      </c>
      <c r="P151">
        <v>124.6361</v>
      </c>
      <c r="Q151">
        <v>150</v>
      </c>
      <c r="R151">
        <v>150</v>
      </c>
      <c r="S151">
        <v>37.729999999999997</v>
      </c>
      <c r="T151">
        <v>83.09</v>
      </c>
      <c r="U151">
        <v>0</v>
      </c>
      <c r="V151">
        <v>0</v>
      </c>
      <c r="W151">
        <v>0</v>
      </c>
      <c r="X151">
        <v>2.2582</v>
      </c>
      <c r="Y151">
        <v>25.363900000000001</v>
      </c>
      <c r="Z151">
        <v>93.400300000000001</v>
      </c>
      <c r="AA151">
        <v>11.23</v>
      </c>
      <c r="AB151" s="6"/>
    </row>
    <row r="152" spans="1:28" x14ac:dyDescent="0.35">
      <c r="A152">
        <v>886</v>
      </c>
      <c r="B152" s="9" t="s">
        <v>246</v>
      </c>
      <c r="C152" s="9" t="s">
        <v>64</v>
      </c>
      <c r="D152" s="9" t="s">
        <v>65</v>
      </c>
      <c r="E152" s="9" t="s">
        <v>47</v>
      </c>
      <c r="F152">
        <v>12</v>
      </c>
      <c r="G152" s="9" t="s">
        <v>77</v>
      </c>
      <c r="H152" s="9" t="s">
        <v>49</v>
      </c>
      <c r="I152" s="9" t="s">
        <v>50</v>
      </c>
      <c r="J152" s="9" t="s">
        <v>51</v>
      </c>
      <c r="K152">
        <v>4</v>
      </c>
      <c r="L152" s="6"/>
      <c r="M152">
        <v>46</v>
      </c>
      <c r="N152">
        <v>85</v>
      </c>
      <c r="O152">
        <v>74.883499999999998</v>
      </c>
      <c r="P152">
        <v>163.2938</v>
      </c>
      <c r="Q152">
        <v>200</v>
      </c>
      <c r="R152">
        <v>200</v>
      </c>
      <c r="S152">
        <v>37.44</v>
      </c>
      <c r="T152">
        <v>81.650000000000006</v>
      </c>
      <c r="U152">
        <v>0</v>
      </c>
      <c r="V152">
        <v>0</v>
      </c>
      <c r="W152">
        <v>0</v>
      </c>
      <c r="X152">
        <v>2.1968999999999999</v>
      </c>
      <c r="Y152">
        <v>36.706200000000003</v>
      </c>
      <c r="Z152">
        <v>125.1165</v>
      </c>
      <c r="AA152">
        <v>16.71</v>
      </c>
      <c r="AB152" s="6"/>
    </row>
    <row r="153" spans="1:28" x14ac:dyDescent="0.35">
      <c r="A153">
        <v>1447</v>
      </c>
      <c r="B153" s="9" t="s">
        <v>247</v>
      </c>
      <c r="C153" s="9" t="s">
        <v>45</v>
      </c>
      <c r="D153" s="9" t="s">
        <v>46</v>
      </c>
      <c r="E153" s="9" t="s">
        <v>47</v>
      </c>
      <c r="F153">
        <v>18</v>
      </c>
      <c r="G153" s="9" t="s">
        <v>209</v>
      </c>
      <c r="H153" s="9" t="s">
        <v>49</v>
      </c>
      <c r="I153" s="9" t="s">
        <v>154</v>
      </c>
      <c r="J153" s="9" t="s">
        <v>155</v>
      </c>
      <c r="K153">
        <v>2</v>
      </c>
      <c r="L153" s="6"/>
      <c r="M153">
        <v>68</v>
      </c>
      <c r="N153">
        <v>143</v>
      </c>
      <c r="O153">
        <v>101.36660000000001</v>
      </c>
      <c r="P153">
        <v>121.062</v>
      </c>
      <c r="Q153">
        <v>150</v>
      </c>
      <c r="R153">
        <v>150</v>
      </c>
      <c r="S153">
        <v>67.58</v>
      </c>
      <c r="T153">
        <v>80.709999999999994</v>
      </c>
      <c r="U153">
        <v>0</v>
      </c>
      <c r="V153">
        <v>0</v>
      </c>
      <c r="W153">
        <v>0</v>
      </c>
      <c r="X153">
        <v>1.1733</v>
      </c>
      <c r="Y153">
        <v>28.937999999999999</v>
      </c>
      <c r="Z153">
        <v>48.633400000000002</v>
      </c>
      <c r="AA153">
        <v>24.66</v>
      </c>
      <c r="AB153" s="6"/>
    </row>
    <row r="154" spans="1:28" x14ac:dyDescent="0.35">
      <c r="A154">
        <v>660</v>
      </c>
      <c r="B154" s="9" t="s">
        <v>248</v>
      </c>
      <c r="C154" s="9" t="s">
        <v>127</v>
      </c>
      <c r="D154" s="9" t="s">
        <v>128</v>
      </c>
      <c r="E154" s="9" t="s">
        <v>129</v>
      </c>
      <c r="F154">
        <v>4</v>
      </c>
      <c r="G154" s="9" t="s">
        <v>81</v>
      </c>
      <c r="H154" s="9" t="s">
        <v>82</v>
      </c>
      <c r="I154" s="9" t="s">
        <v>57</v>
      </c>
      <c r="J154" s="9" t="s">
        <v>58</v>
      </c>
      <c r="K154">
        <v>1</v>
      </c>
      <c r="L154" s="6"/>
      <c r="M154">
        <v>58</v>
      </c>
      <c r="N154">
        <v>150</v>
      </c>
      <c r="O154">
        <v>101.2167</v>
      </c>
      <c r="P154">
        <v>201.73650000000001</v>
      </c>
      <c r="Q154">
        <v>250</v>
      </c>
      <c r="R154">
        <v>250</v>
      </c>
      <c r="S154">
        <v>40.49</v>
      </c>
      <c r="T154">
        <v>80.69</v>
      </c>
      <c r="U154">
        <v>0</v>
      </c>
      <c r="V154">
        <v>0</v>
      </c>
      <c r="W154">
        <v>0</v>
      </c>
      <c r="X154">
        <v>1.8671</v>
      </c>
      <c r="Y154">
        <v>48.263500000000001</v>
      </c>
      <c r="Z154">
        <v>148.7833</v>
      </c>
      <c r="AA154">
        <v>25.85</v>
      </c>
      <c r="AB154" s="6"/>
    </row>
    <row r="155" spans="1:28" x14ac:dyDescent="0.35">
      <c r="A155">
        <v>306</v>
      </c>
      <c r="B155" s="9" t="s">
        <v>249</v>
      </c>
      <c r="C155" s="9" t="s">
        <v>45</v>
      </c>
      <c r="D155" s="9" t="s">
        <v>46</v>
      </c>
      <c r="E155" s="9" t="s">
        <v>47</v>
      </c>
      <c r="F155">
        <v>18</v>
      </c>
      <c r="G155" s="9" t="s">
        <v>205</v>
      </c>
      <c r="H155" s="9" t="s">
        <v>56</v>
      </c>
      <c r="I155" s="9" t="s">
        <v>154</v>
      </c>
      <c r="J155" s="9" t="s">
        <v>155</v>
      </c>
      <c r="K155">
        <v>3</v>
      </c>
      <c r="L155" s="6"/>
      <c r="M155">
        <v>68</v>
      </c>
      <c r="N155">
        <v>131</v>
      </c>
      <c r="O155">
        <v>103.8334</v>
      </c>
      <c r="P155">
        <v>118.833</v>
      </c>
      <c r="Q155">
        <v>150</v>
      </c>
      <c r="R155">
        <v>150</v>
      </c>
      <c r="S155">
        <v>69.22</v>
      </c>
      <c r="T155">
        <v>79.22</v>
      </c>
      <c r="U155">
        <v>0</v>
      </c>
      <c r="V155">
        <v>0</v>
      </c>
      <c r="W155">
        <v>0</v>
      </c>
      <c r="X155">
        <v>1.08</v>
      </c>
      <c r="Y155">
        <v>31.167000000000002</v>
      </c>
      <c r="Z155">
        <v>46.166600000000003</v>
      </c>
      <c r="AA155">
        <v>28.86</v>
      </c>
      <c r="AB155" s="6"/>
    </row>
    <row r="156" spans="1:28" x14ac:dyDescent="0.35">
      <c r="A156">
        <v>578</v>
      </c>
      <c r="B156" s="9" t="s">
        <v>250</v>
      </c>
      <c r="C156" s="9" t="s">
        <v>64</v>
      </c>
      <c r="D156" s="9" t="s">
        <v>65</v>
      </c>
      <c r="E156" s="9" t="s">
        <v>47</v>
      </c>
      <c r="F156">
        <v>12</v>
      </c>
      <c r="G156" s="9" t="s">
        <v>195</v>
      </c>
      <c r="H156" s="9" t="s">
        <v>56</v>
      </c>
      <c r="I156" s="9" t="s">
        <v>154</v>
      </c>
      <c r="J156" s="9" t="s">
        <v>155</v>
      </c>
      <c r="K156">
        <v>1</v>
      </c>
      <c r="L156" s="6"/>
      <c r="M156">
        <v>87</v>
      </c>
      <c r="N156">
        <v>184</v>
      </c>
      <c r="O156">
        <v>132.78299999999999</v>
      </c>
      <c r="P156">
        <v>157.80009999999999</v>
      </c>
      <c r="Q156">
        <v>200</v>
      </c>
      <c r="R156">
        <v>200</v>
      </c>
      <c r="S156">
        <v>66.39</v>
      </c>
      <c r="T156">
        <v>78.900000000000006</v>
      </c>
      <c r="U156">
        <v>0</v>
      </c>
      <c r="V156">
        <v>0</v>
      </c>
      <c r="W156">
        <v>0</v>
      </c>
      <c r="X156">
        <v>1.0819000000000001</v>
      </c>
      <c r="Y156">
        <v>42.1999</v>
      </c>
      <c r="Z156">
        <v>67.216999999999999</v>
      </c>
      <c r="AA156">
        <v>39.01</v>
      </c>
      <c r="AB156" s="6"/>
    </row>
    <row r="157" spans="1:28" x14ac:dyDescent="0.35">
      <c r="A157">
        <v>584</v>
      </c>
      <c r="B157" s="9" t="s">
        <v>251</v>
      </c>
      <c r="C157" s="9" t="s">
        <v>64</v>
      </c>
      <c r="D157" s="9" t="s">
        <v>65</v>
      </c>
      <c r="E157" s="9" t="s">
        <v>47</v>
      </c>
      <c r="F157">
        <v>12</v>
      </c>
      <c r="G157" s="9" t="s">
        <v>195</v>
      </c>
      <c r="H157" s="9" t="s">
        <v>56</v>
      </c>
      <c r="I157" s="9" t="s">
        <v>154</v>
      </c>
      <c r="J157" s="9" t="s">
        <v>155</v>
      </c>
      <c r="K157">
        <v>3</v>
      </c>
      <c r="L157" s="6"/>
      <c r="M157">
        <v>87</v>
      </c>
      <c r="N157">
        <v>184</v>
      </c>
      <c r="O157">
        <v>132.78299999999999</v>
      </c>
      <c r="P157">
        <v>157.80009999999999</v>
      </c>
      <c r="Q157">
        <v>200</v>
      </c>
      <c r="R157">
        <v>200</v>
      </c>
      <c r="S157">
        <v>66.39</v>
      </c>
      <c r="T157">
        <v>78.900000000000006</v>
      </c>
      <c r="U157">
        <v>0</v>
      </c>
      <c r="V157">
        <v>0</v>
      </c>
      <c r="W157">
        <v>0</v>
      </c>
      <c r="X157">
        <v>1.0819000000000001</v>
      </c>
      <c r="Y157">
        <v>42.1999</v>
      </c>
      <c r="Z157">
        <v>67.216999999999999</v>
      </c>
      <c r="AA157">
        <v>39.01</v>
      </c>
      <c r="AB157" s="6"/>
    </row>
    <row r="158" spans="1:28" x14ac:dyDescent="0.35">
      <c r="A158">
        <v>587</v>
      </c>
      <c r="B158" s="9" t="s">
        <v>252</v>
      </c>
      <c r="C158" s="9" t="s">
        <v>64</v>
      </c>
      <c r="D158" s="9" t="s">
        <v>65</v>
      </c>
      <c r="E158" s="9" t="s">
        <v>47</v>
      </c>
      <c r="F158">
        <v>12</v>
      </c>
      <c r="G158" s="9" t="s">
        <v>195</v>
      </c>
      <c r="H158" s="9" t="s">
        <v>56</v>
      </c>
      <c r="I158" s="9" t="s">
        <v>154</v>
      </c>
      <c r="J158" s="9" t="s">
        <v>155</v>
      </c>
      <c r="K158">
        <v>4</v>
      </c>
      <c r="L158" s="6"/>
      <c r="M158">
        <v>87</v>
      </c>
      <c r="N158">
        <v>184</v>
      </c>
      <c r="O158">
        <v>132.78299999999999</v>
      </c>
      <c r="P158">
        <v>157.80009999999999</v>
      </c>
      <c r="Q158">
        <v>200</v>
      </c>
      <c r="R158">
        <v>200</v>
      </c>
      <c r="S158">
        <v>66.39</v>
      </c>
      <c r="T158">
        <v>78.900000000000006</v>
      </c>
      <c r="U158">
        <v>0</v>
      </c>
      <c r="V158">
        <v>0</v>
      </c>
      <c r="W158">
        <v>0</v>
      </c>
      <c r="X158">
        <v>1.0819000000000001</v>
      </c>
      <c r="Y158">
        <v>42.1999</v>
      </c>
      <c r="Z158">
        <v>67.216999999999999</v>
      </c>
      <c r="AA158">
        <v>39.01</v>
      </c>
      <c r="AB158" s="6"/>
    </row>
    <row r="159" spans="1:28" x14ac:dyDescent="0.35">
      <c r="A159">
        <v>49</v>
      </c>
      <c r="B159" s="9" t="s">
        <v>253</v>
      </c>
      <c r="C159" s="9" t="s">
        <v>45</v>
      </c>
      <c r="D159" s="9" t="s">
        <v>46</v>
      </c>
      <c r="E159" s="9" t="s">
        <v>47</v>
      </c>
      <c r="F159">
        <v>18</v>
      </c>
      <c r="G159" s="9" t="s">
        <v>99</v>
      </c>
      <c r="H159" s="9" t="s">
        <v>56</v>
      </c>
      <c r="I159" s="9" t="s">
        <v>57</v>
      </c>
      <c r="J159" s="9" t="s">
        <v>58</v>
      </c>
      <c r="K159">
        <v>3</v>
      </c>
      <c r="L159" s="6"/>
      <c r="M159">
        <v>34</v>
      </c>
      <c r="N159">
        <v>80</v>
      </c>
      <c r="O159">
        <v>56.633600000000001</v>
      </c>
      <c r="P159">
        <v>117.2555</v>
      </c>
      <c r="Q159">
        <v>150</v>
      </c>
      <c r="R159">
        <v>150</v>
      </c>
      <c r="S159">
        <v>37.76</v>
      </c>
      <c r="T159">
        <v>78.17</v>
      </c>
      <c r="U159">
        <v>0</v>
      </c>
      <c r="V159">
        <v>0</v>
      </c>
      <c r="W159">
        <v>0</v>
      </c>
      <c r="X159">
        <v>2.0638000000000001</v>
      </c>
      <c r="Y159">
        <v>32.744500000000002</v>
      </c>
      <c r="Z159">
        <v>93.366399999999999</v>
      </c>
      <c r="AA159">
        <v>15.87</v>
      </c>
      <c r="AB159" s="6"/>
    </row>
    <row r="160" spans="1:28" x14ac:dyDescent="0.35">
      <c r="A160">
        <v>431</v>
      </c>
      <c r="B160" s="9" t="s">
        <v>254</v>
      </c>
      <c r="C160" s="9" t="s">
        <v>64</v>
      </c>
      <c r="D160" s="9" t="s">
        <v>65</v>
      </c>
      <c r="E160" s="9" t="s">
        <v>47</v>
      </c>
      <c r="F160">
        <v>12</v>
      </c>
      <c r="G160" s="9" t="s">
        <v>255</v>
      </c>
      <c r="H160" s="9" t="s">
        <v>56</v>
      </c>
      <c r="I160" s="9" t="s">
        <v>154</v>
      </c>
      <c r="J160" s="9" t="s">
        <v>155</v>
      </c>
      <c r="K160">
        <v>2</v>
      </c>
      <c r="L160" s="6"/>
      <c r="M160">
        <v>78</v>
      </c>
      <c r="N160">
        <v>145</v>
      </c>
      <c r="O160">
        <v>127.4502</v>
      </c>
      <c r="P160">
        <v>155.10390000000001</v>
      </c>
      <c r="Q160">
        <v>200</v>
      </c>
      <c r="R160">
        <v>200</v>
      </c>
      <c r="S160">
        <v>63.73</v>
      </c>
      <c r="T160">
        <v>77.55</v>
      </c>
      <c r="U160">
        <v>0</v>
      </c>
      <c r="V160">
        <v>0</v>
      </c>
      <c r="W160">
        <v>0</v>
      </c>
      <c r="X160">
        <v>1.1930000000000001</v>
      </c>
      <c r="Y160">
        <v>44.896099999999997</v>
      </c>
      <c r="Z160">
        <v>72.549800000000005</v>
      </c>
      <c r="AA160">
        <v>37.630000000000003</v>
      </c>
      <c r="AB160" s="6"/>
    </row>
    <row r="161" spans="1:28" x14ac:dyDescent="0.35">
      <c r="A161">
        <v>938</v>
      </c>
      <c r="B161" s="9" t="s">
        <v>256</v>
      </c>
      <c r="C161" s="9" t="s">
        <v>64</v>
      </c>
      <c r="D161" s="9" t="s">
        <v>65</v>
      </c>
      <c r="E161" s="9" t="s">
        <v>47</v>
      </c>
      <c r="F161">
        <v>12</v>
      </c>
      <c r="G161" s="9" t="s">
        <v>190</v>
      </c>
      <c r="H161" s="9" t="s">
        <v>56</v>
      </c>
      <c r="I161" s="9" t="s">
        <v>57</v>
      </c>
      <c r="J161" s="9" t="s">
        <v>58</v>
      </c>
      <c r="K161">
        <v>1</v>
      </c>
      <c r="L161" s="6"/>
      <c r="M161">
        <v>50</v>
      </c>
      <c r="N161">
        <v>139</v>
      </c>
      <c r="O161">
        <v>81.066599999999994</v>
      </c>
      <c r="P161">
        <v>154.38810000000001</v>
      </c>
      <c r="Q161">
        <v>200</v>
      </c>
      <c r="R161">
        <v>200</v>
      </c>
      <c r="S161">
        <v>40.53</v>
      </c>
      <c r="T161">
        <v>77.19</v>
      </c>
      <c r="U161">
        <v>0</v>
      </c>
      <c r="V161">
        <v>0</v>
      </c>
      <c r="W161">
        <v>0</v>
      </c>
      <c r="X161">
        <v>1.8878999999999999</v>
      </c>
      <c r="Y161">
        <v>45.611899999999999</v>
      </c>
      <c r="Z161">
        <v>118.93340000000001</v>
      </c>
      <c r="AA161">
        <v>24.16</v>
      </c>
      <c r="AB161" s="6"/>
    </row>
    <row r="162" spans="1:28" x14ac:dyDescent="0.35">
      <c r="A162">
        <v>942</v>
      </c>
      <c r="B162" s="9" t="s">
        <v>257</v>
      </c>
      <c r="C162" s="9" t="s">
        <v>64</v>
      </c>
      <c r="D162" s="9" t="s">
        <v>65</v>
      </c>
      <c r="E162" s="9" t="s">
        <v>47</v>
      </c>
      <c r="F162">
        <v>12</v>
      </c>
      <c r="G162" s="9" t="s">
        <v>190</v>
      </c>
      <c r="H162" s="9" t="s">
        <v>56</v>
      </c>
      <c r="I162" s="9" t="s">
        <v>57</v>
      </c>
      <c r="J162" s="9" t="s">
        <v>58</v>
      </c>
      <c r="K162">
        <v>2</v>
      </c>
      <c r="L162" s="6"/>
      <c r="M162">
        <v>50</v>
      </c>
      <c r="N162">
        <v>139</v>
      </c>
      <c r="O162">
        <v>81.066599999999994</v>
      </c>
      <c r="P162">
        <v>154.38810000000001</v>
      </c>
      <c r="Q162">
        <v>200</v>
      </c>
      <c r="R162">
        <v>200</v>
      </c>
      <c r="S162">
        <v>40.53</v>
      </c>
      <c r="T162">
        <v>77.19</v>
      </c>
      <c r="U162">
        <v>0</v>
      </c>
      <c r="V162">
        <v>0</v>
      </c>
      <c r="W162">
        <v>0</v>
      </c>
      <c r="X162">
        <v>1.8878999999999999</v>
      </c>
      <c r="Y162">
        <v>45.611899999999999</v>
      </c>
      <c r="Z162">
        <v>118.93340000000001</v>
      </c>
      <c r="AA162">
        <v>24.16</v>
      </c>
      <c r="AB162" s="6"/>
    </row>
    <row r="163" spans="1:28" x14ac:dyDescent="0.35">
      <c r="A163">
        <v>1059</v>
      </c>
      <c r="B163" s="9" t="s">
        <v>258</v>
      </c>
      <c r="C163" s="9" t="s">
        <v>45</v>
      </c>
      <c r="D163" s="9" t="s">
        <v>46</v>
      </c>
      <c r="E163" s="9" t="s">
        <v>47</v>
      </c>
      <c r="F163">
        <v>18</v>
      </c>
      <c r="G163" s="9" t="s">
        <v>88</v>
      </c>
      <c r="H163" s="9" t="s">
        <v>56</v>
      </c>
      <c r="I163" s="9" t="s">
        <v>89</v>
      </c>
      <c r="J163" s="9" t="s">
        <v>90</v>
      </c>
      <c r="K163">
        <v>2</v>
      </c>
      <c r="L163" s="6"/>
      <c r="M163">
        <v>63</v>
      </c>
      <c r="N163">
        <v>481</v>
      </c>
      <c r="O163">
        <v>62.300400000000003</v>
      </c>
      <c r="P163">
        <v>114.80800000000001</v>
      </c>
      <c r="Q163">
        <v>150</v>
      </c>
      <c r="R163">
        <v>150</v>
      </c>
      <c r="S163">
        <v>41.53</v>
      </c>
      <c r="T163">
        <v>76.540000000000006</v>
      </c>
      <c r="U163">
        <v>0</v>
      </c>
      <c r="V163">
        <v>0</v>
      </c>
      <c r="W163">
        <v>0</v>
      </c>
      <c r="X163">
        <v>1.9149</v>
      </c>
      <c r="Y163">
        <v>35.192</v>
      </c>
      <c r="Z163">
        <v>87.699600000000004</v>
      </c>
      <c r="AA163">
        <v>18.38</v>
      </c>
      <c r="AB163" s="6"/>
    </row>
    <row r="164" spans="1:28" x14ac:dyDescent="0.35">
      <c r="A164">
        <v>591</v>
      </c>
      <c r="B164" s="9" t="s">
        <v>259</v>
      </c>
      <c r="C164" s="9" t="s">
        <v>45</v>
      </c>
      <c r="D164" s="9" t="s">
        <v>46</v>
      </c>
      <c r="E164" s="9" t="s">
        <v>47</v>
      </c>
      <c r="F164">
        <v>18</v>
      </c>
      <c r="G164" s="9" t="s">
        <v>195</v>
      </c>
      <c r="H164" s="9" t="s">
        <v>56</v>
      </c>
      <c r="I164" s="9" t="s">
        <v>154</v>
      </c>
      <c r="J164" s="9" t="s">
        <v>155</v>
      </c>
      <c r="K164">
        <v>1</v>
      </c>
      <c r="L164" s="6"/>
      <c r="M164">
        <v>64</v>
      </c>
      <c r="N164">
        <v>126</v>
      </c>
      <c r="O164">
        <v>97.166399999999996</v>
      </c>
      <c r="P164">
        <v>114.32299999999999</v>
      </c>
      <c r="Q164">
        <v>150</v>
      </c>
      <c r="R164">
        <v>150</v>
      </c>
      <c r="S164">
        <v>64.78</v>
      </c>
      <c r="T164">
        <v>76.22</v>
      </c>
      <c r="U164">
        <v>0</v>
      </c>
      <c r="V164">
        <v>0</v>
      </c>
      <c r="W164">
        <v>0</v>
      </c>
      <c r="X164">
        <v>1.0819000000000001</v>
      </c>
      <c r="Y164">
        <v>35.677</v>
      </c>
      <c r="Z164">
        <v>52.833599999999997</v>
      </c>
      <c r="AA164">
        <v>32.979999999999997</v>
      </c>
      <c r="AB164" s="6"/>
    </row>
    <row r="165" spans="1:28" x14ac:dyDescent="0.35">
      <c r="A165">
        <v>595</v>
      </c>
      <c r="B165" s="9" t="s">
        <v>260</v>
      </c>
      <c r="C165" s="9" t="s">
        <v>45</v>
      </c>
      <c r="D165" s="9" t="s">
        <v>46</v>
      </c>
      <c r="E165" s="9" t="s">
        <v>47</v>
      </c>
      <c r="F165">
        <v>18</v>
      </c>
      <c r="G165" s="9" t="s">
        <v>195</v>
      </c>
      <c r="H165" s="9" t="s">
        <v>56</v>
      </c>
      <c r="I165" s="9" t="s">
        <v>154</v>
      </c>
      <c r="J165" s="9" t="s">
        <v>155</v>
      </c>
      <c r="K165">
        <v>2</v>
      </c>
      <c r="L165" s="6"/>
      <c r="M165">
        <v>64</v>
      </c>
      <c r="N165">
        <v>126</v>
      </c>
      <c r="O165">
        <v>97.166399999999996</v>
      </c>
      <c r="P165">
        <v>114.32299999999999</v>
      </c>
      <c r="Q165">
        <v>150</v>
      </c>
      <c r="R165">
        <v>150</v>
      </c>
      <c r="S165">
        <v>64.78</v>
      </c>
      <c r="T165">
        <v>76.22</v>
      </c>
      <c r="U165">
        <v>0</v>
      </c>
      <c r="V165">
        <v>0</v>
      </c>
      <c r="W165">
        <v>0</v>
      </c>
      <c r="X165">
        <v>1.0819000000000001</v>
      </c>
      <c r="Y165">
        <v>35.677</v>
      </c>
      <c r="Z165">
        <v>52.833599999999997</v>
      </c>
      <c r="AA165">
        <v>32.979999999999997</v>
      </c>
      <c r="AB165" s="6"/>
    </row>
    <row r="166" spans="1:28" x14ac:dyDescent="0.35">
      <c r="A166">
        <v>1208</v>
      </c>
      <c r="B166" s="9" t="s">
        <v>261</v>
      </c>
      <c r="C166" s="9" t="s">
        <v>45</v>
      </c>
      <c r="D166" s="9" t="s">
        <v>46</v>
      </c>
      <c r="E166" s="9" t="s">
        <v>47</v>
      </c>
      <c r="F166">
        <v>18</v>
      </c>
      <c r="G166" s="9" t="s">
        <v>262</v>
      </c>
      <c r="H166" s="9" t="s">
        <v>56</v>
      </c>
      <c r="I166" s="9" t="s">
        <v>154</v>
      </c>
      <c r="J166" s="9" t="s">
        <v>155</v>
      </c>
      <c r="K166">
        <v>2</v>
      </c>
      <c r="L166" s="6"/>
      <c r="M166">
        <v>65</v>
      </c>
      <c r="N166">
        <v>137</v>
      </c>
      <c r="O166">
        <v>102.1502</v>
      </c>
      <c r="P166">
        <v>113.9931</v>
      </c>
      <c r="Q166">
        <v>150</v>
      </c>
      <c r="R166">
        <v>150</v>
      </c>
      <c r="S166">
        <v>68.099999999999994</v>
      </c>
      <c r="T166">
        <v>76</v>
      </c>
      <c r="U166">
        <v>0</v>
      </c>
      <c r="V166">
        <v>0</v>
      </c>
      <c r="W166">
        <v>0</v>
      </c>
      <c r="X166">
        <v>1.0798000000000001</v>
      </c>
      <c r="Y166">
        <v>36.006900000000002</v>
      </c>
      <c r="Z166">
        <v>47.849800000000002</v>
      </c>
      <c r="AA166">
        <v>33.35</v>
      </c>
      <c r="AB166" s="6"/>
    </row>
    <row r="167" spans="1:28" x14ac:dyDescent="0.35">
      <c r="A167">
        <v>333</v>
      </c>
      <c r="B167" s="9" t="s">
        <v>263</v>
      </c>
      <c r="C167" s="9" t="s">
        <v>64</v>
      </c>
      <c r="D167" s="9" t="s">
        <v>65</v>
      </c>
      <c r="E167" s="9" t="s">
        <v>47</v>
      </c>
      <c r="F167">
        <v>12</v>
      </c>
      <c r="G167" s="9" t="s">
        <v>93</v>
      </c>
      <c r="H167" s="9" t="s">
        <v>49</v>
      </c>
      <c r="I167" s="9" t="s">
        <v>89</v>
      </c>
      <c r="J167" s="9" t="s">
        <v>90</v>
      </c>
      <c r="K167">
        <v>4</v>
      </c>
      <c r="L167" s="6"/>
      <c r="M167">
        <v>82</v>
      </c>
      <c r="N167">
        <v>624</v>
      </c>
      <c r="O167">
        <v>83.833200000000005</v>
      </c>
      <c r="P167">
        <v>151.49359999999999</v>
      </c>
      <c r="Q167">
        <v>200</v>
      </c>
      <c r="R167">
        <v>200</v>
      </c>
      <c r="S167">
        <v>41.92</v>
      </c>
      <c r="T167">
        <v>75.75</v>
      </c>
      <c r="U167">
        <v>0</v>
      </c>
      <c r="V167">
        <v>0</v>
      </c>
      <c r="W167">
        <v>0</v>
      </c>
      <c r="X167">
        <v>1.7137</v>
      </c>
      <c r="Y167">
        <v>48.506399999999999</v>
      </c>
      <c r="Z167">
        <v>116.16679999999999</v>
      </c>
      <c r="AA167">
        <v>28.31</v>
      </c>
      <c r="AB167" s="6"/>
    </row>
    <row r="168" spans="1:28" x14ac:dyDescent="0.35">
      <c r="A168">
        <v>104</v>
      </c>
      <c r="B168" s="9" t="s">
        <v>264</v>
      </c>
      <c r="C168" s="9" t="s">
        <v>45</v>
      </c>
      <c r="D168" s="9" t="s">
        <v>46</v>
      </c>
      <c r="E168" s="9" t="s">
        <v>47</v>
      </c>
      <c r="F168">
        <v>18</v>
      </c>
      <c r="G168" s="9" t="s">
        <v>62</v>
      </c>
      <c r="H168" s="9" t="s">
        <v>56</v>
      </c>
      <c r="I168" s="9" t="s">
        <v>50</v>
      </c>
      <c r="J168" s="9" t="s">
        <v>51</v>
      </c>
      <c r="K168">
        <v>2</v>
      </c>
      <c r="L168" s="6"/>
      <c r="M168">
        <v>32</v>
      </c>
      <c r="N168">
        <v>51</v>
      </c>
      <c r="O168">
        <v>50.149900000000002</v>
      </c>
      <c r="P168">
        <v>113.4683</v>
      </c>
      <c r="Q168">
        <v>150</v>
      </c>
      <c r="R168">
        <v>150</v>
      </c>
      <c r="S168">
        <v>33.43</v>
      </c>
      <c r="T168">
        <v>75.650000000000006</v>
      </c>
      <c r="U168">
        <v>0</v>
      </c>
      <c r="V168">
        <v>0</v>
      </c>
      <c r="W168">
        <v>0</v>
      </c>
      <c r="X168">
        <v>2.2806999999999999</v>
      </c>
      <c r="Y168">
        <v>36.531700000000001</v>
      </c>
      <c r="Z168">
        <v>99.850099999999998</v>
      </c>
      <c r="AA168">
        <v>16.02</v>
      </c>
      <c r="AB168" s="6"/>
    </row>
    <row r="169" spans="1:28" x14ac:dyDescent="0.35">
      <c r="A169">
        <v>1009</v>
      </c>
      <c r="B169" s="9" t="s">
        <v>265</v>
      </c>
      <c r="C169" s="9" t="s">
        <v>64</v>
      </c>
      <c r="D169" s="9" t="s">
        <v>65</v>
      </c>
      <c r="E169" s="9" t="s">
        <v>47</v>
      </c>
      <c r="F169">
        <v>12</v>
      </c>
      <c r="G169" s="9" t="s">
        <v>60</v>
      </c>
      <c r="H169" s="9" t="s">
        <v>56</v>
      </c>
      <c r="I169" s="9" t="s">
        <v>50</v>
      </c>
      <c r="J169" s="9" t="s">
        <v>51</v>
      </c>
      <c r="K169">
        <v>4</v>
      </c>
      <c r="L169" s="6"/>
      <c r="M169">
        <v>41</v>
      </c>
      <c r="N169">
        <v>73</v>
      </c>
      <c r="O169">
        <v>68.516499999999994</v>
      </c>
      <c r="P169">
        <v>150.98349999999999</v>
      </c>
      <c r="Q169">
        <v>200</v>
      </c>
      <c r="R169">
        <v>200</v>
      </c>
      <c r="S169">
        <v>34.26</v>
      </c>
      <c r="T169">
        <v>75.489999999999995</v>
      </c>
      <c r="U169">
        <v>0</v>
      </c>
      <c r="V169">
        <v>0</v>
      </c>
      <c r="W169">
        <v>0</v>
      </c>
      <c r="X169">
        <v>2.2582</v>
      </c>
      <c r="Y169">
        <v>49.016500000000001</v>
      </c>
      <c r="Z169">
        <v>131.48349999999999</v>
      </c>
      <c r="AA169">
        <v>21.71</v>
      </c>
      <c r="AB169" s="6"/>
    </row>
    <row r="170" spans="1:28" x14ac:dyDescent="0.35">
      <c r="A170">
        <v>570</v>
      </c>
      <c r="B170" s="9" t="s">
        <v>266</v>
      </c>
      <c r="C170" s="9" t="s">
        <v>53</v>
      </c>
      <c r="D170" s="9" t="s">
        <v>54</v>
      </c>
      <c r="E170" s="9" t="s">
        <v>47</v>
      </c>
      <c r="F170">
        <v>8</v>
      </c>
      <c r="G170" s="9" t="s">
        <v>195</v>
      </c>
      <c r="H170" s="9" t="s">
        <v>56</v>
      </c>
      <c r="I170" s="9" t="s">
        <v>154</v>
      </c>
      <c r="J170" s="9" t="s">
        <v>155</v>
      </c>
      <c r="K170">
        <v>2</v>
      </c>
      <c r="L170" s="6"/>
      <c r="M170">
        <v>50</v>
      </c>
      <c r="N170">
        <v>98</v>
      </c>
      <c r="O170">
        <v>76.266400000000004</v>
      </c>
      <c r="P170">
        <v>89.640799999999999</v>
      </c>
      <c r="Q170">
        <v>120</v>
      </c>
      <c r="R170">
        <v>120</v>
      </c>
      <c r="S170">
        <v>63.56</v>
      </c>
      <c r="T170">
        <v>74.7</v>
      </c>
      <c r="U170">
        <v>0</v>
      </c>
      <c r="V170">
        <v>0</v>
      </c>
      <c r="W170">
        <v>0</v>
      </c>
      <c r="X170">
        <v>1.0819000000000001</v>
      </c>
      <c r="Y170">
        <v>30.359200000000001</v>
      </c>
      <c r="Z170">
        <v>43.733600000000003</v>
      </c>
      <c r="AA170">
        <v>28.06</v>
      </c>
      <c r="AB170" s="6"/>
    </row>
    <row r="171" spans="1:28" x14ac:dyDescent="0.35">
      <c r="A171">
        <v>642</v>
      </c>
      <c r="B171" s="9" t="s">
        <v>267</v>
      </c>
      <c r="C171" s="9" t="s">
        <v>86</v>
      </c>
      <c r="D171" s="9" t="s">
        <v>87</v>
      </c>
      <c r="E171" s="9" t="s">
        <v>71</v>
      </c>
      <c r="F171">
        <v>6</v>
      </c>
      <c r="G171" s="9" t="s">
        <v>81</v>
      </c>
      <c r="H171" s="9" t="s">
        <v>82</v>
      </c>
      <c r="I171" s="9" t="s">
        <v>57</v>
      </c>
      <c r="J171" s="9" t="s">
        <v>58</v>
      </c>
      <c r="K171">
        <v>1</v>
      </c>
      <c r="L171" s="6"/>
      <c r="M171">
        <v>86</v>
      </c>
      <c r="N171">
        <v>225</v>
      </c>
      <c r="O171">
        <v>148.11660000000001</v>
      </c>
      <c r="P171">
        <v>293.8707</v>
      </c>
      <c r="Q171">
        <v>400</v>
      </c>
      <c r="R171">
        <v>400</v>
      </c>
      <c r="S171">
        <v>37.03</v>
      </c>
      <c r="T171">
        <v>73.47</v>
      </c>
      <c r="U171">
        <v>0</v>
      </c>
      <c r="V171">
        <v>0</v>
      </c>
      <c r="W171">
        <v>0</v>
      </c>
      <c r="X171">
        <v>1.8671</v>
      </c>
      <c r="Y171">
        <v>106.1293</v>
      </c>
      <c r="Z171">
        <v>251.88339999999999</v>
      </c>
      <c r="AA171">
        <v>56.84</v>
      </c>
      <c r="AB171" s="6"/>
    </row>
    <row r="172" spans="1:28" x14ac:dyDescent="0.35">
      <c r="A172">
        <v>934</v>
      </c>
      <c r="B172" s="9" t="s">
        <v>268</v>
      </c>
      <c r="C172" s="9" t="s">
        <v>127</v>
      </c>
      <c r="D172" s="9" t="s">
        <v>128</v>
      </c>
      <c r="E172" s="9" t="s">
        <v>129</v>
      </c>
      <c r="F172">
        <v>4</v>
      </c>
      <c r="G172" s="9" t="s">
        <v>190</v>
      </c>
      <c r="H172" s="9" t="s">
        <v>56</v>
      </c>
      <c r="I172" s="9" t="s">
        <v>57</v>
      </c>
      <c r="J172" s="9" t="s">
        <v>58</v>
      </c>
      <c r="K172">
        <v>1</v>
      </c>
      <c r="L172" s="6"/>
      <c r="M172">
        <v>59</v>
      </c>
      <c r="N172">
        <v>156</v>
      </c>
      <c r="O172">
        <v>97.433300000000003</v>
      </c>
      <c r="P172">
        <v>183.5789</v>
      </c>
      <c r="Q172">
        <v>250</v>
      </c>
      <c r="R172">
        <v>250</v>
      </c>
      <c r="S172">
        <v>38.97</v>
      </c>
      <c r="T172">
        <v>73.430000000000007</v>
      </c>
      <c r="U172">
        <v>0</v>
      </c>
      <c r="V172">
        <v>0</v>
      </c>
      <c r="W172">
        <v>0</v>
      </c>
      <c r="X172">
        <v>1.8878999999999999</v>
      </c>
      <c r="Y172">
        <v>66.421099999999996</v>
      </c>
      <c r="Z172">
        <v>152.5667</v>
      </c>
      <c r="AA172">
        <v>35.18</v>
      </c>
      <c r="AB172" s="6"/>
    </row>
    <row r="173" spans="1:28" x14ac:dyDescent="0.35">
      <c r="A173">
        <v>269</v>
      </c>
      <c r="B173" s="9" t="s">
        <v>269</v>
      </c>
      <c r="C173" s="9" t="s">
        <v>53</v>
      </c>
      <c r="D173" s="9" t="s">
        <v>54</v>
      </c>
      <c r="E173" s="9" t="s">
        <v>47</v>
      </c>
      <c r="F173">
        <v>8</v>
      </c>
      <c r="G173" s="9" t="s">
        <v>205</v>
      </c>
      <c r="H173" s="9" t="s">
        <v>56</v>
      </c>
      <c r="I173" s="9" t="s">
        <v>154</v>
      </c>
      <c r="J173" s="9" t="s">
        <v>155</v>
      </c>
      <c r="K173">
        <v>1</v>
      </c>
      <c r="L173" s="6"/>
      <c r="M173">
        <v>50</v>
      </c>
      <c r="N173">
        <v>90</v>
      </c>
      <c r="O173">
        <v>76.366900000000001</v>
      </c>
      <c r="P173">
        <v>86.125100000000003</v>
      </c>
      <c r="Q173">
        <v>120</v>
      </c>
      <c r="R173">
        <v>120</v>
      </c>
      <c r="S173">
        <v>63.64</v>
      </c>
      <c r="T173">
        <v>71.77</v>
      </c>
      <c r="U173">
        <v>0</v>
      </c>
      <c r="V173">
        <v>0</v>
      </c>
      <c r="W173">
        <v>0</v>
      </c>
      <c r="X173">
        <v>1.08</v>
      </c>
      <c r="Y173">
        <v>33.874899999999997</v>
      </c>
      <c r="Z173">
        <v>43.633099999999999</v>
      </c>
      <c r="AA173">
        <v>31.37</v>
      </c>
      <c r="AB173" s="6"/>
    </row>
    <row r="174" spans="1:28" x14ac:dyDescent="0.35">
      <c r="A174">
        <v>489</v>
      </c>
      <c r="B174" s="9" t="s">
        <v>270</v>
      </c>
      <c r="C174" s="9" t="s">
        <v>64</v>
      </c>
      <c r="D174" s="9" t="s">
        <v>65</v>
      </c>
      <c r="E174" s="9" t="s">
        <v>47</v>
      </c>
      <c r="F174">
        <v>12</v>
      </c>
      <c r="G174" s="9" t="s">
        <v>242</v>
      </c>
      <c r="H174" s="9" t="s">
        <v>49</v>
      </c>
      <c r="I174" s="9" t="s">
        <v>154</v>
      </c>
      <c r="J174" s="9" t="s">
        <v>155</v>
      </c>
      <c r="K174">
        <v>4</v>
      </c>
      <c r="L174" s="6"/>
      <c r="M174">
        <v>78</v>
      </c>
      <c r="N174">
        <v>160</v>
      </c>
      <c r="O174">
        <v>125.91670000000001</v>
      </c>
      <c r="P174">
        <v>143.10130000000001</v>
      </c>
      <c r="Q174">
        <v>200</v>
      </c>
      <c r="R174">
        <v>200</v>
      </c>
      <c r="S174">
        <v>62.96</v>
      </c>
      <c r="T174">
        <v>71.55</v>
      </c>
      <c r="U174">
        <v>0</v>
      </c>
      <c r="V174">
        <v>0</v>
      </c>
      <c r="W174">
        <v>0</v>
      </c>
      <c r="X174">
        <v>1.0768</v>
      </c>
      <c r="Y174">
        <v>56.898699999999998</v>
      </c>
      <c r="Z174">
        <v>74.083299999999994</v>
      </c>
      <c r="AA174">
        <v>52.84</v>
      </c>
      <c r="AB174" s="6"/>
    </row>
    <row r="175" spans="1:28" x14ac:dyDescent="0.35">
      <c r="A175">
        <v>599</v>
      </c>
      <c r="B175" s="9" t="s">
        <v>271</v>
      </c>
      <c r="C175" s="9" t="s">
        <v>45</v>
      </c>
      <c r="D175" s="9" t="s">
        <v>46</v>
      </c>
      <c r="E175" s="9" t="s">
        <v>47</v>
      </c>
      <c r="F175">
        <v>18</v>
      </c>
      <c r="G175" s="9" t="s">
        <v>195</v>
      </c>
      <c r="H175" s="9" t="s">
        <v>56</v>
      </c>
      <c r="I175" s="9" t="s">
        <v>154</v>
      </c>
      <c r="J175" s="9" t="s">
        <v>155</v>
      </c>
      <c r="K175">
        <v>3</v>
      </c>
      <c r="L175" s="6"/>
      <c r="M175">
        <v>61</v>
      </c>
      <c r="N175">
        <v>120</v>
      </c>
      <c r="O175">
        <v>92.099699999999999</v>
      </c>
      <c r="P175">
        <v>106.93510000000001</v>
      </c>
      <c r="Q175">
        <v>150</v>
      </c>
      <c r="R175">
        <v>150</v>
      </c>
      <c r="S175">
        <v>61.4</v>
      </c>
      <c r="T175">
        <v>71.290000000000006</v>
      </c>
      <c r="U175">
        <v>0</v>
      </c>
      <c r="V175">
        <v>0</v>
      </c>
      <c r="W175">
        <v>0</v>
      </c>
      <c r="X175">
        <v>1.0819000000000001</v>
      </c>
      <c r="Y175">
        <v>43.064900000000002</v>
      </c>
      <c r="Z175">
        <v>57.900300000000001</v>
      </c>
      <c r="AA175">
        <v>39.799999999999997</v>
      </c>
      <c r="AB175" s="6"/>
    </row>
    <row r="176" spans="1:28" x14ac:dyDescent="0.35">
      <c r="A176">
        <v>405</v>
      </c>
      <c r="B176" s="9" t="s">
        <v>272</v>
      </c>
      <c r="C176" s="9" t="s">
        <v>86</v>
      </c>
      <c r="D176" s="9" t="s">
        <v>87</v>
      </c>
      <c r="E176" s="9" t="s">
        <v>71</v>
      </c>
      <c r="F176">
        <v>6</v>
      </c>
      <c r="G176" s="9" t="s">
        <v>255</v>
      </c>
      <c r="H176" s="9" t="s">
        <v>56</v>
      </c>
      <c r="I176" s="9" t="s">
        <v>154</v>
      </c>
      <c r="J176" s="9" t="s">
        <v>155</v>
      </c>
      <c r="K176">
        <v>1</v>
      </c>
      <c r="L176" s="6"/>
      <c r="M176">
        <v>155</v>
      </c>
      <c r="N176">
        <v>321</v>
      </c>
      <c r="O176">
        <v>239.33349999999999</v>
      </c>
      <c r="P176">
        <v>284.78750000000002</v>
      </c>
      <c r="Q176">
        <v>400</v>
      </c>
      <c r="R176">
        <v>400</v>
      </c>
      <c r="S176">
        <v>59.83</v>
      </c>
      <c r="T176">
        <v>71.2</v>
      </c>
      <c r="U176">
        <v>0</v>
      </c>
      <c r="V176">
        <v>0</v>
      </c>
      <c r="W176">
        <v>0</v>
      </c>
      <c r="X176">
        <v>1.1930000000000001</v>
      </c>
      <c r="Y176">
        <v>115.21250000000001</v>
      </c>
      <c r="Z176">
        <v>160.66650000000001</v>
      </c>
      <c r="AA176">
        <v>96.57</v>
      </c>
      <c r="AB176" s="6"/>
    </row>
    <row r="177" spans="1:28" x14ac:dyDescent="0.35">
      <c r="A177">
        <v>1256</v>
      </c>
      <c r="B177" s="9" t="s">
        <v>273</v>
      </c>
      <c r="C177" s="9" t="s">
        <v>64</v>
      </c>
      <c r="D177" s="9" t="s">
        <v>65</v>
      </c>
      <c r="E177" s="9" t="s">
        <v>47</v>
      </c>
      <c r="F177">
        <v>12</v>
      </c>
      <c r="G177" s="9" t="s">
        <v>79</v>
      </c>
      <c r="H177" s="9" t="s">
        <v>56</v>
      </c>
      <c r="I177" s="9" t="s">
        <v>50</v>
      </c>
      <c r="J177" s="9" t="s">
        <v>51</v>
      </c>
      <c r="K177">
        <v>3</v>
      </c>
      <c r="L177" s="6"/>
      <c r="M177">
        <v>36</v>
      </c>
      <c r="N177">
        <v>66</v>
      </c>
      <c r="O177">
        <v>65.200100000000006</v>
      </c>
      <c r="P177">
        <v>140.2106</v>
      </c>
      <c r="Q177">
        <v>200</v>
      </c>
      <c r="R177">
        <v>200</v>
      </c>
      <c r="S177">
        <v>32.6</v>
      </c>
      <c r="T177">
        <v>70.11</v>
      </c>
      <c r="U177">
        <v>0</v>
      </c>
      <c r="V177">
        <v>0</v>
      </c>
      <c r="W177">
        <v>0</v>
      </c>
      <c r="X177">
        <v>2.1718000000000002</v>
      </c>
      <c r="Y177">
        <v>59.789400000000001</v>
      </c>
      <c r="Z177">
        <v>134.79990000000001</v>
      </c>
      <c r="AA177">
        <v>27.53</v>
      </c>
      <c r="AB177" s="6"/>
    </row>
    <row r="178" spans="1:28" x14ac:dyDescent="0.35">
      <c r="A178">
        <v>274</v>
      </c>
      <c r="B178" s="9" t="s">
        <v>274</v>
      </c>
      <c r="C178" s="9" t="s">
        <v>53</v>
      </c>
      <c r="D178" s="9" t="s">
        <v>54</v>
      </c>
      <c r="E178" s="9" t="s">
        <v>47</v>
      </c>
      <c r="F178">
        <v>8</v>
      </c>
      <c r="G178" s="9" t="s">
        <v>205</v>
      </c>
      <c r="H178" s="9" t="s">
        <v>56</v>
      </c>
      <c r="I178" s="9" t="s">
        <v>154</v>
      </c>
      <c r="J178" s="9" t="s">
        <v>155</v>
      </c>
      <c r="K178">
        <v>2</v>
      </c>
      <c r="L178" s="6"/>
      <c r="M178">
        <v>49</v>
      </c>
      <c r="N178">
        <v>89</v>
      </c>
      <c r="O178">
        <v>74.250200000000007</v>
      </c>
      <c r="P178">
        <v>83.988399999999999</v>
      </c>
      <c r="Q178">
        <v>120</v>
      </c>
      <c r="R178">
        <v>120</v>
      </c>
      <c r="S178">
        <v>61.88</v>
      </c>
      <c r="T178">
        <v>69.989999999999995</v>
      </c>
      <c r="U178">
        <v>0</v>
      </c>
      <c r="V178">
        <v>0</v>
      </c>
      <c r="W178">
        <v>0</v>
      </c>
      <c r="X178">
        <v>1.08</v>
      </c>
      <c r="Y178">
        <v>36.011600000000001</v>
      </c>
      <c r="Z178">
        <v>45.7498</v>
      </c>
      <c r="AA178">
        <v>33.340000000000003</v>
      </c>
      <c r="AB178" s="6"/>
    </row>
    <row r="179" spans="1:28" x14ac:dyDescent="0.35">
      <c r="A179">
        <v>1237</v>
      </c>
      <c r="B179" s="9" t="s">
        <v>275</v>
      </c>
      <c r="C179" s="9" t="s">
        <v>69</v>
      </c>
      <c r="D179" s="9" t="s">
        <v>70</v>
      </c>
      <c r="E179" s="9" t="s">
        <v>71</v>
      </c>
      <c r="F179">
        <v>24</v>
      </c>
      <c r="G179" s="9" t="s">
        <v>79</v>
      </c>
      <c r="H179" s="9" t="s">
        <v>56</v>
      </c>
      <c r="I179" s="9" t="s">
        <v>50</v>
      </c>
      <c r="J179" s="9" t="s">
        <v>51</v>
      </c>
      <c r="K179">
        <v>1</v>
      </c>
      <c r="L179" s="6"/>
      <c r="M179">
        <v>55</v>
      </c>
      <c r="N179">
        <v>101</v>
      </c>
      <c r="O179">
        <v>95.200199999999995</v>
      </c>
      <c r="P179">
        <v>208.25790000000001</v>
      </c>
      <c r="Q179">
        <v>300</v>
      </c>
      <c r="R179">
        <v>300</v>
      </c>
      <c r="S179">
        <v>31.73</v>
      </c>
      <c r="T179">
        <v>69.42</v>
      </c>
      <c r="U179">
        <v>0</v>
      </c>
      <c r="V179">
        <v>0</v>
      </c>
      <c r="W179">
        <v>0</v>
      </c>
      <c r="X179">
        <v>2.1718000000000002</v>
      </c>
      <c r="Y179">
        <v>91.742099999999994</v>
      </c>
      <c r="Z179">
        <v>204.7998</v>
      </c>
      <c r="AA179">
        <v>42.24</v>
      </c>
      <c r="AB179" s="6"/>
    </row>
    <row r="180" spans="1:28" x14ac:dyDescent="0.35">
      <c r="A180">
        <v>197</v>
      </c>
      <c r="B180" s="9" t="s">
        <v>276</v>
      </c>
      <c r="C180" s="9" t="s">
        <v>45</v>
      </c>
      <c r="D180" s="9" t="s">
        <v>46</v>
      </c>
      <c r="E180" s="9" t="s">
        <v>47</v>
      </c>
      <c r="F180">
        <v>18</v>
      </c>
      <c r="G180" s="9" t="s">
        <v>192</v>
      </c>
      <c r="H180" s="9" t="s">
        <v>49</v>
      </c>
      <c r="I180" s="9" t="s">
        <v>154</v>
      </c>
      <c r="J180" s="9" t="s">
        <v>155</v>
      </c>
      <c r="K180">
        <v>3</v>
      </c>
      <c r="L180" s="6"/>
      <c r="M180">
        <v>58</v>
      </c>
      <c r="N180">
        <v>117</v>
      </c>
      <c r="O180">
        <v>90.783100000000005</v>
      </c>
      <c r="P180">
        <v>103.4833</v>
      </c>
      <c r="Q180">
        <v>150</v>
      </c>
      <c r="R180">
        <v>150</v>
      </c>
      <c r="S180">
        <v>60.52</v>
      </c>
      <c r="T180">
        <v>68.989999999999995</v>
      </c>
      <c r="U180">
        <v>0</v>
      </c>
      <c r="V180">
        <v>0</v>
      </c>
      <c r="W180">
        <v>0</v>
      </c>
      <c r="X180">
        <v>1.1001000000000001</v>
      </c>
      <c r="Y180">
        <v>46.5167</v>
      </c>
      <c r="Z180">
        <v>59.216900000000003</v>
      </c>
      <c r="AA180">
        <v>42.28</v>
      </c>
      <c r="AB180" s="6"/>
    </row>
    <row r="181" spans="1:28" x14ac:dyDescent="0.35">
      <c r="A181">
        <v>116</v>
      </c>
      <c r="B181" s="9" t="s">
        <v>277</v>
      </c>
      <c r="C181" s="9" t="s">
        <v>45</v>
      </c>
      <c r="D181" s="9" t="s">
        <v>46</v>
      </c>
      <c r="E181" s="9" t="s">
        <v>47</v>
      </c>
      <c r="F181">
        <v>18</v>
      </c>
      <c r="G181" s="9" t="s">
        <v>62</v>
      </c>
      <c r="H181" s="9" t="s">
        <v>56</v>
      </c>
      <c r="I181" s="9" t="s">
        <v>50</v>
      </c>
      <c r="J181" s="9" t="s">
        <v>51</v>
      </c>
      <c r="K181">
        <v>4</v>
      </c>
      <c r="L181" s="6"/>
      <c r="M181">
        <v>29</v>
      </c>
      <c r="N181">
        <v>47</v>
      </c>
      <c r="O181">
        <v>45.249899999999997</v>
      </c>
      <c r="P181">
        <v>102.6564</v>
      </c>
      <c r="Q181">
        <v>150</v>
      </c>
      <c r="R181">
        <v>150</v>
      </c>
      <c r="S181">
        <v>30.17</v>
      </c>
      <c r="T181">
        <v>68.44</v>
      </c>
      <c r="U181">
        <v>0</v>
      </c>
      <c r="V181">
        <v>0</v>
      </c>
      <c r="W181">
        <v>0</v>
      </c>
      <c r="X181">
        <v>2.2806999999999999</v>
      </c>
      <c r="Y181">
        <v>47.343600000000002</v>
      </c>
      <c r="Z181">
        <v>104.7501</v>
      </c>
      <c r="AA181">
        <v>20.76</v>
      </c>
      <c r="AB181" s="6"/>
    </row>
    <row r="182" spans="1:28" x14ac:dyDescent="0.35">
      <c r="A182">
        <v>759</v>
      </c>
      <c r="B182" s="9" t="s">
        <v>278</v>
      </c>
      <c r="C182" s="9" t="s">
        <v>53</v>
      </c>
      <c r="D182" s="9" t="s">
        <v>54</v>
      </c>
      <c r="E182" s="9" t="s">
        <v>47</v>
      </c>
      <c r="F182">
        <v>8</v>
      </c>
      <c r="G182" s="9" t="s">
        <v>110</v>
      </c>
      <c r="H182" s="9" t="s">
        <v>82</v>
      </c>
      <c r="I182" s="9" t="s">
        <v>57</v>
      </c>
      <c r="J182" s="9" t="s">
        <v>58</v>
      </c>
      <c r="K182">
        <v>1</v>
      </c>
      <c r="L182" s="6"/>
      <c r="M182">
        <v>26</v>
      </c>
      <c r="N182">
        <v>70</v>
      </c>
      <c r="O182">
        <v>43.466799999999999</v>
      </c>
      <c r="P182">
        <v>81.711200000000005</v>
      </c>
      <c r="Q182">
        <v>120</v>
      </c>
      <c r="R182">
        <v>120</v>
      </c>
      <c r="S182">
        <v>36.22</v>
      </c>
      <c r="T182">
        <v>68.09</v>
      </c>
      <c r="U182">
        <v>0</v>
      </c>
      <c r="V182">
        <v>0</v>
      </c>
      <c r="W182">
        <v>0</v>
      </c>
      <c r="X182">
        <v>1.9188000000000001</v>
      </c>
      <c r="Y182">
        <v>38.288800000000002</v>
      </c>
      <c r="Z182">
        <v>76.533199999999994</v>
      </c>
      <c r="AA182">
        <v>19.95</v>
      </c>
      <c r="AB182" s="6"/>
    </row>
    <row r="183" spans="1:28" x14ac:dyDescent="0.35">
      <c r="A183">
        <v>1404</v>
      </c>
      <c r="B183" s="9" t="s">
        <v>279</v>
      </c>
      <c r="C183" s="9" t="s">
        <v>45</v>
      </c>
      <c r="D183" s="9" t="s">
        <v>46</v>
      </c>
      <c r="E183" s="9" t="s">
        <v>47</v>
      </c>
      <c r="F183">
        <v>18</v>
      </c>
      <c r="G183" s="9" t="s">
        <v>125</v>
      </c>
      <c r="H183" s="9" t="s">
        <v>56</v>
      </c>
      <c r="I183" s="9" t="s">
        <v>89</v>
      </c>
      <c r="J183" s="9" t="s">
        <v>90</v>
      </c>
      <c r="K183">
        <v>3</v>
      </c>
      <c r="L183" s="6"/>
      <c r="M183">
        <v>56</v>
      </c>
      <c r="N183">
        <v>409</v>
      </c>
      <c r="O183">
        <v>55.916600000000003</v>
      </c>
      <c r="P183">
        <v>99.404300000000006</v>
      </c>
      <c r="Q183">
        <v>150</v>
      </c>
      <c r="R183">
        <v>150</v>
      </c>
      <c r="S183">
        <v>37.28</v>
      </c>
      <c r="T183">
        <v>66.27</v>
      </c>
      <c r="U183">
        <v>0</v>
      </c>
      <c r="V183">
        <v>0</v>
      </c>
      <c r="W183">
        <v>0</v>
      </c>
      <c r="X183">
        <v>1.7297</v>
      </c>
      <c r="Y183">
        <v>50.595700000000001</v>
      </c>
      <c r="Z183">
        <v>94.083399999999997</v>
      </c>
      <c r="AA183">
        <v>29.25</v>
      </c>
      <c r="AB183" s="6"/>
    </row>
    <row r="184" spans="1:28" x14ac:dyDescent="0.35">
      <c r="A184">
        <v>423</v>
      </c>
      <c r="B184" s="9" t="s">
        <v>280</v>
      </c>
      <c r="C184" s="9" t="s">
        <v>127</v>
      </c>
      <c r="D184" s="9" t="s">
        <v>128</v>
      </c>
      <c r="E184" s="9" t="s">
        <v>129</v>
      </c>
      <c r="F184">
        <v>4</v>
      </c>
      <c r="G184" s="9" t="s">
        <v>255</v>
      </c>
      <c r="H184" s="9" t="s">
        <v>56</v>
      </c>
      <c r="I184" s="9" t="s">
        <v>154</v>
      </c>
      <c r="J184" s="9" t="s">
        <v>155</v>
      </c>
      <c r="K184">
        <v>1</v>
      </c>
      <c r="L184" s="6"/>
      <c r="M184">
        <v>84</v>
      </c>
      <c r="N184">
        <v>157</v>
      </c>
      <c r="O184">
        <v>137.53370000000001</v>
      </c>
      <c r="P184">
        <v>165.42740000000001</v>
      </c>
      <c r="Q184">
        <v>250</v>
      </c>
      <c r="R184">
        <v>250</v>
      </c>
      <c r="S184">
        <v>55.01</v>
      </c>
      <c r="T184">
        <v>66.17</v>
      </c>
      <c r="U184">
        <v>0</v>
      </c>
      <c r="V184">
        <v>0</v>
      </c>
      <c r="W184">
        <v>0</v>
      </c>
      <c r="X184">
        <v>1.1930000000000001</v>
      </c>
      <c r="Y184">
        <v>84.572599999999994</v>
      </c>
      <c r="Z184">
        <v>112.4663</v>
      </c>
      <c r="AA184">
        <v>70.89</v>
      </c>
      <c r="AB184" s="6"/>
    </row>
    <row r="185" spans="1:28" x14ac:dyDescent="0.35">
      <c r="A185">
        <v>1439</v>
      </c>
      <c r="B185" s="9" t="s">
        <v>281</v>
      </c>
      <c r="C185" s="9" t="s">
        <v>64</v>
      </c>
      <c r="D185" s="9" t="s">
        <v>65</v>
      </c>
      <c r="E185" s="9" t="s">
        <v>47</v>
      </c>
      <c r="F185">
        <v>12</v>
      </c>
      <c r="G185" s="9" t="s">
        <v>209</v>
      </c>
      <c r="H185" s="9" t="s">
        <v>49</v>
      </c>
      <c r="I185" s="9" t="s">
        <v>154</v>
      </c>
      <c r="J185" s="9" t="s">
        <v>155</v>
      </c>
      <c r="K185">
        <v>4</v>
      </c>
      <c r="L185" s="6"/>
      <c r="M185">
        <v>76</v>
      </c>
      <c r="N185">
        <v>157</v>
      </c>
      <c r="O185">
        <v>111.7332</v>
      </c>
      <c r="P185">
        <v>132.14689999999999</v>
      </c>
      <c r="Q185">
        <v>200</v>
      </c>
      <c r="R185">
        <v>200</v>
      </c>
      <c r="S185">
        <v>55.87</v>
      </c>
      <c r="T185">
        <v>66.069999999999993</v>
      </c>
      <c r="U185">
        <v>0</v>
      </c>
      <c r="V185">
        <v>0</v>
      </c>
      <c r="W185">
        <v>0</v>
      </c>
      <c r="X185">
        <v>1.1733</v>
      </c>
      <c r="Y185">
        <v>67.853099999999998</v>
      </c>
      <c r="Z185">
        <v>88.266800000000003</v>
      </c>
      <c r="AA185">
        <v>57.83</v>
      </c>
      <c r="AB185" s="6"/>
    </row>
    <row r="186" spans="1:28" x14ac:dyDescent="0.35">
      <c r="A186">
        <v>957</v>
      </c>
      <c r="B186" s="9" t="s">
        <v>282</v>
      </c>
      <c r="C186" s="9" t="s">
        <v>45</v>
      </c>
      <c r="D186" s="9" t="s">
        <v>46</v>
      </c>
      <c r="E186" s="9" t="s">
        <v>47</v>
      </c>
      <c r="F186">
        <v>18</v>
      </c>
      <c r="G186" s="9" t="s">
        <v>190</v>
      </c>
      <c r="H186" s="9" t="s">
        <v>56</v>
      </c>
      <c r="I186" s="9" t="s">
        <v>57</v>
      </c>
      <c r="J186" s="9" t="s">
        <v>58</v>
      </c>
      <c r="K186">
        <v>1</v>
      </c>
      <c r="L186" s="6"/>
      <c r="M186">
        <v>33</v>
      </c>
      <c r="N186">
        <v>90</v>
      </c>
      <c r="O186">
        <v>53.049900000000001</v>
      </c>
      <c r="P186">
        <v>98.901600000000002</v>
      </c>
      <c r="Q186">
        <v>150</v>
      </c>
      <c r="R186">
        <v>150</v>
      </c>
      <c r="S186">
        <v>35.369999999999997</v>
      </c>
      <c r="T186">
        <v>65.930000000000007</v>
      </c>
      <c r="U186">
        <v>0</v>
      </c>
      <c r="V186">
        <v>0</v>
      </c>
      <c r="W186">
        <v>0</v>
      </c>
      <c r="X186">
        <v>1.8878999999999999</v>
      </c>
      <c r="Y186">
        <v>51.098399999999998</v>
      </c>
      <c r="Z186">
        <v>96.950100000000006</v>
      </c>
      <c r="AA186">
        <v>27.07</v>
      </c>
      <c r="AB186" s="6"/>
    </row>
    <row r="187" spans="1:28" x14ac:dyDescent="0.35">
      <c r="A187">
        <v>864</v>
      </c>
      <c r="B187" s="9" t="s">
        <v>283</v>
      </c>
      <c r="C187" s="9" t="s">
        <v>69</v>
      </c>
      <c r="D187" s="9" t="s">
        <v>70</v>
      </c>
      <c r="E187" s="9" t="s">
        <v>71</v>
      </c>
      <c r="F187">
        <v>24</v>
      </c>
      <c r="G187" s="9" t="s">
        <v>77</v>
      </c>
      <c r="H187" s="9" t="s">
        <v>49</v>
      </c>
      <c r="I187" s="9" t="s">
        <v>50</v>
      </c>
      <c r="J187" s="9" t="s">
        <v>51</v>
      </c>
      <c r="K187">
        <v>1</v>
      </c>
      <c r="L187" s="6"/>
      <c r="M187">
        <v>54</v>
      </c>
      <c r="N187">
        <v>108</v>
      </c>
      <c r="O187">
        <v>89.333600000000004</v>
      </c>
      <c r="P187">
        <v>195.85839999999999</v>
      </c>
      <c r="Q187">
        <v>300</v>
      </c>
      <c r="R187">
        <v>300</v>
      </c>
      <c r="S187">
        <v>29.78</v>
      </c>
      <c r="T187">
        <v>65.290000000000006</v>
      </c>
      <c r="U187">
        <v>0</v>
      </c>
      <c r="V187">
        <v>0</v>
      </c>
      <c r="W187">
        <v>0</v>
      </c>
      <c r="X187">
        <v>2.1968999999999999</v>
      </c>
      <c r="Y187">
        <v>104.1416</v>
      </c>
      <c r="Z187">
        <v>210.66640000000001</v>
      </c>
      <c r="AA187">
        <v>47.4</v>
      </c>
      <c r="AB187" s="6"/>
    </row>
    <row r="188" spans="1:28" x14ac:dyDescent="0.35">
      <c r="A188">
        <v>719</v>
      </c>
      <c r="B188" s="9" t="s">
        <v>284</v>
      </c>
      <c r="C188" s="9" t="s">
        <v>64</v>
      </c>
      <c r="D188" s="9" t="s">
        <v>65</v>
      </c>
      <c r="E188" s="9" t="s">
        <v>47</v>
      </c>
      <c r="F188">
        <v>12</v>
      </c>
      <c r="G188" s="9" t="s">
        <v>95</v>
      </c>
      <c r="H188" s="9" t="s">
        <v>49</v>
      </c>
      <c r="I188" s="9" t="s">
        <v>57</v>
      </c>
      <c r="J188" s="9" t="s">
        <v>58</v>
      </c>
      <c r="K188">
        <v>1</v>
      </c>
      <c r="L188" s="6"/>
      <c r="M188">
        <v>37</v>
      </c>
      <c r="N188">
        <v>72</v>
      </c>
      <c r="O188">
        <v>65.316699999999997</v>
      </c>
      <c r="P188">
        <v>127.55459999999999</v>
      </c>
      <c r="Q188">
        <v>200</v>
      </c>
      <c r="R188">
        <v>200</v>
      </c>
      <c r="S188">
        <v>32.659999999999997</v>
      </c>
      <c r="T188">
        <v>63.78</v>
      </c>
      <c r="U188">
        <v>0</v>
      </c>
      <c r="V188">
        <v>0</v>
      </c>
      <c r="W188">
        <v>0</v>
      </c>
      <c r="X188">
        <v>1.9216</v>
      </c>
      <c r="Y188">
        <v>72.445400000000006</v>
      </c>
      <c r="Z188">
        <v>134.6833</v>
      </c>
      <c r="AA188">
        <v>37.700000000000003</v>
      </c>
      <c r="AB188" s="6"/>
    </row>
    <row r="189" spans="1:28" x14ac:dyDescent="0.35">
      <c r="A189">
        <v>323</v>
      </c>
      <c r="B189" s="9" t="s">
        <v>285</v>
      </c>
      <c r="C189" s="9" t="s">
        <v>127</v>
      </c>
      <c r="D189" s="9" t="s">
        <v>128</v>
      </c>
      <c r="E189" s="9" t="s">
        <v>129</v>
      </c>
      <c r="F189">
        <v>4</v>
      </c>
      <c r="G189" s="9" t="s">
        <v>93</v>
      </c>
      <c r="H189" s="9" t="s">
        <v>49</v>
      </c>
      <c r="I189" s="9" t="s">
        <v>89</v>
      </c>
      <c r="J189" s="9" t="s">
        <v>90</v>
      </c>
      <c r="K189">
        <v>1</v>
      </c>
      <c r="L189" s="6"/>
      <c r="M189">
        <v>86</v>
      </c>
      <c r="N189">
        <v>658</v>
      </c>
      <c r="O189">
        <v>87.699799999999996</v>
      </c>
      <c r="P189">
        <v>159.15620000000001</v>
      </c>
      <c r="Q189">
        <v>250</v>
      </c>
      <c r="R189">
        <v>250</v>
      </c>
      <c r="S189">
        <v>35.08</v>
      </c>
      <c r="T189">
        <v>63.66</v>
      </c>
      <c r="U189">
        <v>0</v>
      </c>
      <c r="V189">
        <v>0</v>
      </c>
      <c r="W189">
        <v>0</v>
      </c>
      <c r="X189">
        <v>1.7137</v>
      </c>
      <c r="Y189">
        <v>90.843800000000002</v>
      </c>
      <c r="Z189">
        <v>162.30019999999999</v>
      </c>
      <c r="AA189">
        <v>53.01</v>
      </c>
      <c r="AB189" s="6"/>
    </row>
    <row r="190" spans="1:28" x14ac:dyDescent="0.35">
      <c r="A190">
        <v>1536</v>
      </c>
      <c r="B190" s="9" t="s">
        <v>286</v>
      </c>
      <c r="C190" s="9" t="s">
        <v>45</v>
      </c>
      <c r="D190" s="9" t="s">
        <v>46</v>
      </c>
      <c r="E190" s="9" t="s">
        <v>47</v>
      </c>
      <c r="F190">
        <v>18</v>
      </c>
      <c r="G190" s="9" t="s">
        <v>178</v>
      </c>
      <c r="H190" s="9" t="s">
        <v>56</v>
      </c>
      <c r="I190" s="9" t="s">
        <v>154</v>
      </c>
      <c r="J190" s="9" t="s">
        <v>155</v>
      </c>
      <c r="K190">
        <v>1</v>
      </c>
      <c r="L190" s="6"/>
      <c r="M190">
        <v>58</v>
      </c>
      <c r="N190">
        <v>108</v>
      </c>
      <c r="O190">
        <v>86.716499999999996</v>
      </c>
      <c r="P190">
        <v>95.464600000000004</v>
      </c>
      <c r="Q190">
        <v>150</v>
      </c>
      <c r="R190">
        <v>150</v>
      </c>
      <c r="S190">
        <v>57.81</v>
      </c>
      <c r="T190">
        <v>63.64</v>
      </c>
      <c r="U190">
        <v>0</v>
      </c>
      <c r="V190">
        <v>0</v>
      </c>
      <c r="W190">
        <v>0</v>
      </c>
      <c r="X190">
        <v>1.1561999999999999</v>
      </c>
      <c r="Y190">
        <v>54.535400000000003</v>
      </c>
      <c r="Z190">
        <v>63.283499999999997</v>
      </c>
      <c r="AA190">
        <v>47.17</v>
      </c>
      <c r="AB190" s="6"/>
    </row>
    <row r="191" spans="1:28" x14ac:dyDescent="0.35">
      <c r="A191">
        <v>1213</v>
      </c>
      <c r="B191" s="9" t="s">
        <v>287</v>
      </c>
      <c r="C191" s="9" t="s">
        <v>45</v>
      </c>
      <c r="D191" s="9" t="s">
        <v>46</v>
      </c>
      <c r="E191" s="9" t="s">
        <v>47</v>
      </c>
      <c r="F191">
        <v>18</v>
      </c>
      <c r="G191" s="9" t="s">
        <v>262</v>
      </c>
      <c r="H191" s="9" t="s">
        <v>56</v>
      </c>
      <c r="I191" s="9" t="s">
        <v>154</v>
      </c>
      <c r="J191" s="9" t="s">
        <v>155</v>
      </c>
      <c r="K191">
        <v>3</v>
      </c>
      <c r="L191" s="6"/>
      <c r="M191">
        <v>54</v>
      </c>
      <c r="N191">
        <v>109</v>
      </c>
      <c r="O191">
        <v>85.483500000000006</v>
      </c>
      <c r="P191">
        <v>95.036900000000003</v>
      </c>
      <c r="Q191">
        <v>150</v>
      </c>
      <c r="R191">
        <v>150</v>
      </c>
      <c r="S191">
        <v>56.99</v>
      </c>
      <c r="T191">
        <v>63.36</v>
      </c>
      <c r="U191">
        <v>0</v>
      </c>
      <c r="V191">
        <v>0</v>
      </c>
      <c r="W191">
        <v>0</v>
      </c>
      <c r="X191">
        <v>1.0798000000000001</v>
      </c>
      <c r="Y191">
        <v>54.963099999999997</v>
      </c>
      <c r="Z191">
        <v>64.516499999999994</v>
      </c>
      <c r="AA191">
        <v>50.9</v>
      </c>
      <c r="AB191" s="6"/>
    </row>
    <row r="192" spans="1:28" x14ac:dyDescent="0.35">
      <c r="A192">
        <v>1499</v>
      </c>
      <c r="B192" s="9" t="s">
        <v>288</v>
      </c>
      <c r="C192" s="9" t="s">
        <v>45</v>
      </c>
      <c r="D192" s="9" t="s">
        <v>46</v>
      </c>
      <c r="E192" s="9" t="s">
        <v>47</v>
      </c>
      <c r="F192">
        <v>18</v>
      </c>
      <c r="G192" s="9" t="s">
        <v>67</v>
      </c>
      <c r="H192" s="9" t="s">
        <v>56</v>
      </c>
      <c r="I192" s="9" t="s">
        <v>57</v>
      </c>
      <c r="J192" s="9" t="s">
        <v>58</v>
      </c>
      <c r="K192">
        <v>3</v>
      </c>
      <c r="L192" s="6"/>
      <c r="M192">
        <v>28</v>
      </c>
      <c r="N192">
        <v>89</v>
      </c>
      <c r="O192">
        <v>47.633400000000002</v>
      </c>
      <c r="P192">
        <v>94.148799999999994</v>
      </c>
      <c r="Q192">
        <v>150</v>
      </c>
      <c r="R192">
        <v>150</v>
      </c>
      <c r="S192">
        <v>31.76</v>
      </c>
      <c r="T192">
        <v>62.77</v>
      </c>
      <c r="U192">
        <v>0</v>
      </c>
      <c r="V192">
        <v>0</v>
      </c>
      <c r="W192">
        <v>0</v>
      </c>
      <c r="X192">
        <v>1.9626999999999999</v>
      </c>
      <c r="Y192">
        <v>55.851199999999999</v>
      </c>
      <c r="Z192">
        <v>102.36660000000001</v>
      </c>
      <c r="AA192">
        <v>28.46</v>
      </c>
      <c r="AB192" s="6"/>
    </row>
    <row r="193" spans="1:28" x14ac:dyDescent="0.35">
      <c r="A193">
        <v>1114</v>
      </c>
      <c r="B193" s="9" t="s">
        <v>289</v>
      </c>
      <c r="C193" s="9" t="s">
        <v>86</v>
      </c>
      <c r="D193" s="9" t="s">
        <v>87</v>
      </c>
      <c r="E193" s="9" t="s">
        <v>71</v>
      </c>
      <c r="F193">
        <v>6</v>
      </c>
      <c r="G193" s="9" t="s">
        <v>153</v>
      </c>
      <c r="H193" s="9" t="s">
        <v>82</v>
      </c>
      <c r="I193" s="9" t="s">
        <v>154</v>
      </c>
      <c r="J193" s="9" t="s">
        <v>155</v>
      </c>
      <c r="K193">
        <v>1</v>
      </c>
      <c r="L193" s="6"/>
      <c r="M193">
        <v>133</v>
      </c>
      <c r="N193">
        <v>282</v>
      </c>
      <c r="O193">
        <v>196.6833</v>
      </c>
      <c r="P193">
        <v>239.114</v>
      </c>
      <c r="Q193">
        <v>400</v>
      </c>
      <c r="R193">
        <v>400</v>
      </c>
      <c r="S193">
        <v>49.17</v>
      </c>
      <c r="T193">
        <v>59.78</v>
      </c>
      <c r="U193">
        <v>0</v>
      </c>
      <c r="V193">
        <v>0</v>
      </c>
      <c r="W193">
        <v>0</v>
      </c>
      <c r="X193">
        <v>1.2827</v>
      </c>
      <c r="Y193">
        <v>160.886</v>
      </c>
      <c r="Z193">
        <v>203.3167</v>
      </c>
      <c r="AA193">
        <v>125.43</v>
      </c>
      <c r="AB193" s="6"/>
    </row>
    <row r="194" spans="1:28" x14ac:dyDescent="0.35">
      <c r="A194">
        <v>751</v>
      </c>
      <c r="B194" s="9" t="s">
        <v>290</v>
      </c>
      <c r="C194" s="9" t="s">
        <v>45</v>
      </c>
      <c r="D194" s="9" t="s">
        <v>46</v>
      </c>
      <c r="E194" s="9" t="s">
        <v>47</v>
      </c>
      <c r="F194">
        <v>18</v>
      </c>
      <c r="G194" s="9" t="s">
        <v>95</v>
      </c>
      <c r="H194" s="9" t="s">
        <v>49</v>
      </c>
      <c r="I194" s="9" t="s">
        <v>57</v>
      </c>
      <c r="J194" s="9" t="s">
        <v>58</v>
      </c>
      <c r="K194">
        <v>4</v>
      </c>
      <c r="L194" s="6"/>
      <c r="M194">
        <v>27</v>
      </c>
      <c r="N194">
        <v>56</v>
      </c>
      <c r="O194">
        <v>45.900100000000002</v>
      </c>
      <c r="P194">
        <v>88.369</v>
      </c>
      <c r="Q194">
        <v>150</v>
      </c>
      <c r="R194">
        <v>150</v>
      </c>
      <c r="S194">
        <v>30.6</v>
      </c>
      <c r="T194">
        <v>58.91</v>
      </c>
      <c r="U194">
        <v>0</v>
      </c>
      <c r="V194">
        <v>0</v>
      </c>
      <c r="W194">
        <v>0</v>
      </c>
      <c r="X194">
        <v>1.9216</v>
      </c>
      <c r="Y194">
        <v>61.631</v>
      </c>
      <c r="Z194">
        <v>104.09990000000001</v>
      </c>
      <c r="AA194">
        <v>32.07</v>
      </c>
      <c r="AB194" s="6"/>
    </row>
    <row r="195" spans="1:28" x14ac:dyDescent="0.35">
      <c r="A195">
        <v>483</v>
      </c>
      <c r="B195" s="9" t="s">
        <v>291</v>
      </c>
      <c r="C195" s="9" t="s">
        <v>64</v>
      </c>
      <c r="D195" s="9" t="s">
        <v>65</v>
      </c>
      <c r="E195" s="9" t="s">
        <v>47</v>
      </c>
      <c r="F195">
        <v>12</v>
      </c>
      <c r="G195" s="9" t="s">
        <v>242</v>
      </c>
      <c r="H195" s="9" t="s">
        <v>49</v>
      </c>
      <c r="I195" s="9" t="s">
        <v>154</v>
      </c>
      <c r="J195" s="9" t="s">
        <v>155</v>
      </c>
      <c r="K195">
        <v>2</v>
      </c>
      <c r="L195" s="6"/>
      <c r="M195">
        <v>66</v>
      </c>
      <c r="N195">
        <v>123</v>
      </c>
      <c r="O195">
        <v>108.6001</v>
      </c>
      <c r="P195">
        <v>117.749</v>
      </c>
      <c r="Q195">
        <v>200</v>
      </c>
      <c r="R195">
        <v>200</v>
      </c>
      <c r="S195">
        <v>54.3</v>
      </c>
      <c r="T195">
        <v>58.87</v>
      </c>
      <c r="U195">
        <v>0</v>
      </c>
      <c r="V195">
        <v>0</v>
      </c>
      <c r="W195">
        <v>0</v>
      </c>
      <c r="X195">
        <v>1.0768</v>
      </c>
      <c r="Y195">
        <v>82.251000000000005</v>
      </c>
      <c r="Z195">
        <v>91.399900000000002</v>
      </c>
      <c r="AA195">
        <v>76.38</v>
      </c>
      <c r="AB195" s="6"/>
    </row>
    <row r="196" spans="1:28" x14ac:dyDescent="0.35">
      <c r="A196">
        <v>486</v>
      </c>
      <c r="B196" s="9" t="s">
        <v>292</v>
      </c>
      <c r="C196" s="9" t="s">
        <v>64</v>
      </c>
      <c r="D196" s="9" t="s">
        <v>65</v>
      </c>
      <c r="E196" s="9" t="s">
        <v>47</v>
      </c>
      <c r="F196">
        <v>12</v>
      </c>
      <c r="G196" s="9" t="s">
        <v>242</v>
      </c>
      <c r="H196" s="9" t="s">
        <v>49</v>
      </c>
      <c r="I196" s="9" t="s">
        <v>154</v>
      </c>
      <c r="J196" s="9" t="s">
        <v>155</v>
      </c>
      <c r="K196">
        <v>3</v>
      </c>
      <c r="L196" s="6"/>
      <c r="M196">
        <v>66</v>
      </c>
      <c r="N196">
        <v>123</v>
      </c>
      <c r="O196">
        <v>108.6001</v>
      </c>
      <c r="P196">
        <v>117.749</v>
      </c>
      <c r="Q196">
        <v>200</v>
      </c>
      <c r="R196">
        <v>200</v>
      </c>
      <c r="S196">
        <v>54.3</v>
      </c>
      <c r="T196">
        <v>58.87</v>
      </c>
      <c r="U196">
        <v>0</v>
      </c>
      <c r="V196">
        <v>0</v>
      </c>
      <c r="W196">
        <v>0</v>
      </c>
      <c r="X196">
        <v>1.0768</v>
      </c>
      <c r="Y196">
        <v>82.251000000000005</v>
      </c>
      <c r="Z196">
        <v>91.399900000000002</v>
      </c>
      <c r="AA196">
        <v>76.38</v>
      </c>
      <c r="AB196" s="6"/>
    </row>
    <row r="197" spans="1:28" x14ac:dyDescent="0.35">
      <c r="A197">
        <v>256</v>
      </c>
      <c r="B197" s="9" t="s">
        <v>293</v>
      </c>
      <c r="C197" s="9" t="s">
        <v>45</v>
      </c>
      <c r="D197" s="9" t="s">
        <v>46</v>
      </c>
      <c r="E197" s="9" t="s">
        <v>47</v>
      </c>
      <c r="F197">
        <v>18</v>
      </c>
      <c r="G197" s="9" t="s">
        <v>55</v>
      </c>
      <c r="H197" s="9" t="s">
        <v>56</v>
      </c>
      <c r="I197" s="9" t="s">
        <v>57</v>
      </c>
      <c r="J197" s="9" t="s">
        <v>58</v>
      </c>
      <c r="K197">
        <v>3</v>
      </c>
      <c r="L197" s="6"/>
      <c r="M197">
        <v>29</v>
      </c>
      <c r="N197">
        <v>72</v>
      </c>
      <c r="O197">
        <v>46.533200000000001</v>
      </c>
      <c r="P197">
        <v>87.992699999999999</v>
      </c>
      <c r="Q197">
        <v>150</v>
      </c>
      <c r="R197">
        <v>150</v>
      </c>
      <c r="S197">
        <v>31.02</v>
      </c>
      <c r="T197">
        <v>58.66</v>
      </c>
      <c r="U197">
        <v>0</v>
      </c>
      <c r="V197">
        <v>0</v>
      </c>
      <c r="W197">
        <v>0</v>
      </c>
      <c r="X197">
        <v>1.9127000000000001</v>
      </c>
      <c r="Y197">
        <v>62.007300000000001</v>
      </c>
      <c r="Z197">
        <v>103.46680000000001</v>
      </c>
      <c r="AA197">
        <v>32.42</v>
      </c>
      <c r="AB197" s="6"/>
    </row>
    <row r="198" spans="1:28" x14ac:dyDescent="0.35">
      <c r="A198">
        <v>1164</v>
      </c>
      <c r="B198" s="9" t="s">
        <v>294</v>
      </c>
      <c r="C198" s="9" t="s">
        <v>86</v>
      </c>
      <c r="D198" s="9" t="s">
        <v>87</v>
      </c>
      <c r="E198" s="9" t="s">
        <v>71</v>
      </c>
      <c r="F198">
        <v>6</v>
      </c>
      <c r="G198" s="9" t="s">
        <v>262</v>
      </c>
      <c r="H198" s="9" t="s">
        <v>56</v>
      </c>
      <c r="I198" s="9" t="s">
        <v>154</v>
      </c>
      <c r="J198" s="9" t="s">
        <v>155</v>
      </c>
      <c r="K198">
        <v>1</v>
      </c>
      <c r="L198" s="6"/>
      <c r="M198">
        <v>134</v>
      </c>
      <c r="N198">
        <v>271</v>
      </c>
      <c r="O198">
        <v>204.68389999999999</v>
      </c>
      <c r="P198">
        <v>231.51580000000001</v>
      </c>
      <c r="Q198">
        <v>400</v>
      </c>
      <c r="R198">
        <v>400</v>
      </c>
      <c r="S198">
        <v>51.17</v>
      </c>
      <c r="T198">
        <v>57.88</v>
      </c>
      <c r="U198">
        <v>0</v>
      </c>
      <c r="V198">
        <v>0</v>
      </c>
      <c r="W198">
        <v>0</v>
      </c>
      <c r="X198">
        <v>1.0798000000000001</v>
      </c>
      <c r="Y198">
        <v>168.48419999999999</v>
      </c>
      <c r="Z198">
        <v>195.31610000000001</v>
      </c>
      <c r="AA198">
        <v>156.03</v>
      </c>
      <c r="AB198" s="6"/>
    </row>
    <row r="199" spans="1:28" x14ac:dyDescent="0.35">
      <c r="A199">
        <v>1052</v>
      </c>
      <c r="B199" s="9" t="s">
        <v>295</v>
      </c>
      <c r="C199" s="9" t="s">
        <v>64</v>
      </c>
      <c r="D199" s="9" t="s">
        <v>65</v>
      </c>
      <c r="E199" s="9" t="s">
        <v>47</v>
      </c>
      <c r="F199">
        <v>12</v>
      </c>
      <c r="G199" s="9" t="s">
        <v>88</v>
      </c>
      <c r="H199" s="9" t="s">
        <v>56</v>
      </c>
      <c r="I199" s="9" t="s">
        <v>89</v>
      </c>
      <c r="J199" s="9" t="s">
        <v>90</v>
      </c>
      <c r="K199">
        <v>4</v>
      </c>
      <c r="L199" s="6"/>
      <c r="M199">
        <v>63</v>
      </c>
      <c r="N199">
        <v>481</v>
      </c>
      <c r="O199">
        <v>62.300400000000003</v>
      </c>
      <c r="P199">
        <v>114.80800000000001</v>
      </c>
      <c r="Q199">
        <v>200</v>
      </c>
      <c r="R199">
        <v>200</v>
      </c>
      <c r="S199">
        <v>31.15</v>
      </c>
      <c r="T199">
        <v>57.4</v>
      </c>
      <c r="U199">
        <v>0</v>
      </c>
      <c r="V199">
        <v>0</v>
      </c>
      <c r="W199">
        <v>0</v>
      </c>
      <c r="X199">
        <v>1.9149</v>
      </c>
      <c r="Y199">
        <v>85.191999999999993</v>
      </c>
      <c r="Z199">
        <v>137.6996</v>
      </c>
      <c r="AA199">
        <v>44.49</v>
      </c>
      <c r="AB199" s="6"/>
    </row>
    <row r="200" spans="1:28" x14ac:dyDescent="0.35">
      <c r="A200">
        <v>1323</v>
      </c>
      <c r="B200" s="9" t="s">
        <v>296</v>
      </c>
      <c r="C200" s="9" t="s">
        <v>86</v>
      </c>
      <c r="D200" s="9" t="s">
        <v>87</v>
      </c>
      <c r="E200" s="9" t="s">
        <v>71</v>
      </c>
      <c r="F200">
        <v>6</v>
      </c>
      <c r="G200" s="9" t="s">
        <v>72</v>
      </c>
      <c r="H200" s="9" t="s">
        <v>56</v>
      </c>
      <c r="I200" s="9" t="s">
        <v>50</v>
      </c>
      <c r="J200" s="9" t="s">
        <v>51</v>
      </c>
      <c r="K200">
        <v>1</v>
      </c>
      <c r="L200" s="6"/>
      <c r="M200">
        <v>66</v>
      </c>
      <c r="N200">
        <v>110</v>
      </c>
      <c r="O200">
        <v>112.78319999999999</v>
      </c>
      <c r="P200">
        <v>229.46109999999999</v>
      </c>
      <c r="Q200">
        <v>400</v>
      </c>
      <c r="R200">
        <v>400</v>
      </c>
      <c r="S200">
        <v>28.2</v>
      </c>
      <c r="T200">
        <v>57.37</v>
      </c>
      <c r="U200">
        <v>0</v>
      </c>
      <c r="V200">
        <v>0</v>
      </c>
      <c r="W200">
        <v>0</v>
      </c>
      <c r="X200">
        <v>1.9079999999999999</v>
      </c>
      <c r="Y200">
        <v>170.53890000000001</v>
      </c>
      <c r="Z200">
        <v>287.21679999999998</v>
      </c>
      <c r="AA200">
        <v>89.38</v>
      </c>
      <c r="AB200" s="6"/>
    </row>
    <row r="201" spans="1:28" x14ac:dyDescent="0.35">
      <c r="A201">
        <v>81</v>
      </c>
      <c r="B201" s="9" t="s">
        <v>297</v>
      </c>
      <c r="C201" s="9" t="s">
        <v>64</v>
      </c>
      <c r="D201" s="9" t="s">
        <v>65</v>
      </c>
      <c r="E201" s="9" t="s">
        <v>47</v>
      </c>
      <c r="F201">
        <v>12</v>
      </c>
      <c r="G201" s="9" t="s">
        <v>62</v>
      </c>
      <c r="H201" s="9" t="s">
        <v>56</v>
      </c>
      <c r="I201" s="9" t="s">
        <v>50</v>
      </c>
      <c r="J201" s="9" t="s">
        <v>51</v>
      </c>
      <c r="K201">
        <v>1</v>
      </c>
      <c r="L201" s="6"/>
      <c r="M201">
        <v>32</v>
      </c>
      <c r="N201">
        <v>51</v>
      </c>
      <c r="O201">
        <v>50.149900000000002</v>
      </c>
      <c r="P201">
        <v>113.4683</v>
      </c>
      <c r="Q201">
        <v>200</v>
      </c>
      <c r="R201">
        <v>200</v>
      </c>
      <c r="S201">
        <v>25.07</v>
      </c>
      <c r="T201">
        <v>56.73</v>
      </c>
      <c r="U201">
        <v>0</v>
      </c>
      <c r="V201">
        <v>0</v>
      </c>
      <c r="W201">
        <v>0</v>
      </c>
      <c r="X201">
        <v>2.2806999999999999</v>
      </c>
      <c r="Y201">
        <v>86.531700000000001</v>
      </c>
      <c r="Z201">
        <v>149.8501</v>
      </c>
      <c r="AA201">
        <v>37.94</v>
      </c>
      <c r="AB201" s="6"/>
    </row>
    <row r="202" spans="1:28" x14ac:dyDescent="0.35">
      <c r="A202">
        <v>89</v>
      </c>
      <c r="B202" s="9" t="s">
        <v>298</v>
      </c>
      <c r="C202" s="9" t="s">
        <v>64</v>
      </c>
      <c r="D202" s="9" t="s">
        <v>65</v>
      </c>
      <c r="E202" s="9" t="s">
        <v>47</v>
      </c>
      <c r="F202">
        <v>12</v>
      </c>
      <c r="G202" s="9" t="s">
        <v>62</v>
      </c>
      <c r="H202" s="9" t="s">
        <v>56</v>
      </c>
      <c r="I202" s="9" t="s">
        <v>50</v>
      </c>
      <c r="J202" s="9" t="s">
        <v>51</v>
      </c>
      <c r="K202">
        <v>3</v>
      </c>
      <c r="L202" s="6"/>
      <c r="M202">
        <v>32</v>
      </c>
      <c r="N202">
        <v>51</v>
      </c>
      <c r="O202">
        <v>50.149900000000002</v>
      </c>
      <c r="P202">
        <v>113.4683</v>
      </c>
      <c r="Q202">
        <v>200</v>
      </c>
      <c r="R202">
        <v>200</v>
      </c>
      <c r="S202">
        <v>25.07</v>
      </c>
      <c r="T202">
        <v>56.73</v>
      </c>
      <c r="U202">
        <v>0</v>
      </c>
      <c r="V202">
        <v>0</v>
      </c>
      <c r="W202">
        <v>0</v>
      </c>
      <c r="X202">
        <v>2.2806999999999999</v>
      </c>
      <c r="Y202">
        <v>86.531700000000001</v>
      </c>
      <c r="Z202">
        <v>149.8501</v>
      </c>
      <c r="AA202">
        <v>37.94</v>
      </c>
      <c r="AB202" s="6"/>
    </row>
    <row r="203" spans="1:28" x14ac:dyDescent="0.35">
      <c r="A203">
        <v>1067</v>
      </c>
      <c r="B203" s="9" t="s">
        <v>299</v>
      </c>
      <c r="C203" s="9" t="s">
        <v>86</v>
      </c>
      <c r="D203" s="9" t="s">
        <v>87</v>
      </c>
      <c r="E203" s="9" t="s">
        <v>71</v>
      </c>
      <c r="F203">
        <v>6</v>
      </c>
      <c r="G203" s="9" t="s">
        <v>161</v>
      </c>
      <c r="H203" s="9" t="s">
        <v>82</v>
      </c>
      <c r="I203" s="9" t="s">
        <v>154</v>
      </c>
      <c r="J203" s="9" t="s">
        <v>155</v>
      </c>
      <c r="K203">
        <v>1</v>
      </c>
      <c r="L203" s="6"/>
      <c r="M203">
        <v>125</v>
      </c>
      <c r="N203">
        <v>298</v>
      </c>
      <c r="O203">
        <v>181.90029999999999</v>
      </c>
      <c r="P203">
        <v>224.58869999999999</v>
      </c>
      <c r="Q203">
        <v>400</v>
      </c>
      <c r="R203">
        <v>400</v>
      </c>
      <c r="S203">
        <v>45.48</v>
      </c>
      <c r="T203">
        <v>56.15</v>
      </c>
      <c r="U203">
        <v>0</v>
      </c>
      <c r="V203">
        <v>0</v>
      </c>
      <c r="W203">
        <v>0</v>
      </c>
      <c r="X203">
        <v>1.2703</v>
      </c>
      <c r="Y203">
        <v>175.41130000000001</v>
      </c>
      <c r="Z203">
        <v>218.09970000000001</v>
      </c>
      <c r="AA203">
        <v>138.09</v>
      </c>
      <c r="AB203" s="6"/>
    </row>
    <row r="204" spans="1:28" x14ac:dyDescent="0.35">
      <c r="A204">
        <v>909</v>
      </c>
      <c r="B204" s="9" t="s">
        <v>300</v>
      </c>
      <c r="C204" s="9" t="s">
        <v>45</v>
      </c>
      <c r="D204" s="9" t="s">
        <v>46</v>
      </c>
      <c r="E204" s="9" t="s">
        <v>47</v>
      </c>
      <c r="F204">
        <v>18</v>
      </c>
      <c r="G204" s="9" t="s">
        <v>77</v>
      </c>
      <c r="H204" s="9" t="s">
        <v>49</v>
      </c>
      <c r="I204" s="9" t="s">
        <v>50</v>
      </c>
      <c r="J204" s="9" t="s">
        <v>51</v>
      </c>
      <c r="K204">
        <v>4</v>
      </c>
      <c r="L204" s="6"/>
      <c r="M204">
        <v>24</v>
      </c>
      <c r="N204">
        <v>45</v>
      </c>
      <c r="O204">
        <v>37.633299999999998</v>
      </c>
      <c r="P204">
        <v>84.118700000000004</v>
      </c>
      <c r="Q204">
        <v>150</v>
      </c>
      <c r="R204">
        <v>150</v>
      </c>
      <c r="S204">
        <v>25.09</v>
      </c>
      <c r="T204">
        <v>56.08</v>
      </c>
      <c r="U204">
        <v>0</v>
      </c>
      <c r="V204">
        <v>0</v>
      </c>
      <c r="W204">
        <v>0</v>
      </c>
      <c r="X204">
        <v>2.1968999999999999</v>
      </c>
      <c r="Y204">
        <v>65.881299999999996</v>
      </c>
      <c r="Z204">
        <v>112.36669999999999</v>
      </c>
      <c r="AA204">
        <v>29.99</v>
      </c>
      <c r="AB204" s="6"/>
    </row>
    <row r="205" spans="1:28" x14ac:dyDescent="0.35">
      <c r="A205">
        <v>1311</v>
      </c>
      <c r="B205" s="9" t="s">
        <v>301</v>
      </c>
      <c r="C205" s="9" t="s">
        <v>45</v>
      </c>
      <c r="D205" s="9" t="s">
        <v>46</v>
      </c>
      <c r="E205" s="9" t="s">
        <v>47</v>
      </c>
      <c r="F205">
        <v>18</v>
      </c>
      <c r="G205" s="9" t="s">
        <v>112</v>
      </c>
      <c r="H205" s="9" t="s">
        <v>56</v>
      </c>
      <c r="I205" s="9" t="s">
        <v>89</v>
      </c>
      <c r="J205" s="9" t="s">
        <v>90</v>
      </c>
      <c r="K205">
        <v>1</v>
      </c>
      <c r="L205" s="6"/>
      <c r="M205">
        <v>44</v>
      </c>
      <c r="N205">
        <v>383</v>
      </c>
      <c r="O205">
        <v>42.233600000000003</v>
      </c>
      <c r="P205">
        <v>83.967299999999994</v>
      </c>
      <c r="Q205">
        <v>150</v>
      </c>
      <c r="R205">
        <v>150</v>
      </c>
      <c r="S205">
        <v>28.16</v>
      </c>
      <c r="T205">
        <v>55.98</v>
      </c>
      <c r="U205">
        <v>0</v>
      </c>
      <c r="V205">
        <v>0</v>
      </c>
      <c r="W205">
        <v>0</v>
      </c>
      <c r="X205">
        <v>1.9300999999999999</v>
      </c>
      <c r="Y205">
        <v>66.032700000000006</v>
      </c>
      <c r="Z205">
        <v>107.7664</v>
      </c>
      <c r="AA205">
        <v>34.21</v>
      </c>
      <c r="AB205" s="6"/>
    </row>
    <row r="206" spans="1:28" x14ac:dyDescent="0.35">
      <c r="A206">
        <v>1218</v>
      </c>
      <c r="B206" s="9" t="s">
        <v>302</v>
      </c>
      <c r="C206" s="9" t="s">
        <v>45</v>
      </c>
      <c r="D206" s="9" t="s">
        <v>46</v>
      </c>
      <c r="E206" s="9" t="s">
        <v>47</v>
      </c>
      <c r="F206">
        <v>18</v>
      </c>
      <c r="G206" s="9" t="s">
        <v>262</v>
      </c>
      <c r="H206" s="9" t="s">
        <v>56</v>
      </c>
      <c r="I206" s="9" t="s">
        <v>154</v>
      </c>
      <c r="J206" s="9" t="s">
        <v>155</v>
      </c>
      <c r="K206">
        <v>4</v>
      </c>
      <c r="L206" s="6"/>
      <c r="M206">
        <v>48</v>
      </c>
      <c r="N206">
        <v>99</v>
      </c>
      <c r="O206">
        <v>73.983500000000006</v>
      </c>
      <c r="P206">
        <v>83.3369</v>
      </c>
      <c r="Q206">
        <v>150</v>
      </c>
      <c r="R206">
        <v>150</v>
      </c>
      <c r="S206">
        <v>49.32</v>
      </c>
      <c r="T206">
        <v>55.56</v>
      </c>
      <c r="U206">
        <v>0</v>
      </c>
      <c r="V206">
        <v>0</v>
      </c>
      <c r="W206">
        <v>0</v>
      </c>
      <c r="X206">
        <v>1.0798000000000001</v>
      </c>
      <c r="Y206">
        <v>66.6631</v>
      </c>
      <c r="Z206">
        <v>76.016499999999994</v>
      </c>
      <c r="AA206">
        <v>61.74</v>
      </c>
      <c r="AB206" s="6"/>
    </row>
    <row r="207" spans="1:28" x14ac:dyDescent="0.35">
      <c r="A207">
        <v>44</v>
      </c>
      <c r="B207" s="9" t="s">
        <v>303</v>
      </c>
      <c r="C207" s="9" t="s">
        <v>45</v>
      </c>
      <c r="D207" s="9" t="s">
        <v>46</v>
      </c>
      <c r="E207" s="9" t="s">
        <v>47</v>
      </c>
      <c r="F207">
        <v>18</v>
      </c>
      <c r="G207" s="9" t="s">
        <v>99</v>
      </c>
      <c r="H207" s="9" t="s">
        <v>56</v>
      </c>
      <c r="I207" s="9" t="s">
        <v>57</v>
      </c>
      <c r="J207" s="9" t="s">
        <v>58</v>
      </c>
      <c r="K207">
        <v>2</v>
      </c>
      <c r="L207" s="6"/>
      <c r="M207">
        <v>23</v>
      </c>
      <c r="N207">
        <v>47</v>
      </c>
      <c r="O207">
        <v>39.600200000000001</v>
      </c>
      <c r="P207">
        <v>83.181700000000006</v>
      </c>
      <c r="Q207">
        <v>150</v>
      </c>
      <c r="R207">
        <v>150</v>
      </c>
      <c r="S207">
        <v>26.4</v>
      </c>
      <c r="T207">
        <v>55.45</v>
      </c>
      <c r="U207">
        <v>0</v>
      </c>
      <c r="V207">
        <v>0</v>
      </c>
      <c r="W207">
        <v>0</v>
      </c>
      <c r="X207">
        <v>2.0638000000000001</v>
      </c>
      <c r="Y207">
        <v>66.818299999999994</v>
      </c>
      <c r="Z207">
        <v>110.3998</v>
      </c>
      <c r="AA207">
        <v>32.380000000000003</v>
      </c>
      <c r="AB207" s="6"/>
    </row>
    <row r="208" spans="1:28" x14ac:dyDescent="0.35">
      <c r="A208">
        <v>110</v>
      </c>
      <c r="B208" s="9" t="s">
        <v>304</v>
      </c>
      <c r="C208" s="9" t="s">
        <v>45</v>
      </c>
      <c r="D208" s="9" t="s">
        <v>46</v>
      </c>
      <c r="E208" s="9" t="s">
        <v>47</v>
      </c>
      <c r="F208">
        <v>18</v>
      </c>
      <c r="G208" s="9" t="s">
        <v>62</v>
      </c>
      <c r="H208" s="9" t="s">
        <v>56</v>
      </c>
      <c r="I208" s="9" t="s">
        <v>50</v>
      </c>
      <c r="J208" s="9" t="s">
        <v>51</v>
      </c>
      <c r="K208">
        <v>3</v>
      </c>
      <c r="L208" s="6"/>
      <c r="M208">
        <v>23</v>
      </c>
      <c r="N208">
        <v>38</v>
      </c>
      <c r="O208">
        <v>36.016599999999997</v>
      </c>
      <c r="P208">
        <v>82.892200000000003</v>
      </c>
      <c r="Q208">
        <v>150</v>
      </c>
      <c r="R208">
        <v>150</v>
      </c>
      <c r="S208">
        <v>24.01</v>
      </c>
      <c r="T208">
        <v>55.26</v>
      </c>
      <c r="U208">
        <v>0</v>
      </c>
      <c r="V208">
        <v>0</v>
      </c>
      <c r="W208">
        <v>0</v>
      </c>
      <c r="X208">
        <v>2.2806999999999999</v>
      </c>
      <c r="Y208">
        <v>67.107799999999997</v>
      </c>
      <c r="Z208">
        <v>113.9834</v>
      </c>
      <c r="AA208">
        <v>29.42</v>
      </c>
      <c r="AB208" s="6"/>
    </row>
    <row r="209" spans="1:28" x14ac:dyDescent="0.35">
      <c r="A209">
        <v>1529</v>
      </c>
      <c r="B209" s="9" t="s">
        <v>305</v>
      </c>
      <c r="C209" s="9" t="s">
        <v>64</v>
      </c>
      <c r="D209" s="9" t="s">
        <v>65</v>
      </c>
      <c r="E209" s="9" t="s">
        <v>47</v>
      </c>
      <c r="F209">
        <v>12</v>
      </c>
      <c r="G209" s="9" t="s">
        <v>178</v>
      </c>
      <c r="H209" s="9" t="s">
        <v>56</v>
      </c>
      <c r="I209" s="9" t="s">
        <v>154</v>
      </c>
      <c r="J209" s="9" t="s">
        <v>155</v>
      </c>
      <c r="K209">
        <v>3</v>
      </c>
      <c r="L209" s="6"/>
      <c r="M209">
        <v>67</v>
      </c>
      <c r="N209">
        <v>126</v>
      </c>
      <c r="O209">
        <v>100.2499</v>
      </c>
      <c r="P209">
        <v>109.88590000000001</v>
      </c>
      <c r="Q209">
        <v>200</v>
      </c>
      <c r="R209">
        <v>200</v>
      </c>
      <c r="S209">
        <v>50.12</v>
      </c>
      <c r="T209">
        <v>54.94</v>
      </c>
      <c r="U209">
        <v>0</v>
      </c>
      <c r="V209">
        <v>0</v>
      </c>
      <c r="W209">
        <v>0</v>
      </c>
      <c r="X209">
        <v>1.1561999999999999</v>
      </c>
      <c r="Y209">
        <v>90.114099999999993</v>
      </c>
      <c r="Z209">
        <v>99.750100000000003</v>
      </c>
      <c r="AA209">
        <v>77.94</v>
      </c>
      <c r="AB209" s="6"/>
    </row>
    <row r="210" spans="1:28" x14ac:dyDescent="0.35">
      <c r="A210">
        <v>1130</v>
      </c>
      <c r="B210" s="9" t="s">
        <v>306</v>
      </c>
      <c r="C210" s="9" t="s">
        <v>127</v>
      </c>
      <c r="D210" s="9" t="s">
        <v>128</v>
      </c>
      <c r="E210" s="9" t="s">
        <v>129</v>
      </c>
      <c r="F210">
        <v>4</v>
      </c>
      <c r="G210" s="9" t="s">
        <v>153</v>
      </c>
      <c r="H210" s="9" t="s">
        <v>82</v>
      </c>
      <c r="I210" s="9" t="s">
        <v>154</v>
      </c>
      <c r="J210" s="9" t="s">
        <v>155</v>
      </c>
      <c r="K210">
        <v>1</v>
      </c>
      <c r="L210" s="6"/>
      <c r="M210">
        <v>76</v>
      </c>
      <c r="N210">
        <v>155</v>
      </c>
      <c r="O210">
        <v>112.5664</v>
      </c>
      <c r="P210">
        <v>137.18539999999999</v>
      </c>
      <c r="Q210">
        <v>250</v>
      </c>
      <c r="R210">
        <v>250</v>
      </c>
      <c r="S210">
        <v>45.03</v>
      </c>
      <c r="T210">
        <v>54.87</v>
      </c>
      <c r="U210">
        <v>0</v>
      </c>
      <c r="V210">
        <v>0</v>
      </c>
      <c r="W210">
        <v>0</v>
      </c>
      <c r="X210">
        <v>1.2827</v>
      </c>
      <c r="Y210">
        <v>112.8146</v>
      </c>
      <c r="Z210">
        <v>137.43360000000001</v>
      </c>
      <c r="AA210">
        <v>87.95</v>
      </c>
      <c r="AB210" s="6"/>
    </row>
    <row r="211" spans="1:28" x14ac:dyDescent="0.35">
      <c r="A211">
        <v>321</v>
      </c>
      <c r="B211" s="9" t="s">
        <v>307</v>
      </c>
      <c r="C211" s="9" t="s">
        <v>69</v>
      </c>
      <c r="D211" s="9" t="s">
        <v>70</v>
      </c>
      <c r="E211" s="9" t="s">
        <v>71</v>
      </c>
      <c r="F211">
        <v>24</v>
      </c>
      <c r="G211" s="9" t="s">
        <v>93</v>
      </c>
      <c r="H211" s="9" t="s">
        <v>49</v>
      </c>
      <c r="I211" s="9" t="s">
        <v>89</v>
      </c>
      <c r="J211" s="9" t="s">
        <v>90</v>
      </c>
      <c r="K211">
        <v>1</v>
      </c>
      <c r="L211" s="6"/>
      <c r="M211">
        <v>88</v>
      </c>
      <c r="N211">
        <v>671</v>
      </c>
      <c r="O211">
        <v>89.766499999999994</v>
      </c>
      <c r="P211">
        <v>162.8509</v>
      </c>
      <c r="Q211">
        <v>300</v>
      </c>
      <c r="R211">
        <v>300</v>
      </c>
      <c r="S211">
        <v>29.92</v>
      </c>
      <c r="T211">
        <v>54.28</v>
      </c>
      <c r="U211">
        <v>0</v>
      </c>
      <c r="V211">
        <v>0</v>
      </c>
      <c r="W211">
        <v>0</v>
      </c>
      <c r="X211">
        <v>1.7137</v>
      </c>
      <c r="Y211">
        <v>137.1491</v>
      </c>
      <c r="Z211">
        <v>210.23349999999999</v>
      </c>
      <c r="AA211">
        <v>80.03</v>
      </c>
      <c r="AB211" s="6"/>
    </row>
    <row r="212" spans="1:28" x14ac:dyDescent="0.35">
      <c r="A212">
        <v>342</v>
      </c>
      <c r="B212" s="9" t="s">
        <v>308</v>
      </c>
      <c r="C212" s="9" t="s">
        <v>45</v>
      </c>
      <c r="D212" s="9" t="s">
        <v>46</v>
      </c>
      <c r="E212" s="9" t="s">
        <v>47</v>
      </c>
      <c r="F212">
        <v>18</v>
      </c>
      <c r="G212" s="9" t="s">
        <v>93</v>
      </c>
      <c r="H212" s="9" t="s">
        <v>49</v>
      </c>
      <c r="I212" s="9" t="s">
        <v>89</v>
      </c>
      <c r="J212" s="9" t="s">
        <v>90</v>
      </c>
      <c r="K212">
        <v>3</v>
      </c>
      <c r="L212" s="6"/>
      <c r="M212">
        <v>43</v>
      </c>
      <c r="N212">
        <v>325</v>
      </c>
      <c r="O212">
        <v>45.299900000000001</v>
      </c>
      <c r="P212">
        <v>81.0685</v>
      </c>
      <c r="Q212">
        <v>150</v>
      </c>
      <c r="R212">
        <v>150</v>
      </c>
      <c r="S212">
        <v>30.2</v>
      </c>
      <c r="T212">
        <v>54.05</v>
      </c>
      <c r="U212">
        <v>0</v>
      </c>
      <c r="V212">
        <v>0</v>
      </c>
      <c r="W212">
        <v>0</v>
      </c>
      <c r="X212">
        <v>1.7137</v>
      </c>
      <c r="Y212">
        <v>68.9315</v>
      </c>
      <c r="Z212">
        <v>104.70010000000001</v>
      </c>
      <c r="AA212">
        <v>40.22</v>
      </c>
      <c r="AB212" s="6"/>
    </row>
    <row r="213" spans="1:28" x14ac:dyDescent="0.35">
      <c r="A213">
        <v>730</v>
      </c>
      <c r="B213" s="9" t="s">
        <v>309</v>
      </c>
      <c r="C213" s="9" t="s">
        <v>64</v>
      </c>
      <c r="D213" s="9" t="s">
        <v>65</v>
      </c>
      <c r="E213" s="9" t="s">
        <v>47</v>
      </c>
      <c r="F213">
        <v>12</v>
      </c>
      <c r="G213" s="9" t="s">
        <v>95</v>
      </c>
      <c r="H213" s="9" t="s">
        <v>49</v>
      </c>
      <c r="I213" s="9" t="s">
        <v>57</v>
      </c>
      <c r="J213" s="9" t="s">
        <v>58</v>
      </c>
      <c r="K213">
        <v>4</v>
      </c>
      <c r="L213" s="6"/>
      <c r="M213">
        <v>32</v>
      </c>
      <c r="N213">
        <v>65</v>
      </c>
      <c r="O213">
        <v>55.100099999999998</v>
      </c>
      <c r="P213">
        <v>106.21680000000001</v>
      </c>
      <c r="Q213">
        <v>200</v>
      </c>
      <c r="R213">
        <v>200</v>
      </c>
      <c r="S213">
        <v>27.55</v>
      </c>
      <c r="T213">
        <v>53.11</v>
      </c>
      <c r="U213">
        <v>0</v>
      </c>
      <c r="V213">
        <v>0</v>
      </c>
      <c r="W213">
        <v>0</v>
      </c>
      <c r="X213">
        <v>1.9216</v>
      </c>
      <c r="Y213">
        <v>93.783199999999994</v>
      </c>
      <c r="Z213">
        <v>144.8999</v>
      </c>
      <c r="AA213">
        <v>48.8</v>
      </c>
      <c r="AB213" s="6"/>
    </row>
    <row r="214" spans="1:28" x14ac:dyDescent="0.35">
      <c r="A214">
        <v>1490</v>
      </c>
      <c r="B214" s="9" t="s">
        <v>310</v>
      </c>
      <c r="C214" s="9" t="s">
        <v>45</v>
      </c>
      <c r="D214" s="9" t="s">
        <v>46</v>
      </c>
      <c r="E214" s="9" t="s">
        <v>47</v>
      </c>
      <c r="F214">
        <v>18</v>
      </c>
      <c r="G214" s="9" t="s">
        <v>67</v>
      </c>
      <c r="H214" s="9" t="s">
        <v>56</v>
      </c>
      <c r="I214" s="9" t="s">
        <v>57</v>
      </c>
      <c r="J214" s="9" t="s">
        <v>58</v>
      </c>
      <c r="K214">
        <v>1</v>
      </c>
      <c r="L214" s="6"/>
      <c r="M214">
        <v>23</v>
      </c>
      <c r="N214">
        <v>68</v>
      </c>
      <c r="O214">
        <v>40.15</v>
      </c>
      <c r="P214">
        <v>79.229699999999994</v>
      </c>
      <c r="Q214">
        <v>150</v>
      </c>
      <c r="R214">
        <v>150</v>
      </c>
      <c r="S214">
        <v>26.77</v>
      </c>
      <c r="T214">
        <v>52.82</v>
      </c>
      <c r="U214">
        <v>0</v>
      </c>
      <c r="V214">
        <v>0</v>
      </c>
      <c r="W214">
        <v>0</v>
      </c>
      <c r="X214">
        <v>1.9626999999999999</v>
      </c>
      <c r="Y214">
        <v>70.770300000000006</v>
      </c>
      <c r="Z214">
        <v>109.85</v>
      </c>
      <c r="AA214">
        <v>36.06</v>
      </c>
      <c r="AB214" s="6"/>
    </row>
    <row r="215" spans="1:28" x14ac:dyDescent="0.35">
      <c r="A215">
        <v>361</v>
      </c>
      <c r="B215" s="9" t="s">
        <v>311</v>
      </c>
      <c r="C215" s="9" t="s">
        <v>69</v>
      </c>
      <c r="D215" s="9" t="s">
        <v>70</v>
      </c>
      <c r="E215" s="9" t="s">
        <v>71</v>
      </c>
      <c r="F215">
        <v>24</v>
      </c>
      <c r="G215" s="9" t="s">
        <v>48</v>
      </c>
      <c r="H215" s="9" t="s">
        <v>49</v>
      </c>
      <c r="I215" s="9" t="s">
        <v>50</v>
      </c>
      <c r="J215" s="9" t="s">
        <v>51</v>
      </c>
      <c r="K215">
        <v>1</v>
      </c>
      <c r="L215" s="6"/>
      <c r="M215">
        <v>45</v>
      </c>
      <c r="N215">
        <v>90</v>
      </c>
      <c r="O215">
        <v>72.583100000000002</v>
      </c>
      <c r="P215">
        <v>157.19479999999999</v>
      </c>
      <c r="Q215">
        <v>300</v>
      </c>
      <c r="R215">
        <v>300</v>
      </c>
      <c r="S215">
        <v>24.19</v>
      </c>
      <c r="T215">
        <v>52.4</v>
      </c>
      <c r="U215">
        <v>0</v>
      </c>
      <c r="V215">
        <v>0</v>
      </c>
      <c r="W215">
        <v>0</v>
      </c>
      <c r="X215">
        <v>2.3105000000000002</v>
      </c>
      <c r="Y215">
        <v>142.80520000000001</v>
      </c>
      <c r="Z215">
        <v>227.4169</v>
      </c>
      <c r="AA215">
        <v>61.81</v>
      </c>
      <c r="AB215" s="6"/>
    </row>
    <row r="216" spans="1:28" x14ac:dyDescent="0.35">
      <c r="A216">
        <v>930</v>
      </c>
      <c r="B216" s="9" t="s">
        <v>312</v>
      </c>
      <c r="C216" s="9" t="s">
        <v>69</v>
      </c>
      <c r="D216" s="9" t="s">
        <v>70</v>
      </c>
      <c r="E216" s="9" t="s">
        <v>71</v>
      </c>
      <c r="F216">
        <v>24</v>
      </c>
      <c r="G216" s="9" t="s">
        <v>190</v>
      </c>
      <c r="H216" s="9" t="s">
        <v>56</v>
      </c>
      <c r="I216" s="9" t="s">
        <v>57</v>
      </c>
      <c r="J216" s="9" t="s">
        <v>58</v>
      </c>
      <c r="K216">
        <v>1</v>
      </c>
      <c r="L216" s="6"/>
      <c r="M216">
        <v>51</v>
      </c>
      <c r="N216">
        <v>140</v>
      </c>
      <c r="O216">
        <v>82.9833</v>
      </c>
      <c r="P216">
        <v>156.32480000000001</v>
      </c>
      <c r="Q216">
        <v>300</v>
      </c>
      <c r="R216">
        <v>300</v>
      </c>
      <c r="S216">
        <v>27.66</v>
      </c>
      <c r="T216">
        <v>52.11</v>
      </c>
      <c r="U216">
        <v>0</v>
      </c>
      <c r="V216">
        <v>0</v>
      </c>
      <c r="W216">
        <v>0</v>
      </c>
      <c r="X216">
        <v>1.8878999999999999</v>
      </c>
      <c r="Y216">
        <v>143.67519999999999</v>
      </c>
      <c r="Z216">
        <v>217.01669999999999</v>
      </c>
      <c r="AA216">
        <v>76.099999999999994</v>
      </c>
      <c r="AB216" s="6"/>
    </row>
    <row r="217" spans="1:28" x14ac:dyDescent="0.35">
      <c r="A217">
        <v>1286</v>
      </c>
      <c r="B217" s="9" t="s">
        <v>313</v>
      </c>
      <c r="C217" s="9" t="s">
        <v>86</v>
      </c>
      <c r="D217" s="9" t="s">
        <v>87</v>
      </c>
      <c r="E217" s="9" t="s">
        <v>71</v>
      </c>
      <c r="F217">
        <v>6</v>
      </c>
      <c r="G217" s="9" t="s">
        <v>112</v>
      </c>
      <c r="H217" s="9" t="s">
        <v>56</v>
      </c>
      <c r="I217" s="9" t="s">
        <v>89</v>
      </c>
      <c r="J217" s="9" t="s">
        <v>90</v>
      </c>
      <c r="K217">
        <v>1</v>
      </c>
      <c r="L217" s="6"/>
      <c r="M217">
        <v>112</v>
      </c>
      <c r="N217">
        <v>892</v>
      </c>
      <c r="O217">
        <v>110.4004</v>
      </c>
      <c r="P217">
        <v>207.96960000000001</v>
      </c>
      <c r="Q217">
        <v>400</v>
      </c>
      <c r="R217">
        <v>400</v>
      </c>
      <c r="S217">
        <v>27.6</v>
      </c>
      <c r="T217">
        <v>51.99</v>
      </c>
      <c r="U217">
        <v>0</v>
      </c>
      <c r="V217">
        <v>0</v>
      </c>
      <c r="W217">
        <v>0</v>
      </c>
      <c r="X217">
        <v>1.9300999999999999</v>
      </c>
      <c r="Y217">
        <v>192.03039999999999</v>
      </c>
      <c r="Z217">
        <v>289.59960000000001</v>
      </c>
      <c r="AA217">
        <v>99.49</v>
      </c>
      <c r="AB217" s="6"/>
    </row>
    <row r="218" spans="1:28" x14ac:dyDescent="0.35">
      <c r="A218">
        <v>664</v>
      </c>
      <c r="B218" s="9" t="s">
        <v>314</v>
      </c>
      <c r="C218" s="9" t="s">
        <v>64</v>
      </c>
      <c r="D218" s="9" t="s">
        <v>65</v>
      </c>
      <c r="E218" s="9" t="s">
        <v>47</v>
      </c>
      <c r="F218">
        <v>12</v>
      </c>
      <c r="G218" s="9" t="s">
        <v>81</v>
      </c>
      <c r="H218" s="9" t="s">
        <v>82</v>
      </c>
      <c r="I218" s="9" t="s">
        <v>57</v>
      </c>
      <c r="J218" s="9" t="s">
        <v>58</v>
      </c>
      <c r="K218">
        <v>1</v>
      </c>
      <c r="L218" s="6"/>
      <c r="M218">
        <v>34</v>
      </c>
      <c r="N218">
        <v>99</v>
      </c>
      <c r="O218">
        <v>55.216700000000003</v>
      </c>
      <c r="P218">
        <v>103.8553</v>
      </c>
      <c r="Q218">
        <v>200</v>
      </c>
      <c r="R218">
        <v>200</v>
      </c>
      <c r="S218">
        <v>27.61</v>
      </c>
      <c r="T218">
        <v>51.93</v>
      </c>
      <c r="U218">
        <v>0</v>
      </c>
      <c r="V218">
        <v>0</v>
      </c>
      <c r="W218">
        <v>0</v>
      </c>
      <c r="X218">
        <v>1.8671</v>
      </c>
      <c r="Y218">
        <v>96.1447</v>
      </c>
      <c r="Z218">
        <v>144.7833</v>
      </c>
      <c r="AA218">
        <v>51.49</v>
      </c>
      <c r="AB218" s="6"/>
    </row>
    <row r="219" spans="1:28" x14ac:dyDescent="0.35">
      <c r="A219">
        <v>70</v>
      </c>
      <c r="B219" s="9" t="s">
        <v>315</v>
      </c>
      <c r="C219" s="9" t="s">
        <v>53</v>
      </c>
      <c r="D219" s="9" t="s">
        <v>54</v>
      </c>
      <c r="E219" s="9" t="s">
        <v>47</v>
      </c>
      <c r="F219">
        <v>8</v>
      </c>
      <c r="G219" s="9" t="s">
        <v>62</v>
      </c>
      <c r="H219" s="9" t="s">
        <v>56</v>
      </c>
      <c r="I219" s="9" t="s">
        <v>50</v>
      </c>
      <c r="J219" s="9" t="s">
        <v>51</v>
      </c>
      <c r="K219">
        <v>2</v>
      </c>
      <c r="L219" s="6"/>
      <c r="M219">
        <v>16</v>
      </c>
      <c r="N219">
        <v>26</v>
      </c>
      <c r="O219">
        <v>26.833300000000001</v>
      </c>
      <c r="P219">
        <v>62.254899999999999</v>
      </c>
      <c r="Q219">
        <v>120</v>
      </c>
      <c r="R219">
        <v>120</v>
      </c>
      <c r="S219">
        <v>22.36</v>
      </c>
      <c r="T219">
        <v>51.88</v>
      </c>
      <c r="U219">
        <v>0</v>
      </c>
      <c r="V219">
        <v>0</v>
      </c>
      <c r="W219">
        <v>0</v>
      </c>
      <c r="X219">
        <v>2.2806999999999999</v>
      </c>
      <c r="Y219">
        <v>57.745100000000001</v>
      </c>
      <c r="Z219">
        <v>93.166700000000006</v>
      </c>
      <c r="AA219">
        <v>25.32</v>
      </c>
      <c r="AB219" s="6"/>
    </row>
    <row r="220" spans="1:28" x14ac:dyDescent="0.35">
      <c r="A220">
        <v>1517</v>
      </c>
      <c r="B220" s="9" t="s">
        <v>316</v>
      </c>
      <c r="C220" s="9" t="s">
        <v>69</v>
      </c>
      <c r="D220" s="9" t="s">
        <v>70</v>
      </c>
      <c r="E220" s="9" t="s">
        <v>71</v>
      </c>
      <c r="F220">
        <v>24</v>
      </c>
      <c r="G220" s="9" t="s">
        <v>178</v>
      </c>
      <c r="H220" s="9" t="s">
        <v>56</v>
      </c>
      <c r="I220" s="9" t="s">
        <v>154</v>
      </c>
      <c r="J220" s="9" t="s">
        <v>155</v>
      </c>
      <c r="K220">
        <v>1</v>
      </c>
      <c r="L220" s="6"/>
      <c r="M220">
        <v>88</v>
      </c>
      <c r="N220">
        <v>167</v>
      </c>
      <c r="O220">
        <v>131.4333</v>
      </c>
      <c r="P220">
        <v>153.91640000000001</v>
      </c>
      <c r="Q220">
        <v>300</v>
      </c>
      <c r="R220">
        <v>300</v>
      </c>
      <c r="S220">
        <v>43.81</v>
      </c>
      <c r="T220">
        <v>51.31</v>
      </c>
      <c r="U220">
        <v>0</v>
      </c>
      <c r="V220">
        <v>0</v>
      </c>
      <c r="W220">
        <v>0</v>
      </c>
      <c r="X220">
        <v>1.1561999999999999</v>
      </c>
      <c r="Y220">
        <v>146.08359999999999</v>
      </c>
      <c r="Z220">
        <v>168.5667</v>
      </c>
      <c r="AA220">
        <v>126.35</v>
      </c>
      <c r="AB220" s="6"/>
    </row>
    <row r="221" spans="1:28" x14ac:dyDescent="0.35">
      <c r="A221">
        <v>508</v>
      </c>
      <c r="B221" s="9" t="s">
        <v>317</v>
      </c>
      <c r="C221" s="9" t="s">
        <v>86</v>
      </c>
      <c r="D221" s="9" t="s">
        <v>87</v>
      </c>
      <c r="E221" s="9" t="s">
        <v>71</v>
      </c>
      <c r="F221">
        <v>6</v>
      </c>
      <c r="G221" s="9" t="s">
        <v>97</v>
      </c>
      <c r="H221" s="9" t="s">
        <v>49</v>
      </c>
      <c r="I221" s="9" t="s">
        <v>50</v>
      </c>
      <c r="J221" s="9" t="s">
        <v>51</v>
      </c>
      <c r="K221">
        <v>1</v>
      </c>
      <c r="L221" s="6"/>
      <c r="M221">
        <v>55</v>
      </c>
      <c r="N221">
        <v>103</v>
      </c>
      <c r="O221">
        <v>93.899900000000002</v>
      </c>
      <c r="P221">
        <v>204.52029999999999</v>
      </c>
      <c r="Q221">
        <v>400</v>
      </c>
      <c r="R221">
        <v>400</v>
      </c>
      <c r="S221">
        <v>23.47</v>
      </c>
      <c r="T221">
        <v>51.13</v>
      </c>
      <c r="U221">
        <v>0</v>
      </c>
      <c r="V221">
        <v>0</v>
      </c>
      <c r="W221">
        <v>0</v>
      </c>
      <c r="X221">
        <v>2.1760999999999999</v>
      </c>
      <c r="Y221">
        <v>195.47970000000001</v>
      </c>
      <c r="Z221">
        <v>306.1001</v>
      </c>
      <c r="AA221">
        <v>89.83</v>
      </c>
      <c r="AB221" s="6"/>
    </row>
    <row r="222" spans="1:28" x14ac:dyDescent="0.35">
      <c r="A222">
        <v>702</v>
      </c>
      <c r="B222" s="9" t="s">
        <v>318</v>
      </c>
      <c r="C222" s="9" t="s">
        <v>53</v>
      </c>
      <c r="D222" s="9" t="s">
        <v>54</v>
      </c>
      <c r="E222" s="9" t="s">
        <v>47</v>
      </c>
      <c r="F222">
        <v>8</v>
      </c>
      <c r="G222" s="9" t="s">
        <v>95</v>
      </c>
      <c r="H222" s="9" t="s">
        <v>49</v>
      </c>
      <c r="I222" s="9" t="s">
        <v>57</v>
      </c>
      <c r="J222" s="9" t="s">
        <v>58</v>
      </c>
      <c r="K222">
        <v>1</v>
      </c>
      <c r="L222" s="6"/>
      <c r="M222">
        <v>19</v>
      </c>
      <c r="N222">
        <v>36</v>
      </c>
      <c r="O222">
        <v>31.216799999999999</v>
      </c>
      <c r="P222">
        <v>60.610700000000001</v>
      </c>
      <c r="Q222">
        <v>120</v>
      </c>
      <c r="R222">
        <v>120</v>
      </c>
      <c r="S222">
        <v>26.01</v>
      </c>
      <c r="T222">
        <v>50.51</v>
      </c>
      <c r="U222">
        <v>0</v>
      </c>
      <c r="V222">
        <v>0</v>
      </c>
      <c r="W222">
        <v>0</v>
      </c>
      <c r="X222">
        <v>1.9216</v>
      </c>
      <c r="Y222">
        <v>59.389299999999999</v>
      </c>
      <c r="Z222">
        <v>88.783199999999994</v>
      </c>
      <c r="AA222">
        <v>30.91</v>
      </c>
      <c r="AB222" s="6"/>
    </row>
    <row r="223" spans="1:28" x14ac:dyDescent="0.35">
      <c r="A223">
        <v>1385</v>
      </c>
      <c r="B223" s="9" t="s">
        <v>319</v>
      </c>
      <c r="C223" s="9" t="s">
        <v>69</v>
      </c>
      <c r="D223" s="9" t="s">
        <v>70</v>
      </c>
      <c r="E223" s="9" t="s">
        <v>71</v>
      </c>
      <c r="F223">
        <v>24</v>
      </c>
      <c r="G223" s="9" t="s">
        <v>125</v>
      </c>
      <c r="H223" s="9" t="s">
        <v>56</v>
      </c>
      <c r="I223" s="9" t="s">
        <v>89</v>
      </c>
      <c r="J223" s="9" t="s">
        <v>90</v>
      </c>
      <c r="K223">
        <v>1</v>
      </c>
      <c r="L223" s="6"/>
      <c r="M223">
        <v>83</v>
      </c>
      <c r="N223">
        <v>636</v>
      </c>
      <c r="O223">
        <v>81.433300000000003</v>
      </c>
      <c r="P223">
        <v>149.3716</v>
      </c>
      <c r="Q223">
        <v>300</v>
      </c>
      <c r="R223">
        <v>300</v>
      </c>
      <c r="S223">
        <v>27.14</v>
      </c>
      <c r="T223">
        <v>49.79</v>
      </c>
      <c r="U223">
        <v>0</v>
      </c>
      <c r="V223">
        <v>0</v>
      </c>
      <c r="W223">
        <v>0</v>
      </c>
      <c r="X223">
        <v>1.7297</v>
      </c>
      <c r="Y223">
        <v>150.6284</v>
      </c>
      <c r="Z223">
        <v>218.5667</v>
      </c>
      <c r="AA223">
        <v>87.08</v>
      </c>
      <c r="AB223" s="6"/>
    </row>
    <row r="224" spans="1:28" x14ac:dyDescent="0.35">
      <c r="A224">
        <v>1125</v>
      </c>
      <c r="B224" s="9" t="s">
        <v>320</v>
      </c>
      <c r="C224" s="9" t="s">
        <v>53</v>
      </c>
      <c r="D224" s="9" t="s">
        <v>54</v>
      </c>
      <c r="E224" s="9" t="s">
        <v>47</v>
      </c>
      <c r="F224">
        <v>8</v>
      </c>
      <c r="G224" s="9" t="s">
        <v>153</v>
      </c>
      <c r="H224" s="9" t="s">
        <v>82</v>
      </c>
      <c r="I224" s="9" t="s">
        <v>154</v>
      </c>
      <c r="J224" s="9" t="s">
        <v>155</v>
      </c>
      <c r="K224">
        <v>2</v>
      </c>
      <c r="L224" s="6"/>
      <c r="M224">
        <v>32</v>
      </c>
      <c r="N224">
        <v>68</v>
      </c>
      <c r="O224">
        <v>47.266599999999997</v>
      </c>
      <c r="P224">
        <v>59.701999999999998</v>
      </c>
      <c r="Q224">
        <v>120</v>
      </c>
      <c r="R224">
        <v>120</v>
      </c>
      <c r="S224">
        <v>39.39</v>
      </c>
      <c r="T224">
        <v>49.75</v>
      </c>
      <c r="U224">
        <v>0</v>
      </c>
      <c r="V224">
        <v>0</v>
      </c>
      <c r="W224">
        <v>0</v>
      </c>
      <c r="X224">
        <v>1.2827</v>
      </c>
      <c r="Y224">
        <v>60.298000000000002</v>
      </c>
      <c r="Z224">
        <v>72.733400000000003</v>
      </c>
      <c r="AA224">
        <v>47.01</v>
      </c>
      <c r="AB224" s="6"/>
    </row>
    <row r="225" spans="1:28" x14ac:dyDescent="0.35">
      <c r="A225">
        <v>459</v>
      </c>
      <c r="B225" s="9" t="s">
        <v>321</v>
      </c>
      <c r="C225" s="9" t="s">
        <v>45</v>
      </c>
      <c r="D225" s="9" t="s">
        <v>46</v>
      </c>
      <c r="E225" s="9" t="s">
        <v>47</v>
      </c>
      <c r="F225">
        <v>18</v>
      </c>
      <c r="G225" s="9" t="s">
        <v>255</v>
      </c>
      <c r="H225" s="9" t="s">
        <v>56</v>
      </c>
      <c r="I225" s="9" t="s">
        <v>154</v>
      </c>
      <c r="J225" s="9" t="s">
        <v>155</v>
      </c>
      <c r="K225">
        <v>4</v>
      </c>
      <c r="L225" s="6"/>
      <c r="M225">
        <v>38</v>
      </c>
      <c r="N225">
        <v>63</v>
      </c>
      <c r="O225">
        <v>64.250200000000007</v>
      </c>
      <c r="P225">
        <v>74.222899999999996</v>
      </c>
      <c r="Q225">
        <v>150</v>
      </c>
      <c r="R225">
        <v>150</v>
      </c>
      <c r="S225">
        <v>42.83</v>
      </c>
      <c r="T225">
        <v>49.48</v>
      </c>
      <c r="U225">
        <v>0</v>
      </c>
      <c r="V225">
        <v>0</v>
      </c>
      <c r="W225">
        <v>0</v>
      </c>
      <c r="X225">
        <v>1.1930000000000001</v>
      </c>
      <c r="Y225">
        <v>75.777100000000004</v>
      </c>
      <c r="Z225">
        <v>85.749799999999993</v>
      </c>
      <c r="AA225">
        <v>63.52</v>
      </c>
      <c r="AB225" s="6"/>
    </row>
    <row r="226" spans="1:28" x14ac:dyDescent="0.35">
      <c r="A226">
        <v>951</v>
      </c>
      <c r="B226" s="9" t="s">
        <v>322</v>
      </c>
      <c r="C226" s="9" t="s">
        <v>64</v>
      </c>
      <c r="D226" s="9" t="s">
        <v>65</v>
      </c>
      <c r="E226" s="9" t="s">
        <v>47</v>
      </c>
      <c r="F226">
        <v>12</v>
      </c>
      <c r="G226" s="9" t="s">
        <v>190</v>
      </c>
      <c r="H226" s="9" t="s">
        <v>56</v>
      </c>
      <c r="I226" s="9" t="s">
        <v>57</v>
      </c>
      <c r="J226" s="9" t="s">
        <v>58</v>
      </c>
      <c r="K226">
        <v>4</v>
      </c>
      <c r="L226" s="6"/>
      <c r="M226">
        <v>33</v>
      </c>
      <c r="N226">
        <v>90</v>
      </c>
      <c r="O226">
        <v>53.049900000000001</v>
      </c>
      <c r="P226">
        <v>98.901600000000002</v>
      </c>
      <c r="Q226">
        <v>200</v>
      </c>
      <c r="R226">
        <v>200</v>
      </c>
      <c r="S226">
        <v>26.52</v>
      </c>
      <c r="T226">
        <v>49.45</v>
      </c>
      <c r="U226">
        <v>0</v>
      </c>
      <c r="V226">
        <v>0</v>
      </c>
      <c r="W226">
        <v>0</v>
      </c>
      <c r="X226">
        <v>1.8878999999999999</v>
      </c>
      <c r="Y226">
        <v>101.0984</v>
      </c>
      <c r="Z226">
        <v>146.95009999999999</v>
      </c>
      <c r="AA226">
        <v>53.55</v>
      </c>
      <c r="AB226" s="6"/>
    </row>
    <row r="227" spans="1:28" x14ac:dyDescent="0.35">
      <c r="A227">
        <v>471</v>
      </c>
      <c r="B227" s="9" t="s">
        <v>323</v>
      </c>
      <c r="C227" s="9" t="s">
        <v>53</v>
      </c>
      <c r="D227" s="9" t="s">
        <v>54</v>
      </c>
      <c r="E227" s="9" t="s">
        <v>47</v>
      </c>
      <c r="F227">
        <v>8</v>
      </c>
      <c r="G227" s="9" t="s">
        <v>242</v>
      </c>
      <c r="H227" s="9" t="s">
        <v>49</v>
      </c>
      <c r="I227" s="9" t="s">
        <v>154</v>
      </c>
      <c r="J227" s="9" t="s">
        <v>155</v>
      </c>
      <c r="K227">
        <v>2</v>
      </c>
      <c r="L227" s="6"/>
      <c r="M227">
        <v>34</v>
      </c>
      <c r="N227">
        <v>56</v>
      </c>
      <c r="O227">
        <v>55.066699999999997</v>
      </c>
      <c r="P227">
        <v>58.856200000000001</v>
      </c>
      <c r="Q227">
        <v>120</v>
      </c>
      <c r="R227">
        <v>120</v>
      </c>
      <c r="S227">
        <v>45.89</v>
      </c>
      <c r="T227">
        <v>49.05</v>
      </c>
      <c r="U227">
        <v>0</v>
      </c>
      <c r="V227">
        <v>0</v>
      </c>
      <c r="W227">
        <v>0</v>
      </c>
      <c r="X227">
        <v>1.0768</v>
      </c>
      <c r="Y227">
        <v>61.143799999999999</v>
      </c>
      <c r="Z227">
        <v>64.933300000000003</v>
      </c>
      <c r="AA227">
        <v>56.78</v>
      </c>
      <c r="AB227" s="6"/>
    </row>
    <row r="228" spans="1:28" x14ac:dyDescent="0.35">
      <c r="A228">
        <v>1290</v>
      </c>
      <c r="B228" s="9" t="s">
        <v>324</v>
      </c>
      <c r="C228" s="9" t="s">
        <v>53</v>
      </c>
      <c r="D228" s="9" t="s">
        <v>54</v>
      </c>
      <c r="E228" s="9" t="s">
        <v>47</v>
      </c>
      <c r="F228">
        <v>8</v>
      </c>
      <c r="G228" s="9" t="s">
        <v>112</v>
      </c>
      <c r="H228" s="9" t="s">
        <v>56</v>
      </c>
      <c r="I228" s="9" t="s">
        <v>89</v>
      </c>
      <c r="J228" s="9" t="s">
        <v>90</v>
      </c>
      <c r="K228">
        <v>1</v>
      </c>
      <c r="L228" s="6"/>
      <c r="M228">
        <v>31</v>
      </c>
      <c r="N228">
        <v>263</v>
      </c>
      <c r="O228">
        <v>30.150300000000001</v>
      </c>
      <c r="P228">
        <v>58.784199999999998</v>
      </c>
      <c r="Q228">
        <v>120</v>
      </c>
      <c r="R228">
        <v>120</v>
      </c>
      <c r="S228">
        <v>25.13</v>
      </c>
      <c r="T228">
        <v>48.99</v>
      </c>
      <c r="U228">
        <v>0</v>
      </c>
      <c r="V228">
        <v>0</v>
      </c>
      <c r="W228">
        <v>0</v>
      </c>
      <c r="X228">
        <v>1.9300999999999999</v>
      </c>
      <c r="Y228">
        <v>61.215800000000002</v>
      </c>
      <c r="Z228">
        <v>89.849699999999999</v>
      </c>
      <c r="AA228">
        <v>31.72</v>
      </c>
      <c r="AB228" s="6"/>
    </row>
    <row r="229" spans="1:28" x14ac:dyDescent="0.35">
      <c r="A229">
        <v>1039</v>
      </c>
      <c r="B229" s="9" t="s">
        <v>325</v>
      </c>
      <c r="C229" s="9" t="s">
        <v>69</v>
      </c>
      <c r="D229" s="9" t="s">
        <v>70</v>
      </c>
      <c r="E229" s="9" t="s">
        <v>71</v>
      </c>
      <c r="F229">
        <v>24</v>
      </c>
      <c r="G229" s="9" t="s">
        <v>88</v>
      </c>
      <c r="H229" s="9" t="s">
        <v>56</v>
      </c>
      <c r="I229" s="9" t="s">
        <v>89</v>
      </c>
      <c r="J229" s="9" t="s">
        <v>90</v>
      </c>
      <c r="K229">
        <v>1</v>
      </c>
      <c r="L229" s="6"/>
      <c r="M229">
        <v>80</v>
      </c>
      <c r="N229">
        <v>618</v>
      </c>
      <c r="O229">
        <v>79.517099999999999</v>
      </c>
      <c r="P229">
        <v>146.9675</v>
      </c>
      <c r="Q229">
        <v>300</v>
      </c>
      <c r="R229">
        <v>300</v>
      </c>
      <c r="S229">
        <v>26.51</v>
      </c>
      <c r="T229">
        <v>48.99</v>
      </c>
      <c r="U229">
        <v>0</v>
      </c>
      <c r="V229">
        <v>0</v>
      </c>
      <c r="W229">
        <v>0</v>
      </c>
      <c r="X229">
        <v>1.9149</v>
      </c>
      <c r="Y229">
        <v>153.0325</v>
      </c>
      <c r="Z229">
        <v>220.4829</v>
      </c>
      <c r="AA229">
        <v>79.92</v>
      </c>
      <c r="AB229" s="6"/>
    </row>
    <row r="230" spans="1:28" x14ac:dyDescent="0.35">
      <c r="A230">
        <v>427</v>
      </c>
      <c r="B230" s="9" t="s">
        <v>326</v>
      </c>
      <c r="C230" s="9" t="s">
        <v>64</v>
      </c>
      <c r="D230" s="9" t="s">
        <v>65</v>
      </c>
      <c r="E230" s="9" t="s">
        <v>47</v>
      </c>
      <c r="F230">
        <v>12</v>
      </c>
      <c r="G230" s="9" t="s">
        <v>255</v>
      </c>
      <c r="H230" s="9" t="s">
        <v>56</v>
      </c>
      <c r="I230" s="9" t="s">
        <v>154</v>
      </c>
      <c r="J230" s="9" t="s">
        <v>155</v>
      </c>
      <c r="K230">
        <v>1</v>
      </c>
      <c r="L230" s="6"/>
      <c r="M230">
        <v>50</v>
      </c>
      <c r="N230">
        <v>82</v>
      </c>
      <c r="O230">
        <v>83.950199999999995</v>
      </c>
      <c r="P230">
        <v>97.7941</v>
      </c>
      <c r="Q230">
        <v>200</v>
      </c>
      <c r="R230">
        <v>200</v>
      </c>
      <c r="S230">
        <v>41.98</v>
      </c>
      <c r="T230">
        <v>48.9</v>
      </c>
      <c r="U230">
        <v>0</v>
      </c>
      <c r="V230">
        <v>0</v>
      </c>
      <c r="W230">
        <v>0</v>
      </c>
      <c r="X230">
        <v>1.1930000000000001</v>
      </c>
      <c r="Y230">
        <v>102.2059</v>
      </c>
      <c r="Z230">
        <v>116.0498</v>
      </c>
      <c r="AA230">
        <v>85.67</v>
      </c>
      <c r="AB230" s="6"/>
    </row>
    <row r="231" spans="1:28" x14ac:dyDescent="0.35">
      <c r="A231">
        <v>1375</v>
      </c>
      <c r="B231" s="9" t="s">
        <v>327</v>
      </c>
      <c r="C231" s="9" t="s">
        <v>45</v>
      </c>
      <c r="D231" s="9" t="s">
        <v>46</v>
      </c>
      <c r="E231" s="9" t="s">
        <v>47</v>
      </c>
      <c r="F231">
        <v>18</v>
      </c>
      <c r="G231" s="9" t="s">
        <v>72</v>
      </c>
      <c r="H231" s="9" t="s">
        <v>56</v>
      </c>
      <c r="I231" s="9" t="s">
        <v>50</v>
      </c>
      <c r="J231" s="9" t="s">
        <v>51</v>
      </c>
      <c r="K231">
        <v>4</v>
      </c>
      <c r="L231" s="6"/>
      <c r="M231">
        <v>22</v>
      </c>
      <c r="N231">
        <v>37</v>
      </c>
      <c r="O231">
        <v>34.683300000000003</v>
      </c>
      <c r="P231">
        <v>73.084999999999994</v>
      </c>
      <c r="Q231">
        <v>150</v>
      </c>
      <c r="R231">
        <v>150</v>
      </c>
      <c r="S231">
        <v>23.12</v>
      </c>
      <c r="T231">
        <v>48.72</v>
      </c>
      <c r="U231">
        <v>0</v>
      </c>
      <c r="V231">
        <v>0</v>
      </c>
      <c r="W231">
        <v>0</v>
      </c>
      <c r="X231">
        <v>1.9079999999999999</v>
      </c>
      <c r="Y231">
        <v>76.915000000000006</v>
      </c>
      <c r="Z231">
        <v>115.3167</v>
      </c>
      <c r="AA231">
        <v>40.31</v>
      </c>
      <c r="AB231" s="6"/>
    </row>
    <row r="232" spans="1:28" x14ac:dyDescent="0.35">
      <c r="A232">
        <v>565</v>
      </c>
      <c r="B232" s="9" t="s">
        <v>328</v>
      </c>
      <c r="C232" s="9" t="s">
        <v>53</v>
      </c>
      <c r="D232" s="9" t="s">
        <v>54</v>
      </c>
      <c r="E232" s="9" t="s">
        <v>47</v>
      </c>
      <c r="F232">
        <v>8</v>
      </c>
      <c r="G232" s="9" t="s">
        <v>195</v>
      </c>
      <c r="H232" s="9" t="s">
        <v>56</v>
      </c>
      <c r="I232" s="9" t="s">
        <v>154</v>
      </c>
      <c r="J232" s="9" t="s">
        <v>155</v>
      </c>
      <c r="K232">
        <v>1</v>
      </c>
      <c r="L232" s="6"/>
      <c r="M232">
        <v>33</v>
      </c>
      <c r="N232">
        <v>60</v>
      </c>
      <c r="O232">
        <v>52.316299999999998</v>
      </c>
      <c r="P232">
        <v>58.320999999999998</v>
      </c>
      <c r="Q232">
        <v>120</v>
      </c>
      <c r="R232">
        <v>120</v>
      </c>
      <c r="S232">
        <v>43.6</v>
      </c>
      <c r="T232">
        <v>48.6</v>
      </c>
      <c r="U232">
        <v>0</v>
      </c>
      <c r="V232">
        <v>0</v>
      </c>
      <c r="W232">
        <v>0</v>
      </c>
      <c r="X232">
        <v>1.0819000000000001</v>
      </c>
      <c r="Y232">
        <v>61.679000000000002</v>
      </c>
      <c r="Z232">
        <v>67.683700000000002</v>
      </c>
      <c r="AA232">
        <v>57.01</v>
      </c>
      <c r="AB232" s="6"/>
    </row>
    <row r="233" spans="1:28" x14ac:dyDescent="0.35">
      <c r="A233">
        <v>1078</v>
      </c>
      <c r="B233" s="9" t="s">
        <v>329</v>
      </c>
      <c r="C233" s="9" t="s">
        <v>53</v>
      </c>
      <c r="D233" s="9" t="s">
        <v>54</v>
      </c>
      <c r="E233" s="9" t="s">
        <v>47</v>
      </c>
      <c r="F233">
        <v>8</v>
      </c>
      <c r="G233" s="9" t="s">
        <v>161</v>
      </c>
      <c r="H233" s="9" t="s">
        <v>82</v>
      </c>
      <c r="I233" s="9" t="s">
        <v>154</v>
      </c>
      <c r="J233" s="9" t="s">
        <v>155</v>
      </c>
      <c r="K233">
        <v>2</v>
      </c>
      <c r="L233" s="6"/>
      <c r="M233">
        <v>33</v>
      </c>
      <c r="N233">
        <v>73</v>
      </c>
      <c r="O233">
        <v>46.366999999999997</v>
      </c>
      <c r="P233">
        <v>58.059899999999999</v>
      </c>
      <c r="Q233">
        <v>120</v>
      </c>
      <c r="R233">
        <v>120</v>
      </c>
      <c r="S233">
        <v>38.64</v>
      </c>
      <c r="T233">
        <v>48.38</v>
      </c>
      <c r="U233">
        <v>0</v>
      </c>
      <c r="V233">
        <v>0</v>
      </c>
      <c r="W233">
        <v>0</v>
      </c>
      <c r="X233">
        <v>1.2703</v>
      </c>
      <c r="Y233">
        <v>61.940100000000001</v>
      </c>
      <c r="Z233">
        <v>73.632999999999996</v>
      </c>
      <c r="AA233">
        <v>48.76</v>
      </c>
      <c r="AB233" s="6"/>
    </row>
    <row r="234" spans="1:28" x14ac:dyDescent="0.35">
      <c r="A234">
        <v>1458</v>
      </c>
      <c r="B234" s="9" t="s">
        <v>330</v>
      </c>
      <c r="C234" s="9" t="s">
        <v>86</v>
      </c>
      <c r="D234" s="9" t="s">
        <v>87</v>
      </c>
      <c r="E234" s="9" t="s">
        <v>71</v>
      </c>
      <c r="F234">
        <v>6</v>
      </c>
      <c r="G234" s="9" t="s">
        <v>67</v>
      </c>
      <c r="H234" s="9" t="s">
        <v>56</v>
      </c>
      <c r="I234" s="9" t="s">
        <v>57</v>
      </c>
      <c r="J234" s="9" t="s">
        <v>58</v>
      </c>
      <c r="K234">
        <v>1</v>
      </c>
      <c r="L234" s="6"/>
      <c r="M234">
        <v>52</v>
      </c>
      <c r="N234">
        <v>154</v>
      </c>
      <c r="O234">
        <v>93.249899999999997</v>
      </c>
      <c r="P234">
        <v>190.70849999999999</v>
      </c>
      <c r="Q234">
        <v>400</v>
      </c>
      <c r="R234">
        <v>400</v>
      </c>
      <c r="S234">
        <v>23.31</v>
      </c>
      <c r="T234">
        <v>47.68</v>
      </c>
      <c r="U234">
        <v>0</v>
      </c>
      <c r="V234">
        <v>0</v>
      </c>
      <c r="W234">
        <v>0</v>
      </c>
      <c r="X234">
        <v>1.9626999999999999</v>
      </c>
      <c r="Y234">
        <v>209.29150000000001</v>
      </c>
      <c r="Z234">
        <v>306.75009999999997</v>
      </c>
      <c r="AA234">
        <v>106.63</v>
      </c>
      <c r="AB234" s="6"/>
    </row>
    <row r="235" spans="1:28" x14ac:dyDescent="0.35">
      <c r="A235">
        <v>1387</v>
      </c>
      <c r="B235" s="9" t="s">
        <v>331</v>
      </c>
      <c r="C235" s="9" t="s">
        <v>127</v>
      </c>
      <c r="D235" s="9" t="s">
        <v>128</v>
      </c>
      <c r="E235" s="9" t="s">
        <v>129</v>
      </c>
      <c r="F235">
        <v>4</v>
      </c>
      <c r="G235" s="9" t="s">
        <v>125</v>
      </c>
      <c r="H235" s="9" t="s">
        <v>56</v>
      </c>
      <c r="I235" s="9" t="s">
        <v>89</v>
      </c>
      <c r="J235" s="9" t="s">
        <v>90</v>
      </c>
      <c r="K235">
        <v>1</v>
      </c>
      <c r="L235" s="6"/>
      <c r="M235">
        <v>66</v>
      </c>
      <c r="N235">
        <v>500</v>
      </c>
      <c r="O235">
        <v>65.05</v>
      </c>
      <c r="P235">
        <v>118.6729</v>
      </c>
      <c r="Q235">
        <v>250</v>
      </c>
      <c r="R235">
        <v>250</v>
      </c>
      <c r="S235">
        <v>26.02</v>
      </c>
      <c r="T235">
        <v>47.47</v>
      </c>
      <c r="U235">
        <v>0</v>
      </c>
      <c r="V235">
        <v>0</v>
      </c>
      <c r="W235">
        <v>0</v>
      </c>
      <c r="X235">
        <v>1.7297</v>
      </c>
      <c r="Y235">
        <v>131.3271</v>
      </c>
      <c r="Z235">
        <v>184.95</v>
      </c>
      <c r="AA235">
        <v>75.92</v>
      </c>
      <c r="AB235" s="6"/>
    </row>
    <row r="236" spans="1:28" x14ac:dyDescent="0.35">
      <c r="A236">
        <v>157</v>
      </c>
      <c r="B236" s="9" t="s">
        <v>332</v>
      </c>
      <c r="C236" s="9" t="s">
        <v>86</v>
      </c>
      <c r="D236" s="9" t="s">
        <v>87</v>
      </c>
      <c r="E236" s="9" t="s">
        <v>71</v>
      </c>
      <c r="F236">
        <v>6</v>
      </c>
      <c r="G236" s="9" t="s">
        <v>192</v>
      </c>
      <c r="H236" s="9" t="s">
        <v>49</v>
      </c>
      <c r="I236" s="9" t="s">
        <v>154</v>
      </c>
      <c r="J236" s="9" t="s">
        <v>155</v>
      </c>
      <c r="K236">
        <v>1</v>
      </c>
      <c r="L236" s="6"/>
      <c r="M236">
        <v>107</v>
      </c>
      <c r="N236">
        <v>221</v>
      </c>
      <c r="O236">
        <v>164.43299999999999</v>
      </c>
      <c r="P236">
        <v>188.24340000000001</v>
      </c>
      <c r="Q236">
        <v>400</v>
      </c>
      <c r="R236">
        <v>400</v>
      </c>
      <c r="S236">
        <v>41.11</v>
      </c>
      <c r="T236">
        <v>47.06</v>
      </c>
      <c r="U236">
        <v>0</v>
      </c>
      <c r="V236">
        <v>0</v>
      </c>
      <c r="W236">
        <v>0</v>
      </c>
      <c r="X236">
        <v>1.1001000000000001</v>
      </c>
      <c r="Y236">
        <v>211.75659999999999</v>
      </c>
      <c r="Z236">
        <v>235.56700000000001</v>
      </c>
      <c r="AA236">
        <v>192.49</v>
      </c>
      <c r="AB236" s="6"/>
    </row>
    <row r="237" spans="1:28" x14ac:dyDescent="0.35">
      <c r="A237">
        <v>1251</v>
      </c>
      <c r="B237" s="9" t="s">
        <v>333</v>
      </c>
      <c r="C237" s="9" t="s">
        <v>64</v>
      </c>
      <c r="D237" s="9" t="s">
        <v>65</v>
      </c>
      <c r="E237" s="9" t="s">
        <v>47</v>
      </c>
      <c r="F237">
        <v>12</v>
      </c>
      <c r="G237" s="9" t="s">
        <v>79</v>
      </c>
      <c r="H237" s="9" t="s">
        <v>56</v>
      </c>
      <c r="I237" s="9" t="s">
        <v>50</v>
      </c>
      <c r="J237" s="9" t="s">
        <v>51</v>
      </c>
      <c r="K237">
        <v>2</v>
      </c>
      <c r="L237" s="6"/>
      <c r="M237">
        <v>24</v>
      </c>
      <c r="N237">
        <v>45</v>
      </c>
      <c r="O237">
        <v>42.500100000000003</v>
      </c>
      <c r="P237">
        <v>93.250100000000003</v>
      </c>
      <c r="Q237">
        <v>200</v>
      </c>
      <c r="R237">
        <v>200</v>
      </c>
      <c r="S237">
        <v>21.25</v>
      </c>
      <c r="T237">
        <v>46.63</v>
      </c>
      <c r="U237">
        <v>0</v>
      </c>
      <c r="V237">
        <v>0</v>
      </c>
      <c r="W237">
        <v>0</v>
      </c>
      <c r="X237">
        <v>2.1718000000000002</v>
      </c>
      <c r="Y237">
        <v>106.7499</v>
      </c>
      <c r="Z237">
        <v>157.4999</v>
      </c>
      <c r="AA237">
        <v>49.15</v>
      </c>
      <c r="AB237" s="6"/>
    </row>
    <row r="238" spans="1:28" x14ac:dyDescent="0.35">
      <c r="A238">
        <v>1182</v>
      </c>
      <c r="B238" s="9" t="s">
        <v>334</v>
      </c>
      <c r="C238" s="9" t="s">
        <v>127</v>
      </c>
      <c r="D238" s="9" t="s">
        <v>128</v>
      </c>
      <c r="E238" s="9" t="s">
        <v>129</v>
      </c>
      <c r="F238">
        <v>4</v>
      </c>
      <c r="G238" s="9" t="s">
        <v>262</v>
      </c>
      <c r="H238" s="9" t="s">
        <v>56</v>
      </c>
      <c r="I238" s="9" t="s">
        <v>154</v>
      </c>
      <c r="J238" s="9" t="s">
        <v>155</v>
      </c>
      <c r="K238">
        <v>1</v>
      </c>
      <c r="L238" s="6"/>
      <c r="M238">
        <v>66</v>
      </c>
      <c r="N238">
        <v>138</v>
      </c>
      <c r="O238">
        <v>104.23350000000001</v>
      </c>
      <c r="P238">
        <v>116.0964</v>
      </c>
      <c r="Q238">
        <v>250</v>
      </c>
      <c r="R238">
        <v>250</v>
      </c>
      <c r="S238">
        <v>41.69</v>
      </c>
      <c r="T238">
        <v>46.44</v>
      </c>
      <c r="U238">
        <v>0</v>
      </c>
      <c r="V238">
        <v>0</v>
      </c>
      <c r="W238">
        <v>0</v>
      </c>
      <c r="X238">
        <v>1.0798000000000001</v>
      </c>
      <c r="Y238">
        <v>133.90360000000001</v>
      </c>
      <c r="Z238">
        <v>145.76650000000001</v>
      </c>
      <c r="AA238">
        <v>124.01</v>
      </c>
      <c r="AB238" s="6"/>
    </row>
    <row r="239" spans="1:28" x14ac:dyDescent="0.35">
      <c r="A239">
        <v>1401</v>
      </c>
      <c r="B239" s="9" t="s">
        <v>335</v>
      </c>
      <c r="C239" s="9" t="s">
        <v>45</v>
      </c>
      <c r="D239" s="9" t="s">
        <v>46</v>
      </c>
      <c r="E239" s="9" t="s">
        <v>47</v>
      </c>
      <c r="F239">
        <v>18</v>
      </c>
      <c r="G239" s="9" t="s">
        <v>125</v>
      </c>
      <c r="H239" s="9" t="s">
        <v>56</v>
      </c>
      <c r="I239" s="9" t="s">
        <v>89</v>
      </c>
      <c r="J239" s="9" t="s">
        <v>90</v>
      </c>
      <c r="K239">
        <v>2</v>
      </c>
      <c r="L239" s="6"/>
      <c r="M239">
        <v>40</v>
      </c>
      <c r="N239">
        <v>279</v>
      </c>
      <c r="O239">
        <v>38.6999</v>
      </c>
      <c r="P239">
        <v>68.8874</v>
      </c>
      <c r="Q239">
        <v>150</v>
      </c>
      <c r="R239">
        <v>150</v>
      </c>
      <c r="S239">
        <v>25.8</v>
      </c>
      <c r="T239">
        <v>45.92</v>
      </c>
      <c r="U239">
        <v>0</v>
      </c>
      <c r="V239">
        <v>0</v>
      </c>
      <c r="W239">
        <v>0</v>
      </c>
      <c r="X239">
        <v>1.7297</v>
      </c>
      <c r="Y239">
        <v>81.1126</v>
      </c>
      <c r="Z239">
        <v>111.3001</v>
      </c>
      <c r="AA239">
        <v>46.89</v>
      </c>
      <c r="AB239" s="6"/>
    </row>
    <row r="240" spans="1:28" x14ac:dyDescent="0.35">
      <c r="A240">
        <v>501</v>
      </c>
      <c r="B240" s="9" t="s">
        <v>336</v>
      </c>
      <c r="C240" s="9" t="s">
        <v>45</v>
      </c>
      <c r="D240" s="9" t="s">
        <v>46</v>
      </c>
      <c r="E240" s="9" t="s">
        <v>47</v>
      </c>
      <c r="F240">
        <v>18</v>
      </c>
      <c r="G240" s="9" t="s">
        <v>242</v>
      </c>
      <c r="H240" s="9" t="s">
        <v>49</v>
      </c>
      <c r="I240" s="9" t="s">
        <v>154</v>
      </c>
      <c r="J240" s="9" t="s">
        <v>155</v>
      </c>
      <c r="K240">
        <v>3</v>
      </c>
      <c r="L240" s="6"/>
      <c r="M240">
        <v>40</v>
      </c>
      <c r="N240">
        <v>68</v>
      </c>
      <c r="O240">
        <v>64.316699999999997</v>
      </c>
      <c r="P240">
        <v>68.871600000000001</v>
      </c>
      <c r="Q240">
        <v>150</v>
      </c>
      <c r="R240">
        <v>150</v>
      </c>
      <c r="S240">
        <v>42.88</v>
      </c>
      <c r="T240">
        <v>45.91</v>
      </c>
      <c r="U240">
        <v>0</v>
      </c>
      <c r="V240">
        <v>0</v>
      </c>
      <c r="W240">
        <v>0</v>
      </c>
      <c r="X240">
        <v>1.0768</v>
      </c>
      <c r="Y240">
        <v>81.128399999999999</v>
      </c>
      <c r="Z240">
        <v>85.683300000000003</v>
      </c>
      <c r="AA240">
        <v>75.34</v>
      </c>
      <c r="AB240" s="6"/>
    </row>
    <row r="241" spans="1:28" x14ac:dyDescent="0.35">
      <c r="A241">
        <v>1451</v>
      </c>
      <c r="B241" s="9" t="s">
        <v>337</v>
      </c>
      <c r="C241" s="9" t="s">
        <v>45</v>
      </c>
      <c r="D241" s="9" t="s">
        <v>46</v>
      </c>
      <c r="E241" s="9" t="s">
        <v>47</v>
      </c>
      <c r="F241">
        <v>18</v>
      </c>
      <c r="G241" s="9" t="s">
        <v>209</v>
      </c>
      <c r="H241" s="9" t="s">
        <v>49</v>
      </c>
      <c r="I241" s="9" t="s">
        <v>154</v>
      </c>
      <c r="J241" s="9" t="s">
        <v>155</v>
      </c>
      <c r="K241">
        <v>3</v>
      </c>
      <c r="L241" s="6"/>
      <c r="M241">
        <v>43</v>
      </c>
      <c r="N241">
        <v>94</v>
      </c>
      <c r="O241">
        <v>59.183399999999999</v>
      </c>
      <c r="P241">
        <v>68.284400000000005</v>
      </c>
      <c r="Q241">
        <v>150</v>
      </c>
      <c r="R241">
        <v>150</v>
      </c>
      <c r="S241">
        <v>39.46</v>
      </c>
      <c r="T241">
        <v>45.52</v>
      </c>
      <c r="U241">
        <v>0</v>
      </c>
      <c r="V241">
        <v>0</v>
      </c>
      <c r="W241">
        <v>0</v>
      </c>
      <c r="X241">
        <v>1.1733</v>
      </c>
      <c r="Y241">
        <v>81.715599999999995</v>
      </c>
      <c r="Z241">
        <v>90.816599999999994</v>
      </c>
      <c r="AA241">
        <v>69.650000000000006</v>
      </c>
      <c r="AB241" s="6"/>
    </row>
    <row r="242" spans="1:28" x14ac:dyDescent="0.35">
      <c r="A242">
        <v>1443</v>
      </c>
      <c r="B242" s="9" t="s">
        <v>338</v>
      </c>
      <c r="C242" s="9" t="s">
        <v>45</v>
      </c>
      <c r="D242" s="9" t="s">
        <v>46</v>
      </c>
      <c r="E242" s="9" t="s">
        <v>47</v>
      </c>
      <c r="F242">
        <v>18</v>
      </c>
      <c r="G242" s="9" t="s">
        <v>209</v>
      </c>
      <c r="H242" s="9" t="s">
        <v>49</v>
      </c>
      <c r="I242" s="9" t="s">
        <v>154</v>
      </c>
      <c r="J242" s="9" t="s">
        <v>155</v>
      </c>
      <c r="K242">
        <v>1</v>
      </c>
      <c r="L242" s="6"/>
      <c r="M242">
        <v>43</v>
      </c>
      <c r="N242">
        <v>94</v>
      </c>
      <c r="O242">
        <v>59.183399999999999</v>
      </c>
      <c r="P242">
        <v>68.284400000000005</v>
      </c>
      <c r="Q242">
        <v>150</v>
      </c>
      <c r="R242">
        <v>150</v>
      </c>
      <c r="S242">
        <v>39.46</v>
      </c>
      <c r="T242">
        <v>45.52</v>
      </c>
      <c r="U242">
        <v>0</v>
      </c>
      <c r="V242">
        <v>0</v>
      </c>
      <c r="W242">
        <v>0</v>
      </c>
      <c r="X242">
        <v>1.1733</v>
      </c>
      <c r="Y242">
        <v>81.715599999999995</v>
      </c>
      <c r="Z242">
        <v>90.816599999999994</v>
      </c>
      <c r="AA242">
        <v>69.650000000000006</v>
      </c>
      <c r="AB242" s="6"/>
    </row>
    <row r="243" spans="1:28" x14ac:dyDescent="0.35">
      <c r="A243">
        <v>264</v>
      </c>
      <c r="B243" s="9" t="s">
        <v>339</v>
      </c>
      <c r="C243" s="9" t="s">
        <v>86</v>
      </c>
      <c r="D243" s="9" t="s">
        <v>87</v>
      </c>
      <c r="E243" s="9" t="s">
        <v>71</v>
      </c>
      <c r="F243">
        <v>6</v>
      </c>
      <c r="G243" s="9" t="s">
        <v>205</v>
      </c>
      <c r="H243" s="9" t="s">
        <v>56</v>
      </c>
      <c r="I243" s="9" t="s">
        <v>154</v>
      </c>
      <c r="J243" s="9" t="s">
        <v>155</v>
      </c>
      <c r="K243">
        <v>1</v>
      </c>
      <c r="L243" s="6"/>
      <c r="M243">
        <v>101</v>
      </c>
      <c r="N243">
        <v>201</v>
      </c>
      <c r="O243">
        <v>155.8503</v>
      </c>
      <c r="P243">
        <v>180.80850000000001</v>
      </c>
      <c r="Q243">
        <v>400</v>
      </c>
      <c r="R243">
        <v>400</v>
      </c>
      <c r="S243">
        <v>38.96</v>
      </c>
      <c r="T243">
        <v>45.2</v>
      </c>
      <c r="U243">
        <v>0</v>
      </c>
      <c r="V243">
        <v>0</v>
      </c>
      <c r="W243">
        <v>0</v>
      </c>
      <c r="X243">
        <v>1.08</v>
      </c>
      <c r="Y243">
        <v>219.19149999999999</v>
      </c>
      <c r="Z243">
        <v>244.1497</v>
      </c>
      <c r="AA243">
        <v>202.96</v>
      </c>
      <c r="AB243" s="6"/>
    </row>
    <row r="244" spans="1:28" x14ac:dyDescent="0.35">
      <c r="A244">
        <v>1266</v>
      </c>
      <c r="B244" s="9" t="s">
        <v>340</v>
      </c>
      <c r="C244" s="9" t="s">
        <v>45</v>
      </c>
      <c r="D244" s="9" t="s">
        <v>46</v>
      </c>
      <c r="E244" s="9" t="s">
        <v>47</v>
      </c>
      <c r="F244">
        <v>18</v>
      </c>
      <c r="G244" s="9" t="s">
        <v>79</v>
      </c>
      <c r="H244" s="9" t="s">
        <v>56</v>
      </c>
      <c r="I244" s="9" t="s">
        <v>50</v>
      </c>
      <c r="J244" s="9" t="s">
        <v>51</v>
      </c>
      <c r="K244">
        <v>1</v>
      </c>
      <c r="L244" s="6"/>
      <c r="M244">
        <v>17</v>
      </c>
      <c r="N244">
        <v>28</v>
      </c>
      <c r="O244">
        <v>28.9833</v>
      </c>
      <c r="P244">
        <v>66.168599999999998</v>
      </c>
      <c r="Q244">
        <v>150</v>
      </c>
      <c r="R244">
        <v>150</v>
      </c>
      <c r="S244">
        <v>19.32</v>
      </c>
      <c r="T244">
        <v>44.11</v>
      </c>
      <c r="U244">
        <v>0</v>
      </c>
      <c r="V244">
        <v>0</v>
      </c>
      <c r="W244">
        <v>0</v>
      </c>
      <c r="X244">
        <v>2.1718000000000002</v>
      </c>
      <c r="Y244">
        <v>83.831400000000002</v>
      </c>
      <c r="Z244">
        <v>121.0167</v>
      </c>
      <c r="AA244">
        <v>38.6</v>
      </c>
      <c r="AB244" s="6"/>
    </row>
    <row r="245" spans="1:28" x14ac:dyDescent="0.35">
      <c r="A245">
        <v>1284</v>
      </c>
      <c r="B245" s="9" t="s">
        <v>341</v>
      </c>
      <c r="C245" s="9" t="s">
        <v>45</v>
      </c>
      <c r="D245" s="9" t="s">
        <v>46</v>
      </c>
      <c r="E245" s="9" t="s">
        <v>47</v>
      </c>
      <c r="F245">
        <v>18</v>
      </c>
      <c r="G245" s="9" t="s">
        <v>79</v>
      </c>
      <c r="H245" s="9" t="s">
        <v>56</v>
      </c>
      <c r="I245" s="9" t="s">
        <v>50</v>
      </c>
      <c r="J245" s="9" t="s">
        <v>51</v>
      </c>
      <c r="K245">
        <v>4</v>
      </c>
      <c r="L245" s="6"/>
      <c r="M245">
        <v>17</v>
      </c>
      <c r="N245">
        <v>28</v>
      </c>
      <c r="O245">
        <v>28.9833</v>
      </c>
      <c r="P245">
        <v>66.168599999999998</v>
      </c>
      <c r="Q245">
        <v>150</v>
      </c>
      <c r="R245">
        <v>150</v>
      </c>
      <c r="S245">
        <v>19.32</v>
      </c>
      <c r="T245">
        <v>44.11</v>
      </c>
      <c r="U245">
        <v>0</v>
      </c>
      <c r="V245">
        <v>0</v>
      </c>
      <c r="W245">
        <v>0</v>
      </c>
      <c r="X245">
        <v>2.1718000000000002</v>
      </c>
      <c r="Y245">
        <v>83.831400000000002</v>
      </c>
      <c r="Z245">
        <v>121.0167</v>
      </c>
      <c r="AA245">
        <v>38.6</v>
      </c>
      <c r="AB245" s="6"/>
    </row>
    <row r="246" spans="1:28" x14ac:dyDescent="0.35">
      <c r="A246">
        <v>1346</v>
      </c>
      <c r="B246" s="9" t="s">
        <v>342</v>
      </c>
      <c r="C246" s="9" t="s">
        <v>64</v>
      </c>
      <c r="D246" s="9" t="s">
        <v>65</v>
      </c>
      <c r="E246" s="9" t="s">
        <v>47</v>
      </c>
      <c r="F246">
        <v>12</v>
      </c>
      <c r="G246" s="9" t="s">
        <v>72</v>
      </c>
      <c r="H246" s="9" t="s">
        <v>56</v>
      </c>
      <c r="I246" s="9" t="s">
        <v>50</v>
      </c>
      <c r="J246" s="9" t="s">
        <v>51</v>
      </c>
      <c r="K246">
        <v>2</v>
      </c>
      <c r="L246" s="6"/>
      <c r="M246">
        <v>27</v>
      </c>
      <c r="N246">
        <v>45</v>
      </c>
      <c r="O246">
        <v>44.133299999999998</v>
      </c>
      <c r="P246">
        <v>87.5642</v>
      </c>
      <c r="Q246">
        <v>200</v>
      </c>
      <c r="R246">
        <v>200</v>
      </c>
      <c r="S246">
        <v>22.07</v>
      </c>
      <c r="T246">
        <v>43.78</v>
      </c>
      <c r="U246">
        <v>0</v>
      </c>
      <c r="V246">
        <v>0</v>
      </c>
      <c r="W246">
        <v>0</v>
      </c>
      <c r="X246">
        <v>1.9079999999999999</v>
      </c>
      <c r="Y246">
        <v>112.4358</v>
      </c>
      <c r="Z246">
        <v>155.86670000000001</v>
      </c>
      <c r="AA246">
        <v>58.93</v>
      </c>
      <c r="AB246" s="6"/>
    </row>
    <row r="247" spans="1:28" x14ac:dyDescent="0.35">
      <c r="A247">
        <v>868</v>
      </c>
      <c r="B247" s="9" t="s">
        <v>343</v>
      </c>
      <c r="C247" s="9" t="s">
        <v>127</v>
      </c>
      <c r="D247" s="9" t="s">
        <v>128</v>
      </c>
      <c r="E247" s="9" t="s">
        <v>129</v>
      </c>
      <c r="F247">
        <v>4</v>
      </c>
      <c r="G247" s="9" t="s">
        <v>77</v>
      </c>
      <c r="H247" s="9" t="s">
        <v>49</v>
      </c>
      <c r="I247" s="9" t="s">
        <v>50</v>
      </c>
      <c r="J247" s="9" t="s">
        <v>51</v>
      </c>
      <c r="K247">
        <v>1</v>
      </c>
      <c r="L247" s="6"/>
      <c r="M247">
        <v>31</v>
      </c>
      <c r="N247">
        <v>54</v>
      </c>
      <c r="O247">
        <v>49.500100000000003</v>
      </c>
      <c r="P247">
        <v>109.4235</v>
      </c>
      <c r="Q247">
        <v>250</v>
      </c>
      <c r="R247">
        <v>250</v>
      </c>
      <c r="S247">
        <v>19.8</v>
      </c>
      <c r="T247">
        <v>43.77</v>
      </c>
      <c r="U247">
        <v>0</v>
      </c>
      <c r="V247">
        <v>0</v>
      </c>
      <c r="W247">
        <v>0</v>
      </c>
      <c r="X247">
        <v>2.1968999999999999</v>
      </c>
      <c r="Y247">
        <v>140.57650000000001</v>
      </c>
      <c r="Z247">
        <v>200.4999</v>
      </c>
      <c r="AA247">
        <v>63.99</v>
      </c>
      <c r="AB247" s="6"/>
    </row>
    <row r="248" spans="1:28" x14ac:dyDescent="0.35">
      <c r="A248">
        <v>345</v>
      </c>
      <c r="B248" s="9" t="s">
        <v>344</v>
      </c>
      <c r="C248" s="9" t="s">
        <v>45</v>
      </c>
      <c r="D248" s="9" t="s">
        <v>46</v>
      </c>
      <c r="E248" s="9" t="s">
        <v>47</v>
      </c>
      <c r="F248">
        <v>18</v>
      </c>
      <c r="G248" s="9" t="s">
        <v>93</v>
      </c>
      <c r="H248" s="9" t="s">
        <v>49</v>
      </c>
      <c r="I248" s="9" t="s">
        <v>89</v>
      </c>
      <c r="J248" s="9" t="s">
        <v>90</v>
      </c>
      <c r="K248">
        <v>4</v>
      </c>
      <c r="L248" s="6"/>
      <c r="M248">
        <v>35</v>
      </c>
      <c r="N248">
        <v>256</v>
      </c>
      <c r="O248">
        <v>37.25</v>
      </c>
      <c r="P248">
        <v>65.582800000000006</v>
      </c>
      <c r="Q248">
        <v>150</v>
      </c>
      <c r="R248">
        <v>150</v>
      </c>
      <c r="S248">
        <v>24.83</v>
      </c>
      <c r="T248">
        <v>43.72</v>
      </c>
      <c r="U248">
        <v>0</v>
      </c>
      <c r="V248">
        <v>0</v>
      </c>
      <c r="W248">
        <v>0</v>
      </c>
      <c r="X248">
        <v>1.7137</v>
      </c>
      <c r="Y248">
        <v>84.417199999999994</v>
      </c>
      <c r="Z248">
        <v>112.75</v>
      </c>
      <c r="AA248">
        <v>49.26</v>
      </c>
      <c r="AB248" s="6"/>
    </row>
    <row r="249" spans="1:28" x14ac:dyDescent="0.35">
      <c r="A249">
        <v>712</v>
      </c>
      <c r="B249" s="9" t="s">
        <v>345</v>
      </c>
      <c r="C249" s="9" t="s">
        <v>69</v>
      </c>
      <c r="D249" s="9" t="s">
        <v>70</v>
      </c>
      <c r="E249" s="9" t="s">
        <v>71</v>
      </c>
      <c r="F249">
        <v>24</v>
      </c>
      <c r="G249" s="9" t="s">
        <v>95</v>
      </c>
      <c r="H249" s="9" t="s">
        <v>49</v>
      </c>
      <c r="I249" s="9" t="s">
        <v>57</v>
      </c>
      <c r="J249" s="9" t="s">
        <v>58</v>
      </c>
      <c r="K249">
        <v>1</v>
      </c>
      <c r="L249" s="6"/>
      <c r="M249">
        <v>37</v>
      </c>
      <c r="N249">
        <v>72</v>
      </c>
      <c r="O249">
        <v>65.316699999999997</v>
      </c>
      <c r="P249">
        <v>127.55459999999999</v>
      </c>
      <c r="Q249">
        <v>300</v>
      </c>
      <c r="R249">
        <v>300</v>
      </c>
      <c r="S249">
        <v>21.77</v>
      </c>
      <c r="T249">
        <v>42.52</v>
      </c>
      <c r="U249">
        <v>0</v>
      </c>
      <c r="V249">
        <v>0</v>
      </c>
      <c r="W249">
        <v>0</v>
      </c>
      <c r="X249">
        <v>1.9216</v>
      </c>
      <c r="Y249">
        <v>172.44540000000001</v>
      </c>
      <c r="Z249">
        <v>234.6833</v>
      </c>
      <c r="AA249">
        <v>89.74</v>
      </c>
      <c r="AB249" s="6"/>
    </row>
    <row r="250" spans="1:28" x14ac:dyDescent="0.35">
      <c r="A250">
        <v>1134</v>
      </c>
      <c r="B250" s="9" t="s">
        <v>346</v>
      </c>
      <c r="C250" s="9" t="s">
        <v>64</v>
      </c>
      <c r="D250" s="9" t="s">
        <v>65</v>
      </c>
      <c r="E250" s="9" t="s">
        <v>47</v>
      </c>
      <c r="F250">
        <v>12</v>
      </c>
      <c r="G250" s="9" t="s">
        <v>153</v>
      </c>
      <c r="H250" s="9" t="s">
        <v>82</v>
      </c>
      <c r="I250" s="9" t="s">
        <v>154</v>
      </c>
      <c r="J250" s="9" t="s">
        <v>155</v>
      </c>
      <c r="K250">
        <v>1</v>
      </c>
      <c r="L250" s="6"/>
      <c r="M250">
        <v>47</v>
      </c>
      <c r="N250">
        <v>107</v>
      </c>
      <c r="O250">
        <v>66.983099999999993</v>
      </c>
      <c r="P250">
        <v>84.423900000000003</v>
      </c>
      <c r="Q250">
        <v>200</v>
      </c>
      <c r="R250">
        <v>200</v>
      </c>
      <c r="S250">
        <v>33.49</v>
      </c>
      <c r="T250">
        <v>42.21</v>
      </c>
      <c r="U250">
        <v>0</v>
      </c>
      <c r="V250">
        <v>0</v>
      </c>
      <c r="W250">
        <v>0</v>
      </c>
      <c r="X250">
        <v>1.2827</v>
      </c>
      <c r="Y250">
        <v>115.5761</v>
      </c>
      <c r="Z250">
        <v>133.01689999999999</v>
      </c>
      <c r="AA250">
        <v>90.1</v>
      </c>
      <c r="AB250" s="6"/>
    </row>
    <row r="251" spans="1:28" x14ac:dyDescent="0.35">
      <c r="A251">
        <v>73</v>
      </c>
      <c r="B251" s="9" t="s">
        <v>347</v>
      </c>
      <c r="C251" s="9" t="s">
        <v>69</v>
      </c>
      <c r="D251" s="9" t="s">
        <v>70</v>
      </c>
      <c r="E251" s="9" t="s">
        <v>71</v>
      </c>
      <c r="F251">
        <v>24</v>
      </c>
      <c r="G251" s="9" t="s">
        <v>62</v>
      </c>
      <c r="H251" s="9" t="s">
        <v>56</v>
      </c>
      <c r="I251" s="9" t="s">
        <v>50</v>
      </c>
      <c r="J251" s="9" t="s">
        <v>51</v>
      </c>
      <c r="K251">
        <v>1</v>
      </c>
      <c r="L251" s="6"/>
      <c r="M251">
        <v>34</v>
      </c>
      <c r="N251">
        <v>54</v>
      </c>
      <c r="O251">
        <v>54.483199999999997</v>
      </c>
      <c r="P251">
        <v>123.6101</v>
      </c>
      <c r="Q251">
        <v>300</v>
      </c>
      <c r="R251">
        <v>300</v>
      </c>
      <c r="S251">
        <v>18.16</v>
      </c>
      <c r="T251">
        <v>41.2</v>
      </c>
      <c r="U251">
        <v>0</v>
      </c>
      <c r="V251">
        <v>0</v>
      </c>
      <c r="W251">
        <v>0</v>
      </c>
      <c r="X251">
        <v>2.2806999999999999</v>
      </c>
      <c r="Y251">
        <v>176.38990000000001</v>
      </c>
      <c r="Z251">
        <v>245.51679999999999</v>
      </c>
      <c r="AA251">
        <v>77.34</v>
      </c>
      <c r="AB251" s="6"/>
    </row>
    <row r="252" spans="1:28" x14ac:dyDescent="0.35">
      <c r="A252">
        <v>505</v>
      </c>
      <c r="B252" s="9" t="s">
        <v>348</v>
      </c>
      <c r="C252" s="9" t="s">
        <v>45</v>
      </c>
      <c r="D252" s="9" t="s">
        <v>46</v>
      </c>
      <c r="E252" s="9" t="s">
        <v>47</v>
      </c>
      <c r="F252">
        <v>18</v>
      </c>
      <c r="G252" s="9" t="s">
        <v>242</v>
      </c>
      <c r="H252" s="9" t="s">
        <v>49</v>
      </c>
      <c r="I252" s="9" t="s">
        <v>154</v>
      </c>
      <c r="J252" s="9" t="s">
        <v>155</v>
      </c>
      <c r="K252">
        <v>4</v>
      </c>
      <c r="L252" s="6"/>
      <c r="M252">
        <v>36</v>
      </c>
      <c r="N252">
        <v>60</v>
      </c>
      <c r="O252">
        <v>57.5501</v>
      </c>
      <c r="P252">
        <v>61.419600000000003</v>
      </c>
      <c r="Q252">
        <v>150</v>
      </c>
      <c r="R252">
        <v>150</v>
      </c>
      <c r="S252">
        <v>38.369999999999997</v>
      </c>
      <c r="T252">
        <v>40.950000000000003</v>
      </c>
      <c r="U252">
        <v>0</v>
      </c>
      <c r="V252">
        <v>0</v>
      </c>
      <c r="W252">
        <v>0</v>
      </c>
      <c r="X252">
        <v>1.0768</v>
      </c>
      <c r="Y252">
        <v>88.580399999999997</v>
      </c>
      <c r="Z252">
        <v>92.4499</v>
      </c>
      <c r="AA252">
        <v>82.26</v>
      </c>
      <c r="AB252" s="6"/>
    </row>
    <row r="253" spans="1:28" x14ac:dyDescent="0.35">
      <c r="A253">
        <v>493</v>
      </c>
      <c r="B253" s="9" t="s">
        <v>349</v>
      </c>
      <c r="C253" s="9" t="s">
        <v>45</v>
      </c>
      <c r="D253" s="9" t="s">
        <v>46</v>
      </c>
      <c r="E253" s="9" t="s">
        <v>47</v>
      </c>
      <c r="F253">
        <v>18</v>
      </c>
      <c r="G253" s="9" t="s">
        <v>242</v>
      </c>
      <c r="H253" s="9" t="s">
        <v>49</v>
      </c>
      <c r="I253" s="9" t="s">
        <v>154</v>
      </c>
      <c r="J253" s="9" t="s">
        <v>155</v>
      </c>
      <c r="K253">
        <v>1</v>
      </c>
      <c r="L253" s="6"/>
      <c r="M253">
        <v>36</v>
      </c>
      <c r="N253">
        <v>60</v>
      </c>
      <c r="O253">
        <v>57.5501</v>
      </c>
      <c r="P253">
        <v>61.419600000000003</v>
      </c>
      <c r="Q253">
        <v>150</v>
      </c>
      <c r="R253">
        <v>150</v>
      </c>
      <c r="S253">
        <v>38.369999999999997</v>
      </c>
      <c r="T253">
        <v>40.950000000000003</v>
      </c>
      <c r="U253">
        <v>0</v>
      </c>
      <c r="V253">
        <v>0</v>
      </c>
      <c r="W253">
        <v>0</v>
      </c>
      <c r="X253">
        <v>1.0768</v>
      </c>
      <c r="Y253">
        <v>88.580399999999997</v>
      </c>
      <c r="Z253">
        <v>92.4499</v>
      </c>
      <c r="AA253">
        <v>82.26</v>
      </c>
      <c r="AB253" s="6"/>
    </row>
    <row r="254" spans="1:28" x14ac:dyDescent="0.35">
      <c r="A254">
        <v>497</v>
      </c>
      <c r="B254" s="9" t="s">
        <v>350</v>
      </c>
      <c r="C254" s="9" t="s">
        <v>45</v>
      </c>
      <c r="D254" s="9" t="s">
        <v>46</v>
      </c>
      <c r="E254" s="9" t="s">
        <v>47</v>
      </c>
      <c r="F254">
        <v>18</v>
      </c>
      <c r="G254" s="9" t="s">
        <v>242</v>
      </c>
      <c r="H254" s="9" t="s">
        <v>49</v>
      </c>
      <c r="I254" s="9" t="s">
        <v>154</v>
      </c>
      <c r="J254" s="9" t="s">
        <v>155</v>
      </c>
      <c r="K254">
        <v>2</v>
      </c>
      <c r="L254" s="6"/>
      <c r="M254">
        <v>36</v>
      </c>
      <c r="N254">
        <v>60</v>
      </c>
      <c r="O254">
        <v>57.5501</v>
      </c>
      <c r="P254">
        <v>61.419600000000003</v>
      </c>
      <c r="Q254">
        <v>150</v>
      </c>
      <c r="R254">
        <v>150</v>
      </c>
      <c r="S254">
        <v>38.369999999999997</v>
      </c>
      <c r="T254">
        <v>40.950000000000003</v>
      </c>
      <c r="U254">
        <v>0</v>
      </c>
      <c r="V254">
        <v>0</v>
      </c>
      <c r="W254">
        <v>0</v>
      </c>
      <c r="X254">
        <v>1.0768</v>
      </c>
      <c r="Y254">
        <v>88.580399999999997</v>
      </c>
      <c r="Z254">
        <v>92.4499</v>
      </c>
      <c r="AA254">
        <v>82.26</v>
      </c>
      <c r="AB254" s="6"/>
    </row>
    <row r="255" spans="1:28" x14ac:dyDescent="0.35">
      <c r="A255">
        <v>1314</v>
      </c>
      <c r="B255" s="9" t="s">
        <v>351</v>
      </c>
      <c r="C255" s="9" t="s">
        <v>45</v>
      </c>
      <c r="D255" s="9" t="s">
        <v>46</v>
      </c>
      <c r="E255" s="9" t="s">
        <v>47</v>
      </c>
      <c r="F255">
        <v>18</v>
      </c>
      <c r="G255" s="9" t="s">
        <v>112</v>
      </c>
      <c r="H255" s="9" t="s">
        <v>56</v>
      </c>
      <c r="I255" s="9" t="s">
        <v>89</v>
      </c>
      <c r="J255" s="9" t="s">
        <v>90</v>
      </c>
      <c r="K255">
        <v>2</v>
      </c>
      <c r="L255" s="6"/>
      <c r="M255">
        <v>32</v>
      </c>
      <c r="N255">
        <v>275</v>
      </c>
      <c r="O255">
        <v>31.150300000000001</v>
      </c>
      <c r="P255">
        <v>61.072800000000001</v>
      </c>
      <c r="Q255">
        <v>150</v>
      </c>
      <c r="R255">
        <v>150</v>
      </c>
      <c r="S255">
        <v>20.77</v>
      </c>
      <c r="T255">
        <v>40.72</v>
      </c>
      <c r="U255">
        <v>0</v>
      </c>
      <c r="V255">
        <v>0</v>
      </c>
      <c r="W255">
        <v>0</v>
      </c>
      <c r="X255">
        <v>1.9300999999999999</v>
      </c>
      <c r="Y255">
        <v>88.927199999999999</v>
      </c>
      <c r="Z255">
        <v>118.8497</v>
      </c>
      <c r="AA255">
        <v>46.07</v>
      </c>
      <c r="AB255" s="6"/>
    </row>
    <row r="256" spans="1:28" x14ac:dyDescent="0.35">
      <c r="A256">
        <v>1422</v>
      </c>
      <c r="B256" s="9" t="s">
        <v>352</v>
      </c>
      <c r="C256" s="9" t="s">
        <v>69</v>
      </c>
      <c r="D256" s="9" t="s">
        <v>70</v>
      </c>
      <c r="E256" s="9" t="s">
        <v>71</v>
      </c>
      <c r="F256">
        <v>24</v>
      </c>
      <c r="G256" s="9" t="s">
        <v>209</v>
      </c>
      <c r="H256" s="9" t="s">
        <v>49</v>
      </c>
      <c r="I256" s="9" t="s">
        <v>154</v>
      </c>
      <c r="J256" s="9" t="s">
        <v>155</v>
      </c>
      <c r="K256">
        <v>1</v>
      </c>
      <c r="L256" s="6"/>
      <c r="M256">
        <v>68</v>
      </c>
      <c r="N256">
        <v>143</v>
      </c>
      <c r="O256">
        <v>101.36660000000001</v>
      </c>
      <c r="P256">
        <v>121.062</v>
      </c>
      <c r="Q256">
        <v>300</v>
      </c>
      <c r="R256">
        <v>300</v>
      </c>
      <c r="S256">
        <v>33.79</v>
      </c>
      <c r="T256">
        <v>40.35</v>
      </c>
      <c r="U256">
        <v>0</v>
      </c>
      <c r="V256">
        <v>0</v>
      </c>
      <c r="W256">
        <v>0</v>
      </c>
      <c r="X256">
        <v>1.1733</v>
      </c>
      <c r="Y256">
        <v>178.93799999999999</v>
      </c>
      <c r="Z256">
        <v>198.63339999999999</v>
      </c>
      <c r="AA256">
        <v>152.51</v>
      </c>
      <c r="AB256" s="6"/>
    </row>
    <row r="257" spans="1:28" x14ac:dyDescent="0.35">
      <c r="A257">
        <v>560</v>
      </c>
      <c r="B257" s="9" t="s">
        <v>353</v>
      </c>
      <c r="C257" s="9" t="s">
        <v>86</v>
      </c>
      <c r="D257" s="9" t="s">
        <v>87</v>
      </c>
      <c r="E257" s="9" t="s">
        <v>71</v>
      </c>
      <c r="F257">
        <v>6</v>
      </c>
      <c r="G257" s="9" t="s">
        <v>195</v>
      </c>
      <c r="H257" s="9" t="s">
        <v>56</v>
      </c>
      <c r="I257" s="9" t="s">
        <v>154</v>
      </c>
      <c r="J257" s="9" t="s">
        <v>155</v>
      </c>
      <c r="K257">
        <v>1</v>
      </c>
      <c r="L257" s="6"/>
      <c r="M257">
        <v>88</v>
      </c>
      <c r="N257">
        <v>185</v>
      </c>
      <c r="O257">
        <v>134.09970000000001</v>
      </c>
      <c r="P257">
        <v>159.13679999999999</v>
      </c>
      <c r="Q257">
        <v>400</v>
      </c>
      <c r="R257">
        <v>400</v>
      </c>
      <c r="S257">
        <v>33.520000000000003</v>
      </c>
      <c r="T257">
        <v>39.78</v>
      </c>
      <c r="U257">
        <v>0</v>
      </c>
      <c r="V257">
        <v>0</v>
      </c>
      <c r="W257">
        <v>0</v>
      </c>
      <c r="X257">
        <v>1.0819000000000001</v>
      </c>
      <c r="Y257">
        <v>240.86320000000001</v>
      </c>
      <c r="Z257">
        <v>265.90030000000002</v>
      </c>
      <c r="AA257">
        <v>222.63</v>
      </c>
      <c r="AB257" s="6"/>
    </row>
    <row r="258" spans="1:28" x14ac:dyDescent="0.35">
      <c r="A258">
        <v>872</v>
      </c>
      <c r="B258" s="9" t="s">
        <v>354</v>
      </c>
      <c r="C258" s="9" t="s">
        <v>64</v>
      </c>
      <c r="D258" s="9" t="s">
        <v>65</v>
      </c>
      <c r="E258" s="9" t="s">
        <v>47</v>
      </c>
      <c r="F258">
        <v>12</v>
      </c>
      <c r="G258" s="9" t="s">
        <v>77</v>
      </c>
      <c r="H258" s="9" t="s">
        <v>49</v>
      </c>
      <c r="I258" s="9" t="s">
        <v>50</v>
      </c>
      <c r="J258" s="9" t="s">
        <v>51</v>
      </c>
      <c r="K258">
        <v>1</v>
      </c>
      <c r="L258" s="6"/>
      <c r="M258">
        <v>22</v>
      </c>
      <c r="N258">
        <v>42</v>
      </c>
      <c r="O258">
        <v>35.033299999999997</v>
      </c>
      <c r="P258">
        <v>77.456299999999999</v>
      </c>
      <c r="Q258">
        <v>200</v>
      </c>
      <c r="R258">
        <v>200</v>
      </c>
      <c r="S258">
        <v>17.52</v>
      </c>
      <c r="T258">
        <v>38.729999999999997</v>
      </c>
      <c r="U258">
        <v>0</v>
      </c>
      <c r="V258">
        <v>0</v>
      </c>
      <c r="W258">
        <v>0</v>
      </c>
      <c r="X258">
        <v>2.1968999999999999</v>
      </c>
      <c r="Y258">
        <v>122.5437</v>
      </c>
      <c r="Z258">
        <v>164.9667</v>
      </c>
      <c r="AA258">
        <v>55.78</v>
      </c>
      <c r="AB258" s="6"/>
    </row>
    <row r="259" spans="1:28" x14ac:dyDescent="0.35">
      <c r="A259">
        <v>225</v>
      </c>
      <c r="B259" s="9" t="s">
        <v>355</v>
      </c>
      <c r="C259" s="9" t="s">
        <v>64</v>
      </c>
      <c r="D259" s="9" t="s">
        <v>65</v>
      </c>
      <c r="E259" s="9" t="s">
        <v>47</v>
      </c>
      <c r="F259">
        <v>12</v>
      </c>
      <c r="G259" s="9" t="s">
        <v>55</v>
      </c>
      <c r="H259" s="9" t="s">
        <v>56</v>
      </c>
      <c r="I259" s="9" t="s">
        <v>57</v>
      </c>
      <c r="J259" s="9" t="s">
        <v>58</v>
      </c>
      <c r="K259">
        <v>1</v>
      </c>
      <c r="L259" s="6"/>
      <c r="M259">
        <v>26</v>
      </c>
      <c r="N259">
        <v>62</v>
      </c>
      <c r="O259">
        <v>41.733199999999997</v>
      </c>
      <c r="P259">
        <v>77.269499999999994</v>
      </c>
      <c r="Q259">
        <v>200</v>
      </c>
      <c r="R259">
        <v>200</v>
      </c>
      <c r="S259">
        <v>20.87</v>
      </c>
      <c r="T259">
        <v>38.630000000000003</v>
      </c>
      <c r="U259">
        <v>0</v>
      </c>
      <c r="V259">
        <v>0</v>
      </c>
      <c r="W259">
        <v>0</v>
      </c>
      <c r="X259">
        <v>1.9127000000000001</v>
      </c>
      <c r="Y259">
        <v>122.73050000000001</v>
      </c>
      <c r="Z259">
        <v>158.26679999999999</v>
      </c>
      <c r="AA259">
        <v>64.17</v>
      </c>
      <c r="AB259" s="6"/>
    </row>
    <row r="260" spans="1:28" x14ac:dyDescent="0.35">
      <c r="A260">
        <v>1425</v>
      </c>
      <c r="B260" s="9" t="s">
        <v>356</v>
      </c>
      <c r="C260" s="9" t="s">
        <v>127</v>
      </c>
      <c r="D260" s="9" t="s">
        <v>128</v>
      </c>
      <c r="E260" s="9" t="s">
        <v>129</v>
      </c>
      <c r="F260">
        <v>4</v>
      </c>
      <c r="G260" s="9" t="s">
        <v>209</v>
      </c>
      <c r="H260" s="9" t="s">
        <v>49</v>
      </c>
      <c r="I260" s="9" t="s">
        <v>154</v>
      </c>
      <c r="J260" s="9" t="s">
        <v>155</v>
      </c>
      <c r="K260">
        <v>1</v>
      </c>
      <c r="L260" s="6"/>
      <c r="M260">
        <v>54</v>
      </c>
      <c r="N260">
        <v>113</v>
      </c>
      <c r="O260">
        <v>78.850099999999998</v>
      </c>
      <c r="P260">
        <v>96.439499999999995</v>
      </c>
      <c r="Q260">
        <v>250</v>
      </c>
      <c r="R260">
        <v>250</v>
      </c>
      <c r="S260">
        <v>31.54</v>
      </c>
      <c r="T260">
        <v>38.58</v>
      </c>
      <c r="U260">
        <v>0</v>
      </c>
      <c r="V260">
        <v>0</v>
      </c>
      <c r="W260">
        <v>0</v>
      </c>
      <c r="X260">
        <v>1.1733</v>
      </c>
      <c r="Y260">
        <v>153.56049999999999</v>
      </c>
      <c r="Z260">
        <v>171.1499</v>
      </c>
      <c r="AA260">
        <v>130.88</v>
      </c>
      <c r="AB260" s="6"/>
    </row>
    <row r="261" spans="1:28" x14ac:dyDescent="0.35">
      <c r="A261">
        <v>1138</v>
      </c>
      <c r="B261" s="9" t="s">
        <v>357</v>
      </c>
      <c r="C261" s="9" t="s">
        <v>64</v>
      </c>
      <c r="D261" s="9" t="s">
        <v>65</v>
      </c>
      <c r="E261" s="9" t="s">
        <v>47</v>
      </c>
      <c r="F261">
        <v>12</v>
      </c>
      <c r="G261" s="9" t="s">
        <v>153</v>
      </c>
      <c r="H261" s="9" t="s">
        <v>82</v>
      </c>
      <c r="I261" s="9" t="s">
        <v>154</v>
      </c>
      <c r="J261" s="9" t="s">
        <v>155</v>
      </c>
      <c r="K261">
        <v>2</v>
      </c>
      <c r="L261" s="6"/>
      <c r="M261">
        <v>42</v>
      </c>
      <c r="N261">
        <v>93</v>
      </c>
      <c r="O261">
        <v>60.7498</v>
      </c>
      <c r="P261">
        <v>76.912099999999995</v>
      </c>
      <c r="Q261">
        <v>200</v>
      </c>
      <c r="R261">
        <v>200</v>
      </c>
      <c r="S261">
        <v>30.37</v>
      </c>
      <c r="T261">
        <v>38.46</v>
      </c>
      <c r="U261">
        <v>0</v>
      </c>
      <c r="V261">
        <v>0</v>
      </c>
      <c r="W261">
        <v>0</v>
      </c>
      <c r="X261">
        <v>1.2827</v>
      </c>
      <c r="Y261">
        <v>123.0879</v>
      </c>
      <c r="Z261">
        <v>139.25020000000001</v>
      </c>
      <c r="AA261">
        <v>95.96</v>
      </c>
      <c r="AB261" s="6"/>
    </row>
    <row r="262" spans="1:28" x14ac:dyDescent="0.35">
      <c r="A262">
        <v>920</v>
      </c>
      <c r="B262" s="9" t="s">
        <v>358</v>
      </c>
      <c r="C262" s="9" t="s">
        <v>53</v>
      </c>
      <c r="D262" s="9" t="s">
        <v>54</v>
      </c>
      <c r="E262" s="9" t="s">
        <v>47</v>
      </c>
      <c r="F262">
        <v>8</v>
      </c>
      <c r="G262" s="9" t="s">
        <v>190</v>
      </c>
      <c r="H262" s="9" t="s">
        <v>56</v>
      </c>
      <c r="I262" s="9" t="s">
        <v>57</v>
      </c>
      <c r="J262" s="9" t="s">
        <v>58</v>
      </c>
      <c r="K262">
        <v>1</v>
      </c>
      <c r="L262" s="6"/>
      <c r="M262">
        <v>16</v>
      </c>
      <c r="N262">
        <v>41</v>
      </c>
      <c r="O262">
        <v>26.2333</v>
      </c>
      <c r="P262">
        <v>44.923400000000001</v>
      </c>
      <c r="Q262">
        <v>120</v>
      </c>
      <c r="R262">
        <v>120</v>
      </c>
      <c r="S262">
        <v>21.86</v>
      </c>
      <c r="T262">
        <v>37.44</v>
      </c>
      <c r="U262">
        <v>0</v>
      </c>
      <c r="V262">
        <v>0</v>
      </c>
      <c r="W262">
        <v>0</v>
      </c>
      <c r="X262">
        <v>1.8878999999999999</v>
      </c>
      <c r="Y262">
        <v>75.076599999999999</v>
      </c>
      <c r="Z262">
        <v>93.7667</v>
      </c>
      <c r="AA262">
        <v>39.770000000000003</v>
      </c>
      <c r="AB262" s="6"/>
    </row>
    <row r="263" spans="1:28" x14ac:dyDescent="0.35">
      <c r="A263">
        <v>897</v>
      </c>
      <c r="B263" s="9" t="s">
        <v>359</v>
      </c>
      <c r="C263" s="9" t="s">
        <v>45</v>
      </c>
      <c r="D263" s="9" t="s">
        <v>46</v>
      </c>
      <c r="E263" s="9" t="s">
        <v>47</v>
      </c>
      <c r="F263">
        <v>18</v>
      </c>
      <c r="G263" s="9" t="s">
        <v>77</v>
      </c>
      <c r="H263" s="9" t="s">
        <v>49</v>
      </c>
      <c r="I263" s="9" t="s">
        <v>50</v>
      </c>
      <c r="J263" s="9" t="s">
        <v>51</v>
      </c>
      <c r="K263">
        <v>2</v>
      </c>
      <c r="L263" s="6"/>
      <c r="M263">
        <v>15</v>
      </c>
      <c r="N263">
        <v>25</v>
      </c>
      <c r="O263">
        <v>24.066700000000001</v>
      </c>
      <c r="P263">
        <v>55.062100000000001</v>
      </c>
      <c r="Q263">
        <v>150</v>
      </c>
      <c r="R263">
        <v>150</v>
      </c>
      <c r="S263">
        <v>16.04</v>
      </c>
      <c r="T263">
        <v>36.71</v>
      </c>
      <c r="U263">
        <v>0</v>
      </c>
      <c r="V263">
        <v>0</v>
      </c>
      <c r="W263">
        <v>0</v>
      </c>
      <c r="X263">
        <v>2.1968999999999999</v>
      </c>
      <c r="Y263">
        <v>94.937899999999999</v>
      </c>
      <c r="Z263">
        <v>125.9333</v>
      </c>
      <c r="AA263">
        <v>43.21</v>
      </c>
      <c r="AB263" s="6"/>
    </row>
    <row r="264" spans="1:28" x14ac:dyDescent="0.35">
      <c r="A264">
        <v>454</v>
      </c>
      <c r="B264" s="9" t="s">
        <v>360</v>
      </c>
      <c r="C264" s="9" t="s">
        <v>45</v>
      </c>
      <c r="D264" s="9" t="s">
        <v>46</v>
      </c>
      <c r="E264" s="9" t="s">
        <v>47</v>
      </c>
      <c r="F264">
        <v>18</v>
      </c>
      <c r="G264" s="9" t="s">
        <v>255</v>
      </c>
      <c r="H264" s="9" t="s">
        <v>56</v>
      </c>
      <c r="I264" s="9" t="s">
        <v>154</v>
      </c>
      <c r="J264" s="9" t="s">
        <v>155</v>
      </c>
      <c r="K264">
        <v>3</v>
      </c>
      <c r="L264" s="6"/>
      <c r="M264">
        <v>28</v>
      </c>
      <c r="N264">
        <v>51</v>
      </c>
      <c r="O264">
        <v>46.700099999999999</v>
      </c>
      <c r="P264">
        <v>54.551699999999997</v>
      </c>
      <c r="Q264">
        <v>150</v>
      </c>
      <c r="R264">
        <v>150</v>
      </c>
      <c r="S264">
        <v>31.13</v>
      </c>
      <c r="T264">
        <v>36.369999999999997</v>
      </c>
      <c r="U264">
        <v>0</v>
      </c>
      <c r="V264">
        <v>0</v>
      </c>
      <c r="W264">
        <v>0</v>
      </c>
      <c r="X264">
        <v>1.1930000000000001</v>
      </c>
      <c r="Y264">
        <v>95.448300000000003</v>
      </c>
      <c r="Z264">
        <v>103.29989999999999</v>
      </c>
      <c r="AA264">
        <v>80.010000000000005</v>
      </c>
      <c r="AB264" s="6"/>
    </row>
    <row r="265" spans="1:28" x14ac:dyDescent="0.35">
      <c r="A265">
        <v>411</v>
      </c>
      <c r="B265" s="9" t="s">
        <v>361</v>
      </c>
      <c r="C265" s="9" t="s">
        <v>53</v>
      </c>
      <c r="D265" s="9" t="s">
        <v>54</v>
      </c>
      <c r="E265" s="9" t="s">
        <v>47</v>
      </c>
      <c r="F265">
        <v>8</v>
      </c>
      <c r="G265" s="9" t="s">
        <v>255</v>
      </c>
      <c r="H265" s="9" t="s">
        <v>56</v>
      </c>
      <c r="I265" s="9" t="s">
        <v>154</v>
      </c>
      <c r="J265" s="9" t="s">
        <v>155</v>
      </c>
      <c r="K265">
        <v>1</v>
      </c>
      <c r="L265" s="6"/>
      <c r="M265">
        <v>23</v>
      </c>
      <c r="N265">
        <v>36</v>
      </c>
      <c r="O265">
        <v>38.200000000000003</v>
      </c>
      <c r="P265">
        <v>42.889200000000002</v>
      </c>
      <c r="Q265">
        <v>120</v>
      </c>
      <c r="R265">
        <v>120</v>
      </c>
      <c r="S265">
        <v>31.83</v>
      </c>
      <c r="T265">
        <v>35.74</v>
      </c>
      <c r="U265">
        <v>0</v>
      </c>
      <c r="V265">
        <v>0</v>
      </c>
      <c r="W265">
        <v>0</v>
      </c>
      <c r="X265">
        <v>1.1930000000000001</v>
      </c>
      <c r="Y265">
        <v>77.110799999999998</v>
      </c>
      <c r="Z265">
        <v>81.8</v>
      </c>
      <c r="AA265">
        <v>64.64</v>
      </c>
      <c r="AB265" s="6"/>
    </row>
    <row r="266" spans="1:28" x14ac:dyDescent="0.35">
      <c r="A266">
        <v>417</v>
      </c>
      <c r="B266" s="9" t="s">
        <v>362</v>
      </c>
      <c r="C266" s="9" t="s">
        <v>53</v>
      </c>
      <c r="D266" s="9" t="s">
        <v>54</v>
      </c>
      <c r="E266" s="9" t="s">
        <v>47</v>
      </c>
      <c r="F266">
        <v>8</v>
      </c>
      <c r="G266" s="9" t="s">
        <v>255</v>
      </c>
      <c r="H266" s="9" t="s">
        <v>56</v>
      </c>
      <c r="I266" s="9" t="s">
        <v>154</v>
      </c>
      <c r="J266" s="9" t="s">
        <v>155</v>
      </c>
      <c r="K266">
        <v>2</v>
      </c>
      <c r="L266" s="6"/>
      <c r="M266">
        <v>23</v>
      </c>
      <c r="N266">
        <v>36</v>
      </c>
      <c r="O266">
        <v>38.200000000000003</v>
      </c>
      <c r="P266">
        <v>42.889200000000002</v>
      </c>
      <c r="Q266">
        <v>120</v>
      </c>
      <c r="R266">
        <v>120</v>
      </c>
      <c r="S266">
        <v>31.83</v>
      </c>
      <c r="T266">
        <v>35.74</v>
      </c>
      <c r="U266">
        <v>0</v>
      </c>
      <c r="V266">
        <v>0</v>
      </c>
      <c r="W266">
        <v>0</v>
      </c>
      <c r="X266">
        <v>1.1930000000000001</v>
      </c>
      <c r="Y266">
        <v>77.110799999999998</v>
      </c>
      <c r="Z266">
        <v>81.8</v>
      </c>
      <c r="AA266">
        <v>64.64</v>
      </c>
      <c r="AB266" s="6"/>
    </row>
    <row r="267" spans="1:28" x14ac:dyDescent="0.35">
      <c r="A267">
        <v>524</v>
      </c>
      <c r="B267" s="9" t="s">
        <v>363</v>
      </c>
      <c r="C267" s="9" t="s">
        <v>127</v>
      </c>
      <c r="D267" s="9" t="s">
        <v>128</v>
      </c>
      <c r="E267" s="9" t="s">
        <v>129</v>
      </c>
      <c r="F267">
        <v>4</v>
      </c>
      <c r="G267" s="9" t="s">
        <v>97</v>
      </c>
      <c r="H267" s="9" t="s">
        <v>49</v>
      </c>
      <c r="I267" s="9" t="s">
        <v>50</v>
      </c>
      <c r="J267" s="9" t="s">
        <v>51</v>
      </c>
      <c r="K267">
        <v>1</v>
      </c>
      <c r="L267" s="6"/>
      <c r="M267">
        <v>26</v>
      </c>
      <c r="N267">
        <v>46</v>
      </c>
      <c r="O267">
        <v>40.899799999999999</v>
      </c>
      <c r="P267">
        <v>87.95</v>
      </c>
      <c r="Q267">
        <v>250</v>
      </c>
      <c r="R267">
        <v>250</v>
      </c>
      <c r="S267">
        <v>16.36</v>
      </c>
      <c r="T267">
        <v>35.18</v>
      </c>
      <c r="U267">
        <v>0</v>
      </c>
      <c r="V267">
        <v>0</v>
      </c>
      <c r="W267">
        <v>0</v>
      </c>
      <c r="X267">
        <v>2.1760999999999999</v>
      </c>
      <c r="Y267">
        <v>162.05000000000001</v>
      </c>
      <c r="Z267">
        <v>209.1002</v>
      </c>
      <c r="AA267">
        <v>74.47</v>
      </c>
      <c r="AB267" s="6"/>
    </row>
    <row r="268" spans="1:28" x14ac:dyDescent="0.35">
      <c r="A268">
        <v>693</v>
      </c>
      <c r="B268" s="9" t="s">
        <v>364</v>
      </c>
      <c r="C268" s="9" t="s">
        <v>45</v>
      </c>
      <c r="D268" s="9" t="s">
        <v>46</v>
      </c>
      <c r="E268" s="9" t="s">
        <v>47</v>
      </c>
      <c r="F268">
        <v>18</v>
      </c>
      <c r="G268" s="9" t="s">
        <v>81</v>
      </c>
      <c r="H268" s="9" t="s">
        <v>82</v>
      </c>
      <c r="I268" s="9" t="s">
        <v>57</v>
      </c>
      <c r="J268" s="9" t="s">
        <v>58</v>
      </c>
      <c r="K268">
        <v>4</v>
      </c>
      <c r="L268" s="6"/>
      <c r="M268">
        <v>18</v>
      </c>
      <c r="N268">
        <v>43</v>
      </c>
      <c r="O268">
        <v>29.2</v>
      </c>
      <c r="P268">
        <v>50.9268</v>
      </c>
      <c r="Q268">
        <v>150</v>
      </c>
      <c r="R268">
        <v>150</v>
      </c>
      <c r="S268">
        <v>19.47</v>
      </c>
      <c r="T268">
        <v>33.950000000000003</v>
      </c>
      <c r="U268">
        <v>0</v>
      </c>
      <c r="V268">
        <v>0</v>
      </c>
      <c r="W268">
        <v>0</v>
      </c>
      <c r="X268">
        <v>1.8671</v>
      </c>
      <c r="Y268">
        <v>99.0732</v>
      </c>
      <c r="Z268">
        <v>120.8</v>
      </c>
      <c r="AA268">
        <v>53.06</v>
      </c>
      <c r="AB268" s="6"/>
    </row>
    <row r="269" spans="1:28" x14ac:dyDescent="0.35">
      <c r="A269">
        <v>238</v>
      </c>
      <c r="B269" s="9" t="s">
        <v>365</v>
      </c>
      <c r="C269" s="9" t="s">
        <v>64</v>
      </c>
      <c r="D269" s="9" t="s">
        <v>65</v>
      </c>
      <c r="E269" s="9" t="s">
        <v>47</v>
      </c>
      <c r="F269">
        <v>12</v>
      </c>
      <c r="G269" s="9" t="s">
        <v>55</v>
      </c>
      <c r="H269" s="9" t="s">
        <v>56</v>
      </c>
      <c r="I269" s="9" t="s">
        <v>57</v>
      </c>
      <c r="J269" s="9" t="s">
        <v>58</v>
      </c>
      <c r="K269">
        <v>4</v>
      </c>
      <c r="L269" s="6"/>
      <c r="M269">
        <v>24</v>
      </c>
      <c r="N269">
        <v>59</v>
      </c>
      <c r="O269">
        <v>37.4666</v>
      </c>
      <c r="P269">
        <v>67.709699999999998</v>
      </c>
      <c r="Q269">
        <v>200</v>
      </c>
      <c r="R269">
        <v>200</v>
      </c>
      <c r="S269">
        <v>18.73</v>
      </c>
      <c r="T269">
        <v>33.85</v>
      </c>
      <c r="U269">
        <v>0</v>
      </c>
      <c r="V269">
        <v>0</v>
      </c>
      <c r="W269">
        <v>0</v>
      </c>
      <c r="X269">
        <v>1.9127000000000001</v>
      </c>
      <c r="Y269">
        <v>132.2903</v>
      </c>
      <c r="Z269">
        <v>162.5334</v>
      </c>
      <c r="AA269">
        <v>69.16</v>
      </c>
      <c r="AB269" s="6"/>
    </row>
    <row r="270" spans="1:28" x14ac:dyDescent="0.35">
      <c r="A270">
        <v>1409</v>
      </c>
      <c r="B270" s="9" t="s">
        <v>366</v>
      </c>
      <c r="C270" s="9" t="s">
        <v>86</v>
      </c>
      <c r="D270" s="9" t="s">
        <v>87</v>
      </c>
      <c r="E270" s="9" t="s">
        <v>71</v>
      </c>
      <c r="F270">
        <v>6</v>
      </c>
      <c r="G270" s="9" t="s">
        <v>209</v>
      </c>
      <c r="H270" s="9" t="s">
        <v>49</v>
      </c>
      <c r="I270" s="9" t="s">
        <v>154</v>
      </c>
      <c r="J270" s="9" t="s">
        <v>155</v>
      </c>
      <c r="K270">
        <v>1</v>
      </c>
      <c r="L270" s="6"/>
      <c r="M270">
        <v>76</v>
      </c>
      <c r="N270">
        <v>157</v>
      </c>
      <c r="O270">
        <v>111.7332</v>
      </c>
      <c r="P270">
        <v>132.14689999999999</v>
      </c>
      <c r="Q270">
        <v>400</v>
      </c>
      <c r="R270">
        <v>400</v>
      </c>
      <c r="S270">
        <v>27.93</v>
      </c>
      <c r="T270">
        <v>33.04</v>
      </c>
      <c r="U270">
        <v>0</v>
      </c>
      <c r="V270">
        <v>0</v>
      </c>
      <c r="W270">
        <v>0</v>
      </c>
      <c r="X270">
        <v>1.1733</v>
      </c>
      <c r="Y270">
        <v>267.85309999999998</v>
      </c>
      <c r="Z270">
        <v>288.26679999999999</v>
      </c>
      <c r="AA270">
        <v>228.29</v>
      </c>
      <c r="AB270" s="6"/>
    </row>
    <row r="271" spans="1:28" x14ac:dyDescent="0.35">
      <c r="A271">
        <v>529</v>
      </c>
      <c r="B271" s="9" t="s">
        <v>367</v>
      </c>
      <c r="C271" s="9" t="s">
        <v>64</v>
      </c>
      <c r="D271" s="9" t="s">
        <v>65</v>
      </c>
      <c r="E271" s="9" t="s">
        <v>47</v>
      </c>
      <c r="F271">
        <v>12</v>
      </c>
      <c r="G271" s="9" t="s">
        <v>97</v>
      </c>
      <c r="H271" s="9" t="s">
        <v>49</v>
      </c>
      <c r="I271" s="9" t="s">
        <v>50</v>
      </c>
      <c r="J271" s="9" t="s">
        <v>51</v>
      </c>
      <c r="K271">
        <v>1</v>
      </c>
      <c r="L271" s="6"/>
      <c r="M271">
        <v>20</v>
      </c>
      <c r="N271">
        <v>32</v>
      </c>
      <c r="O271">
        <v>31.4998</v>
      </c>
      <c r="P271">
        <v>65.708100000000002</v>
      </c>
      <c r="Q271">
        <v>200</v>
      </c>
      <c r="R271">
        <v>200</v>
      </c>
      <c r="S271">
        <v>15.75</v>
      </c>
      <c r="T271">
        <v>32.85</v>
      </c>
      <c r="U271">
        <v>0</v>
      </c>
      <c r="V271">
        <v>0</v>
      </c>
      <c r="W271">
        <v>0</v>
      </c>
      <c r="X271">
        <v>2.1760999999999999</v>
      </c>
      <c r="Y271">
        <v>134.2919</v>
      </c>
      <c r="Z271">
        <v>168.50020000000001</v>
      </c>
      <c r="AA271">
        <v>61.71</v>
      </c>
      <c r="AB271" s="6"/>
    </row>
    <row r="272" spans="1:28" x14ac:dyDescent="0.35">
      <c r="A272">
        <v>1317</v>
      </c>
      <c r="B272" s="9" t="s">
        <v>368</v>
      </c>
      <c r="C272" s="9" t="s">
        <v>45</v>
      </c>
      <c r="D272" s="9" t="s">
        <v>46</v>
      </c>
      <c r="E272" s="9" t="s">
        <v>47</v>
      </c>
      <c r="F272">
        <v>18</v>
      </c>
      <c r="G272" s="9" t="s">
        <v>112</v>
      </c>
      <c r="H272" s="9" t="s">
        <v>56</v>
      </c>
      <c r="I272" s="9" t="s">
        <v>89</v>
      </c>
      <c r="J272" s="9" t="s">
        <v>90</v>
      </c>
      <c r="K272">
        <v>3</v>
      </c>
      <c r="L272" s="6"/>
      <c r="M272">
        <v>26</v>
      </c>
      <c r="N272">
        <v>218</v>
      </c>
      <c r="O272">
        <v>25.233599999999999</v>
      </c>
      <c r="P272">
        <v>48.824800000000003</v>
      </c>
      <c r="Q272">
        <v>150</v>
      </c>
      <c r="R272">
        <v>150</v>
      </c>
      <c r="S272">
        <v>16.82</v>
      </c>
      <c r="T272">
        <v>32.549999999999997</v>
      </c>
      <c r="U272">
        <v>0</v>
      </c>
      <c r="V272">
        <v>0</v>
      </c>
      <c r="W272">
        <v>0</v>
      </c>
      <c r="X272">
        <v>1.9300999999999999</v>
      </c>
      <c r="Y272">
        <v>101.1752</v>
      </c>
      <c r="Z272">
        <v>124.7664</v>
      </c>
      <c r="AA272">
        <v>52.42</v>
      </c>
      <c r="AB272" s="6"/>
    </row>
    <row r="273" spans="1:28" x14ac:dyDescent="0.35">
      <c r="A273">
        <v>369</v>
      </c>
      <c r="B273" s="9" t="s">
        <v>369</v>
      </c>
      <c r="C273" s="9" t="s">
        <v>64</v>
      </c>
      <c r="D273" s="9" t="s">
        <v>65</v>
      </c>
      <c r="E273" s="9" t="s">
        <v>47</v>
      </c>
      <c r="F273">
        <v>12</v>
      </c>
      <c r="G273" s="9" t="s">
        <v>48</v>
      </c>
      <c r="H273" s="9" t="s">
        <v>49</v>
      </c>
      <c r="I273" s="9" t="s">
        <v>50</v>
      </c>
      <c r="J273" s="9" t="s">
        <v>51</v>
      </c>
      <c r="K273">
        <v>1</v>
      </c>
      <c r="L273" s="6"/>
      <c r="M273">
        <v>16</v>
      </c>
      <c r="N273">
        <v>33</v>
      </c>
      <c r="O273">
        <v>27.2166</v>
      </c>
      <c r="P273">
        <v>64.805499999999995</v>
      </c>
      <c r="Q273">
        <v>200</v>
      </c>
      <c r="R273">
        <v>200</v>
      </c>
      <c r="S273">
        <v>13.61</v>
      </c>
      <c r="T273">
        <v>32.4</v>
      </c>
      <c r="U273">
        <v>0</v>
      </c>
      <c r="V273">
        <v>0</v>
      </c>
      <c r="W273">
        <v>0</v>
      </c>
      <c r="X273">
        <v>2.3105000000000002</v>
      </c>
      <c r="Y273">
        <v>135.19450000000001</v>
      </c>
      <c r="Z273">
        <v>172.7834</v>
      </c>
      <c r="AA273">
        <v>58.51</v>
      </c>
      <c r="AB273" s="6"/>
    </row>
    <row r="274" spans="1:28" x14ac:dyDescent="0.35">
      <c r="A274">
        <v>1247</v>
      </c>
      <c r="B274" s="9" t="s">
        <v>370</v>
      </c>
      <c r="C274" s="9" t="s">
        <v>64</v>
      </c>
      <c r="D274" s="9" t="s">
        <v>65</v>
      </c>
      <c r="E274" s="9" t="s">
        <v>47</v>
      </c>
      <c r="F274">
        <v>12</v>
      </c>
      <c r="G274" s="9" t="s">
        <v>79</v>
      </c>
      <c r="H274" s="9" t="s">
        <v>56</v>
      </c>
      <c r="I274" s="9" t="s">
        <v>50</v>
      </c>
      <c r="J274" s="9" t="s">
        <v>51</v>
      </c>
      <c r="K274">
        <v>1</v>
      </c>
      <c r="L274" s="6"/>
      <c r="M274">
        <v>16</v>
      </c>
      <c r="N274">
        <v>26</v>
      </c>
      <c r="O274">
        <v>27.833300000000001</v>
      </c>
      <c r="P274">
        <v>63.199599999999997</v>
      </c>
      <c r="Q274">
        <v>200</v>
      </c>
      <c r="R274">
        <v>200</v>
      </c>
      <c r="S274">
        <v>13.92</v>
      </c>
      <c r="T274">
        <v>31.6</v>
      </c>
      <c r="U274">
        <v>0</v>
      </c>
      <c r="V274">
        <v>0</v>
      </c>
      <c r="W274">
        <v>0</v>
      </c>
      <c r="X274">
        <v>2.1718000000000002</v>
      </c>
      <c r="Y274">
        <v>136.8004</v>
      </c>
      <c r="Z274">
        <v>172.16669999999999</v>
      </c>
      <c r="AA274">
        <v>62.99</v>
      </c>
      <c r="AB274" s="6"/>
    </row>
    <row r="275" spans="1:28" x14ac:dyDescent="0.35">
      <c r="A275">
        <v>1028</v>
      </c>
      <c r="B275" s="9" t="s">
        <v>371</v>
      </c>
      <c r="C275" s="9" t="s">
        <v>45</v>
      </c>
      <c r="D275" s="9" t="s">
        <v>46</v>
      </c>
      <c r="E275" s="9" t="s">
        <v>47</v>
      </c>
      <c r="F275">
        <v>18</v>
      </c>
      <c r="G275" s="9" t="s">
        <v>60</v>
      </c>
      <c r="H275" s="9" t="s">
        <v>56</v>
      </c>
      <c r="I275" s="9" t="s">
        <v>50</v>
      </c>
      <c r="J275" s="9" t="s">
        <v>51</v>
      </c>
      <c r="K275">
        <v>4</v>
      </c>
      <c r="L275" s="6"/>
      <c r="M275">
        <v>13</v>
      </c>
      <c r="N275">
        <v>19</v>
      </c>
      <c r="O275">
        <v>21.566600000000001</v>
      </c>
      <c r="P275">
        <v>46.877200000000002</v>
      </c>
      <c r="Q275">
        <v>150</v>
      </c>
      <c r="R275">
        <v>150</v>
      </c>
      <c r="S275">
        <v>14.38</v>
      </c>
      <c r="T275">
        <v>31.25</v>
      </c>
      <c r="U275">
        <v>0</v>
      </c>
      <c r="V275">
        <v>0</v>
      </c>
      <c r="W275">
        <v>0</v>
      </c>
      <c r="X275">
        <v>2.2582</v>
      </c>
      <c r="Y275">
        <v>103.1228</v>
      </c>
      <c r="Z275">
        <v>128.43340000000001</v>
      </c>
      <c r="AA275">
        <v>45.67</v>
      </c>
      <c r="AB275" s="6"/>
    </row>
    <row r="276" spans="1:28" x14ac:dyDescent="0.35">
      <c r="A276">
        <v>1526</v>
      </c>
      <c r="B276" s="9" t="s">
        <v>372</v>
      </c>
      <c r="C276" s="9" t="s">
        <v>64</v>
      </c>
      <c r="D276" s="9" t="s">
        <v>65</v>
      </c>
      <c r="E276" s="9" t="s">
        <v>47</v>
      </c>
      <c r="F276">
        <v>12</v>
      </c>
      <c r="G276" s="9" t="s">
        <v>178</v>
      </c>
      <c r="H276" s="9" t="s">
        <v>56</v>
      </c>
      <c r="I276" s="9" t="s">
        <v>154</v>
      </c>
      <c r="J276" s="9" t="s">
        <v>155</v>
      </c>
      <c r="K276">
        <v>2</v>
      </c>
      <c r="L276" s="6"/>
      <c r="M276">
        <v>36</v>
      </c>
      <c r="N276">
        <v>66</v>
      </c>
      <c r="O276">
        <v>54.583199999999998</v>
      </c>
      <c r="P276">
        <v>61.817500000000003</v>
      </c>
      <c r="Q276">
        <v>200</v>
      </c>
      <c r="R276">
        <v>200</v>
      </c>
      <c r="S276">
        <v>27.29</v>
      </c>
      <c r="T276">
        <v>30.91</v>
      </c>
      <c r="U276">
        <v>0</v>
      </c>
      <c r="V276">
        <v>0</v>
      </c>
      <c r="W276">
        <v>0</v>
      </c>
      <c r="X276">
        <v>1.1561999999999999</v>
      </c>
      <c r="Y276">
        <v>138.1825</v>
      </c>
      <c r="Z276">
        <v>145.41679999999999</v>
      </c>
      <c r="AA276">
        <v>119.51</v>
      </c>
      <c r="AB276" s="6"/>
    </row>
    <row r="277" spans="1:28" x14ac:dyDescent="0.35">
      <c r="A277">
        <v>1532</v>
      </c>
      <c r="B277" s="9" t="s">
        <v>373</v>
      </c>
      <c r="C277" s="9" t="s">
        <v>64</v>
      </c>
      <c r="D277" s="9" t="s">
        <v>65</v>
      </c>
      <c r="E277" s="9" t="s">
        <v>47</v>
      </c>
      <c r="F277">
        <v>12</v>
      </c>
      <c r="G277" s="9" t="s">
        <v>178</v>
      </c>
      <c r="H277" s="9" t="s">
        <v>56</v>
      </c>
      <c r="I277" s="9" t="s">
        <v>154</v>
      </c>
      <c r="J277" s="9" t="s">
        <v>155</v>
      </c>
      <c r="K277">
        <v>4</v>
      </c>
      <c r="L277" s="6"/>
      <c r="M277">
        <v>36</v>
      </c>
      <c r="N277">
        <v>66</v>
      </c>
      <c r="O277">
        <v>54.583199999999998</v>
      </c>
      <c r="P277">
        <v>61.817500000000003</v>
      </c>
      <c r="Q277">
        <v>200</v>
      </c>
      <c r="R277">
        <v>200</v>
      </c>
      <c r="S277">
        <v>27.29</v>
      </c>
      <c r="T277">
        <v>30.91</v>
      </c>
      <c r="U277">
        <v>0</v>
      </c>
      <c r="V277">
        <v>0</v>
      </c>
      <c r="W277">
        <v>0</v>
      </c>
      <c r="X277">
        <v>1.1561999999999999</v>
      </c>
      <c r="Y277">
        <v>138.1825</v>
      </c>
      <c r="Z277">
        <v>145.41679999999999</v>
      </c>
      <c r="AA277">
        <v>119.51</v>
      </c>
      <c r="AB277" s="6"/>
    </row>
    <row r="278" spans="1:28" x14ac:dyDescent="0.35">
      <c r="A278">
        <v>39</v>
      </c>
      <c r="B278" s="9" t="s">
        <v>374</v>
      </c>
      <c r="C278" s="9" t="s">
        <v>45</v>
      </c>
      <c r="D278" s="9" t="s">
        <v>46</v>
      </c>
      <c r="E278" s="9" t="s">
        <v>47</v>
      </c>
      <c r="F278">
        <v>18</v>
      </c>
      <c r="G278" s="9" t="s">
        <v>99</v>
      </c>
      <c r="H278" s="9" t="s">
        <v>56</v>
      </c>
      <c r="I278" s="9" t="s">
        <v>57</v>
      </c>
      <c r="J278" s="9" t="s">
        <v>58</v>
      </c>
      <c r="K278">
        <v>1</v>
      </c>
      <c r="L278" s="6"/>
      <c r="M278">
        <v>13</v>
      </c>
      <c r="N278">
        <v>28</v>
      </c>
      <c r="O278">
        <v>22.433399999999999</v>
      </c>
      <c r="P278">
        <v>46.240600000000001</v>
      </c>
      <c r="Q278">
        <v>150</v>
      </c>
      <c r="R278">
        <v>150</v>
      </c>
      <c r="S278">
        <v>14.96</v>
      </c>
      <c r="T278">
        <v>30.83</v>
      </c>
      <c r="U278">
        <v>0</v>
      </c>
      <c r="V278">
        <v>0</v>
      </c>
      <c r="W278">
        <v>0</v>
      </c>
      <c r="X278">
        <v>2.0638000000000001</v>
      </c>
      <c r="Y278">
        <v>103.7594</v>
      </c>
      <c r="Z278">
        <v>127.56659999999999</v>
      </c>
      <c r="AA278">
        <v>50.28</v>
      </c>
      <c r="AB278" s="6"/>
    </row>
    <row r="279" spans="1:28" x14ac:dyDescent="0.35">
      <c r="A279">
        <v>1037</v>
      </c>
      <c r="B279" s="9" t="s">
        <v>375</v>
      </c>
      <c r="C279" s="9" t="s">
        <v>53</v>
      </c>
      <c r="D279" s="9" t="s">
        <v>54</v>
      </c>
      <c r="E279" s="9" t="s">
        <v>47</v>
      </c>
      <c r="F279">
        <v>8</v>
      </c>
      <c r="G279" s="9" t="s">
        <v>88</v>
      </c>
      <c r="H279" s="9" t="s">
        <v>56</v>
      </c>
      <c r="I279" s="9" t="s">
        <v>89</v>
      </c>
      <c r="J279" s="9" t="s">
        <v>90</v>
      </c>
      <c r="K279">
        <v>2</v>
      </c>
      <c r="L279" s="6"/>
      <c r="M279">
        <v>19</v>
      </c>
      <c r="N279">
        <v>171</v>
      </c>
      <c r="O279">
        <v>17.650099999999998</v>
      </c>
      <c r="P279">
        <v>36.4099</v>
      </c>
      <c r="Q279">
        <v>120</v>
      </c>
      <c r="R279">
        <v>120</v>
      </c>
      <c r="S279">
        <v>14.71</v>
      </c>
      <c r="T279">
        <v>30.34</v>
      </c>
      <c r="U279">
        <v>0</v>
      </c>
      <c r="V279">
        <v>0</v>
      </c>
      <c r="W279">
        <v>0</v>
      </c>
      <c r="X279">
        <v>1.9149</v>
      </c>
      <c r="Y279">
        <v>83.590100000000007</v>
      </c>
      <c r="Z279">
        <v>102.34990000000001</v>
      </c>
      <c r="AA279">
        <v>43.65</v>
      </c>
      <c r="AB279" s="6"/>
    </row>
    <row r="280" spans="1:28" x14ac:dyDescent="0.35">
      <c r="A280">
        <v>377</v>
      </c>
      <c r="B280" s="9" t="s">
        <v>376</v>
      </c>
      <c r="C280" s="9" t="s">
        <v>64</v>
      </c>
      <c r="D280" s="9" t="s">
        <v>65</v>
      </c>
      <c r="E280" s="9" t="s">
        <v>47</v>
      </c>
      <c r="F280">
        <v>12</v>
      </c>
      <c r="G280" s="9" t="s">
        <v>48</v>
      </c>
      <c r="H280" s="9" t="s">
        <v>49</v>
      </c>
      <c r="I280" s="9" t="s">
        <v>50</v>
      </c>
      <c r="J280" s="9" t="s">
        <v>51</v>
      </c>
      <c r="K280">
        <v>3</v>
      </c>
      <c r="L280" s="6"/>
      <c r="M280">
        <v>15</v>
      </c>
      <c r="N280">
        <v>31</v>
      </c>
      <c r="O280">
        <v>25.416599999999999</v>
      </c>
      <c r="P280">
        <v>60.230899999999998</v>
      </c>
      <c r="Q280">
        <v>200</v>
      </c>
      <c r="R280">
        <v>200</v>
      </c>
      <c r="S280">
        <v>12.71</v>
      </c>
      <c r="T280">
        <v>30.12</v>
      </c>
      <c r="U280">
        <v>0</v>
      </c>
      <c r="V280">
        <v>0</v>
      </c>
      <c r="W280">
        <v>0</v>
      </c>
      <c r="X280">
        <v>2.3105000000000002</v>
      </c>
      <c r="Y280">
        <v>139.76910000000001</v>
      </c>
      <c r="Z280">
        <v>174.58340000000001</v>
      </c>
      <c r="AA280">
        <v>60.49</v>
      </c>
      <c r="AB280" s="6"/>
    </row>
    <row r="281" spans="1:28" x14ac:dyDescent="0.35">
      <c r="A281">
        <v>461</v>
      </c>
      <c r="B281" s="9" t="s">
        <v>377</v>
      </c>
      <c r="C281" s="9" t="s">
        <v>86</v>
      </c>
      <c r="D281" s="9" t="s">
        <v>87</v>
      </c>
      <c r="E281" s="9" t="s">
        <v>71</v>
      </c>
      <c r="F281">
        <v>6</v>
      </c>
      <c r="G281" s="9" t="s">
        <v>242</v>
      </c>
      <c r="H281" s="9" t="s">
        <v>49</v>
      </c>
      <c r="I281" s="9" t="s">
        <v>154</v>
      </c>
      <c r="J281" s="9" t="s">
        <v>155</v>
      </c>
      <c r="K281">
        <v>1</v>
      </c>
      <c r="L281" s="6"/>
      <c r="M281">
        <v>66</v>
      </c>
      <c r="N281">
        <v>123</v>
      </c>
      <c r="O281">
        <v>108.6001</v>
      </c>
      <c r="P281">
        <v>117.749</v>
      </c>
      <c r="Q281">
        <v>400</v>
      </c>
      <c r="R281">
        <v>400</v>
      </c>
      <c r="S281">
        <v>27.15</v>
      </c>
      <c r="T281">
        <v>29.44</v>
      </c>
      <c r="U281">
        <v>0</v>
      </c>
      <c r="V281">
        <v>0</v>
      </c>
      <c r="W281">
        <v>0</v>
      </c>
      <c r="X281">
        <v>1.0768</v>
      </c>
      <c r="Y281">
        <v>282.25099999999998</v>
      </c>
      <c r="Z281">
        <v>291.3999</v>
      </c>
      <c r="AA281">
        <v>262.12</v>
      </c>
      <c r="AB281" s="6"/>
    </row>
    <row r="282" spans="1:28" x14ac:dyDescent="0.35">
      <c r="A282">
        <v>1272</v>
      </c>
      <c r="B282" s="9" t="s">
        <v>378</v>
      </c>
      <c r="C282" s="9" t="s">
        <v>45</v>
      </c>
      <c r="D282" s="9" t="s">
        <v>46</v>
      </c>
      <c r="E282" s="9" t="s">
        <v>47</v>
      </c>
      <c r="F282">
        <v>18</v>
      </c>
      <c r="G282" s="9" t="s">
        <v>79</v>
      </c>
      <c r="H282" s="9" t="s">
        <v>56</v>
      </c>
      <c r="I282" s="9" t="s">
        <v>50</v>
      </c>
      <c r="J282" s="9" t="s">
        <v>51</v>
      </c>
      <c r="K282">
        <v>2</v>
      </c>
      <c r="L282" s="6"/>
      <c r="M282">
        <v>11</v>
      </c>
      <c r="N282">
        <v>20</v>
      </c>
      <c r="O282">
        <v>18.2333</v>
      </c>
      <c r="P282">
        <v>42.9084</v>
      </c>
      <c r="Q282">
        <v>150</v>
      </c>
      <c r="R282">
        <v>150</v>
      </c>
      <c r="S282">
        <v>12.16</v>
      </c>
      <c r="T282">
        <v>28.61</v>
      </c>
      <c r="U282">
        <v>0</v>
      </c>
      <c r="V282">
        <v>0</v>
      </c>
      <c r="W282">
        <v>0</v>
      </c>
      <c r="X282">
        <v>2.1718000000000002</v>
      </c>
      <c r="Y282">
        <v>107.0916</v>
      </c>
      <c r="Z282">
        <v>131.76669999999999</v>
      </c>
      <c r="AA282">
        <v>49.31</v>
      </c>
      <c r="AB282" s="6"/>
    </row>
    <row r="283" spans="1:28" x14ac:dyDescent="0.35">
      <c r="A283">
        <v>533</v>
      </c>
      <c r="B283" s="9" t="s">
        <v>379</v>
      </c>
      <c r="C283" s="9" t="s">
        <v>64</v>
      </c>
      <c r="D283" s="9" t="s">
        <v>65</v>
      </c>
      <c r="E283" s="9" t="s">
        <v>47</v>
      </c>
      <c r="F283">
        <v>12</v>
      </c>
      <c r="G283" s="9" t="s">
        <v>97</v>
      </c>
      <c r="H283" s="9" t="s">
        <v>49</v>
      </c>
      <c r="I283" s="9" t="s">
        <v>50</v>
      </c>
      <c r="J283" s="9" t="s">
        <v>51</v>
      </c>
      <c r="K283">
        <v>2</v>
      </c>
      <c r="L283" s="6"/>
      <c r="M283">
        <v>17</v>
      </c>
      <c r="N283">
        <v>28</v>
      </c>
      <c r="O283">
        <v>26.7165</v>
      </c>
      <c r="P283">
        <v>56.866799999999998</v>
      </c>
      <c r="Q283">
        <v>200</v>
      </c>
      <c r="R283">
        <v>200</v>
      </c>
      <c r="S283">
        <v>13.36</v>
      </c>
      <c r="T283">
        <v>28.43</v>
      </c>
      <c r="U283">
        <v>0</v>
      </c>
      <c r="V283">
        <v>0</v>
      </c>
      <c r="W283">
        <v>0</v>
      </c>
      <c r="X283">
        <v>2.1760999999999999</v>
      </c>
      <c r="Y283">
        <v>143.13319999999999</v>
      </c>
      <c r="Z283">
        <v>173.2835</v>
      </c>
      <c r="AA283">
        <v>65.78</v>
      </c>
      <c r="AB283" s="6"/>
    </row>
    <row r="284" spans="1:28" x14ac:dyDescent="0.35">
      <c r="A284">
        <v>172</v>
      </c>
      <c r="B284" s="9" t="s">
        <v>380</v>
      </c>
      <c r="C284" s="9" t="s">
        <v>127</v>
      </c>
      <c r="D284" s="9" t="s">
        <v>128</v>
      </c>
      <c r="E284" s="9" t="s">
        <v>129</v>
      </c>
      <c r="F284">
        <v>4</v>
      </c>
      <c r="G284" s="9" t="s">
        <v>192</v>
      </c>
      <c r="H284" s="9" t="s">
        <v>49</v>
      </c>
      <c r="I284" s="9" t="s">
        <v>154</v>
      </c>
      <c r="J284" s="9" t="s">
        <v>155</v>
      </c>
      <c r="K284">
        <v>1</v>
      </c>
      <c r="L284" s="6"/>
      <c r="M284">
        <v>42</v>
      </c>
      <c r="N284">
        <v>80</v>
      </c>
      <c r="O284">
        <v>62.7498</v>
      </c>
      <c r="P284">
        <v>69.976699999999994</v>
      </c>
      <c r="Q284">
        <v>250</v>
      </c>
      <c r="R284">
        <v>250</v>
      </c>
      <c r="S284">
        <v>25.1</v>
      </c>
      <c r="T284">
        <v>27.99</v>
      </c>
      <c r="U284">
        <v>0</v>
      </c>
      <c r="V284">
        <v>0</v>
      </c>
      <c r="W284">
        <v>0</v>
      </c>
      <c r="X284">
        <v>1.1001000000000001</v>
      </c>
      <c r="Y284">
        <v>180.02330000000001</v>
      </c>
      <c r="Z284">
        <v>187.25020000000001</v>
      </c>
      <c r="AA284">
        <v>163.63999999999999</v>
      </c>
      <c r="AB284" s="6"/>
    </row>
    <row r="285" spans="1:28" x14ac:dyDescent="0.35">
      <c r="A285">
        <v>444</v>
      </c>
      <c r="B285" s="9" t="s">
        <v>381</v>
      </c>
      <c r="C285" s="9" t="s">
        <v>45</v>
      </c>
      <c r="D285" s="9" t="s">
        <v>46</v>
      </c>
      <c r="E285" s="9" t="s">
        <v>47</v>
      </c>
      <c r="F285">
        <v>18</v>
      </c>
      <c r="G285" s="9" t="s">
        <v>255</v>
      </c>
      <c r="H285" s="9" t="s">
        <v>56</v>
      </c>
      <c r="I285" s="9" t="s">
        <v>154</v>
      </c>
      <c r="J285" s="9" t="s">
        <v>155</v>
      </c>
      <c r="K285">
        <v>1</v>
      </c>
      <c r="L285" s="6"/>
      <c r="M285">
        <v>22</v>
      </c>
      <c r="N285">
        <v>34</v>
      </c>
      <c r="O285">
        <v>37.216700000000003</v>
      </c>
      <c r="P285">
        <v>41.865900000000003</v>
      </c>
      <c r="Q285">
        <v>150</v>
      </c>
      <c r="R285">
        <v>150</v>
      </c>
      <c r="S285">
        <v>24.81</v>
      </c>
      <c r="T285">
        <v>27.91</v>
      </c>
      <c r="U285">
        <v>0</v>
      </c>
      <c r="V285">
        <v>0</v>
      </c>
      <c r="W285">
        <v>0</v>
      </c>
      <c r="X285">
        <v>1.1930000000000001</v>
      </c>
      <c r="Y285">
        <v>108.1341</v>
      </c>
      <c r="Z285">
        <v>112.7833</v>
      </c>
      <c r="AA285">
        <v>90.64</v>
      </c>
      <c r="AB285" s="6"/>
    </row>
    <row r="286" spans="1:28" x14ac:dyDescent="0.35">
      <c r="A286">
        <v>449</v>
      </c>
      <c r="B286" s="9" t="s">
        <v>382</v>
      </c>
      <c r="C286" s="9" t="s">
        <v>45</v>
      </c>
      <c r="D286" s="9" t="s">
        <v>46</v>
      </c>
      <c r="E286" s="9" t="s">
        <v>47</v>
      </c>
      <c r="F286">
        <v>18</v>
      </c>
      <c r="G286" s="9" t="s">
        <v>255</v>
      </c>
      <c r="H286" s="9" t="s">
        <v>56</v>
      </c>
      <c r="I286" s="9" t="s">
        <v>154</v>
      </c>
      <c r="J286" s="9" t="s">
        <v>155</v>
      </c>
      <c r="K286">
        <v>2</v>
      </c>
      <c r="L286" s="6"/>
      <c r="M286">
        <v>22</v>
      </c>
      <c r="N286">
        <v>34</v>
      </c>
      <c r="O286">
        <v>37.216700000000003</v>
      </c>
      <c r="P286">
        <v>41.865900000000003</v>
      </c>
      <c r="Q286">
        <v>150</v>
      </c>
      <c r="R286">
        <v>150</v>
      </c>
      <c r="S286">
        <v>24.81</v>
      </c>
      <c r="T286">
        <v>27.91</v>
      </c>
      <c r="U286">
        <v>0</v>
      </c>
      <c r="V286">
        <v>0</v>
      </c>
      <c r="W286">
        <v>0</v>
      </c>
      <c r="X286">
        <v>1.1930000000000001</v>
      </c>
      <c r="Y286">
        <v>108.1341</v>
      </c>
      <c r="Z286">
        <v>112.7833</v>
      </c>
      <c r="AA286">
        <v>90.64</v>
      </c>
      <c r="AB286" s="6"/>
    </row>
    <row r="287" spans="1:28" x14ac:dyDescent="0.35">
      <c r="A287">
        <v>1414</v>
      </c>
      <c r="B287" s="9" t="s">
        <v>383</v>
      </c>
      <c r="C287" s="9" t="s">
        <v>53</v>
      </c>
      <c r="D287" s="9" t="s">
        <v>54</v>
      </c>
      <c r="E287" s="9" t="s">
        <v>47</v>
      </c>
      <c r="F287">
        <v>8</v>
      </c>
      <c r="G287" s="9" t="s">
        <v>209</v>
      </c>
      <c r="H287" s="9" t="s">
        <v>49</v>
      </c>
      <c r="I287" s="9" t="s">
        <v>154</v>
      </c>
      <c r="J287" s="9" t="s">
        <v>155</v>
      </c>
      <c r="K287">
        <v>1</v>
      </c>
      <c r="L287" s="6"/>
      <c r="M287">
        <v>21</v>
      </c>
      <c r="N287">
        <v>40</v>
      </c>
      <c r="O287">
        <v>30.133299999999998</v>
      </c>
      <c r="P287">
        <v>33.474200000000003</v>
      </c>
      <c r="Q287">
        <v>120</v>
      </c>
      <c r="R287">
        <v>120</v>
      </c>
      <c r="S287">
        <v>25.11</v>
      </c>
      <c r="T287">
        <v>27.9</v>
      </c>
      <c r="U287">
        <v>0</v>
      </c>
      <c r="V287">
        <v>0</v>
      </c>
      <c r="W287">
        <v>0</v>
      </c>
      <c r="X287">
        <v>1.1733</v>
      </c>
      <c r="Y287">
        <v>86.525800000000004</v>
      </c>
      <c r="Z287">
        <v>89.866699999999994</v>
      </c>
      <c r="AA287">
        <v>73.75</v>
      </c>
      <c r="AB287" s="6"/>
    </row>
    <row r="288" spans="1:28" x14ac:dyDescent="0.35">
      <c r="A288">
        <v>1419</v>
      </c>
      <c r="B288" s="9" t="s">
        <v>384</v>
      </c>
      <c r="C288" s="9" t="s">
        <v>53</v>
      </c>
      <c r="D288" s="9" t="s">
        <v>54</v>
      </c>
      <c r="E288" s="9" t="s">
        <v>47</v>
      </c>
      <c r="F288">
        <v>8</v>
      </c>
      <c r="G288" s="9" t="s">
        <v>209</v>
      </c>
      <c r="H288" s="9" t="s">
        <v>49</v>
      </c>
      <c r="I288" s="9" t="s">
        <v>154</v>
      </c>
      <c r="J288" s="9" t="s">
        <v>155</v>
      </c>
      <c r="K288">
        <v>2</v>
      </c>
      <c r="L288" s="6"/>
      <c r="M288">
        <v>21</v>
      </c>
      <c r="N288">
        <v>40</v>
      </c>
      <c r="O288">
        <v>30.133299999999998</v>
      </c>
      <c r="P288">
        <v>33.474200000000003</v>
      </c>
      <c r="Q288">
        <v>120</v>
      </c>
      <c r="R288">
        <v>120</v>
      </c>
      <c r="S288">
        <v>25.11</v>
      </c>
      <c r="T288">
        <v>27.9</v>
      </c>
      <c r="U288">
        <v>0</v>
      </c>
      <c r="V288">
        <v>0</v>
      </c>
      <c r="W288">
        <v>0</v>
      </c>
      <c r="X288">
        <v>1.1733</v>
      </c>
      <c r="Y288">
        <v>86.525800000000004</v>
      </c>
      <c r="Z288">
        <v>89.866699999999994</v>
      </c>
      <c r="AA288">
        <v>73.75</v>
      </c>
      <c r="AB288" s="6"/>
    </row>
    <row r="289" spans="1:28" x14ac:dyDescent="0.35">
      <c r="A289">
        <v>34</v>
      </c>
      <c r="B289" s="9" t="s">
        <v>385</v>
      </c>
      <c r="C289" s="9" t="s">
        <v>64</v>
      </c>
      <c r="D289" s="9" t="s">
        <v>65</v>
      </c>
      <c r="E289" s="9" t="s">
        <v>47</v>
      </c>
      <c r="F289">
        <v>12</v>
      </c>
      <c r="G289" s="9" t="s">
        <v>99</v>
      </c>
      <c r="H289" s="9" t="s">
        <v>56</v>
      </c>
      <c r="I289" s="9" t="s">
        <v>57</v>
      </c>
      <c r="J289" s="9" t="s">
        <v>58</v>
      </c>
      <c r="K289">
        <v>4</v>
      </c>
      <c r="L289" s="6"/>
      <c r="M289">
        <v>15</v>
      </c>
      <c r="N289">
        <v>32</v>
      </c>
      <c r="O289">
        <v>26.5001</v>
      </c>
      <c r="P289">
        <v>55.581099999999999</v>
      </c>
      <c r="Q289">
        <v>200</v>
      </c>
      <c r="R289">
        <v>200</v>
      </c>
      <c r="S289">
        <v>13.25</v>
      </c>
      <c r="T289">
        <v>27.79</v>
      </c>
      <c r="U289">
        <v>0</v>
      </c>
      <c r="V289">
        <v>0</v>
      </c>
      <c r="W289">
        <v>0</v>
      </c>
      <c r="X289">
        <v>2.0638000000000001</v>
      </c>
      <c r="Y289">
        <v>144.41890000000001</v>
      </c>
      <c r="Z289">
        <v>173.4999</v>
      </c>
      <c r="AA289">
        <v>69.98</v>
      </c>
      <c r="AB289" s="6"/>
    </row>
    <row r="290" spans="1:28" x14ac:dyDescent="0.35">
      <c r="A290">
        <v>793</v>
      </c>
      <c r="B290" s="9" t="s">
        <v>386</v>
      </c>
      <c r="C290" s="9" t="s">
        <v>45</v>
      </c>
      <c r="D290" s="9" t="s">
        <v>46</v>
      </c>
      <c r="E290" s="9" t="s">
        <v>47</v>
      </c>
      <c r="F290">
        <v>18</v>
      </c>
      <c r="G290" s="9" t="s">
        <v>110</v>
      </c>
      <c r="H290" s="9" t="s">
        <v>82</v>
      </c>
      <c r="I290" s="9" t="s">
        <v>57</v>
      </c>
      <c r="J290" s="9" t="s">
        <v>58</v>
      </c>
      <c r="K290">
        <v>1</v>
      </c>
      <c r="L290" s="6"/>
      <c r="M290">
        <v>13</v>
      </c>
      <c r="N290">
        <v>37</v>
      </c>
      <c r="O290">
        <v>22.150099999999998</v>
      </c>
      <c r="P290">
        <v>40.140300000000003</v>
      </c>
      <c r="Q290">
        <v>150</v>
      </c>
      <c r="R290">
        <v>150</v>
      </c>
      <c r="S290">
        <v>14.77</v>
      </c>
      <c r="T290">
        <v>26.76</v>
      </c>
      <c r="U290">
        <v>0</v>
      </c>
      <c r="V290">
        <v>0</v>
      </c>
      <c r="W290">
        <v>0</v>
      </c>
      <c r="X290">
        <v>1.9188000000000001</v>
      </c>
      <c r="Y290">
        <v>109.8597</v>
      </c>
      <c r="Z290">
        <v>127.84990000000001</v>
      </c>
      <c r="AA290">
        <v>57.25</v>
      </c>
      <c r="AB290" s="6"/>
    </row>
    <row r="291" spans="1:28" x14ac:dyDescent="0.35">
      <c r="A291">
        <v>1355</v>
      </c>
      <c r="B291" s="9" t="s">
        <v>387</v>
      </c>
      <c r="C291" s="9" t="s">
        <v>64</v>
      </c>
      <c r="D291" s="9" t="s">
        <v>65</v>
      </c>
      <c r="E291" s="9" t="s">
        <v>47</v>
      </c>
      <c r="F291">
        <v>12</v>
      </c>
      <c r="G291" s="9" t="s">
        <v>72</v>
      </c>
      <c r="H291" s="9" t="s">
        <v>56</v>
      </c>
      <c r="I291" s="9" t="s">
        <v>50</v>
      </c>
      <c r="J291" s="9" t="s">
        <v>51</v>
      </c>
      <c r="K291">
        <v>4</v>
      </c>
      <c r="L291" s="6"/>
      <c r="M291">
        <v>17</v>
      </c>
      <c r="N291">
        <v>27</v>
      </c>
      <c r="O291">
        <v>25.933299999999999</v>
      </c>
      <c r="P291">
        <v>52.859099999999998</v>
      </c>
      <c r="Q291">
        <v>200</v>
      </c>
      <c r="R291">
        <v>200</v>
      </c>
      <c r="S291">
        <v>12.97</v>
      </c>
      <c r="T291">
        <v>26.43</v>
      </c>
      <c r="U291">
        <v>0</v>
      </c>
      <c r="V291">
        <v>0</v>
      </c>
      <c r="W291">
        <v>0</v>
      </c>
      <c r="X291">
        <v>1.9079999999999999</v>
      </c>
      <c r="Y291">
        <v>147.14089999999999</v>
      </c>
      <c r="Z291">
        <v>174.0667</v>
      </c>
      <c r="AA291">
        <v>77.12</v>
      </c>
      <c r="AB291" s="6"/>
    </row>
    <row r="292" spans="1:28" x14ac:dyDescent="0.35">
      <c r="A292">
        <v>279</v>
      </c>
      <c r="B292" s="9" t="s">
        <v>388</v>
      </c>
      <c r="C292" s="9" t="s">
        <v>127</v>
      </c>
      <c r="D292" s="9" t="s">
        <v>128</v>
      </c>
      <c r="E292" s="9" t="s">
        <v>129</v>
      </c>
      <c r="F292">
        <v>4</v>
      </c>
      <c r="G292" s="9" t="s">
        <v>205</v>
      </c>
      <c r="H292" s="9" t="s">
        <v>56</v>
      </c>
      <c r="I292" s="9" t="s">
        <v>154</v>
      </c>
      <c r="J292" s="9" t="s">
        <v>155</v>
      </c>
      <c r="K292">
        <v>1</v>
      </c>
      <c r="L292" s="6"/>
      <c r="M292">
        <v>36</v>
      </c>
      <c r="N292">
        <v>60</v>
      </c>
      <c r="O292">
        <v>55.900300000000001</v>
      </c>
      <c r="P292">
        <v>61.7515</v>
      </c>
      <c r="Q292">
        <v>250</v>
      </c>
      <c r="R292">
        <v>250</v>
      </c>
      <c r="S292">
        <v>22.36</v>
      </c>
      <c r="T292">
        <v>24.7</v>
      </c>
      <c r="U292">
        <v>0</v>
      </c>
      <c r="V292">
        <v>0</v>
      </c>
      <c r="W292">
        <v>0</v>
      </c>
      <c r="X292">
        <v>1.08</v>
      </c>
      <c r="Y292">
        <v>188.24850000000001</v>
      </c>
      <c r="Z292">
        <v>194.09970000000001</v>
      </c>
      <c r="AA292">
        <v>174.3</v>
      </c>
      <c r="AB292" s="6"/>
    </row>
    <row r="293" spans="1:28" x14ac:dyDescent="0.35">
      <c r="A293">
        <v>382</v>
      </c>
      <c r="B293" s="9" t="s">
        <v>389</v>
      </c>
      <c r="C293" s="9" t="s">
        <v>64</v>
      </c>
      <c r="D293" s="9" t="s">
        <v>65</v>
      </c>
      <c r="E293" s="9" t="s">
        <v>47</v>
      </c>
      <c r="F293">
        <v>12</v>
      </c>
      <c r="G293" s="9" t="s">
        <v>48</v>
      </c>
      <c r="H293" s="9" t="s">
        <v>49</v>
      </c>
      <c r="I293" s="9" t="s">
        <v>50</v>
      </c>
      <c r="J293" s="9" t="s">
        <v>51</v>
      </c>
      <c r="K293">
        <v>4</v>
      </c>
      <c r="L293" s="6"/>
      <c r="M293">
        <v>12</v>
      </c>
      <c r="N293">
        <v>22</v>
      </c>
      <c r="O293">
        <v>20.383299999999998</v>
      </c>
      <c r="P293">
        <v>48.902999999999999</v>
      </c>
      <c r="Q293">
        <v>200</v>
      </c>
      <c r="R293">
        <v>200</v>
      </c>
      <c r="S293">
        <v>10.19</v>
      </c>
      <c r="T293">
        <v>24.45</v>
      </c>
      <c r="U293">
        <v>0</v>
      </c>
      <c r="V293">
        <v>0</v>
      </c>
      <c r="W293">
        <v>0</v>
      </c>
      <c r="X293">
        <v>2.3105000000000002</v>
      </c>
      <c r="Y293">
        <v>151.09700000000001</v>
      </c>
      <c r="Z293">
        <v>179.61670000000001</v>
      </c>
      <c r="AA293">
        <v>65.400000000000006</v>
      </c>
      <c r="AB293" s="6"/>
    </row>
    <row r="294" spans="1:28" x14ac:dyDescent="0.35">
      <c r="A294">
        <v>1112</v>
      </c>
      <c r="B294" s="9" t="s">
        <v>390</v>
      </c>
      <c r="C294" s="9" t="s">
        <v>45</v>
      </c>
      <c r="D294" s="9" t="s">
        <v>46</v>
      </c>
      <c r="E294" s="9" t="s">
        <v>47</v>
      </c>
      <c r="F294">
        <v>18</v>
      </c>
      <c r="G294" s="9" t="s">
        <v>161</v>
      </c>
      <c r="H294" s="9" t="s">
        <v>82</v>
      </c>
      <c r="I294" s="9" t="s">
        <v>154</v>
      </c>
      <c r="J294" s="9" t="s">
        <v>155</v>
      </c>
      <c r="K294">
        <v>4</v>
      </c>
      <c r="L294" s="6"/>
      <c r="M294">
        <v>21</v>
      </c>
      <c r="N294">
        <v>51</v>
      </c>
      <c r="O294">
        <v>28.733499999999999</v>
      </c>
      <c r="P294">
        <v>36.464300000000001</v>
      </c>
      <c r="Q294">
        <v>150</v>
      </c>
      <c r="R294">
        <v>150</v>
      </c>
      <c r="S294">
        <v>19.16</v>
      </c>
      <c r="T294">
        <v>24.31</v>
      </c>
      <c r="U294">
        <v>0</v>
      </c>
      <c r="V294">
        <v>0</v>
      </c>
      <c r="W294">
        <v>0</v>
      </c>
      <c r="X294">
        <v>1.2703</v>
      </c>
      <c r="Y294">
        <v>113.53570000000001</v>
      </c>
      <c r="Z294">
        <v>121.26649999999999</v>
      </c>
      <c r="AA294">
        <v>89.38</v>
      </c>
      <c r="AB294" s="6"/>
    </row>
    <row r="295" spans="1:28" x14ac:dyDescent="0.35">
      <c r="A295">
        <v>993</v>
      </c>
      <c r="B295" s="9" t="s">
        <v>391</v>
      </c>
      <c r="C295" s="9" t="s">
        <v>127</v>
      </c>
      <c r="D295" s="9" t="s">
        <v>128</v>
      </c>
      <c r="E295" s="9" t="s">
        <v>129</v>
      </c>
      <c r="F295">
        <v>4</v>
      </c>
      <c r="G295" s="9" t="s">
        <v>60</v>
      </c>
      <c r="H295" s="9" t="s">
        <v>56</v>
      </c>
      <c r="I295" s="9" t="s">
        <v>50</v>
      </c>
      <c r="J295" s="9" t="s">
        <v>51</v>
      </c>
      <c r="K295">
        <v>1</v>
      </c>
      <c r="L295" s="6"/>
      <c r="M295">
        <v>18</v>
      </c>
      <c r="N295">
        <v>29</v>
      </c>
      <c r="O295">
        <v>27.683299999999999</v>
      </c>
      <c r="P295">
        <v>60.730800000000002</v>
      </c>
      <c r="Q295">
        <v>250</v>
      </c>
      <c r="R295">
        <v>250</v>
      </c>
      <c r="S295">
        <v>11.07</v>
      </c>
      <c r="T295">
        <v>24.29</v>
      </c>
      <c r="U295">
        <v>0</v>
      </c>
      <c r="V295">
        <v>0</v>
      </c>
      <c r="W295">
        <v>0</v>
      </c>
      <c r="X295">
        <v>2.2582</v>
      </c>
      <c r="Y295">
        <v>189.26920000000001</v>
      </c>
      <c r="Z295">
        <v>222.3167</v>
      </c>
      <c r="AA295">
        <v>83.81</v>
      </c>
      <c r="AB295" s="6"/>
    </row>
    <row r="296" spans="1:28" x14ac:dyDescent="0.35">
      <c r="A296">
        <v>1260</v>
      </c>
      <c r="B296" s="9" t="s">
        <v>392</v>
      </c>
      <c r="C296" s="9" t="s">
        <v>64</v>
      </c>
      <c r="D296" s="9" t="s">
        <v>65</v>
      </c>
      <c r="E296" s="9" t="s">
        <v>47</v>
      </c>
      <c r="F296">
        <v>12</v>
      </c>
      <c r="G296" s="9" t="s">
        <v>79</v>
      </c>
      <c r="H296" s="9" t="s">
        <v>56</v>
      </c>
      <c r="I296" s="9" t="s">
        <v>50</v>
      </c>
      <c r="J296" s="9" t="s">
        <v>51</v>
      </c>
      <c r="K296">
        <v>4</v>
      </c>
      <c r="L296" s="6"/>
      <c r="M296">
        <v>12</v>
      </c>
      <c r="N296">
        <v>21</v>
      </c>
      <c r="O296">
        <v>20.033300000000001</v>
      </c>
      <c r="P296">
        <v>47.472000000000001</v>
      </c>
      <c r="Q296">
        <v>200</v>
      </c>
      <c r="R296">
        <v>200</v>
      </c>
      <c r="S296">
        <v>10.02</v>
      </c>
      <c r="T296">
        <v>23.74</v>
      </c>
      <c r="U296">
        <v>0</v>
      </c>
      <c r="V296">
        <v>0</v>
      </c>
      <c r="W296">
        <v>0</v>
      </c>
      <c r="X296">
        <v>2.1718000000000002</v>
      </c>
      <c r="Y296">
        <v>152.52799999999999</v>
      </c>
      <c r="Z296">
        <v>179.9667</v>
      </c>
      <c r="AA296">
        <v>70.23</v>
      </c>
      <c r="AB296" s="6"/>
    </row>
    <row r="297" spans="1:28" x14ac:dyDescent="0.35">
      <c r="A297">
        <v>466</v>
      </c>
      <c r="B297" s="9" t="s">
        <v>393</v>
      </c>
      <c r="C297" s="9" t="s">
        <v>53</v>
      </c>
      <c r="D297" s="9" t="s">
        <v>54</v>
      </c>
      <c r="E297" s="9" t="s">
        <v>47</v>
      </c>
      <c r="F297">
        <v>8</v>
      </c>
      <c r="G297" s="9" t="s">
        <v>242</v>
      </c>
      <c r="H297" s="9" t="s">
        <v>49</v>
      </c>
      <c r="I297" s="9" t="s">
        <v>154</v>
      </c>
      <c r="J297" s="9" t="s">
        <v>155</v>
      </c>
      <c r="K297">
        <v>1</v>
      </c>
      <c r="L297" s="6"/>
      <c r="M297">
        <v>17</v>
      </c>
      <c r="N297">
        <v>26</v>
      </c>
      <c r="O297">
        <v>26.683499999999999</v>
      </c>
      <c r="P297">
        <v>27.790099999999999</v>
      </c>
      <c r="Q297">
        <v>120</v>
      </c>
      <c r="R297">
        <v>120</v>
      </c>
      <c r="S297">
        <v>22.24</v>
      </c>
      <c r="T297">
        <v>23.16</v>
      </c>
      <c r="U297">
        <v>0</v>
      </c>
      <c r="V297">
        <v>0</v>
      </c>
      <c r="W297">
        <v>0</v>
      </c>
      <c r="X297">
        <v>1.0768</v>
      </c>
      <c r="Y297">
        <v>92.209900000000005</v>
      </c>
      <c r="Z297">
        <v>93.316500000000005</v>
      </c>
      <c r="AA297">
        <v>85.63</v>
      </c>
      <c r="AB297" s="6"/>
    </row>
    <row r="298" spans="1:28" x14ac:dyDescent="0.35">
      <c r="A298">
        <v>311</v>
      </c>
      <c r="B298" s="9" t="s">
        <v>394</v>
      </c>
      <c r="C298" s="9" t="s">
        <v>45</v>
      </c>
      <c r="D298" s="9" t="s">
        <v>46</v>
      </c>
      <c r="E298" s="9" t="s">
        <v>47</v>
      </c>
      <c r="F298">
        <v>18</v>
      </c>
      <c r="G298" s="9" t="s">
        <v>205</v>
      </c>
      <c r="H298" s="9" t="s">
        <v>56</v>
      </c>
      <c r="I298" s="9" t="s">
        <v>154</v>
      </c>
      <c r="J298" s="9" t="s">
        <v>155</v>
      </c>
      <c r="K298">
        <v>4</v>
      </c>
      <c r="L298" s="6"/>
      <c r="M298">
        <v>20</v>
      </c>
      <c r="N298">
        <v>36</v>
      </c>
      <c r="O298">
        <v>31.0669</v>
      </c>
      <c r="P298">
        <v>34.498399999999997</v>
      </c>
      <c r="Q298">
        <v>150</v>
      </c>
      <c r="R298">
        <v>150</v>
      </c>
      <c r="S298">
        <v>20.71</v>
      </c>
      <c r="T298">
        <v>23</v>
      </c>
      <c r="U298">
        <v>0</v>
      </c>
      <c r="V298">
        <v>0</v>
      </c>
      <c r="W298">
        <v>0</v>
      </c>
      <c r="X298">
        <v>1.08</v>
      </c>
      <c r="Y298">
        <v>115.5016</v>
      </c>
      <c r="Z298">
        <v>118.9331</v>
      </c>
      <c r="AA298">
        <v>106.95</v>
      </c>
      <c r="AB298" s="6"/>
    </row>
    <row r="299" spans="1:28" x14ac:dyDescent="0.35">
      <c r="A299">
        <v>735</v>
      </c>
      <c r="B299" s="9" t="s">
        <v>395</v>
      </c>
      <c r="C299" s="9" t="s">
        <v>45</v>
      </c>
      <c r="D299" s="9" t="s">
        <v>46</v>
      </c>
      <c r="E299" s="9" t="s">
        <v>47</v>
      </c>
      <c r="F299">
        <v>18</v>
      </c>
      <c r="G299" s="9" t="s">
        <v>95</v>
      </c>
      <c r="H299" s="9" t="s">
        <v>49</v>
      </c>
      <c r="I299" s="9" t="s">
        <v>57</v>
      </c>
      <c r="J299" s="9" t="s">
        <v>58</v>
      </c>
      <c r="K299">
        <v>1</v>
      </c>
      <c r="L299" s="6"/>
      <c r="M299">
        <v>11</v>
      </c>
      <c r="N299">
        <v>22</v>
      </c>
      <c r="O299">
        <v>17.2668</v>
      </c>
      <c r="P299">
        <v>33.907200000000003</v>
      </c>
      <c r="Q299">
        <v>150</v>
      </c>
      <c r="R299">
        <v>150</v>
      </c>
      <c r="S299">
        <v>11.51</v>
      </c>
      <c r="T299">
        <v>22.6</v>
      </c>
      <c r="U299">
        <v>0</v>
      </c>
      <c r="V299">
        <v>0</v>
      </c>
      <c r="W299">
        <v>0</v>
      </c>
      <c r="X299">
        <v>1.9216</v>
      </c>
      <c r="Y299">
        <v>116.0928</v>
      </c>
      <c r="Z299">
        <v>132.73320000000001</v>
      </c>
      <c r="AA299">
        <v>60.41</v>
      </c>
      <c r="AB299" s="6"/>
    </row>
    <row r="300" spans="1:28" x14ac:dyDescent="0.35">
      <c r="A300">
        <v>251</v>
      </c>
      <c r="B300" s="9" t="s">
        <v>396</v>
      </c>
      <c r="C300" s="9" t="s">
        <v>45</v>
      </c>
      <c r="D300" s="9" t="s">
        <v>46</v>
      </c>
      <c r="E300" s="9" t="s">
        <v>47</v>
      </c>
      <c r="F300">
        <v>18</v>
      </c>
      <c r="G300" s="9" t="s">
        <v>55</v>
      </c>
      <c r="H300" s="9" t="s">
        <v>56</v>
      </c>
      <c r="I300" s="9" t="s">
        <v>57</v>
      </c>
      <c r="J300" s="9" t="s">
        <v>58</v>
      </c>
      <c r="K300">
        <v>2</v>
      </c>
      <c r="L300" s="6"/>
      <c r="M300">
        <v>11</v>
      </c>
      <c r="N300">
        <v>30</v>
      </c>
      <c r="O300">
        <v>18.0334</v>
      </c>
      <c r="P300">
        <v>32.822200000000002</v>
      </c>
      <c r="Q300">
        <v>150</v>
      </c>
      <c r="R300">
        <v>150</v>
      </c>
      <c r="S300">
        <v>12.02</v>
      </c>
      <c r="T300">
        <v>21.88</v>
      </c>
      <c r="U300">
        <v>0</v>
      </c>
      <c r="V300">
        <v>0</v>
      </c>
      <c r="W300">
        <v>0</v>
      </c>
      <c r="X300">
        <v>1.9127000000000001</v>
      </c>
      <c r="Y300">
        <v>117.1778</v>
      </c>
      <c r="Z300">
        <v>131.9666</v>
      </c>
      <c r="AA300">
        <v>61.26</v>
      </c>
      <c r="AB300" s="6"/>
    </row>
    <row r="301" spans="1:28" x14ac:dyDescent="0.35">
      <c r="A301">
        <v>435</v>
      </c>
      <c r="B301" s="9" t="s">
        <v>397</v>
      </c>
      <c r="C301" s="9" t="s">
        <v>64</v>
      </c>
      <c r="D301" s="9" t="s">
        <v>65</v>
      </c>
      <c r="E301" s="9" t="s">
        <v>47</v>
      </c>
      <c r="F301">
        <v>12</v>
      </c>
      <c r="G301" s="9" t="s">
        <v>255</v>
      </c>
      <c r="H301" s="9" t="s">
        <v>56</v>
      </c>
      <c r="I301" s="9" t="s">
        <v>154</v>
      </c>
      <c r="J301" s="9" t="s">
        <v>155</v>
      </c>
      <c r="K301">
        <v>3</v>
      </c>
      <c r="L301" s="6"/>
      <c r="M301">
        <v>23</v>
      </c>
      <c r="N301">
        <v>36</v>
      </c>
      <c r="O301">
        <v>38.200000000000003</v>
      </c>
      <c r="P301">
        <v>42.889200000000002</v>
      </c>
      <c r="Q301">
        <v>200</v>
      </c>
      <c r="R301">
        <v>200</v>
      </c>
      <c r="S301">
        <v>19.100000000000001</v>
      </c>
      <c r="T301">
        <v>21.44</v>
      </c>
      <c r="U301">
        <v>0</v>
      </c>
      <c r="V301">
        <v>0</v>
      </c>
      <c r="W301">
        <v>0</v>
      </c>
      <c r="X301">
        <v>1.1930000000000001</v>
      </c>
      <c r="Y301">
        <v>157.11080000000001</v>
      </c>
      <c r="Z301">
        <v>161.80000000000001</v>
      </c>
      <c r="AA301">
        <v>131.69</v>
      </c>
      <c r="AB301" s="6"/>
    </row>
    <row r="302" spans="1:28" x14ac:dyDescent="0.35">
      <c r="A302">
        <v>439</v>
      </c>
      <c r="B302" s="9" t="s">
        <v>398</v>
      </c>
      <c r="C302" s="9" t="s">
        <v>64</v>
      </c>
      <c r="D302" s="9" t="s">
        <v>65</v>
      </c>
      <c r="E302" s="9" t="s">
        <v>47</v>
      </c>
      <c r="F302">
        <v>12</v>
      </c>
      <c r="G302" s="9" t="s">
        <v>255</v>
      </c>
      <c r="H302" s="9" t="s">
        <v>56</v>
      </c>
      <c r="I302" s="9" t="s">
        <v>154</v>
      </c>
      <c r="J302" s="9" t="s">
        <v>155</v>
      </c>
      <c r="K302">
        <v>4</v>
      </c>
      <c r="L302" s="6"/>
      <c r="M302">
        <v>23</v>
      </c>
      <c r="N302">
        <v>36</v>
      </c>
      <c r="O302">
        <v>38.200000000000003</v>
      </c>
      <c r="P302">
        <v>42.889200000000002</v>
      </c>
      <c r="Q302">
        <v>200</v>
      </c>
      <c r="R302">
        <v>200</v>
      </c>
      <c r="S302">
        <v>19.100000000000001</v>
      </c>
      <c r="T302">
        <v>21.44</v>
      </c>
      <c r="U302">
        <v>0</v>
      </c>
      <c r="V302">
        <v>0</v>
      </c>
      <c r="W302">
        <v>0</v>
      </c>
      <c r="X302">
        <v>1.1930000000000001</v>
      </c>
      <c r="Y302">
        <v>157.11080000000001</v>
      </c>
      <c r="Z302">
        <v>161.80000000000001</v>
      </c>
      <c r="AA302">
        <v>131.69</v>
      </c>
      <c r="AB302" s="6"/>
    </row>
    <row r="303" spans="1:28" x14ac:dyDescent="0.35">
      <c r="A303">
        <v>1339</v>
      </c>
      <c r="B303" s="9" t="s">
        <v>399</v>
      </c>
      <c r="C303" s="9" t="s">
        <v>127</v>
      </c>
      <c r="D303" s="9" t="s">
        <v>128</v>
      </c>
      <c r="E303" s="9" t="s">
        <v>129</v>
      </c>
      <c r="F303">
        <v>4</v>
      </c>
      <c r="G303" s="9" t="s">
        <v>72</v>
      </c>
      <c r="H303" s="9" t="s">
        <v>56</v>
      </c>
      <c r="I303" s="9" t="s">
        <v>50</v>
      </c>
      <c r="J303" s="9" t="s">
        <v>51</v>
      </c>
      <c r="K303">
        <v>1</v>
      </c>
      <c r="L303" s="6"/>
      <c r="M303">
        <v>17</v>
      </c>
      <c r="N303">
        <v>27</v>
      </c>
      <c r="O303">
        <v>25.933299999999999</v>
      </c>
      <c r="P303">
        <v>52.859099999999998</v>
      </c>
      <c r="Q303">
        <v>250</v>
      </c>
      <c r="R303">
        <v>250</v>
      </c>
      <c r="S303">
        <v>10.37</v>
      </c>
      <c r="T303">
        <v>21.14</v>
      </c>
      <c r="U303">
        <v>0</v>
      </c>
      <c r="V303">
        <v>0</v>
      </c>
      <c r="W303">
        <v>0</v>
      </c>
      <c r="X303">
        <v>1.9079999999999999</v>
      </c>
      <c r="Y303">
        <v>197.14089999999999</v>
      </c>
      <c r="Z303">
        <v>224.0667</v>
      </c>
      <c r="AA303">
        <v>103.32</v>
      </c>
      <c r="AB303" s="6"/>
    </row>
    <row r="304" spans="1:28" x14ac:dyDescent="0.35">
      <c r="A304">
        <v>283</v>
      </c>
      <c r="B304" s="9" t="s">
        <v>400</v>
      </c>
      <c r="C304" s="9" t="s">
        <v>64</v>
      </c>
      <c r="D304" s="9" t="s">
        <v>65</v>
      </c>
      <c r="E304" s="9" t="s">
        <v>47</v>
      </c>
      <c r="F304">
        <v>12</v>
      </c>
      <c r="G304" s="9" t="s">
        <v>205</v>
      </c>
      <c r="H304" s="9" t="s">
        <v>56</v>
      </c>
      <c r="I304" s="9" t="s">
        <v>154</v>
      </c>
      <c r="J304" s="9" t="s">
        <v>155</v>
      </c>
      <c r="K304">
        <v>1</v>
      </c>
      <c r="L304" s="6"/>
      <c r="M304">
        <v>25</v>
      </c>
      <c r="N304">
        <v>45</v>
      </c>
      <c r="O304">
        <v>38.400199999999998</v>
      </c>
      <c r="P304">
        <v>42.011699999999998</v>
      </c>
      <c r="Q304">
        <v>200</v>
      </c>
      <c r="R304">
        <v>200</v>
      </c>
      <c r="S304">
        <v>19.2</v>
      </c>
      <c r="T304">
        <v>21.01</v>
      </c>
      <c r="U304">
        <v>0</v>
      </c>
      <c r="V304">
        <v>0</v>
      </c>
      <c r="W304">
        <v>0</v>
      </c>
      <c r="X304">
        <v>1.08</v>
      </c>
      <c r="Y304">
        <v>157.98830000000001</v>
      </c>
      <c r="Z304">
        <v>161.59979999999999</v>
      </c>
      <c r="AA304">
        <v>146.29</v>
      </c>
      <c r="AB304" s="6"/>
    </row>
    <row r="305" spans="1:28" x14ac:dyDescent="0.35">
      <c r="A305">
        <v>804</v>
      </c>
      <c r="B305" s="9" t="s">
        <v>401</v>
      </c>
      <c r="C305" s="9" t="s">
        <v>45</v>
      </c>
      <c r="D305" s="9" t="s">
        <v>46</v>
      </c>
      <c r="E305" s="9" t="s">
        <v>47</v>
      </c>
      <c r="F305">
        <v>18</v>
      </c>
      <c r="G305" s="9" t="s">
        <v>110</v>
      </c>
      <c r="H305" s="9" t="s">
        <v>82</v>
      </c>
      <c r="I305" s="9" t="s">
        <v>57</v>
      </c>
      <c r="J305" s="9" t="s">
        <v>58</v>
      </c>
      <c r="K305">
        <v>3</v>
      </c>
      <c r="L305" s="6"/>
      <c r="M305">
        <v>10</v>
      </c>
      <c r="N305">
        <v>27</v>
      </c>
      <c r="O305">
        <v>17.8001</v>
      </c>
      <c r="P305">
        <v>30.9649</v>
      </c>
      <c r="Q305">
        <v>150</v>
      </c>
      <c r="R305">
        <v>150</v>
      </c>
      <c r="S305">
        <v>11.87</v>
      </c>
      <c r="T305">
        <v>20.64</v>
      </c>
      <c r="U305">
        <v>0</v>
      </c>
      <c r="V305">
        <v>0</v>
      </c>
      <c r="W305">
        <v>0</v>
      </c>
      <c r="X305">
        <v>1.9188000000000001</v>
      </c>
      <c r="Y305">
        <v>119.0351</v>
      </c>
      <c r="Z305">
        <v>132.19990000000001</v>
      </c>
      <c r="AA305">
        <v>62.04</v>
      </c>
      <c r="AB305" s="6"/>
    </row>
    <row r="306" spans="1:28" x14ac:dyDescent="0.35">
      <c r="A306">
        <v>1350</v>
      </c>
      <c r="B306" s="9" t="s">
        <v>402</v>
      </c>
      <c r="C306" s="9" t="s">
        <v>64</v>
      </c>
      <c r="D306" s="9" t="s">
        <v>65</v>
      </c>
      <c r="E306" s="9" t="s">
        <v>47</v>
      </c>
      <c r="F306">
        <v>12</v>
      </c>
      <c r="G306" s="9" t="s">
        <v>72</v>
      </c>
      <c r="H306" s="9" t="s">
        <v>56</v>
      </c>
      <c r="I306" s="9" t="s">
        <v>50</v>
      </c>
      <c r="J306" s="9" t="s">
        <v>51</v>
      </c>
      <c r="K306">
        <v>3</v>
      </c>
      <c r="L306" s="6"/>
      <c r="M306">
        <v>12</v>
      </c>
      <c r="N306">
        <v>20</v>
      </c>
      <c r="O306">
        <v>17.45</v>
      </c>
      <c r="P306">
        <v>38.136299999999999</v>
      </c>
      <c r="Q306">
        <v>200</v>
      </c>
      <c r="R306">
        <v>200</v>
      </c>
      <c r="S306">
        <v>8.73</v>
      </c>
      <c r="T306">
        <v>19.07</v>
      </c>
      <c r="U306">
        <v>0</v>
      </c>
      <c r="V306">
        <v>0</v>
      </c>
      <c r="W306">
        <v>0</v>
      </c>
      <c r="X306">
        <v>1.9079999999999999</v>
      </c>
      <c r="Y306">
        <v>161.86369999999999</v>
      </c>
      <c r="Z306">
        <v>182.55</v>
      </c>
      <c r="AA306">
        <v>84.83</v>
      </c>
      <c r="AB306" s="6"/>
    </row>
    <row r="307" spans="1:28" x14ac:dyDescent="0.35">
      <c r="A307">
        <v>1463</v>
      </c>
      <c r="B307" s="9" t="s">
        <v>403</v>
      </c>
      <c r="C307" s="9" t="s">
        <v>53</v>
      </c>
      <c r="D307" s="9" t="s">
        <v>54</v>
      </c>
      <c r="E307" s="9" t="s">
        <v>47</v>
      </c>
      <c r="F307">
        <v>8</v>
      </c>
      <c r="G307" s="9" t="s">
        <v>67</v>
      </c>
      <c r="H307" s="9" t="s">
        <v>56</v>
      </c>
      <c r="I307" s="9" t="s">
        <v>57</v>
      </c>
      <c r="J307" s="9" t="s">
        <v>58</v>
      </c>
      <c r="K307">
        <v>1</v>
      </c>
      <c r="L307" s="6"/>
      <c r="M307">
        <v>8</v>
      </c>
      <c r="N307">
        <v>26</v>
      </c>
      <c r="O307">
        <v>13</v>
      </c>
      <c r="P307">
        <v>22.352</v>
      </c>
      <c r="Q307">
        <v>120</v>
      </c>
      <c r="R307">
        <v>120</v>
      </c>
      <c r="S307">
        <v>10.83</v>
      </c>
      <c r="T307">
        <v>18.63</v>
      </c>
      <c r="U307">
        <v>0</v>
      </c>
      <c r="V307">
        <v>0</v>
      </c>
      <c r="W307">
        <v>0</v>
      </c>
      <c r="X307">
        <v>1.9626999999999999</v>
      </c>
      <c r="Y307">
        <v>97.647999999999996</v>
      </c>
      <c r="Z307">
        <v>107</v>
      </c>
      <c r="AA307">
        <v>49.75</v>
      </c>
      <c r="AB307" s="6"/>
    </row>
    <row r="308" spans="1:28" x14ac:dyDescent="0.35">
      <c r="A308">
        <v>1468</v>
      </c>
      <c r="B308" s="9" t="s">
        <v>404</v>
      </c>
      <c r="C308" s="9" t="s">
        <v>53</v>
      </c>
      <c r="D308" s="9" t="s">
        <v>54</v>
      </c>
      <c r="E308" s="9" t="s">
        <v>47</v>
      </c>
      <c r="F308">
        <v>8</v>
      </c>
      <c r="G308" s="9" t="s">
        <v>67</v>
      </c>
      <c r="H308" s="9" t="s">
        <v>56</v>
      </c>
      <c r="I308" s="9" t="s">
        <v>57</v>
      </c>
      <c r="J308" s="9" t="s">
        <v>58</v>
      </c>
      <c r="K308">
        <v>2</v>
      </c>
      <c r="L308" s="6"/>
      <c r="M308">
        <v>8</v>
      </c>
      <c r="N308">
        <v>26</v>
      </c>
      <c r="O308">
        <v>13</v>
      </c>
      <c r="P308">
        <v>22.352</v>
      </c>
      <c r="Q308">
        <v>120</v>
      </c>
      <c r="R308">
        <v>120</v>
      </c>
      <c r="S308">
        <v>10.83</v>
      </c>
      <c r="T308">
        <v>18.63</v>
      </c>
      <c r="U308">
        <v>0</v>
      </c>
      <c r="V308">
        <v>0</v>
      </c>
      <c r="W308">
        <v>0</v>
      </c>
      <c r="X308">
        <v>1.9626999999999999</v>
      </c>
      <c r="Y308">
        <v>97.647999999999996</v>
      </c>
      <c r="Z308">
        <v>107</v>
      </c>
      <c r="AA308">
        <v>49.75</v>
      </c>
      <c r="AB308" s="6"/>
    </row>
    <row r="309" spans="1:28" x14ac:dyDescent="0.35">
      <c r="A309">
        <v>1153</v>
      </c>
      <c r="B309" s="9" t="s">
        <v>405</v>
      </c>
      <c r="C309" s="9" t="s">
        <v>45</v>
      </c>
      <c r="D309" s="9" t="s">
        <v>46</v>
      </c>
      <c r="E309" s="9" t="s">
        <v>47</v>
      </c>
      <c r="F309">
        <v>18</v>
      </c>
      <c r="G309" s="9" t="s">
        <v>153</v>
      </c>
      <c r="H309" s="9" t="s">
        <v>82</v>
      </c>
      <c r="I309" s="9" t="s">
        <v>154</v>
      </c>
      <c r="J309" s="9" t="s">
        <v>155</v>
      </c>
      <c r="K309">
        <v>2</v>
      </c>
      <c r="L309" s="6"/>
      <c r="M309">
        <v>13</v>
      </c>
      <c r="N309">
        <v>24</v>
      </c>
      <c r="O309">
        <v>22.366599999999998</v>
      </c>
      <c r="P309">
        <v>26.9221</v>
      </c>
      <c r="Q309">
        <v>150</v>
      </c>
      <c r="R309">
        <v>150</v>
      </c>
      <c r="S309">
        <v>14.91</v>
      </c>
      <c r="T309">
        <v>17.95</v>
      </c>
      <c r="U309">
        <v>0</v>
      </c>
      <c r="V309">
        <v>0</v>
      </c>
      <c r="W309">
        <v>0</v>
      </c>
      <c r="X309">
        <v>1.2827</v>
      </c>
      <c r="Y309">
        <v>123.0779</v>
      </c>
      <c r="Z309">
        <v>127.63339999999999</v>
      </c>
      <c r="AA309">
        <v>95.95</v>
      </c>
      <c r="AB309" s="6"/>
    </row>
    <row r="310" spans="1:28" x14ac:dyDescent="0.35">
      <c r="A310">
        <v>913</v>
      </c>
      <c r="B310" s="9" t="s">
        <v>406</v>
      </c>
      <c r="C310" s="9" t="s">
        <v>86</v>
      </c>
      <c r="D310" s="9" t="s">
        <v>87</v>
      </c>
      <c r="E310" s="9" t="s">
        <v>71</v>
      </c>
      <c r="F310">
        <v>6</v>
      </c>
      <c r="G310" s="9" t="s">
        <v>190</v>
      </c>
      <c r="H310" s="9" t="s">
        <v>56</v>
      </c>
      <c r="I310" s="9" t="s">
        <v>57</v>
      </c>
      <c r="J310" s="9" t="s">
        <v>58</v>
      </c>
      <c r="K310">
        <v>1</v>
      </c>
      <c r="L310" s="6"/>
      <c r="M310">
        <v>24</v>
      </c>
      <c r="N310">
        <v>64</v>
      </c>
      <c r="O310">
        <v>39.349899999999998</v>
      </c>
      <c r="P310">
        <v>71.578000000000003</v>
      </c>
      <c r="Q310">
        <v>400</v>
      </c>
      <c r="R310">
        <v>400</v>
      </c>
      <c r="S310">
        <v>9.84</v>
      </c>
      <c r="T310">
        <v>17.89</v>
      </c>
      <c r="U310">
        <v>0</v>
      </c>
      <c r="V310">
        <v>0</v>
      </c>
      <c r="W310">
        <v>0</v>
      </c>
      <c r="X310">
        <v>1.8878999999999999</v>
      </c>
      <c r="Y310">
        <v>328.42200000000003</v>
      </c>
      <c r="Z310">
        <v>360.65010000000001</v>
      </c>
      <c r="AA310">
        <v>173.96</v>
      </c>
      <c r="AB310" s="6"/>
    </row>
    <row r="311" spans="1:28" x14ac:dyDescent="0.35">
      <c r="A311">
        <v>855</v>
      </c>
      <c r="B311" s="9" t="s">
        <v>407</v>
      </c>
      <c r="C311" s="9" t="s">
        <v>53</v>
      </c>
      <c r="D311" s="9" t="s">
        <v>54</v>
      </c>
      <c r="E311" s="9" t="s">
        <v>47</v>
      </c>
      <c r="F311">
        <v>8</v>
      </c>
      <c r="G311" s="9" t="s">
        <v>77</v>
      </c>
      <c r="H311" s="9" t="s">
        <v>49</v>
      </c>
      <c r="I311" s="9" t="s">
        <v>50</v>
      </c>
      <c r="J311" s="9" t="s">
        <v>51</v>
      </c>
      <c r="K311">
        <v>1</v>
      </c>
      <c r="L311" s="6"/>
      <c r="M311">
        <v>6</v>
      </c>
      <c r="N311">
        <v>11</v>
      </c>
      <c r="O311">
        <v>9.1333000000000002</v>
      </c>
      <c r="P311">
        <v>20.033300000000001</v>
      </c>
      <c r="Q311">
        <v>120</v>
      </c>
      <c r="R311">
        <v>120</v>
      </c>
      <c r="S311">
        <v>7.61</v>
      </c>
      <c r="T311">
        <v>16.690000000000001</v>
      </c>
      <c r="U311">
        <v>0</v>
      </c>
      <c r="V311">
        <v>0</v>
      </c>
      <c r="W311">
        <v>0</v>
      </c>
      <c r="X311">
        <v>2.1968999999999999</v>
      </c>
      <c r="Y311">
        <v>99.966700000000003</v>
      </c>
      <c r="Z311">
        <v>110.86669999999999</v>
      </c>
      <c r="AA311">
        <v>45.5</v>
      </c>
      <c r="AB311" s="6"/>
    </row>
    <row r="312" spans="1:28" x14ac:dyDescent="0.35">
      <c r="A312">
        <v>963</v>
      </c>
      <c r="B312" s="9" t="s">
        <v>408</v>
      </c>
      <c r="C312" s="9" t="s">
        <v>45</v>
      </c>
      <c r="D312" s="9" t="s">
        <v>46</v>
      </c>
      <c r="E312" s="9" t="s">
        <v>47</v>
      </c>
      <c r="F312">
        <v>18</v>
      </c>
      <c r="G312" s="9" t="s">
        <v>190</v>
      </c>
      <c r="H312" s="9" t="s">
        <v>56</v>
      </c>
      <c r="I312" s="9" t="s">
        <v>57</v>
      </c>
      <c r="J312" s="9" t="s">
        <v>58</v>
      </c>
      <c r="K312">
        <v>2</v>
      </c>
      <c r="L312" s="6"/>
      <c r="M312">
        <v>8</v>
      </c>
      <c r="N312">
        <v>15</v>
      </c>
      <c r="O312">
        <v>14.05</v>
      </c>
      <c r="P312">
        <v>25.020299999999999</v>
      </c>
      <c r="Q312">
        <v>150</v>
      </c>
      <c r="R312">
        <v>150</v>
      </c>
      <c r="S312">
        <v>9.3699999999999992</v>
      </c>
      <c r="T312">
        <v>16.68</v>
      </c>
      <c r="U312">
        <v>0</v>
      </c>
      <c r="V312">
        <v>0</v>
      </c>
      <c r="W312">
        <v>0</v>
      </c>
      <c r="X312">
        <v>1.8878999999999999</v>
      </c>
      <c r="Y312">
        <v>124.97969999999999</v>
      </c>
      <c r="Z312">
        <v>135.94999999999999</v>
      </c>
      <c r="AA312">
        <v>66.2</v>
      </c>
      <c r="AB312" s="6"/>
    </row>
    <row r="313" spans="1:28" x14ac:dyDescent="0.35">
      <c r="A313">
        <v>244</v>
      </c>
      <c r="B313" s="9" t="s">
        <v>409</v>
      </c>
      <c r="C313" s="9" t="s">
        <v>45</v>
      </c>
      <c r="D313" s="9" t="s">
        <v>46</v>
      </c>
      <c r="E313" s="9" t="s">
        <v>47</v>
      </c>
      <c r="F313">
        <v>18</v>
      </c>
      <c r="G313" s="9" t="s">
        <v>55</v>
      </c>
      <c r="H313" s="9" t="s">
        <v>56</v>
      </c>
      <c r="I313" s="9" t="s">
        <v>57</v>
      </c>
      <c r="J313" s="9" t="s">
        <v>58</v>
      </c>
      <c r="K313">
        <v>1</v>
      </c>
      <c r="L313" s="6"/>
      <c r="M313">
        <v>8</v>
      </c>
      <c r="N313">
        <v>22</v>
      </c>
      <c r="O313">
        <v>13.1167</v>
      </c>
      <c r="P313">
        <v>24.595400000000001</v>
      </c>
      <c r="Q313">
        <v>150</v>
      </c>
      <c r="R313">
        <v>150</v>
      </c>
      <c r="S313">
        <v>8.74</v>
      </c>
      <c r="T313">
        <v>16.399999999999999</v>
      </c>
      <c r="U313">
        <v>0</v>
      </c>
      <c r="V313">
        <v>0</v>
      </c>
      <c r="W313">
        <v>0</v>
      </c>
      <c r="X313">
        <v>1.9127000000000001</v>
      </c>
      <c r="Y313">
        <v>125.4046</v>
      </c>
      <c r="Z313">
        <v>136.88329999999999</v>
      </c>
      <c r="AA313">
        <v>65.56</v>
      </c>
      <c r="AB313" s="6"/>
    </row>
    <row r="314" spans="1:28" x14ac:dyDescent="0.35">
      <c r="A314">
        <v>1295</v>
      </c>
      <c r="B314" s="9" t="s">
        <v>410</v>
      </c>
      <c r="C314" s="9" t="s">
        <v>69</v>
      </c>
      <c r="D314" s="9" t="s">
        <v>70</v>
      </c>
      <c r="E314" s="9" t="s">
        <v>71</v>
      </c>
      <c r="F314">
        <v>24</v>
      </c>
      <c r="G314" s="9" t="s">
        <v>112</v>
      </c>
      <c r="H314" s="9" t="s">
        <v>56</v>
      </c>
      <c r="I314" s="9" t="s">
        <v>89</v>
      </c>
      <c r="J314" s="9" t="s">
        <v>90</v>
      </c>
      <c r="K314">
        <v>1</v>
      </c>
      <c r="L314" s="6"/>
      <c r="M314">
        <v>26</v>
      </c>
      <c r="N314">
        <v>218</v>
      </c>
      <c r="O314">
        <v>25.233599999999999</v>
      </c>
      <c r="P314">
        <v>48.824800000000003</v>
      </c>
      <c r="Q314">
        <v>300</v>
      </c>
      <c r="R314">
        <v>300</v>
      </c>
      <c r="S314">
        <v>8.41</v>
      </c>
      <c r="T314">
        <v>16.27</v>
      </c>
      <c r="U314">
        <v>0</v>
      </c>
      <c r="V314">
        <v>0</v>
      </c>
      <c r="W314">
        <v>0</v>
      </c>
      <c r="X314">
        <v>1.9300999999999999</v>
      </c>
      <c r="Y314">
        <v>251.17519999999999</v>
      </c>
      <c r="Z314">
        <v>274.76639999999998</v>
      </c>
      <c r="AA314">
        <v>130.13999999999999</v>
      </c>
      <c r="AB314" s="6"/>
    </row>
    <row r="315" spans="1:28" x14ac:dyDescent="0.35">
      <c r="A315">
        <v>989</v>
      </c>
      <c r="B315" s="9" t="s">
        <v>411</v>
      </c>
      <c r="C315" s="9" t="s">
        <v>69</v>
      </c>
      <c r="D315" s="9" t="s">
        <v>70</v>
      </c>
      <c r="E315" s="9" t="s">
        <v>71</v>
      </c>
      <c r="F315">
        <v>24</v>
      </c>
      <c r="G315" s="9" t="s">
        <v>60</v>
      </c>
      <c r="H315" s="9" t="s">
        <v>56</v>
      </c>
      <c r="I315" s="9" t="s">
        <v>50</v>
      </c>
      <c r="J315" s="9" t="s">
        <v>51</v>
      </c>
      <c r="K315">
        <v>1</v>
      </c>
      <c r="L315" s="6"/>
      <c r="M315">
        <v>14</v>
      </c>
      <c r="N315">
        <v>21</v>
      </c>
      <c r="O315">
        <v>22.783300000000001</v>
      </c>
      <c r="P315">
        <v>48.133899999999997</v>
      </c>
      <c r="Q315">
        <v>300</v>
      </c>
      <c r="R315">
        <v>300</v>
      </c>
      <c r="S315">
        <v>7.59</v>
      </c>
      <c r="T315">
        <v>16.04</v>
      </c>
      <c r="U315">
        <v>0</v>
      </c>
      <c r="V315">
        <v>0</v>
      </c>
      <c r="W315">
        <v>0</v>
      </c>
      <c r="X315">
        <v>2.2582</v>
      </c>
      <c r="Y315">
        <v>251.86609999999999</v>
      </c>
      <c r="Z315">
        <v>277.2167</v>
      </c>
      <c r="AA315">
        <v>111.53</v>
      </c>
      <c r="AB315" s="6"/>
    </row>
    <row r="316" spans="1:28" x14ac:dyDescent="0.35">
      <c r="A316">
        <v>779</v>
      </c>
      <c r="B316" s="9" t="s">
        <v>412</v>
      </c>
      <c r="C316" s="9" t="s">
        <v>64</v>
      </c>
      <c r="D316" s="9" t="s">
        <v>65</v>
      </c>
      <c r="E316" s="9" t="s">
        <v>47</v>
      </c>
      <c r="F316">
        <v>12</v>
      </c>
      <c r="G316" s="9" t="s">
        <v>110</v>
      </c>
      <c r="H316" s="9" t="s">
        <v>82</v>
      </c>
      <c r="I316" s="9" t="s">
        <v>57</v>
      </c>
      <c r="J316" s="9" t="s">
        <v>58</v>
      </c>
      <c r="K316">
        <v>2</v>
      </c>
      <c r="L316" s="6"/>
      <c r="M316">
        <v>11</v>
      </c>
      <c r="N316">
        <v>30</v>
      </c>
      <c r="O316">
        <v>18.350100000000001</v>
      </c>
      <c r="P316">
        <v>31.880099999999999</v>
      </c>
      <c r="Q316">
        <v>200</v>
      </c>
      <c r="R316">
        <v>200</v>
      </c>
      <c r="S316">
        <v>9.18</v>
      </c>
      <c r="T316">
        <v>15.94</v>
      </c>
      <c r="U316">
        <v>0</v>
      </c>
      <c r="V316">
        <v>0</v>
      </c>
      <c r="W316">
        <v>0</v>
      </c>
      <c r="X316">
        <v>1.9188000000000001</v>
      </c>
      <c r="Y316">
        <v>168.1199</v>
      </c>
      <c r="Z316">
        <v>181.6499</v>
      </c>
      <c r="AA316">
        <v>87.62</v>
      </c>
      <c r="AB316" s="6"/>
    </row>
    <row r="317" spans="1:28" x14ac:dyDescent="0.35">
      <c r="A317">
        <v>1407</v>
      </c>
      <c r="B317" s="9" t="s">
        <v>413</v>
      </c>
      <c r="C317" s="9" t="s">
        <v>45</v>
      </c>
      <c r="D317" s="9" t="s">
        <v>46</v>
      </c>
      <c r="E317" s="9" t="s">
        <v>47</v>
      </c>
      <c r="F317">
        <v>18</v>
      </c>
      <c r="G317" s="9" t="s">
        <v>125</v>
      </c>
      <c r="H317" s="9" t="s">
        <v>56</v>
      </c>
      <c r="I317" s="9" t="s">
        <v>89</v>
      </c>
      <c r="J317" s="9" t="s">
        <v>90</v>
      </c>
      <c r="K317">
        <v>4</v>
      </c>
      <c r="L317" s="6"/>
      <c r="M317">
        <v>14</v>
      </c>
      <c r="N317">
        <v>84</v>
      </c>
      <c r="O317">
        <v>13.933299999999999</v>
      </c>
      <c r="P317">
        <v>23.319600000000001</v>
      </c>
      <c r="Q317">
        <v>150</v>
      </c>
      <c r="R317">
        <v>150</v>
      </c>
      <c r="S317">
        <v>9.2899999999999991</v>
      </c>
      <c r="T317">
        <v>15.55</v>
      </c>
      <c r="U317">
        <v>0</v>
      </c>
      <c r="V317">
        <v>0</v>
      </c>
      <c r="W317">
        <v>0</v>
      </c>
      <c r="X317">
        <v>1.7297</v>
      </c>
      <c r="Y317">
        <v>126.68040000000001</v>
      </c>
      <c r="Z317">
        <v>136.0667</v>
      </c>
      <c r="AA317">
        <v>73.239999999999995</v>
      </c>
      <c r="AB317" s="6"/>
    </row>
    <row r="318" spans="1:28" x14ac:dyDescent="0.35">
      <c r="A318">
        <v>1398</v>
      </c>
      <c r="B318" s="9" t="s">
        <v>414</v>
      </c>
      <c r="C318" s="9" t="s">
        <v>45</v>
      </c>
      <c r="D318" s="9" t="s">
        <v>46</v>
      </c>
      <c r="E318" s="9" t="s">
        <v>47</v>
      </c>
      <c r="F318">
        <v>18</v>
      </c>
      <c r="G318" s="9" t="s">
        <v>125</v>
      </c>
      <c r="H318" s="9" t="s">
        <v>56</v>
      </c>
      <c r="I318" s="9" t="s">
        <v>89</v>
      </c>
      <c r="J318" s="9" t="s">
        <v>90</v>
      </c>
      <c r="K318">
        <v>1</v>
      </c>
      <c r="L318" s="6"/>
      <c r="M318">
        <v>14</v>
      </c>
      <c r="N318">
        <v>84</v>
      </c>
      <c r="O318">
        <v>13.933299999999999</v>
      </c>
      <c r="P318">
        <v>23.319600000000001</v>
      </c>
      <c r="Q318">
        <v>150</v>
      </c>
      <c r="R318">
        <v>150</v>
      </c>
      <c r="S318">
        <v>9.2899999999999991</v>
      </c>
      <c r="T318">
        <v>15.55</v>
      </c>
      <c r="U318">
        <v>0</v>
      </c>
      <c r="V318">
        <v>0</v>
      </c>
      <c r="W318">
        <v>0</v>
      </c>
      <c r="X318">
        <v>1.7297</v>
      </c>
      <c r="Y318">
        <v>126.68040000000001</v>
      </c>
      <c r="Z318">
        <v>136.0667</v>
      </c>
      <c r="AA318">
        <v>73.239999999999995</v>
      </c>
      <c r="AB318" s="6"/>
    </row>
    <row r="319" spans="1:28" x14ac:dyDescent="0.35">
      <c r="A319">
        <v>1505</v>
      </c>
      <c r="B319" s="9" t="s">
        <v>415</v>
      </c>
      <c r="C319" s="9" t="s">
        <v>86</v>
      </c>
      <c r="D319" s="9" t="s">
        <v>87</v>
      </c>
      <c r="E319" s="9" t="s">
        <v>71</v>
      </c>
      <c r="F319">
        <v>6</v>
      </c>
      <c r="G319" s="9" t="s">
        <v>178</v>
      </c>
      <c r="H319" s="9" t="s">
        <v>56</v>
      </c>
      <c r="I319" s="9" t="s">
        <v>154</v>
      </c>
      <c r="J319" s="9" t="s">
        <v>155</v>
      </c>
      <c r="K319">
        <v>1</v>
      </c>
      <c r="L319" s="6"/>
      <c r="M319">
        <v>36</v>
      </c>
      <c r="N319">
        <v>66</v>
      </c>
      <c r="O319">
        <v>54.583199999999998</v>
      </c>
      <c r="P319">
        <v>61.817500000000003</v>
      </c>
      <c r="Q319">
        <v>400</v>
      </c>
      <c r="R319">
        <v>400</v>
      </c>
      <c r="S319">
        <v>13.65</v>
      </c>
      <c r="T319">
        <v>15.45</v>
      </c>
      <c r="U319">
        <v>0</v>
      </c>
      <c r="V319">
        <v>0</v>
      </c>
      <c r="W319">
        <v>0</v>
      </c>
      <c r="X319">
        <v>1.1561999999999999</v>
      </c>
      <c r="Y319">
        <v>338.1825</v>
      </c>
      <c r="Z319">
        <v>345.41680000000002</v>
      </c>
      <c r="AA319">
        <v>292.49</v>
      </c>
      <c r="AB319" s="6"/>
    </row>
    <row r="320" spans="1:28" x14ac:dyDescent="0.35">
      <c r="A320">
        <v>1278</v>
      </c>
      <c r="B320" s="9" t="s">
        <v>416</v>
      </c>
      <c r="C320" s="9" t="s">
        <v>45</v>
      </c>
      <c r="D320" s="9" t="s">
        <v>46</v>
      </c>
      <c r="E320" s="9" t="s">
        <v>47</v>
      </c>
      <c r="F320">
        <v>18</v>
      </c>
      <c r="G320" s="9" t="s">
        <v>79</v>
      </c>
      <c r="H320" s="9" t="s">
        <v>56</v>
      </c>
      <c r="I320" s="9" t="s">
        <v>50</v>
      </c>
      <c r="J320" s="9" t="s">
        <v>51</v>
      </c>
      <c r="K320">
        <v>3</v>
      </c>
      <c r="L320" s="6"/>
      <c r="M320">
        <v>7</v>
      </c>
      <c r="N320">
        <v>16</v>
      </c>
      <c r="O320">
        <v>10.3</v>
      </c>
      <c r="P320">
        <v>23.09</v>
      </c>
      <c r="Q320">
        <v>150</v>
      </c>
      <c r="R320">
        <v>150</v>
      </c>
      <c r="S320">
        <v>6.87</v>
      </c>
      <c r="T320">
        <v>15.39</v>
      </c>
      <c r="U320">
        <v>0</v>
      </c>
      <c r="V320">
        <v>0</v>
      </c>
      <c r="W320">
        <v>0</v>
      </c>
      <c r="X320">
        <v>2.1718000000000002</v>
      </c>
      <c r="Y320">
        <v>126.91</v>
      </c>
      <c r="Z320">
        <v>139.69999999999999</v>
      </c>
      <c r="AA320">
        <v>58.44</v>
      </c>
      <c r="AB320" s="6"/>
    </row>
    <row r="321" spans="1:28" x14ac:dyDescent="0.35">
      <c r="A321">
        <v>1544</v>
      </c>
      <c r="B321" s="9" t="s">
        <v>417</v>
      </c>
      <c r="C321" s="9" t="s">
        <v>45</v>
      </c>
      <c r="D321" s="9" t="s">
        <v>46</v>
      </c>
      <c r="E321" s="9" t="s">
        <v>47</v>
      </c>
      <c r="F321">
        <v>18</v>
      </c>
      <c r="G321" s="9" t="s">
        <v>178</v>
      </c>
      <c r="H321" s="9" t="s">
        <v>56</v>
      </c>
      <c r="I321" s="9" t="s">
        <v>154</v>
      </c>
      <c r="J321" s="9" t="s">
        <v>155</v>
      </c>
      <c r="K321">
        <v>3</v>
      </c>
      <c r="L321" s="6"/>
      <c r="M321">
        <v>13</v>
      </c>
      <c r="N321">
        <v>31</v>
      </c>
      <c r="O321">
        <v>19.7333</v>
      </c>
      <c r="P321">
        <v>22.770499999999998</v>
      </c>
      <c r="Q321">
        <v>150</v>
      </c>
      <c r="R321">
        <v>150</v>
      </c>
      <c r="S321">
        <v>13.16</v>
      </c>
      <c r="T321">
        <v>15.18</v>
      </c>
      <c r="U321">
        <v>0</v>
      </c>
      <c r="V321">
        <v>0</v>
      </c>
      <c r="W321">
        <v>0</v>
      </c>
      <c r="X321">
        <v>1.1561999999999999</v>
      </c>
      <c r="Y321">
        <v>127.2295</v>
      </c>
      <c r="Z321">
        <v>130.26669999999999</v>
      </c>
      <c r="AA321">
        <v>110.04</v>
      </c>
      <c r="AB321" s="6"/>
    </row>
    <row r="322" spans="1:28" x14ac:dyDescent="0.35">
      <c r="A322">
        <v>741</v>
      </c>
      <c r="B322" s="9" t="s">
        <v>418</v>
      </c>
      <c r="C322" s="9" t="s">
        <v>45</v>
      </c>
      <c r="D322" s="9" t="s">
        <v>46</v>
      </c>
      <c r="E322" s="9" t="s">
        <v>47</v>
      </c>
      <c r="F322">
        <v>18</v>
      </c>
      <c r="G322" s="9" t="s">
        <v>95</v>
      </c>
      <c r="H322" s="9" t="s">
        <v>49</v>
      </c>
      <c r="I322" s="9" t="s">
        <v>57</v>
      </c>
      <c r="J322" s="9" t="s">
        <v>58</v>
      </c>
      <c r="K322">
        <v>2</v>
      </c>
      <c r="L322" s="6"/>
      <c r="M322">
        <v>8</v>
      </c>
      <c r="N322">
        <v>17</v>
      </c>
      <c r="O322">
        <v>11.5335</v>
      </c>
      <c r="P322">
        <v>22.054500000000001</v>
      </c>
      <c r="Q322">
        <v>150</v>
      </c>
      <c r="R322">
        <v>150</v>
      </c>
      <c r="S322">
        <v>7.69</v>
      </c>
      <c r="T322">
        <v>14.7</v>
      </c>
      <c r="U322">
        <v>0</v>
      </c>
      <c r="V322">
        <v>0</v>
      </c>
      <c r="W322">
        <v>0</v>
      </c>
      <c r="X322">
        <v>1.9216</v>
      </c>
      <c r="Y322">
        <v>127.9455</v>
      </c>
      <c r="Z322">
        <v>138.4665</v>
      </c>
      <c r="AA322">
        <v>66.58</v>
      </c>
      <c r="AB322" s="6"/>
    </row>
    <row r="323" spans="1:28" x14ac:dyDescent="0.35">
      <c r="A323">
        <v>420</v>
      </c>
      <c r="B323" s="9" t="s">
        <v>419</v>
      </c>
      <c r="C323" s="9" t="s">
        <v>69</v>
      </c>
      <c r="D323" s="9" t="s">
        <v>70</v>
      </c>
      <c r="E323" s="9" t="s">
        <v>71</v>
      </c>
      <c r="F323">
        <v>24</v>
      </c>
      <c r="G323" s="9" t="s">
        <v>255</v>
      </c>
      <c r="H323" s="9" t="s">
        <v>56</v>
      </c>
      <c r="I323" s="9" t="s">
        <v>154</v>
      </c>
      <c r="J323" s="9" t="s">
        <v>155</v>
      </c>
      <c r="K323">
        <v>1</v>
      </c>
      <c r="L323" s="6"/>
      <c r="M323">
        <v>23</v>
      </c>
      <c r="N323">
        <v>36</v>
      </c>
      <c r="O323">
        <v>38.200000000000003</v>
      </c>
      <c r="P323">
        <v>42.889200000000002</v>
      </c>
      <c r="Q323">
        <v>300</v>
      </c>
      <c r="R323">
        <v>300</v>
      </c>
      <c r="S323">
        <v>12.73</v>
      </c>
      <c r="T323">
        <v>14.3</v>
      </c>
      <c r="U323">
        <v>0</v>
      </c>
      <c r="V323">
        <v>0</v>
      </c>
      <c r="W323">
        <v>0</v>
      </c>
      <c r="X323">
        <v>1.1930000000000001</v>
      </c>
      <c r="Y323">
        <v>257.11079999999998</v>
      </c>
      <c r="Z323">
        <v>261.8</v>
      </c>
      <c r="AA323">
        <v>215.52</v>
      </c>
      <c r="AB323" s="6"/>
    </row>
    <row r="324" spans="1:28" x14ac:dyDescent="0.35">
      <c r="A324">
        <v>202</v>
      </c>
      <c r="B324" s="9" t="s">
        <v>420</v>
      </c>
      <c r="C324" s="9" t="s">
        <v>45</v>
      </c>
      <c r="D324" s="9" t="s">
        <v>46</v>
      </c>
      <c r="E324" s="9" t="s">
        <v>47</v>
      </c>
      <c r="F324">
        <v>18</v>
      </c>
      <c r="G324" s="9" t="s">
        <v>192</v>
      </c>
      <c r="H324" s="9" t="s">
        <v>49</v>
      </c>
      <c r="I324" s="9" t="s">
        <v>154</v>
      </c>
      <c r="J324" s="9" t="s">
        <v>155</v>
      </c>
      <c r="K324">
        <v>4</v>
      </c>
      <c r="L324" s="6"/>
      <c r="M324">
        <v>11</v>
      </c>
      <c r="N324">
        <v>17</v>
      </c>
      <c r="O324">
        <v>18.75</v>
      </c>
      <c r="P324">
        <v>21.306699999999999</v>
      </c>
      <c r="Q324">
        <v>150</v>
      </c>
      <c r="R324">
        <v>150</v>
      </c>
      <c r="S324">
        <v>12.5</v>
      </c>
      <c r="T324">
        <v>14.2</v>
      </c>
      <c r="U324">
        <v>0</v>
      </c>
      <c r="V324">
        <v>0</v>
      </c>
      <c r="W324">
        <v>0</v>
      </c>
      <c r="X324">
        <v>1.1001000000000001</v>
      </c>
      <c r="Y324">
        <v>128.69329999999999</v>
      </c>
      <c r="Z324">
        <v>131.25</v>
      </c>
      <c r="AA324">
        <v>116.98</v>
      </c>
      <c r="AB324" s="6"/>
    </row>
    <row r="325" spans="1:28" x14ac:dyDescent="0.35">
      <c r="A325">
        <v>1321</v>
      </c>
      <c r="B325" s="9" t="s">
        <v>421</v>
      </c>
      <c r="C325" s="9" t="s">
        <v>45</v>
      </c>
      <c r="D325" s="9" t="s">
        <v>46</v>
      </c>
      <c r="E325" s="9" t="s">
        <v>47</v>
      </c>
      <c r="F325">
        <v>18</v>
      </c>
      <c r="G325" s="9" t="s">
        <v>112</v>
      </c>
      <c r="H325" s="9" t="s">
        <v>56</v>
      </c>
      <c r="I325" s="9" t="s">
        <v>89</v>
      </c>
      <c r="J325" s="9" t="s">
        <v>90</v>
      </c>
      <c r="K325">
        <v>4</v>
      </c>
      <c r="L325" s="6"/>
      <c r="M325">
        <v>11</v>
      </c>
      <c r="N325">
        <v>93</v>
      </c>
      <c r="O325">
        <v>10.583399999999999</v>
      </c>
      <c r="P325">
        <v>20.6678</v>
      </c>
      <c r="Q325">
        <v>150</v>
      </c>
      <c r="R325">
        <v>150</v>
      </c>
      <c r="S325">
        <v>7.06</v>
      </c>
      <c r="T325">
        <v>13.78</v>
      </c>
      <c r="U325">
        <v>0</v>
      </c>
      <c r="V325">
        <v>0</v>
      </c>
      <c r="W325">
        <v>0</v>
      </c>
      <c r="X325">
        <v>1.9300999999999999</v>
      </c>
      <c r="Y325">
        <v>129.3322</v>
      </c>
      <c r="Z325">
        <v>139.41659999999999</v>
      </c>
      <c r="AA325">
        <v>67.010000000000005</v>
      </c>
      <c r="AB325" s="6"/>
    </row>
    <row r="326" spans="1:28" x14ac:dyDescent="0.35">
      <c r="A326">
        <v>575</v>
      </c>
      <c r="B326" s="9" t="s">
        <v>422</v>
      </c>
      <c r="C326" s="9" t="s">
        <v>127</v>
      </c>
      <c r="D326" s="9" t="s">
        <v>128</v>
      </c>
      <c r="E326" s="9" t="s">
        <v>129</v>
      </c>
      <c r="F326">
        <v>4</v>
      </c>
      <c r="G326" s="9" t="s">
        <v>195</v>
      </c>
      <c r="H326" s="9" t="s">
        <v>56</v>
      </c>
      <c r="I326" s="9" t="s">
        <v>154</v>
      </c>
      <c r="J326" s="9" t="s">
        <v>155</v>
      </c>
      <c r="K326">
        <v>1</v>
      </c>
      <c r="L326" s="6"/>
      <c r="M326">
        <v>20</v>
      </c>
      <c r="N326">
        <v>38</v>
      </c>
      <c r="O326">
        <v>31.2163</v>
      </c>
      <c r="P326">
        <v>32.993699999999997</v>
      </c>
      <c r="Q326">
        <v>250</v>
      </c>
      <c r="R326">
        <v>250</v>
      </c>
      <c r="S326">
        <v>12.49</v>
      </c>
      <c r="T326">
        <v>13.2</v>
      </c>
      <c r="U326">
        <v>0</v>
      </c>
      <c r="V326">
        <v>0</v>
      </c>
      <c r="W326">
        <v>0</v>
      </c>
      <c r="X326">
        <v>1.0819000000000001</v>
      </c>
      <c r="Y326">
        <v>217.00630000000001</v>
      </c>
      <c r="Z326">
        <v>218.78370000000001</v>
      </c>
      <c r="AA326">
        <v>200.58</v>
      </c>
      <c r="AB326" s="6"/>
    </row>
    <row r="327" spans="1:28" x14ac:dyDescent="0.35">
      <c r="A327">
        <v>1242</v>
      </c>
      <c r="B327" s="9" t="s">
        <v>423</v>
      </c>
      <c r="C327" s="9" t="s">
        <v>127</v>
      </c>
      <c r="D327" s="9" t="s">
        <v>128</v>
      </c>
      <c r="E327" s="9" t="s">
        <v>129</v>
      </c>
      <c r="F327">
        <v>4</v>
      </c>
      <c r="G327" s="9" t="s">
        <v>79</v>
      </c>
      <c r="H327" s="9" t="s">
        <v>56</v>
      </c>
      <c r="I327" s="9" t="s">
        <v>50</v>
      </c>
      <c r="J327" s="9" t="s">
        <v>51</v>
      </c>
      <c r="K327">
        <v>1</v>
      </c>
      <c r="L327" s="6"/>
      <c r="M327">
        <v>9</v>
      </c>
      <c r="N327">
        <v>18</v>
      </c>
      <c r="O327">
        <v>13.65</v>
      </c>
      <c r="P327">
        <v>31.4864</v>
      </c>
      <c r="Q327">
        <v>250</v>
      </c>
      <c r="R327">
        <v>250</v>
      </c>
      <c r="S327">
        <v>5.46</v>
      </c>
      <c r="T327">
        <v>12.59</v>
      </c>
      <c r="U327">
        <v>0</v>
      </c>
      <c r="V327">
        <v>0</v>
      </c>
      <c r="W327">
        <v>0</v>
      </c>
      <c r="X327">
        <v>2.1718000000000002</v>
      </c>
      <c r="Y327">
        <v>218.5136</v>
      </c>
      <c r="Z327">
        <v>236.35</v>
      </c>
      <c r="AA327">
        <v>100.61</v>
      </c>
      <c r="AB327" s="6"/>
    </row>
    <row r="328" spans="1:28" x14ac:dyDescent="0.35">
      <c r="A328">
        <v>1456</v>
      </c>
      <c r="B328" s="9" t="s">
        <v>424</v>
      </c>
      <c r="C328" s="9" t="s">
        <v>45</v>
      </c>
      <c r="D328" s="9" t="s">
        <v>46</v>
      </c>
      <c r="E328" s="9" t="s">
        <v>47</v>
      </c>
      <c r="F328">
        <v>18</v>
      </c>
      <c r="G328" s="9" t="s">
        <v>209</v>
      </c>
      <c r="H328" s="9" t="s">
        <v>49</v>
      </c>
      <c r="I328" s="9" t="s">
        <v>154</v>
      </c>
      <c r="J328" s="9" t="s">
        <v>155</v>
      </c>
      <c r="K328">
        <v>4</v>
      </c>
      <c r="L328" s="6"/>
      <c r="M328">
        <v>12</v>
      </c>
      <c r="N328">
        <v>21</v>
      </c>
      <c r="O328">
        <v>16.916599999999999</v>
      </c>
      <c r="P328">
        <v>18.221800000000002</v>
      </c>
      <c r="Q328">
        <v>150</v>
      </c>
      <c r="R328">
        <v>150</v>
      </c>
      <c r="S328">
        <v>11.28</v>
      </c>
      <c r="T328">
        <v>12.15</v>
      </c>
      <c r="U328">
        <v>0</v>
      </c>
      <c r="V328">
        <v>0</v>
      </c>
      <c r="W328">
        <v>0</v>
      </c>
      <c r="X328">
        <v>1.1733</v>
      </c>
      <c r="Y328">
        <v>131.7782</v>
      </c>
      <c r="Z328">
        <v>133.08340000000001</v>
      </c>
      <c r="AA328">
        <v>112.31</v>
      </c>
      <c r="AB328" s="6"/>
    </row>
    <row r="329" spans="1:28" x14ac:dyDescent="0.35">
      <c r="A329">
        <v>1300</v>
      </c>
      <c r="B329" s="9" t="s">
        <v>425</v>
      </c>
      <c r="C329" s="9" t="s">
        <v>64</v>
      </c>
      <c r="D329" s="9" t="s">
        <v>65</v>
      </c>
      <c r="E329" s="9" t="s">
        <v>47</v>
      </c>
      <c r="F329">
        <v>12</v>
      </c>
      <c r="G329" s="9" t="s">
        <v>112</v>
      </c>
      <c r="H329" s="9" t="s">
        <v>56</v>
      </c>
      <c r="I329" s="9" t="s">
        <v>89</v>
      </c>
      <c r="J329" s="9" t="s">
        <v>90</v>
      </c>
      <c r="K329">
        <v>1</v>
      </c>
      <c r="L329" s="6"/>
      <c r="M329">
        <v>13</v>
      </c>
      <c r="N329">
        <v>110</v>
      </c>
      <c r="O329">
        <v>12.1501</v>
      </c>
      <c r="P329">
        <v>24.112500000000001</v>
      </c>
      <c r="Q329">
        <v>200</v>
      </c>
      <c r="R329">
        <v>200</v>
      </c>
      <c r="S329">
        <v>6.08</v>
      </c>
      <c r="T329">
        <v>12.06</v>
      </c>
      <c r="U329">
        <v>0</v>
      </c>
      <c r="V329">
        <v>0</v>
      </c>
      <c r="W329">
        <v>0</v>
      </c>
      <c r="X329">
        <v>1.9300999999999999</v>
      </c>
      <c r="Y329">
        <v>175.88749999999999</v>
      </c>
      <c r="Z329">
        <v>187.84989999999999</v>
      </c>
      <c r="AA329">
        <v>91.13</v>
      </c>
      <c r="AB329" s="6"/>
    </row>
    <row r="330" spans="1:28" x14ac:dyDescent="0.35">
      <c r="A330">
        <v>768</v>
      </c>
      <c r="B330" s="9" t="s">
        <v>426</v>
      </c>
      <c r="C330" s="9" t="s">
        <v>69</v>
      </c>
      <c r="D330" s="9" t="s">
        <v>70</v>
      </c>
      <c r="E330" s="9" t="s">
        <v>71</v>
      </c>
      <c r="F330">
        <v>24</v>
      </c>
      <c r="G330" s="9" t="s">
        <v>110</v>
      </c>
      <c r="H330" s="9" t="s">
        <v>82</v>
      </c>
      <c r="I330" s="9" t="s">
        <v>57</v>
      </c>
      <c r="J330" s="9" t="s">
        <v>58</v>
      </c>
      <c r="K330">
        <v>1</v>
      </c>
      <c r="L330" s="6"/>
      <c r="M330">
        <v>12</v>
      </c>
      <c r="N330">
        <v>35</v>
      </c>
      <c r="O330">
        <v>20.133400000000002</v>
      </c>
      <c r="P330">
        <v>35.595599999999997</v>
      </c>
      <c r="Q330">
        <v>300</v>
      </c>
      <c r="R330">
        <v>300</v>
      </c>
      <c r="S330">
        <v>6.71</v>
      </c>
      <c r="T330">
        <v>11.87</v>
      </c>
      <c r="U330">
        <v>0</v>
      </c>
      <c r="V330">
        <v>0</v>
      </c>
      <c r="W330">
        <v>0</v>
      </c>
      <c r="X330">
        <v>1.9188000000000001</v>
      </c>
      <c r="Y330">
        <v>264.40440000000001</v>
      </c>
      <c r="Z330">
        <v>279.86660000000001</v>
      </c>
      <c r="AA330">
        <v>137.80000000000001</v>
      </c>
      <c r="AB330" s="6"/>
    </row>
    <row r="331" spans="1:28" x14ac:dyDescent="0.35">
      <c r="A331">
        <v>1005</v>
      </c>
      <c r="B331" s="9" t="s">
        <v>427</v>
      </c>
      <c r="C331" s="9" t="s">
        <v>64</v>
      </c>
      <c r="D331" s="9" t="s">
        <v>65</v>
      </c>
      <c r="E331" s="9" t="s">
        <v>47</v>
      </c>
      <c r="F331">
        <v>12</v>
      </c>
      <c r="G331" s="9" t="s">
        <v>60</v>
      </c>
      <c r="H331" s="9" t="s">
        <v>56</v>
      </c>
      <c r="I331" s="9" t="s">
        <v>50</v>
      </c>
      <c r="J331" s="9" t="s">
        <v>51</v>
      </c>
      <c r="K331">
        <v>3</v>
      </c>
      <c r="L331" s="6"/>
      <c r="M331">
        <v>7</v>
      </c>
      <c r="N331">
        <v>12</v>
      </c>
      <c r="O331">
        <v>11.216699999999999</v>
      </c>
      <c r="P331">
        <v>23.742100000000001</v>
      </c>
      <c r="Q331">
        <v>200</v>
      </c>
      <c r="R331">
        <v>200</v>
      </c>
      <c r="S331">
        <v>5.61</v>
      </c>
      <c r="T331">
        <v>11.87</v>
      </c>
      <c r="U331">
        <v>0</v>
      </c>
      <c r="V331">
        <v>0</v>
      </c>
      <c r="W331">
        <v>0</v>
      </c>
      <c r="X331">
        <v>2.2582</v>
      </c>
      <c r="Y331">
        <v>176.25790000000001</v>
      </c>
      <c r="Z331">
        <v>188.7833</v>
      </c>
      <c r="AA331">
        <v>78.05</v>
      </c>
      <c r="AB331" s="6"/>
    </row>
    <row r="332" spans="1:28" x14ac:dyDescent="0.35">
      <c r="A332">
        <v>1170</v>
      </c>
      <c r="B332" s="9" t="s">
        <v>428</v>
      </c>
      <c r="C332" s="9" t="s">
        <v>53</v>
      </c>
      <c r="D332" s="9" t="s">
        <v>54</v>
      </c>
      <c r="E332" s="9" t="s">
        <v>47</v>
      </c>
      <c r="F332">
        <v>8</v>
      </c>
      <c r="G332" s="9" t="s">
        <v>262</v>
      </c>
      <c r="H332" s="9" t="s">
        <v>56</v>
      </c>
      <c r="I332" s="9" t="s">
        <v>154</v>
      </c>
      <c r="J332" s="9" t="s">
        <v>155</v>
      </c>
      <c r="K332">
        <v>1</v>
      </c>
      <c r="L332" s="6"/>
      <c r="M332">
        <v>8</v>
      </c>
      <c r="N332">
        <v>12</v>
      </c>
      <c r="O332">
        <v>12.1</v>
      </c>
      <c r="P332">
        <v>12.34</v>
      </c>
      <c r="Q332">
        <v>120</v>
      </c>
      <c r="R332">
        <v>120</v>
      </c>
      <c r="S332">
        <v>10.08</v>
      </c>
      <c r="T332">
        <v>10.28</v>
      </c>
      <c r="U332">
        <v>0</v>
      </c>
      <c r="V332">
        <v>0</v>
      </c>
      <c r="W332">
        <v>0</v>
      </c>
      <c r="X332">
        <v>1.0798000000000001</v>
      </c>
      <c r="Y332">
        <v>107.66</v>
      </c>
      <c r="Z332">
        <v>107.9</v>
      </c>
      <c r="AA332">
        <v>99.7</v>
      </c>
      <c r="AB332" s="6"/>
    </row>
    <row r="333" spans="1:28" x14ac:dyDescent="0.35">
      <c r="A333">
        <v>54</v>
      </c>
      <c r="B333" s="9" t="s">
        <v>429</v>
      </c>
      <c r="C333" s="9" t="s">
        <v>45</v>
      </c>
      <c r="D333" s="9" t="s">
        <v>46</v>
      </c>
      <c r="E333" s="9" t="s">
        <v>47</v>
      </c>
      <c r="F333">
        <v>18</v>
      </c>
      <c r="G333" s="9" t="s">
        <v>99</v>
      </c>
      <c r="H333" s="9" t="s">
        <v>56</v>
      </c>
      <c r="I333" s="9" t="s">
        <v>57</v>
      </c>
      <c r="J333" s="9" t="s">
        <v>58</v>
      </c>
      <c r="K333">
        <v>4</v>
      </c>
      <c r="L333" s="6"/>
      <c r="M333">
        <v>4</v>
      </c>
      <c r="N333">
        <v>7</v>
      </c>
      <c r="O333">
        <v>7.75</v>
      </c>
      <c r="P333">
        <v>14.916</v>
      </c>
      <c r="Q333">
        <v>150</v>
      </c>
      <c r="R333">
        <v>150</v>
      </c>
      <c r="S333">
        <v>5.17</v>
      </c>
      <c r="T333">
        <v>9.94</v>
      </c>
      <c r="U333">
        <v>0</v>
      </c>
      <c r="V333">
        <v>0</v>
      </c>
      <c r="W333">
        <v>0</v>
      </c>
      <c r="X333">
        <v>2.0638000000000001</v>
      </c>
      <c r="Y333">
        <v>135.084</v>
      </c>
      <c r="Z333">
        <v>142.25</v>
      </c>
      <c r="AA333">
        <v>65.45</v>
      </c>
      <c r="AB333" s="6"/>
    </row>
    <row r="334" spans="1:28" x14ac:dyDescent="0.35">
      <c r="A334">
        <v>1523</v>
      </c>
      <c r="B334" s="9" t="s">
        <v>430</v>
      </c>
      <c r="C334" s="9" t="s">
        <v>64</v>
      </c>
      <c r="D334" s="9" t="s">
        <v>65</v>
      </c>
      <c r="E334" s="9" t="s">
        <v>47</v>
      </c>
      <c r="F334">
        <v>12</v>
      </c>
      <c r="G334" s="9" t="s">
        <v>178</v>
      </c>
      <c r="H334" s="9" t="s">
        <v>56</v>
      </c>
      <c r="I334" s="9" t="s">
        <v>154</v>
      </c>
      <c r="J334" s="9" t="s">
        <v>155</v>
      </c>
      <c r="K334">
        <v>1</v>
      </c>
      <c r="L334" s="6"/>
      <c r="M334">
        <v>11</v>
      </c>
      <c r="N334">
        <v>29</v>
      </c>
      <c r="O334">
        <v>16.5</v>
      </c>
      <c r="P334">
        <v>19.497199999999999</v>
      </c>
      <c r="Q334">
        <v>200</v>
      </c>
      <c r="R334">
        <v>200</v>
      </c>
      <c r="S334">
        <v>8.25</v>
      </c>
      <c r="T334">
        <v>9.75</v>
      </c>
      <c r="U334">
        <v>0</v>
      </c>
      <c r="V334">
        <v>0</v>
      </c>
      <c r="W334">
        <v>0</v>
      </c>
      <c r="X334">
        <v>1.1561999999999999</v>
      </c>
      <c r="Y334">
        <v>180.50280000000001</v>
      </c>
      <c r="Z334">
        <v>183.5</v>
      </c>
      <c r="AA334">
        <v>156.12</v>
      </c>
      <c r="AB334" s="6"/>
    </row>
    <row r="335" spans="1:28" x14ac:dyDescent="0.35">
      <c r="A335">
        <v>298</v>
      </c>
      <c r="B335" s="9" t="s">
        <v>431</v>
      </c>
      <c r="C335" s="9" t="s">
        <v>45</v>
      </c>
      <c r="D335" s="9" t="s">
        <v>46</v>
      </c>
      <c r="E335" s="9" t="s">
        <v>47</v>
      </c>
      <c r="F335">
        <v>18</v>
      </c>
      <c r="G335" s="9" t="s">
        <v>205</v>
      </c>
      <c r="H335" s="9" t="s">
        <v>56</v>
      </c>
      <c r="I335" s="9" t="s">
        <v>154</v>
      </c>
      <c r="J335" s="9" t="s">
        <v>155</v>
      </c>
      <c r="K335">
        <v>1</v>
      </c>
      <c r="L335" s="6"/>
      <c r="M335">
        <v>8</v>
      </c>
      <c r="N335">
        <v>11</v>
      </c>
      <c r="O335">
        <v>12.316700000000001</v>
      </c>
      <c r="P335">
        <v>12.5367</v>
      </c>
      <c r="Q335">
        <v>150</v>
      </c>
      <c r="R335">
        <v>150</v>
      </c>
      <c r="S335">
        <v>8.2100000000000009</v>
      </c>
      <c r="T335">
        <v>8.36</v>
      </c>
      <c r="U335">
        <v>0</v>
      </c>
      <c r="V335">
        <v>0</v>
      </c>
      <c r="W335">
        <v>0</v>
      </c>
      <c r="X335">
        <v>1.08</v>
      </c>
      <c r="Y335">
        <v>137.4633</v>
      </c>
      <c r="Z335">
        <v>137.6833</v>
      </c>
      <c r="AA335">
        <v>127.28</v>
      </c>
      <c r="AB335" s="6"/>
    </row>
    <row r="336" spans="1:28" x14ac:dyDescent="0.35">
      <c r="A336">
        <v>1436</v>
      </c>
      <c r="B336" s="9" t="s">
        <v>432</v>
      </c>
      <c r="C336" s="9" t="s">
        <v>64</v>
      </c>
      <c r="D336" s="9" t="s">
        <v>65</v>
      </c>
      <c r="E336" s="9" t="s">
        <v>47</v>
      </c>
      <c r="F336">
        <v>12</v>
      </c>
      <c r="G336" s="9" t="s">
        <v>209</v>
      </c>
      <c r="H336" s="9" t="s">
        <v>49</v>
      </c>
      <c r="I336" s="9" t="s">
        <v>154</v>
      </c>
      <c r="J336" s="9" t="s">
        <v>155</v>
      </c>
      <c r="K336">
        <v>3</v>
      </c>
      <c r="L336" s="6"/>
      <c r="M336">
        <v>10</v>
      </c>
      <c r="N336">
        <v>17</v>
      </c>
      <c r="O336">
        <v>14.799899999999999</v>
      </c>
      <c r="P336">
        <v>15.573700000000001</v>
      </c>
      <c r="Q336">
        <v>200</v>
      </c>
      <c r="R336">
        <v>200</v>
      </c>
      <c r="S336">
        <v>7.4</v>
      </c>
      <c r="T336">
        <v>7.79</v>
      </c>
      <c r="U336">
        <v>0</v>
      </c>
      <c r="V336">
        <v>0</v>
      </c>
      <c r="W336">
        <v>0</v>
      </c>
      <c r="X336">
        <v>1.1733</v>
      </c>
      <c r="Y336">
        <v>184.4263</v>
      </c>
      <c r="Z336">
        <v>185.20009999999999</v>
      </c>
      <c r="AA336">
        <v>157.19</v>
      </c>
      <c r="AB336" s="6"/>
    </row>
    <row r="337" spans="1:28" x14ac:dyDescent="0.35">
      <c r="A337">
        <v>604</v>
      </c>
      <c r="B337" s="9" t="s">
        <v>433</v>
      </c>
      <c r="C337" s="9" t="s">
        <v>45</v>
      </c>
      <c r="D337" s="9" t="s">
        <v>46</v>
      </c>
      <c r="E337" s="9" t="s">
        <v>47</v>
      </c>
      <c r="F337">
        <v>18</v>
      </c>
      <c r="G337" s="9" t="s">
        <v>195</v>
      </c>
      <c r="H337" s="9" t="s">
        <v>56</v>
      </c>
      <c r="I337" s="9" t="s">
        <v>154</v>
      </c>
      <c r="J337" s="9" t="s">
        <v>155</v>
      </c>
      <c r="K337">
        <v>4</v>
      </c>
      <c r="L337" s="6"/>
      <c r="M337">
        <v>6</v>
      </c>
      <c r="N337">
        <v>9</v>
      </c>
      <c r="O337">
        <v>9.3165999999999993</v>
      </c>
      <c r="P337">
        <v>9.4966000000000008</v>
      </c>
      <c r="Q337">
        <v>150</v>
      </c>
      <c r="R337">
        <v>150</v>
      </c>
      <c r="S337">
        <v>6.21</v>
      </c>
      <c r="T337">
        <v>6.33</v>
      </c>
      <c r="U337">
        <v>0</v>
      </c>
      <c r="V337">
        <v>0</v>
      </c>
      <c r="W337">
        <v>0</v>
      </c>
      <c r="X337">
        <v>1.0819000000000001</v>
      </c>
      <c r="Y337">
        <v>140.5034</v>
      </c>
      <c r="Z337">
        <v>140.68340000000001</v>
      </c>
      <c r="AA337">
        <v>129.87</v>
      </c>
      <c r="AB337" s="6"/>
    </row>
    <row r="338" spans="1:28" x14ac:dyDescent="0.35">
      <c r="A338">
        <v>998</v>
      </c>
      <c r="B338" s="9" t="s">
        <v>434</v>
      </c>
      <c r="C338" s="9" t="s">
        <v>64</v>
      </c>
      <c r="D338" s="9" t="s">
        <v>65</v>
      </c>
      <c r="E338" s="9" t="s">
        <v>47</v>
      </c>
      <c r="F338">
        <v>12</v>
      </c>
      <c r="G338" s="9" t="s">
        <v>60</v>
      </c>
      <c r="H338" s="9" t="s">
        <v>56</v>
      </c>
      <c r="I338" s="9" t="s">
        <v>50</v>
      </c>
      <c r="J338" s="9" t="s">
        <v>51</v>
      </c>
      <c r="K338">
        <v>1</v>
      </c>
      <c r="L338" s="6"/>
      <c r="M338">
        <v>4</v>
      </c>
      <c r="N338">
        <v>6</v>
      </c>
      <c r="O338">
        <v>6.55</v>
      </c>
      <c r="P338">
        <v>11.7431</v>
      </c>
      <c r="Q338">
        <v>200</v>
      </c>
      <c r="R338">
        <v>200</v>
      </c>
      <c r="S338">
        <v>3.28</v>
      </c>
      <c r="T338">
        <v>5.87</v>
      </c>
      <c r="U338">
        <v>0</v>
      </c>
      <c r="V338">
        <v>0</v>
      </c>
      <c r="W338">
        <v>0</v>
      </c>
      <c r="X338">
        <v>2.2582</v>
      </c>
      <c r="Y338">
        <v>188.2569</v>
      </c>
      <c r="Z338">
        <v>193.45</v>
      </c>
      <c r="AA338">
        <v>83.37</v>
      </c>
      <c r="AB338" s="6"/>
    </row>
    <row r="339" spans="1:28" x14ac:dyDescent="0.35">
      <c r="A339">
        <v>519</v>
      </c>
      <c r="B339" s="9" t="s">
        <v>435</v>
      </c>
      <c r="C339" s="9" t="s">
        <v>53</v>
      </c>
      <c r="D339" s="9" t="s">
        <v>54</v>
      </c>
      <c r="E339" s="9" t="s">
        <v>47</v>
      </c>
      <c r="F339">
        <v>8</v>
      </c>
      <c r="G339" s="9" t="s">
        <v>97</v>
      </c>
      <c r="H339" s="9" t="s">
        <v>49</v>
      </c>
      <c r="I339" s="9" t="s">
        <v>50</v>
      </c>
      <c r="J339" s="9" t="s">
        <v>51</v>
      </c>
      <c r="K339">
        <v>2</v>
      </c>
      <c r="L339" s="6"/>
      <c r="M339">
        <v>2</v>
      </c>
      <c r="N339">
        <v>2</v>
      </c>
      <c r="O339">
        <v>2.8332999999999999</v>
      </c>
      <c r="P339">
        <v>6.6105</v>
      </c>
      <c r="Q339">
        <v>120</v>
      </c>
      <c r="R339">
        <v>120</v>
      </c>
      <c r="S339">
        <v>2.36</v>
      </c>
      <c r="T339">
        <v>5.51</v>
      </c>
      <c r="U339">
        <v>0</v>
      </c>
      <c r="V339">
        <v>0</v>
      </c>
      <c r="W339">
        <v>0</v>
      </c>
      <c r="X339">
        <v>2.1760999999999999</v>
      </c>
      <c r="Y339">
        <v>113.3895</v>
      </c>
      <c r="Z339">
        <v>117.16670000000001</v>
      </c>
      <c r="AA339">
        <v>52.11</v>
      </c>
      <c r="AB339" s="6"/>
    </row>
    <row r="340" spans="1:28" x14ac:dyDescent="0.35">
      <c r="A340">
        <v>1514</v>
      </c>
      <c r="B340" s="9" t="s">
        <v>436</v>
      </c>
      <c r="C340" s="9" t="s">
        <v>53</v>
      </c>
      <c r="D340" s="9" t="s">
        <v>54</v>
      </c>
      <c r="E340" s="9" t="s">
        <v>47</v>
      </c>
      <c r="F340">
        <v>8</v>
      </c>
      <c r="G340" s="9" t="s">
        <v>178</v>
      </c>
      <c r="H340" s="9" t="s">
        <v>56</v>
      </c>
      <c r="I340" s="9" t="s">
        <v>154</v>
      </c>
      <c r="J340" s="9" t="s">
        <v>155</v>
      </c>
      <c r="K340">
        <v>2</v>
      </c>
      <c r="L340" s="6"/>
      <c r="M340">
        <v>3</v>
      </c>
      <c r="N340">
        <v>4</v>
      </c>
      <c r="O340">
        <v>6.25</v>
      </c>
      <c r="P340">
        <v>6.33</v>
      </c>
      <c r="Q340">
        <v>120</v>
      </c>
      <c r="R340">
        <v>120</v>
      </c>
      <c r="S340">
        <v>5.21</v>
      </c>
      <c r="T340">
        <v>5.28</v>
      </c>
      <c r="U340">
        <v>0</v>
      </c>
      <c r="V340">
        <v>0</v>
      </c>
      <c r="W340">
        <v>0</v>
      </c>
      <c r="X340">
        <v>1.1561999999999999</v>
      </c>
      <c r="Y340">
        <v>113.67</v>
      </c>
      <c r="Z340">
        <v>113.75</v>
      </c>
      <c r="AA340">
        <v>98.31</v>
      </c>
      <c r="AB340" s="6"/>
    </row>
    <row r="341" spans="1:28" x14ac:dyDescent="0.35">
      <c r="A341">
        <v>480</v>
      </c>
      <c r="B341" s="9" t="s">
        <v>437</v>
      </c>
      <c r="C341" s="9" t="s">
        <v>64</v>
      </c>
      <c r="D341" s="9" t="s">
        <v>65</v>
      </c>
      <c r="E341" s="9" t="s">
        <v>47</v>
      </c>
      <c r="F341">
        <v>12</v>
      </c>
      <c r="G341" s="9" t="s">
        <v>242</v>
      </c>
      <c r="H341" s="9" t="s">
        <v>49</v>
      </c>
      <c r="I341" s="9" t="s">
        <v>154</v>
      </c>
      <c r="J341" s="9" t="s">
        <v>155</v>
      </c>
      <c r="K341">
        <v>1</v>
      </c>
      <c r="L341" s="6"/>
      <c r="M341">
        <v>6</v>
      </c>
      <c r="N341">
        <v>12</v>
      </c>
      <c r="O341">
        <v>9.3834</v>
      </c>
      <c r="P341">
        <v>10.210000000000001</v>
      </c>
      <c r="Q341">
        <v>200</v>
      </c>
      <c r="R341">
        <v>200</v>
      </c>
      <c r="S341">
        <v>4.6900000000000004</v>
      </c>
      <c r="T341">
        <v>5.1100000000000003</v>
      </c>
      <c r="U341">
        <v>0</v>
      </c>
      <c r="V341">
        <v>0</v>
      </c>
      <c r="W341">
        <v>0</v>
      </c>
      <c r="X341">
        <v>1.0768</v>
      </c>
      <c r="Y341">
        <v>189.79</v>
      </c>
      <c r="Z341">
        <v>190.61660000000001</v>
      </c>
      <c r="AA341">
        <v>176.25</v>
      </c>
      <c r="AB341" s="6"/>
    </row>
    <row r="342" spans="1:28" x14ac:dyDescent="0.35">
      <c r="A342">
        <v>1221</v>
      </c>
      <c r="B342" s="9" t="s">
        <v>438</v>
      </c>
      <c r="C342" s="9" t="s">
        <v>86</v>
      </c>
      <c r="D342" s="9" t="s">
        <v>87</v>
      </c>
      <c r="E342" s="9" t="s">
        <v>71</v>
      </c>
      <c r="F342">
        <v>6</v>
      </c>
      <c r="G342" s="9" t="s">
        <v>79</v>
      </c>
      <c r="H342" s="9" t="s">
        <v>56</v>
      </c>
      <c r="I342" s="9" t="s">
        <v>50</v>
      </c>
      <c r="J342" s="9" t="s">
        <v>51</v>
      </c>
      <c r="K342">
        <v>1</v>
      </c>
      <c r="L342" s="6"/>
      <c r="M342">
        <v>6</v>
      </c>
      <c r="N342">
        <v>11</v>
      </c>
      <c r="O342">
        <v>8.9</v>
      </c>
      <c r="P342">
        <v>20.104600000000001</v>
      </c>
      <c r="Q342">
        <v>400</v>
      </c>
      <c r="R342">
        <v>400</v>
      </c>
      <c r="S342">
        <v>2.23</v>
      </c>
      <c r="T342">
        <v>5.03</v>
      </c>
      <c r="U342">
        <v>0</v>
      </c>
      <c r="V342">
        <v>0</v>
      </c>
      <c r="W342">
        <v>0</v>
      </c>
      <c r="X342">
        <v>2.1718000000000002</v>
      </c>
      <c r="Y342">
        <v>379.8954</v>
      </c>
      <c r="Z342">
        <v>391.1</v>
      </c>
      <c r="AA342">
        <v>174.92</v>
      </c>
      <c r="AB342" s="6"/>
    </row>
    <row r="343" spans="1:28" x14ac:dyDescent="0.35">
      <c r="A343">
        <v>316</v>
      </c>
      <c r="B343" s="9" t="s">
        <v>439</v>
      </c>
      <c r="C343" s="9" t="s">
        <v>53</v>
      </c>
      <c r="D343" s="9" t="s">
        <v>54</v>
      </c>
      <c r="E343" s="9" t="s">
        <v>47</v>
      </c>
      <c r="F343">
        <v>8</v>
      </c>
      <c r="G343" s="9" t="s">
        <v>93</v>
      </c>
      <c r="H343" s="9" t="s">
        <v>49</v>
      </c>
      <c r="I343" s="9" t="s">
        <v>89</v>
      </c>
      <c r="J343" s="9" t="s">
        <v>90</v>
      </c>
      <c r="K343">
        <v>1</v>
      </c>
      <c r="L343" s="6"/>
      <c r="M343">
        <v>3</v>
      </c>
      <c r="N343">
        <v>24</v>
      </c>
      <c r="O343">
        <v>2.4832999999999998</v>
      </c>
      <c r="P343">
        <v>5.2266000000000004</v>
      </c>
      <c r="Q343">
        <v>120</v>
      </c>
      <c r="R343">
        <v>120</v>
      </c>
      <c r="S343">
        <v>2.0699999999999998</v>
      </c>
      <c r="T343">
        <v>4.3600000000000003</v>
      </c>
      <c r="U343">
        <v>0</v>
      </c>
      <c r="V343">
        <v>0</v>
      </c>
      <c r="W343">
        <v>0</v>
      </c>
      <c r="X343">
        <v>1.7137</v>
      </c>
      <c r="Y343">
        <v>114.7734</v>
      </c>
      <c r="Z343">
        <v>117.5167</v>
      </c>
      <c r="AA343">
        <v>66.97</v>
      </c>
      <c r="AB343" s="6"/>
    </row>
    <row r="344" spans="1:28" x14ac:dyDescent="0.35">
      <c r="A344">
        <v>476</v>
      </c>
      <c r="B344" s="9" t="s">
        <v>440</v>
      </c>
      <c r="C344" s="9" t="s">
        <v>127</v>
      </c>
      <c r="D344" s="9" t="s">
        <v>128</v>
      </c>
      <c r="E344" s="9" t="s">
        <v>129</v>
      </c>
      <c r="F344">
        <v>4</v>
      </c>
      <c r="G344" s="9" t="s">
        <v>242</v>
      </c>
      <c r="H344" s="9" t="s">
        <v>49</v>
      </c>
      <c r="I344" s="9" t="s">
        <v>154</v>
      </c>
      <c r="J344" s="9" t="s">
        <v>155</v>
      </c>
      <c r="K344">
        <v>1</v>
      </c>
      <c r="L344" s="6"/>
      <c r="M344">
        <v>6</v>
      </c>
      <c r="N344">
        <v>12</v>
      </c>
      <c r="O344">
        <v>9.3834</v>
      </c>
      <c r="P344">
        <v>10.210000000000001</v>
      </c>
      <c r="Q344">
        <v>250</v>
      </c>
      <c r="R344">
        <v>250</v>
      </c>
      <c r="S344">
        <v>3.75</v>
      </c>
      <c r="T344">
        <v>4.08</v>
      </c>
      <c r="U344">
        <v>0</v>
      </c>
      <c r="V344">
        <v>0</v>
      </c>
      <c r="W344">
        <v>0</v>
      </c>
      <c r="X344">
        <v>1.0768</v>
      </c>
      <c r="Y344">
        <v>239.79</v>
      </c>
      <c r="Z344">
        <v>240.61660000000001</v>
      </c>
      <c r="AA344">
        <v>222.69</v>
      </c>
      <c r="AB344" s="6"/>
    </row>
    <row r="345" spans="1:28" x14ac:dyDescent="0.35">
      <c r="A345">
        <v>1158</v>
      </c>
      <c r="B345" s="9" t="s">
        <v>441</v>
      </c>
      <c r="C345" s="9" t="s">
        <v>45</v>
      </c>
      <c r="D345" s="9" t="s">
        <v>46</v>
      </c>
      <c r="E345" s="9" t="s">
        <v>47</v>
      </c>
      <c r="F345">
        <v>18</v>
      </c>
      <c r="G345" s="9" t="s">
        <v>153</v>
      </c>
      <c r="H345" s="9" t="s">
        <v>82</v>
      </c>
      <c r="I345" s="9" t="s">
        <v>154</v>
      </c>
      <c r="J345" s="9" t="s">
        <v>155</v>
      </c>
      <c r="K345">
        <v>3</v>
      </c>
      <c r="L345" s="6"/>
      <c r="M345">
        <v>3</v>
      </c>
      <c r="N345">
        <v>7</v>
      </c>
      <c r="O345">
        <v>5.2332999999999998</v>
      </c>
      <c r="P345">
        <v>5.9825999999999997</v>
      </c>
      <c r="Q345">
        <v>150</v>
      </c>
      <c r="R345">
        <v>150</v>
      </c>
      <c r="S345">
        <v>3.49</v>
      </c>
      <c r="T345">
        <v>3.99</v>
      </c>
      <c r="U345">
        <v>0</v>
      </c>
      <c r="V345">
        <v>0</v>
      </c>
      <c r="W345">
        <v>0</v>
      </c>
      <c r="X345">
        <v>1.2827</v>
      </c>
      <c r="Y345">
        <v>144.01740000000001</v>
      </c>
      <c r="Z345">
        <v>144.76669999999999</v>
      </c>
      <c r="AA345">
        <v>112.28</v>
      </c>
      <c r="AB345" s="6"/>
    </row>
    <row r="346" spans="1:28" x14ac:dyDescent="0.35">
      <c r="A346">
        <v>969</v>
      </c>
      <c r="B346" s="9" t="s">
        <v>442</v>
      </c>
      <c r="C346" s="9" t="s">
        <v>45</v>
      </c>
      <c r="D346" s="9" t="s">
        <v>46</v>
      </c>
      <c r="E346" s="9" t="s">
        <v>47</v>
      </c>
      <c r="F346">
        <v>18</v>
      </c>
      <c r="G346" s="9" t="s">
        <v>190</v>
      </c>
      <c r="H346" s="9" t="s">
        <v>56</v>
      </c>
      <c r="I346" s="9" t="s">
        <v>57</v>
      </c>
      <c r="J346" s="9" t="s">
        <v>58</v>
      </c>
      <c r="K346">
        <v>3</v>
      </c>
      <c r="L346" s="6"/>
      <c r="M346">
        <v>1</v>
      </c>
      <c r="N346">
        <v>2</v>
      </c>
      <c r="O346">
        <v>2.6333000000000002</v>
      </c>
      <c r="P346">
        <v>5.8868</v>
      </c>
      <c r="Q346">
        <v>150</v>
      </c>
      <c r="R346">
        <v>150</v>
      </c>
      <c r="S346">
        <v>1.76</v>
      </c>
      <c r="T346">
        <v>3.92</v>
      </c>
      <c r="U346">
        <v>0</v>
      </c>
      <c r="V346">
        <v>0</v>
      </c>
      <c r="W346">
        <v>0</v>
      </c>
      <c r="X346">
        <v>1.8878999999999999</v>
      </c>
      <c r="Y346">
        <v>144.11320000000001</v>
      </c>
      <c r="Z346">
        <v>147.36670000000001</v>
      </c>
      <c r="AA346">
        <v>76.34</v>
      </c>
      <c r="AB346" s="6"/>
    </row>
    <row r="347" spans="1:28" x14ac:dyDescent="0.35">
      <c r="A347">
        <v>287</v>
      </c>
      <c r="B347" s="9" t="s">
        <v>443</v>
      </c>
      <c r="C347" s="9" t="s">
        <v>64</v>
      </c>
      <c r="D347" s="9" t="s">
        <v>65</v>
      </c>
      <c r="E347" s="9" t="s">
        <v>47</v>
      </c>
      <c r="F347">
        <v>12</v>
      </c>
      <c r="G347" s="9" t="s">
        <v>205</v>
      </c>
      <c r="H347" s="9" t="s">
        <v>56</v>
      </c>
      <c r="I347" s="9" t="s">
        <v>154</v>
      </c>
      <c r="J347" s="9" t="s">
        <v>155</v>
      </c>
      <c r="K347">
        <v>2</v>
      </c>
      <c r="L347" s="6"/>
      <c r="M347">
        <v>4</v>
      </c>
      <c r="N347">
        <v>6</v>
      </c>
      <c r="O347">
        <v>6.6666999999999996</v>
      </c>
      <c r="P347">
        <v>6.7866999999999997</v>
      </c>
      <c r="Q347">
        <v>200</v>
      </c>
      <c r="R347">
        <v>200</v>
      </c>
      <c r="S347">
        <v>3.33</v>
      </c>
      <c r="T347">
        <v>3.39</v>
      </c>
      <c r="U347">
        <v>0</v>
      </c>
      <c r="V347">
        <v>0</v>
      </c>
      <c r="W347">
        <v>0</v>
      </c>
      <c r="X347">
        <v>1.08</v>
      </c>
      <c r="Y347">
        <v>193.2133</v>
      </c>
      <c r="Z347">
        <v>193.33330000000001</v>
      </c>
      <c r="AA347">
        <v>178.9</v>
      </c>
      <c r="AB347" s="6"/>
    </row>
    <row r="348" spans="1:28" x14ac:dyDescent="0.35">
      <c r="A348">
        <v>1305</v>
      </c>
      <c r="B348" s="9" t="s">
        <v>444</v>
      </c>
      <c r="C348" s="9" t="s">
        <v>64</v>
      </c>
      <c r="D348" s="9" t="s">
        <v>65</v>
      </c>
      <c r="E348" s="9" t="s">
        <v>47</v>
      </c>
      <c r="F348">
        <v>12</v>
      </c>
      <c r="G348" s="9" t="s">
        <v>112</v>
      </c>
      <c r="H348" s="9" t="s">
        <v>56</v>
      </c>
      <c r="I348" s="9" t="s">
        <v>89</v>
      </c>
      <c r="J348" s="9" t="s">
        <v>90</v>
      </c>
      <c r="K348">
        <v>3</v>
      </c>
      <c r="L348" s="6"/>
      <c r="M348">
        <v>3</v>
      </c>
      <c r="N348">
        <v>27</v>
      </c>
      <c r="O348">
        <v>2.4666999999999999</v>
      </c>
      <c r="P348">
        <v>5.3930999999999996</v>
      </c>
      <c r="Q348">
        <v>200</v>
      </c>
      <c r="R348">
        <v>200</v>
      </c>
      <c r="S348">
        <v>1.23</v>
      </c>
      <c r="T348">
        <v>2.7</v>
      </c>
      <c r="U348">
        <v>0</v>
      </c>
      <c r="V348">
        <v>0</v>
      </c>
      <c r="W348">
        <v>0</v>
      </c>
      <c r="X348">
        <v>1.9300999999999999</v>
      </c>
      <c r="Y348">
        <v>194.6069</v>
      </c>
      <c r="Z348">
        <v>197.5333</v>
      </c>
      <c r="AA348">
        <v>100.83</v>
      </c>
      <c r="AB348" s="6"/>
    </row>
    <row r="349" spans="1:28" x14ac:dyDescent="0.35">
      <c r="A349">
        <v>1360</v>
      </c>
      <c r="B349" s="9" t="s">
        <v>445</v>
      </c>
      <c r="C349" s="9" t="s">
        <v>45</v>
      </c>
      <c r="D349" s="9" t="s">
        <v>46</v>
      </c>
      <c r="E349" s="9" t="s">
        <v>47</v>
      </c>
      <c r="F349">
        <v>18</v>
      </c>
      <c r="G349" s="9" t="s">
        <v>72</v>
      </c>
      <c r="H349" s="9" t="s">
        <v>56</v>
      </c>
      <c r="I349" s="9" t="s">
        <v>50</v>
      </c>
      <c r="J349" s="9" t="s">
        <v>51</v>
      </c>
      <c r="K349">
        <v>1</v>
      </c>
      <c r="L349" s="6"/>
      <c r="M349">
        <v>1</v>
      </c>
      <c r="N349">
        <v>2</v>
      </c>
      <c r="O349">
        <v>1.7333000000000001</v>
      </c>
      <c r="P349">
        <v>3.9556</v>
      </c>
      <c r="Q349">
        <v>150</v>
      </c>
      <c r="R349">
        <v>150</v>
      </c>
      <c r="S349">
        <v>1.1599999999999999</v>
      </c>
      <c r="T349">
        <v>2.64</v>
      </c>
      <c r="U349">
        <v>0</v>
      </c>
      <c r="V349">
        <v>0</v>
      </c>
      <c r="W349">
        <v>0</v>
      </c>
      <c r="X349">
        <v>1.9079999999999999</v>
      </c>
      <c r="Y349">
        <v>146.0444</v>
      </c>
      <c r="Z349">
        <v>148.26669999999999</v>
      </c>
      <c r="AA349">
        <v>76.540000000000006</v>
      </c>
      <c r="AB349" s="6"/>
    </row>
    <row r="350" spans="1:28" x14ac:dyDescent="0.35">
      <c r="A350">
        <v>1365</v>
      </c>
      <c r="B350" s="9" t="s">
        <v>446</v>
      </c>
      <c r="C350" s="9" t="s">
        <v>45</v>
      </c>
      <c r="D350" s="9" t="s">
        <v>46</v>
      </c>
      <c r="E350" s="9" t="s">
        <v>47</v>
      </c>
      <c r="F350">
        <v>18</v>
      </c>
      <c r="G350" s="9" t="s">
        <v>72</v>
      </c>
      <c r="H350" s="9" t="s">
        <v>56</v>
      </c>
      <c r="I350" s="9" t="s">
        <v>50</v>
      </c>
      <c r="J350" s="9" t="s">
        <v>51</v>
      </c>
      <c r="K350">
        <v>2</v>
      </c>
      <c r="L350" s="6"/>
      <c r="M350">
        <v>1</v>
      </c>
      <c r="N350">
        <v>2</v>
      </c>
      <c r="O350">
        <v>1.7333000000000001</v>
      </c>
      <c r="P350">
        <v>3.9556</v>
      </c>
      <c r="Q350">
        <v>150</v>
      </c>
      <c r="R350">
        <v>150</v>
      </c>
      <c r="S350">
        <v>1.1599999999999999</v>
      </c>
      <c r="T350">
        <v>2.64</v>
      </c>
      <c r="U350">
        <v>0</v>
      </c>
      <c r="V350">
        <v>0</v>
      </c>
      <c r="W350">
        <v>0</v>
      </c>
      <c r="X350">
        <v>1.9079999999999999</v>
      </c>
      <c r="Y350">
        <v>146.0444</v>
      </c>
      <c r="Z350">
        <v>148.26669999999999</v>
      </c>
      <c r="AA350">
        <v>76.540000000000006</v>
      </c>
      <c r="AB350" s="6"/>
    </row>
    <row r="351" spans="1:28" x14ac:dyDescent="0.35">
      <c r="A351">
        <v>668</v>
      </c>
      <c r="B351" s="9" t="s">
        <v>447</v>
      </c>
      <c r="C351" s="9" t="s">
        <v>64</v>
      </c>
      <c r="D351" s="9" t="s">
        <v>65</v>
      </c>
      <c r="E351" s="9" t="s">
        <v>47</v>
      </c>
      <c r="F351">
        <v>12</v>
      </c>
      <c r="G351" s="9" t="s">
        <v>81</v>
      </c>
      <c r="H351" s="9" t="s">
        <v>82</v>
      </c>
      <c r="I351" s="9" t="s">
        <v>57</v>
      </c>
      <c r="J351" s="9" t="s">
        <v>58</v>
      </c>
      <c r="K351">
        <v>2</v>
      </c>
      <c r="L351" s="6"/>
      <c r="M351">
        <v>3</v>
      </c>
      <c r="N351">
        <v>7</v>
      </c>
      <c r="O351">
        <v>4.0167000000000002</v>
      </c>
      <c r="P351">
        <v>4.5896999999999997</v>
      </c>
      <c r="Q351">
        <v>200</v>
      </c>
      <c r="R351">
        <v>200</v>
      </c>
      <c r="S351">
        <v>2.0099999999999998</v>
      </c>
      <c r="T351">
        <v>2.29</v>
      </c>
      <c r="U351">
        <v>0</v>
      </c>
      <c r="V351">
        <v>0</v>
      </c>
      <c r="W351">
        <v>0</v>
      </c>
      <c r="X351">
        <v>1.8671</v>
      </c>
      <c r="Y351">
        <v>195.41030000000001</v>
      </c>
      <c r="Z351">
        <v>195.98330000000001</v>
      </c>
      <c r="AA351">
        <v>104.66</v>
      </c>
      <c r="AB351" s="6"/>
    </row>
    <row r="352" spans="1:28" x14ac:dyDescent="0.35">
      <c r="A352">
        <v>1429</v>
      </c>
      <c r="B352" s="9" t="s">
        <v>448</v>
      </c>
      <c r="C352" s="9" t="s">
        <v>64</v>
      </c>
      <c r="D352" s="9" t="s">
        <v>65</v>
      </c>
      <c r="E352" s="9" t="s">
        <v>47</v>
      </c>
      <c r="F352">
        <v>12</v>
      </c>
      <c r="G352" s="9" t="s">
        <v>209</v>
      </c>
      <c r="H352" s="9" t="s">
        <v>49</v>
      </c>
      <c r="I352" s="9" t="s">
        <v>154</v>
      </c>
      <c r="J352" s="9" t="s">
        <v>155</v>
      </c>
      <c r="K352">
        <v>1</v>
      </c>
      <c r="L352" s="6"/>
      <c r="M352">
        <v>3</v>
      </c>
      <c r="N352">
        <v>4</v>
      </c>
      <c r="O352">
        <v>4.1333000000000002</v>
      </c>
      <c r="P352">
        <v>4.2133000000000003</v>
      </c>
      <c r="Q352">
        <v>200</v>
      </c>
      <c r="R352">
        <v>200</v>
      </c>
      <c r="S352">
        <v>2.0699999999999998</v>
      </c>
      <c r="T352">
        <v>2.11</v>
      </c>
      <c r="U352">
        <v>0</v>
      </c>
      <c r="V352">
        <v>0</v>
      </c>
      <c r="W352">
        <v>0</v>
      </c>
      <c r="X352">
        <v>1.1733</v>
      </c>
      <c r="Y352">
        <v>195.7867</v>
      </c>
      <c r="Z352">
        <v>195.86670000000001</v>
      </c>
      <c r="AA352">
        <v>166.87</v>
      </c>
      <c r="AB352" s="6"/>
    </row>
    <row r="353" spans="1:28" x14ac:dyDescent="0.35">
      <c r="A353">
        <v>1548</v>
      </c>
      <c r="B353" s="9" t="s">
        <v>449</v>
      </c>
      <c r="C353" s="9" t="s">
        <v>45</v>
      </c>
      <c r="D353" s="9" t="s">
        <v>46</v>
      </c>
      <c r="E353" s="9" t="s">
        <v>47</v>
      </c>
      <c r="F353">
        <v>18</v>
      </c>
      <c r="G353" s="9" t="s">
        <v>178</v>
      </c>
      <c r="H353" s="9" t="s">
        <v>56</v>
      </c>
      <c r="I353" s="9" t="s">
        <v>154</v>
      </c>
      <c r="J353" s="9" t="s">
        <v>155</v>
      </c>
      <c r="K353">
        <v>4</v>
      </c>
      <c r="L353" s="6"/>
      <c r="M353">
        <v>1</v>
      </c>
      <c r="N353">
        <v>1</v>
      </c>
      <c r="O353">
        <v>2.0832999999999999</v>
      </c>
      <c r="P353">
        <v>2.1032999999999999</v>
      </c>
      <c r="Q353">
        <v>150</v>
      </c>
      <c r="R353">
        <v>150</v>
      </c>
      <c r="S353">
        <v>1.39</v>
      </c>
      <c r="T353">
        <v>1.4</v>
      </c>
      <c r="U353">
        <v>0</v>
      </c>
      <c r="V353">
        <v>0</v>
      </c>
      <c r="W353">
        <v>0</v>
      </c>
      <c r="X353">
        <v>1.1561999999999999</v>
      </c>
      <c r="Y353">
        <v>147.89670000000001</v>
      </c>
      <c r="Z353">
        <v>147.91669999999999</v>
      </c>
      <c r="AA353">
        <v>127.92</v>
      </c>
      <c r="AB353" s="6"/>
    </row>
    <row r="354" spans="1:28" x14ac:dyDescent="0.35">
      <c r="A354">
        <v>1540</v>
      </c>
      <c r="B354" s="9" t="s">
        <v>450</v>
      </c>
      <c r="C354" s="9" t="s">
        <v>45</v>
      </c>
      <c r="D354" s="9" t="s">
        <v>46</v>
      </c>
      <c r="E354" s="9" t="s">
        <v>47</v>
      </c>
      <c r="F354">
        <v>18</v>
      </c>
      <c r="G354" s="9" t="s">
        <v>178</v>
      </c>
      <c r="H354" s="9" t="s">
        <v>56</v>
      </c>
      <c r="I354" s="9" t="s">
        <v>154</v>
      </c>
      <c r="J354" s="9" t="s">
        <v>155</v>
      </c>
      <c r="K354">
        <v>2</v>
      </c>
      <c r="L354" s="6"/>
      <c r="M354">
        <v>1</v>
      </c>
      <c r="N354">
        <v>1</v>
      </c>
      <c r="O354">
        <v>2.0832999999999999</v>
      </c>
      <c r="P354">
        <v>2.1032999999999999</v>
      </c>
      <c r="Q354">
        <v>150</v>
      </c>
      <c r="R354">
        <v>150</v>
      </c>
      <c r="S354">
        <v>1.39</v>
      </c>
      <c r="T354">
        <v>1.4</v>
      </c>
      <c r="U354">
        <v>0</v>
      </c>
      <c r="V354">
        <v>0</v>
      </c>
      <c r="W354">
        <v>0</v>
      </c>
      <c r="X354">
        <v>1.1561999999999999</v>
      </c>
      <c r="Y354">
        <v>147.89670000000001</v>
      </c>
      <c r="Z354">
        <v>147.91669999999999</v>
      </c>
      <c r="AA354">
        <v>127.92</v>
      </c>
      <c r="AB354" s="6"/>
    </row>
    <row r="355" spans="1:28" x14ac:dyDescent="0.35">
      <c r="A355">
        <v>1203</v>
      </c>
      <c r="B355" s="9" t="s">
        <v>451</v>
      </c>
      <c r="C355" s="9" t="s">
        <v>45</v>
      </c>
      <c r="D355" s="9" t="s">
        <v>46</v>
      </c>
      <c r="E355" s="9" t="s">
        <v>47</v>
      </c>
      <c r="F355">
        <v>18</v>
      </c>
      <c r="G355" s="9" t="s">
        <v>262</v>
      </c>
      <c r="H355" s="9" t="s">
        <v>56</v>
      </c>
      <c r="I355" s="9" t="s">
        <v>154</v>
      </c>
      <c r="J355" s="9" t="s">
        <v>155</v>
      </c>
      <c r="K355">
        <v>1</v>
      </c>
      <c r="L355" s="6"/>
      <c r="M355">
        <v>1</v>
      </c>
      <c r="N355">
        <v>2</v>
      </c>
      <c r="O355">
        <v>1.4333</v>
      </c>
      <c r="P355">
        <v>1.4733000000000001</v>
      </c>
      <c r="Q355">
        <v>150</v>
      </c>
      <c r="R355">
        <v>150</v>
      </c>
      <c r="S355">
        <v>0.96</v>
      </c>
      <c r="T355">
        <v>0.98</v>
      </c>
      <c r="U355">
        <v>0</v>
      </c>
      <c r="V355">
        <v>0</v>
      </c>
      <c r="W355">
        <v>0</v>
      </c>
      <c r="X355">
        <v>1.0798000000000001</v>
      </c>
      <c r="Y355">
        <v>148.52670000000001</v>
      </c>
      <c r="Z355">
        <v>148.5667</v>
      </c>
      <c r="AA355">
        <v>137.55000000000001</v>
      </c>
      <c r="AB355" s="6"/>
    </row>
    <row r="356" spans="1:28" x14ac:dyDescent="0.35">
      <c r="A356">
        <v>1186</v>
      </c>
      <c r="B356" s="9" t="s">
        <v>452</v>
      </c>
      <c r="C356" s="9" t="s">
        <v>64</v>
      </c>
      <c r="D356" s="9" t="s">
        <v>65</v>
      </c>
      <c r="E356" s="9" t="s">
        <v>47</v>
      </c>
      <c r="F356">
        <v>12</v>
      </c>
      <c r="G356" s="9" t="s">
        <v>262</v>
      </c>
      <c r="H356" s="9" t="s">
        <v>56</v>
      </c>
      <c r="I356" s="9" t="s">
        <v>154</v>
      </c>
      <c r="J356" s="9" t="s">
        <v>155</v>
      </c>
      <c r="K356">
        <v>1</v>
      </c>
      <c r="L356" s="6"/>
      <c r="M356">
        <v>1</v>
      </c>
      <c r="N356">
        <v>2</v>
      </c>
      <c r="O356">
        <v>1.4333</v>
      </c>
      <c r="P356">
        <v>1.4733000000000001</v>
      </c>
      <c r="Q356">
        <v>200</v>
      </c>
      <c r="R356">
        <v>200</v>
      </c>
      <c r="S356">
        <v>0.72</v>
      </c>
      <c r="T356">
        <v>0.74</v>
      </c>
      <c r="U356">
        <v>0</v>
      </c>
      <c r="V356">
        <v>0</v>
      </c>
      <c r="W356">
        <v>0</v>
      </c>
      <c r="X356">
        <v>1.0798000000000001</v>
      </c>
      <c r="Y356">
        <v>198.52670000000001</v>
      </c>
      <c r="Z356">
        <v>198.5667</v>
      </c>
      <c r="AA356">
        <v>183.86</v>
      </c>
      <c r="AB356" s="6"/>
    </row>
    <row r="357" spans="1:28" x14ac:dyDescent="0.35">
      <c r="A357">
        <v>1190</v>
      </c>
      <c r="B357" s="9" t="s">
        <v>453</v>
      </c>
      <c r="C357" s="9" t="s">
        <v>64</v>
      </c>
      <c r="D357" s="9" t="s">
        <v>65</v>
      </c>
      <c r="E357" s="9" t="s">
        <v>47</v>
      </c>
      <c r="F357">
        <v>12</v>
      </c>
      <c r="G357" s="9" t="s">
        <v>262</v>
      </c>
      <c r="H357" s="9" t="s">
        <v>56</v>
      </c>
      <c r="I357" s="9" t="s">
        <v>154</v>
      </c>
      <c r="J357" s="9" t="s">
        <v>155</v>
      </c>
      <c r="K357">
        <v>2</v>
      </c>
      <c r="L357" s="6"/>
      <c r="M357">
        <v>1</v>
      </c>
      <c r="N357">
        <v>2</v>
      </c>
      <c r="O357">
        <v>1.4333</v>
      </c>
      <c r="P357">
        <v>1.4733000000000001</v>
      </c>
      <c r="Q357">
        <v>200</v>
      </c>
      <c r="R357">
        <v>200</v>
      </c>
      <c r="S357">
        <v>0.72</v>
      </c>
      <c r="T357">
        <v>0.74</v>
      </c>
      <c r="U357">
        <v>0</v>
      </c>
      <c r="V357">
        <v>0</v>
      </c>
      <c r="W357">
        <v>0</v>
      </c>
      <c r="X357">
        <v>1.0798000000000001</v>
      </c>
      <c r="Y357">
        <v>198.52670000000001</v>
      </c>
      <c r="Z357">
        <v>198.5667</v>
      </c>
      <c r="AA357">
        <v>183.86</v>
      </c>
      <c r="AB357" s="6"/>
    </row>
    <row r="358" spans="1:28" x14ac:dyDescent="0.35">
      <c r="A358">
        <v>1194</v>
      </c>
      <c r="B358" s="9" t="s">
        <v>454</v>
      </c>
      <c r="C358" s="9" t="s">
        <v>64</v>
      </c>
      <c r="D358" s="9" t="s">
        <v>65</v>
      </c>
      <c r="E358" s="9" t="s">
        <v>47</v>
      </c>
      <c r="F358">
        <v>12</v>
      </c>
      <c r="G358" s="9" t="s">
        <v>262</v>
      </c>
      <c r="H358" s="9" t="s">
        <v>56</v>
      </c>
      <c r="I358" s="9" t="s">
        <v>154</v>
      </c>
      <c r="J358" s="9" t="s">
        <v>155</v>
      </c>
      <c r="K358">
        <v>3</v>
      </c>
      <c r="L358" s="6"/>
      <c r="M358">
        <v>1</v>
      </c>
      <c r="N358">
        <v>2</v>
      </c>
      <c r="O358">
        <v>1.4333</v>
      </c>
      <c r="P358">
        <v>1.4733000000000001</v>
      </c>
      <c r="Q358">
        <v>200</v>
      </c>
      <c r="R358">
        <v>200</v>
      </c>
      <c r="S358">
        <v>0.72</v>
      </c>
      <c r="T358">
        <v>0.74</v>
      </c>
      <c r="U358">
        <v>0</v>
      </c>
      <c r="V358">
        <v>0</v>
      </c>
      <c r="W358">
        <v>0</v>
      </c>
      <c r="X358">
        <v>1.0798000000000001</v>
      </c>
      <c r="Y358">
        <v>198.52670000000001</v>
      </c>
      <c r="Z358">
        <v>198.5667</v>
      </c>
      <c r="AA358">
        <v>183.86</v>
      </c>
      <c r="AB358" s="6"/>
    </row>
    <row r="359" spans="1:28" x14ac:dyDescent="0.35">
      <c r="A359">
        <v>1198</v>
      </c>
      <c r="B359" s="9" t="s">
        <v>455</v>
      </c>
      <c r="C359" s="9" t="s">
        <v>64</v>
      </c>
      <c r="D359" s="9" t="s">
        <v>65</v>
      </c>
      <c r="E359" s="9" t="s">
        <v>47</v>
      </c>
      <c r="F359">
        <v>12</v>
      </c>
      <c r="G359" s="9" t="s">
        <v>262</v>
      </c>
      <c r="H359" s="9" t="s">
        <v>56</v>
      </c>
      <c r="I359" s="9" t="s">
        <v>154</v>
      </c>
      <c r="J359" s="9" t="s">
        <v>155</v>
      </c>
      <c r="K359">
        <v>4</v>
      </c>
      <c r="L359" s="6"/>
      <c r="M359">
        <v>1</v>
      </c>
      <c r="N359">
        <v>2</v>
      </c>
      <c r="O359">
        <v>1.4333</v>
      </c>
      <c r="P359">
        <v>1.4733000000000001</v>
      </c>
      <c r="Q359">
        <v>200</v>
      </c>
      <c r="R359">
        <v>200</v>
      </c>
      <c r="S359">
        <v>0.72</v>
      </c>
      <c r="T359">
        <v>0.74</v>
      </c>
      <c r="U359">
        <v>0</v>
      </c>
      <c r="V359">
        <v>0</v>
      </c>
      <c r="W359">
        <v>0</v>
      </c>
      <c r="X359">
        <v>1.0798000000000001</v>
      </c>
      <c r="Y359">
        <v>198.52670000000001</v>
      </c>
      <c r="Z359">
        <v>198.5667</v>
      </c>
      <c r="AA359">
        <v>183.86</v>
      </c>
      <c r="AB359" s="6"/>
    </row>
    <row r="360" spans="1:28" x14ac:dyDescent="0.35">
      <c r="A360">
        <v>1179</v>
      </c>
      <c r="B360" s="9" t="s">
        <v>456</v>
      </c>
      <c r="C360" s="9" t="s">
        <v>69</v>
      </c>
      <c r="D360" s="9" t="s">
        <v>70</v>
      </c>
      <c r="E360" s="9" t="s">
        <v>71</v>
      </c>
      <c r="F360">
        <v>24</v>
      </c>
      <c r="G360" s="9" t="s">
        <v>262</v>
      </c>
      <c r="H360" s="9" t="s">
        <v>56</v>
      </c>
      <c r="I360" s="9" t="s">
        <v>154</v>
      </c>
      <c r="J360" s="9" t="s">
        <v>155</v>
      </c>
      <c r="K360">
        <v>1</v>
      </c>
      <c r="L360" s="6"/>
      <c r="M360">
        <v>1</v>
      </c>
      <c r="N360">
        <v>2</v>
      </c>
      <c r="O360">
        <v>1.4333</v>
      </c>
      <c r="P360">
        <v>1.4733000000000001</v>
      </c>
      <c r="Q360">
        <v>300</v>
      </c>
      <c r="R360">
        <v>300</v>
      </c>
      <c r="S360">
        <v>0.48</v>
      </c>
      <c r="T360">
        <v>0.49</v>
      </c>
      <c r="U360">
        <v>0</v>
      </c>
      <c r="V360">
        <v>0</v>
      </c>
      <c r="W360">
        <v>0</v>
      </c>
      <c r="X360">
        <v>1.0798000000000001</v>
      </c>
      <c r="Y360">
        <v>298.52670000000001</v>
      </c>
      <c r="Z360">
        <v>298.56670000000003</v>
      </c>
      <c r="AA360">
        <v>276.45999999999998</v>
      </c>
      <c r="AB360" s="6"/>
    </row>
    <row r="361" spans="1:28" x14ac:dyDescent="0.35">
      <c r="A361">
        <v>1176</v>
      </c>
      <c r="B361" s="9" t="s">
        <v>457</v>
      </c>
      <c r="C361" s="9" t="s">
        <v>53</v>
      </c>
      <c r="D361" s="9" t="s">
        <v>54</v>
      </c>
      <c r="E361" s="9" t="s">
        <v>47</v>
      </c>
      <c r="F361">
        <v>8</v>
      </c>
      <c r="G361" s="9" t="s">
        <v>262</v>
      </c>
      <c r="H361" s="9" t="s">
        <v>56</v>
      </c>
      <c r="I361" s="9" t="s">
        <v>154</v>
      </c>
      <c r="J361" s="9" t="s">
        <v>155</v>
      </c>
      <c r="K361">
        <v>2</v>
      </c>
      <c r="L361" s="6"/>
      <c r="M361">
        <v>0</v>
      </c>
      <c r="N361">
        <v>0</v>
      </c>
      <c r="O361">
        <v>0</v>
      </c>
      <c r="P361">
        <v>0</v>
      </c>
      <c r="Q361">
        <v>120</v>
      </c>
      <c r="R361">
        <v>120</v>
      </c>
      <c r="S361">
        <v>0</v>
      </c>
      <c r="T361">
        <v>0</v>
      </c>
      <c r="U361">
        <v>0</v>
      </c>
      <c r="V361">
        <v>0</v>
      </c>
      <c r="W361">
        <v>0</v>
      </c>
      <c r="X361">
        <v>1.0798000000000001</v>
      </c>
      <c r="Y361">
        <v>120</v>
      </c>
      <c r="Z361">
        <v>120</v>
      </c>
      <c r="AA361">
        <v>111.13</v>
      </c>
      <c r="AB361" s="6"/>
    </row>
    <row r="362" spans="1:28" x14ac:dyDescent="0.35">
      <c r="A362">
        <v>927</v>
      </c>
      <c r="B362" s="9" t="s">
        <v>458</v>
      </c>
      <c r="C362" s="9" t="s">
        <v>53</v>
      </c>
      <c r="D362" s="9" t="s">
        <v>54</v>
      </c>
      <c r="E362" s="9" t="s">
        <v>47</v>
      </c>
      <c r="F362">
        <v>8</v>
      </c>
      <c r="G362" s="9" t="s">
        <v>190</v>
      </c>
      <c r="H362" s="9" t="s">
        <v>56</v>
      </c>
      <c r="I362" s="9" t="s">
        <v>57</v>
      </c>
      <c r="J362" s="9" t="s">
        <v>58</v>
      </c>
      <c r="K362">
        <v>2</v>
      </c>
      <c r="L362" s="6"/>
      <c r="M362">
        <v>0</v>
      </c>
      <c r="N362">
        <v>0</v>
      </c>
      <c r="O362">
        <v>0</v>
      </c>
      <c r="P362">
        <v>0</v>
      </c>
      <c r="Q362">
        <v>120</v>
      </c>
      <c r="R362">
        <v>120</v>
      </c>
      <c r="S362">
        <v>0</v>
      </c>
      <c r="T362">
        <v>0</v>
      </c>
      <c r="U362">
        <v>0</v>
      </c>
      <c r="V362">
        <v>0</v>
      </c>
      <c r="W362">
        <v>0</v>
      </c>
      <c r="X362">
        <v>1.8878999999999999</v>
      </c>
      <c r="Y362">
        <v>120</v>
      </c>
      <c r="Z362">
        <v>120</v>
      </c>
      <c r="AA362">
        <v>63.56</v>
      </c>
      <c r="AB362" s="6"/>
    </row>
    <row r="363" spans="1:28" x14ac:dyDescent="0.35">
      <c r="A363">
        <v>229</v>
      </c>
      <c r="B363" s="9" t="s">
        <v>459</v>
      </c>
      <c r="C363" s="9" t="s">
        <v>64</v>
      </c>
      <c r="D363" s="9" t="s">
        <v>65</v>
      </c>
      <c r="E363" s="9" t="s">
        <v>47</v>
      </c>
      <c r="F363">
        <v>12</v>
      </c>
      <c r="G363" s="9" t="s">
        <v>55</v>
      </c>
      <c r="H363" s="9" t="s">
        <v>56</v>
      </c>
      <c r="I363" s="9" t="s">
        <v>57</v>
      </c>
      <c r="J363" s="9" t="s">
        <v>58</v>
      </c>
      <c r="K363">
        <v>2</v>
      </c>
      <c r="L363" s="6"/>
      <c r="M363">
        <v>0</v>
      </c>
      <c r="N363">
        <v>0</v>
      </c>
      <c r="O363">
        <v>0</v>
      </c>
      <c r="P363">
        <v>0</v>
      </c>
      <c r="Q363">
        <v>200</v>
      </c>
      <c r="R363">
        <v>200</v>
      </c>
      <c r="S363">
        <v>0</v>
      </c>
      <c r="T363">
        <v>0</v>
      </c>
      <c r="U363">
        <v>0</v>
      </c>
      <c r="V363">
        <v>0</v>
      </c>
      <c r="W363">
        <v>0</v>
      </c>
      <c r="X363">
        <v>1.9127000000000001</v>
      </c>
      <c r="Y363">
        <v>200</v>
      </c>
      <c r="Z363">
        <v>200</v>
      </c>
      <c r="AA363">
        <v>104.56</v>
      </c>
      <c r="AB363" s="6"/>
    </row>
    <row r="364" spans="1:28" x14ac:dyDescent="0.35">
      <c r="A364">
        <v>398</v>
      </c>
      <c r="B364" s="9" t="s">
        <v>460</v>
      </c>
      <c r="C364" s="9" t="s">
        <v>45</v>
      </c>
      <c r="D364" s="9" t="s">
        <v>46</v>
      </c>
      <c r="E364" s="9" t="s">
        <v>47</v>
      </c>
      <c r="F364">
        <v>18</v>
      </c>
      <c r="G364" s="9" t="s">
        <v>48</v>
      </c>
      <c r="H364" s="9" t="s">
        <v>49</v>
      </c>
      <c r="I364" s="9" t="s">
        <v>50</v>
      </c>
      <c r="J364" s="9" t="s">
        <v>51</v>
      </c>
      <c r="K364">
        <v>3</v>
      </c>
      <c r="L364" s="6"/>
      <c r="M364">
        <v>0</v>
      </c>
      <c r="N364">
        <v>0</v>
      </c>
      <c r="O364">
        <v>0</v>
      </c>
      <c r="P364">
        <v>0</v>
      </c>
      <c r="Q364">
        <v>150</v>
      </c>
      <c r="R364">
        <v>150</v>
      </c>
      <c r="S364">
        <v>0</v>
      </c>
      <c r="T364">
        <v>0</v>
      </c>
      <c r="U364">
        <v>0</v>
      </c>
      <c r="V364">
        <v>0</v>
      </c>
      <c r="W364">
        <v>0</v>
      </c>
      <c r="X364">
        <v>2.3105000000000002</v>
      </c>
      <c r="Y364">
        <v>150</v>
      </c>
      <c r="Z364">
        <v>150</v>
      </c>
      <c r="AA364">
        <v>64.92</v>
      </c>
      <c r="AB364" s="6"/>
    </row>
    <row r="365" spans="1:28" x14ac:dyDescent="0.35">
      <c r="A365">
        <v>1329</v>
      </c>
      <c r="B365" s="9" t="s">
        <v>461</v>
      </c>
      <c r="C365" s="9" t="s">
        <v>53</v>
      </c>
      <c r="D365" s="9" t="s">
        <v>54</v>
      </c>
      <c r="E365" s="9" t="s">
        <v>47</v>
      </c>
      <c r="F365">
        <v>8</v>
      </c>
      <c r="G365" s="9" t="s">
        <v>72</v>
      </c>
      <c r="H365" s="9" t="s">
        <v>56</v>
      </c>
      <c r="I365" s="9" t="s">
        <v>50</v>
      </c>
      <c r="J365" s="9" t="s">
        <v>51</v>
      </c>
      <c r="K365">
        <v>1</v>
      </c>
      <c r="L365" s="6"/>
      <c r="M365">
        <v>0</v>
      </c>
      <c r="N365">
        <v>0</v>
      </c>
      <c r="O365">
        <v>0</v>
      </c>
      <c r="P365">
        <v>0</v>
      </c>
      <c r="Q365">
        <v>120</v>
      </c>
      <c r="R365">
        <v>120</v>
      </c>
      <c r="S365">
        <v>0</v>
      </c>
      <c r="T365">
        <v>0</v>
      </c>
      <c r="U365">
        <v>0</v>
      </c>
      <c r="V365">
        <v>0</v>
      </c>
      <c r="W365">
        <v>0</v>
      </c>
      <c r="X365">
        <v>1.9079999999999999</v>
      </c>
      <c r="Y365">
        <v>120</v>
      </c>
      <c r="Z365">
        <v>120</v>
      </c>
      <c r="AA365">
        <v>62.89</v>
      </c>
      <c r="AB365" s="6"/>
    </row>
  </sheetData>
  <phoneticPr fontId="6"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BD824-8E56-49F4-B4B2-3300B1944891}">
  <dimension ref="A1:AC195"/>
  <sheetViews>
    <sheetView workbookViewId="0"/>
  </sheetViews>
  <sheetFormatPr defaultRowHeight="14.5" x14ac:dyDescent="0.35"/>
  <cols>
    <col min="1" max="1" width="13.36328125" bestFit="1" customWidth="1"/>
    <col min="2" max="2" width="11.36328125" bestFit="1" customWidth="1"/>
    <col min="3" max="3" width="17.81640625" bestFit="1" customWidth="1"/>
    <col min="4" max="4" width="17.36328125" bestFit="1" customWidth="1"/>
    <col min="5" max="5" width="23.1796875" bestFit="1" customWidth="1"/>
    <col min="6" max="6" width="13" bestFit="1" customWidth="1"/>
    <col min="7" max="7" width="12.81640625" bestFit="1" customWidth="1"/>
    <col min="8" max="8" width="11.453125" bestFit="1" customWidth="1"/>
    <col min="9" max="9" width="17.453125" bestFit="1" customWidth="1"/>
    <col min="10" max="10" width="12.1796875" bestFit="1" customWidth="1"/>
    <col min="11" max="11" width="14.36328125" bestFit="1" customWidth="1"/>
    <col min="12" max="12" width="12.7265625" bestFit="1" customWidth="1"/>
    <col min="13" max="13" width="13.1796875" bestFit="1" customWidth="1"/>
    <col min="14" max="14" width="19.26953125" bestFit="1" customWidth="1"/>
    <col min="15" max="15" width="19.7265625" bestFit="1" customWidth="1"/>
    <col min="16" max="16" width="18.1796875" bestFit="1" customWidth="1"/>
    <col min="17" max="17" width="19.453125" bestFit="1" customWidth="1"/>
    <col min="18" max="18" width="18.54296875" bestFit="1" customWidth="1"/>
    <col min="19" max="19" width="18.81640625" bestFit="1" customWidth="1"/>
    <col min="20" max="20" width="17.7265625" bestFit="1" customWidth="1"/>
    <col min="21" max="21" width="19.90625" bestFit="1" customWidth="1"/>
    <col min="22" max="22" width="22.36328125" bestFit="1" customWidth="1"/>
    <col min="23" max="23" width="32.54296875" bestFit="1" customWidth="1"/>
    <col min="24" max="24" width="21" bestFit="1" customWidth="1"/>
    <col min="25" max="25" width="21.6328125" bestFit="1" customWidth="1"/>
    <col min="26" max="26" width="10.7265625" bestFit="1" customWidth="1"/>
    <col min="27" max="27" width="20.6328125" bestFit="1" customWidth="1"/>
    <col min="28" max="28" width="12.6328125" bestFit="1" customWidth="1"/>
    <col min="29" max="29" width="80.7265625" bestFit="1" customWidth="1"/>
  </cols>
  <sheetData>
    <row r="1" spans="1:29" s="3" customFormat="1" x14ac:dyDescent="0.35">
      <c r="A1" s="3" t="s">
        <v>462</v>
      </c>
      <c r="B1" s="3" t="s">
        <v>16</v>
      </c>
      <c r="C1" s="3" t="s">
        <v>17</v>
      </c>
      <c r="D1" s="3" t="s">
        <v>18</v>
      </c>
      <c r="E1" s="3" t="s">
        <v>19</v>
      </c>
      <c r="F1" s="3" t="s">
        <v>20</v>
      </c>
      <c r="G1" s="3" t="s">
        <v>22</v>
      </c>
      <c r="H1" s="3" t="s">
        <v>24</v>
      </c>
      <c r="I1" s="3" t="s">
        <v>25</v>
      </c>
      <c r="J1" s="3" t="s">
        <v>26</v>
      </c>
      <c r="K1" s="3" t="s">
        <v>27</v>
      </c>
      <c r="L1" s="3" t="s">
        <v>30</v>
      </c>
      <c r="M1" s="3" t="s">
        <v>31</v>
      </c>
      <c r="N1" s="3" t="s">
        <v>32</v>
      </c>
      <c r="O1" s="3" t="s">
        <v>33</v>
      </c>
      <c r="P1" s="3" t="s">
        <v>34</v>
      </c>
      <c r="Q1" s="3" t="s">
        <v>35</v>
      </c>
      <c r="R1" s="3" t="s">
        <v>36</v>
      </c>
      <c r="S1" s="3" t="s">
        <v>37</v>
      </c>
      <c r="T1" s="3" t="s">
        <v>38</v>
      </c>
      <c r="U1" s="3" t="s">
        <v>39</v>
      </c>
      <c r="V1" s="3" t="s">
        <v>40</v>
      </c>
      <c r="W1" s="3" t="s">
        <v>42</v>
      </c>
      <c r="X1" s="3" t="s">
        <v>21</v>
      </c>
      <c r="Y1" s="3" t="s">
        <v>463</v>
      </c>
      <c r="Z1" s="3" t="s">
        <v>464</v>
      </c>
      <c r="AA1" s="3" t="s">
        <v>465</v>
      </c>
      <c r="AB1" s="3" t="s">
        <v>466</v>
      </c>
      <c r="AC1" s="3" t="s">
        <v>467</v>
      </c>
    </row>
    <row r="2" spans="1:29" x14ac:dyDescent="0.35">
      <c r="A2">
        <v>1</v>
      </c>
      <c r="B2">
        <v>372</v>
      </c>
      <c r="C2" s="9" t="s">
        <v>63</v>
      </c>
      <c r="D2" s="9" t="s">
        <v>64</v>
      </c>
      <c r="E2" s="9" t="s">
        <v>65</v>
      </c>
      <c r="F2" s="9" t="s">
        <v>47</v>
      </c>
      <c r="G2" s="9" t="s">
        <v>48</v>
      </c>
      <c r="H2" s="9" t="s">
        <v>50</v>
      </c>
      <c r="I2" s="9" t="s">
        <v>51</v>
      </c>
      <c r="J2">
        <v>2</v>
      </c>
      <c r="K2" s="6"/>
      <c r="L2">
        <v>186.2996</v>
      </c>
      <c r="M2">
        <v>402.1619</v>
      </c>
      <c r="N2">
        <v>200</v>
      </c>
      <c r="O2">
        <v>200</v>
      </c>
      <c r="P2">
        <v>93.15</v>
      </c>
      <c r="Q2">
        <v>201.08</v>
      </c>
      <c r="R2">
        <v>0</v>
      </c>
      <c r="S2">
        <v>1</v>
      </c>
      <c r="T2">
        <v>1</v>
      </c>
      <c r="U2">
        <v>2.3105000000000002</v>
      </c>
      <c r="V2">
        <v>-202.1619</v>
      </c>
      <c r="W2">
        <v>-87.5</v>
      </c>
      <c r="X2">
        <v>12</v>
      </c>
      <c r="Y2" s="9" t="s">
        <v>468</v>
      </c>
      <c r="Z2">
        <v>4.5</v>
      </c>
      <c r="AA2">
        <v>4.5</v>
      </c>
      <c r="AB2">
        <v>1</v>
      </c>
      <c r="AC2" s="9" t="s">
        <v>469</v>
      </c>
    </row>
    <row r="3" spans="1:29" x14ac:dyDescent="0.35">
      <c r="A3">
        <v>2</v>
      </c>
      <c r="B3">
        <v>392</v>
      </c>
      <c r="C3" s="9" t="s">
        <v>44</v>
      </c>
      <c r="D3" s="9" t="s">
        <v>45</v>
      </c>
      <c r="E3" s="9" t="s">
        <v>46</v>
      </c>
      <c r="F3" s="9" t="s">
        <v>47</v>
      </c>
      <c r="G3" s="9" t="s">
        <v>48</v>
      </c>
      <c r="H3" s="9" t="s">
        <v>50</v>
      </c>
      <c r="I3" s="9" t="s">
        <v>51</v>
      </c>
      <c r="J3">
        <v>2</v>
      </c>
      <c r="K3" s="6"/>
      <c r="L3">
        <v>139.7328</v>
      </c>
      <c r="M3">
        <v>308.19459999999998</v>
      </c>
      <c r="N3">
        <v>150</v>
      </c>
      <c r="O3">
        <v>150</v>
      </c>
      <c r="P3">
        <v>93.16</v>
      </c>
      <c r="Q3">
        <v>205.46</v>
      </c>
      <c r="R3">
        <v>0</v>
      </c>
      <c r="S3">
        <v>1</v>
      </c>
      <c r="T3">
        <v>1</v>
      </c>
      <c r="U3">
        <v>2.3105000000000002</v>
      </c>
      <c r="V3">
        <v>-158.19460000000001</v>
      </c>
      <c r="W3">
        <v>-68.47</v>
      </c>
      <c r="X3">
        <v>18</v>
      </c>
      <c r="Y3" s="9" t="s">
        <v>468</v>
      </c>
      <c r="Z3">
        <v>4.5</v>
      </c>
      <c r="AA3">
        <v>9</v>
      </c>
      <c r="AB3">
        <v>1</v>
      </c>
      <c r="AC3" s="9" t="s">
        <v>470</v>
      </c>
    </row>
    <row r="4" spans="1:29" x14ac:dyDescent="0.35">
      <c r="A4">
        <v>3</v>
      </c>
      <c r="B4">
        <v>99</v>
      </c>
      <c r="C4" s="9" t="s">
        <v>61</v>
      </c>
      <c r="D4" s="9" t="s">
        <v>45</v>
      </c>
      <c r="E4" s="9" t="s">
        <v>46</v>
      </c>
      <c r="F4" s="9" t="s">
        <v>47</v>
      </c>
      <c r="G4" s="9" t="s">
        <v>62</v>
      </c>
      <c r="H4" s="9" t="s">
        <v>50</v>
      </c>
      <c r="I4" s="9" t="s">
        <v>51</v>
      </c>
      <c r="J4">
        <v>1</v>
      </c>
      <c r="K4" s="6"/>
      <c r="L4">
        <v>133.01669999999999</v>
      </c>
      <c r="M4">
        <v>302.82060000000001</v>
      </c>
      <c r="N4">
        <v>150</v>
      </c>
      <c r="O4">
        <v>150</v>
      </c>
      <c r="P4">
        <v>88.68</v>
      </c>
      <c r="Q4">
        <v>201.88</v>
      </c>
      <c r="R4">
        <v>0</v>
      </c>
      <c r="S4">
        <v>1</v>
      </c>
      <c r="T4">
        <v>1</v>
      </c>
      <c r="U4">
        <v>2.2806999999999999</v>
      </c>
      <c r="V4">
        <v>-152.82060000000001</v>
      </c>
      <c r="W4">
        <v>-67.010000000000005</v>
      </c>
      <c r="X4">
        <v>18</v>
      </c>
      <c r="Y4" s="9" t="s">
        <v>468</v>
      </c>
      <c r="Z4">
        <v>4.5</v>
      </c>
      <c r="AA4">
        <v>13.5</v>
      </c>
      <c r="AB4">
        <v>1</v>
      </c>
      <c r="AC4" s="9" t="s">
        <v>471</v>
      </c>
    </row>
    <row r="5" spans="1:29" x14ac:dyDescent="0.35">
      <c r="A5">
        <v>4</v>
      </c>
      <c r="B5">
        <v>1503</v>
      </c>
      <c r="C5" s="9" t="s">
        <v>66</v>
      </c>
      <c r="D5" s="9" t="s">
        <v>45</v>
      </c>
      <c r="E5" s="9" t="s">
        <v>46</v>
      </c>
      <c r="F5" s="9" t="s">
        <v>47</v>
      </c>
      <c r="G5" s="9" t="s">
        <v>67</v>
      </c>
      <c r="H5" s="9" t="s">
        <v>57</v>
      </c>
      <c r="I5" s="9" t="s">
        <v>58</v>
      </c>
      <c r="J5">
        <v>4</v>
      </c>
      <c r="K5" s="6"/>
      <c r="L5">
        <v>147.0335</v>
      </c>
      <c r="M5">
        <v>299.8295</v>
      </c>
      <c r="N5">
        <v>150</v>
      </c>
      <c r="O5">
        <v>150</v>
      </c>
      <c r="P5">
        <v>98.02</v>
      </c>
      <c r="Q5">
        <v>199.89</v>
      </c>
      <c r="R5">
        <v>0</v>
      </c>
      <c r="S5">
        <v>1</v>
      </c>
      <c r="T5">
        <v>1</v>
      </c>
      <c r="U5">
        <v>1.9626999999999999</v>
      </c>
      <c r="V5">
        <v>-149.8295</v>
      </c>
      <c r="W5">
        <v>-76.34</v>
      </c>
      <c r="X5">
        <v>18</v>
      </c>
      <c r="Y5" s="9" t="s">
        <v>468</v>
      </c>
      <c r="Z5">
        <v>4.5</v>
      </c>
      <c r="AA5">
        <v>18</v>
      </c>
      <c r="AB5">
        <v>1</v>
      </c>
      <c r="AC5" s="9" t="s">
        <v>472</v>
      </c>
    </row>
    <row r="6" spans="1:29" x14ac:dyDescent="0.35">
      <c r="A6">
        <v>5</v>
      </c>
      <c r="B6">
        <v>722</v>
      </c>
      <c r="C6" s="9" t="s">
        <v>94</v>
      </c>
      <c r="D6" s="9" t="s">
        <v>64</v>
      </c>
      <c r="E6" s="9" t="s">
        <v>65</v>
      </c>
      <c r="F6" s="9" t="s">
        <v>47</v>
      </c>
      <c r="G6" s="9" t="s">
        <v>95</v>
      </c>
      <c r="H6" s="9" t="s">
        <v>57</v>
      </c>
      <c r="I6" s="9" t="s">
        <v>58</v>
      </c>
      <c r="J6">
        <v>2</v>
      </c>
      <c r="K6" s="6"/>
      <c r="L6">
        <v>177.58320000000001</v>
      </c>
      <c r="M6">
        <v>348.35930000000002</v>
      </c>
      <c r="N6">
        <v>200</v>
      </c>
      <c r="O6">
        <v>200</v>
      </c>
      <c r="P6">
        <v>88.79</v>
      </c>
      <c r="Q6">
        <v>174.18</v>
      </c>
      <c r="R6">
        <v>0</v>
      </c>
      <c r="S6">
        <v>1</v>
      </c>
      <c r="T6">
        <v>1</v>
      </c>
      <c r="U6">
        <v>1.9216</v>
      </c>
      <c r="V6">
        <v>-148.35929999999999</v>
      </c>
      <c r="W6">
        <v>-77.209999999999994</v>
      </c>
      <c r="X6">
        <v>12</v>
      </c>
      <c r="Y6" s="9" t="s">
        <v>468</v>
      </c>
      <c r="Z6">
        <v>4.5</v>
      </c>
      <c r="AA6">
        <v>22.5</v>
      </c>
      <c r="AB6">
        <v>1</v>
      </c>
      <c r="AC6" s="9" t="s">
        <v>473</v>
      </c>
    </row>
    <row r="7" spans="1:29" x14ac:dyDescent="0.35">
      <c r="A7">
        <v>6</v>
      </c>
      <c r="B7">
        <v>23</v>
      </c>
      <c r="C7" s="9" t="s">
        <v>98</v>
      </c>
      <c r="D7" s="9" t="s">
        <v>64</v>
      </c>
      <c r="E7" s="9" t="s">
        <v>65</v>
      </c>
      <c r="F7" s="9" t="s">
        <v>47</v>
      </c>
      <c r="G7" s="9" t="s">
        <v>99</v>
      </c>
      <c r="H7" s="9" t="s">
        <v>57</v>
      </c>
      <c r="I7" s="9" t="s">
        <v>58</v>
      </c>
      <c r="J7">
        <v>1</v>
      </c>
      <c r="K7" s="6"/>
      <c r="L7">
        <v>171.01730000000001</v>
      </c>
      <c r="M7">
        <v>343.04809999999998</v>
      </c>
      <c r="N7">
        <v>200</v>
      </c>
      <c r="O7">
        <v>200</v>
      </c>
      <c r="P7">
        <v>85.51</v>
      </c>
      <c r="Q7">
        <v>171.52</v>
      </c>
      <c r="R7">
        <v>0</v>
      </c>
      <c r="S7">
        <v>1</v>
      </c>
      <c r="T7">
        <v>1</v>
      </c>
      <c r="U7">
        <v>2.0638000000000001</v>
      </c>
      <c r="V7">
        <v>-143.04810000000001</v>
      </c>
      <c r="W7">
        <v>-69.31</v>
      </c>
      <c r="X7">
        <v>12</v>
      </c>
      <c r="Y7" s="9" t="s">
        <v>468</v>
      </c>
      <c r="Z7">
        <v>4.5</v>
      </c>
      <c r="AA7">
        <v>27</v>
      </c>
      <c r="AB7">
        <v>1</v>
      </c>
      <c r="AC7" s="9" t="s">
        <v>474</v>
      </c>
    </row>
    <row r="8" spans="1:29" x14ac:dyDescent="0.35">
      <c r="A8">
        <v>7</v>
      </c>
      <c r="B8">
        <v>26</v>
      </c>
      <c r="C8" s="9" t="s">
        <v>100</v>
      </c>
      <c r="D8" s="9" t="s">
        <v>64</v>
      </c>
      <c r="E8" s="9" t="s">
        <v>65</v>
      </c>
      <c r="F8" s="9" t="s">
        <v>47</v>
      </c>
      <c r="G8" s="9" t="s">
        <v>99</v>
      </c>
      <c r="H8" s="9" t="s">
        <v>57</v>
      </c>
      <c r="I8" s="9" t="s">
        <v>58</v>
      </c>
      <c r="J8">
        <v>2</v>
      </c>
      <c r="K8" s="6"/>
      <c r="L8">
        <v>171.01730000000001</v>
      </c>
      <c r="M8">
        <v>343.04809999999998</v>
      </c>
      <c r="N8">
        <v>200</v>
      </c>
      <c r="O8">
        <v>200</v>
      </c>
      <c r="P8">
        <v>85.51</v>
      </c>
      <c r="Q8">
        <v>171.52</v>
      </c>
      <c r="R8">
        <v>0</v>
      </c>
      <c r="S8">
        <v>1</v>
      </c>
      <c r="T8">
        <v>1</v>
      </c>
      <c r="U8">
        <v>2.0638000000000001</v>
      </c>
      <c r="V8">
        <v>-143.04810000000001</v>
      </c>
      <c r="W8">
        <v>-69.31</v>
      </c>
      <c r="X8">
        <v>12</v>
      </c>
      <c r="Y8" s="9" t="s">
        <v>468</v>
      </c>
      <c r="Z8">
        <v>4.5</v>
      </c>
      <c r="AA8">
        <v>31.5</v>
      </c>
      <c r="AB8">
        <v>1</v>
      </c>
      <c r="AC8" s="9" t="s">
        <v>475</v>
      </c>
    </row>
    <row r="9" spans="1:29" x14ac:dyDescent="0.35">
      <c r="A9">
        <v>8</v>
      </c>
      <c r="B9">
        <v>85</v>
      </c>
      <c r="C9" s="9" t="s">
        <v>101</v>
      </c>
      <c r="D9" s="9" t="s">
        <v>64</v>
      </c>
      <c r="E9" s="9" t="s">
        <v>65</v>
      </c>
      <c r="F9" s="9" t="s">
        <v>47</v>
      </c>
      <c r="G9" s="9" t="s">
        <v>62</v>
      </c>
      <c r="H9" s="9" t="s">
        <v>50</v>
      </c>
      <c r="I9" s="9" t="s">
        <v>51</v>
      </c>
      <c r="J9">
        <v>2</v>
      </c>
      <c r="K9" s="6"/>
      <c r="L9">
        <v>150.20009999999999</v>
      </c>
      <c r="M9">
        <v>341.80810000000002</v>
      </c>
      <c r="N9">
        <v>200</v>
      </c>
      <c r="O9">
        <v>200</v>
      </c>
      <c r="P9">
        <v>75.099999999999994</v>
      </c>
      <c r="Q9">
        <v>170.9</v>
      </c>
      <c r="R9">
        <v>0</v>
      </c>
      <c r="S9">
        <v>1</v>
      </c>
      <c r="T9">
        <v>1</v>
      </c>
      <c r="U9">
        <v>2.2806999999999999</v>
      </c>
      <c r="V9">
        <v>-141.8081</v>
      </c>
      <c r="W9">
        <v>-62.18</v>
      </c>
      <c r="X9">
        <v>12</v>
      </c>
      <c r="Y9" s="9" t="s">
        <v>468</v>
      </c>
      <c r="Z9">
        <v>4.5</v>
      </c>
      <c r="AA9">
        <v>36</v>
      </c>
      <c r="AB9">
        <v>1</v>
      </c>
      <c r="AC9" s="9" t="s">
        <v>476</v>
      </c>
    </row>
    <row r="10" spans="1:29" x14ac:dyDescent="0.35">
      <c r="A10">
        <v>9</v>
      </c>
      <c r="B10">
        <v>1044</v>
      </c>
      <c r="C10" s="9" t="s">
        <v>102</v>
      </c>
      <c r="D10" s="9" t="s">
        <v>64</v>
      </c>
      <c r="E10" s="9" t="s">
        <v>65</v>
      </c>
      <c r="F10" s="9" t="s">
        <v>47</v>
      </c>
      <c r="G10" s="9" t="s">
        <v>88</v>
      </c>
      <c r="H10" s="9" t="s">
        <v>89</v>
      </c>
      <c r="I10" s="9" t="s">
        <v>90</v>
      </c>
      <c r="J10">
        <v>1</v>
      </c>
      <c r="K10" s="6"/>
      <c r="L10">
        <v>179.7</v>
      </c>
      <c r="M10">
        <v>336.71679999999998</v>
      </c>
      <c r="N10">
        <v>200</v>
      </c>
      <c r="O10">
        <v>200</v>
      </c>
      <c r="P10">
        <v>89.85</v>
      </c>
      <c r="Q10">
        <v>168.36</v>
      </c>
      <c r="R10">
        <v>0</v>
      </c>
      <c r="S10">
        <v>1</v>
      </c>
      <c r="T10">
        <v>1</v>
      </c>
      <c r="U10">
        <v>1.9149</v>
      </c>
      <c r="V10">
        <v>-136.71680000000001</v>
      </c>
      <c r="W10">
        <v>-71.400000000000006</v>
      </c>
      <c r="X10">
        <v>12</v>
      </c>
      <c r="Y10" s="9" t="s">
        <v>468</v>
      </c>
      <c r="Z10">
        <v>4.5</v>
      </c>
      <c r="AA10">
        <v>40.5</v>
      </c>
      <c r="AB10">
        <v>1</v>
      </c>
      <c r="AC10" s="9" t="s">
        <v>477</v>
      </c>
    </row>
    <row r="11" spans="1:29" x14ac:dyDescent="0.35">
      <c r="A11">
        <v>10</v>
      </c>
      <c r="B11">
        <v>1046</v>
      </c>
      <c r="C11" s="9" t="s">
        <v>103</v>
      </c>
      <c r="D11" s="9" t="s">
        <v>64</v>
      </c>
      <c r="E11" s="9" t="s">
        <v>65</v>
      </c>
      <c r="F11" s="9" t="s">
        <v>47</v>
      </c>
      <c r="G11" s="9" t="s">
        <v>88</v>
      </c>
      <c r="H11" s="9" t="s">
        <v>89</v>
      </c>
      <c r="I11" s="9" t="s">
        <v>90</v>
      </c>
      <c r="J11">
        <v>2</v>
      </c>
      <c r="K11" s="6"/>
      <c r="L11">
        <v>179.7</v>
      </c>
      <c r="M11">
        <v>336.71679999999998</v>
      </c>
      <c r="N11">
        <v>200</v>
      </c>
      <c r="O11">
        <v>200</v>
      </c>
      <c r="P11">
        <v>89.85</v>
      </c>
      <c r="Q11">
        <v>168.36</v>
      </c>
      <c r="R11">
        <v>0</v>
      </c>
      <c r="S11">
        <v>1</v>
      </c>
      <c r="T11">
        <v>1</v>
      </c>
      <c r="U11">
        <v>1.9149</v>
      </c>
      <c r="V11">
        <v>-136.71680000000001</v>
      </c>
      <c r="W11">
        <v>-71.400000000000006</v>
      </c>
      <c r="X11">
        <v>12</v>
      </c>
      <c r="Y11" s="9" t="s">
        <v>468</v>
      </c>
      <c r="Z11">
        <v>4.5</v>
      </c>
      <c r="AA11">
        <v>45</v>
      </c>
      <c r="AB11">
        <v>1</v>
      </c>
      <c r="AC11" s="9" t="s">
        <v>478</v>
      </c>
    </row>
    <row r="12" spans="1:29" x14ac:dyDescent="0.35">
      <c r="A12">
        <v>11</v>
      </c>
      <c r="B12">
        <v>1048</v>
      </c>
      <c r="C12" s="9" t="s">
        <v>104</v>
      </c>
      <c r="D12" s="9" t="s">
        <v>64</v>
      </c>
      <c r="E12" s="9" t="s">
        <v>65</v>
      </c>
      <c r="F12" s="9" t="s">
        <v>47</v>
      </c>
      <c r="G12" s="9" t="s">
        <v>88</v>
      </c>
      <c r="H12" s="9" t="s">
        <v>89</v>
      </c>
      <c r="I12" s="9" t="s">
        <v>90</v>
      </c>
      <c r="J12">
        <v>3</v>
      </c>
      <c r="K12" s="6"/>
      <c r="L12">
        <v>179.7</v>
      </c>
      <c r="M12">
        <v>336.71679999999998</v>
      </c>
      <c r="N12">
        <v>200</v>
      </c>
      <c r="O12">
        <v>200</v>
      </c>
      <c r="P12">
        <v>89.85</v>
      </c>
      <c r="Q12">
        <v>168.36</v>
      </c>
      <c r="R12">
        <v>0</v>
      </c>
      <c r="S12">
        <v>1</v>
      </c>
      <c r="T12">
        <v>1</v>
      </c>
      <c r="U12">
        <v>1.9149</v>
      </c>
      <c r="V12">
        <v>-136.71680000000001</v>
      </c>
      <c r="W12">
        <v>-71.400000000000006</v>
      </c>
      <c r="X12">
        <v>12</v>
      </c>
      <c r="Y12" s="9" t="s">
        <v>468</v>
      </c>
      <c r="Z12">
        <v>4.5</v>
      </c>
      <c r="AA12">
        <v>49.5</v>
      </c>
      <c r="AB12">
        <v>1</v>
      </c>
      <c r="AC12" s="9" t="s">
        <v>479</v>
      </c>
    </row>
    <row r="13" spans="1:29" x14ac:dyDescent="0.35">
      <c r="A13">
        <v>12</v>
      </c>
      <c r="B13">
        <v>1001</v>
      </c>
      <c r="C13" s="9" t="s">
        <v>105</v>
      </c>
      <c r="D13" s="9" t="s">
        <v>64</v>
      </c>
      <c r="E13" s="9" t="s">
        <v>65</v>
      </c>
      <c r="F13" s="9" t="s">
        <v>47</v>
      </c>
      <c r="G13" s="9" t="s">
        <v>60</v>
      </c>
      <c r="H13" s="9" t="s">
        <v>50</v>
      </c>
      <c r="I13" s="9" t="s">
        <v>51</v>
      </c>
      <c r="J13">
        <v>2</v>
      </c>
      <c r="K13" s="6"/>
      <c r="L13">
        <v>158.3329</v>
      </c>
      <c r="M13">
        <v>336.7002</v>
      </c>
      <c r="N13">
        <v>200</v>
      </c>
      <c r="O13">
        <v>200</v>
      </c>
      <c r="P13">
        <v>79.17</v>
      </c>
      <c r="Q13">
        <v>168.35</v>
      </c>
      <c r="R13">
        <v>0</v>
      </c>
      <c r="S13">
        <v>1</v>
      </c>
      <c r="T13">
        <v>1</v>
      </c>
      <c r="U13">
        <v>2.2582</v>
      </c>
      <c r="V13">
        <v>-136.7002</v>
      </c>
      <c r="W13">
        <v>-60.54</v>
      </c>
      <c r="X13">
        <v>12</v>
      </c>
      <c r="Y13" s="9" t="s">
        <v>468</v>
      </c>
      <c r="Z13">
        <v>4.5</v>
      </c>
      <c r="AA13">
        <v>54</v>
      </c>
      <c r="AB13">
        <v>1</v>
      </c>
      <c r="AC13" s="9" t="s">
        <v>480</v>
      </c>
    </row>
    <row r="14" spans="1:29" x14ac:dyDescent="0.35">
      <c r="A14">
        <v>13</v>
      </c>
      <c r="B14">
        <v>1476</v>
      </c>
      <c r="C14" s="9" t="s">
        <v>106</v>
      </c>
      <c r="D14" s="9" t="s">
        <v>64</v>
      </c>
      <c r="E14" s="9" t="s">
        <v>65</v>
      </c>
      <c r="F14" s="9" t="s">
        <v>47</v>
      </c>
      <c r="G14" s="9" t="s">
        <v>67</v>
      </c>
      <c r="H14" s="9" t="s">
        <v>57</v>
      </c>
      <c r="I14" s="9" t="s">
        <v>58</v>
      </c>
      <c r="J14">
        <v>1</v>
      </c>
      <c r="K14" s="6"/>
      <c r="L14">
        <v>163.8167</v>
      </c>
      <c r="M14">
        <v>335.50170000000003</v>
      </c>
      <c r="N14">
        <v>200</v>
      </c>
      <c r="O14">
        <v>200</v>
      </c>
      <c r="P14">
        <v>81.91</v>
      </c>
      <c r="Q14">
        <v>167.75</v>
      </c>
      <c r="R14">
        <v>0</v>
      </c>
      <c r="S14">
        <v>1</v>
      </c>
      <c r="T14">
        <v>1</v>
      </c>
      <c r="U14">
        <v>1.9626999999999999</v>
      </c>
      <c r="V14">
        <v>-135.5017</v>
      </c>
      <c r="W14">
        <v>-69.040000000000006</v>
      </c>
      <c r="X14">
        <v>12</v>
      </c>
      <c r="Y14" s="9" t="s">
        <v>468</v>
      </c>
      <c r="Z14">
        <v>4.5</v>
      </c>
      <c r="AA14">
        <v>58.5</v>
      </c>
      <c r="AB14">
        <v>1</v>
      </c>
      <c r="AC14" s="9" t="s">
        <v>481</v>
      </c>
    </row>
    <row r="15" spans="1:29" x14ac:dyDescent="0.35">
      <c r="A15">
        <v>14</v>
      </c>
      <c r="B15">
        <v>262</v>
      </c>
      <c r="C15" s="9" t="s">
        <v>75</v>
      </c>
      <c r="D15" s="9" t="s">
        <v>45</v>
      </c>
      <c r="E15" s="9" t="s">
        <v>46</v>
      </c>
      <c r="F15" s="9" t="s">
        <v>47</v>
      </c>
      <c r="G15" s="9" t="s">
        <v>55</v>
      </c>
      <c r="H15" s="9" t="s">
        <v>57</v>
      </c>
      <c r="I15" s="9" t="s">
        <v>58</v>
      </c>
      <c r="J15">
        <v>4</v>
      </c>
      <c r="K15" s="6"/>
      <c r="L15">
        <v>140.73320000000001</v>
      </c>
      <c r="M15">
        <v>284.23169999999999</v>
      </c>
      <c r="N15">
        <v>150</v>
      </c>
      <c r="O15">
        <v>150</v>
      </c>
      <c r="P15">
        <v>93.82</v>
      </c>
      <c r="Q15">
        <v>189.49</v>
      </c>
      <c r="R15">
        <v>0</v>
      </c>
      <c r="S15">
        <v>1</v>
      </c>
      <c r="T15">
        <v>1</v>
      </c>
      <c r="U15">
        <v>1.9127000000000001</v>
      </c>
      <c r="V15">
        <v>-134.23169999999999</v>
      </c>
      <c r="W15">
        <v>-70.180000000000007</v>
      </c>
      <c r="X15">
        <v>18</v>
      </c>
      <c r="Y15" s="9" t="s">
        <v>468</v>
      </c>
      <c r="Z15">
        <v>4.5</v>
      </c>
      <c r="AA15">
        <v>63</v>
      </c>
      <c r="AB15">
        <v>1</v>
      </c>
      <c r="AC15" s="9" t="s">
        <v>482</v>
      </c>
    </row>
    <row r="16" spans="1:29" x14ac:dyDescent="0.35">
      <c r="A16">
        <v>15</v>
      </c>
      <c r="B16">
        <v>903</v>
      </c>
      <c r="C16" s="9" t="s">
        <v>76</v>
      </c>
      <c r="D16" s="9" t="s">
        <v>45</v>
      </c>
      <c r="E16" s="9" t="s">
        <v>46</v>
      </c>
      <c r="F16" s="9" t="s">
        <v>47</v>
      </c>
      <c r="G16" s="9" t="s">
        <v>77</v>
      </c>
      <c r="H16" s="9" t="s">
        <v>50</v>
      </c>
      <c r="I16" s="9" t="s">
        <v>51</v>
      </c>
      <c r="J16">
        <v>3</v>
      </c>
      <c r="K16" s="6"/>
      <c r="L16">
        <v>131.1003</v>
      </c>
      <c r="M16">
        <v>281.81720000000001</v>
      </c>
      <c r="N16">
        <v>150</v>
      </c>
      <c r="O16">
        <v>150</v>
      </c>
      <c r="P16">
        <v>87.4</v>
      </c>
      <c r="Q16">
        <v>187.88</v>
      </c>
      <c r="R16">
        <v>0</v>
      </c>
      <c r="S16">
        <v>1</v>
      </c>
      <c r="T16">
        <v>1</v>
      </c>
      <c r="U16">
        <v>2.1968999999999999</v>
      </c>
      <c r="V16">
        <v>-131.81720000000001</v>
      </c>
      <c r="W16">
        <v>-60</v>
      </c>
      <c r="X16">
        <v>18</v>
      </c>
      <c r="Y16" s="9" t="s">
        <v>468</v>
      </c>
      <c r="Z16">
        <v>4.5</v>
      </c>
      <c r="AA16">
        <v>67.5</v>
      </c>
      <c r="AB16">
        <v>1</v>
      </c>
      <c r="AC16" s="9" t="s">
        <v>483</v>
      </c>
    </row>
    <row r="17" spans="1:29" x14ac:dyDescent="0.35">
      <c r="A17">
        <v>16</v>
      </c>
      <c r="B17">
        <v>687</v>
      </c>
      <c r="C17" s="9" t="s">
        <v>80</v>
      </c>
      <c r="D17" s="9" t="s">
        <v>45</v>
      </c>
      <c r="E17" s="9" t="s">
        <v>46</v>
      </c>
      <c r="F17" s="9" t="s">
        <v>47</v>
      </c>
      <c r="G17" s="9" t="s">
        <v>81</v>
      </c>
      <c r="H17" s="9" t="s">
        <v>57</v>
      </c>
      <c r="I17" s="9" t="s">
        <v>58</v>
      </c>
      <c r="J17">
        <v>3</v>
      </c>
      <c r="K17" s="6"/>
      <c r="L17">
        <v>139.44999999999999</v>
      </c>
      <c r="M17">
        <v>276.69850000000002</v>
      </c>
      <c r="N17">
        <v>150</v>
      </c>
      <c r="O17">
        <v>150</v>
      </c>
      <c r="P17">
        <v>92.97</v>
      </c>
      <c r="Q17">
        <v>184.47</v>
      </c>
      <c r="R17">
        <v>0</v>
      </c>
      <c r="S17">
        <v>1</v>
      </c>
      <c r="T17">
        <v>1</v>
      </c>
      <c r="U17">
        <v>1.8671</v>
      </c>
      <c r="V17">
        <v>-126.6985</v>
      </c>
      <c r="W17">
        <v>-67.86</v>
      </c>
      <c r="X17">
        <v>18</v>
      </c>
      <c r="Y17" s="9" t="s">
        <v>468</v>
      </c>
      <c r="Z17">
        <v>4.5</v>
      </c>
      <c r="AA17">
        <v>72</v>
      </c>
      <c r="AB17">
        <v>1</v>
      </c>
      <c r="AC17" s="9" t="s">
        <v>484</v>
      </c>
    </row>
    <row r="18" spans="1:29" x14ac:dyDescent="0.35">
      <c r="A18">
        <v>17</v>
      </c>
      <c r="B18">
        <v>209</v>
      </c>
      <c r="C18" s="9" t="s">
        <v>52</v>
      </c>
      <c r="D18" s="9" t="s">
        <v>53</v>
      </c>
      <c r="E18" s="9" t="s">
        <v>54</v>
      </c>
      <c r="F18" s="9" t="s">
        <v>47</v>
      </c>
      <c r="G18" s="9" t="s">
        <v>55</v>
      </c>
      <c r="H18" s="9" t="s">
        <v>57</v>
      </c>
      <c r="I18" s="9" t="s">
        <v>58</v>
      </c>
      <c r="J18">
        <v>1</v>
      </c>
      <c r="K18" s="6"/>
      <c r="L18">
        <v>121.5</v>
      </c>
      <c r="M18">
        <v>246.26519999999999</v>
      </c>
      <c r="N18">
        <v>120</v>
      </c>
      <c r="O18">
        <v>120</v>
      </c>
      <c r="P18">
        <v>101.25</v>
      </c>
      <c r="Q18">
        <v>205.22</v>
      </c>
      <c r="R18">
        <v>1</v>
      </c>
      <c r="S18">
        <v>1</v>
      </c>
      <c r="T18">
        <v>0</v>
      </c>
      <c r="U18">
        <v>1.9127000000000001</v>
      </c>
      <c r="V18">
        <v>-126.26519999999999</v>
      </c>
      <c r="W18">
        <v>-66.010000000000005</v>
      </c>
      <c r="X18">
        <v>8</v>
      </c>
      <c r="Y18" s="9" t="s">
        <v>468</v>
      </c>
      <c r="Z18">
        <v>4.5</v>
      </c>
      <c r="AA18">
        <v>76.5</v>
      </c>
      <c r="AB18">
        <v>1</v>
      </c>
      <c r="AC18" s="9" t="s">
        <v>485</v>
      </c>
    </row>
    <row r="19" spans="1:29" x14ac:dyDescent="0.35">
      <c r="A19">
        <v>18</v>
      </c>
      <c r="B19">
        <v>671</v>
      </c>
      <c r="C19" s="9" t="s">
        <v>108</v>
      </c>
      <c r="D19" s="9" t="s">
        <v>64</v>
      </c>
      <c r="E19" s="9" t="s">
        <v>65</v>
      </c>
      <c r="F19" s="9" t="s">
        <v>47</v>
      </c>
      <c r="G19" s="9" t="s">
        <v>81</v>
      </c>
      <c r="H19" s="9" t="s">
        <v>57</v>
      </c>
      <c r="I19" s="9" t="s">
        <v>58</v>
      </c>
      <c r="J19">
        <v>3</v>
      </c>
      <c r="K19" s="6"/>
      <c r="L19">
        <v>164.91659999999999</v>
      </c>
      <c r="M19">
        <v>325.90350000000001</v>
      </c>
      <c r="N19">
        <v>200</v>
      </c>
      <c r="O19">
        <v>200</v>
      </c>
      <c r="P19">
        <v>82.46</v>
      </c>
      <c r="Q19">
        <v>162.94999999999999</v>
      </c>
      <c r="R19">
        <v>0</v>
      </c>
      <c r="S19">
        <v>1</v>
      </c>
      <c r="T19">
        <v>1</v>
      </c>
      <c r="U19">
        <v>1.8671</v>
      </c>
      <c r="V19">
        <v>-125.90349999999999</v>
      </c>
      <c r="W19">
        <v>-67.430000000000007</v>
      </c>
      <c r="X19">
        <v>12</v>
      </c>
      <c r="Y19" s="9" t="s">
        <v>468</v>
      </c>
      <c r="Z19">
        <v>4.5</v>
      </c>
      <c r="AA19">
        <v>81</v>
      </c>
      <c r="AB19">
        <v>1</v>
      </c>
      <c r="AC19" s="9" t="s">
        <v>486</v>
      </c>
    </row>
    <row r="20" spans="1:29" x14ac:dyDescent="0.35">
      <c r="A20">
        <v>19</v>
      </c>
      <c r="B20">
        <v>981</v>
      </c>
      <c r="C20" s="9" t="s">
        <v>59</v>
      </c>
      <c r="D20" s="9" t="s">
        <v>53</v>
      </c>
      <c r="E20" s="9" t="s">
        <v>54</v>
      </c>
      <c r="F20" s="9" t="s">
        <v>47</v>
      </c>
      <c r="G20" s="9" t="s">
        <v>60</v>
      </c>
      <c r="H20" s="9" t="s">
        <v>50</v>
      </c>
      <c r="I20" s="9" t="s">
        <v>51</v>
      </c>
      <c r="J20">
        <v>1</v>
      </c>
      <c r="K20" s="6"/>
      <c r="L20">
        <v>111.8997</v>
      </c>
      <c r="M20">
        <v>244.57300000000001</v>
      </c>
      <c r="N20">
        <v>120</v>
      </c>
      <c r="O20">
        <v>120</v>
      </c>
      <c r="P20">
        <v>93.25</v>
      </c>
      <c r="Q20">
        <v>203.81</v>
      </c>
      <c r="R20">
        <v>0</v>
      </c>
      <c r="S20">
        <v>1</v>
      </c>
      <c r="T20">
        <v>1</v>
      </c>
      <c r="U20">
        <v>2.2582</v>
      </c>
      <c r="V20">
        <v>-124.57299999999999</v>
      </c>
      <c r="W20">
        <v>-55.16</v>
      </c>
      <c r="X20">
        <v>8</v>
      </c>
      <c r="Y20" s="9" t="s">
        <v>468</v>
      </c>
      <c r="Z20">
        <v>4.5</v>
      </c>
      <c r="AA20">
        <v>85.5</v>
      </c>
      <c r="AB20">
        <v>1</v>
      </c>
      <c r="AC20" s="9" t="s">
        <v>487</v>
      </c>
    </row>
    <row r="21" spans="1:29" x14ac:dyDescent="0.35">
      <c r="A21">
        <v>20</v>
      </c>
      <c r="B21">
        <v>1018</v>
      </c>
      <c r="C21" s="9" t="s">
        <v>84</v>
      </c>
      <c r="D21" s="9" t="s">
        <v>45</v>
      </c>
      <c r="E21" s="9" t="s">
        <v>46</v>
      </c>
      <c r="F21" s="9" t="s">
        <v>47</v>
      </c>
      <c r="G21" s="9" t="s">
        <v>60</v>
      </c>
      <c r="H21" s="9" t="s">
        <v>50</v>
      </c>
      <c r="I21" s="9" t="s">
        <v>51</v>
      </c>
      <c r="J21">
        <v>2</v>
      </c>
      <c r="K21" s="6"/>
      <c r="L21">
        <v>126.0496</v>
      </c>
      <c r="M21">
        <v>267.98239999999998</v>
      </c>
      <c r="N21">
        <v>150</v>
      </c>
      <c r="O21">
        <v>150</v>
      </c>
      <c r="P21">
        <v>84.03</v>
      </c>
      <c r="Q21">
        <v>178.65</v>
      </c>
      <c r="R21">
        <v>0</v>
      </c>
      <c r="S21">
        <v>1</v>
      </c>
      <c r="T21">
        <v>1</v>
      </c>
      <c r="U21">
        <v>2.2582</v>
      </c>
      <c r="V21">
        <v>-117.9824</v>
      </c>
      <c r="W21">
        <v>-52.25</v>
      </c>
      <c r="X21">
        <v>18</v>
      </c>
      <c r="Y21" s="9" t="s">
        <v>468</v>
      </c>
      <c r="Z21">
        <v>4.5</v>
      </c>
      <c r="AA21">
        <v>90</v>
      </c>
      <c r="AB21">
        <v>1</v>
      </c>
      <c r="AC21" s="9" t="s">
        <v>488</v>
      </c>
    </row>
    <row r="22" spans="1:29" x14ac:dyDescent="0.35">
      <c r="A22">
        <v>21</v>
      </c>
      <c r="B22">
        <v>339</v>
      </c>
      <c r="C22" s="9" t="s">
        <v>92</v>
      </c>
      <c r="D22" s="9" t="s">
        <v>45</v>
      </c>
      <c r="E22" s="9" t="s">
        <v>46</v>
      </c>
      <c r="F22" s="9" t="s">
        <v>47</v>
      </c>
      <c r="G22" s="9" t="s">
        <v>93</v>
      </c>
      <c r="H22" s="9" t="s">
        <v>89</v>
      </c>
      <c r="I22" s="9" t="s">
        <v>90</v>
      </c>
      <c r="J22">
        <v>2</v>
      </c>
      <c r="K22" s="6"/>
      <c r="L22">
        <v>143.2165</v>
      </c>
      <c r="M22">
        <v>266.14670000000001</v>
      </c>
      <c r="N22">
        <v>150</v>
      </c>
      <c r="O22">
        <v>150</v>
      </c>
      <c r="P22">
        <v>95.48</v>
      </c>
      <c r="Q22">
        <v>177.43</v>
      </c>
      <c r="R22">
        <v>0</v>
      </c>
      <c r="S22">
        <v>1</v>
      </c>
      <c r="T22">
        <v>1</v>
      </c>
      <c r="U22">
        <v>1.7137</v>
      </c>
      <c r="V22">
        <v>-116.1467</v>
      </c>
      <c r="W22">
        <v>-67.78</v>
      </c>
      <c r="X22">
        <v>18</v>
      </c>
      <c r="Y22" s="9" t="s">
        <v>468</v>
      </c>
      <c r="Z22">
        <v>4.5</v>
      </c>
      <c r="AA22">
        <v>94.5</v>
      </c>
      <c r="AB22">
        <v>1</v>
      </c>
      <c r="AC22" s="9" t="s">
        <v>489</v>
      </c>
    </row>
    <row r="23" spans="1:29" x14ac:dyDescent="0.35">
      <c r="A23">
        <v>22</v>
      </c>
      <c r="B23">
        <v>215</v>
      </c>
      <c r="C23" s="9" t="s">
        <v>73</v>
      </c>
      <c r="D23" s="9" t="s">
        <v>53</v>
      </c>
      <c r="E23" s="9" t="s">
        <v>54</v>
      </c>
      <c r="F23" s="9" t="s">
        <v>47</v>
      </c>
      <c r="G23" s="9" t="s">
        <v>55</v>
      </c>
      <c r="H23" s="9" t="s">
        <v>57</v>
      </c>
      <c r="I23" s="9" t="s">
        <v>58</v>
      </c>
      <c r="J23">
        <v>2</v>
      </c>
      <c r="K23" s="6"/>
      <c r="L23">
        <v>116.61660000000001</v>
      </c>
      <c r="M23">
        <v>235.2122</v>
      </c>
      <c r="N23">
        <v>120</v>
      </c>
      <c r="O23">
        <v>120</v>
      </c>
      <c r="P23">
        <v>97.18</v>
      </c>
      <c r="Q23">
        <v>196.01</v>
      </c>
      <c r="R23">
        <v>0</v>
      </c>
      <c r="S23">
        <v>1</v>
      </c>
      <c r="T23">
        <v>1</v>
      </c>
      <c r="U23">
        <v>1.9127000000000001</v>
      </c>
      <c r="V23">
        <v>-115.2122</v>
      </c>
      <c r="W23">
        <v>-60.24</v>
      </c>
      <c r="X23">
        <v>8</v>
      </c>
      <c r="Y23" s="9" t="s">
        <v>468</v>
      </c>
      <c r="Z23">
        <v>4.5</v>
      </c>
      <c r="AA23">
        <v>99</v>
      </c>
      <c r="AB23">
        <v>1</v>
      </c>
      <c r="AC23" s="9" t="s">
        <v>490</v>
      </c>
    </row>
    <row r="24" spans="1:29" x14ac:dyDescent="0.35">
      <c r="A24">
        <v>23</v>
      </c>
      <c r="B24">
        <v>352</v>
      </c>
      <c r="C24" s="9" t="s">
        <v>74</v>
      </c>
      <c r="D24" s="9" t="s">
        <v>53</v>
      </c>
      <c r="E24" s="9" t="s">
        <v>54</v>
      </c>
      <c r="F24" s="9" t="s">
        <v>47</v>
      </c>
      <c r="G24" s="9" t="s">
        <v>48</v>
      </c>
      <c r="H24" s="9" t="s">
        <v>50</v>
      </c>
      <c r="I24" s="9" t="s">
        <v>51</v>
      </c>
      <c r="J24">
        <v>1</v>
      </c>
      <c r="K24" s="6"/>
      <c r="L24">
        <v>104.833</v>
      </c>
      <c r="M24">
        <v>233.09809999999999</v>
      </c>
      <c r="N24">
        <v>120</v>
      </c>
      <c r="O24">
        <v>120</v>
      </c>
      <c r="P24">
        <v>87.36</v>
      </c>
      <c r="Q24">
        <v>194.25</v>
      </c>
      <c r="R24">
        <v>0</v>
      </c>
      <c r="S24">
        <v>1</v>
      </c>
      <c r="T24">
        <v>1</v>
      </c>
      <c r="U24">
        <v>2.3105000000000002</v>
      </c>
      <c r="V24">
        <v>-113.0981</v>
      </c>
      <c r="W24">
        <v>-48.95</v>
      </c>
      <c r="X24">
        <v>8</v>
      </c>
      <c r="Y24" s="9" t="s">
        <v>468</v>
      </c>
      <c r="Z24">
        <v>4.5</v>
      </c>
      <c r="AA24">
        <v>103.5</v>
      </c>
      <c r="AB24">
        <v>1</v>
      </c>
      <c r="AC24" s="9" t="s">
        <v>491</v>
      </c>
    </row>
    <row r="25" spans="1:29" x14ac:dyDescent="0.35">
      <c r="A25">
        <v>24</v>
      </c>
      <c r="B25">
        <v>775</v>
      </c>
      <c r="C25" s="9" t="s">
        <v>115</v>
      </c>
      <c r="D25" s="9" t="s">
        <v>64</v>
      </c>
      <c r="E25" s="9" t="s">
        <v>65</v>
      </c>
      <c r="F25" s="9" t="s">
        <v>47</v>
      </c>
      <c r="G25" s="9" t="s">
        <v>110</v>
      </c>
      <c r="H25" s="9" t="s">
        <v>57</v>
      </c>
      <c r="I25" s="9" t="s">
        <v>58</v>
      </c>
      <c r="J25">
        <v>1</v>
      </c>
      <c r="K25" s="6"/>
      <c r="L25">
        <v>158.48339999999999</v>
      </c>
      <c r="M25">
        <v>312.42059999999998</v>
      </c>
      <c r="N25">
        <v>200</v>
      </c>
      <c r="O25">
        <v>200</v>
      </c>
      <c r="P25">
        <v>79.239999999999995</v>
      </c>
      <c r="Q25">
        <v>156.21</v>
      </c>
      <c r="R25">
        <v>0</v>
      </c>
      <c r="S25">
        <v>1</v>
      </c>
      <c r="T25">
        <v>1</v>
      </c>
      <c r="U25">
        <v>1.9188000000000001</v>
      </c>
      <c r="V25">
        <v>-112.42059999999999</v>
      </c>
      <c r="W25">
        <v>-58.59</v>
      </c>
      <c r="X25">
        <v>12</v>
      </c>
      <c r="Y25" s="9" t="s">
        <v>468</v>
      </c>
      <c r="Z25">
        <v>4.5</v>
      </c>
      <c r="AA25">
        <v>108</v>
      </c>
      <c r="AB25">
        <v>1</v>
      </c>
      <c r="AC25" s="9" t="s">
        <v>492</v>
      </c>
    </row>
    <row r="26" spans="1:29" x14ac:dyDescent="0.35">
      <c r="A26">
        <v>25</v>
      </c>
      <c r="B26">
        <v>536</v>
      </c>
      <c r="C26" s="9" t="s">
        <v>117</v>
      </c>
      <c r="D26" s="9" t="s">
        <v>64</v>
      </c>
      <c r="E26" s="9" t="s">
        <v>65</v>
      </c>
      <c r="F26" s="9" t="s">
        <v>47</v>
      </c>
      <c r="G26" s="9" t="s">
        <v>97</v>
      </c>
      <c r="H26" s="9" t="s">
        <v>50</v>
      </c>
      <c r="I26" s="9" t="s">
        <v>51</v>
      </c>
      <c r="J26">
        <v>3</v>
      </c>
      <c r="K26" s="6"/>
      <c r="L26">
        <v>142.2998</v>
      </c>
      <c r="M26">
        <v>306.16950000000003</v>
      </c>
      <c r="N26">
        <v>200</v>
      </c>
      <c r="O26">
        <v>200</v>
      </c>
      <c r="P26">
        <v>71.150000000000006</v>
      </c>
      <c r="Q26">
        <v>153.08000000000001</v>
      </c>
      <c r="R26">
        <v>0</v>
      </c>
      <c r="S26">
        <v>1</v>
      </c>
      <c r="T26">
        <v>1</v>
      </c>
      <c r="U26">
        <v>2.1760999999999999</v>
      </c>
      <c r="V26">
        <v>-106.1695</v>
      </c>
      <c r="W26">
        <v>-48.79</v>
      </c>
      <c r="X26">
        <v>12</v>
      </c>
      <c r="Y26" s="9" t="s">
        <v>468</v>
      </c>
      <c r="Z26">
        <v>4.5</v>
      </c>
      <c r="AA26">
        <v>112.5</v>
      </c>
      <c r="AB26">
        <v>1</v>
      </c>
      <c r="AC26" s="9" t="s">
        <v>493</v>
      </c>
    </row>
    <row r="27" spans="1:29" x14ac:dyDescent="0.35">
      <c r="A27">
        <v>26</v>
      </c>
      <c r="B27">
        <v>233</v>
      </c>
      <c r="C27" s="9" t="s">
        <v>118</v>
      </c>
      <c r="D27" s="9" t="s">
        <v>64</v>
      </c>
      <c r="E27" s="9" t="s">
        <v>65</v>
      </c>
      <c r="F27" s="9" t="s">
        <v>47</v>
      </c>
      <c r="G27" s="9" t="s">
        <v>55</v>
      </c>
      <c r="H27" s="9" t="s">
        <v>57</v>
      </c>
      <c r="I27" s="9" t="s">
        <v>58</v>
      </c>
      <c r="J27">
        <v>3</v>
      </c>
      <c r="K27" s="6"/>
      <c r="L27">
        <v>150.58320000000001</v>
      </c>
      <c r="M27">
        <v>304.93200000000002</v>
      </c>
      <c r="N27">
        <v>200</v>
      </c>
      <c r="O27">
        <v>200</v>
      </c>
      <c r="P27">
        <v>75.290000000000006</v>
      </c>
      <c r="Q27">
        <v>152.47</v>
      </c>
      <c r="R27">
        <v>0</v>
      </c>
      <c r="S27">
        <v>1</v>
      </c>
      <c r="T27">
        <v>1</v>
      </c>
      <c r="U27">
        <v>1.9127000000000001</v>
      </c>
      <c r="V27">
        <v>-104.932</v>
      </c>
      <c r="W27">
        <v>-54.86</v>
      </c>
      <c r="X27">
        <v>12</v>
      </c>
      <c r="Y27" s="9" t="s">
        <v>468</v>
      </c>
      <c r="Z27">
        <v>4.5</v>
      </c>
      <c r="AA27">
        <v>117</v>
      </c>
      <c r="AB27">
        <v>1</v>
      </c>
      <c r="AC27" s="9" t="s">
        <v>494</v>
      </c>
    </row>
    <row r="28" spans="1:29" x14ac:dyDescent="0.35">
      <c r="A28">
        <v>27</v>
      </c>
      <c r="B28">
        <v>1227</v>
      </c>
      <c r="C28" s="9" t="s">
        <v>78</v>
      </c>
      <c r="D28" s="9" t="s">
        <v>53</v>
      </c>
      <c r="E28" s="9" t="s">
        <v>54</v>
      </c>
      <c r="F28" s="9" t="s">
        <v>47</v>
      </c>
      <c r="G28" s="9" t="s">
        <v>79</v>
      </c>
      <c r="H28" s="9" t="s">
        <v>50</v>
      </c>
      <c r="I28" s="9" t="s">
        <v>51</v>
      </c>
      <c r="J28">
        <v>1</v>
      </c>
      <c r="K28" s="6"/>
      <c r="L28">
        <v>102.7169</v>
      </c>
      <c r="M28">
        <v>223.43709999999999</v>
      </c>
      <c r="N28">
        <v>120</v>
      </c>
      <c r="O28">
        <v>120</v>
      </c>
      <c r="P28">
        <v>85.6</v>
      </c>
      <c r="Q28">
        <v>186.2</v>
      </c>
      <c r="R28">
        <v>0</v>
      </c>
      <c r="S28">
        <v>1</v>
      </c>
      <c r="T28">
        <v>1</v>
      </c>
      <c r="U28">
        <v>2.1718000000000002</v>
      </c>
      <c r="V28">
        <v>-103.4371</v>
      </c>
      <c r="W28">
        <v>-47.63</v>
      </c>
      <c r="X28">
        <v>8</v>
      </c>
      <c r="Y28" s="9" t="s">
        <v>468</v>
      </c>
      <c r="Z28">
        <v>4.5</v>
      </c>
      <c r="AA28">
        <v>121.5</v>
      </c>
      <c r="AB28">
        <v>0</v>
      </c>
      <c r="AC28" s="9" t="s">
        <v>495</v>
      </c>
    </row>
    <row r="29" spans="1:29" x14ac:dyDescent="0.35">
      <c r="A29">
        <v>28</v>
      </c>
      <c r="B29">
        <v>986</v>
      </c>
      <c r="C29" s="9" t="s">
        <v>83</v>
      </c>
      <c r="D29" s="9" t="s">
        <v>53</v>
      </c>
      <c r="E29" s="9" t="s">
        <v>54</v>
      </c>
      <c r="F29" s="9" t="s">
        <v>47</v>
      </c>
      <c r="G29" s="9" t="s">
        <v>60</v>
      </c>
      <c r="H29" s="9" t="s">
        <v>50</v>
      </c>
      <c r="I29" s="9" t="s">
        <v>51</v>
      </c>
      <c r="J29">
        <v>2</v>
      </c>
      <c r="K29" s="6"/>
      <c r="L29">
        <v>100.4331</v>
      </c>
      <c r="M29">
        <v>217.02879999999999</v>
      </c>
      <c r="N29">
        <v>120</v>
      </c>
      <c r="O29">
        <v>120</v>
      </c>
      <c r="P29">
        <v>83.69</v>
      </c>
      <c r="Q29">
        <v>180.86</v>
      </c>
      <c r="R29">
        <v>0</v>
      </c>
      <c r="S29">
        <v>1</v>
      </c>
      <c r="T29">
        <v>1</v>
      </c>
      <c r="U29">
        <v>2.2582</v>
      </c>
      <c r="V29">
        <v>-97.028800000000004</v>
      </c>
      <c r="W29">
        <v>-42.97</v>
      </c>
      <c r="X29">
        <v>8</v>
      </c>
      <c r="Y29" s="9" t="s">
        <v>468</v>
      </c>
      <c r="Z29">
        <v>4.5</v>
      </c>
      <c r="AA29">
        <v>126</v>
      </c>
      <c r="AB29">
        <v>0</v>
      </c>
      <c r="AC29" s="9" t="s">
        <v>496</v>
      </c>
    </row>
    <row r="30" spans="1:29" x14ac:dyDescent="0.35">
      <c r="A30">
        <v>29</v>
      </c>
      <c r="B30">
        <v>799</v>
      </c>
      <c r="C30" s="9" t="s">
        <v>109</v>
      </c>
      <c r="D30" s="9" t="s">
        <v>45</v>
      </c>
      <c r="E30" s="9" t="s">
        <v>46</v>
      </c>
      <c r="F30" s="9" t="s">
        <v>47</v>
      </c>
      <c r="G30" s="9" t="s">
        <v>110</v>
      </c>
      <c r="H30" s="9" t="s">
        <v>57</v>
      </c>
      <c r="I30" s="9" t="s">
        <v>58</v>
      </c>
      <c r="J30">
        <v>2</v>
      </c>
      <c r="K30" s="6"/>
      <c r="L30">
        <v>123.6502</v>
      </c>
      <c r="M30">
        <v>243.96360000000001</v>
      </c>
      <c r="N30">
        <v>150</v>
      </c>
      <c r="O30">
        <v>150</v>
      </c>
      <c r="P30">
        <v>82.43</v>
      </c>
      <c r="Q30">
        <v>162.63999999999999</v>
      </c>
      <c r="R30">
        <v>0</v>
      </c>
      <c r="S30">
        <v>1</v>
      </c>
      <c r="T30">
        <v>1</v>
      </c>
      <c r="U30">
        <v>1.9188000000000001</v>
      </c>
      <c r="V30">
        <v>-93.9636</v>
      </c>
      <c r="W30">
        <v>-48.97</v>
      </c>
      <c r="X30">
        <v>18</v>
      </c>
      <c r="Y30" s="9" t="s">
        <v>468</v>
      </c>
      <c r="Z30">
        <v>4.5</v>
      </c>
      <c r="AA30">
        <v>130.5</v>
      </c>
      <c r="AB30">
        <v>0</v>
      </c>
      <c r="AC30" s="9" t="s">
        <v>497</v>
      </c>
    </row>
    <row r="31" spans="1:29" x14ac:dyDescent="0.35">
      <c r="A31">
        <v>30</v>
      </c>
      <c r="B31">
        <v>358</v>
      </c>
      <c r="C31" s="9" t="s">
        <v>91</v>
      </c>
      <c r="D31" s="9" t="s">
        <v>53</v>
      </c>
      <c r="E31" s="9" t="s">
        <v>54</v>
      </c>
      <c r="F31" s="9" t="s">
        <v>47</v>
      </c>
      <c r="G31" s="9" t="s">
        <v>48</v>
      </c>
      <c r="H31" s="9" t="s">
        <v>50</v>
      </c>
      <c r="I31" s="9" t="s">
        <v>51</v>
      </c>
      <c r="J31">
        <v>2</v>
      </c>
      <c r="K31" s="6"/>
      <c r="L31">
        <v>96.649699999999996</v>
      </c>
      <c r="M31">
        <v>213.17949999999999</v>
      </c>
      <c r="N31">
        <v>120</v>
      </c>
      <c r="O31">
        <v>120</v>
      </c>
      <c r="P31">
        <v>80.540000000000006</v>
      </c>
      <c r="Q31">
        <v>177.65</v>
      </c>
      <c r="R31">
        <v>0</v>
      </c>
      <c r="S31">
        <v>1</v>
      </c>
      <c r="T31">
        <v>1</v>
      </c>
      <c r="U31">
        <v>2.3105000000000002</v>
      </c>
      <c r="V31">
        <v>-93.179500000000004</v>
      </c>
      <c r="W31">
        <v>-40.33</v>
      </c>
      <c r="X31">
        <v>8</v>
      </c>
      <c r="Y31" s="9" t="s">
        <v>468</v>
      </c>
      <c r="Z31">
        <v>4.5</v>
      </c>
      <c r="AA31">
        <v>135</v>
      </c>
      <c r="AB31">
        <v>0</v>
      </c>
      <c r="AC31" s="9" t="s">
        <v>498</v>
      </c>
    </row>
    <row r="32" spans="1:29" x14ac:dyDescent="0.35">
      <c r="A32">
        <v>31</v>
      </c>
      <c r="B32">
        <v>674</v>
      </c>
      <c r="C32" s="9" t="s">
        <v>123</v>
      </c>
      <c r="D32" s="9" t="s">
        <v>64</v>
      </c>
      <c r="E32" s="9" t="s">
        <v>65</v>
      </c>
      <c r="F32" s="9" t="s">
        <v>47</v>
      </c>
      <c r="G32" s="9" t="s">
        <v>81</v>
      </c>
      <c r="H32" s="9" t="s">
        <v>57</v>
      </c>
      <c r="I32" s="9" t="s">
        <v>58</v>
      </c>
      <c r="J32">
        <v>4</v>
      </c>
      <c r="K32" s="6"/>
      <c r="L32">
        <v>146.81659999999999</v>
      </c>
      <c r="M32">
        <v>291.71089999999998</v>
      </c>
      <c r="N32">
        <v>200</v>
      </c>
      <c r="O32">
        <v>200</v>
      </c>
      <c r="P32">
        <v>73.41</v>
      </c>
      <c r="Q32">
        <v>145.86000000000001</v>
      </c>
      <c r="R32">
        <v>0</v>
      </c>
      <c r="S32">
        <v>1</v>
      </c>
      <c r="T32">
        <v>1</v>
      </c>
      <c r="U32">
        <v>1.8671</v>
      </c>
      <c r="V32">
        <v>-91.710899999999995</v>
      </c>
      <c r="W32">
        <v>-49.12</v>
      </c>
      <c r="X32">
        <v>12</v>
      </c>
      <c r="Y32" s="9" t="s">
        <v>468</v>
      </c>
      <c r="Z32">
        <v>4.5</v>
      </c>
      <c r="AA32">
        <v>139.5</v>
      </c>
      <c r="AB32">
        <v>0</v>
      </c>
      <c r="AC32" s="9" t="s">
        <v>499</v>
      </c>
    </row>
    <row r="33" spans="1:29" x14ac:dyDescent="0.35">
      <c r="A33">
        <v>32</v>
      </c>
      <c r="B33">
        <v>783</v>
      </c>
      <c r="C33" s="9" t="s">
        <v>131</v>
      </c>
      <c r="D33" s="9" t="s">
        <v>64</v>
      </c>
      <c r="E33" s="9" t="s">
        <v>65</v>
      </c>
      <c r="F33" s="9" t="s">
        <v>47</v>
      </c>
      <c r="G33" s="9" t="s">
        <v>110</v>
      </c>
      <c r="H33" s="9" t="s">
        <v>57</v>
      </c>
      <c r="I33" s="9" t="s">
        <v>58</v>
      </c>
      <c r="J33">
        <v>3</v>
      </c>
      <c r="K33" s="6"/>
      <c r="L33">
        <v>145.76679999999999</v>
      </c>
      <c r="M33">
        <v>285.81970000000001</v>
      </c>
      <c r="N33">
        <v>200</v>
      </c>
      <c r="O33">
        <v>200</v>
      </c>
      <c r="P33">
        <v>72.88</v>
      </c>
      <c r="Q33">
        <v>142.91</v>
      </c>
      <c r="R33">
        <v>0</v>
      </c>
      <c r="S33">
        <v>1</v>
      </c>
      <c r="T33">
        <v>1</v>
      </c>
      <c r="U33">
        <v>1.9188000000000001</v>
      </c>
      <c r="V33">
        <v>-85.819699999999997</v>
      </c>
      <c r="W33">
        <v>-44.73</v>
      </c>
      <c r="X33">
        <v>12</v>
      </c>
      <c r="Y33" s="9" t="s">
        <v>468</v>
      </c>
      <c r="Z33">
        <v>4.5</v>
      </c>
      <c r="AA33">
        <v>144</v>
      </c>
      <c r="AB33">
        <v>0</v>
      </c>
      <c r="AC33" s="9" t="s">
        <v>500</v>
      </c>
    </row>
    <row r="34" spans="1:29" x14ac:dyDescent="0.35">
      <c r="A34">
        <v>33</v>
      </c>
      <c r="B34">
        <v>1302</v>
      </c>
      <c r="C34" s="9" t="s">
        <v>133</v>
      </c>
      <c r="D34" s="9" t="s">
        <v>64</v>
      </c>
      <c r="E34" s="9" t="s">
        <v>65</v>
      </c>
      <c r="F34" s="9" t="s">
        <v>47</v>
      </c>
      <c r="G34" s="9" t="s">
        <v>112</v>
      </c>
      <c r="H34" s="9" t="s">
        <v>89</v>
      </c>
      <c r="I34" s="9" t="s">
        <v>90</v>
      </c>
      <c r="J34">
        <v>2</v>
      </c>
      <c r="K34" s="6"/>
      <c r="L34">
        <v>149.68389999999999</v>
      </c>
      <c r="M34">
        <v>283.00560000000002</v>
      </c>
      <c r="N34">
        <v>200</v>
      </c>
      <c r="O34">
        <v>200</v>
      </c>
      <c r="P34">
        <v>74.84</v>
      </c>
      <c r="Q34">
        <v>141.5</v>
      </c>
      <c r="R34">
        <v>0</v>
      </c>
      <c r="S34">
        <v>1</v>
      </c>
      <c r="T34">
        <v>1</v>
      </c>
      <c r="U34">
        <v>1.9300999999999999</v>
      </c>
      <c r="V34">
        <v>-83.005600000000001</v>
      </c>
      <c r="W34">
        <v>-43.01</v>
      </c>
      <c r="X34">
        <v>12</v>
      </c>
      <c r="Y34" s="9" t="s">
        <v>468</v>
      </c>
      <c r="Z34">
        <v>4.5</v>
      </c>
      <c r="AA34">
        <v>148.5</v>
      </c>
      <c r="AB34">
        <v>0</v>
      </c>
      <c r="AC34" s="9" t="s">
        <v>501</v>
      </c>
    </row>
    <row r="35" spans="1:29" x14ac:dyDescent="0.35">
      <c r="A35">
        <v>34</v>
      </c>
      <c r="B35">
        <v>30</v>
      </c>
      <c r="C35" s="9" t="s">
        <v>135</v>
      </c>
      <c r="D35" s="9" t="s">
        <v>64</v>
      </c>
      <c r="E35" s="9" t="s">
        <v>65</v>
      </c>
      <c r="F35" s="9" t="s">
        <v>47</v>
      </c>
      <c r="G35" s="9" t="s">
        <v>99</v>
      </c>
      <c r="H35" s="9" t="s">
        <v>57</v>
      </c>
      <c r="I35" s="9" t="s">
        <v>58</v>
      </c>
      <c r="J35">
        <v>3</v>
      </c>
      <c r="K35" s="6"/>
      <c r="L35">
        <v>135.40039999999999</v>
      </c>
      <c r="M35">
        <v>279.48770000000002</v>
      </c>
      <c r="N35">
        <v>200</v>
      </c>
      <c r="O35">
        <v>200</v>
      </c>
      <c r="P35">
        <v>67.7</v>
      </c>
      <c r="Q35">
        <v>139.74</v>
      </c>
      <c r="R35">
        <v>0</v>
      </c>
      <c r="S35">
        <v>1</v>
      </c>
      <c r="T35">
        <v>1</v>
      </c>
      <c r="U35">
        <v>2.0638000000000001</v>
      </c>
      <c r="V35">
        <v>-79.487700000000004</v>
      </c>
      <c r="W35">
        <v>-38.520000000000003</v>
      </c>
      <c r="X35">
        <v>12</v>
      </c>
      <c r="Y35" s="9" t="s">
        <v>468</v>
      </c>
      <c r="Z35">
        <v>4.5</v>
      </c>
      <c r="AA35">
        <v>153</v>
      </c>
      <c r="AB35">
        <v>0</v>
      </c>
      <c r="AC35" s="9" t="s">
        <v>502</v>
      </c>
    </row>
    <row r="36" spans="1:29" x14ac:dyDescent="0.35">
      <c r="A36">
        <v>35</v>
      </c>
      <c r="B36">
        <v>403</v>
      </c>
      <c r="C36" s="9" t="s">
        <v>119</v>
      </c>
      <c r="D36" s="9" t="s">
        <v>45</v>
      </c>
      <c r="E36" s="9" t="s">
        <v>46</v>
      </c>
      <c r="F36" s="9" t="s">
        <v>47</v>
      </c>
      <c r="G36" s="9" t="s">
        <v>48</v>
      </c>
      <c r="H36" s="9" t="s">
        <v>50</v>
      </c>
      <c r="I36" s="9" t="s">
        <v>51</v>
      </c>
      <c r="J36">
        <v>4</v>
      </c>
      <c r="K36" s="6"/>
      <c r="L36">
        <v>102.3497</v>
      </c>
      <c r="M36">
        <v>227.5985</v>
      </c>
      <c r="N36">
        <v>150</v>
      </c>
      <c r="O36">
        <v>150</v>
      </c>
      <c r="P36">
        <v>68.23</v>
      </c>
      <c r="Q36">
        <v>151.72999999999999</v>
      </c>
      <c r="R36">
        <v>0</v>
      </c>
      <c r="S36">
        <v>1</v>
      </c>
      <c r="T36">
        <v>1</v>
      </c>
      <c r="U36">
        <v>2.3105000000000002</v>
      </c>
      <c r="V36">
        <v>-77.598500000000001</v>
      </c>
      <c r="W36">
        <v>-33.590000000000003</v>
      </c>
      <c r="X36">
        <v>18</v>
      </c>
      <c r="Y36" s="9" t="s">
        <v>468</v>
      </c>
      <c r="Z36">
        <v>4.5</v>
      </c>
      <c r="AA36">
        <v>157.5</v>
      </c>
      <c r="AB36">
        <v>0</v>
      </c>
      <c r="AC36" s="9" t="s">
        <v>503</v>
      </c>
    </row>
    <row r="37" spans="1:29" x14ac:dyDescent="0.35">
      <c r="A37">
        <v>36</v>
      </c>
      <c r="B37">
        <v>558</v>
      </c>
      <c r="C37" s="9" t="s">
        <v>120</v>
      </c>
      <c r="D37" s="9" t="s">
        <v>45</v>
      </c>
      <c r="E37" s="9" t="s">
        <v>46</v>
      </c>
      <c r="F37" s="9" t="s">
        <v>47</v>
      </c>
      <c r="G37" s="9" t="s">
        <v>97</v>
      </c>
      <c r="H37" s="9" t="s">
        <v>50</v>
      </c>
      <c r="I37" s="9" t="s">
        <v>51</v>
      </c>
      <c r="J37">
        <v>4</v>
      </c>
      <c r="K37" s="6"/>
      <c r="L37">
        <v>105.4332</v>
      </c>
      <c r="M37">
        <v>225.02080000000001</v>
      </c>
      <c r="N37">
        <v>150</v>
      </c>
      <c r="O37">
        <v>150</v>
      </c>
      <c r="P37">
        <v>70.290000000000006</v>
      </c>
      <c r="Q37">
        <v>150.01</v>
      </c>
      <c r="R37">
        <v>0</v>
      </c>
      <c r="S37">
        <v>1</v>
      </c>
      <c r="T37">
        <v>1</v>
      </c>
      <c r="U37">
        <v>2.1760999999999999</v>
      </c>
      <c r="V37">
        <v>-75.020799999999994</v>
      </c>
      <c r="W37">
        <v>-34.47</v>
      </c>
      <c r="X37">
        <v>18</v>
      </c>
      <c r="Y37" s="9" t="s">
        <v>468</v>
      </c>
      <c r="Z37">
        <v>4.5</v>
      </c>
      <c r="AA37">
        <v>162</v>
      </c>
      <c r="AB37">
        <v>0</v>
      </c>
      <c r="AC37" s="9" t="s">
        <v>504</v>
      </c>
    </row>
    <row r="38" spans="1:29" x14ac:dyDescent="0.35">
      <c r="A38">
        <v>37</v>
      </c>
      <c r="B38">
        <v>1293</v>
      </c>
      <c r="C38" s="9" t="s">
        <v>111</v>
      </c>
      <c r="D38" s="9" t="s">
        <v>53</v>
      </c>
      <c r="E38" s="9" t="s">
        <v>54</v>
      </c>
      <c r="F38" s="9" t="s">
        <v>47</v>
      </c>
      <c r="G38" s="9" t="s">
        <v>112</v>
      </c>
      <c r="H38" s="9" t="s">
        <v>89</v>
      </c>
      <c r="I38" s="9" t="s">
        <v>90</v>
      </c>
      <c r="J38">
        <v>2</v>
      </c>
      <c r="K38" s="6"/>
      <c r="L38">
        <v>101.767</v>
      </c>
      <c r="M38">
        <v>189.7509</v>
      </c>
      <c r="N38">
        <v>120</v>
      </c>
      <c r="O38">
        <v>120</v>
      </c>
      <c r="P38">
        <v>84.81</v>
      </c>
      <c r="Q38">
        <v>158.13</v>
      </c>
      <c r="R38">
        <v>0</v>
      </c>
      <c r="S38">
        <v>1</v>
      </c>
      <c r="T38">
        <v>1</v>
      </c>
      <c r="U38">
        <v>1.9300999999999999</v>
      </c>
      <c r="V38">
        <v>-69.750900000000001</v>
      </c>
      <c r="W38">
        <v>-36.14</v>
      </c>
      <c r="X38">
        <v>8</v>
      </c>
      <c r="Y38" s="9" t="s">
        <v>468</v>
      </c>
      <c r="Z38">
        <v>4.5</v>
      </c>
      <c r="AA38">
        <v>166.5</v>
      </c>
      <c r="AB38">
        <v>0</v>
      </c>
      <c r="AC38" s="9" t="s">
        <v>505</v>
      </c>
    </row>
    <row r="39" spans="1:29" x14ac:dyDescent="0.35">
      <c r="A39">
        <v>38</v>
      </c>
      <c r="B39">
        <v>325</v>
      </c>
      <c r="C39" s="9" t="s">
        <v>138</v>
      </c>
      <c r="D39" s="9" t="s">
        <v>64</v>
      </c>
      <c r="E39" s="9" t="s">
        <v>65</v>
      </c>
      <c r="F39" s="9" t="s">
        <v>47</v>
      </c>
      <c r="G39" s="9" t="s">
        <v>93</v>
      </c>
      <c r="H39" s="9" t="s">
        <v>89</v>
      </c>
      <c r="I39" s="9" t="s">
        <v>90</v>
      </c>
      <c r="J39">
        <v>1</v>
      </c>
      <c r="K39" s="6"/>
      <c r="L39">
        <v>146.01650000000001</v>
      </c>
      <c r="M39">
        <v>269.69150000000002</v>
      </c>
      <c r="N39">
        <v>200</v>
      </c>
      <c r="O39">
        <v>200</v>
      </c>
      <c r="P39">
        <v>73.010000000000005</v>
      </c>
      <c r="Q39">
        <v>134.85</v>
      </c>
      <c r="R39">
        <v>0</v>
      </c>
      <c r="S39">
        <v>1</v>
      </c>
      <c r="T39">
        <v>1</v>
      </c>
      <c r="U39">
        <v>1.7137</v>
      </c>
      <c r="V39">
        <v>-69.691500000000005</v>
      </c>
      <c r="W39">
        <v>-40.67</v>
      </c>
      <c r="X39">
        <v>12</v>
      </c>
      <c r="Y39" s="9" t="s">
        <v>468</v>
      </c>
      <c r="Z39">
        <v>4.5</v>
      </c>
      <c r="AA39">
        <v>171</v>
      </c>
      <c r="AB39">
        <v>0</v>
      </c>
      <c r="AC39" s="9" t="s">
        <v>506</v>
      </c>
    </row>
    <row r="40" spans="1:29" x14ac:dyDescent="0.35">
      <c r="A40">
        <v>39</v>
      </c>
      <c r="B40">
        <v>861</v>
      </c>
      <c r="C40" s="9" t="s">
        <v>116</v>
      </c>
      <c r="D40" s="9" t="s">
        <v>53</v>
      </c>
      <c r="E40" s="9" t="s">
        <v>54</v>
      </c>
      <c r="F40" s="9" t="s">
        <v>47</v>
      </c>
      <c r="G40" s="9" t="s">
        <v>77</v>
      </c>
      <c r="H40" s="9" t="s">
        <v>50</v>
      </c>
      <c r="I40" s="9" t="s">
        <v>51</v>
      </c>
      <c r="J40">
        <v>2</v>
      </c>
      <c r="K40" s="6"/>
      <c r="L40">
        <v>85.150199999999998</v>
      </c>
      <c r="M40">
        <v>186.8278</v>
      </c>
      <c r="N40">
        <v>120</v>
      </c>
      <c r="O40">
        <v>120</v>
      </c>
      <c r="P40">
        <v>70.959999999999994</v>
      </c>
      <c r="Q40">
        <v>155.69</v>
      </c>
      <c r="R40">
        <v>0</v>
      </c>
      <c r="S40">
        <v>1</v>
      </c>
      <c r="T40">
        <v>1</v>
      </c>
      <c r="U40">
        <v>2.1968999999999999</v>
      </c>
      <c r="V40">
        <v>-66.827799999999996</v>
      </c>
      <c r="W40">
        <v>-30.42</v>
      </c>
      <c r="X40">
        <v>8</v>
      </c>
      <c r="Y40" s="9" t="s">
        <v>468</v>
      </c>
      <c r="Z40">
        <v>4.5</v>
      </c>
      <c r="AA40">
        <v>175.5</v>
      </c>
      <c r="AB40">
        <v>0</v>
      </c>
      <c r="AC40" s="9" t="s">
        <v>507</v>
      </c>
    </row>
    <row r="41" spans="1:29" x14ac:dyDescent="0.35">
      <c r="A41">
        <v>40</v>
      </c>
      <c r="B41">
        <v>540</v>
      </c>
      <c r="C41" s="9" t="s">
        <v>140</v>
      </c>
      <c r="D41" s="9" t="s">
        <v>64</v>
      </c>
      <c r="E41" s="9" t="s">
        <v>65</v>
      </c>
      <c r="F41" s="9" t="s">
        <v>47</v>
      </c>
      <c r="G41" s="9" t="s">
        <v>97</v>
      </c>
      <c r="H41" s="9" t="s">
        <v>50</v>
      </c>
      <c r="I41" s="9" t="s">
        <v>51</v>
      </c>
      <c r="J41">
        <v>4</v>
      </c>
      <c r="K41" s="6"/>
      <c r="L41">
        <v>123.5665</v>
      </c>
      <c r="M41">
        <v>266.71600000000001</v>
      </c>
      <c r="N41">
        <v>200</v>
      </c>
      <c r="O41">
        <v>200</v>
      </c>
      <c r="P41">
        <v>61.78</v>
      </c>
      <c r="Q41">
        <v>133.36000000000001</v>
      </c>
      <c r="R41">
        <v>0</v>
      </c>
      <c r="S41">
        <v>1</v>
      </c>
      <c r="T41">
        <v>1</v>
      </c>
      <c r="U41">
        <v>2.1760999999999999</v>
      </c>
      <c r="V41">
        <v>-66.715999999999994</v>
      </c>
      <c r="W41">
        <v>-30.66</v>
      </c>
      <c r="X41">
        <v>12</v>
      </c>
      <c r="Y41" s="9" t="s">
        <v>468</v>
      </c>
      <c r="Z41">
        <v>4.5</v>
      </c>
      <c r="AA41">
        <v>180</v>
      </c>
      <c r="AB41">
        <v>0</v>
      </c>
      <c r="AC41" s="9" t="s">
        <v>508</v>
      </c>
    </row>
    <row r="42" spans="1:29" x14ac:dyDescent="0.35">
      <c r="A42">
        <v>41</v>
      </c>
      <c r="B42">
        <v>787</v>
      </c>
      <c r="C42" s="9" t="s">
        <v>141</v>
      </c>
      <c r="D42" s="9" t="s">
        <v>64</v>
      </c>
      <c r="E42" s="9" t="s">
        <v>65</v>
      </c>
      <c r="F42" s="9" t="s">
        <v>47</v>
      </c>
      <c r="G42" s="9" t="s">
        <v>110</v>
      </c>
      <c r="H42" s="9" t="s">
        <v>57</v>
      </c>
      <c r="I42" s="9" t="s">
        <v>58</v>
      </c>
      <c r="J42">
        <v>4</v>
      </c>
      <c r="K42" s="6"/>
      <c r="L42">
        <v>135.1001</v>
      </c>
      <c r="M42">
        <v>265.75420000000003</v>
      </c>
      <c r="N42">
        <v>200</v>
      </c>
      <c r="O42">
        <v>200</v>
      </c>
      <c r="P42">
        <v>67.55</v>
      </c>
      <c r="Q42">
        <v>132.88</v>
      </c>
      <c r="R42">
        <v>0</v>
      </c>
      <c r="S42">
        <v>1</v>
      </c>
      <c r="T42">
        <v>1</v>
      </c>
      <c r="U42">
        <v>1.9188000000000001</v>
      </c>
      <c r="V42">
        <v>-65.754199999999997</v>
      </c>
      <c r="W42">
        <v>-34.270000000000003</v>
      </c>
      <c r="X42">
        <v>12</v>
      </c>
      <c r="Y42" s="9" t="s">
        <v>468</v>
      </c>
      <c r="Z42">
        <v>4.5</v>
      </c>
      <c r="AA42">
        <v>184.5</v>
      </c>
      <c r="AB42">
        <v>0</v>
      </c>
      <c r="AC42" s="9" t="s">
        <v>509</v>
      </c>
    </row>
    <row r="43" spans="1:29" x14ac:dyDescent="0.35">
      <c r="A43">
        <v>42</v>
      </c>
      <c r="B43">
        <v>544</v>
      </c>
      <c r="C43" s="9" t="s">
        <v>132</v>
      </c>
      <c r="D43" s="9" t="s">
        <v>45</v>
      </c>
      <c r="E43" s="9" t="s">
        <v>46</v>
      </c>
      <c r="F43" s="9" t="s">
        <v>47</v>
      </c>
      <c r="G43" s="9" t="s">
        <v>97</v>
      </c>
      <c r="H43" s="9" t="s">
        <v>50</v>
      </c>
      <c r="I43" s="9" t="s">
        <v>51</v>
      </c>
      <c r="J43">
        <v>1</v>
      </c>
      <c r="K43" s="6"/>
      <c r="L43">
        <v>98.749899999999997</v>
      </c>
      <c r="M43">
        <v>212.99610000000001</v>
      </c>
      <c r="N43">
        <v>150</v>
      </c>
      <c r="O43">
        <v>150</v>
      </c>
      <c r="P43">
        <v>65.83</v>
      </c>
      <c r="Q43">
        <v>142</v>
      </c>
      <c r="R43">
        <v>0</v>
      </c>
      <c r="S43">
        <v>1</v>
      </c>
      <c r="T43">
        <v>1</v>
      </c>
      <c r="U43">
        <v>2.1760999999999999</v>
      </c>
      <c r="V43">
        <v>-62.996099999999998</v>
      </c>
      <c r="W43">
        <v>-28.95</v>
      </c>
      <c r="X43">
        <v>18</v>
      </c>
      <c r="Y43" s="9" t="s">
        <v>468</v>
      </c>
      <c r="Z43">
        <v>4.5</v>
      </c>
      <c r="AA43">
        <v>189</v>
      </c>
      <c r="AB43">
        <v>0</v>
      </c>
      <c r="AC43" s="9" t="s">
        <v>510</v>
      </c>
    </row>
    <row r="44" spans="1:29" x14ac:dyDescent="0.35">
      <c r="A44">
        <v>43</v>
      </c>
      <c r="B44">
        <v>1370</v>
      </c>
      <c r="C44" s="9" t="s">
        <v>134</v>
      </c>
      <c r="D44" s="9" t="s">
        <v>45</v>
      </c>
      <c r="E44" s="9" t="s">
        <v>46</v>
      </c>
      <c r="F44" s="9" t="s">
        <v>47</v>
      </c>
      <c r="G44" s="9" t="s">
        <v>72</v>
      </c>
      <c r="H44" s="9" t="s">
        <v>50</v>
      </c>
      <c r="I44" s="9" t="s">
        <v>51</v>
      </c>
      <c r="J44">
        <v>3</v>
      </c>
      <c r="K44" s="6"/>
      <c r="L44">
        <v>104.6832</v>
      </c>
      <c r="M44">
        <v>210.91220000000001</v>
      </c>
      <c r="N44">
        <v>150</v>
      </c>
      <c r="O44">
        <v>150</v>
      </c>
      <c r="P44">
        <v>69.790000000000006</v>
      </c>
      <c r="Q44">
        <v>140.61000000000001</v>
      </c>
      <c r="R44">
        <v>0</v>
      </c>
      <c r="S44">
        <v>1</v>
      </c>
      <c r="T44">
        <v>1</v>
      </c>
      <c r="U44">
        <v>1.9079999999999999</v>
      </c>
      <c r="V44">
        <v>-60.912199999999999</v>
      </c>
      <c r="W44">
        <v>-31.92</v>
      </c>
      <c r="X44">
        <v>18</v>
      </c>
      <c r="Y44" s="9" t="s">
        <v>468</v>
      </c>
      <c r="Z44">
        <v>4.5</v>
      </c>
      <c r="AA44">
        <v>193.5</v>
      </c>
      <c r="AB44">
        <v>0</v>
      </c>
      <c r="AC44" s="9" t="s">
        <v>511</v>
      </c>
    </row>
    <row r="45" spans="1:29" x14ac:dyDescent="0.35">
      <c r="A45">
        <v>44</v>
      </c>
      <c r="B45">
        <v>513</v>
      </c>
      <c r="C45" s="9" t="s">
        <v>121</v>
      </c>
      <c r="D45" s="9" t="s">
        <v>53</v>
      </c>
      <c r="E45" s="9" t="s">
        <v>54</v>
      </c>
      <c r="F45" s="9" t="s">
        <v>47</v>
      </c>
      <c r="G45" s="9" t="s">
        <v>97</v>
      </c>
      <c r="H45" s="9" t="s">
        <v>50</v>
      </c>
      <c r="I45" s="9" t="s">
        <v>51</v>
      </c>
      <c r="J45">
        <v>1</v>
      </c>
      <c r="K45" s="6"/>
      <c r="L45">
        <v>81.166600000000003</v>
      </c>
      <c r="M45">
        <v>178.9957</v>
      </c>
      <c r="N45">
        <v>120</v>
      </c>
      <c r="O45">
        <v>120</v>
      </c>
      <c r="P45">
        <v>67.64</v>
      </c>
      <c r="Q45">
        <v>149.16</v>
      </c>
      <c r="R45">
        <v>0</v>
      </c>
      <c r="S45">
        <v>1</v>
      </c>
      <c r="T45">
        <v>1</v>
      </c>
      <c r="U45">
        <v>2.1760999999999999</v>
      </c>
      <c r="V45">
        <v>-58.995699999999999</v>
      </c>
      <c r="W45">
        <v>-27.11</v>
      </c>
      <c r="X45">
        <v>8</v>
      </c>
      <c r="Y45" s="9" t="s">
        <v>468</v>
      </c>
      <c r="Z45">
        <v>4.5</v>
      </c>
      <c r="AA45">
        <v>198</v>
      </c>
      <c r="AB45">
        <v>0</v>
      </c>
      <c r="AC45" s="9" t="s">
        <v>512</v>
      </c>
    </row>
    <row r="46" spans="1:29" x14ac:dyDescent="0.35">
      <c r="A46">
        <v>45</v>
      </c>
      <c r="B46">
        <v>319</v>
      </c>
      <c r="C46" s="9" t="s">
        <v>122</v>
      </c>
      <c r="D46" s="9" t="s">
        <v>53</v>
      </c>
      <c r="E46" s="9" t="s">
        <v>54</v>
      </c>
      <c r="F46" s="9" t="s">
        <v>47</v>
      </c>
      <c r="G46" s="9" t="s">
        <v>93</v>
      </c>
      <c r="H46" s="9" t="s">
        <v>89</v>
      </c>
      <c r="I46" s="9" t="s">
        <v>90</v>
      </c>
      <c r="J46">
        <v>2</v>
      </c>
      <c r="K46" s="6"/>
      <c r="L46">
        <v>96.499799999999993</v>
      </c>
      <c r="M46">
        <v>177.79079999999999</v>
      </c>
      <c r="N46">
        <v>120</v>
      </c>
      <c r="O46">
        <v>120</v>
      </c>
      <c r="P46">
        <v>80.42</v>
      </c>
      <c r="Q46">
        <v>148.16</v>
      </c>
      <c r="R46">
        <v>0</v>
      </c>
      <c r="S46">
        <v>1</v>
      </c>
      <c r="T46">
        <v>1</v>
      </c>
      <c r="U46">
        <v>1.7137</v>
      </c>
      <c r="V46">
        <v>-57.790799999999997</v>
      </c>
      <c r="W46">
        <v>-33.72</v>
      </c>
      <c r="X46">
        <v>8</v>
      </c>
      <c r="Y46" s="9" t="s">
        <v>468</v>
      </c>
      <c r="Z46">
        <v>4.5</v>
      </c>
      <c r="AA46">
        <v>202.5</v>
      </c>
      <c r="AB46">
        <v>0</v>
      </c>
      <c r="AC46" s="9" t="s">
        <v>513</v>
      </c>
    </row>
    <row r="47" spans="1:29" x14ac:dyDescent="0.35">
      <c r="A47">
        <v>46</v>
      </c>
      <c r="B47">
        <v>327</v>
      </c>
      <c r="C47" s="9" t="s">
        <v>144</v>
      </c>
      <c r="D47" s="9" t="s">
        <v>64</v>
      </c>
      <c r="E47" s="9" t="s">
        <v>65</v>
      </c>
      <c r="F47" s="9" t="s">
        <v>47</v>
      </c>
      <c r="G47" s="9" t="s">
        <v>93</v>
      </c>
      <c r="H47" s="9" t="s">
        <v>89</v>
      </c>
      <c r="I47" s="9" t="s">
        <v>90</v>
      </c>
      <c r="J47">
        <v>2</v>
      </c>
      <c r="K47" s="6"/>
      <c r="L47">
        <v>137.91659999999999</v>
      </c>
      <c r="M47">
        <v>255.3424</v>
      </c>
      <c r="N47">
        <v>200</v>
      </c>
      <c r="O47">
        <v>200</v>
      </c>
      <c r="P47">
        <v>68.959999999999994</v>
      </c>
      <c r="Q47">
        <v>127.67</v>
      </c>
      <c r="R47">
        <v>0</v>
      </c>
      <c r="S47">
        <v>1</v>
      </c>
      <c r="T47">
        <v>1</v>
      </c>
      <c r="U47">
        <v>1.7137</v>
      </c>
      <c r="V47">
        <v>-55.342399999999998</v>
      </c>
      <c r="W47">
        <v>-32.29</v>
      </c>
      <c r="X47">
        <v>12</v>
      </c>
      <c r="Y47" s="9" t="s">
        <v>468</v>
      </c>
      <c r="Z47">
        <v>4.5</v>
      </c>
      <c r="AA47">
        <v>207</v>
      </c>
      <c r="AB47">
        <v>0</v>
      </c>
      <c r="AC47" s="9" t="s">
        <v>514</v>
      </c>
    </row>
    <row r="48" spans="1:29" x14ac:dyDescent="0.35">
      <c r="A48">
        <v>47</v>
      </c>
      <c r="B48">
        <v>329</v>
      </c>
      <c r="C48" s="9" t="s">
        <v>145</v>
      </c>
      <c r="D48" s="9" t="s">
        <v>64</v>
      </c>
      <c r="E48" s="9" t="s">
        <v>65</v>
      </c>
      <c r="F48" s="9" t="s">
        <v>47</v>
      </c>
      <c r="G48" s="9" t="s">
        <v>93</v>
      </c>
      <c r="H48" s="9" t="s">
        <v>89</v>
      </c>
      <c r="I48" s="9" t="s">
        <v>90</v>
      </c>
      <c r="J48">
        <v>3</v>
      </c>
      <c r="K48" s="6"/>
      <c r="L48">
        <v>137.91659999999999</v>
      </c>
      <c r="M48">
        <v>255.3424</v>
      </c>
      <c r="N48">
        <v>200</v>
      </c>
      <c r="O48">
        <v>200</v>
      </c>
      <c r="P48">
        <v>68.959999999999994</v>
      </c>
      <c r="Q48">
        <v>127.67</v>
      </c>
      <c r="R48">
        <v>0</v>
      </c>
      <c r="S48">
        <v>1</v>
      </c>
      <c r="T48">
        <v>1</v>
      </c>
      <c r="U48">
        <v>1.7137</v>
      </c>
      <c r="V48">
        <v>-55.342399999999998</v>
      </c>
      <c r="W48">
        <v>-32.29</v>
      </c>
      <c r="X48">
        <v>12</v>
      </c>
      <c r="Y48" s="9" t="s">
        <v>468</v>
      </c>
      <c r="Z48">
        <v>4.5</v>
      </c>
      <c r="AA48">
        <v>211.5</v>
      </c>
      <c r="AB48">
        <v>0</v>
      </c>
      <c r="AC48" s="9" t="s">
        <v>515</v>
      </c>
    </row>
    <row r="49" spans="1:29" x14ac:dyDescent="0.35">
      <c r="A49">
        <v>48</v>
      </c>
      <c r="B49">
        <v>7</v>
      </c>
      <c r="C49" s="9" t="s">
        <v>137</v>
      </c>
      <c r="D49" s="9" t="s">
        <v>53</v>
      </c>
      <c r="E49" s="9" t="s">
        <v>54</v>
      </c>
      <c r="F49" s="9" t="s">
        <v>47</v>
      </c>
      <c r="G49" s="9" t="s">
        <v>99</v>
      </c>
      <c r="H49" s="9" t="s">
        <v>57</v>
      </c>
      <c r="I49" s="9" t="s">
        <v>58</v>
      </c>
      <c r="J49">
        <v>1</v>
      </c>
      <c r="K49" s="6"/>
      <c r="L49">
        <v>78.466800000000006</v>
      </c>
      <c r="M49">
        <v>161.87880000000001</v>
      </c>
      <c r="N49">
        <v>120</v>
      </c>
      <c r="O49">
        <v>120</v>
      </c>
      <c r="P49">
        <v>65.39</v>
      </c>
      <c r="Q49">
        <v>134.9</v>
      </c>
      <c r="R49">
        <v>0</v>
      </c>
      <c r="S49">
        <v>1</v>
      </c>
      <c r="T49">
        <v>1</v>
      </c>
      <c r="U49">
        <v>2.0638000000000001</v>
      </c>
      <c r="V49">
        <v>-41.878799999999998</v>
      </c>
      <c r="W49">
        <v>-20.29</v>
      </c>
      <c r="X49">
        <v>8</v>
      </c>
      <c r="Y49" s="9" t="s">
        <v>468</v>
      </c>
      <c r="Z49">
        <v>4.5</v>
      </c>
      <c r="AA49">
        <v>216</v>
      </c>
      <c r="AB49">
        <v>0</v>
      </c>
      <c r="AC49" s="9" t="s">
        <v>516</v>
      </c>
    </row>
    <row r="50" spans="1:29" x14ac:dyDescent="0.35">
      <c r="A50">
        <v>49</v>
      </c>
      <c r="B50">
        <v>683</v>
      </c>
      <c r="C50" s="9" t="s">
        <v>146</v>
      </c>
      <c r="D50" s="9" t="s">
        <v>45</v>
      </c>
      <c r="E50" s="9" t="s">
        <v>46</v>
      </c>
      <c r="F50" s="9" t="s">
        <v>47</v>
      </c>
      <c r="G50" s="9" t="s">
        <v>81</v>
      </c>
      <c r="H50" s="9" t="s">
        <v>57</v>
      </c>
      <c r="I50" s="9" t="s">
        <v>58</v>
      </c>
      <c r="J50">
        <v>2</v>
      </c>
      <c r="K50" s="6"/>
      <c r="L50">
        <v>95.316699999999997</v>
      </c>
      <c r="M50">
        <v>191.02690000000001</v>
      </c>
      <c r="N50">
        <v>150</v>
      </c>
      <c r="O50">
        <v>150</v>
      </c>
      <c r="P50">
        <v>63.54</v>
      </c>
      <c r="Q50">
        <v>127.35</v>
      </c>
      <c r="R50">
        <v>0</v>
      </c>
      <c r="S50">
        <v>1</v>
      </c>
      <c r="T50">
        <v>1</v>
      </c>
      <c r="U50">
        <v>1.8671</v>
      </c>
      <c r="V50">
        <v>-41.026899999999998</v>
      </c>
      <c r="W50">
        <v>-21.97</v>
      </c>
      <c r="X50">
        <v>18</v>
      </c>
      <c r="Y50" s="9" t="s">
        <v>468</v>
      </c>
      <c r="Z50">
        <v>4.5</v>
      </c>
      <c r="AA50">
        <v>220.5</v>
      </c>
      <c r="AB50">
        <v>0</v>
      </c>
      <c r="AC50" s="9" t="s">
        <v>517</v>
      </c>
    </row>
    <row r="51" spans="1:29" x14ac:dyDescent="0.35">
      <c r="A51">
        <v>50</v>
      </c>
      <c r="B51">
        <v>554</v>
      </c>
      <c r="C51" s="9" t="s">
        <v>148</v>
      </c>
      <c r="D51" s="9" t="s">
        <v>45</v>
      </c>
      <c r="E51" s="9" t="s">
        <v>46</v>
      </c>
      <c r="F51" s="9" t="s">
        <v>47</v>
      </c>
      <c r="G51" s="9" t="s">
        <v>97</v>
      </c>
      <c r="H51" s="9" t="s">
        <v>50</v>
      </c>
      <c r="I51" s="9" t="s">
        <v>51</v>
      </c>
      <c r="J51">
        <v>3</v>
      </c>
      <c r="K51" s="6"/>
      <c r="L51">
        <v>87.1999</v>
      </c>
      <c r="M51">
        <v>189.07560000000001</v>
      </c>
      <c r="N51">
        <v>150</v>
      </c>
      <c r="O51">
        <v>150</v>
      </c>
      <c r="P51">
        <v>58.13</v>
      </c>
      <c r="Q51">
        <v>126.05</v>
      </c>
      <c r="R51">
        <v>0</v>
      </c>
      <c r="S51">
        <v>1</v>
      </c>
      <c r="T51">
        <v>1</v>
      </c>
      <c r="U51">
        <v>2.1760999999999999</v>
      </c>
      <c r="V51">
        <v>-39.075600000000001</v>
      </c>
      <c r="W51">
        <v>-17.96</v>
      </c>
      <c r="X51">
        <v>18</v>
      </c>
      <c r="Y51" s="9" t="s">
        <v>468</v>
      </c>
      <c r="Z51">
        <v>4.5</v>
      </c>
      <c r="AA51">
        <v>225</v>
      </c>
      <c r="AB51">
        <v>0</v>
      </c>
      <c r="AC51" s="9" t="s">
        <v>518</v>
      </c>
    </row>
    <row r="52" spans="1:29" x14ac:dyDescent="0.35">
      <c r="A52">
        <v>51</v>
      </c>
      <c r="B52">
        <v>1141</v>
      </c>
      <c r="C52" s="9" t="s">
        <v>156</v>
      </c>
      <c r="D52" s="9" t="s">
        <v>64</v>
      </c>
      <c r="E52" s="9" t="s">
        <v>65</v>
      </c>
      <c r="F52" s="9" t="s">
        <v>47</v>
      </c>
      <c r="G52" s="9" t="s">
        <v>153</v>
      </c>
      <c r="H52" s="9" t="s">
        <v>154</v>
      </c>
      <c r="I52" s="9" t="s">
        <v>155</v>
      </c>
      <c r="J52">
        <v>3</v>
      </c>
      <c r="K52" s="6"/>
      <c r="L52">
        <v>195.4</v>
      </c>
      <c r="M52">
        <v>237.79069999999999</v>
      </c>
      <c r="N52">
        <v>200</v>
      </c>
      <c r="O52">
        <v>200</v>
      </c>
      <c r="P52">
        <v>97.7</v>
      </c>
      <c r="Q52">
        <v>118.9</v>
      </c>
      <c r="R52">
        <v>0</v>
      </c>
      <c r="S52">
        <v>1</v>
      </c>
      <c r="T52">
        <v>1</v>
      </c>
      <c r="U52">
        <v>1.2827</v>
      </c>
      <c r="V52">
        <v>-37.790700000000001</v>
      </c>
      <c r="W52">
        <v>-29.46</v>
      </c>
      <c r="X52">
        <v>12</v>
      </c>
      <c r="Y52" s="9" t="s">
        <v>468</v>
      </c>
      <c r="Z52">
        <v>4.5</v>
      </c>
      <c r="AA52">
        <v>229.5</v>
      </c>
      <c r="AB52">
        <v>0</v>
      </c>
      <c r="AC52" s="9" t="s">
        <v>519</v>
      </c>
    </row>
    <row r="53" spans="1:29" x14ac:dyDescent="0.35">
      <c r="A53">
        <v>52</v>
      </c>
      <c r="B53">
        <v>1144</v>
      </c>
      <c r="C53" s="9" t="s">
        <v>157</v>
      </c>
      <c r="D53" s="9" t="s">
        <v>64</v>
      </c>
      <c r="E53" s="9" t="s">
        <v>65</v>
      </c>
      <c r="F53" s="9" t="s">
        <v>47</v>
      </c>
      <c r="G53" s="9" t="s">
        <v>153</v>
      </c>
      <c r="H53" s="9" t="s">
        <v>154</v>
      </c>
      <c r="I53" s="9" t="s">
        <v>155</v>
      </c>
      <c r="J53">
        <v>4</v>
      </c>
      <c r="K53" s="6"/>
      <c r="L53">
        <v>195.4</v>
      </c>
      <c r="M53">
        <v>237.79069999999999</v>
      </c>
      <c r="N53">
        <v>200</v>
      </c>
      <c r="O53">
        <v>200</v>
      </c>
      <c r="P53">
        <v>97.7</v>
      </c>
      <c r="Q53">
        <v>118.9</v>
      </c>
      <c r="R53">
        <v>0</v>
      </c>
      <c r="S53">
        <v>1</v>
      </c>
      <c r="T53">
        <v>1</v>
      </c>
      <c r="U53">
        <v>1.2827</v>
      </c>
      <c r="V53">
        <v>-37.790700000000001</v>
      </c>
      <c r="W53">
        <v>-29.46</v>
      </c>
      <c r="X53">
        <v>12</v>
      </c>
      <c r="Y53" s="9" t="s">
        <v>468</v>
      </c>
      <c r="Z53">
        <v>4.5</v>
      </c>
      <c r="AA53">
        <v>234</v>
      </c>
      <c r="AB53">
        <v>0</v>
      </c>
      <c r="AC53" s="9" t="s">
        <v>520</v>
      </c>
    </row>
    <row r="54" spans="1:29" x14ac:dyDescent="0.35">
      <c r="A54">
        <v>53</v>
      </c>
      <c r="B54">
        <v>1486</v>
      </c>
      <c r="C54" s="9" t="s">
        <v>158</v>
      </c>
      <c r="D54" s="9" t="s">
        <v>64</v>
      </c>
      <c r="E54" s="9" t="s">
        <v>65</v>
      </c>
      <c r="F54" s="9" t="s">
        <v>47</v>
      </c>
      <c r="G54" s="9" t="s">
        <v>67</v>
      </c>
      <c r="H54" s="9" t="s">
        <v>57</v>
      </c>
      <c r="I54" s="9" t="s">
        <v>58</v>
      </c>
      <c r="J54">
        <v>4</v>
      </c>
      <c r="K54" s="6"/>
      <c r="L54">
        <v>115.15</v>
      </c>
      <c r="M54">
        <v>236.32929999999999</v>
      </c>
      <c r="N54">
        <v>200</v>
      </c>
      <c r="O54">
        <v>200</v>
      </c>
      <c r="P54">
        <v>57.58</v>
      </c>
      <c r="Q54">
        <v>118.16</v>
      </c>
      <c r="R54">
        <v>0</v>
      </c>
      <c r="S54">
        <v>1</v>
      </c>
      <c r="T54">
        <v>1</v>
      </c>
      <c r="U54">
        <v>1.9626999999999999</v>
      </c>
      <c r="V54">
        <v>-36.329300000000003</v>
      </c>
      <c r="W54">
        <v>-18.510000000000002</v>
      </c>
      <c r="X54">
        <v>12</v>
      </c>
      <c r="Y54" s="9" t="s">
        <v>468</v>
      </c>
      <c r="Z54">
        <v>4.5</v>
      </c>
      <c r="AA54">
        <v>238.5</v>
      </c>
      <c r="AB54">
        <v>0</v>
      </c>
      <c r="AC54" s="9" t="s">
        <v>521</v>
      </c>
    </row>
    <row r="55" spans="1:29" x14ac:dyDescent="0.35">
      <c r="A55">
        <v>54</v>
      </c>
      <c r="B55">
        <v>1307</v>
      </c>
      <c r="C55" s="9" t="s">
        <v>159</v>
      </c>
      <c r="D55" s="9" t="s">
        <v>64</v>
      </c>
      <c r="E55" s="9" t="s">
        <v>65</v>
      </c>
      <c r="F55" s="9" t="s">
        <v>47</v>
      </c>
      <c r="G55" s="9" t="s">
        <v>112</v>
      </c>
      <c r="H55" s="9" t="s">
        <v>89</v>
      </c>
      <c r="I55" s="9" t="s">
        <v>90</v>
      </c>
      <c r="J55">
        <v>4</v>
      </c>
      <c r="K55" s="6"/>
      <c r="L55">
        <v>126.0338</v>
      </c>
      <c r="M55">
        <v>235.99180000000001</v>
      </c>
      <c r="N55">
        <v>200</v>
      </c>
      <c r="O55">
        <v>200</v>
      </c>
      <c r="P55">
        <v>63.02</v>
      </c>
      <c r="Q55">
        <v>118</v>
      </c>
      <c r="R55">
        <v>0</v>
      </c>
      <c r="S55">
        <v>1</v>
      </c>
      <c r="T55">
        <v>1</v>
      </c>
      <c r="U55">
        <v>1.9300999999999999</v>
      </c>
      <c r="V55">
        <v>-35.991799999999998</v>
      </c>
      <c r="W55">
        <v>-18.649999999999999</v>
      </c>
      <c r="X55">
        <v>12</v>
      </c>
      <c r="Y55" s="9" t="s">
        <v>468</v>
      </c>
      <c r="Z55">
        <v>4.5</v>
      </c>
      <c r="AA55">
        <v>243</v>
      </c>
      <c r="AB55">
        <v>0</v>
      </c>
      <c r="AC55" s="9" t="s">
        <v>522</v>
      </c>
    </row>
    <row r="56" spans="1:29" x14ac:dyDescent="0.35">
      <c r="A56">
        <v>55</v>
      </c>
      <c r="B56">
        <v>679</v>
      </c>
      <c r="C56" s="9" t="s">
        <v>150</v>
      </c>
      <c r="D56" s="9" t="s">
        <v>45</v>
      </c>
      <c r="E56" s="9" t="s">
        <v>46</v>
      </c>
      <c r="F56" s="9" t="s">
        <v>47</v>
      </c>
      <c r="G56" s="9" t="s">
        <v>81</v>
      </c>
      <c r="H56" s="9" t="s">
        <v>57</v>
      </c>
      <c r="I56" s="9" t="s">
        <v>58</v>
      </c>
      <c r="J56">
        <v>1</v>
      </c>
      <c r="K56" s="6"/>
      <c r="L56">
        <v>92.416700000000006</v>
      </c>
      <c r="M56">
        <v>185.43819999999999</v>
      </c>
      <c r="N56">
        <v>150</v>
      </c>
      <c r="O56">
        <v>150</v>
      </c>
      <c r="P56">
        <v>61.61</v>
      </c>
      <c r="Q56">
        <v>123.63</v>
      </c>
      <c r="R56">
        <v>0</v>
      </c>
      <c r="S56">
        <v>1</v>
      </c>
      <c r="T56">
        <v>1</v>
      </c>
      <c r="U56">
        <v>1.8671</v>
      </c>
      <c r="V56">
        <v>-35.438200000000002</v>
      </c>
      <c r="W56">
        <v>-18.98</v>
      </c>
      <c r="X56">
        <v>18</v>
      </c>
      <c r="Y56" s="9" t="s">
        <v>468</v>
      </c>
      <c r="Z56">
        <v>4.5</v>
      </c>
      <c r="AA56">
        <v>247.5</v>
      </c>
      <c r="AB56">
        <v>0</v>
      </c>
      <c r="AC56" s="9" t="s">
        <v>523</v>
      </c>
    </row>
    <row r="57" spans="1:29" x14ac:dyDescent="0.35">
      <c r="A57">
        <v>56</v>
      </c>
      <c r="B57">
        <v>1086</v>
      </c>
      <c r="C57" s="9" t="s">
        <v>160</v>
      </c>
      <c r="D57" s="9" t="s">
        <v>64</v>
      </c>
      <c r="E57" s="9" t="s">
        <v>65</v>
      </c>
      <c r="F57" s="9" t="s">
        <v>47</v>
      </c>
      <c r="G57" s="9" t="s">
        <v>161</v>
      </c>
      <c r="H57" s="9" t="s">
        <v>154</v>
      </c>
      <c r="I57" s="9" t="s">
        <v>155</v>
      </c>
      <c r="J57">
        <v>1</v>
      </c>
      <c r="K57" s="6"/>
      <c r="L57">
        <v>190.43360000000001</v>
      </c>
      <c r="M57">
        <v>234.8751</v>
      </c>
      <c r="N57">
        <v>200</v>
      </c>
      <c r="O57">
        <v>200</v>
      </c>
      <c r="P57">
        <v>95.22</v>
      </c>
      <c r="Q57">
        <v>117.44</v>
      </c>
      <c r="R57">
        <v>0</v>
      </c>
      <c r="S57">
        <v>1</v>
      </c>
      <c r="T57">
        <v>1</v>
      </c>
      <c r="U57">
        <v>1.2703</v>
      </c>
      <c r="V57">
        <v>-34.875100000000003</v>
      </c>
      <c r="W57">
        <v>-27.45</v>
      </c>
      <c r="X57">
        <v>12</v>
      </c>
      <c r="Y57" s="9" t="s">
        <v>468</v>
      </c>
      <c r="Z57">
        <v>4.5</v>
      </c>
      <c r="AA57">
        <v>252</v>
      </c>
      <c r="AB57">
        <v>0</v>
      </c>
      <c r="AC57" s="9" t="s">
        <v>524</v>
      </c>
    </row>
    <row r="58" spans="1:29" x14ac:dyDescent="0.35">
      <c r="A58">
        <v>57</v>
      </c>
      <c r="B58">
        <v>876</v>
      </c>
      <c r="C58" s="9" t="s">
        <v>163</v>
      </c>
      <c r="D58" s="9" t="s">
        <v>64</v>
      </c>
      <c r="E58" s="9" t="s">
        <v>65</v>
      </c>
      <c r="F58" s="9" t="s">
        <v>47</v>
      </c>
      <c r="G58" s="9" t="s">
        <v>77</v>
      </c>
      <c r="H58" s="9" t="s">
        <v>50</v>
      </c>
      <c r="I58" s="9" t="s">
        <v>51</v>
      </c>
      <c r="J58">
        <v>2</v>
      </c>
      <c r="K58" s="6"/>
      <c r="L58">
        <v>108.5671</v>
      </c>
      <c r="M58">
        <v>233.24590000000001</v>
      </c>
      <c r="N58">
        <v>200</v>
      </c>
      <c r="O58">
        <v>200</v>
      </c>
      <c r="P58">
        <v>54.28</v>
      </c>
      <c r="Q58">
        <v>116.62</v>
      </c>
      <c r="R58">
        <v>0</v>
      </c>
      <c r="S58">
        <v>1</v>
      </c>
      <c r="T58">
        <v>1</v>
      </c>
      <c r="U58">
        <v>2.1968999999999999</v>
      </c>
      <c r="V58">
        <v>-33.245899999999999</v>
      </c>
      <c r="W58">
        <v>-15.13</v>
      </c>
      <c r="X58">
        <v>12</v>
      </c>
      <c r="Y58" s="9" t="s">
        <v>468</v>
      </c>
      <c r="Z58">
        <v>4.5</v>
      </c>
      <c r="AA58">
        <v>256.5</v>
      </c>
      <c r="AB58">
        <v>0</v>
      </c>
      <c r="AC58" s="9" t="s">
        <v>525</v>
      </c>
    </row>
    <row r="59" spans="1:29" x14ac:dyDescent="0.35">
      <c r="A59">
        <v>58</v>
      </c>
      <c r="B59">
        <v>62</v>
      </c>
      <c r="C59" s="9" t="s">
        <v>147</v>
      </c>
      <c r="D59" s="9" t="s">
        <v>53</v>
      </c>
      <c r="E59" s="9" t="s">
        <v>54</v>
      </c>
      <c r="F59" s="9" t="s">
        <v>47</v>
      </c>
      <c r="G59" s="9" t="s">
        <v>62</v>
      </c>
      <c r="H59" s="9" t="s">
        <v>50</v>
      </c>
      <c r="I59" s="9" t="s">
        <v>51</v>
      </c>
      <c r="J59">
        <v>1</v>
      </c>
      <c r="K59" s="6"/>
      <c r="L59">
        <v>67.433199999999999</v>
      </c>
      <c r="M59">
        <v>151.3844</v>
      </c>
      <c r="N59">
        <v>120</v>
      </c>
      <c r="O59">
        <v>120</v>
      </c>
      <c r="P59">
        <v>56.19</v>
      </c>
      <c r="Q59">
        <v>126.15</v>
      </c>
      <c r="R59">
        <v>0</v>
      </c>
      <c r="S59">
        <v>1</v>
      </c>
      <c r="T59">
        <v>1</v>
      </c>
      <c r="U59">
        <v>2.2806999999999999</v>
      </c>
      <c r="V59">
        <v>-31.384399999999999</v>
      </c>
      <c r="W59">
        <v>-13.76</v>
      </c>
      <c r="X59">
        <v>8</v>
      </c>
      <c r="Y59" s="9" t="s">
        <v>468</v>
      </c>
      <c r="Z59">
        <v>4.5</v>
      </c>
      <c r="AA59">
        <v>261</v>
      </c>
      <c r="AB59">
        <v>0</v>
      </c>
      <c r="AC59" s="9" t="s">
        <v>526</v>
      </c>
    </row>
    <row r="60" spans="1:29" x14ac:dyDescent="0.35">
      <c r="A60">
        <v>59</v>
      </c>
      <c r="B60">
        <v>1342</v>
      </c>
      <c r="C60" s="9" t="s">
        <v>168</v>
      </c>
      <c r="D60" s="9" t="s">
        <v>64</v>
      </c>
      <c r="E60" s="9" t="s">
        <v>65</v>
      </c>
      <c r="F60" s="9" t="s">
        <v>47</v>
      </c>
      <c r="G60" s="9" t="s">
        <v>72</v>
      </c>
      <c r="H60" s="9" t="s">
        <v>50</v>
      </c>
      <c r="I60" s="9" t="s">
        <v>51</v>
      </c>
      <c r="J60">
        <v>1</v>
      </c>
      <c r="K60" s="6"/>
      <c r="L60">
        <v>112.78319999999999</v>
      </c>
      <c r="M60">
        <v>229.46109999999999</v>
      </c>
      <c r="N60">
        <v>200</v>
      </c>
      <c r="O60">
        <v>200</v>
      </c>
      <c r="P60">
        <v>56.39</v>
      </c>
      <c r="Q60">
        <v>114.73</v>
      </c>
      <c r="R60">
        <v>0</v>
      </c>
      <c r="S60">
        <v>1</v>
      </c>
      <c r="T60">
        <v>1</v>
      </c>
      <c r="U60">
        <v>1.9079999999999999</v>
      </c>
      <c r="V60">
        <v>-29.461099999999998</v>
      </c>
      <c r="W60">
        <v>-15.44</v>
      </c>
      <c r="X60">
        <v>12</v>
      </c>
      <c r="Y60" s="9" t="s">
        <v>468</v>
      </c>
      <c r="Z60">
        <v>4.5</v>
      </c>
      <c r="AA60">
        <v>265.5</v>
      </c>
      <c r="AB60">
        <v>0</v>
      </c>
      <c r="AC60" s="9" t="s">
        <v>527</v>
      </c>
    </row>
    <row r="61" spans="1:29" x14ac:dyDescent="0.35">
      <c r="A61">
        <v>60</v>
      </c>
      <c r="B61">
        <v>891</v>
      </c>
      <c r="C61" s="9" t="s">
        <v>162</v>
      </c>
      <c r="D61" s="9" t="s">
        <v>45</v>
      </c>
      <c r="E61" s="9" t="s">
        <v>46</v>
      </c>
      <c r="F61" s="9" t="s">
        <v>47</v>
      </c>
      <c r="G61" s="9" t="s">
        <v>77</v>
      </c>
      <c r="H61" s="9" t="s">
        <v>50</v>
      </c>
      <c r="I61" s="9" t="s">
        <v>51</v>
      </c>
      <c r="J61">
        <v>1</v>
      </c>
      <c r="K61" s="6"/>
      <c r="L61">
        <v>80.050200000000004</v>
      </c>
      <c r="M61">
        <v>175.29859999999999</v>
      </c>
      <c r="N61">
        <v>150</v>
      </c>
      <c r="O61">
        <v>150</v>
      </c>
      <c r="P61">
        <v>53.37</v>
      </c>
      <c r="Q61">
        <v>116.87</v>
      </c>
      <c r="R61">
        <v>0</v>
      </c>
      <c r="S61">
        <v>1</v>
      </c>
      <c r="T61">
        <v>1</v>
      </c>
      <c r="U61">
        <v>2.1968999999999999</v>
      </c>
      <c r="V61">
        <v>-25.2986</v>
      </c>
      <c r="W61">
        <v>-11.52</v>
      </c>
      <c r="X61">
        <v>18</v>
      </c>
      <c r="Y61" s="9" t="s">
        <v>468</v>
      </c>
      <c r="Z61">
        <v>4.5</v>
      </c>
      <c r="AA61">
        <v>270</v>
      </c>
      <c r="AB61">
        <v>0</v>
      </c>
      <c r="AC61" s="9" t="s">
        <v>528</v>
      </c>
    </row>
    <row r="62" spans="1:29" x14ac:dyDescent="0.35">
      <c r="A62">
        <v>61</v>
      </c>
      <c r="B62">
        <v>1089</v>
      </c>
      <c r="C62" s="9" t="s">
        <v>174</v>
      </c>
      <c r="D62" s="9" t="s">
        <v>64</v>
      </c>
      <c r="E62" s="9" t="s">
        <v>65</v>
      </c>
      <c r="F62" s="9" t="s">
        <v>47</v>
      </c>
      <c r="G62" s="9" t="s">
        <v>161</v>
      </c>
      <c r="H62" s="9" t="s">
        <v>154</v>
      </c>
      <c r="I62" s="9" t="s">
        <v>155</v>
      </c>
      <c r="J62">
        <v>2</v>
      </c>
      <c r="K62" s="6"/>
      <c r="L62">
        <v>181.90029999999999</v>
      </c>
      <c r="M62">
        <v>224.58869999999999</v>
      </c>
      <c r="N62">
        <v>200</v>
      </c>
      <c r="O62">
        <v>200</v>
      </c>
      <c r="P62">
        <v>90.95</v>
      </c>
      <c r="Q62">
        <v>112.29</v>
      </c>
      <c r="R62">
        <v>0</v>
      </c>
      <c r="S62">
        <v>1</v>
      </c>
      <c r="T62">
        <v>1</v>
      </c>
      <c r="U62">
        <v>1.2703</v>
      </c>
      <c r="V62">
        <v>-24.588699999999999</v>
      </c>
      <c r="W62">
        <v>-19.36</v>
      </c>
      <c r="X62">
        <v>12</v>
      </c>
      <c r="Y62" s="9" t="s">
        <v>468</v>
      </c>
      <c r="Z62">
        <v>4.5</v>
      </c>
      <c r="AA62">
        <v>274.5</v>
      </c>
      <c r="AB62">
        <v>0</v>
      </c>
      <c r="AC62" s="9" t="s">
        <v>529</v>
      </c>
    </row>
    <row r="63" spans="1:29" x14ac:dyDescent="0.35">
      <c r="A63">
        <v>62</v>
      </c>
      <c r="B63">
        <v>1092</v>
      </c>
      <c r="C63" s="9" t="s">
        <v>175</v>
      </c>
      <c r="D63" s="9" t="s">
        <v>64</v>
      </c>
      <c r="E63" s="9" t="s">
        <v>65</v>
      </c>
      <c r="F63" s="9" t="s">
        <v>47</v>
      </c>
      <c r="G63" s="9" t="s">
        <v>161</v>
      </c>
      <c r="H63" s="9" t="s">
        <v>154</v>
      </c>
      <c r="I63" s="9" t="s">
        <v>155</v>
      </c>
      <c r="J63">
        <v>3</v>
      </c>
      <c r="K63" s="6"/>
      <c r="L63">
        <v>181.90029999999999</v>
      </c>
      <c r="M63">
        <v>224.58869999999999</v>
      </c>
      <c r="N63">
        <v>200</v>
      </c>
      <c r="O63">
        <v>200</v>
      </c>
      <c r="P63">
        <v>90.95</v>
      </c>
      <c r="Q63">
        <v>112.29</v>
      </c>
      <c r="R63">
        <v>0</v>
      </c>
      <c r="S63">
        <v>1</v>
      </c>
      <c r="T63">
        <v>1</v>
      </c>
      <c r="U63">
        <v>1.2703</v>
      </c>
      <c r="V63">
        <v>-24.588699999999999</v>
      </c>
      <c r="W63">
        <v>-19.36</v>
      </c>
      <c r="X63">
        <v>12</v>
      </c>
      <c r="Y63" s="9" t="s">
        <v>468</v>
      </c>
      <c r="Z63">
        <v>4.5</v>
      </c>
      <c r="AA63">
        <v>279</v>
      </c>
      <c r="AB63">
        <v>0</v>
      </c>
      <c r="AC63" s="9" t="s">
        <v>530</v>
      </c>
    </row>
    <row r="64" spans="1:29" x14ac:dyDescent="0.35">
      <c r="A64">
        <v>63</v>
      </c>
      <c r="B64">
        <v>1095</v>
      </c>
      <c r="C64" s="9" t="s">
        <v>176</v>
      </c>
      <c r="D64" s="9" t="s">
        <v>64</v>
      </c>
      <c r="E64" s="9" t="s">
        <v>65</v>
      </c>
      <c r="F64" s="9" t="s">
        <v>47</v>
      </c>
      <c r="G64" s="9" t="s">
        <v>161</v>
      </c>
      <c r="H64" s="9" t="s">
        <v>154</v>
      </c>
      <c r="I64" s="9" t="s">
        <v>155</v>
      </c>
      <c r="J64">
        <v>4</v>
      </c>
      <c r="K64" s="6"/>
      <c r="L64">
        <v>181.90029999999999</v>
      </c>
      <c r="M64">
        <v>224.58869999999999</v>
      </c>
      <c r="N64">
        <v>200</v>
      </c>
      <c r="O64">
        <v>200</v>
      </c>
      <c r="P64">
        <v>90.95</v>
      </c>
      <c r="Q64">
        <v>112.29</v>
      </c>
      <c r="R64">
        <v>0</v>
      </c>
      <c r="S64">
        <v>1</v>
      </c>
      <c r="T64">
        <v>1</v>
      </c>
      <c r="U64">
        <v>1.2703</v>
      </c>
      <c r="V64">
        <v>-24.588699999999999</v>
      </c>
      <c r="W64">
        <v>-19.36</v>
      </c>
      <c r="X64">
        <v>12</v>
      </c>
      <c r="Y64" s="9" t="s">
        <v>468</v>
      </c>
      <c r="Z64">
        <v>4.5</v>
      </c>
      <c r="AA64">
        <v>283.5</v>
      </c>
      <c r="AB64">
        <v>0</v>
      </c>
      <c r="AC64" s="9" t="s">
        <v>531</v>
      </c>
    </row>
    <row r="65" spans="1:29" x14ac:dyDescent="0.35">
      <c r="A65">
        <v>64</v>
      </c>
      <c r="B65">
        <v>1148</v>
      </c>
      <c r="C65" s="9" t="s">
        <v>165</v>
      </c>
      <c r="D65" s="9" t="s">
        <v>45</v>
      </c>
      <c r="E65" s="9" t="s">
        <v>46</v>
      </c>
      <c r="F65" s="9" t="s">
        <v>47</v>
      </c>
      <c r="G65" s="9" t="s">
        <v>153</v>
      </c>
      <c r="H65" s="9" t="s">
        <v>154</v>
      </c>
      <c r="I65" s="9" t="s">
        <v>155</v>
      </c>
      <c r="J65">
        <v>1</v>
      </c>
      <c r="K65" s="6"/>
      <c r="L65">
        <v>144.9</v>
      </c>
      <c r="M65">
        <v>173.6421</v>
      </c>
      <c r="N65">
        <v>150</v>
      </c>
      <c r="O65">
        <v>150</v>
      </c>
      <c r="P65">
        <v>96.6</v>
      </c>
      <c r="Q65">
        <v>115.76</v>
      </c>
      <c r="R65">
        <v>0</v>
      </c>
      <c r="S65">
        <v>1</v>
      </c>
      <c r="T65">
        <v>1</v>
      </c>
      <c r="U65">
        <v>1.2827</v>
      </c>
      <c r="V65">
        <v>-23.642099999999999</v>
      </c>
      <c r="W65">
        <v>-18.43</v>
      </c>
      <c r="X65">
        <v>18</v>
      </c>
      <c r="Y65" s="9" t="s">
        <v>468</v>
      </c>
      <c r="Z65">
        <v>4.5</v>
      </c>
      <c r="AA65">
        <v>288</v>
      </c>
      <c r="AB65">
        <v>0</v>
      </c>
      <c r="AC65" s="9" t="s">
        <v>532</v>
      </c>
    </row>
    <row r="66" spans="1:29" x14ac:dyDescent="0.35">
      <c r="A66">
        <v>65</v>
      </c>
      <c r="B66">
        <v>1162</v>
      </c>
      <c r="C66" s="9" t="s">
        <v>166</v>
      </c>
      <c r="D66" s="9" t="s">
        <v>45</v>
      </c>
      <c r="E66" s="9" t="s">
        <v>46</v>
      </c>
      <c r="F66" s="9" t="s">
        <v>47</v>
      </c>
      <c r="G66" s="9" t="s">
        <v>153</v>
      </c>
      <c r="H66" s="9" t="s">
        <v>154</v>
      </c>
      <c r="I66" s="9" t="s">
        <v>155</v>
      </c>
      <c r="J66">
        <v>4</v>
      </c>
      <c r="K66" s="6"/>
      <c r="L66">
        <v>144.9</v>
      </c>
      <c r="M66">
        <v>173.6421</v>
      </c>
      <c r="N66">
        <v>150</v>
      </c>
      <c r="O66">
        <v>150</v>
      </c>
      <c r="P66">
        <v>96.6</v>
      </c>
      <c r="Q66">
        <v>115.76</v>
      </c>
      <c r="R66">
        <v>0</v>
      </c>
      <c r="S66">
        <v>1</v>
      </c>
      <c r="T66">
        <v>1</v>
      </c>
      <c r="U66">
        <v>1.2827</v>
      </c>
      <c r="V66">
        <v>-23.642099999999999</v>
      </c>
      <c r="W66">
        <v>-18.43</v>
      </c>
      <c r="X66">
        <v>18</v>
      </c>
      <c r="Y66" s="9" t="s">
        <v>468</v>
      </c>
      <c r="Z66">
        <v>4.5</v>
      </c>
      <c r="AA66">
        <v>292.5</v>
      </c>
      <c r="AB66">
        <v>0</v>
      </c>
      <c r="AC66" s="9" t="s">
        <v>533</v>
      </c>
    </row>
    <row r="67" spans="1:29" x14ac:dyDescent="0.35">
      <c r="A67">
        <v>66</v>
      </c>
      <c r="B67">
        <v>746</v>
      </c>
      <c r="C67" s="9" t="s">
        <v>164</v>
      </c>
      <c r="D67" s="9" t="s">
        <v>45</v>
      </c>
      <c r="E67" s="9" t="s">
        <v>46</v>
      </c>
      <c r="F67" s="9" t="s">
        <v>47</v>
      </c>
      <c r="G67" s="9" t="s">
        <v>95</v>
      </c>
      <c r="H67" s="9" t="s">
        <v>57</v>
      </c>
      <c r="I67" s="9" t="s">
        <v>58</v>
      </c>
      <c r="J67">
        <v>3</v>
      </c>
      <c r="K67" s="6"/>
      <c r="L67">
        <v>89.533299999999997</v>
      </c>
      <c r="M67">
        <v>173.64179999999999</v>
      </c>
      <c r="N67">
        <v>150</v>
      </c>
      <c r="O67">
        <v>150</v>
      </c>
      <c r="P67">
        <v>59.69</v>
      </c>
      <c r="Q67">
        <v>115.76</v>
      </c>
      <c r="R67">
        <v>0</v>
      </c>
      <c r="S67">
        <v>1</v>
      </c>
      <c r="T67">
        <v>1</v>
      </c>
      <c r="U67">
        <v>1.9216</v>
      </c>
      <c r="V67">
        <v>-23.6418</v>
      </c>
      <c r="W67">
        <v>-12.3</v>
      </c>
      <c r="X67">
        <v>18</v>
      </c>
      <c r="Y67" s="9" t="s">
        <v>468</v>
      </c>
      <c r="Z67">
        <v>4.5</v>
      </c>
      <c r="AA67">
        <v>297</v>
      </c>
      <c r="AB67">
        <v>0</v>
      </c>
      <c r="AC67" s="9" t="s">
        <v>534</v>
      </c>
    </row>
    <row r="68" spans="1:29" x14ac:dyDescent="0.35">
      <c r="A68">
        <v>67</v>
      </c>
      <c r="B68">
        <v>1023</v>
      </c>
      <c r="C68" s="9" t="s">
        <v>169</v>
      </c>
      <c r="D68" s="9" t="s">
        <v>45</v>
      </c>
      <c r="E68" s="9" t="s">
        <v>46</v>
      </c>
      <c r="F68" s="9" t="s">
        <v>47</v>
      </c>
      <c r="G68" s="9" t="s">
        <v>60</v>
      </c>
      <c r="H68" s="9" t="s">
        <v>50</v>
      </c>
      <c r="I68" s="9" t="s">
        <v>51</v>
      </c>
      <c r="J68">
        <v>3</v>
      </c>
      <c r="K68" s="6"/>
      <c r="L68">
        <v>77.283100000000005</v>
      </c>
      <c r="M68">
        <v>171.96129999999999</v>
      </c>
      <c r="N68">
        <v>150</v>
      </c>
      <c r="O68">
        <v>150</v>
      </c>
      <c r="P68">
        <v>51.52</v>
      </c>
      <c r="Q68">
        <v>114.64</v>
      </c>
      <c r="R68">
        <v>0</v>
      </c>
      <c r="S68">
        <v>1</v>
      </c>
      <c r="T68">
        <v>1</v>
      </c>
      <c r="U68">
        <v>2.2582</v>
      </c>
      <c r="V68">
        <v>-21.961300000000001</v>
      </c>
      <c r="W68">
        <v>-9.73</v>
      </c>
      <c r="X68">
        <v>18</v>
      </c>
      <c r="Y68" s="9" t="s">
        <v>468</v>
      </c>
      <c r="Z68">
        <v>4.5</v>
      </c>
      <c r="AA68">
        <v>301.5</v>
      </c>
      <c r="AB68">
        <v>0</v>
      </c>
      <c r="AC68" s="9" t="s">
        <v>535</v>
      </c>
    </row>
    <row r="69" spans="1:29" x14ac:dyDescent="0.35">
      <c r="A69">
        <v>68</v>
      </c>
      <c r="B69">
        <v>1099</v>
      </c>
      <c r="C69" s="9" t="s">
        <v>170</v>
      </c>
      <c r="D69" s="9" t="s">
        <v>45</v>
      </c>
      <c r="E69" s="9" t="s">
        <v>46</v>
      </c>
      <c r="F69" s="9" t="s">
        <v>47</v>
      </c>
      <c r="G69" s="9" t="s">
        <v>161</v>
      </c>
      <c r="H69" s="9" t="s">
        <v>154</v>
      </c>
      <c r="I69" s="9" t="s">
        <v>155</v>
      </c>
      <c r="J69">
        <v>1</v>
      </c>
      <c r="K69" s="6"/>
      <c r="L69">
        <v>138.917</v>
      </c>
      <c r="M69">
        <v>171.92009999999999</v>
      </c>
      <c r="N69">
        <v>150</v>
      </c>
      <c r="O69">
        <v>150</v>
      </c>
      <c r="P69">
        <v>92.61</v>
      </c>
      <c r="Q69">
        <v>114.61</v>
      </c>
      <c r="R69">
        <v>0</v>
      </c>
      <c r="S69">
        <v>1</v>
      </c>
      <c r="T69">
        <v>1</v>
      </c>
      <c r="U69">
        <v>1.2703</v>
      </c>
      <c r="V69">
        <v>-21.920100000000001</v>
      </c>
      <c r="W69">
        <v>-17.260000000000002</v>
      </c>
      <c r="X69">
        <v>18</v>
      </c>
      <c r="Y69" s="9" t="s">
        <v>468</v>
      </c>
      <c r="Z69">
        <v>4.5</v>
      </c>
      <c r="AA69">
        <v>306</v>
      </c>
      <c r="AB69">
        <v>0</v>
      </c>
      <c r="AC69" s="9" t="s">
        <v>536</v>
      </c>
    </row>
    <row r="70" spans="1:29" x14ac:dyDescent="0.35">
      <c r="A70">
        <v>69</v>
      </c>
      <c r="B70">
        <v>881</v>
      </c>
      <c r="C70" s="9" t="s">
        <v>182</v>
      </c>
      <c r="D70" s="9" t="s">
        <v>64</v>
      </c>
      <c r="E70" s="9" t="s">
        <v>65</v>
      </c>
      <c r="F70" s="9" t="s">
        <v>47</v>
      </c>
      <c r="G70" s="9" t="s">
        <v>77</v>
      </c>
      <c r="H70" s="9" t="s">
        <v>50</v>
      </c>
      <c r="I70" s="9" t="s">
        <v>51</v>
      </c>
      <c r="J70">
        <v>3</v>
      </c>
      <c r="K70" s="6"/>
      <c r="L70">
        <v>100.917</v>
      </c>
      <c r="M70">
        <v>218.5197</v>
      </c>
      <c r="N70">
        <v>200</v>
      </c>
      <c r="O70">
        <v>200</v>
      </c>
      <c r="P70">
        <v>50.46</v>
      </c>
      <c r="Q70">
        <v>109.26</v>
      </c>
      <c r="R70">
        <v>0</v>
      </c>
      <c r="S70">
        <v>1</v>
      </c>
      <c r="T70">
        <v>1</v>
      </c>
      <c r="U70">
        <v>2.1968999999999999</v>
      </c>
      <c r="V70">
        <v>-18.5197</v>
      </c>
      <c r="W70">
        <v>-8.43</v>
      </c>
      <c r="X70">
        <v>12</v>
      </c>
      <c r="Y70" s="9" t="s">
        <v>468</v>
      </c>
      <c r="Z70">
        <v>4.5</v>
      </c>
      <c r="AA70">
        <v>310.5</v>
      </c>
      <c r="AB70">
        <v>0</v>
      </c>
      <c r="AC70" s="9" t="s">
        <v>537</v>
      </c>
    </row>
    <row r="71" spans="1:29" x14ac:dyDescent="0.35">
      <c r="A71">
        <v>70</v>
      </c>
      <c r="B71">
        <v>1119</v>
      </c>
      <c r="C71" s="9" t="s">
        <v>167</v>
      </c>
      <c r="D71" s="9" t="s">
        <v>53</v>
      </c>
      <c r="E71" s="9" t="s">
        <v>54</v>
      </c>
      <c r="F71" s="9" t="s">
        <v>47</v>
      </c>
      <c r="G71" s="9" t="s">
        <v>153</v>
      </c>
      <c r="H71" s="9" t="s">
        <v>154</v>
      </c>
      <c r="I71" s="9" t="s">
        <v>155</v>
      </c>
      <c r="J71">
        <v>1</v>
      </c>
      <c r="K71" s="6"/>
      <c r="L71">
        <v>113.8331</v>
      </c>
      <c r="M71">
        <v>138.49209999999999</v>
      </c>
      <c r="N71">
        <v>120</v>
      </c>
      <c r="O71">
        <v>120</v>
      </c>
      <c r="P71">
        <v>94.86</v>
      </c>
      <c r="Q71">
        <v>115.41</v>
      </c>
      <c r="R71">
        <v>0</v>
      </c>
      <c r="S71">
        <v>1</v>
      </c>
      <c r="T71">
        <v>1</v>
      </c>
      <c r="U71">
        <v>1.2827</v>
      </c>
      <c r="V71">
        <v>-18.492100000000001</v>
      </c>
      <c r="W71">
        <v>-14.42</v>
      </c>
      <c r="X71">
        <v>8</v>
      </c>
      <c r="Y71" s="9" t="s">
        <v>468</v>
      </c>
      <c r="Z71">
        <v>4.5</v>
      </c>
      <c r="AA71">
        <v>315</v>
      </c>
      <c r="AB71">
        <v>0</v>
      </c>
      <c r="AC71" s="9" t="s">
        <v>538</v>
      </c>
    </row>
    <row r="72" spans="1:29" x14ac:dyDescent="0.35">
      <c r="A72">
        <v>71</v>
      </c>
      <c r="B72">
        <v>1383</v>
      </c>
      <c r="C72" s="9" t="s">
        <v>173</v>
      </c>
      <c r="D72" s="9" t="s">
        <v>53</v>
      </c>
      <c r="E72" s="9" t="s">
        <v>54</v>
      </c>
      <c r="F72" s="9" t="s">
        <v>47</v>
      </c>
      <c r="G72" s="9" t="s">
        <v>125</v>
      </c>
      <c r="H72" s="9" t="s">
        <v>89</v>
      </c>
      <c r="I72" s="9" t="s">
        <v>90</v>
      </c>
      <c r="J72">
        <v>2</v>
      </c>
      <c r="K72" s="6"/>
      <c r="L72">
        <v>73.966700000000003</v>
      </c>
      <c r="M72">
        <v>135.16540000000001</v>
      </c>
      <c r="N72">
        <v>120</v>
      </c>
      <c r="O72">
        <v>120</v>
      </c>
      <c r="P72">
        <v>61.64</v>
      </c>
      <c r="Q72">
        <v>112.64</v>
      </c>
      <c r="R72">
        <v>0</v>
      </c>
      <c r="S72">
        <v>1</v>
      </c>
      <c r="T72">
        <v>1</v>
      </c>
      <c r="U72">
        <v>1.7297</v>
      </c>
      <c r="V72">
        <v>-15.1654</v>
      </c>
      <c r="W72">
        <v>-8.77</v>
      </c>
      <c r="X72">
        <v>8</v>
      </c>
      <c r="Y72" s="9" t="s">
        <v>468</v>
      </c>
      <c r="Z72">
        <v>4.5</v>
      </c>
      <c r="AA72">
        <v>319.5</v>
      </c>
      <c r="AB72">
        <v>0</v>
      </c>
      <c r="AC72" s="9" t="s">
        <v>539</v>
      </c>
    </row>
    <row r="73" spans="1:29" x14ac:dyDescent="0.35">
      <c r="A73">
        <v>72</v>
      </c>
      <c r="B73">
        <v>726</v>
      </c>
      <c r="C73" s="9" t="s">
        <v>187</v>
      </c>
      <c r="D73" s="9" t="s">
        <v>64</v>
      </c>
      <c r="E73" s="9" t="s">
        <v>65</v>
      </c>
      <c r="F73" s="9" t="s">
        <v>47</v>
      </c>
      <c r="G73" s="9" t="s">
        <v>95</v>
      </c>
      <c r="H73" s="9" t="s">
        <v>57</v>
      </c>
      <c r="I73" s="9" t="s">
        <v>58</v>
      </c>
      <c r="J73">
        <v>3</v>
      </c>
      <c r="K73" s="6"/>
      <c r="L73">
        <v>108.38339999999999</v>
      </c>
      <c r="M73">
        <v>214.71379999999999</v>
      </c>
      <c r="N73">
        <v>200</v>
      </c>
      <c r="O73">
        <v>200</v>
      </c>
      <c r="P73">
        <v>54.19</v>
      </c>
      <c r="Q73">
        <v>107.36</v>
      </c>
      <c r="R73">
        <v>0</v>
      </c>
      <c r="S73">
        <v>1</v>
      </c>
      <c r="T73">
        <v>1</v>
      </c>
      <c r="U73">
        <v>1.9216</v>
      </c>
      <c r="V73">
        <v>-14.713800000000001</v>
      </c>
      <c r="W73">
        <v>-7.66</v>
      </c>
      <c r="X73">
        <v>12</v>
      </c>
      <c r="Y73" s="9" t="s">
        <v>468</v>
      </c>
      <c r="Z73">
        <v>4.5</v>
      </c>
      <c r="AA73">
        <v>324</v>
      </c>
      <c r="AB73">
        <v>0</v>
      </c>
      <c r="AC73" s="9" t="s">
        <v>540</v>
      </c>
    </row>
    <row r="74" spans="1:29" x14ac:dyDescent="0.35">
      <c r="A74">
        <v>73</v>
      </c>
      <c r="B74">
        <v>1062</v>
      </c>
      <c r="C74" s="9" t="s">
        <v>181</v>
      </c>
      <c r="D74" s="9" t="s">
        <v>45</v>
      </c>
      <c r="E74" s="9" t="s">
        <v>46</v>
      </c>
      <c r="F74" s="9" t="s">
        <v>47</v>
      </c>
      <c r="G74" s="9" t="s">
        <v>88</v>
      </c>
      <c r="H74" s="9" t="s">
        <v>89</v>
      </c>
      <c r="I74" s="9" t="s">
        <v>90</v>
      </c>
      <c r="J74">
        <v>3</v>
      </c>
      <c r="K74" s="6"/>
      <c r="L74">
        <v>88.883600000000001</v>
      </c>
      <c r="M74">
        <v>164.39859999999999</v>
      </c>
      <c r="N74">
        <v>150</v>
      </c>
      <c r="O74">
        <v>150</v>
      </c>
      <c r="P74">
        <v>59.26</v>
      </c>
      <c r="Q74">
        <v>109.6</v>
      </c>
      <c r="R74">
        <v>0</v>
      </c>
      <c r="S74">
        <v>1</v>
      </c>
      <c r="T74">
        <v>1</v>
      </c>
      <c r="U74">
        <v>1.9149</v>
      </c>
      <c r="V74">
        <v>-14.3986</v>
      </c>
      <c r="W74">
        <v>-7.52</v>
      </c>
      <c r="X74">
        <v>18</v>
      </c>
      <c r="Y74" s="9" t="s">
        <v>468</v>
      </c>
      <c r="Z74">
        <v>4.5</v>
      </c>
      <c r="AA74">
        <v>328.5</v>
      </c>
      <c r="AB74">
        <v>0</v>
      </c>
      <c r="AC74" s="9" t="s">
        <v>541</v>
      </c>
    </row>
    <row r="75" spans="1:29" x14ac:dyDescent="0.35">
      <c r="A75">
        <v>74</v>
      </c>
      <c r="B75">
        <v>1509</v>
      </c>
      <c r="C75" s="9" t="s">
        <v>177</v>
      </c>
      <c r="D75" s="9" t="s">
        <v>53</v>
      </c>
      <c r="E75" s="9" t="s">
        <v>54</v>
      </c>
      <c r="F75" s="9" t="s">
        <v>47</v>
      </c>
      <c r="G75" s="9" t="s">
        <v>178</v>
      </c>
      <c r="H75" s="9" t="s">
        <v>154</v>
      </c>
      <c r="I75" s="9" t="s">
        <v>155</v>
      </c>
      <c r="J75">
        <v>1</v>
      </c>
      <c r="K75" s="6"/>
      <c r="L75">
        <v>117.04989999999999</v>
      </c>
      <c r="M75">
        <v>134.07640000000001</v>
      </c>
      <c r="N75">
        <v>120</v>
      </c>
      <c r="O75">
        <v>120</v>
      </c>
      <c r="P75">
        <v>97.54</v>
      </c>
      <c r="Q75">
        <v>111.73</v>
      </c>
      <c r="R75">
        <v>0</v>
      </c>
      <c r="S75">
        <v>1</v>
      </c>
      <c r="T75">
        <v>1</v>
      </c>
      <c r="U75">
        <v>1.1561999999999999</v>
      </c>
      <c r="V75">
        <v>-14.0764</v>
      </c>
      <c r="W75">
        <v>-12.17</v>
      </c>
      <c r="X75">
        <v>8</v>
      </c>
      <c r="Y75" s="9" t="s">
        <v>468</v>
      </c>
      <c r="Z75">
        <v>4.5</v>
      </c>
      <c r="AA75">
        <v>333</v>
      </c>
      <c r="AB75">
        <v>0</v>
      </c>
      <c r="AC75" s="9" t="s">
        <v>542</v>
      </c>
    </row>
    <row r="76" spans="1:29" x14ac:dyDescent="0.35">
      <c r="A76">
        <v>75</v>
      </c>
      <c r="B76">
        <v>93</v>
      </c>
      <c r="C76" s="9" t="s">
        <v>188</v>
      </c>
      <c r="D76" s="9" t="s">
        <v>64</v>
      </c>
      <c r="E76" s="9" t="s">
        <v>65</v>
      </c>
      <c r="F76" s="9" t="s">
        <v>47</v>
      </c>
      <c r="G76" s="9" t="s">
        <v>62</v>
      </c>
      <c r="H76" s="9" t="s">
        <v>50</v>
      </c>
      <c r="I76" s="9" t="s">
        <v>51</v>
      </c>
      <c r="J76">
        <v>4</v>
      </c>
      <c r="K76" s="6"/>
      <c r="L76">
        <v>94.600099999999998</v>
      </c>
      <c r="M76">
        <v>213.55459999999999</v>
      </c>
      <c r="N76">
        <v>200</v>
      </c>
      <c r="O76">
        <v>200</v>
      </c>
      <c r="P76">
        <v>47.3</v>
      </c>
      <c r="Q76">
        <v>106.78</v>
      </c>
      <c r="R76">
        <v>0</v>
      </c>
      <c r="S76">
        <v>1</v>
      </c>
      <c r="T76">
        <v>1</v>
      </c>
      <c r="U76">
        <v>2.2806999999999999</v>
      </c>
      <c r="V76">
        <v>-13.554600000000001</v>
      </c>
      <c r="W76">
        <v>-5.94</v>
      </c>
      <c r="X76">
        <v>12</v>
      </c>
      <c r="Y76" s="9" t="s">
        <v>468</v>
      </c>
      <c r="Z76">
        <v>4.5</v>
      </c>
      <c r="AA76">
        <v>337.5</v>
      </c>
      <c r="AB76">
        <v>0</v>
      </c>
      <c r="AC76" s="9" t="s">
        <v>543</v>
      </c>
    </row>
    <row r="77" spans="1:29" x14ac:dyDescent="0.35">
      <c r="A77">
        <v>76</v>
      </c>
      <c r="B77">
        <v>946</v>
      </c>
      <c r="C77" s="9" t="s">
        <v>189</v>
      </c>
      <c r="D77" s="9" t="s">
        <v>64</v>
      </c>
      <c r="E77" s="9" t="s">
        <v>65</v>
      </c>
      <c r="F77" s="9" t="s">
        <v>47</v>
      </c>
      <c r="G77" s="9" t="s">
        <v>190</v>
      </c>
      <c r="H77" s="9" t="s">
        <v>57</v>
      </c>
      <c r="I77" s="9" t="s">
        <v>58</v>
      </c>
      <c r="J77">
        <v>3</v>
      </c>
      <c r="K77" s="6"/>
      <c r="L77">
        <v>111.5665</v>
      </c>
      <c r="M77">
        <v>212.17410000000001</v>
      </c>
      <c r="N77">
        <v>200</v>
      </c>
      <c r="O77">
        <v>200</v>
      </c>
      <c r="P77">
        <v>55.78</v>
      </c>
      <c r="Q77">
        <v>106.09</v>
      </c>
      <c r="R77">
        <v>0</v>
      </c>
      <c r="S77">
        <v>1</v>
      </c>
      <c r="T77">
        <v>1</v>
      </c>
      <c r="U77">
        <v>1.8878999999999999</v>
      </c>
      <c r="V77">
        <v>-12.174099999999999</v>
      </c>
      <c r="W77">
        <v>-6.45</v>
      </c>
      <c r="X77">
        <v>12</v>
      </c>
      <c r="Y77" s="9" t="s">
        <v>468</v>
      </c>
      <c r="Z77">
        <v>4.5</v>
      </c>
      <c r="AA77">
        <v>342</v>
      </c>
      <c r="AB77">
        <v>0</v>
      </c>
      <c r="AC77" s="9" t="s">
        <v>544</v>
      </c>
    </row>
    <row r="78" spans="1:29" x14ac:dyDescent="0.35">
      <c r="A78">
        <v>77</v>
      </c>
      <c r="B78">
        <v>1103</v>
      </c>
      <c r="C78" s="9" t="s">
        <v>185</v>
      </c>
      <c r="D78" s="9" t="s">
        <v>45</v>
      </c>
      <c r="E78" s="9" t="s">
        <v>46</v>
      </c>
      <c r="F78" s="9" t="s">
        <v>47</v>
      </c>
      <c r="G78" s="9" t="s">
        <v>161</v>
      </c>
      <c r="H78" s="9" t="s">
        <v>154</v>
      </c>
      <c r="I78" s="9" t="s">
        <v>155</v>
      </c>
      <c r="J78">
        <v>2</v>
      </c>
      <c r="K78" s="6"/>
      <c r="L78">
        <v>129.267</v>
      </c>
      <c r="M78">
        <v>162.0301</v>
      </c>
      <c r="N78">
        <v>150</v>
      </c>
      <c r="O78">
        <v>150</v>
      </c>
      <c r="P78">
        <v>86.18</v>
      </c>
      <c r="Q78">
        <v>108.02</v>
      </c>
      <c r="R78">
        <v>0</v>
      </c>
      <c r="S78">
        <v>1</v>
      </c>
      <c r="T78">
        <v>1</v>
      </c>
      <c r="U78">
        <v>1.2703</v>
      </c>
      <c r="V78">
        <v>-12.030099999999999</v>
      </c>
      <c r="W78">
        <v>-9.4700000000000006</v>
      </c>
      <c r="X78">
        <v>18</v>
      </c>
      <c r="Y78" s="9" t="s">
        <v>468</v>
      </c>
      <c r="Z78">
        <v>4.5</v>
      </c>
      <c r="AA78">
        <v>346.5</v>
      </c>
      <c r="AB78">
        <v>0</v>
      </c>
      <c r="AC78" s="9" t="s">
        <v>545</v>
      </c>
    </row>
    <row r="79" spans="1:29" x14ac:dyDescent="0.35">
      <c r="A79">
        <v>78</v>
      </c>
      <c r="B79">
        <v>1107</v>
      </c>
      <c r="C79" s="9" t="s">
        <v>186</v>
      </c>
      <c r="D79" s="9" t="s">
        <v>45</v>
      </c>
      <c r="E79" s="9" t="s">
        <v>46</v>
      </c>
      <c r="F79" s="9" t="s">
        <v>47</v>
      </c>
      <c r="G79" s="9" t="s">
        <v>161</v>
      </c>
      <c r="H79" s="9" t="s">
        <v>154</v>
      </c>
      <c r="I79" s="9" t="s">
        <v>155</v>
      </c>
      <c r="J79">
        <v>3</v>
      </c>
      <c r="K79" s="6"/>
      <c r="L79">
        <v>129.267</v>
      </c>
      <c r="M79">
        <v>162.0301</v>
      </c>
      <c r="N79">
        <v>150</v>
      </c>
      <c r="O79">
        <v>150</v>
      </c>
      <c r="P79">
        <v>86.18</v>
      </c>
      <c r="Q79">
        <v>108.02</v>
      </c>
      <c r="R79">
        <v>0</v>
      </c>
      <c r="S79">
        <v>1</v>
      </c>
      <c r="T79">
        <v>1</v>
      </c>
      <c r="U79">
        <v>1.2703</v>
      </c>
      <c r="V79">
        <v>-12.030099999999999</v>
      </c>
      <c r="W79">
        <v>-9.4700000000000006</v>
      </c>
      <c r="X79">
        <v>18</v>
      </c>
      <c r="Y79" s="9" t="s">
        <v>468</v>
      </c>
      <c r="Z79">
        <v>4.5</v>
      </c>
      <c r="AA79">
        <v>351</v>
      </c>
      <c r="AB79">
        <v>0</v>
      </c>
      <c r="AC79" s="9" t="s">
        <v>546</v>
      </c>
    </row>
    <row r="80" spans="1:29" x14ac:dyDescent="0.35">
      <c r="A80">
        <v>79</v>
      </c>
      <c r="B80">
        <v>13</v>
      </c>
      <c r="C80" s="9" t="s">
        <v>180</v>
      </c>
      <c r="D80" s="9" t="s">
        <v>53</v>
      </c>
      <c r="E80" s="9" t="s">
        <v>54</v>
      </c>
      <c r="F80" s="9" t="s">
        <v>47</v>
      </c>
      <c r="G80" s="9" t="s">
        <v>99</v>
      </c>
      <c r="H80" s="9" t="s">
        <v>57</v>
      </c>
      <c r="I80" s="9" t="s">
        <v>58</v>
      </c>
      <c r="J80">
        <v>2</v>
      </c>
      <c r="K80" s="6"/>
      <c r="L80">
        <v>63.767000000000003</v>
      </c>
      <c r="M80">
        <v>131.7722</v>
      </c>
      <c r="N80">
        <v>120</v>
      </c>
      <c r="O80">
        <v>120</v>
      </c>
      <c r="P80">
        <v>53.14</v>
      </c>
      <c r="Q80">
        <v>109.81</v>
      </c>
      <c r="R80">
        <v>0</v>
      </c>
      <c r="S80">
        <v>1</v>
      </c>
      <c r="T80">
        <v>1</v>
      </c>
      <c r="U80">
        <v>2.0638000000000001</v>
      </c>
      <c r="V80">
        <v>-11.7722</v>
      </c>
      <c r="W80">
        <v>-5.7</v>
      </c>
      <c r="X80">
        <v>8</v>
      </c>
      <c r="Y80" s="9" t="s">
        <v>468</v>
      </c>
      <c r="Z80">
        <v>4.5</v>
      </c>
      <c r="AA80">
        <v>355.5</v>
      </c>
      <c r="AB80">
        <v>0</v>
      </c>
      <c r="AC80" s="9" t="s">
        <v>547</v>
      </c>
    </row>
    <row r="81" spans="1:29" x14ac:dyDescent="0.35">
      <c r="A81">
        <v>80</v>
      </c>
      <c r="B81">
        <v>581</v>
      </c>
      <c r="C81" s="9" t="s">
        <v>194</v>
      </c>
      <c r="D81" s="9" t="s">
        <v>64</v>
      </c>
      <c r="E81" s="9" t="s">
        <v>65</v>
      </c>
      <c r="F81" s="9" t="s">
        <v>47</v>
      </c>
      <c r="G81" s="9" t="s">
        <v>195</v>
      </c>
      <c r="H81" s="9" t="s">
        <v>154</v>
      </c>
      <c r="I81" s="9" t="s">
        <v>155</v>
      </c>
      <c r="J81">
        <v>2</v>
      </c>
      <c r="K81" s="6"/>
      <c r="L81">
        <v>177.5831</v>
      </c>
      <c r="M81">
        <v>210.65979999999999</v>
      </c>
      <c r="N81">
        <v>200</v>
      </c>
      <c r="O81">
        <v>200</v>
      </c>
      <c r="P81">
        <v>88.79</v>
      </c>
      <c r="Q81">
        <v>105.33</v>
      </c>
      <c r="R81">
        <v>0</v>
      </c>
      <c r="S81">
        <v>1</v>
      </c>
      <c r="T81">
        <v>1</v>
      </c>
      <c r="U81">
        <v>1.0819000000000001</v>
      </c>
      <c r="V81">
        <v>-10.659800000000001</v>
      </c>
      <c r="W81">
        <v>-9.85</v>
      </c>
      <c r="X81">
        <v>12</v>
      </c>
      <c r="Y81" s="9" t="s">
        <v>468</v>
      </c>
      <c r="Z81">
        <v>4.5</v>
      </c>
      <c r="AA81">
        <v>360</v>
      </c>
      <c r="AB81">
        <v>0</v>
      </c>
      <c r="AC81" s="9" t="s">
        <v>548</v>
      </c>
    </row>
    <row r="82" spans="1:29" x14ac:dyDescent="0.35">
      <c r="A82">
        <v>81</v>
      </c>
      <c r="B82">
        <v>1483</v>
      </c>
      <c r="C82" s="9" t="s">
        <v>196</v>
      </c>
      <c r="D82" s="9" t="s">
        <v>64</v>
      </c>
      <c r="E82" s="9" t="s">
        <v>65</v>
      </c>
      <c r="F82" s="9" t="s">
        <v>47</v>
      </c>
      <c r="G82" s="9" t="s">
        <v>67</v>
      </c>
      <c r="H82" s="9" t="s">
        <v>57</v>
      </c>
      <c r="I82" s="9" t="s">
        <v>58</v>
      </c>
      <c r="J82">
        <v>3</v>
      </c>
      <c r="K82" s="6"/>
      <c r="L82">
        <v>102.5166</v>
      </c>
      <c r="M82">
        <v>209.80520000000001</v>
      </c>
      <c r="N82">
        <v>200</v>
      </c>
      <c r="O82">
        <v>200</v>
      </c>
      <c r="P82">
        <v>51.26</v>
      </c>
      <c r="Q82">
        <v>104.9</v>
      </c>
      <c r="R82">
        <v>0</v>
      </c>
      <c r="S82">
        <v>1</v>
      </c>
      <c r="T82">
        <v>1</v>
      </c>
      <c r="U82">
        <v>1.9626999999999999</v>
      </c>
      <c r="V82">
        <v>-9.8051999999999992</v>
      </c>
      <c r="W82">
        <v>-5</v>
      </c>
      <c r="X82">
        <v>12</v>
      </c>
      <c r="Y82" s="9" t="s">
        <v>468</v>
      </c>
      <c r="Z82">
        <v>4.5</v>
      </c>
      <c r="AA82">
        <v>364.5</v>
      </c>
      <c r="AB82">
        <v>0</v>
      </c>
      <c r="AC82" s="9" t="s">
        <v>549</v>
      </c>
    </row>
    <row r="83" spans="1:29" x14ac:dyDescent="0.35">
      <c r="A83">
        <v>82</v>
      </c>
      <c r="B83">
        <v>1389</v>
      </c>
      <c r="C83" s="9" t="s">
        <v>198</v>
      </c>
      <c r="D83" s="9" t="s">
        <v>64</v>
      </c>
      <c r="E83" s="9" t="s">
        <v>65</v>
      </c>
      <c r="F83" s="9" t="s">
        <v>47</v>
      </c>
      <c r="G83" s="9" t="s">
        <v>125</v>
      </c>
      <c r="H83" s="9" t="s">
        <v>89</v>
      </c>
      <c r="I83" s="9" t="s">
        <v>90</v>
      </c>
      <c r="J83">
        <v>1</v>
      </c>
      <c r="K83" s="6"/>
      <c r="L83">
        <v>115.11660000000001</v>
      </c>
      <c r="M83">
        <v>207.2329</v>
      </c>
      <c r="N83">
        <v>200</v>
      </c>
      <c r="O83">
        <v>200</v>
      </c>
      <c r="P83">
        <v>57.56</v>
      </c>
      <c r="Q83">
        <v>103.62</v>
      </c>
      <c r="R83">
        <v>0</v>
      </c>
      <c r="S83">
        <v>1</v>
      </c>
      <c r="T83">
        <v>1</v>
      </c>
      <c r="U83">
        <v>1.7297</v>
      </c>
      <c r="V83">
        <v>-7.2328999999999999</v>
      </c>
      <c r="W83">
        <v>-4.18</v>
      </c>
      <c r="X83">
        <v>12</v>
      </c>
      <c r="Y83" s="9" t="s">
        <v>468</v>
      </c>
      <c r="Z83">
        <v>4.5</v>
      </c>
      <c r="AA83">
        <v>369</v>
      </c>
      <c r="AB83">
        <v>0</v>
      </c>
      <c r="AC83" s="9" t="s">
        <v>550</v>
      </c>
    </row>
    <row r="84" spans="1:29" x14ac:dyDescent="0.35">
      <c r="A84">
        <v>83</v>
      </c>
      <c r="B84">
        <v>1391</v>
      </c>
      <c r="C84" s="9" t="s">
        <v>199</v>
      </c>
      <c r="D84" s="9" t="s">
        <v>64</v>
      </c>
      <c r="E84" s="9" t="s">
        <v>65</v>
      </c>
      <c r="F84" s="9" t="s">
        <v>47</v>
      </c>
      <c r="G84" s="9" t="s">
        <v>125</v>
      </c>
      <c r="H84" s="9" t="s">
        <v>89</v>
      </c>
      <c r="I84" s="9" t="s">
        <v>90</v>
      </c>
      <c r="J84">
        <v>2</v>
      </c>
      <c r="K84" s="6"/>
      <c r="L84">
        <v>115.11660000000001</v>
      </c>
      <c r="M84">
        <v>207.2329</v>
      </c>
      <c r="N84">
        <v>200</v>
      </c>
      <c r="O84">
        <v>200</v>
      </c>
      <c r="P84">
        <v>57.56</v>
      </c>
      <c r="Q84">
        <v>103.62</v>
      </c>
      <c r="R84">
        <v>0</v>
      </c>
      <c r="S84">
        <v>1</v>
      </c>
      <c r="T84">
        <v>1</v>
      </c>
      <c r="U84">
        <v>1.7297</v>
      </c>
      <c r="V84">
        <v>-7.2328999999999999</v>
      </c>
      <c r="W84">
        <v>-4.18</v>
      </c>
      <c r="X84">
        <v>12</v>
      </c>
      <c r="Y84" s="9" t="s">
        <v>468</v>
      </c>
      <c r="Z84">
        <v>4.5</v>
      </c>
      <c r="AA84">
        <v>373.5</v>
      </c>
      <c r="AB84">
        <v>0</v>
      </c>
      <c r="AC84" s="9" t="s">
        <v>551</v>
      </c>
    </row>
    <row r="85" spans="1:29" x14ac:dyDescent="0.35">
      <c r="A85">
        <v>84</v>
      </c>
      <c r="B85">
        <v>1393</v>
      </c>
      <c r="C85" s="9" t="s">
        <v>200</v>
      </c>
      <c r="D85" s="9" t="s">
        <v>64</v>
      </c>
      <c r="E85" s="9" t="s">
        <v>65</v>
      </c>
      <c r="F85" s="9" t="s">
        <v>47</v>
      </c>
      <c r="G85" s="9" t="s">
        <v>125</v>
      </c>
      <c r="H85" s="9" t="s">
        <v>89</v>
      </c>
      <c r="I85" s="9" t="s">
        <v>90</v>
      </c>
      <c r="J85">
        <v>3</v>
      </c>
      <c r="K85" s="6"/>
      <c r="L85">
        <v>115.11660000000001</v>
      </c>
      <c r="M85">
        <v>207.2329</v>
      </c>
      <c r="N85">
        <v>200</v>
      </c>
      <c r="O85">
        <v>200</v>
      </c>
      <c r="P85">
        <v>57.56</v>
      </c>
      <c r="Q85">
        <v>103.62</v>
      </c>
      <c r="R85">
        <v>0</v>
      </c>
      <c r="S85">
        <v>1</v>
      </c>
      <c r="T85">
        <v>1</v>
      </c>
      <c r="U85">
        <v>1.7297</v>
      </c>
      <c r="V85">
        <v>-7.2328999999999999</v>
      </c>
      <c r="W85">
        <v>-4.18</v>
      </c>
      <c r="X85">
        <v>12</v>
      </c>
      <c r="Y85" s="9" t="s">
        <v>468</v>
      </c>
      <c r="Z85">
        <v>4.5</v>
      </c>
      <c r="AA85">
        <v>378</v>
      </c>
      <c r="AB85">
        <v>0</v>
      </c>
      <c r="AC85" s="9" t="s">
        <v>552</v>
      </c>
    </row>
    <row r="86" spans="1:29" x14ac:dyDescent="0.35">
      <c r="A86">
        <v>85</v>
      </c>
      <c r="B86">
        <v>1395</v>
      </c>
      <c r="C86" s="9" t="s">
        <v>201</v>
      </c>
      <c r="D86" s="9" t="s">
        <v>64</v>
      </c>
      <c r="E86" s="9" t="s">
        <v>65</v>
      </c>
      <c r="F86" s="9" t="s">
        <v>47</v>
      </c>
      <c r="G86" s="9" t="s">
        <v>125</v>
      </c>
      <c r="H86" s="9" t="s">
        <v>89</v>
      </c>
      <c r="I86" s="9" t="s">
        <v>90</v>
      </c>
      <c r="J86">
        <v>4</v>
      </c>
      <c r="K86" s="6"/>
      <c r="L86">
        <v>115.11660000000001</v>
      </c>
      <c r="M86">
        <v>207.2329</v>
      </c>
      <c r="N86">
        <v>200</v>
      </c>
      <c r="O86">
        <v>200</v>
      </c>
      <c r="P86">
        <v>57.56</v>
      </c>
      <c r="Q86">
        <v>103.62</v>
      </c>
      <c r="R86">
        <v>0</v>
      </c>
      <c r="S86">
        <v>1</v>
      </c>
      <c r="T86">
        <v>1</v>
      </c>
      <c r="U86">
        <v>1.7297</v>
      </c>
      <c r="V86">
        <v>-7.2328999999999999</v>
      </c>
      <c r="W86">
        <v>-4.18</v>
      </c>
      <c r="X86">
        <v>12</v>
      </c>
      <c r="Y86" s="9" t="s">
        <v>468</v>
      </c>
      <c r="Z86">
        <v>4.5</v>
      </c>
      <c r="AA86">
        <v>382.5</v>
      </c>
      <c r="AB86">
        <v>0</v>
      </c>
      <c r="AC86" s="9" t="s">
        <v>553</v>
      </c>
    </row>
    <row r="87" spans="1:29" x14ac:dyDescent="0.35">
      <c r="A87">
        <v>86</v>
      </c>
      <c r="B87">
        <v>387</v>
      </c>
      <c r="C87" s="9" t="s">
        <v>197</v>
      </c>
      <c r="D87" s="9" t="s">
        <v>45</v>
      </c>
      <c r="E87" s="9" t="s">
        <v>46</v>
      </c>
      <c r="F87" s="9" t="s">
        <v>47</v>
      </c>
      <c r="G87" s="9" t="s">
        <v>48</v>
      </c>
      <c r="H87" s="9" t="s">
        <v>50</v>
      </c>
      <c r="I87" s="9" t="s">
        <v>51</v>
      </c>
      <c r="J87">
        <v>1</v>
      </c>
      <c r="K87" s="6"/>
      <c r="L87">
        <v>72.583100000000002</v>
      </c>
      <c r="M87">
        <v>157.19479999999999</v>
      </c>
      <c r="N87">
        <v>150</v>
      </c>
      <c r="O87">
        <v>150</v>
      </c>
      <c r="P87">
        <v>48.39</v>
      </c>
      <c r="Q87">
        <v>104.8</v>
      </c>
      <c r="R87">
        <v>0</v>
      </c>
      <c r="S87">
        <v>1</v>
      </c>
      <c r="T87">
        <v>1</v>
      </c>
      <c r="U87">
        <v>2.3105000000000002</v>
      </c>
      <c r="V87">
        <v>-7.1947999999999999</v>
      </c>
      <c r="W87">
        <v>-3.11</v>
      </c>
      <c r="X87">
        <v>18</v>
      </c>
      <c r="Y87" s="9" t="s">
        <v>468</v>
      </c>
      <c r="Z87">
        <v>4.5</v>
      </c>
      <c r="AA87">
        <v>387</v>
      </c>
      <c r="AB87">
        <v>0</v>
      </c>
      <c r="AC87" s="9" t="s">
        <v>554</v>
      </c>
    </row>
    <row r="88" spans="1:29" x14ac:dyDescent="0.35">
      <c r="A88">
        <v>87</v>
      </c>
      <c r="B88">
        <v>167</v>
      </c>
      <c r="C88" s="9" t="s">
        <v>191</v>
      </c>
      <c r="D88" s="9" t="s">
        <v>53</v>
      </c>
      <c r="E88" s="9" t="s">
        <v>54</v>
      </c>
      <c r="F88" s="9" t="s">
        <v>47</v>
      </c>
      <c r="G88" s="9" t="s">
        <v>192</v>
      </c>
      <c r="H88" s="9" t="s">
        <v>154</v>
      </c>
      <c r="I88" s="9" t="s">
        <v>155</v>
      </c>
      <c r="J88">
        <v>2</v>
      </c>
      <c r="K88" s="6"/>
      <c r="L88">
        <v>111.23309999999999</v>
      </c>
      <c r="M88">
        <v>126.5973</v>
      </c>
      <c r="N88">
        <v>120</v>
      </c>
      <c r="O88">
        <v>120</v>
      </c>
      <c r="P88">
        <v>92.69</v>
      </c>
      <c r="Q88">
        <v>105.5</v>
      </c>
      <c r="R88">
        <v>0</v>
      </c>
      <c r="S88">
        <v>1</v>
      </c>
      <c r="T88">
        <v>1</v>
      </c>
      <c r="U88">
        <v>1.1001000000000001</v>
      </c>
      <c r="V88">
        <v>-6.5972999999999997</v>
      </c>
      <c r="W88">
        <v>-6</v>
      </c>
      <c r="X88">
        <v>8</v>
      </c>
      <c r="Y88" s="9" t="s">
        <v>468</v>
      </c>
      <c r="Z88">
        <v>4.5</v>
      </c>
      <c r="AA88">
        <v>391.5</v>
      </c>
      <c r="AB88">
        <v>0</v>
      </c>
      <c r="AC88" s="9" t="s">
        <v>555</v>
      </c>
    </row>
    <row r="89" spans="1:29" x14ac:dyDescent="0.35">
      <c r="A89">
        <v>88</v>
      </c>
      <c r="B89">
        <v>765</v>
      </c>
      <c r="C89" s="9" t="s">
        <v>193</v>
      </c>
      <c r="D89" s="9" t="s">
        <v>53</v>
      </c>
      <c r="E89" s="9" t="s">
        <v>54</v>
      </c>
      <c r="F89" s="9" t="s">
        <v>47</v>
      </c>
      <c r="G89" s="9" t="s">
        <v>110</v>
      </c>
      <c r="H89" s="9" t="s">
        <v>57</v>
      </c>
      <c r="I89" s="9" t="s">
        <v>58</v>
      </c>
      <c r="J89">
        <v>2</v>
      </c>
      <c r="K89" s="6"/>
      <c r="L89">
        <v>65.066599999999994</v>
      </c>
      <c r="M89">
        <v>126.55</v>
      </c>
      <c r="N89">
        <v>120</v>
      </c>
      <c r="O89">
        <v>120</v>
      </c>
      <c r="P89">
        <v>54.22</v>
      </c>
      <c r="Q89">
        <v>105.46</v>
      </c>
      <c r="R89">
        <v>0</v>
      </c>
      <c r="S89">
        <v>1</v>
      </c>
      <c r="T89">
        <v>1</v>
      </c>
      <c r="U89">
        <v>1.9188000000000001</v>
      </c>
      <c r="V89">
        <v>-6.55</v>
      </c>
      <c r="W89">
        <v>-3.41</v>
      </c>
      <c r="X89">
        <v>8</v>
      </c>
      <c r="Y89" s="9" t="s">
        <v>468</v>
      </c>
      <c r="Z89">
        <v>4.5</v>
      </c>
      <c r="AA89">
        <v>396</v>
      </c>
      <c r="AB89">
        <v>0</v>
      </c>
      <c r="AC89" s="9" t="s">
        <v>556</v>
      </c>
    </row>
    <row r="90" spans="1:29" x14ac:dyDescent="0.35">
      <c r="A90">
        <v>89</v>
      </c>
      <c r="B90">
        <v>974</v>
      </c>
      <c r="C90" s="9" t="s">
        <v>203</v>
      </c>
      <c r="D90" s="9" t="s">
        <v>45</v>
      </c>
      <c r="E90" s="9" t="s">
        <v>46</v>
      </c>
      <c r="F90" s="9" t="s">
        <v>47</v>
      </c>
      <c r="G90" s="9" t="s">
        <v>190</v>
      </c>
      <c r="H90" s="9" t="s">
        <v>57</v>
      </c>
      <c r="I90" s="9" t="s">
        <v>58</v>
      </c>
      <c r="J90">
        <v>4</v>
      </c>
      <c r="K90" s="6"/>
      <c r="L90">
        <v>81.066599999999994</v>
      </c>
      <c r="M90">
        <v>154.38810000000001</v>
      </c>
      <c r="N90">
        <v>150</v>
      </c>
      <c r="O90">
        <v>150</v>
      </c>
      <c r="P90">
        <v>54.04</v>
      </c>
      <c r="Q90">
        <v>102.93</v>
      </c>
      <c r="R90">
        <v>0</v>
      </c>
      <c r="S90">
        <v>1</v>
      </c>
      <c r="T90">
        <v>1</v>
      </c>
      <c r="U90">
        <v>1.8878999999999999</v>
      </c>
      <c r="V90">
        <v>-4.3880999999999997</v>
      </c>
      <c r="W90">
        <v>-2.3199999999999998</v>
      </c>
      <c r="X90">
        <v>18</v>
      </c>
      <c r="Y90" s="9" t="s">
        <v>468</v>
      </c>
      <c r="Z90">
        <v>4.5</v>
      </c>
      <c r="AA90">
        <v>400.5</v>
      </c>
      <c r="AB90">
        <v>0</v>
      </c>
      <c r="AC90" s="9" t="s">
        <v>557</v>
      </c>
    </row>
    <row r="91" spans="1:29" x14ac:dyDescent="0.35">
      <c r="A91">
        <v>90</v>
      </c>
      <c r="B91">
        <v>1432</v>
      </c>
      <c r="C91" s="9" t="s">
        <v>208</v>
      </c>
      <c r="D91" s="9" t="s">
        <v>64</v>
      </c>
      <c r="E91" s="9" t="s">
        <v>65</v>
      </c>
      <c r="F91" s="9" t="s">
        <v>47</v>
      </c>
      <c r="G91" s="9" t="s">
        <v>209</v>
      </c>
      <c r="H91" s="9" t="s">
        <v>154</v>
      </c>
      <c r="I91" s="9" t="s">
        <v>155</v>
      </c>
      <c r="J91">
        <v>2</v>
      </c>
      <c r="K91" s="6"/>
      <c r="L91">
        <v>173.19990000000001</v>
      </c>
      <c r="M91">
        <v>200.53440000000001</v>
      </c>
      <c r="N91">
        <v>200</v>
      </c>
      <c r="O91">
        <v>200</v>
      </c>
      <c r="P91">
        <v>86.6</v>
      </c>
      <c r="Q91">
        <v>100.27</v>
      </c>
      <c r="R91">
        <v>0</v>
      </c>
      <c r="S91">
        <v>1</v>
      </c>
      <c r="T91">
        <v>1</v>
      </c>
      <c r="U91">
        <v>1.1733</v>
      </c>
      <c r="V91">
        <v>-0.53439999999999999</v>
      </c>
      <c r="W91">
        <v>-0.46</v>
      </c>
      <c r="X91">
        <v>12</v>
      </c>
      <c r="Y91" s="9" t="s">
        <v>468</v>
      </c>
      <c r="Z91">
        <v>4.5</v>
      </c>
      <c r="AA91">
        <v>405</v>
      </c>
      <c r="AB91">
        <v>0</v>
      </c>
      <c r="AC91" s="9" t="s">
        <v>558</v>
      </c>
    </row>
    <row r="92" spans="1:29" x14ac:dyDescent="0.35">
      <c r="A92">
        <v>91</v>
      </c>
      <c r="B92">
        <v>1072</v>
      </c>
      <c r="C92" s="9" t="s">
        <v>211</v>
      </c>
      <c r="D92" s="9" t="s">
        <v>53</v>
      </c>
      <c r="E92" s="9" t="s">
        <v>54</v>
      </c>
      <c r="F92" s="9" t="s">
        <v>47</v>
      </c>
      <c r="G92" s="9" t="s">
        <v>161</v>
      </c>
      <c r="H92" s="9" t="s">
        <v>154</v>
      </c>
      <c r="I92" s="9" t="s">
        <v>155</v>
      </c>
      <c r="J92">
        <v>1</v>
      </c>
      <c r="K92" s="6"/>
      <c r="L92">
        <v>96.733699999999999</v>
      </c>
      <c r="M92">
        <v>118.71680000000001</v>
      </c>
      <c r="N92">
        <v>120</v>
      </c>
      <c r="O92">
        <v>120</v>
      </c>
      <c r="P92">
        <v>80.61</v>
      </c>
      <c r="Q92">
        <v>98.93</v>
      </c>
      <c r="R92">
        <v>0</v>
      </c>
      <c r="S92">
        <v>0</v>
      </c>
      <c r="T92">
        <v>0</v>
      </c>
      <c r="U92">
        <v>1.2703</v>
      </c>
      <c r="V92">
        <v>1.2831999999999999</v>
      </c>
      <c r="W92">
        <v>1.01</v>
      </c>
      <c r="X92">
        <v>8</v>
      </c>
      <c r="Y92" s="9" t="s">
        <v>559</v>
      </c>
      <c r="Z92">
        <v>0</v>
      </c>
      <c r="AA92">
        <v>405</v>
      </c>
      <c r="AB92">
        <v>0</v>
      </c>
      <c r="AC92" s="9" t="s">
        <v>560</v>
      </c>
    </row>
    <row r="93" spans="1:29" x14ac:dyDescent="0.35">
      <c r="A93">
        <v>92</v>
      </c>
      <c r="B93">
        <v>1234</v>
      </c>
      <c r="C93" s="9" t="s">
        <v>212</v>
      </c>
      <c r="D93" s="9" t="s">
        <v>53</v>
      </c>
      <c r="E93" s="9" t="s">
        <v>54</v>
      </c>
      <c r="F93" s="9" t="s">
        <v>47</v>
      </c>
      <c r="G93" s="9" t="s">
        <v>79</v>
      </c>
      <c r="H93" s="9" t="s">
        <v>50</v>
      </c>
      <c r="I93" s="9" t="s">
        <v>51</v>
      </c>
      <c r="J93">
        <v>2</v>
      </c>
      <c r="K93" s="6"/>
      <c r="L93">
        <v>53.5334</v>
      </c>
      <c r="M93">
        <v>116.26430000000001</v>
      </c>
      <c r="N93">
        <v>120</v>
      </c>
      <c r="O93">
        <v>120</v>
      </c>
      <c r="P93">
        <v>44.61</v>
      </c>
      <c r="Q93">
        <v>96.89</v>
      </c>
      <c r="R93">
        <v>0</v>
      </c>
      <c r="S93">
        <v>0</v>
      </c>
      <c r="T93">
        <v>0</v>
      </c>
      <c r="U93">
        <v>2.1718000000000002</v>
      </c>
      <c r="V93">
        <v>3.7357</v>
      </c>
      <c r="W93">
        <v>1.72</v>
      </c>
      <c r="X93">
        <v>8</v>
      </c>
      <c r="Y93" s="9" t="s">
        <v>559</v>
      </c>
      <c r="Z93">
        <v>0</v>
      </c>
      <c r="AA93">
        <v>405</v>
      </c>
      <c r="AB93">
        <v>0</v>
      </c>
      <c r="AC93" s="9" t="s">
        <v>561</v>
      </c>
    </row>
    <row r="94" spans="1:29" x14ac:dyDescent="0.35">
      <c r="A94">
        <v>93</v>
      </c>
      <c r="B94">
        <v>1334</v>
      </c>
      <c r="C94" s="9" t="s">
        <v>216</v>
      </c>
      <c r="D94" s="9" t="s">
        <v>53</v>
      </c>
      <c r="E94" s="9" t="s">
        <v>54</v>
      </c>
      <c r="F94" s="9" t="s">
        <v>47</v>
      </c>
      <c r="G94" s="9" t="s">
        <v>72</v>
      </c>
      <c r="H94" s="9" t="s">
        <v>50</v>
      </c>
      <c r="I94" s="9" t="s">
        <v>51</v>
      </c>
      <c r="J94">
        <v>2</v>
      </c>
      <c r="K94" s="6"/>
      <c r="L94">
        <v>58.466799999999999</v>
      </c>
      <c r="M94">
        <v>115.6889</v>
      </c>
      <c r="N94">
        <v>120</v>
      </c>
      <c r="O94">
        <v>120</v>
      </c>
      <c r="P94">
        <v>48.72</v>
      </c>
      <c r="Q94">
        <v>96.41</v>
      </c>
      <c r="R94">
        <v>0</v>
      </c>
      <c r="S94">
        <v>0</v>
      </c>
      <c r="T94">
        <v>0</v>
      </c>
      <c r="U94">
        <v>1.9079999999999999</v>
      </c>
      <c r="V94">
        <v>4.3110999999999997</v>
      </c>
      <c r="W94">
        <v>2.2599999999999998</v>
      </c>
      <c r="X94">
        <v>8</v>
      </c>
      <c r="Y94" s="9" t="s">
        <v>559</v>
      </c>
      <c r="Z94">
        <v>0</v>
      </c>
      <c r="AA94">
        <v>405</v>
      </c>
      <c r="AB94">
        <v>0</v>
      </c>
      <c r="AC94" s="9" t="s">
        <v>562</v>
      </c>
    </row>
    <row r="95" spans="1:29" x14ac:dyDescent="0.35">
      <c r="A95">
        <v>94</v>
      </c>
      <c r="B95">
        <v>1055</v>
      </c>
      <c r="C95" s="9" t="s">
        <v>214</v>
      </c>
      <c r="D95" s="9" t="s">
        <v>45</v>
      </c>
      <c r="E95" s="9" t="s">
        <v>46</v>
      </c>
      <c r="F95" s="9" t="s">
        <v>47</v>
      </c>
      <c r="G95" s="9" t="s">
        <v>88</v>
      </c>
      <c r="H95" s="9" t="s">
        <v>89</v>
      </c>
      <c r="I95" s="9" t="s">
        <v>90</v>
      </c>
      <c r="J95">
        <v>1</v>
      </c>
      <c r="K95" s="6"/>
      <c r="L95">
        <v>78.683800000000005</v>
      </c>
      <c r="M95">
        <v>144.87190000000001</v>
      </c>
      <c r="N95">
        <v>150</v>
      </c>
      <c r="O95">
        <v>150</v>
      </c>
      <c r="P95">
        <v>52.46</v>
      </c>
      <c r="Q95">
        <v>96.58</v>
      </c>
      <c r="R95">
        <v>0</v>
      </c>
      <c r="S95">
        <v>0</v>
      </c>
      <c r="T95">
        <v>0</v>
      </c>
      <c r="U95">
        <v>1.9149</v>
      </c>
      <c r="V95">
        <v>5.1280999999999999</v>
      </c>
      <c r="W95">
        <v>2.68</v>
      </c>
      <c r="X95">
        <v>18</v>
      </c>
      <c r="Y95" s="9" t="s">
        <v>559</v>
      </c>
      <c r="Z95">
        <v>0</v>
      </c>
      <c r="AA95">
        <v>405</v>
      </c>
      <c r="AB95">
        <v>0</v>
      </c>
      <c r="AC95" s="9" t="s">
        <v>563</v>
      </c>
    </row>
    <row r="96" spans="1:29" x14ac:dyDescent="0.35">
      <c r="A96">
        <v>95</v>
      </c>
      <c r="B96">
        <v>1065</v>
      </c>
      <c r="C96" s="9" t="s">
        <v>213</v>
      </c>
      <c r="D96" s="9" t="s">
        <v>45</v>
      </c>
      <c r="E96" s="9" t="s">
        <v>46</v>
      </c>
      <c r="F96" s="9" t="s">
        <v>47</v>
      </c>
      <c r="G96" s="9" t="s">
        <v>88</v>
      </c>
      <c r="H96" s="9" t="s">
        <v>89</v>
      </c>
      <c r="I96" s="9" t="s">
        <v>90</v>
      </c>
      <c r="J96">
        <v>4</v>
      </c>
      <c r="K96" s="6"/>
      <c r="L96">
        <v>78.683800000000005</v>
      </c>
      <c r="M96">
        <v>144.87190000000001</v>
      </c>
      <c r="N96">
        <v>150</v>
      </c>
      <c r="O96">
        <v>150</v>
      </c>
      <c r="P96">
        <v>52.46</v>
      </c>
      <c r="Q96">
        <v>96.58</v>
      </c>
      <c r="R96">
        <v>0</v>
      </c>
      <c r="S96">
        <v>0</v>
      </c>
      <c r="T96">
        <v>0</v>
      </c>
      <c r="U96">
        <v>1.9149</v>
      </c>
      <c r="V96">
        <v>5.1280999999999999</v>
      </c>
      <c r="W96">
        <v>2.68</v>
      </c>
      <c r="X96">
        <v>18</v>
      </c>
      <c r="Y96" s="9" t="s">
        <v>559</v>
      </c>
      <c r="Z96">
        <v>0</v>
      </c>
      <c r="AA96">
        <v>405</v>
      </c>
      <c r="AB96">
        <v>0</v>
      </c>
      <c r="AC96" s="9" t="s">
        <v>563</v>
      </c>
    </row>
    <row r="97" spans="1:29" x14ac:dyDescent="0.35">
      <c r="A97">
        <v>96</v>
      </c>
      <c r="B97">
        <v>810</v>
      </c>
      <c r="C97" s="9" t="s">
        <v>215</v>
      </c>
      <c r="D97" s="9" t="s">
        <v>45</v>
      </c>
      <c r="E97" s="9" t="s">
        <v>46</v>
      </c>
      <c r="F97" s="9" t="s">
        <v>47</v>
      </c>
      <c r="G97" s="9" t="s">
        <v>110</v>
      </c>
      <c r="H97" s="9" t="s">
        <v>57</v>
      </c>
      <c r="I97" s="9" t="s">
        <v>58</v>
      </c>
      <c r="J97">
        <v>4</v>
      </c>
      <c r="K97" s="6"/>
      <c r="L97">
        <v>75.133300000000006</v>
      </c>
      <c r="M97">
        <v>144.75239999999999</v>
      </c>
      <c r="N97">
        <v>150</v>
      </c>
      <c r="O97">
        <v>150</v>
      </c>
      <c r="P97">
        <v>50.09</v>
      </c>
      <c r="Q97">
        <v>96.5</v>
      </c>
      <c r="R97">
        <v>0</v>
      </c>
      <c r="S97">
        <v>0</v>
      </c>
      <c r="T97">
        <v>0</v>
      </c>
      <c r="U97">
        <v>1.9188000000000001</v>
      </c>
      <c r="V97">
        <v>5.2476000000000003</v>
      </c>
      <c r="W97">
        <v>2.73</v>
      </c>
      <c r="X97">
        <v>18</v>
      </c>
      <c r="Y97" s="9" t="s">
        <v>559</v>
      </c>
      <c r="Z97">
        <v>0</v>
      </c>
      <c r="AA97">
        <v>405</v>
      </c>
      <c r="AB97">
        <v>0</v>
      </c>
      <c r="AC97" s="9" t="s">
        <v>564</v>
      </c>
    </row>
    <row r="98" spans="1:29" x14ac:dyDescent="0.35">
      <c r="A98">
        <v>97</v>
      </c>
      <c r="B98">
        <v>549</v>
      </c>
      <c r="C98" s="9" t="s">
        <v>219</v>
      </c>
      <c r="D98" s="9" t="s">
        <v>45</v>
      </c>
      <c r="E98" s="9" t="s">
        <v>46</v>
      </c>
      <c r="F98" s="9" t="s">
        <v>47</v>
      </c>
      <c r="G98" s="9" t="s">
        <v>97</v>
      </c>
      <c r="H98" s="9" t="s">
        <v>50</v>
      </c>
      <c r="I98" s="9" t="s">
        <v>51</v>
      </c>
      <c r="J98">
        <v>2</v>
      </c>
      <c r="K98" s="6"/>
      <c r="L98">
        <v>65.233199999999997</v>
      </c>
      <c r="M98">
        <v>143.0205</v>
      </c>
      <c r="N98">
        <v>150</v>
      </c>
      <c r="O98">
        <v>150</v>
      </c>
      <c r="P98">
        <v>43.49</v>
      </c>
      <c r="Q98">
        <v>95.35</v>
      </c>
      <c r="R98">
        <v>0</v>
      </c>
      <c r="S98">
        <v>0</v>
      </c>
      <c r="T98">
        <v>0</v>
      </c>
      <c r="U98">
        <v>2.1760999999999999</v>
      </c>
      <c r="V98">
        <v>6.9794999999999998</v>
      </c>
      <c r="W98">
        <v>3.21</v>
      </c>
      <c r="X98">
        <v>18</v>
      </c>
      <c r="Y98" s="9" t="s">
        <v>559</v>
      </c>
      <c r="Z98">
        <v>0</v>
      </c>
      <c r="AA98">
        <v>405</v>
      </c>
      <c r="AB98">
        <v>0</v>
      </c>
      <c r="AC98" s="9" t="s">
        <v>565</v>
      </c>
    </row>
    <row r="99" spans="1:29" x14ac:dyDescent="0.35">
      <c r="A99">
        <v>98</v>
      </c>
      <c r="B99">
        <v>708</v>
      </c>
      <c r="C99" s="9" t="s">
        <v>225</v>
      </c>
      <c r="D99" s="9" t="s">
        <v>53</v>
      </c>
      <c r="E99" s="9" t="s">
        <v>54</v>
      </c>
      <c r="F99" s="9" t="s">
        <v>47</v>
      </c>
      <c r="G99" s="9" t="s">
        <v>95</v>
      </c>
      <c r="H99" s="9" t="s">
        <v>57</v>
      </c>
      <c r="I99" s="9" t="s">
        <v>58</v>
      </c>
      <c r="J99">
        <v>2</v>
      </c>
      <c r="K99" s="6"/>
      <c r="L99">
        <v>57.833399999999997</v>
      </c>
      <c r="M99">
        <v>112.4564</v>
      </c>
      <c r="N99">
        <v>120</v>
      </c>
      <c r="O99">
        <v>120</v>
      </c>
      <c r="P99">
        <v>48.19</v>
      </c>
      <c r="Q99">
        <v>93.71</v>
      </c>
      <c r="R99">
        <v>0</v>
      </c>
      <c r="S99">
        <v>0</v>
      </c>
      <c r="T99">
        <v>0</v>
      </c>
      <c r="U99">
        <v>1.9216</v>
      </c>
      <c r="V99">
        <v>7.5435999999999996</v>
      </c>
      <c r="W99">
        <v>3.93</v>
      </c>
      <c r="X99">
        <v>8</v>
      </c>
      <c r="Y99" s="9" t="s">
        <v>559</v>
      </c>
      <c r="Z99">
        <v>0</v>
      </c>
      <c r="AA99">
        <v>405</v>
      </c>
      <c r="AB99">
        <v>0</v>
      </c>
      <c r="AC99" s="9" t="s">
        <v>566</v>
      </c>
    </row>
    <row r="100" spans="1:29" x14ac:dyDescent="0.35">
      <c r="A100">
        <v>99</v>
      </c>
      <c r="B100">
        <v>336</v>
      </c>
      <c r="C100" s="9" t="s">
        <v>220</v>
      </c>
      <c r="D100" s="9" t="s">
        <v>45</v>
      </c>
      <c r="E100" s="9" t="s">
        <v>46</v>
      </c>
      <c r="F100" s="9" t="s">
        <v>47</v>
      </c>
      <c r="G100" s="9" t="s">
        <v>93</v>
      </c>
      <c r="H100" s="9" t="s">
        <v>89</v>
      </c>
      <c r="I100" s="9" t="s">
        <v>90</v>
      </c>
      <c r="J100">
        <v>1</v>
      </c>
      <c r="K100" s="6"/>
      <c r="L100">
        <v>79.199799999999996</v>
      </c>
      <c r="M100">
        <v>142.6207</v>
      </c>
      <c r="N100">
        <v>150</v>
      </c>
      <c r="O100">
        <v>150</v>
      </c>
      <c r="P100">
        <v>52.8</v>
      </c>
      <c r="Q100">
        <v>95.08</v>
      </c>
      <c r="R100">
        <v>0</v>
      </c>
      <c r="S100">
        <v>0</v>
      </c>
      <c r="T100">
        <v>0</v>
      </c>
      <c r="U100">
        <v>1.7137</v>
      </c>
      <c r="V100">
        <v>7.3792999999999997</v>
      </c>
      <c r="W100">
        <v>4.3099999999999996</v>
      </c>
      <c r="X100">
        <v>18</v>
      </c>
      <c r="Y100" s="9" t="s">
        <v>559</v>
      </c>
      <c r="Z100">
        <v>0</v>
      </c>
      <c r="AA100">
        <v>405</v>
      </c>
      <c r="AB100">
        <v>0</v>
      </c>
      <c r="AC100" s="9" t="s">
        <v>567</v>
      </c>
    </row>
    <row r="101" spans="1:29" x14ac:dyDescent="0.35">
      <c r="A101">
        <v>100</v>
      </c>
      <c r="B101">
        <v>1479</v>
      </c>
      <c r="C101" s="9" t="s">
        <v>218</v>
      </c>
      <c r="D101" s="9" t="s">
        <v>64</v>
      </c>
      <c r="E101" s="9" t="s">
        <v>65</v>
      </c>
      <c r="F101" s="9" t="s">
        <v>47</v>
      </c>
      <c r="G101" s="9" t="s">
        <v>67</v>
      </c>
      <c r="H101" s="9" t="s">
        <v>57</v>
      </c>
      <c r="I101" s="9" t="s">
        <v>58</v>
      </c>
      <c r="J101">
        <v>2</v>
      </c>
      <c r="K101" s="6"/>
      <c r="L101">
        <v>93.249899999999997</v>
      </c>
      <c r="M101">
        <v>190.70849999999999</v>
      </c>
      <c r="N101">
        <v>200</v>
      </c>
      <c r="O101">
        <v>200</v>
      </c>
      <c r="P101">
        <v>46.62</v>
      </c>
      <c r="Q101">
        <v>95.35</v>
      </c>
      <c r="R101">
        <v>0</v>
      </c>
      <c r="S101">
        <v>0</v>
      </c>
      <c r="T101">
        <v>0</v>
      </c>
      <c r="U101">
        <v>1.9626999999999999</v>
      </c>
      <c r="V101">
        <v>9.2914999999999992</v>
      </c>
      <c r="W101">
        <v>4.7300000000000004</v>
      </c>
      <c r="X101">
        <v>12</v>
      </c>
      <c r="Y101" s="9" t="s">
        <v>559</v>
      </c>
      <c r="Z101">
        <v>0</v>
      </c>
      <c r="AA101">
        <v>405</v>
      </c>
      <c r="AB101">
        <v>0</v>
      </c>
      <c r="AC101" s="9" t="s">
        <v>568</v>
      </c>
    </row>
    <row r="102" spans="1:29" x14ac:dyDescent="0.35">
      <c r="A102">
        <v>101</v>
      </c>
      <c r="B102">
        <v>1033</v>
      </c>
      <c r="C102" s="9" t="s">
        <v>229</v>
      </c>
      <c r="D102" s="9" t="s">
        <v>53</v>
      </c>
      <c r="E102" s="9" t="s">
        <v>54</v>
      </c>
      <c r="F102" s="9" t="s">
        <v>47</v>
      </c>
      <c r="G102" s="9" t="s">
        <v>88</v>
      </c>
      <c r="H102" s="9" t="s">
        <v>89</v>
      </c>
      <c r="I102" s="9" t="s">
        <v>90</v>
      </c>
      <c r="J102">
        <v>1</v>
      </c>
      <c r="K102" s="6"/>
      <c r="L102">
        <v>58.300400000000003</v>
      </c>
      <c r="M102">
        <v>109.3051</v>
      </c>
      <c r="N102">
        <v>120</v>
      </c>
      <c r="O102">
        <v>120</v>
      </c>
      <c r="P102">
        <v>48.58</v>
      </c>
      <c r="Q102">
        <v>91.09</v>
      </c>
      <c r="R102">
        <v>0</v>
      </c>
      <c r="S102">
        <v>0</v>
      </c>
      <c r="T102">
        <v>0</v>
      </c>
      <c r="U102">
        <v>1.9149</v>
      </c>
      <c r="V102">
        <v>10.694900000000001</v>
      </c>
      <c r="W102">
        <v>5.59</v>
      </c>
      <c r="X102">
        <v>8</v>
      </c>
      <c r="Y102" s="9" t="s">
        <v>559</v>
      </c>
      <c r="Z102">
        <v>0</v>
      </c>
      <c r="AA102">
        <v>405</v>
      </c>
      <c r="AB102">
        <v>0</v>
      </c>
      <c r="AC102" s="9" t="s">
        <v>569</v>
      </c>
    </row>
    <row r="103" spans="1:29" x14ac:dyDescent="0.35">
      <c r="A103">
        <v>102</v>
      </c>
      <c r="B103">
        <v>649</v>
      </c>
      <c r="C103" s="9" t="s">
        <v>231</v>
      </c>
      <c r="D103" s="9" t="s">
        <v>53</v>
      </c>
      <c r="E103" s="9" t="s">
        <v>54</v>
      </c>
      <c r="F103" s="9" t="s">
        <v>47</v>
      </c>
      <c r="G103" s="9" t="s">
        <v>81</v>
      </c>
      <c r="H103" s="9" t="s">
        <v>57</v>
      </c>
      <c r="I103" s="9" t="s">
        <v>58</v>
      </c>
      <c r="J103">
        <v>1</v>
      </c>
      <c r="K103" s="6"/>
      <c r="L103">
        <v>57.466700000000003</v>
      </c>
      <c r="M103">
        <v>108.90130000000001</v>
      </c>
      <c r="N103">
        <v>120</v>
      </c>
      <c r="O103">
        <v>120</v>
      </c>
      <c r="P103">
        <v>47.89</v>
      </c>
      <c r="Q103">
        <v>90.75</v>
      </c>
      <c r="R103">
        <v>0</v>
      </c>
      <c r="S103">
        <v>0</v>
      </c>
      <c r="T103">
        <v>0</v>
      </c>
      <c r="U103">
        <v>1.8671</v>
      </c>
      <c r="V103">
        <v>11.098699999999999</v>
      </c>
      <c r="W103">
        <v>5.94</v>
      </c>
      <c r="X103">
        <v>8</v>
      </c>
      <c r="Y103" s="9" t="s">
        <v>559</v>
      </c>
      <c r="Z103">
        <v>0</v>
      </c>
      <c r="AA103">
        <v>405</v>
      </c>
      <c r="AB103">
        <v>0</v>
      </c>
      <c r="AC103" s="9" t="s">
        <v>570</v>
      </c>
    </row>
    <row r="104" spans="1:29" x14ac:dyDescent="0.35">
      <c r="A104">
        <v>103</v>
      </c>
      <c r="B104">
        <v>655</v>
      </c>
      <c r="C104" s="9" t="s">
        <v>232</v>
      </c>
      <c r="D104" s="9" t="s">
        <v>53</v>
      </c>
      <c r="E104" s="9" t="s">
        <v>54</v>
      </c>
      <c r="F104" s="9" t="s">
        <v>47</v>
      </c>
      <c r="G104" s="9" t="s">
        <v>81</v>
      </c>
      <c r="H104" s="9" t="s">
        <v>57</v>
      </c>
      <c r="I104" s="9" t="s">
        <v>58</v>
      </c>
      <c r="J104">
        <v>2</v>
      </c>
      <c r="K104" s="6"/>
      <c r="L104">
        <v>57.466700000000003</v>
      </c>
      <c r="M104">
        <v>108.90130000000001</v>
      </c>
      <c r="N104">
        <v>120</v>
      </c>
      <c r="O104">
        <v>120</v>
      </c>
      <c r="P104">
        <v>47.89</v>
      </c>
      <c r="Q104">
        <v>90.75</v>
      </c>
      <c r="R104">
        <v>0</v>
      </c>
      <c r="S104">
        <v>0</v>
      </c>
      <c r="T104">
        <v>0</v>
      </c>
      <c r="U104">
        <v>1.8671</v>
      </c>
      <c r="V104">
        <v>11.098699999999999</v>
      </c>
      <c r="W104">
        <v>5.94</v>
      </c>
      <c r="X104">
        <v>8</v>
      </c>
      <c r="Y104" s="9" t="s">
        <v>559</v>
      </c>
      <c r="Z104">
        <v>0</v>
      </c>
      <c r="AA104">
        <v>405</v>
      </c>
      <c r="AB104">
        <v>0</v>
      </c>
      <c r="AC104" s="9" t="s">
        <v>570</v>
      </c>
    </row>
    <row r="105" spans="1:29" x14ac:dyDescent="0.35">
      <c r="A105">
        <v>104</v>
      </c>
      <c r="B105">
        <v>1494</v>
      </c>
      <c r="C105" s="9" t="s">
        <v>228</v>
      </c>
      <c r="D105" s="9" t="s">
        <v>45</v>
      </c>
      <c r="E105" s="9" t="s">
        <v>46</v>
      </c>
      <c r="F105" s="9" t="s">
        <v>47</v>
      </c>
      <c r="G105" s="9" t="s">
        <v>67</v>
      </c>
      <c r="H105" s="9" t="s">
        <v>57</v>
      </c>
      <c r="I105" s="9" t="s">
        <v>58</v>
      </c>
      <c r="J105">
        <v>2</v>
      </c>
      <c r="K105" s="6"/>
      <c r="L105">
        <v>69.000100000000003</v>
      </c>
      <c r="M105">
        <v>138.25960000000001</v>
      </c>
      <c r="N105">
        <v>150</v>
      </c>
      <c r="O105">
        <v>150</v>
      </c>
      <c r="P105">
        <v>46</v>
      </c>
      <c r="Q105">
        <v>92.17</v>
      </c>
      <c r="R105">
        <v>0</v>
      </c>
      <c r="S105">
        <v>0</v>
      </c>
      <c r="T105">
        <v>0</v>
      </c>
      <c r="U105">
        <v>1.9626999999999999</v>
      </c>
      <c r="V105">
        <v>11.740399999999999</v>
      </c>
      <c r="W105">
        <v>5.98</v>
      </c>
      <c r="X105">
        <v>18</v>
      </c>
      <c r="Y105" s="9" t="s">
        <v>559</v>
      </c>
      <c r="Z105">
        <v>0</v>
      </c>
      <c r="AA105">
        <v>405</v>
      </c>
      <c r="AB105">
        <v>0</v>
      </c>
      <c r="AC105" s="9" t="s">
        <v>571</v>
      </c>
    </row>
    <row r="106" spans="1:29" x14ac:dyDescent="0.35">
      <c r="A106">
        <v>105</v>
      </c>
      <c r="B106">
        <v>1380</v>
      </c>
      <c r="C106" s="9" t="s">
        <v>236</v>
      </c>
      <c r="D106" s="9" t="s">
        <v>53</v>
      </c>
      <c r="E106" s="9" t="s">
        <v>54</v>
      </c>
      <c r="F106" s="9" t="s">
        <v>47</v>
      </c>
      <c r="G106" s="9" t="s">
        <v>125</v>
      </c>
      <c r="H106" s="9" t="s">
        <v>89</v>
      </c>
      <c r="I106" s="9" t="s">
        <v>90</v>
      </c>
      <c r="J106">
        <v>1</v>
      </c>
      <c r="K106" s="6"/>
      <c r="L106">
        <v>59.6</v>
      </c>
      <c r="M106">
        <v>106.7775</v>
      </c>
      <c r="N106">
        <v>120</v>
      </c>
      <c r="O106">
        <v>120</v>
      </c>
      <c r="P106">
        <v>49.67</v>
      </c>
      <c r="Q106">
        <v>88.98</v>
      </c>
      <c r="R106">
        <v>0</v>
      </c>
      <c r="S106">
        <v>0</v>
      </c>
      <c r="T106">
        <v>0</v>
      </c>
      <c r="U106">
        <v>1.7297</v>
      </c>
      <c r="V106">
        <v>13.2225</v>
      </c>
      <c r="W106">
        <v>7.64</v>
      </c>
      <c r="X106">
        <v>8</v>
      </c>
      <c r="Y106" s="9" t="s">
        <v>559</v>
      </c>
      <c r="Z106">
        <v>0</v>
      </c>
      <c r="AA106">
        <v>405</v>
      </c>
      <c r="AB106">
        <v>0</v>
      </c>
      <c r="AC106" s="9" t="s">
        <v>572</v>
      </c>
    </row>
    <row r="107" spans="1:29" x14ac:dyDescent="0.35">
      <c r="A107">
        <v>106</v>
      </c>
      <c r="B107">
        <v>302</v>
      </c>
      <c r="C107" s="9" t="s">
        <v>226</v>
      </c>
      <c r="D107" s="9" t="s">
        <v>45</v>
      </c>
      <c r="E107" s="9" t="s">
        <v>46</v>
      </c>
      <c r="F107" s="9" t="s">
        <v>47</v>
      </c>
      <c r="G107" s="9" t="s">
        <v>205</v>
      </c>
      <c r="H107" s="9" t="s">
        <v>154</v>
      </c>
      <c r="I107" s="9" t="s">
        <v>155</v>
      </c>
      <c r="J107">
        <v>2</v>
      </c>
      <c r="K107" s="6"/>
      <c r="L107">
        <v>116.9335</v>
      </c>
      <c r="M107">
        <v>139.18510000000001</v>
      </c>
      <c r="N107">
        <v>150</v>
      </c>
      <c r="O107">
        <v>150</v>
      </c>
      <c r="P107">
        <v>77.959999999999994</v>
      </c>
      <c r="Q107">
        <v>92.79</v>
      </c>
      <c r="R107">
        <v>0</v>
      </c>
      <c r="S107">
        <v>0</v>
      </c>
      <c r="T107">
        <v>0</v>
      </c>
      <c r="U107">
        <v>1.08</v>
      </c>
      <c r="V107">
        <v>10.8149</v>
      </c>
      <c r="W107">
        <v>10.01</v>
      </c>
      <c r="X107">
        <v>18</v>
      </c>
      <c r="Y107" s="9" t="s">
        <v>559</v>
      </c>
      <c r="Z107">
        <v>0</v>
      </c>
      <c r="AA107">
        <v>405</v>
      </c>
      <c r="AB107">
        <v>0</v>
      </c>
      <c r="AC107" s="9" t="s">
        <v>573</v>
      </c>
    </row>
    <row r="108" spans="1:29" x14ac:dyDescent="0.35">
      <c r="A108">
        <v>107</v>
      </c>
      <c r="B108">
        <v>175</v>
      </c>
      <c r="C108" s="9" t="s">
        <v>221</v>
      </c>
      <c r="D108" s="9" t="s">
        <v>64</v>
      </c>
      <c r="E108" s="9" t="s">
        <v>65</v>
      </c>
      <c r="F108" s="9" t="s">
        <v>47</v>
      </c>
      <c r="G108" s="9" t="s">
        <v>192</v>
      </c>
      <c r="H108" s="9" t="s">
        <v>154</v>
      </c>
      <c r="I108" s="9" t="s">
        <v>155</v>
      </c>
      <c r="J108">
        <v>1</v>
      </c>
      <c r="K108" s="6"/>
      <c r="L108">
        <v>164.43299999999999</v>
      </c>
      <c r="M108">
        <v>188.24340000000001</v>
      </c>
      <c r="N108">
        <v>200</v>
      </c>
      <c r="O108">
        <v>200</v>
      </c>
      <c r="P108">
        <v>82.22</v>
      </c>
      <c r="Q108">
        <v>94.12</v>
      </c>
      <c r="R108">
        <v>0</v>
      </c>
      <c r="S108">
        <v>0</v>
      </c>
      <c r="T108">
        <v>0</v>
      </c>
      <c r="U108">
        <v>1.1001000000000001</v>
      </c>
      <c r="V108">
        <v>11.756600000000001</v>
      </c>
      <c r="W108">
        <v>10.69</v>
      </c>
      <c r="X108">
        <v>12</v>
      </c>
      <c r="Y108" s="9" t="s">
        <v>559</v>
      </c>
      <c r="Z108">
        <v>0</v>
      </c>
      <c r="AA108">
        <v>405</v>
      </c>
      <c r="AB108">
        <v>0</v>
      </c>
      <c r="AC108" s="9" t="s">
        <v>574</v>
      </c>
    </row>
    <row r="109" spans="1:29" x14ac:dyDescent="0.35">
      <c r="A109">
        <v>108</v>
      </c>
      <c r="B109">
        <v>178</v>
      </c>
      <c r="C109" s="9" t="s">
        <v>222</v>
      </c>
      <c r="D109" s="9" t="s">
        <v>64</v>
      </c>
      <c r="E109" s="9" t="s">
        <v>65</v>
      </c>
      <c r="F109" s="9" t="s">
        <v>47</v>
      </c>
      <c r="G109" s="9" t="s">
        <v>192</v>
      </c>
      <c r="H109" s="9" t="s">
        <v>154</v>
      </c>
      <c r="I109" s="9" t="s">
        <v>155</v>
      </c>
      <c r="J109">
        <v>2</v>
      </c>
      <c r="K109" s="6"/>
      <c r="L109">
        <v>164.43299999999999</v>
      </c>
      <c r="M109">
        <v>188.24340000000001</v>
      </c>
      <c r="N109">
        <v>200</v>
      </c>
      <c r="O109">
        <v>200</v>
      </c>
      <c r="P109">
        <v>82.22</v>
      </c>
      <c r="Q109">
        <v>94.12</v>
      </c>
      <c r="R109">
        <v>0</v>
      </c>
      <c r="S109">
        <v>0</v>
      </c>
      <c r="T109">
        <v>0</v>
      </c>
      <c r="U109">
        <v>1.1001000000000001</v>
      </c>
      <c r="V109">
        <v>11.756600000000001</v>
      </c>
      <c r="W109">
        <v>10.69</v>
      </c>
      <c r="X109">
        <v>12</v>
      </c>
      <c r="Y109" s="9" t="s">
        <v>559</v>
      </c>
      <c r="Z109">
        <v>0</v>
      </c>
      <c r="AA109">
        <v>405</v>
      </c>
      <c r="AB109">
        <v>0</v>
      </c>
      <c r="AC109" s="9" t="s">
        <v>574</v>
      </c>
    </row>
    <row r="110" spans="1:29" x14ac:dyDescent="0.35">
      <c r="A110">
        <v>109</v>
      </c>
      <c r="B110">
        <v>181</v>
      </c>
      <c r="C110" s="9" t="s">
        <v>223</v>
      </c>
      <c r="D110" s="9" t="s">
        <v>64</v>
      </c>
      <c r="E110" s="9" t="s">
        <v>65</v>
      </c>
      <c r="F110" s="9" t="s">
        <v>47</v>
      </c>
      <c r="G110" s="9" t="s">
        <v>192</v>
      </c>
      <c r="H110" s="9" t="s">
        <v>154</v>
      </c>
      <c r="I110" s="9" t="s">
        <v>155</v>
      </c>
      <c r="J110">
        <v>3</v>
      </c>
      <c r="K110" s="6"/>
      <c r="L110">
        <v>164.43299999999999</v>
      </c>
      <c r="M110">
        <v>188.24340000000001</v>
      </c>
      <c r="N110">
        <v>200</v>
      </c>
      <c r="O110">
        <v>200</v>
      </c>
      <c r="P110">
        <v>82.22</v>
      </c>
      <c r="Q110">
        <v>94.12</v>
      </c>
      <c r="R110">
        <v>0</v>
      </c>
      <c r="S110">
        <v>0</v>
      </c>
      <c r="T110">
        <v>0</v>
      </c>
      <c r="U110">
        <v>1.1001000000000001</v>
      </c>
      <c r="V110">
        <v>11.756600000000001</v>
      </c>
      <c r="W110">
        <v>10.69</v>
      </c>
      <c r="X110">
        <v>12</v>
      </c>
      <c r="Y110" s="9" t="s">
        <v>559</v>
      </c>
      <c r="Z110">
        <v>0</v>
      </c>
      <c r="AA110">
        <v>405</v>
      </c>
      <c r="AB110">
        <v>0</v>
      </c>
      <c r="AC110" s="9" t="s">
        <v>574</v>
      </c>
    </row>
    <row r="111" spans="1:29" x14ac:dyDescent="0.35">
      <c r="A111">
        <v>110</v>
      </c>
      <c r="B111">
        <v>184</v>
      </c>
      <c r="C111" s="9" t="s">
        <v>224</v>
      </c>
      <c r="D111" s="9" t="s">
        <v>64</v>
      </c>
      <c r="E111" s="9" t="s">
        <v>65</v>
      </c>
      <c r="F111" s="9" t="s">
        <v>47</v>
      </c>
      <c r="G111" s="9" t="s">
        <v>192</v>
      </c>
      <c r="H111" s="9" t="s">
        <v>154</v>
      </c>
      <c r="I111" s="9" t="s">
        <v>155</v>
      </c>
      <c r="J111">
        <v>4</v>
      </c>
      <c r="K111" s="6"/>
      <c r="L111">
        <v>164.43299999999999</v>
      </c>
      <c r="M111">
        <v>188.24340000000001</v>
      </c>
      <c r="N111">
        <v>200</v>
      </c>
      <c r="O111">
        <v>200</v>
      </c>
      <c r="P111">
        <v>82.22</v>
      </c>
      <c r="Q111">
        <v>94.12</v>
      </c>
      <c r="R111">
        <v>0</v>
      </c>
      <c r="S111">
        <v>0</v>
      </c>
      <c r="T111">
        <v>0</v>
      </c>
      <c r="U111">
        <v>1.1001000000000001</v>
      </c>
      <c r="V111">
        <v>11.756600000000001</v>
      </c>
      <c r="W111">
        <v>10.69</v>
      </c>
      <c r="X111">
        <v>12</v>
      </c>
      <c r="Y111" s="9" t="s">
        <v>559</v>
      </c>
      <c r="Z111">
        <v>0</v>
      </c>
      <c r="AA111">
        <v>405</v>
      </c>
      <c r="AB111">
        <v>0</v>
      </c>
      <c r="AC111" s="9" t="s">
        <v>574</v>
      </c>
    </row>
    <row r="112" spans="1:29" x14ac:dyDescent="0.35">
      <c r="A112">
        <v>111</v>
      </c>
      <c r="B112">
        <v>1014</v>
      </c>
      <c r="C112" s="9" t="s">
        <v>245</v>
      </c>
      <c r="D112" s="9" t="s">
        <v>45</v>
      </c>
      <c r="E112" s="9" t="s">
        <v>46</v>
      </c>
      <c r="F112" s="9" t="s">
        <v>47</v>
      </c>
      <c r="G112" s="9" t="s">
        <v>60</v>
      </c>
      <c r="H112" s="9" t="s">
        <v>50</v>
      </c>
      <c r="I112" s="9" t="s">
        <v>51</v>
      </c>
      <c r="J112">
        <v>1</v>
      </c>
      <c r="K112" s="6"/>
      <c r="L112">
        <v>56.599699999999999</v>
      </c>
      <c r="M112">
        <v>124.6361</v>
      </c>
      <c r="N112">
        <v>150</v>
      </c>
      <c r="O112">
        <v>150</v>
      </c>
      <c r="P112">
        <v>37.729999999999997</v>
      </c>
      <c r="Q112">
        <v>83.09</v>
      </c>
      <c r="R112">
        <v>0</v>
      </c>
      <c r="S112">
        <v>0</v>
      </c>
      <c r="T112">
        <v>0</v>
      </c>
      <c r="U112">
        <v>2.2582</v>
      </c>
      <c r="V112">
        <v>25.363900000000001</v>
      </c>
      <c r="W112">
        <v>11.23</v>
      </c>
      <c r="X112">
        <v>18</v>
      </c>
      <c r="Y112" s="9" t="s">
        <v>559</v>
      </c>
      <c r="Z112">
        <v>0</v>
      </c>
      <c r="AA112">
        <v>405</v>
      </c>
      <c r="AB112">
        <v>0</v>
      </c>
      <c r="AC112" s="9" t="s">
        <v>575</v>
      </c>
    </row>
    <row r="113" spans="1:29" x14ac:dyDescent="0.35">
      <c r="A113">
        <v>112</v>
      </c>
      <c r="B113">
        <v>49</v>
      </c>
      <c r="C113" s="9" t="s">
        <v>253</v>
      </c>
      <c r="D113" s="9" t="s">
        <v>45</v>
      </c>
      <c r="E113" s="9" t="s">
        <v>46</v>
      </c>
      <c r="F113" s="9" t="s">
        <v>47</v>
      </c>
      <c r="G113" s="9" t="s">
        <v>99</v>
      </c>
      <c r="H113" s="9" t="s">
        <v>57</v>
      </c>
      <c r="I113" s="9" t="s">
        <v>58</v>
      </c>
      <c r="J113">
        <v>3</v>
      </c>
      <c r="K113" s="6"/>
      <c r="L113">
        <v>56.633600000000001</v>
      </c>
      <c r="M113">
        <v>117.2555</v>
      </c>
      <c r="N113">
        <v>150</v>
      </c>
      <c r="O113">
        <v>150</v>
      </c>
      <c r="P113">
        <v>37.76</v>
      </c>
      <c r="Q113">
        <v>78.17</v>
      </c>
      <c r="R113">
        <v>0</v>
      </c>
      <c r="S113">
        <v>0</v>
      </c>
      <c r="T113">
        <v>0</v>
      </c>
      <c r="U113">
        <v>2.0638000000000001</v>
      </c>
      <c r="V113">
        <v>32.744500000000002</v>
      </c>
      <c r="W113">
        <v>15.87</v>
      </c>
      <c r="X113">
        <v>18</v>
      </c>
      <c r="Y113" s="9" t="s">
        <v>559</v>
      </c>
      <c r="Z113">
        <v>0</v>
      </c>
      <c r="AA113">
        <v>405</v>
      </c>
      <c r="AB113">
        <v>0</v>
      </c>
      <c r="AC113" s="9" t="s">
        <v>576</v>
      </c>
    </row>
    <row r="114" spans="1:29" x14ac:dyDescent="0.35">
      <c r="A114">
        <v>113</v>
      </c>
      <c r="B114">
        <v>104</v>
      </c>
      <c r="C114" s="9" t="s">
        <v>264</v>
      </c>
      <c r="D114" s="9" t="s">
        <v>45</v>
      </c>
      <c r="E114" s="9" t="s">
        <v>46</v>
      </c>
      <c r="F114" s="9" t="s">
        <v>47</v>
      </c>
      <c r="G114" s="9" t="s">
        <v>62</v>
      </c>
      <c r="H114" s="9" t="s">
        <v>50</v>
      </c>
      <c r="I114" s="9" t="s">
        <v>51</v>
      </c>
      <c r="J114">
        <v>2</v>
      </c>
      <c r="K114" s="6"/>
      <c r="L114">
        <v>50.149900000000002</v>
      </c>
      <c r="M114">
        <v>113.4683</v>
      </c>
      <c r="N114">
        <v>150</v>
      </c>
      <c r="O114">
        <v>150</v>
      </c>
      <c r="P114">
        <v>33.43</v>
      </c>
      <c r="Q114">
        <v>75.650000000000006</v>
      </c>
      <c r="R114">
        <v>0</v>
      </c>
      <c r="S114">
        <v>0</v>
      </c>
      <c r="T114">
        <v>0</v>
      </c>
      <c r="U114">
        <v>2.2806999999999999</v>
      </c>
      <c r="V114">
        <v>36.531700000000001</v>
      </c>
      <c r="W114">
        <v>16.02</v>
      </c>
      <c r="X114">
        <v>18</v>
      </c>
      <c r="Y114" s="9" t="s">
        <v>559</v>
      </c>
      <c r="Z114">
        <v>0</v>
      </c>
      <c r="AA114">
        <v>405</v>
      </c>
      <c r="AB114">
        <v>0</v>
      </c>
      <c r="AC114" s="9" t="s">
        <v>577</v>
      </c>
    </row>
    <row r="115" spans="1:29" x14ac:dyDescent="0.35">
      <c r="A115">
        <v>114</v>
      </c>
      <c r="B115">
        <v>886</v>
      </c>
      <c r="C115" s="9" t="s">
        <v>246</v>
      </c>
      <c r="D115" s="9" t="s">
        <v>64</v>
      </c>
      <c r="E115" s="9" t="s">
        <v>65</v>
      </c>
      <c r="F115" s="9" t="s">
        <v>47</v>
      </c>
      <c r="G115" s="9" t="s">
        <v>77</v>
      </c>
      <c r="H115" s="9" t="s">
        <v>50</v>
      </c>
      <c r="I115" s="9" t="s">
        <v>51</v>
      </c>
      <c r="J115">
        <v>4</v>
      </c>
      <c r="K115" s="6"/>
      <c r="L115">
        <v>74.883499999999998</v>
      </c>
      <c r="M115">
        <v>163.2938</v>
      </c>
      <c r="N115">
        <v>200</v>
      </c>
      <c r="O115">
        <v>200</v>
      </c>
      <c r="P115">
        <v>37.44</v>
      </c>
      <c r="Q115">
        <v>81.650000000000006</v>
      </c>
      <c r="R115">
        <v>0</v>
      </c>
      <c r="S115">
        <v>0</v>
      </c>
      <c r="T115">
        <v>0</v>
      </c>
      <c r="U115">
        <v>2.1968999999999999</v>
      </c>
      <c r="V115">
        <v>36.706200000000003</v>
      </c>
      <c r="W115">
        <v>16.71</v>
      </c>
      <c r="X115">
        <v>12</v>
      </c>
      <c r="Y115" s="9" t="s">
        <v>578</v>
      </c>
      <c r="Z115">
        <v>4.5</v>
      </c>
      <c r="AA115">
        <v>409.5</v>
      </c>
      <c r="AB115">
        <v>0</v>
      </c>
      <c r="AC115" s="9" t="s">
        <v>579</v>
      </c>
    </row>
    <row r="116" spans="1:29" x14ac:dyDescent="0.35">
      <c r="A116">
        <v>115</v>
      </c>
      <c r="B116">
        <v>162</v>
      </c>
      <c r="C116" s="9" t="s">
        <v>244</v>
      </c>
      <c r="D116" s="9" t="s">
        <v>53</v>
      </c>
      <c r="E116" s="9" t="s">
        <v>54</v>
      </c>
      <c r="F116" s="9" t="s">
        <v>47</v>
      </c>
      <c r="G116" s="9" t="s">
        <v>192</v>
      </c>
      <c r="H116" s="9" t="s">
        <v>154</v>
      </c>
      <c r="I116" s="9" t="s">
        <v>155</v>
      </c>
      <c r="J116">
        <v>1</v>
      </c>
      <c r="K116" s="6"/>
      <c r="L116">
        <v>88.466399999999993</v>
      </c>
      <c r="M116">
        <v>101.14660000000001</v>
      </c>
      <c r="N116">
        <v>120</v>
      </c>
      <c r="O116">
        <v>120</v>
      </c>
      <c r="P116">
        <v>73.72</v>
      </c>
      <c r="Q116">
        <v>84.29</v>
      </c>
      <c r="R116">
        <v>0</v>
      </c>
      <c r="S116">
        <v>0</v>
      </c>
      <c r="T116">
        <v>0</v>
      </c>
      <c r="U116">
        <v>1.1001000000000001</v>
      </c>
      <c r="V116">
        <v>18.853400000000001</v>
      </c>
      <c r="W116">
        <v>17.14</v>
      </c>
      <c r="X116">
        <v>8</v>
      </c>
      <c r="Y116" s="9" t="s">
        <v>578</v>
      </c>
      <c r="Z116">
        <v>4.5</v>
      </c>
      <c r="AA116">
        <v>414</v>
      </c>
      <c r="AB116">
        <v>0</v>
      </c>
      <c r="AC116" s="9" t="s">
        <v>580</v>
      </c>
    </row>
    <row r="117" spans="1:29" x14ac:dyDescent="0.35">
      <c r="A117">
        <v>116</v>
      </c>
      <c r="B117">
        <v>290</v>
      </c>
      <c r="C117" s="9" t="s">
        <v>233</v>
      </c>
      <c r="D117" s="9" t="s">
        <v>64</v>
      </c>
      <c r="E117" s="9" t="s">
        <v>65</v>
      </c>
      <c r="F117" s="9" t="s">
        <v>47</v>
      </c>
      <c r="G117" s="9" t="s">
        <v>205</v>
      </c>
      <c r="H117" s="9" t="s">
        <v>154</v>
      </c>
      <c r="I117" s="9" t="s">
        <v>155</v>
      </c>
      <c r="J117">
        <v>3</v>
      </c>
      <c r="K117" s="6"/>
      <c r="L117">
        <v>155.8503</v>
      </c>
      <c r="M117">
        <v>180.80850000000001</v>
      </c>
      <c r="N117">
        <v>200</v>
      </c>
      <c r="O117">
        <v>200</v>
      </c>
      <c r="P117">
        <v>77.930000000000007</v>
      </c>
      <c r="Q117">
        <v>90.4</v>
      </c>
      <c r="R117">
        <v>0</v>
      </c>
      <c r="S117">
        <v>0</v>
      </c>
      <c r="T117">
        <v>0</v>
      </c>
      <c r="U117">
        <v>1.08</v>
      </c>
      <c r="V117">
        <v>19.191500000000001</v>
      </c>
      <c r="W117">
        <v>17.77</v>
      </c>
      <c r="X117">
        <v>12</v>
      </c>
      <c r="Y117" s="9" t="s">
        <v>578</v>
      </c>
      <c r="Z117">
        <v>4.5</v>
      </c>
      <c r="AA117">
        <v>418.5</v>
      </c>
      <c r="AB117">
        <v>0</v>
      </c>
      <c r="AC117" s="9" t="s">
        <v>581</v>
      </c>
    </row>
    <row r="118" spans="1:29" x14ac:dyDescent="0.35">
      <c r="A118">
        <v>117</v>
      </c>
      <c r="B118">
        <v>293</v>
      </c>
      <c r="C118" s="9" t="s">
        <v>234</v>
      </c>
      <c r="D118" s="9" t="s">
        <v>64</v>
      </c>
      <c r="E118" s="9" t="s">
        <v>65</v>
      </c>
      <c r="F118" s="9" t="s">
        <v>47</v>
      </c>
      <c r="G118" s="9" t="s">
        <v>205</v>
      </c>
      <c r="H118" s="9" t="s">
        <v>154</v>
      </c>
      <c r="I118" s="9" t="s">
        <v>155</v>
      </c>
      <c r="J118">
        <v>4</v>
      </c>
      <c r="K118" s="6"/>
      <c r="L118">
        <v>155.8503</v>
      </c>
      <c r="M118">
        <v>180.80850000000001</v>
      </c>
      <c r="N118">
        <v>200</v>
      </c>
      <c r="O118">
        <v>200</v>
      </c>
      <c r="P118">
        <v>77.930000000000007</v>
      </c>
      <c r="Q118">
        <v>90.4</v>
      </c>
      <c r="R118">
        <v>0</v>
      </c>
      <c r="S118">
        <v>0</v>
      </c>
      <c r="T118">
        <v>0</v>
      </c>
      <c r="U118">
        <v>1.08</v>
      </c>
      <c r="V118">
        <v>19.191500000000001</v>
      </c>
      <c r="W118">
        <v>17.77</v>
      </c>
      <c r="X118">
        <v>12</v>
      </c>
      <c r="Y118" s="9" t="s">
        <v>578</v>
      </c>
      <c r="Z118">
        <v>4.5</v>
      </c>
      <c r="AA118">
        <v>423</v>
      </c>
      <c r="AB118">
        <v>0</v>
      </c>
      <c r="AC118" s="9" t="s">
        <v>581</v>
      </c>
    </row>
    <row r="119" spans="1:29" x14ac:dyDescent="0.35">
      <c r="A119">
        <v>118</v>
      </c>
      <c r="B119">
        <v>1059</v>
      </c>
      <c r="C119" s="9" t="s">
        <v>258</v>
      </c>
      <c r="D119" s="9" t="s">
        <v>45</v>
      </c>
      <c r="E119" s="9" t="s">
        <v>46</v>
      </c>
      <c r="F119" s="9" t="s">
        <v>47</v>
      </c>
      <c r="G119" s="9" t="s">
        <v>88</v>
      </c>
      <c r="H119" s="9" t="s">
        <v>89</v>
      </c>
      <c r="I119" s="9" t="s">
        <v>90</v>
      </c>
      <c r="J119">
        <v>2</v>
      </c>
      <c r="K119" s="6"/>
      <c r="L119">
        <v>62.300400000000003</v>
      </c>
      <c r="M119">
        <v>114.80800000000001</v>
      </c>
      <c r="N119">
        <v>150</v>
      </c>
      <c r="O119">
        <v>150</v>
      </c>
      <c r="P119">
        <v>41.53</v>
      </c>
      <c r="Q119">
        <v>76.540000000000006</v>
      </c>
      <c r="R119">
        <v>0</v>
      </c>
      <c r="S119">
        <v>0</v>
      </c>
      <c r="T119">
        <v>0</v>
      </c>
      <c r="U119">
        <v>1.9149</v>
      </c>
      <c r="V119">
        <v>35.192</v>
      </c>
      <c r="W119">
        <v>18.38</v>
      </c>
      <c r="X119">
        <v>18</v>
      </c>
      <c r="Y119" s="9" t="s">
        <v>578</v>
      </c>
      <c r="Z119">
        <v>4.5</v>
      </c>
      <c r="AA119">
        <v>427.5</v>
      </c>
      <c r="AB119">
        <v>0</v>
      </c>
      <c r="AC119" s="9" t="s">
        <v>582</v>
      </c>
    </row>
    <row r="120" spans="1:29" x14ac:dyDescent="0.35">
      <c r="A120">
        <v>119</v>
      </c>
      <c r="B120">
        <v>188</v>
      </c>
      <c r="C120" s="9" t="s">
        <v>239</v>
      </c>
      <c r="D120" s="9" t="s">
        <v>45</v>
      </c>
      <c r="E120" s="9" t="s">
        <v>46</v>
      </c>
      <c r="F120" s="9" t="s">
        <v>47</v>
      </c>
      <c r="G120" s="9" t="s">
        <v>192</v>
      </c>
      <c r="H120" s="9" t="s">
        <v>154</v>
      </c>
      <c r="I120" s="9" t="s">
        <v>155</v>
      </c>
      <c r="J120">
        <v>1</v>
      </c>
      <c r="K120" s="6"/>
      <c r="L120">
        <v>112.2831</v>
      </c>
      <c r="M120">
        <v>128.25409999999999</v>
      </c>
      <c r="N120">
        <v>150</v>
      </c>
      <c r="O120">
        <v>150</v>
      </c>
      <c r="P120">
        <v>74.86</v>
      </c>
      <c r="Q120">
        <v>85.5</v>
      </c>
      <c r="R120">
        <v>0</v>
      </c>
      <c r="S120">
        <v>0</v>
      </c>
      <c r="T120">
        <v>0</v>
      </c>
      <c r="U120">
        <v>1.1001000000000001</v>
      </c>
      <c r="V120">
        <v>21.745899999999999</v>
      </c>
      <c r="W120">
        <v>19.77</v>
      </c>
      <c r="X120">
        <v>18</v>
      </c>
      <c r="Y120" s="9" t="s">
        <v>578</v>
      </c>
      <c r="Z120">
        <v>4.5</v>
      </c>
      <c r="AA120">
        <v>432</v>
      </c>
      <c r="AB120">
        <v>0</v>
      </c>
      <c r="AC120" s="9" t="s">
        <v>583</v>
      </c>
    </row>
    <row r="121" spans="1:29" x14ac:dyDescent="0.35">
      <c r="A121">
        <v>120</v>
      </c>
      <c r="B121">
        <v>192</v>
      </c>
      <c r="C121" s="9" t="s">
        <v>240</v>
      </c>
      <c r="D121" s="9" t="s">
        <v>45</v>
      </c>
      <c r="E121" s="9" t="s">
        <v>46</v>
      </c>
      <c r="F121" s="9" t="s">
        <v>47</v>
      </c>
      <c r="G121" s="9" t="s">
        <v>192</v>
      </c>
      <c r="H121" s="9" t="s">
        <v>154</v>
      </c>
      <c r="I121" s="9" t="s">
        <v>155</v>
      </c>
      <c r="J121">
        <v>2</v>
      </c>
      <c r="K121" s="6"/>
      <c r="L121">
        <v>112.2831</v>
      </c>
      <c r="M121">
        <v>128.25409999999999</v>
      </c>
      <c r="N121">
        <v>150</v>
      </c>
      <c r="O121">
        <v>150</v>
      </c>
      <c r="P121">
        <v>74.86</v>
      </c>
      <c r="Q121">
        <v>85.5</v>
      </c>
      <c r="R121">
        <v>0</v>
      </c>
      <c r="S121">
        <v>0</v>
      </c>
      <c r="T121">
        <v>0</v>
      </c>
      <c r="U121">
        <v>1.1001000000000001</v>
      </c>
      <c r="V121">
        <v>21.745899999999999</v>
      </c>
      <c r="W121">
        <v>19.77</v>
      </c>
      <c r="X121">
        <v>18</v>
      </c>
      <c r="Y121" s="9" t="s">
        <v>578</v>
      </c>
      <c r="Z121">
        <v>4.5</v>
      </c>
      <c r="AA121">
        <v>436.5</v>
      </c>
      <c r="AB121">
        <v>0</v>
      </c>
      <c r="AC121" s="9" t="s">
        <v>583</v>
      </c>
    </row>
    <row r="122" spans="1:29" x14ac:dyDescent="0.35">
      <c r="A122">
        <v>121</v>
      </c>
      <c r="B122">
        <v>759</v>
      </c>
      <c r="C122" s="9" t="s">
        <v>278</v>
      </c>
      <c r="D122" s="9" t="s">
        <v>53</v>
      </c>
      <c r="E122" s="9" t="s">
        <v>54</v>
      </c>
      <c r="F122" s="9" t="s">
        <v>47</v>
      </c>
      <c r="G122" s="9" t="s">
        <v>110</v>
      </c>
      <c r="H122" s="9" t="s">
        <v>57</v>
      </c>
      <c r="I122" s="9" t="s">
        <v>58</v>
      </c>
      <c r="J122">
        <v>1</v>
      </c>
      <c r="K122" s="6"/>
      <c r="L122">
        <v>43.466799999999999</v>
      </c>
      <c r="M122">
        <v>81.711200000000005</v>
      </c>
      <c r="N122">
        <v>120</v>
      </c>
      <c r="O122">
        <v>120</v>
      </c>
      <c r="P122">
        <v>36.22</v>
      </c>
      <c r="Q122">
        <v>68.09</v>
      </c>
      <c r="R122">
        <v>0</v>
      </c>
      <c r="S122">
        <v>0</v>
      </c>
      <c r="T122">
        <v>0</v>
      </c>
      <c r="U122">
        <v>1.9188000000000001</v>
      </c>
      <c r="V122">
        <v>38.288800000000002</v>
      </c>
      <c r="W122">
        <v>19.95</v>
      </c>
      <c r="X122">
        <v>8</v>
      </c>
      <c r="Y122" s="9" t="s">
        <v>578</v>
      </c>
      <c r="Z122">
        <v>4.5</v>
      </c>
      <c r="AA122">
        <v>441</v>
      </c>
      <c r="AB122">
        <v>0</v>
      </c>
      <c r="AC122" s="9" t="s">
        <v>584</v>
      </c>
    </row>
    <row r="123" spans="1:29" x14ac:dyDescent="0.35">
      <c r="A123">
        <v>122</v>
      </c>
      <c r="B123">
        <v>116</v>
      </c>
      <c r="C123" s="9" t="s">
        <v>277</v>
      </c>
      <c r="D123" s="9" t="s">
        <v>45</v>
      </c>
      <c r="E123" s="9" t="s">
        <v>46</v>
      </c>
      <c r="F123" s="9" t="s">
        <v>47</v>
      </c>
      <c r="G123" s="9" t="s">
        <v>62</v>
      </c>
      <c r="H123" s="9" t="s">
        <v>50</v>
      </c>
      <c r="I123" s="9" t="s">
        <v>51</v>
      </c>
      <c r="J123">
        <v>4</v>
      </c>
      <c r="K123" s="6"/>
      <c r="L123">
        <v>45.249899999999997</v>
      </c>
      <c r="M123">
        <v>102.6564</v>
      </c>
      <c r="N123">
        <v>150</v>
      </c>
      <c r="O123">
        <v>150</v>
      </c>
      <c r="P123">
        <v>30.17</v>
      </c>
      <c r="Q123">
        <v>68.44</v>
      </c>
      <c r="R123">
        <v>0</v>
      </c>
      <c r="S123">
        <v>0</v>
      </c>
      <c r="T123">
        <v>0</v>
      </c>
      <c r="U123">
        <v>2.2806999999999999</v>
      </c>
      <c r="V123">
        <v>47.343600000000002</v>
      </c>
      <c r="W123">
        <v>20.76</v>
      </c>
      <c r="X123">
        <v>18</v>
      </c>
      <c r="Y123" s="9" t="s">
        <v>578</v>
      </c>
      <c r="Z123">
        <v>4.5</v>
      </c>
      <c r="AA123">
        <v>445.5</v>
      </c>
      <c r="AB123">
        <v>0</v>
      </c>
      <c r="AC123" s="9" t="s">
        <v>585</v>
      </c>
    </row>
    <row r="124" spans="1:29" x14ac:dyDescent="0.35">
      <c r="A124">
        <v>123</v>
      </c>
      <c r="B124">
        <v>1009</v>
      </c>
      <c r="C124" s="9" t="s">
        <v>265</v>
      </c>
      <c r="D124" s="9" t="s">
        <v>64</v>
      </c>
      <c r="E124" s="9" t="s">
        <v>65</v>
      </c>
      <c r="F124" s="9" t="s">
        <v>47</v>
      </c>
      <c r="G124" s="9" t="s">
        <v>60</v>
      </c>
      <c r="H124" s="9" t="s">
        <v>50</v>
      </c>
      <c r="I124" s="9" t="s">
        <v>51</v>
      </c>
      <c r="J124">
        <v>4</v>
      </c>
      <c r="K124" s="6"/>
      <c r="L124">
        <v>68.516499999999994</v>
      </c>
      <c r="M124">
        <v>150.98349999999999</v>
      </c>
      <c r="N124">
        <v>200</v>
      </c>
      <c r="O124">
        <v>200</v>
      </c>
      <c r="P124">
        <v>34.26</v>
      </c>
      <c r="Q124">
        <v>75.489999999999995</v>
      </c>
      <c r="R124">
        <v>0</v>
      </c>
      <c r="S124">
        <v>0</v>
      </c>
      <c r="T124">
        <v>0</v>
      </c>
      <c r="U124">
        <v>2.2582</v>
      </c>
      <c r="V124">
        <v>49.016500000000001</v>
      </c>
      <c r="W124">
        <v>21.71</v>
      </c>
      <c r="X124">
        <v>12</v>
      </c>
      <c r="Y124" s="9" t="s">
        <v>578</v>
      </c>
      <c r="Z124">
        <v>4.5</v>
      </c>
      <c r="AA124">
        <v>450</v>
      </c>
      <c r="AB124">
        <v>0</v>
      </c>
      <c r="AC124" s="9" t="s">
        <v>586</v>
      </c>
    </row>
    <row r="125" spans="1:29" x14ac:dyDescent="0.35">
      <c r="A125">
        <v>124</v>
      </c>
      <c r="B125">
        <v>938</v>
      </c>
      <c r="C125" s="9" t="s">
        <v>256</v>
      </c>
      <c r="D125" s="9" t="s">
        <v>64</v>
      </c>
      <c r="E125" s="9" t="s">
        <v>65</v>
      </c>
      <c r="F125" s="9" t="s">
        <v>47</v>
      </c>
      <c r="G125" s="9" t="s">
        <v>190</v>
      </c>
      <c r="H125" s="9" t="s">
        <v>57</v>
      </c>
      <c r="I125" s="9" t="s">
        <v>58</v>
      </c>
      <c r="J125">
        <v>1</v>
      </c>
      <c r="K125" s="6"/>
      <c r="L125">
        <v>81.066599999999994</v>
      </c>
      <c r="M125">
        <v>154.38810000000001</v>
      </c>
      <c r="N125">
        <v>200</v>
      </c>
      <c r="O125">
        <v>200</v>
      </c>
      <c r="P125">
        <v>40.53</v>
      </c>
      <c r="Q125">
        <v>77.19</v>
      </c>
      <c r="R125">
        <v>0</v>
      </c>
      <c r="S125">
        <v>0</v>
      </c>
      <c r="T125">
        <v>0</v>
      </c>
      <c r="U125">
        <v>1.8878999999999999</v>
      </c>
      <c r="V125">
        <v>45.611899999999999</v>
      </c>
      <c r="W125">
        <v>24.16</v>
      </c>
      <c r="X125">
        <v>12</v>
      </c>
      <c r="Y125" s="9" t="s">
        <v>578</v>
      </c>
      <c r="Z125">
        <v>4.5</v>
      </c>
      <c r="AA125">
        <v>454.5</v>
      </c>
      <c r="AB125">
        <v>0</v>
      </c>
      <c r="AC125" s="9" t="s">
        <v>587</v>
      </c>
    </row>
    <row r="126" spans="1:29" x14ac:dyDescent="0.35">
      <c r="A126">
        <v>125</v>
      </c>
      <c r="B126">
        <v>942</v>
      </c>
      <c r="C126" s="9" t="s">
        <v>257</v>
      </c>
      <c r="D126" s="9" t="s">
        <v>64</v>
      </c>
      <c r="E126" s="9" t="s">
        <v>65</v>
      </c>
      <c r="F126" s="9" t="s">
        <v>47</v>
      </c>
      <c r="G126" s="9" t="s">
        <v>190</v>
      </c>
      <c r="H126" s="9" t="s">
        <v>57</v>
      </c>
      <c r="I126" s="9" t="s">
        <v>58</v>
      </c>
      <c r="J126">
        <v>2</v>
      </c>
      <c r="K126" s="6"/>
      <c r="L126">
        <v>81.066599999999994</v>
      </c>
      <c r="M126">
        <v>154.38810000000001</v>
      </c>
      <c r="N126">
        <v>200</v>
      </c>
      <c r="O126">
        <v>200</v>
      </c>
      <c r="P126">
        <v>40.53</v>
      </c>
      <c r="Q126">
        <v>77.19</v>
      </c>
      <c r="R126">
        <v>0</v>
      </c>
      <c r="S126">
        <v>0</v>
      </c>
      <c r="T126">
        <v>0</v>
      </c>
      <c r="U126">
        <v>1.8878999999999999</v>
      </c>
      <c r="V126">
        <v>45.611899999999999</v>
      </c>
      <c r="W126">
        <v>24.16</v>
      </c>
      <c r="X126">
        <v>12</v>
      </c>
      <c r="Y126" s="9" t="s">
        <v>578</v>
      </c>
      <c r="Z126">
        <v>4.5</v>
      </c>
      <c r="AA126">
        <v>459</v>
      </c>
      <c r="AB126">
        <v>0</v>
      </c>
      <c r="AC126" s="9" t="s">
        <v>587</v>
      </c>
    </row>
    <row r="127" spans="1:29" x14ac:dyDescent="0.35">
      <c r="A127">
        <v>126</v>
      </c>
      <c r="B127">
        <v>1447</v>
      </c>
      <c r="C127" s="9" t="s">
        <v>247</v>
      </c>
      <c r="D127" s="9" t="s">
        <v>45</v>
      </c>
      <c r="E127" s="9" t="s">
        <v>46</v>
      </c>
      <c r="F127" s="9" t="s">
        <v>47</v>
      </c>
      <c r="G127" s="9" t="s">
        <v>209</v>
      </c>
      <c r="H127" s="9" t="s">
        <v>154</v>
      </c>
      <c r="I127" s="9" t="s">
        <v>155</v>
      </c>
      <c r="J127">
        <v>2</v>
      </c>
      <c r="K127" s="6"/>
      <c r="L127">
        <v>101.36660000000001</v>
      </c>
      <c r="M127">
        <v>121.062</v>
      </c>
      <c r="N127">
        <v>150</v>
      </c>
      <c r="O127">
        <v>150</v>
      </c>
      <c r="P127">
        <v>67.58</v>
      </c>
      <c r="Q127">
        <v>80.709999999999994</v>
      </c>
      <c r="R127">
        <v>0</v>
      </c>
      <c r="S127">
        <v>0</v>
      </c>
      <c r="T127">
        <v>0</v>
      </c>
      <c r="U127">
        <v>1.1733</v>
      </c>
      <c r="V127">
        <v>28.937999999999999</v>
      </c>
      <c r="W127">
        <v>24.66</v>
      </c>
      <c r="X127">
        <v>18</v>
      </c>
      <c r="Y127" s="9" t="s">
        <v>578</v>
      </c>
      <c r="Z127">
        <v>4.5</v>
      </c>
      <c r="AA127">
        <v>463.5</v>
      </c>
      <c r="AB127">
        <v>0</v>
      </c>
      <c r="AC127" s="9" t="s">
        <v>588</v>
      </c>
    </row>
    <row r="128" spans="1:29" x14ac:dyDescent="0.35">
      <c r="A128">
        <v>127</v>
      </c>
      <c r="B128">
        <v>70</v>
      </c>
      <c r="C128" s="9" t="s">
        <v>315</v>
      </c>
      <c r="D128" s="9" t="s">
        <v>53</v>
      </c>
      <c r="E128" s="9" t="s">
        <v>54</v>
      </c>
      <c r="F128" s="9" t="s">
        <v>47</v>
      </c>
      <c r="G128" s="9" t="s">
        <v>62</v>
      </c>
      <c r="H128" s="9" t="s">
        <v>50</v>
      </c>
      <c r="I128" s="9" t="s">
        <v>51</v>
      </c>
      <c r="J128">
        <v>2</v>
      </c>
      <c r="K128" s="6"/>
      <c r="L128">
        <v>26.833300000000001</v>
      </c>
      <c r="M128">
        <v>62.254899999999999</v>
      </c>
      <c r="N128">
        <v>120</v>
      </c>
      <c r="O128">
        <v>120</v>
      </c>
      <c r="P128">
        <v>22.36</v>
      </c>
      <c r="Q128">
        <v>51.88</v>
      </c>
      <c r="R128">
        <v>0</v>
      </c>
      <c r="S128">
        <v>0</v>
      </c>
      <c r="T128">
        <v>0</v>
      </c>
      <c r="U128">
        <v>2.2806999999999999</v>
      </c>
      <c r="V128">
        <v>57.745100000000001</v>
      </c>
      <c r="W128">
        <v>25.32</v>
      </c>
      <c r="X128">
        <v>8</v>
      </c>
      <c r="Y128" s="9" t="s">
        <v>578</v>
      </c>
      <c r="Z128">
        <v>4.5</v>
      </c>
      <c r="AA128">
        <v>468</v>
      </c>
      <c r="AB128">
        <v>0</v>
      </c>
      <c r="AC128" s="9" t="s">
        <v>589</v>
      </c>
    </row>
    <row r="129" spans="1:29" x14ac:dyDescent="0.35">
      <c r="A129">
        <v>128</v>
      </c>
      <c r="B129">
        <v>957</v>
      </c>
      <c r="C129" s="9" t="s">
        <v>282</v>
      </c>
      <c r="D129" s="9" t="s">
        <v>45</v>
      </c>
      <c r="E129" s="9" t="s">
        <v>46</v>
      </c>
      <c r="F129" s="9" t="s">
        <v>47</v>
      </c>
      <c r="G129" s="9" t="s">
        <v>190</v>
      </c>
      <c r="H129" s="9" t="s">
        <v>57</v>
      </c>
      <c r="I129" s="9" t="s">
        <v>58</v>
      </c>
      <c r="J129">
        <v>1</v>
      </c>
      <c r="K129" s="6"/>
      <c r="L129">
        <v>53.049900000000001</v>
      </c>
      <c r="M129">
        <v>98.901600000000002</v>
      </c>
      <c r="N129">
        <v>150</v>
      </c>
      <c r="O129">
        <v>150</v>
      </c>
      <c r="P129">
        <v>35.369999999999997</v>
      </c>
      <c r="Q129">
        <v>65.930000000000007</v>
      </c>
      <c r="R129">
        <v>0</v>
      </c>
      <c r="S129">
        <v>0</v>
      </c>
      <c r="T129">
        <v>0</v>
      </c>
      <c r="U129">
        <v>1.8878999999999999</v>
      </c>
      <c r="V129">
        <v>51.098399999999998</v>
      </c>
      <c r="W129">
        <v>27.07</v>
      </c>
      <c r="X129">
        <v>18</v>
      </c>
      <c r="Y129" s="9" t="s">
        <v>578</v>
      </c>
      <c r="Z129">
        <v>4.5</v>
      </c>
      <c r="AA129">
        <v>472.5</v>
      </c>
      <c r="AB129">
        <v>0</v>
      </c>
      <c r="AC129" s="9" t="s">
        <v>590</v>
      </c>
    </row>
    <row r="130" spans="1:29" x14ac:dyDescent="0.35">
      <c r="A130">
        <v>129</v>
      </c>
      <c r="B130">
        <v>1256</v>
      </c>
      <c r="C130" s="9" t="s">
        <v>273</v>
      </c>
      <c r="D130" s="9" t="s">
        <v>64</v>
      </c>
      <c r="E130" s="9" t="s">
        <v>65</v>
      </c>
      <c r="F130" s="9" t="s">
        <v>47</v>
      </c>
      <c r="G130" s="9" t="s">
        <v>79</v>
      </c>
      <c r="H130" s="9" t="s">
        <v>50</v>
      </c>
      <c r="I130" s="9" t="s">
        <v>51</v>
      </c>
      <c r="J130">
        <v>3</v>
      </c>
      <c r="K130" s="6"/>
      <c r="L130">
        <v>65.200100000000006</v>
      </c>
      <c r="M130">
        <v>140.2106</v>
      </c>
      <c r="N130">
        <v>200</v>
      </c>
      <c r="O130">
        <v>200</v>
      </c>
      <c r="P130">
        <v>32.6</v>
      </c>
      <c r="Q130">
        <v>70.11</v>
      </c>
      <c r="R130">
        <v>0</v>
      </c>
      <c r="S130">
        <v>0</v>
      </c>
      <c r="T130">
        <v>0</v>
      </c>
      <c r="U130">
        <v>2.1718000000000002</v>
      </c>
      <c r="V130">
        <v>59.789400000000001</v>
      </c>
      <c r="W130">
        <v>27.53</v>
      </c>
      <c r="X130">
        <v>12</v>
      </c>
      <c r="Y130" s="9" t="s">
        <v>578</v>
      </c>
      <c r="Z130">
        <v>4.5</v>
      </c>
      <c r="AA130">
        <v>477</v>
      </c>
      <c r="AB130">
        <v>0</v>
      </c>
      <c r="AC130" s="9" t="s">
        <v>591</v>
      </c>
    </row>
    <row r="131" spans="1:29" x14ac:dyDescent="0.35">
      <c r="A131">
        <v>130</v>
      </c>
      <c r="B131">
        <v>570</v>
      </c>
      <c r="C131" s="9" t="s">
        <v>266</v>
      </c>
      <c r="D131" s="9" t="s">
        <v>53</v>
      </c>
      <c r="E131" s="9" t="s">
        <v>54</v>
      </c>
      <c r="F131" s="9" t="s">
        <v>47</v>
      </c>
      <c r="G131" s="9" t="s">
        <v>195</v>
      </c>
      <c r="H131" s="9" t="s">
        <v>154</v>
      </c>
      <c r="I131" s="9" t="s">
        <v>155</v>
      </c>
      <c r="J131">
        <v>2</v>
      </c>
      <c r="K131" s="6"/>
      <c r="L131">
        <v>76.266400000000004</v>
      </c>
      <c r="M131">
        <v>89.640799999999999</v>
      </c>
      <c r="N131">
        <v>120</v>
      </c>
      <c r="O131">
        <v>120</v>
      </c>
      <c r="P131">
        <v>63.56</v>
      </c>
      <c r="Q131">
        <v>74.7</v>
      </c>
      <c r="R131">
        <v>0</v>
      </c>
      <c r="S131">
        <v>0</v>
      </c>
      <c r="T131">
        <v>0</v>
      </c>
      <c r="U131">
        <v>1.0819000000000001</v>
      </c>
      <c r="V131">
        <v>30.359200000000001</v>
      </c>
      <c r="W131">
        <v>28.06</v>
      </c>
      <c r="X131">
        <v>8</v>
      </c>
      <c r="Y131" s="9" t="s">
        <v>578</v>
      </c>
      <c r="Z131">
        <v>4.5</v>
      </c>
      <c r="AA131">
        <v>481.5</v>
      </c>
      <c r="AB131">
        <v>0</v>
      </c>
      <c r="AC131" s="9" t="s">
        <v>592</v>
      </c>
    </row>
    <row r="132" spans="1:29" x14ac:dyDescent="0.35">
      <c r="A132">
        <v>131</v>
      </c>
      <c r="B132">
        <v>333</v>
      </c>
      <c r="C132" s="9" t="s">
        <v>263</v>
      </c>
      <c r="D132" s="9" t="s">
        <v>64</v>
      </c>
      <c r="E132" s="9" t="s">
        <v>65</v>
      </c>
      <c r="F132" s="9" t="s">
        <v>47</v>
      </c>
      <c r="G132" s="9" t="s">
        <v>93</v>
      </c>
      <c r="H132" s="9" t="s">
        <v>89</v>
      </c>
      <c r="I132" s="9" t="s">
        <v>90</v>
      </c>
      <c r="J132">
        <v>4</v>
      </c>
      <c r="K132" s="6"/>
      <c r="L132">
        <v>83.833200000000005</v>
      </c>
      <c r="M132">
        <v>151.49359999999999</v>
      </c>
      <c r="N132">
        <v>200</v>
      </c>
      <c r="O132">
        <v>200</v>
      </c>
      <c r="P132">
        <v>41.92</v>
      </c>
      <c r="Q132">
        <v>75.75</v>
      </c>
      <c r="R132">
        <v>0</v>
      </c>
      <c r="S132">
        <v>0</v>
      </c>
      <c r="T132">
        <v>0</v>
      </c>
      <c r="U132">
        <v>1.7137</v>
      </c>
      <c r="V132">
        <v>48.506399999999999</v>
      </c>
      <c r="W132">
        <v>28.31</v>
      </c>
      <c r="X132">
        <v>12</v>
      </c>
      <c r="Y132" s="9" t="s">
        <v>578</v>
      </c>
      <c r="Z132">
        <v>4.5</v>
      </c>
      <c r="AA132">
        <v>486</v>
      </c>
      <c r="AB132">
        <v>0</v>
      </c>
      <c r="AC132" s="9" t="s">
        <v>593</v>
      </c>
    </row>
    <row r="133" spans="1:29" x14ac:dyDescent="0.35">
      <c r="A133">
        <v>132</v>
      </c>
      <c r="B133">
        <v>1499</v>
      </c>
      <c r="C133" s="9" t="s">
        <v>288</v>
      </c>
      <c r="D133" s="9" t="s">
        <v>45</v>
      </c>
      <c r="E133" s="9" t="s">
        <v>46</v>
      </c>
      <c r="F133" s="9" t="s">
        <v>47</v>
      </c>
      <c r="G133" s="9" t="s">
        <v>67</v>
      </c>
      <c r="H133" s="9" t="s">
        <v>57</v>
      </c>
      <c r="I133" s="9" t="s">
        <v>58</v>
      </c>
      <c r="J133">
        <v>3</v>
      </c>
      <c r="K133" s="6"/>
      <c r="L133">
        <v>47.633400000000002</v>
      </c>
      <c r="M133">
        <v>94.148799999999994</v>
      </c>
      <c r="N133">
        <v>150</v>
      </c>
      <c r="O133">
        <v>150</v>
      </c>
      <c r="P133">
        <v>31.76</v>
      </c>
      <c r="Q133">
        <v>62.77</v>
      </c>
      <c r="R133">
        <v>0</v>
      </c>
      <c r="S133">
        <v>0</v>
      </c>
      <c r="T133">
        <v>0</v>
      </c>
      <c r="U133">
        <v>1.9626999999999999</v>
      </c>
      <c r="V133">
        <v>55.851199999999999</v>
      </c>
      <c r="W133">
        <v>28.46</v>
      </c>
      <c r="X133">
        <v>18</v>
      </c>
      <c r="Y133" s="9" t="s">
        <v>578</v>
      </c>
      <c r="Z133">
        <v>4.5</v>
      </c>
      <c r="AA133">
        <v>490.5</v>
      </c>
      <c r="AB133">
        <v>0</v>
      </c>
      <c r="AC133" s="9" t="s">
        <v>594</v>
      </c>
    </row>
    <row r="134" spans="1:29" x14ac:dyDescent="0.35">
      <c r="A134">
        <v>133</v>
      </c>
      <c r="B134">
        <v>306</v>
      </c>
      <c r="C134" s="9" t="s">
        <v>249</v>
      </c>
      <c r="D134" s="9" t="s">
        <v>45</v>
      </c>
      <c r="E134" s="9" t="s">
        <v>46</v>
      </c>
      <c r="F134" s="9" t="s">
        <v>47</v>
      </c>
      <c r="G134" s="9" t="s">
        <v>205</v>
      </c>
      <c r="H134" s="9" t="s">
        <v>154</v>
      </c>
      <c r="I134" s="9" t="s">
        <v>155</v>
      </c>
      <c r="J134">
        <v>3</v>
      </c>
      <c r="K134" s="6"/>
      <c r="L134">
        <v>103.8334</v>
      </c>
      <c r="M134">
        <v>118.833</v>
      </c>
      <c r="N134">
        <v>150</v>
      </c>
      <c r="O134">
        <v>150</v>
      </c>
      <c r="P134">
        <v>69.22</v>
      </c>
      <c r="Q134">
        <v>79.22</v>
      </c>
      <c r="R134">
        <v>0</v>
      </c>
      <c r="S134">
        <v>0</v>
      </c>
      <c r="T134">
        <v>0</v>
      </c>
      <c r="U134">
        <v>1.08</v>
      </c>
      <c r="V134">
        <v>31.167000000000002</v>
      </c>
      <c r="W134">
        <v>28.86</v>
      </c>
      <c r="X134">
        <v>18</v>
      </c>
      <c r="Y134" s="9" t="s">
        <v>578</v>
      </c>
      <c r="Z134">
        <v>4.5</v>
      </c>
      <c r="AA134">
        <v>495</v>
      </c>
      <c r="AB134">
        <v>0</v>
      </c>
      <c r="AC134" s="9" t="s">
        <v>595</v>
      </c>
    </row>
    <row r="135" spans="1:29" x14ac:dyDescent="0.35">
      <c r="A135">
        <v>134</v>
      </c>
      <c r="B135">
        <v>1404</v>
      </c>
      <c r="C135" s="9" t="s">
        <v>279</v>
      </c>
      <c r="D135" s="9" t="s">
        <v>45</v>
      </c>
      <c r="E135" s="9" t="s">
        <v>46</v>
      </c>
      <c r="F135" s="9" t="s">
        <v>47</v>
      </c>
      <c r="G135" s="9" t="s">
        <v>125</v>
      </c>
      <c r="H135" s="9" t="s">
        <v>89</v>
      </c>
      <c r="I135" s="9" t="s">
        <v>90</v>
      </c>
      <c r="J135">
        <v>3</v>
      </c>
      <c r="K135" s="6"/>
      <c r="L135">
        <v>55.916600000000003</v>
      </c>
      <c r="M135">
        <v>99.404300000000006</v>
      </c>
      <c r="N135">
        <v>150</v>
      </c>
      <c r="O135">
        <v>150</v>
      </c>
      <c r="P135">
        <v>37.28</v>
      </c>
      <c r="Q135">
        <v>66.27</v>
      </c>
      <c r="R135">
        <v>0</v>
      </c>
      <c r="S135">
        <v>0</v>
      </c>
      <c r="T135">
        <v>0</v>
      </c>
      <c r="U135">
        <v>1.7297</v>
      </c>
      <c r="V135">
        <v>50.595700000000001</v>
      </c>
      <c r="W135">
        <v>29.25</v>
      </c>
      <c r="X135">
        <v>18</v>
      </c>
      <c r="Y135" s="9" t="s">
        <v>578</v>
      </c>
      <c r="Z135">
        <v>4.5</v>
      </c>
      <c r="AA135">
        <v>499.5</v>
      </c>
      <c r="AB135">
        <v>0</v>
      </c>
      <c r="AC135" s="9" t="s">
        <v>596</v>
      </c>
    </row>
    <row r="136" spans="1:29" x14ac:dyDescent="0.35">
      <c r="A136">
        <v>135</v>
      </c>
      <c r="B136">
        <v>110</v>
      </c>
      <c r="C136" s="9" t="s">
        <v>304</v>
      </c>
      <c r="D136" s="9" t="s">
        <v>45</v>
      </c>
      <c r="E136" s="9" t="s">
        <v>46</v>
      </c>
      <c r="F136" s="9" t="s">
        <v>47</v>
      </c>
      <c r="G136" s="9" t="s">
        <v>62</v>
      </c>
      <c r="H136" s="9" t="s">
        <v>50</v>
      </c>
      <c r="I136" s="9" t="s">
        <v>51</v>
      </c>
      <c r="J136">
        <v>3</v>
      </c>
      <c r="K136" s="6"/>
      <c r="L136">
        <v>36.016599999999997</v>
      </c>
      <c r="M136">
        <v>82.892200000000003</v>
      </c>
      <c r="N136">
        <v>150</v>
      </c>
      <c r="O136">
        <v>150</v>
      </c>
      <c r="P136">
        <v>24.01</v>
      </c>
      <c r="Q136">
        <v>55.26</v>
      </c>
      <c r="R136">
        <v>0</v>
      </c>
      <c r="S136">
        <v>0</v>
      </c>
      <c r="T136">
        <v>0</v>
      </c>
      <c r="U136">
        <v>2.2806999999999999</v>
      </c>
      <c r="V136">
        <v>67.107799999999997</v>
      </c>
      <c r="W136">
        <v>29.42</v>
      </c>
      <c r="X136">
        <v>18</v>
      </c>
      <c r="Y136" s="9" t="s">
        <v>578</v>
      </c>
      <c r="Z136">
        <v>4.5</v>
      </c>
      <c r="AA136">
        <v>504</v>
      </c>
      <c r="AB136">
        <v>0</v>
      </c>
      <c r="AC136" s="9" t="s">
        <v>597</v>
      </c>
    </row>
    <row r="137" spans="1:29" x14ac:dyDescent="0.35">
      <c r="A137">
        <v>136</v>
      </c>
      <c r="B137">
        <v>909</v>
      </c>
      <c r="C137" s="9" t="s">
        <v>300</v>
      </c>
      <c r="D137" s="9" t="s">
        <v>45</v>
      </c>
      <c r="E137" s="9" t="s">
        <v>46</v>
      </c>
      <c r="F137" s="9" t="s">
        <v>47</v>
      </c>
      <c r="G137" s="9" t="s">
        <v>77</v>
      </c>
      <c r="H137" s="9" t="s">
        <v>50</v>
      </c>
      <c r="I137" s="9" t="s">
        <v>51</v>
      </c>
      <c r="J137">
        <v>4</v>
      </c>
      <c r="K137" s="6"/>
      <c r="L137">
        <v>37.633299999999998</v>
      </c>
      <c r="M137">
        <v>84.118700000000004</v>
      </c>
      <c r="N137">
        <v>150</v>
      </c>
      <c r="O137">
        <v>150</v>
      </c>
      <c r="P137">
        <v>25.09</v>
      </c>
      <c r="Q137">
        <v>56.08</v>
      </c>
      <c r="R137">
        <v>0</v>
      </c>
      <c r="S137">
        <v>0</v>
      </c>
      <c r="T137">
        <v>0</v>
      </c>
      <c r="U137">
        <v>2.1968999999999999</v>
      </c>
      <c r="V137">
        <v>65.881299999999996</v>
      </c>
      <c r="W137">
        <v>29.99</v>
      </c>
      <c r="X137">
        <v>18</v>
      </c>
      <c r="Y137" s="9" t="s">
        <v>578</v>
      </c>
      <c r="Z137">
        <v>4.5</v>
      </c>
      <c r="AA137">
        <v>508.5</v>
      </c>
      <c r="AB137">
        <v>0</v>
      </c>
      <c r="AC137" s="9" t="s">
        <v>598</v>
      </c>
    </row>
    <row r="138" spans="1:29" x14ac:dyDescent="0.35">
      <c r="A138">
        <v>137</v>
      </c>
      <c r="B138">
        <v>702</v>
      </c>
      <c r="C138" s="9" t="s">
        <v>318</v>
      </c>
      <c r="D138" s="9" t="s">
        <v>53</v>
      </c>
      <c r="E138" s="9" t="s">
        <v>54</v>
      </c>
      <c r="F138" s="9" t="s">
        <v>47</v>
      </c>
      <c r="G138" s="9" t="s">
        <v>95</v>
      </c>
      <c r="H138" s="9" t="s">
        <v>57</v>
      </c>
      <c r="I138" s="9" t="s">
        <v>58</v>
      </c>
      <c r="J138">
        <v>1</v>
      </c>
      <c r="K138" s="6"/>
      <c r="L138">
        <v>31.216799999999999</v>
      </c>
      <c r="M138">
        <v>60.610700000000001</v>
      </c>
      <c r="N138">
        <v>120</v>
      </c>
      <c r="O138">
        <v>120</v>
      </c>
      <c r="P138">
        <v>26.01</v>
      </c>
      <c r="Q138">
        <v>50.51</v>
      </c>
      <c r="R138">
        <v>0</v>
      </c>
      <c r="S138">
        <v>0</v>
      </c>
      <c r="T138">
        <v>0</v>
      </c>
      <c r="U138">
        <v>1.9216</v>
      </c>
      <c r="V138">
        <v>59.389299999999999</v>
      </c>
      <c r="W138">
        <v>30.91</v>
      </c>
      <c r="X138">
        <v>8</v>
      </c>
      <c r="Y138" s="9" t="s">
        <v>578</v>
      </c>
      <c r="Z138">
        <v>4.5</v>
      </c>
      <c r="AA138">
        <v>513</v>
      </c>
      <c r="AB138">
        <v>0</v>
      </c>
      <c r="AC138" s="9" t="s">
        <v>599</v>
      </c>
    </row>
    <row r="139" spans="1:29" x14ac:dyDescent="0.35">
      <c r="A139">
        <v>138</v>
      </c>
      <c r="B139">
        <v>269</v>
      </c>
      <c r="C139" s="9" t="s">
        <v>269</v>
      </c>
      <c r="D139" s="9" t="s">
        <v>53</v>
      </c>
      <c r="E139" s="9" t="s">
        <v>54</v>
      </c>
      <c r="F139" s="9" t="s">
        <v>47</v>
      </c>
      <c r="G139" s="9" t="s">
        <v>205</v>
      </c>
      <c r="H139" s="9" t="s">
        <v>154</v>
      </c>
      <c r="I139" s="9" t="s">
        <v>155</v>
      </c>
      <c r="J139">
        <v>1</v>
      </c>
      <c r="K139" s="6"/>
      <c r="L139">
        <v>76.366900000000001</v>
      </c>
      <c r="M139">
        <v>86.125100000000003</v>
      </c>
      <c r="N139">
        <v>120</v>
      </c>
      <c r="O139">
        <v>120</v>
      </c>
      <c r="P139">
        <v>63.64</v>
      </c>
      <c r="Q139">
        <v>71.77</v>
      </c>
      <c r="R139">
        <v>0</v>
      </c>
      <c r="S139">
        <v>0</v>
      </c>
      <c r="T139">
        <v>0</v>
      </c>
      <c r="U139">
        <v>1.08</v>
      </c>
      <c r="V139">
        <v>33.874899999999997</v>
      </c>
      <c r="W139">
        <v>31.37</v>
      </c>
      <c r="X139">
        <v>8</v>
      </c>
      <c r="Y139" s="9" t="s">
        <v>578</v>
      </c>
      <c r="Z139">
        <v>4.5</v>
      </c>
      <c r="AA139">
        <v>517.5</v>
      </c>
      <c r="AB139">
        <v>0</v>
      </c>
      <c r="AC139" s="9" t="s">
        <v>600</v>
      </c>
    </row>
    <row r="140" spans="1:29" x14ac:dyDescent="0.35">
      <c r="A140">
        <v>139</v>
      </c>
      <c r="B140">
        <v>1290</v>
      </c>
      <c r="C140" s="9" t="s">
        <v>324</v>
      </c>
      <c r="D140" s="9" t="s">
        <v>53</v>
      </c>
      <c r="E140" s="9" t="s">
        <v>54</v>
      </c>
      <c r="F140" s="9" t="s">
        <v>47</v>
      </c>
      <c r="G140" s="9" t="s">
        <v>112</v>
      </c>
      <c r="H140" s="9" t="s">
        <v>89</v>
      </c>
      <c r="I140" s="9" t="s">
        <v>90</v>
      </c>
      <c r="J140">
        <v>1</v>
      </c>
      <c r="K140" s="6"/>
      <c r="L140">
        <v>30.150300000000001</v>
      </c>
      <c r="M140">
        <v>58.784199999999998</v>
      </c>
      <c r="N140">
        <v>120</v>
      </c>
      <c r="O140">
        <v>120</v>
      </c>
      <c r="P140">
        <v>25.13</v>
      </c>
      <c r="Q140">
        <v>48.99</v>
      </c>
      <c r="R140">
        <v>0</v>
      </c>
      <c r="S140">
        <v>0</v>
      </c>
      <c r="T140">
        <v>0</v>
      </c>
      <c r="U140">
        <v>1.9300999999999999</v>
      </c>
      <c r="V140">
        <v>61.215800000000002</v>
      </c>
      <c r="W140">
        <v>31.72</v>
      </c>
      <c r="X140">
        <v>8</v>
      </c>
      <c r="Y140" s="9" t="s">
        <v>578</v>
      </c>
      <c r="Z140">
        <v>4.5</v>
      </c>
      <c r="AA140">
        <v>522</v>
      </c>
      <c r="AB140">
        <v>0</v>
      </c>
      <c r="AC140" s="9" t="s">
        <v>601</v>
      </c>
    </row>
    <row r="141" spans="1:29" x14ac:dyDescent="0.35">
      <c r="A141">
        <v>140</v>
      </c>
      <c r="B141">
        <v>751</v>
      </c>
      <c r="C141" s="9" t="s">
        <v>290</v>
      </c>
      <c r="D141" s="9" t="s">
        <v>45</v>
      </c>
      <c r="E141" s="9" t="s">
        <v>46</v>
      </c>
      <c r="F141" s="9" t="s">
        <v>47</v>
      </c>
      <c r="G141" s="9" t="s">
        <v>95</v>
      </c>
      <c r="H141" s="9" t="s">
        <v>57</v>
      </c>
      <c r="I141" s="9" t="s">
        <v>58</v>
      </c>
      <c r="J141">
        <v>4</v>
      </c>
      <c r="K141" s="6"/>
      <c r="L141">
        <v>45.900100000000002</v>
      </c>
      <c r="M141">
        <v>88.369</v>
      </c>
      <c r="N141">
        <v>150</v>
      </c>
      <c r="O141">
        <v>150</v>
      </c>
      <c r="P141">
        <v>30.6</v>
      </c>
      <c r="Q141">
        <v>58.91</v>
      </c>
      <c r="R141">
        <v>0</v>
      </c>
      <c r="S141">
        <v>0</v>
      </c>
      <c r="T141">
        <v>0</v>
      </c>
      <c r="U141">
        <v>1.9216</v>
      </c>
      <c r="V141">
        <v>61.631</v>
      </c>
      <c r="W141">
        <v>32.07</v>
      </c>
      <c r="X141">
        <v>18</v>
      </c>
      <c r="Y141" s="9" t="s">
        <v>578</v>
      </c>
      <c r="Z141">
        <v>4.5</v>
      </c>
      <c r="AA141">
        <v>526.5</v>
      </c>
      <c r="AB141">
        <v>0</v>
      </c>
      <c r="AC141" s="9" t="s">
        <v>602</v>
      </c>
    </row>
    <row r="142" spans="1:29" x14ac:dyDescent="0.35">
      <c r="A142">
        <v>141</v>
      </c>
      <c r="B142">
        <v>44</v>
      </c>
      <c r="C142" s="9" t="s">
        <v>303</v>
      </c>
      <c r="D142" s="9" t="s">
        <v>45</v>
      </c>
      <c r="E142" s="9" t="s">
        <v>46</v>
      </c>
      <c r="F142" s="9" t="s">
        <v>47</v>
      </c>
      <c r="G142" s="9" t="s">
        <v>99</v>
      </c>
      <c r="H142" s="9" t="s">
        <v>57</v>
      </c>
      <c r="I142" s="9" t="s">
        <v>58</v>
      </c>
      <c r="J142">
        <v>2</v>
      </c>
      <c r="K142" s="6"/>
      <c r="L142">
        <v>39.600200000000001</v>
      </c>
      <c r="M142">
        <v>83.181700000000006</v>
      </c>
      <c r="N142">
        <v>150</v>
      </c>
      <c r="O142">
        <v>150</v>
      </c>
      <c r="P142">
        <v>26.4</v>
      </c>
      <c r="Q142">
        <v>55.45</v>
      </c>
      <c r="R142">
        <v>0</v>
      </c>
      <c r="S142">
        <v>0</v>
      </c>
      <c r="T142">
        <v>0</v>
      </c>
      <c r="U142">
        <v>2.0638000000000001</v>
      </c>
      <c r="V142">
        <v>66.818299999999994</v>
      </c>
      <c r="W142">
        <v>32.380000000000003</v>
      </c>
      <c r="X142">
        <v>18</v>
      </c>
      <c r="Y142" s="9" t="s">
        <v>578</v>
      </c>
      <c r="Z142">
        <v>4.5</v>
      </c>
      <c r="AA142">
        <v>531</v>
      </c>
      <c r="AB142">
        <v>0</v>
      </c>
      <c r="AC142" s="9" t="s">
        <v>603</v>
      </c>
    </row>
    <row r="143" spans="1:29" x14ac:dyDescent="0.35">
      <c r="A143">
        <v>142</v>
      </c>
      <c r="B143">
        <v>256</v>
      </c>
      <c r="C143" s="9" t="s">
        <v>293</v>
      </c>
      <c r="D143" s="9" t="s">
        <v>45</v>
      </c>
      <c r="E143" s="9" t="s">
        <v>46</v>
      </c>
      <c r="F143" s="9" t="s">
        <v>47</v>
      </c>
      <c r="G143" s="9" t="s">
        <v>55</v>
      </c>
      <c r="H143" s="9" t="s">
        <v>57</v>
      </c>
      <c r="I143" s="9" t="s">
        <v>58</v>
      </c>
      <c r="J143">
        <v>3</v>
      </c>
      <c r="K143" s="6"/>
      <c r="L143">
        <v>46.533200000000001</v>
      </c>
      <c r="M143">
        <v>87.992699999999999</v>
      </c>
      <c r="N143">
        <v>150</v>
      </c>
      <c r="O143">
        <v>150</v>
      </c>
      <c r="P143">
        <v>31.02</v>
      </c>
      <c r="Q143">
        <v>58.66</v>
      </c>
      <c r="R143">
        <v>0</v>
      </c>
      <c r="S143">
        <v>0</v>
      </c>
      <c r="T143">
        <v>0</v>
      </c>
      <c r="U143">
        <v>1.9127000000000001</v>
      </c>
      <c r="V143">
        <v>62.007300000000001</v>
      </c>
      <c r="W143">
        <v>32.42</v>
      </c>
      <c r="X143">
        <v>18</v>
      </c>
      <c r="Y143" s="9" t="s">
        <v>578</v>
      </c>
      <c r="Z143">
        <v>4.5</v>
      </c>
      <c r="AA143">
        <v>535.5</v>
      </c>
      <c r="AB143">
        <v>0</v>
      </c>
      <c r="AC143" s="9" t="s">
        <v>604</v>
      </c>
    </row>
    <row r="144" spans="1:29" x14ac:dyDescent="0.35">
      <c r="A144">
        <v>143</v>
      </c>
      <c r="B144">
        <v>591</v>
      </c>
      <c r="C144" s="9" t="s">
        <v>259</v>
      </c>
      <c r="D144" s="9" t="s">
        <v>45</v>
      </c>
      <c r="E144" s="9" t="s">
        <v>46</v>
      </c>
      <c r="F144" s="9" t="s">
        <v>47</v>
      </c>
      <c r="G144" s="9" t="s">
        <v>195</v>
      </c>
      <c r="H144" s="9" t="s">
        <v>154</v>
      </c>
      <c r="I144" s="9" t="s">
        <v>155</v>
      </c>
      <c r="J144">
        <v>1</v>
      </c>
      <c r="K144" s="6"/>
      <c r="L144">
        <v>97.166399999999996</v>
      </c>
      <c r="M144">
        <v>114.32299999999999</v>
      </c>
      <c r="N144">
        <v>150</v>
      </c>
      <c r="O144">
        <v>150</v>
      </c>
      <c r="P144">
        <v>64.78</v>
      </c>
      <c r="Q144">
        <v>76.22</v>
      </c>
      <c r="R144">
        <v>0</v>
      </c>
      <c r="S144">
        <v>0</v>
      </c>
      <c r="T144">
        <v>0</v>
      </c>
      <c r="U144">
        <v>1.0819000000000001</v>
      </c>
      <c r="V144">
        <v>35.677</v>
      </c>
      <c r="W144">
        <v>32.979999999999997</v>
      </c>
      <c r="X144">
        <v>18</v>
      </c>
      <c r="Y144" s="9" t="s">
        <v>578</v>
      </c>
      <c r="Z144">
        <v>4.5</v>
      </c>
      <c r="AA144">
        <v>540</v>
      </c>
      <c r="AB144">
        <v>0</v>
      </c>
      <c r="AC144" s="9" t="s">
        <v>605</v>
      </c>
    </row>
    <row r="145" spans="1:29" x14ac:dyDescent="0.35">
      <c r="A145">
        <v>144</v>
      </c>
      <c r="B145">
        <v>595</v>
      </c>
      <c r="C145" s="9" t="s">
        <v>260</v>
      </c>
      <c r="D145" s="9" t="s">
        <v>45</v>
      </c>
      <c r="E145" s="9" t="s">
        <v>46</v>
      </c>
      <c r="F145" s="9" t="s">
        <v>47</v>
      </c>
      <c r="G145" s="9" t="s">
        <v>195</v>
      </c>
      <c r="H145" s="9" t="s">
        <v>154</v>
      </c>
      <c r="I145" s="9" t="s">
        <v>155</v>
      </c>
      <c r="J145">
        <v>2</v>
      </c>
      <c r="K145" s="6"/>
      <c r="L145">
        <v>97.166399999999996</v>
      </c>
      <c r="M145">
        <v>114.32299999999999</v>
      </c>
      <c r="N145">
        <v>150</v>
      </c>
      <c r="O145">
        <v>150</v>
      </c>
      <c r="P145">
        <v>64.78</v>
      </c>
      <c r="Q145">
        <v>76.22</v>
      </c>
      <c r="R145">
        <v>0</v>
      </c>
      <c r="S145">
        <v>0</v>
      </c>
      <c r="T145">
        <v>0</v>
      </c>
      <c r="U145">
        <v>1.0819000000000001</v>
      </c>
      <c r="V145">
        <v>35.677</v>
      </c>
      <c r="W145">
        <v>32.979999999999997</v>
      </c>
      <c r="X145">
        <v>18</v>
      </c>
      <c r="Y145" s="9" t="s">
        <v>578</v>
      </c>
      <c r="Z145">
        <v>4.5</v>
      </c>
      <c r="AA145">
        <v>544.5</v>
      </c>
      <c r="AB145">
        <v>0</v>
      </c>
      <c r="AC145" s="9" t="s">
        <v>605</v>
      </c>
    </row>
    <row r="146" spans="1:29" x14ac:dyDescent="0.35">
      <c r="A146">
        <v>145</v>
      </c>
      <c r="B146">
        <v>274</v>
      </c>
      <c r="C146" s="9" t="s">
        <v>274</v>
      </c>
      <c r="D146" s="9" t="s">
        <v>53</v>
      </c>
      <c r="E146" s="9" t="s">
        <v>54</v>
      </c>
      <c r="F146" s="9" t="s">
        <v>47</v>
      </c>
      <c r="G146" s="9" t="s">
        <v>205</v>
      </c>
      <c r="H146" s="9" t="s">
        <v>154</v>
      </c>
      <c r="I146" s="9" t="s">
        <v>155</v>
      </c>
      <c r="J146">
        <v>2</v>
      </c>
      <c r="K146" s="6"/>
      <c r="L146">
        <v>74.250200000000007</v>
      </c>
      <c r="M146">
        <v>83.988399999999999</v>
      </c>
      <c r="N146">
        <v>120</v>
      </c>
      <c r="O146">
        <v>120</v>
      </c>
      <c r="P146">
        <v>61.88</v>
      </c>
      <c r="Q146">
        <v>69.989999999999995</v>
      </c>
      <c r="R146">
        <v>0</v>
      </c>
      <c r="S146">
        <v>0</v>
      </c>
      <c r="T146">
        <v>0</v>
      </c>
      <c r="U146">
        <v>1.08</v>
      </c>
      <c r="V146">
        <v>36.011600000000001</v>
      </c>
      <c r="W146">
        <v>33.340000000000003</v>
      </c>
      <c r="X146">
        <v>8</v>
      </c>
      <c r="Y146" s="9" t="s">
        <v>578</v>
      </c>
      <c r="Z146">
        <v>4.5</v>
      </c>
      <c r="AA146">
        <v>549</v>
      </c>
      <c r="AB146">
        <v>0</v>
      </c>
      <c r="AC146" s="9" t="s">
        <v>606</v>
      </c>
    </row>
    <row r="147" spans="1:29" x14ac:dyDescent="0.35">
      <c r="A147">
        <v>146</v>
      </c>
      <c r="B147">
        <v>1208</v>
      </c>
      <c r="C147" s="9" t="s">
        <v>261</v>
      </c>
      <c r="D147" s="9" t="s">
        <v>45</v>
      </c>
      <c r="E147" s="9" t="s">
        <v>46</v>
      </c>
      <c r="F147" s="9" t="s">
        <v>47</v>
      </c>
      <c r="G147" s="9" t="s">
        <v>262</v>
      </c>
      <c r="H147" s="9" t="s">
        <v>154</v>
      </c>
      <c r="I147" s="9" t="s">
        <v>155</v>
      </c>
      <c r="J147">
        <v>2</v>
      </c>
      <c r="K147" s="6"/>
      <c r="L147">
        <v>102.1502</v>
      </c>
      <c r="M147">
        <v>113.9931</v>
      </c>
      <c r="N147">
        <v>150</v>
      </c>
      <c r="O147">
        <v>150</v>
      </c>
      <c r="P147">
        <v>68.099999999999994</v>
      </c>
      <c r="Q147">
        <v>76</v>
      </c>
      <c r="R147">
        <v>0</v>
      </c>
      <c r="S147">
        <v>0</v>
      </c>
      <c r="T147">
        <v>0</v>
      </c>
      <c r="U147">
        <v>1.0798000000000001</v>
      </c>
      <c r="V147">
        <v>36.006900000000002</v>
      </c>
      <c r="W147">
        <v>33.35</v>
      </c>
      <c r="X147">
        <v>18</v>
      </c>
      <c r="Y147" s="9" t="s">
        <v>578</v>
      </c>
      <c r="Z147">
        <v>4.5</v>
      </c>
      <c r="AA147">
        <v>553.5</v>
      </c>
      <c r="AB147">
        <v>0</v>
      </c>
      <c r="AC147" s="9" t="s">
        <v>607</v>
      </c>
    </row>
    <row r="148" spans="1:29" x14ac:dyDescent="0.35">
      <c r="A148">
        <v>147</v>
      </c>
      <c r="B148">
        <v>1311</v>
      </c>
      <c r="C148" s="9" t="s">
        <v>301</v>
      </c>
      <c r="D148" s="9" t="s">
        <v>45</v>
      </c>
      <c r="E148" s="9" t="s">
        <v>46</v>
      </c>
      <c r="F148" s="9" t="s">
        <v>47</v>
      </c>
      <c r="G148" s="9" t="s">
        <v>112</v>
      </c>
      <c r="H148" s="9" t="s">
        <v>89</v>
      </c>
      <c r="I148" s="9" t="s">
        <v>90</v>
      </c>
      <c r="J148">
        <v>1</v>
      </c>
      <c r="K148" s="6"/>
      <c r="L148">
        <v>42.233600000000003</v>
      </c>
      <c r="M148">
        <v>83.967299999999994</v>
      </c>
      <c r="N148">
        <v>150</v>
      </c>
      <c r="O148">
        <v>150</v>
      </c>
      <c r="P148">
        <v>28.16</v>
      </c>
      <c r="Q148">
        <v>55.98</v>
      </c>
      <c r="R148">
        <v>0</v>
      </c>
      <c r="S148">
        <v>0</v>
      </c>
      <c r="T148">
        <v>0</v>
      </c>
      <c r="U148">
        <v>1.9300999999999999</v>
      </c>
      <c r="V148">
        <v>66.032700000000006</v>
      </c>
      <c r="W148">
        <v>34.21</v>
      </c>
      <c r="X148">
        <v>18</v>
      </c>
      <c r="Y148" s="9" t="s">
        <v>578</v>
      </c>
      <c r="Z148">
        <v>4.5</v>
      </c>
      <c r="AA148">
        <v>558</v>
      </c>
      <c r="AB148">
        <v>0</v>
      </c>
      <c r="AC148" s="9" t="s">
        <v>608</v>
      </c>
    </row>
    <row r="149" spans="1:29" x14ac:dyDescent="0.35">
      <c r="A149">
        <v>148</v>
      </c>
      <c r="B149">
        <v>1490</v>
      </c>
      <c r="C149" s="9" t="s">
        <v>310</v>
      </c>
      <c r="D149" s="9" t="s">
        <v>45</v>
      </c>
      <c r="E149" s="9" t="s">
        <v>46</v>
      </c>
      <c r="F149" s="9" t="s">
        <v>47</v>
      </c>
      <c r="G149" s="9" t="s">
        <v>67</v>
      </c>
      <c r="H149" s="9" t="s">
        <v>57</v>
      </c>
      <c r="I149" s="9" t="s">
        <v>58</v>
      </c>
      <c r="J149">
        <v>1</v>
      </c>
      <c r="K149" s="6"/>
      <c r="L149">
        <v>40.15</v>
      </c>
      <c r="M149">
        <v>79.229699999999994</v>
      </c>
      <c r="N149">
        <v>150</v>
      </c>
      <c r="O149">
        <v>150</v>
      </c>
      <c r="P149">
        <v>26.77</v>
      </c>
      <c r="Q149">
        <v>52.82</v>
      </c>
      <c r="R149">
        <v>0</v>
      </c>
      <c r="S149">
        <v>0</v>
      </c>
      <c r="T149">
        <v>0</v>
      </c>
      <c r="U149">
        <v>1.9626999999999999</v>
      </c>
      <c r="V149">
        <v>70.770300000000006</v>
      </c>
      <c r="W149">
        <v>36.06</v>
      </c>
      <c r="X149">
        <v>18</v>
      </c>
      <c r="Y149" s="9" t="s">
        <v>578</v>
      </c>
      <c r="Z149">
        <v>4.5</v>
      </c>
      <c r="AA149">
        <v>562.5</v>
      </c>
      <c r="AB149">
        <v>0</v>
      </c>
      <c r="AC149" s="9" t="s">
        <v>609</v>
      </c>
    </row>
    <row r="150" spans="1:29" x14ac:dyDescent="0.35">
      <c r="A150">
        <v>149</v>
      </c>
      <c r="B150">
        <v>431</v>
      </c>
      <c r="C150" s="9" t="s">
        <v>254</v>
      </c>
      <c r="D150" s="9" t="s">
        <v>64</v>
      </c>
      <c r="E150" s="9" t="s">
        <v>65</v>
      </c>
      <c r="F150" s="9" t="s">
        <v>47</v>
      </c>
      <c r="G150" s="9" t="s">
        <v>255</v>
      </c>
      <c r="H150" s="9" t="s">
        <v>154</v>
      </c>
      <c r="I150" s="9" t="s">
        <v>155</v>
      </c>
      <c r="J150">
        <v>2</v>
      </c>
      <c r="K150" s="6"/>
      <c r="L150">
        <v>127.4502</v>
      </c>
      <c r="M150">
        <v>155.10390000000001</v>
      </c>
      <c r="N150">
        <v>200</v>
      </c>
      <c r="O150">
        <v>200</v>
      </c>
      <c r="P150">
        <v>63.73</v>
      </c>
      <c r="Q150">
        <v>77.55</v>
      </c>
      <c r="R150">
        <v>0</v>
      </c>
      <c r="S150">
        <v>0</v>
      </c>
      <c r="T150">
        <v>0</v>
      </c>
      <c r="U150">
        <v>1.1930000000000001</v>
      </c>
      <c r="V150">
        <v>44.896099999999997</v>
      </c>
      <c r="W150">
        <v>37.630000000000003</v>
      </c>
      <c r="X150">
        <v>12</v>
      </c>
      <c r="Y150" s="9" t="s">
        <v>578</v>
      </c>
      <c r="Z150">
        <v>4.5</v>
      </c>
      <c r="AA150">
        <v>567</v>
      </c>
      <c r="AB150">
        <v>0</v>
      </c>
      <c r="AC150" s="9" t="s">
        <v>610</v>
      </c>
    </row>
    <row r="151" spans="1:29" x14ac:dyDescent="0.35">
      <c r="A151">
        <v>150</v>
      </c>
      <c r="B151">
        <v>719</v>
      </c>
      <c r="C151" s="9" t="s">
        <v>284</v>
      </c>
      <c r="D151" s="9" t="s">
        <v>64</v>
      </c>
      <c r="E151" s="9" t="s">
        <v>65</v>
      </c>
      <c r="F151" s="9" t="s">
        <v>47</v>
      </c>
      <c r="G151" s="9" t="s">
        <v>95</v>
      </c>
      <c r="H151" s="9" t="s">
        <v>57</v>
      </c>
      <c r="I151" s="9" t="s">
        <v>58</v>
      </c>
      <c r="J151">
        <v>1</v>
      </c>
      <c r="K151" s="6"/>
      <c r="L151">
        <v>65.316699999999997</v>
      </c>
      <c r="M151">
        <v>127.55459999999999</v>
      </c>
      <c r="N151">
        <v>200</v>
      </c>
      <c r="O151">
        <v>200</v>
      </c>
      <c r="P151">
        <v>32.659999999999997</v>
      </c>
      <c r="Q151">
        <v>63.78</v>
      </c>
      <c r="R151">
        <v>0</v>
      </c>
      <c r="S151">
        <v>0</v>
      </c>
      <c r="T151">
        <v>0</v>
      </c>
      <c r="U151">
        <v>1.9216</v>
      </c>
      <c r="V151">
        <v>72.445400000000006</v>
      </c>
      <c r="W151">
        <v>37.700000000000003</v>
      </c>
      <c r="X151">
        <v>12</v>
      </c>
      <c r="Y151" s="9" t="s">
        <v>578</v>
      </c>
      <c r="Z151">
        <v>4.5</v>
      </c>
      <c r="AA151">
        <v>571.5</v>
      </c>
      <c r="AB151">
        <v>0</v>
      </c>
      <c r="AC151" s="9" t="s">
        <v>611</v>
      </c>
    </row>
    <row r="152" spans="1:29" x14ac:dyDescent="0.35">
      <c r="A152">
        <v>151</v>
      </c>
      <c r="B152">
        <v>81</v>
      </c>
      <c r="C152" s="9" t="s">
        <v>297</v>
      </c>
      <c r="D152" s="9" t="s">
        <v>64</v>
      </c>
      <c r="E152" s="9" t="s">
        <v>65</v>
      </c>
      <c r="F152" s="9" t="s">
        <v>47</v>
      </c>
      <c r="G152" s="9" t="s">
        <v>62</v>
      </c>
      <c r="H152" s="9" t="s">
        <v>50</v>
      </c>
      <c r="I152" s="9" t="s">
        <v>51</v>
      </c>
      <c r="J152">
        <v>1</v>
      </c>
      <c r="K152" s="6"/>
      <c r="L152">
        <v>50.149900000000002</v>
      </c>
      <c r="M152">
        <v>113.4683</v>
      </c>
      <c r="N152">
        <v>200</v>
      </c>
      <c r="O152">
        <v>200</v>
      </c>
      <c r="P152">
        <v>25.07</v>
      </c>
      <c r="Q152">
        <v>56.73</v>
      </c>
      <c r="R152">
        <v>0</v>
      </c>
      <c r="S152">
        <v>0</v>
      </c>
      <c r="T152">
        <v>0</v>
      </c>
      <c r="U152">
        <v>2.2806999999999999</v>
      </c>
      <c r="V152">
        <v>86.531700000000001</v>
      </c>
      <c r="W152">
        <v>37.94</v>
      </c>
      <c r="X152">
        <v>12</v>
      </c>
      <c r="Y152" s="9" t="s">
        <v>578</v>
      </c>
      <c r="Z152">
        <v>4.5</v>
      </c>
      <c r="AA152">
        <v>576</v>
      </c>
      <c r="AB152">
        <v>0</v>
      </c>
      <c r="AC152" s="9" t="s">
        <v>612</v>
      </c>
    </row>
    <row r="153" spans="1:29" x14ac:dyDescent="0.35">
      <c r="A153">
        <v>152</v>
      </c>
      <c r="B153">
        <v>89</v>
      </c>
      <c r="C153" s="9" t="s">
        <v>298</v>
      </c>
      <c r="D153" s="9" t="s">
        <v>64</v>
      </c>
      <c r="E153" s="9" t="s">
        <v>65</v>
      </c>
      <c r="F153" s="9" t="s">
        <v>47</v>
      </c>
      <c r="G153" s="9" t="s">
        <v>62</v>
      </c>
      <c r="H153" s="9" t="s">
        <v>50</v>
      </c>
      <c r="I153" s="9" t="s">
        <v>51</v>
      </c>
      <c r="J153">
        <v>3</v>
      </c>
      <c r="K153" s="6"/>
      <c r="L153">
        <v>50.149900000000002</v>
      </c>
      <c r="M153">
        <v>113.4683</v>
      </c>
      <c r="N153">
        <v>200</v>
      </c>
      <c r="O153">
        <v>200</v>
      </c>
      <c r="P153">
        <v>25.07</v>
      </c>
      <c r="Q153">
        <v>56.73</v>
      </c>
      <c r="R153">
        <v>0</v>
      </c>
      <c r="S153">
        <v>0</v>
      </c>
      <c r="T153">
        <v>0</v>
      </c>
      <c r="U153">
        <v>2.2806999999999999</v>
      </c>
      <c r="V153">
        <v>86.531700000000001</v>
      </c>
      <c r="W153">
        <v>37.94</v>
      </c>
      <c r="X153">
        <v>12</v>
      </c>
      <c r="Y153" s="9" t="s">
        <v>578</v>
      </c>
      <c r="Z153">
        <v>4.5</v>
      </c>
      <c r="AA153">
        <v>580.5</v>
      </c>
      <c r="AB153">
        <v>0</v>
      </c>
      <c r="AC153" s="9" t="s">
        <v>612</v>
      </c>
    </row>
    <row r="154" spans="1:29" x14ac:dyDescent="0.35">
      <c r="A154">
        <v>153</v>
      </c>
      <c r="B154">
        <v>1266</v>
      </c>
      <c r="C154" s="9" t="s">
        <v>340</v>
      </c>
      <c r="D154" s="9" t="s">
        <v>45</v>
      </c>
      <c r="E154" s="9" t="s">
        <v>46</v>
      </c>
      <c r="F154" s="9" t="s">
        <v>47</v>
      </c>
      <c r="G154" s="9" t="s">
        <v>79</v>
      </c>
      <c r="H154" s="9" t="s">
        <v>50</v>
      </c>
      <c r="I154" s="9" t="s">
        <v>51</v>
      </c>
      <c r="J154">
        <v>1</v>
      </c>
      <c r="K154" s="6"/>
      <c r="L154">
        <v>28.9833</v>
      </c>
      <c r="M154">
        <v>66.168599999999998</v>
      </c>
      <c r="N154">
        <v>150</v>
      </c>
      <c r="O154">
        <v>150</v>
      </c>
      <c r="P154">
        <v>19.32</v>
      </c>
      <c r="Q154">
        <v>44.11</v>
      </c>
      <c r="R154">
        <v>0</v>
      </c>
      <c r="S154">
        <v>0</v>
      </c>
      <c r="T154">
        <v>0</v>
      </c>
      <c r="U154">
        <v>2.1718000000000002</v>
      </c>
      <c r="V154">
        <v>83.831400000000002</v>
      </c>
      <c r="W154">
        <v>38.6</v>
      </c>
      <c r="X154">
        <v>18</v>
      </c>
      <c r="Y154" s="9" t="s">
        <v>578</v>
      </c>
      <c r="Z154">
        <v>4.5</v>
      </c>
      <c r="AA154">
        <v>585</v>
      </c>
      <c r="AB154">
        <v>0</v>
      </c>
      <c r="AC154" s="9" t="s">
        <v>613</v>
      </c>
    </row>
    <row r="155" spans="1:29" x14ac:dyDescent="0.35">
      <c r="A155">
        <v>154</v>
      </c>
      <c r="B155">
        <v>1284</v>
      </c>
      <c r="C155" s="9" t="s">
        <v>341</v>
      </c>
      <c r="D155" s="9" t="s">
        <v>45</v>
      </c>
      <c r="E155" s="9" t="s">
        <v>46</v>
      </c>
      <c r="F155" s="9" t="s">
        <v>47</v>
      </c>
      <c r="G155" s="9" t="s">
        <v>79</v>
      </c>
      <c r="H155" s="9" t="s">
        <v>50</v>
      </c>
      <c r="I155" s="9" t="s">
        <v>51</v>
      </c>
      <c r="J155">
        <v>4</v>
      </c>
      <c r="K155" s="6"/>
      <c r="L155">
        <v>28.9833</v>
      </c>
      <c r="M155">
        <v>66.168599999999998</v>
      </c>
      <c r="N155">
        <v>150</v>
      </c>
      <c r="O155">
        <v>150</v>
      </c>
      <c r="P155">
        <v>19.32</v>
      </c>
      <c r="Q155">
        <v>44.11</v>
      </c>
      <c r="R155">
        <v>0</v>
      </c>
      <c r="S155">
        <v>0</v>
      </c>
      <c r="T155">
        <v>0</v>
      </c>
      <c r="U155">
        <v>2.1718000000000002</v>
      </c>
      <c r="V155">
        <v>83.831400000000002</v>
      </c>
      <c r="W155">
        <v>38.6</v>
      </c>
      <c r="X155">
        <v>18</v>
      </c>
      <c r="Y155" s="9" t="s">
        <v>578</v>
      </c>
      <c r="Z155">
        <v>4.5</v>
      </c>
      <c r="AA155">
        <v>589.5</v>
      </c>
      <c r="AB155">
        <v>0</v>
      </c>
      <c r="AC155" s="9" t="s">
        <v>613</v>
      </c>
    </row>
    <row r="156" spans="1:29" x14ac:dyDescent="0.35">
      <c r="A156">
        <v>155</v>
      </c>
      <c r="B156">
        <v>578</v>
      </c>
      <c r="C156" s="9" t="s">
        <v>250</v>
      </c>
      <c r="D156" s="9" t="s">
        <v>64</v>
      </c>
      <c r="E156" s="9" t="s">
        <v>65</v>
      </c>
      <c r="F156" s="9" t="s">
        <v>47</v>
      </c>
      <c r="G156" s="9" t="s">
        <v>195</v>
      </c>
      <c r="H156" s="9" t="s">
        <v>154</v>
      </c>
      <c r="I156" s="9" t="s">
        <v>155</v>
      </c>
      <c r="J156">
        <v>1</v>
      </c>
      <c r="K156" s="6"/>
      <c r="L156">
        <v>132.78299999999999</v>
      </c>
      <c r="M156">
        <v>157.80009999999999</v>
      </c>
      <c r="N156">
        <v>200</v>
      </c>
      <c r="O156">
        <v>200</v>
      </c>
      <c r="P156">
        <v>66.39</v>
      </c>
      <c r="Q156">
        <v>78.900000000000006</v>
      </c>
      <c r="R156">
        <v>0</v>
      </c>
      <c r="S156">
        <v>0</v>
      </c>
      <c r="T156">
        <v>0</v>
      </c>
      <c r="U156">
        <v>1.0819000000000001</v>
      </c>
      <c r="V156">
        <v>42.1999</v>
      </c>
      <c r="W156">
        <v>39.01</v>
      </c>
      <c r="X156">
        <v>12</v>
      </c>
      <c r="Y156" s="9" t="s">
        <v>578</v>
      </c>
      <c r="Z156">
        <v>4.5</v>
      </c>
      <c r="AA156">
        <v>594</v>
      </c>
      <c r="AB156">
        <v>0</v>
      </c>
      <c r="AC156" s="9" t="s">
        <v>614</v>
      </c>
    </row>
    <row r="157" spans="1:29" x14ac:dyDescent="0.35">
      <c r="A157">
        <v>156</v>
      </c>
      <c r="B157">
        <v>584</v>
      </c>
      <c r="C157" s="9" t="s">
        <v>251</v>
      </c>
      <c r="D157" s="9" t="s">
        <v>64</v>
      </c>
      <c r="E157" s="9" t="s">
        <v>65</v>
      </c>
      <c r="F157" s="9" t="s">
        <v>47</v>
      </c>
      <c r="G157" s="9" t="s">
        <v>195</v>
      </c>
      <c r="H157" s="9" t="s">
        <v>154</v>
      </c>
      <c r="I157" s="9" t="s">
        <v>155</v>
      </c>
      <c r="J157">
        <v>3</v>
      </c>
      <c r="K157" s="6"/>
      <c r="L157">
        <v>132.78299999999999</v>
      </c>
      <c r="M157">
        <v>157.80009999999999</v>
      </c>
      <c r="N157">
        <v>200</v>
      </c>
      <c r="O157">
        <v>200</v>
      </c>
      <c r="P157">
        <v>66.39</v>
      </c>
      <c r="Q157">
        <v>78.900000000000006</v>
      </c>
      <c r="R157">
        <v>0</v>
      </c>
      <c r="S157">
        <v>0</v>
      </c>
      <c r="T157">
        <v>0</v>
      </c>
      <c r="U157">
        <v>1.0819000000000001</v>
      </c>
      <c r="V157">
        <v>42.1999</v>
      </c>
      <c r="W157">
        <v>39.01</v>
      </c>
      <c r="X157">
        <v>12</v>
      </c>
      <c r="Y157" s="9" t="s">
        <v>578</v>
      </c>
      <c r="Z157">
        <v>4.5</v>
      </c>
      <c r="AA157">
        <v>598.5</v>
      </c>
      <c r="AB157">
        <v>0</v>
      </c>
      <c r="AC157" s="9" t="s">
        <v>614</v>
      </c>
    </row>
    <row r="158" spans="1:29" x14ac:dyDescent="0.35">
      <c r="A158">
        <v>157</v>
      </c>
      <c r="B158">
        <v>587</v>
      </c>
      <c r="C158" s="9" t="s">
        <v>252</v>
      </c>
      <c r="D158" s="9" t="s">
        <v>64</v>
      </c>
      <c r="E158" s="9" t="s">
        <v>65</v>
      </c>
      <c r="F158" s="9" t="s">
        <v>47</v>
      </c>
      <c r="G158" s="9" t="s">
        <v>195</v>
      </c>
      <c r="H158" s="9" t="s">
        <v>154</v>
      </c>
      <c r="I158" s="9" t="s">
        <v>155</v>
      </c>
      <c r="J158">
        <v>4</v>
      </c>
      <c r="K158" s="6"/>
      <c r="L158">
        <v>132.78299999999999</v>
      </c>
      <c r="M158">
        <v>157.80009999999999</v>
      </c>
      <c r="N158">
        <v>200</v>
      </c>
      <c r="O158">
        <v>200</v>
      </c>
      <c r="P158">
        <v>66.39</v>
      </c>
      <c r="Q158">
        <v>78.900000000000006</v>
      </c>
      <c r="R158">
        <v>0</v>
      </c>
      <c r="S158">
        <v>0</v>
      </c>
      <c r="T158">
        <v>0</v>
      </c>
      <c r="U158">
        <v>1.0819000000000001</v>
      </c>
      <c r="V158">
        <v>42.1999</v>
      </c>
      <c r="W158">
        <v>39.01</v>
      </c>
      <c r="X158">
        <v>12</v>
      </c>
      <c r="Y158" s="9" t="s">
        <v>578</v>
      </c>
      <c r="Z158">
        <v>4.5</v>
      </c>
      <c r="AA158">
        <v>603</v>
      </c>
      <c r="AB158">
        <v>0</v>
      </c>
      <c r="AC158" s="9" t="s">
        <v>614</v>
      </c>
    </row>
    <row r="159" spans="1:29" x14ac:dyDescent="0.35">
      <c r="A159">
        <v>158</v>
      </c>
      <c r="B159">
        <v>920</v>
      </c>
      <c r="C159" s="9" t="s">
        <v>358</v>
      </c>
      <c r="D159" s="9" t="s">
        <v>53</v>
      </c>
      <c r="E159" s="9" t="s">
        <v>54</v>
      </c>
      <c r="F159" s="9" t="s">
        <v>47</v>
      </c>
      <c r="G159" s="9" t="s">
        <v>190</v>
      </c>
      <c r="H159" s="9" t="s">
        <v>57</v>
      </c>
      <c r="I159" s="9" t="s">
        <v>58</v>
      </c>
      <c r="J159">
        <v>1</v>
      </c>
      <c r="K159" s="6"/>
      <c r="L159">
        <v>26.2333</v>
      </c>
      <c r="M159">
        <v>44.923400000000001</v>
      </c>
      <c r="N159">
        <v>120</v>
      </c>
      <c r="O159">
        <v>120</v>
      </c>
      <c r="P159">
        <v>21.86</v>
      </c>
      <c r="Q159">
        <v>37.44</v>
      </c>
      <c r="R159">
        <v>0</v>
      </c>
      <c r="S159">
        <v>0</v>
      </c>
      <c r="T159">
        <v>0</v>
      </c>
      <c r="U159">
        <v>1.8878999999999999</v>
      </c>
      <c r="V159">
        <v>75.076599999999999</v>
      </c>
      <c r="W159">
        <v>39.770000000000003</v>
      </c>
      <c r="X159">
        <v>8</v>
      </c>
      <c r="Y159" s="9" t="s">
        <v>578</v>
      </c>
      <c r="Z159">
        <v>4.5</v>
      </c>
      <c r="AA159">
        <v>607.5</v>
      </c>
      <c r="AB159">
        <v>0</v>
      </c>
      <c r="AC159" s="9" t="s">
        <v>615</v>
      </c>
    </row>
    <row r="160" spans="1:29" x14ac:dyDescent="0.35">
      <c r="A160">
        <v>159</v>
      </c>
      <c r="B160">
        <v>599</v>
      </c>
      <c r="C160" s="9" t="s">
        <v>271</v>
      </c>
      <c r="D160" s="9" t="s">
        <v>45</v>
      </c>
      <c r="E160" s="9" t="s">
        <v>46</v>
      </c>
      <c r="F160" s="9" t="s">
        <v>47</v>
      </c>
      <c r="G160" s="9" t="s">
        <v>195</v>
      </c>
      <c r="H160" s="9" t="s">
        <v>154</v>
      </c>
      <c r="I160" s="9" t="s">
        <v>155</v>
      </c>
      <c r="J160">
        <v>3</v>
      </c>
      <c r="K160" s="6"/>
      <c r="L160">
        <v>92.099699999999999</v>
      </c>
      <c r="M160">
        <v>106.93510000000001</v>
      </c>
      <c r="N160">
        <v>150</v>
      </c>
      <c r="O160">
        <v>150</v>
      </c>
      <c r="P160">
        <v>61.4</v>
      </c>
      <c r="Q160">
        <v>71.290000000000006</v>
      </c>
      <c r="R160">
        <v>0</v>
      </c>
      <c r="S160">
        <v>0</v>
      </c>
      <c r="T160">
        <v>0</v>
      </c>
      <c r="U160">
        <v>1.0819000000000001</v>
      </c>
      <c r="V160">
        <v>43.064900000000002</v>
      </c>
      <c r="W160">
        <v>39.799999999999997</v>
      </c>
      <c r="X160">
        <v>18</v>
      </c>
      <c r="Y160" s="9" t="s">
        <v>578</v>
      </c>
      <c r="Z160">
        <v>4.5</v>
      </c>
      <c r="AA160">
        <v>612</v>
      </c>
      <c r="AB160">
        <v>0</v>
      </c>
      <c r="AC160" s="9" t="s">
        <v>616</v>
      </c>
    </row>
    <row r="161" spans="1:29" x14ac:dyDescent="0.35">
      <c r="A161">
        <v>160</v>
      </c>
      <c r="B161">
        <v>1029</v>
      </c>
      <c r="C161" s="9" t="s">
        <v>85</v>
      </c>
      <c r="D161" s="9" t="s">
        <v>86</v>
      </c>
      <c r="E161" s="9" t="s">
        <v>87</v>
      </c>
      <c r="F161" s="9" t="s">
        <v>71</v>
      </c>
      <c r="G161" s="9" t="s">
        <v>88</v>
      </c>
      <c r="H161" s="9" t="s">
        <v>89</v>
      </c>
      <c r="I161" s="9" t="s">
        <v>90</v>
      </c>
      <c r="J161">
        <v>1</v>
      </c>
      <c r="K161" s="6"/>
      <c r="L161">
        <v>380.19990000000001</v>
      </c>
      <c r="M161">
        <v>712.3306</v>
      </c>
      <c r="N161">
        <v>400</v>
      </c>
      <c r="O161">
        <v>400</v>
      </c>
      <c r="P161">
        <v>95.05</v>
      </c>
      <c r="Q161">
        <v>178.08</v>
      </c>
      <c r="R161">
        <v>0</v>
      </c>
      <c r="S161">
        <v>1</v>
      </c>
      <c r="T161">
        <v>1</v>
      </c>
      <c r="U161">
        <v>1.9149</v>
      </c>
      <c r="V161">
        <v>-312.3306</v>
      </c>
      <c r="W161">
        <v>-163.11000000000001</v>
      </c>
      <c r="X161">
        <v>6</v>
      </c>
      <c r="Y161" s="9" t="s">
        <v>617</v>
      </c>
      <c r="Z161">
        <v>2.5</v>
      </c>
      <c r="AA161">
        <v>614.5</v>
      </c>
      <c r="AB161">
        <v>0</v>
      </c>
      <c r="AC161" s="9" t="s">
        <v>618</v>
      </c>
    </row>
    <row r="162" spans="1:29" x14ac:dyDescent="0.35">
      <c r="A162">
        <v>161</v>
      </c>
      <c r="B162">
        <v>1336</v>
      </c>
      <c r="C162" s="9" t="s">
        <v>68</v>
      </c>
      <c r="D162" s="9" t="s">
        <v>69</v>
      </c>
      <c r="E162" s="9" t="s">
        <v>70</v>
      </c>
      <c r="F162" s="9" t="s">
        <v>71</v>
      </c>
      <c r="G162" s="9" t="s">
        <v>72</v>
      </c>
      <c r="H162" s="9" t="s">
        <v>50</v>
      </c>
      <c r="I162" s="9" t="s">
        <v>51</v>
      </c>
      <c r="J162">
        <v>1</v>
      </c>
      <c r="K162" s="6"/>
      <c r="L162">
        <v>282.05</v>
      </c>
      <c r="M162">
        <v>588.2364</v>
      </c>
      <c r="N162">
        <v>300</v>
      </c>
      <c r="O162">
        <v>300</v>
      </c>
      <c r="P162">
        <v>94.02</v>
      </c>
      <c r="Q162">
        <v>196.08</v>
      </c>
      <c r="R162">
        <v>0</v>
      </c>
      <c r="S162">
        <v>1</v>
      </c>
      <c r="T162">
        <v>1</v>
      </c>
      <c r="U162">
        <v>1.9079999999999999</v>
      </c>
      <c r="V162">
        <v>-288.2364</v>
      </c>
      <c r="W162">
        <v>-151.07</v>
      </c>
      <c r="X162">
        <v>24</v>
      </c>
      <c r="Y162" s="9" t="s">
        <v>617</v>
      </c>
      <c r="Z162">
        <v>2.5</v>
      </c>
      <c r="AA162">
        <v>617</v>
      </c>
      <c r="AB162">
        <v>0</v>
      </c>
      <c r="AC162" s="9" t="s">
        <v>619</v>
      </c>
    </row>
    <row r="163" spans="1:29" x14ac:dyDescent="0.35">
      <c r="A163">
        <v>162</v>
      </c>
      <c r="B163">
        <v>312</v>
      </c>
      <c r="C163" s="9" t="s">
        <v>113</v>
      </c>
      <c r="D163" s="9" t="s">
        <v>86</v>
      </c>
      <c r="E163" s="9" t="s">
        <v>87</v>
      </c>
      <c r="F163" s="9" t="s">
        <v>71</v>
      </c>
      <c r="G163" s="9" t="s">
        <v>93</v>
      </c>
      <c r="H163" s="9" t="s">
        <v>89</v>
      </c>
      <c r="I163" s="9" t="s">
        <v>90</v>
      </c>
      <c r="J163">
        <v>1</v>
      </c>
      <c r="K163" s="6"/>
      <c r="L163">
        <v>337.96620000000001</v>
      </c>
      <c r="M163">
        <v>628.66409999999996</v>
      </c>
      <c r="N163">
        <v>400</v>
      </c>
      <c r="O163">
        <v>400</v>
      </c>
      <c r="P163">
        <v>84.49</v>
      </c>
      <c r="Q163">
        <v>157.16999999999999</v>
      </c>
      <c r="R163">
        <v>0</v>
      </c>
      <c r="S163">
        <v>1</v>
      </c>
      <c r="T163">
        <v>1</v>
      </c>
      <c r="U163">
        <v>1.7137</v>
      </c>
      <c r="V163">
        <v>-228.66409999999999</v>
      </c>
      <c r="W163">
        <v>-133.43</v>
      </c>
      <c r="X163">
        <v>6</v>
      </c>
      <c r="Y163" s="9" t="s">
        <v>617</v>
      </c>
      <c r="Z163">
        <v>2.5</v>
      </c>
      <c r="AA163">
        <v>619.5</v>
      </c>
      <c r="AB163">
        <v>0</v>
      </c>
      <c r="AC163" s="9" t="s">
        <v>620</v>
      </c>
    </row>
    <row r="164" spans="1:29" x14ac:dyDescent="0.35">
      <c r="A164">
        <v>163</v>
      </c>
      <c r="B164">
        <v>56</v>
      </c>
      <c r="C164" s="9" t="s">
        <v>114</v>
      </c>
      <c r="D164" s="9" t="s">
        <v>86</v>
      </c>
      <c r="E164" s="9" t="s">
        <v>87</v>
      </c>
      <c r="F164" s="9" t="s">
        <v>71</v>
      </c>
      <c r="G164" s="9" t="s">
        <v>62</v>
      </c>
      <c r="H164" s="9" t="s">
        <v>50</v>
      </c>
      <c r="I164" s="9" t="s">
        <v>51</v>
      </c>
      <c r="J164">
        <v>1</v>
      </c>
      <c r="K164" s="6"/>
      <c r="L164">
        <v>285.50009999999997</v>
      </c>
      <c r="M164">
        <v>626.47979999999995</v>
      </c>
      <c r="N164">
        <v>400</v>
      </c>
      <c r="O164">
        <v>400</v>
      </c>
      <c r="P164">
        <v>71.38</v>
      </c>
      <c r="Q164">
        <v>156.62</v>
      </c>
      <c r="R164">
        <v>0</v>
      </c>
      <c r="S164">
        <v>1</v>
      </c>
      <c r="T164">
        <v>1</v>
      </c>
      <c r="U164">
        <v>2.2806999999999999</v>
      </c>
      <c r="V164">
        <v>-226.47980000000001</v>
      </c>
      <c r="W164">
        <v>-99.3</v>
      </c>
      <c r="X164">
        <v>6</v>
      </c>
      <c r="Y164" s="9" t="s">
        <v>617</v>
      </c>
      <c r="Z164">
        <v>2.5</v>
      </c>
      <c r="AA164">
        <v>622</v>
      </c>
      <c r="AB164">
        <v>0</v>
      </c>
      <c r="AC164" s="9" t="s">
        <v>621</v>
      </c>
    </row>
    <row r="165" spans="1:29" x14ac:dyDescent="0.35">
      <c r="A165">
        <v>164</v>
      </c>
      <c r="B165">
        <v>521</v>
      </c>
      <c r="C165" s="9" t="s">
        <v>96</v>
      </c>
      <c r="D165" s="9" t="s">
        <v>69</v>
      </c>
      <c r="E165" s="9" t="s">
        <v>70</v>
      </c>
      <c r="F165" s="9" t="s">
        <v>71</v>
      </c>
      <c r="G165" s="9" t="s">
        <v>97</v>
      </c>
      <c r="H165" s="9" t="s">
        <v>50</v>
      </c>
      <c r="I165" s="9" t="s">
        <v>51</v>
      </c>
      <c r="J165">
        <v>1</v>
      </c>
      <c r="K165" s="6"/>
      <c r="L165">
        <v>242.0667</v>
      </c>
      <c r="M165">
        <v>516.54859999999996</v>
      </c>
      <c r="N165">
        <v>300</v>
      </c>
      <c r="O165">
        <v>300</v>
      </c>
      <c r="P165">
        <v>80.69</v>
      </c>
      <c r="Q165">
        <v>172.18</v>
      </c>
      <c r="R165">
        <v>0</v>
      </c>
      <c r="S165">
        <v>1</v>
      </c>
      <c r="T165">
        <v>1</v>
      </c>
      <c r="U165">
        <v>2.1760999999999999</v>
      </c>
      <c r="V165">
        <v>-216.54859999999999</v>
      </c>
      <c r="W165">
        <v>-99.51</v>
      </c>
      <c r="X165">
        <v>24</v>
      </c>
      <c r="Y165" s="9" t="s">
        <v>617</v>
      </c>
      <c r="Z165">
        <v>2.5</v>
      </c>
      <c r="AA165">
        <v>624.5</v>
      </c>
      <c r="AB165">
        <v>0</v>
      </c>
      <c r="AC165" s="9" t="s">
        <v>622</v>
      </c>
    </row>
    <row r="166" spans="1:29" x14ac:dyDescent="0.35">
      <c r="A166">
        <v>165</v>
      </c>
      <c r="B166">
        <v>657</v>
      </c>
      <c r="C166" s="9" t="s">
        <v>107</v>
      </c>
      <c r="D166" s="9" t="s">
        <v>69</v>
      </c>
      <c r="E166" s="9" t="s">
        <v>70</v>
      </c>
      <c r="F166" s="9" t="s">
        <v>71</v>
      </c>
      <c r="G166" s="9" t="s">
        <v>81</v>
      </c>
      <c r="H166" s="9" t="s">
        <v>57</v>
      </c>
      <c r="I166" s="9" t="s">
        <v>58</v>
      </c>
      <c r="J166">
        <v>1</v>
      </c>
      <c r="K166" s="6"/>
      <c r="L166">
        <v>248.25030000000001</v>
      </c>
      <c r="M166">
        <v>496.07589999999999</v>
      </c>
      <c r="N166">
        <v>300</v>
      </c>
      <c r="O166">
        <v>300</v>
      </c>
      <c r="P166">
        <v>82.75</v>
      </c>
      <c r="Q166">
        <v>165.36</v>
      </c>
      <c r="R166">
        <v>0</v>
      </c>
      <c r="S166">
        <v>1</v>
      </c>
      <c r="T166">
        <v>1</v>
      </c>
      <c r="U166">
        <v>1.8671</v>
      </c>
      <c r="V166">
        <v>-196.07589999999999</v>
      </c>
      <c r="W166">
        <v>-105.02</v>
      </c>
      <c r="X166">
        <v>24</v>
      </c>
      <c r="Y166" s="9" t="s">
        <v>617</v>
      </c>
      <c r="Z166">
        <v>2.5</v>
      </c>
      <c r="AA166">
        <v>627</v>
      </c>
      <c r="AB166">
        <v>0</v>
      </c>
      <c r="AC166" s="9" t="s">
        <v>623</v>
      </c>
    </row>
    <row r="167" spans="1:29" x14ac:dyDescent="0.35">
      <c r="A167">
        <v>166</v>
      </c>
      <c r="B167">
        <v>1376</v>
      </c>
      <c r="C167" s="9" t="s">
        <v>124</v>
      </c>
      <c r="D167" s="9" t="s">
        <v>86</v>
      </c>
      <c r="E167" s="9" t="s">
        <v>87</v>
      </c>
      <c r="F167" s="9" t="s">
        <v>71</v>
      </c>
      <c r="G167" s="9" t="s">
        <v>125</v>
      </c>
      <c r="H167" s="9" t="s">
        <v>89</v>
      </c>
      <c r="I167" s="9" t="s">
        <v>90</v>
      </c>
      <c r="J167">
        <v>1</v>
      </c>
      <c r="K167" s="6"/>
      <c r="L167">
        <v>315.3168</v>
      </c>
      <c r="M167">
        <v>578.9008</v>
      </c>
      <c r="N167">
        <v>400</v>
      </c>
      <c r="O167">
        <v>400</v>
      </c>
      <c r="P167">
        <v>78.83</v>
      </c>
      <c r="Q167">
        <v>144.72999999999999</v>
      </c>
      <c r="R167">
        <v>0</v>
      </c>
      <c r="S167">
        <v>1</v>
      </c>
      <c r="T167">
        <v>1</v>
      </c>
      <c r="U167">
        <v>1.7297</v>
      </c>
      <c r="V167">
        <v>-178.9008</v>
      </c>
      <c r="W167">
        <v>-103.43</v>
      </c>
      <c r="X167">
        <v>6</v>
      </c>
      <c r="Y167" s="9" t="s">
        <v>617</v>
      </c>
      <c r="Z167">
        <v>2.5</v>
      </c>
      <c r="AA167">
        <v>629.5</v>
      </c>
      <c r="AB167">
        <v>0</v>
      </c>
      <c r="AC167" s="9" t="s">
        <v>624</v>
      </c>
    </row>
    <row r="168" spans="1:29" x14ac:dyDescent="0.35">
      <c r="A168">
        <v>167</v>
      </c>
      <c r="B168">
        <v>1470</v>
      </c>
      <c r="C168" s="9" t="s">
        <v>142</v>
      </c>
      <c r="D168" s="9" t="s">
        <v>69</v>
      </c>
      <c r="E168" s="9" t="s">
        <v>70</v>
      </c>
      <c r="F168" s="9" t="s">
        <v>71</v>
      </c>
      <c r="G168" s="9" t="s">
        <v>67</v>
      </c>
      <c r="H168" s="9" t="s">
        <v>57</v>
      </c>
      <c r="I168" s="9" t="s">
        <v>58</v>
      </c>
      <c r="J168">
        <v>1</v>
      </c>
      <c r="K168" s="6"/>
      <c r="L168">
        <v>193.36670000000001</v>
      </c>
      <c r="M168">
        <v>395.82839999999999</v>
      </c>
      <c r="N168">
        <v>300</v>
      </c>
      <c r="O168">
        <v>300</v>
      </c>
      <c r="P168">
        <v>64.459999999999994</v>
      </c>
      <c r="Q168">
        <v>131.94</v>
      </c>
      <c r="R168">
        <v>0</v>
      </c>
      <c r="S168">
        <v>1</v>
      </c>
      <c r="T168">
        <v>1</v>
      </c>
      <c r="U168">
        <v>1.9626999999999999</v>
      </c>
      <c r="V168">
        <v>-95.828400000000002</v>
      </c>
      <c r="W168">
        <v>-48.82</v>
      </c>
      <c r="X168">
        <v>24</v>
      </c>
      <c r="Y168" s="9" t="s">
        <v>617</v>
      </c>
      <c r="Z168">
        <v>2.5</v>
      </c>
      <c r="AA168">
        <v>632</v>
      </c>
      <c r="AB168">
        <v>0</v>
      </c>
      <c r="AC168" s="9" t="s">
        <v>625</v>
      </c>
    </row>
    <row r="169" spans="1:29" x14ac:dyDescent="0.35">
      <c r="A169">
        <v>168</v>
      </c>
      <c r="B169">
        <v>17</v>
      </c>
      <c r="C169" s="9" t="s">
        <v>151</v>
      </c>
      <c r="D169" s="9" t="s">
        <v>69</v>
      </c>
      <c r="E169" s="9" t="s">
        <v>70</v>
      </c>
      <c r="F169" s="9" t="s">
        <v>71</v>
      </c>
      <c r="G169" s="9" t="s">
        <v>99</v>
      </c>
      <c r="H169" s="9" t="s">
        <v>57</v>
      </c>
      <c r="I169" s="9" t="s">
        <v>58</v>
      </c>
      <c r="J169">
        <v>1</v>
      </c>
      <c r="K169" s="6"/>
      <c r="L169">
        <v>184.03389999999999</v>
      </c>
      <c r="M169">
        <v>369.03210000000001</v>
      </c>
      <c r="N169">
        <v>300</v>
      </c>
      <c r="O169">
        <v>300</v>
      </c>
      <c r="P169">
        <v>61.34</v>
      </c>
      <c r="Q169">
        <v>123.01</v>
      </c>
      <c r="R169">
        <v>0</v>
      </c>
      <c r="S169">
        <v>1</v>
      </c>
      <c r="T169">
        <v>1</v>
      </c>
      <c r="U169">
        <v>2.0638000000000001</v>
      </c>
      <c r="V169">
        <v>-69.0321</v>
      </c>
      <c r="W169">
        <v>-33.450000000000003</v>
      </c>
      <c r="X169">
        <v>24</v>
      </c>
      <c r="Y169" s="9" t="s">
        <v>617</v>
      </c>
      <c r="Z169">
        <v>2.5</v>
      </c>
      <c r="AA169">
        <v>634.5</v>
      </c>
      <c r="AB169">
        <v>0</v>
      </c>
      <c r="AC169" s="9" t="s">
        <v>626</v>
      </c>
    </row>
    <row r="170" spans="1:29" x14ac:dyDescent="0.35">
      <c r="A170">
        <v>169</v>
      </c>
      <c r="B170">
        <v>1127</v>
      </c>
      <c r="C170" s="9" t="s">
        <v>152</v>
      </c>
      <c r="D170" s="9" t="s">
        <v>69</v>
      </c>
      <c r="E170" s="9" t="s">
        <v>70</v>
      </c>
      <c r="F170" s="9" t="s">
        <v>71</v>
      </c>
      <c r="G170" s="9" t="s">
        <v>153</v>
      </c>
      <c r="H170" s="9" t="s">
        <v>154</v>
      </c>
      <c r="I170" s="9" t="s">
        <v>155</v>
      </c>
      <c r="J170">
        <v>1</v>
      </c>
      <c r="K170" s="6"/>
      <c r="L170">
        <v>297.00040000000001</v>
      </c>
      <c r="M170">
        <v>364.52</v>
      </c>
      <c r="N170">
        <v>300</v>
      </c>
      <c r="O170">
        <v>300</v>
      </c>
      <c r="P170">
        <v>99</v>
      </c>
      <c r="Q170">
        <v>121.51</v>
      </c>
      <c r="R170">
        <v>0</v>
      </c>
      <c r="S170">
        <v>1</v>
      </c>
      <c r="T170">
        <v>1</v>
      </c>
      <c r="U170">
        <v>1.2827</v>
      </c>
      <c r="V170">
        <v>-64.52</v>
      </c>
      <c r="W170">
        <v>-50.3</v>
      </c>
      <c r="X170">
        <v>24</v>
      </c>
      <c r="Y170" s="9" t="s">
        <v>617</v>
      </c>
      <c r="Z170">
        <v>2.5</v>
      </c>
      <c r="AA170">
        <v>637</v>
      </c>
      <c r="AB170">
        <v>0</v>
      </c>
      <c r="AC170" s="9" t="s">
        <v>627</v>
      </c>
    </row>
    <row r="171" spans="1:29" x14ac:dyDescent="0.35">
      <c r="A171">
        <v>170</v>
      </c>
      <c r="B171">
        <v>218</v>
      </c>
      <c r="C171" s="9" t="s">
        <v>171</v>
      </c>
      <c r="D171" s="9" t="s">
        <v>69</v>
      </c>
      <c r="E171" s="9" t="s">
        <v>70</v>
      </c>
      <c r="F171" s="9" t="s">
        <v>71</v>
      </c>
      <c r="G171" s="9" t="s">
        <v>55</v>
      </c>
      <c r="H171" s="9" t="s">
        <v>57</v>
      </c>
      <c r="I171" s="9" t="s">
        <v>58</v>
      </c>
      <c r="J171">
        <v>1</v>
      </c>
      <c r="K171" s="6"/>
      <c r="L171">
        <v>168.76650000000001</v>
      </c>
      <c r="M171">
        <v>341.65320000000003</v>
      </c>
      <c r="N171">
        <v>300</v>
      </c>
      <c r="O171">
        <v>300</v>
      </c>
      <c r="P171">
        <v>56.26</v>
      </c>
      <c r="Q171">
        <v>113.88</v>
      </c>
      <c r="R171">
        <v>0</v>
      </c>
      <c r="S171">
        <v>1</v>
      </c>
      <c r="T171">
        <v>1</v>
      </c>
      <c r="U171">
        <v>1.9127000000000001</v>
      </c>
      <c r="V171">
        <v>-41.653199999999998</v>
      </c>
      <c r="W171">
        <v>-21.78</v>
      </c>
      <c r="X171">
        <v>24</v>
      </c>
      <c r="Y171" s="9" t="s">
        <v>617</v>
      </c>
      <c r="Z171">
        <v>2.5</v>
      </c>
      <c r="AA171">
        <v>639.5</v>
      </c>
      <c r="AB171">
        <v>0</v>
      </c>
      <c r="AC171" s="9" t="s">
        <v>628</v>
      </c>
    </row>
    <row r="172" spans="1:29" x14ac:dyDescent="0.35">
      <c r="A172">
        <v>171</v>
      </c>
      <c r="B172">
        <v>1080</v>
      </c>
      <c r="C172" s="9" t="s">
        <v>172</v>
      </c>
      <c r="D172" s="9" t="s">
        <v>69</v>
      </c>
      <c r="E172" s="9" t="s">
        <v>70</v>
      </c>
      <c r="F172" s="9" t="s">
        <v>71</v>
      </c>
      <c r="G172" s="9" t="s">
        <v>161</v>
      </c>
      <c r="H172" s="9" t="s">
        <v>154</v>
      </c>
      <c r="I172" s="9" t="s">
        <v>155</v>
      </c>
      <c r="J172">
        <v>1</v>
      </c>
      <c r="K172" s="6"/>
      <c r="L172">
        <v>282.58339999999998</v>
      </c>
      <c r="M172">
        <v>341.03539999999998</v>
      </c>
      <c r="N172">
        <v>300</v>
      </c>
      <c r="O172">
        <v>300</v>
      </c>
      <c r="P172">
        <v>94.19</v>
      </c>
      <c r="Q172">
        <v>113.68</v>
      </c>
      <c r="R172">
        <v>0</v>
      </c>
      <c r="S172">
        <v>1</v>
      </c>
      <c r="T172">
        <v>1</v>
      </c>
      <c r="U172">
        <v>1.2703</v>
      </c>
      <c r="V172">
        <v>-41.035400000000003</v>
      </c>
      <c r="W172">
        <v>-32.299999999999997</v>
      </c>
      <c r="X172">
        <v>24</v>
      </c>
      <c r="Y172" s="9" t="s">
        <v>617</v>
      </c>
      <c r="Z172">
        <v>2.5</v>
      </c>
      <c r="AA172">
        <v>642</v>
      </c>
      <c r="AB172">
        <v>0</v>
      </c>
      <c r="AC172" s="9" t="s">
        <v>629</v>
      </c>
    </row>
    <row r="173" spans="1:29" x14ac:dyDescent="0.35">
      <c r="A173">
        <v>172</v>
      </c>
      <c r="B173">
        <v>753</v>
      </c>
      <c r="C173" s="9" t="s">
        <v>183</v>
      </c>
      <c r="D173" s="9" t="s">
        <v>86</v>
      </c>
      <c r="E173" s="9" t="s">
        <v>87</v>
      </c>
      <c r="F173" s="9" t="s">
        <v>71</v>
      </c>
      <c r="G173" s="9" t="s">
        <v>110</v>
      </c>
      <c r="H173" s="9" t="s">
        <v>57</v>
      </c>
      <c r="I173" s="9" t="s">
        <v>58</v>
      </c>
      <c r="J173">
        <v>1</v>
      </c>
      <c r="K173" s="6"/>
      <c r="L173">
        <v>219.9</v>
      </c>
      <c r="M173">
        <v>435.87720000000002</v>
      </c>
      <c r="N173">
        <v>400</v>
      </c>
      <c r="O173">
        <v>400</v>
      </c>
      <c r="P173">
        <v>54.98</v>
      </c>
      <c r="Q173">
        <v>108.97</v>
      </c>
      <c r="R173">
        <v>0</v>
      </c>
      <c r="S173">
        <v>1</v>
      </c>
      <c r="T173">
        <v>1</v>
      </c>
      <c r="U173">
        <v>1.9188000000000001</v>
      </c>
      <c r="V173">
        <v>-35.877200000000002</v>
      </c>
      <c r="W173">
        <v>-18.7</v>
      </c>
      <c r="X173">
        <v>6</v>
      </c>
      <c r="Y173" s="9" t="s">
        <v>617</v>
      </c>
      <c r="Z173">
        <v>2.5</v>
      </c>
      <c r="AA173">
        <v>644.5</v>
      </c>
      <c r="AB173">
        <v>0</v>
      </c>
      <c r="AC173" s="9" t="s">
        <v>630</v>
      </c>
    </row>
    <row r="174" spans="1:29" x14ac:dyDescent="0.35">
      <c r="A174">
        <v>173</v>
      </c>
      <c r="B174">
        <v>204</v>
      </c>
      <c r="C174" s="9" t="s">
        <v>202</v>
      </c>
      <c r="D174" s="9" t="s">
        <v>86</v>
      </c>
      <c r="E174" s="9" t="s">
        <v>87</v>
      </c>
      <c r="F174" s="9" t="s">
        <v>71</v>
      </c>
      <c r="G174" s="9" t="s">
        <v>55</v>
      </c>
      <c r="H174" s="9" t="s">
        <v>57</v>
      </c>
      <c r="I174" s="9" t="s">
        <v>58</v>
      </c>
      <c r="J174">
        <v>1</v>
      </c>
      <c r="K174" s="6"/>
      <c r="L174">
        <v>204.49979999999999</v>
      </c>
      <c r="M174">
        <v>414.13380000000001</v>
      </c>
      <c r="N174">
        <v>400</v>
      </c>
      <c r="O174">
        <v>400</v>
      </c>
      <c r="P174">
        <v>51.12</v>
      </c>
      <c r="Q174">
        <v>103.53</v>
      </c>
      <c r="R174">
        <v>0</v>
      </c>
      <c r="S174">
        <v>1</v>
      </c>
      <c r="T174">
        <v>1</v>
      </c>
      <c r="U174">
        <v>1.9127000000000001</v>
      </c>
      <c r="V174">
        <v>-14.133800000000001</v>
      </c>
      <c r="W174">
        <v>-7.39</v>
      </c>
      <c r="X174">
        <v>6</v>
      </c>
      <c r="Y174" s="9" t="s">
        <v>617</v>
      </c>
      <c r="Z174">
        <v>2.5</v>
      </c>
      <c r="AA174">
        <v>647</v>
      </c>
      <c r="AB174">
        <v>0</v>
      </c>
      <c r="AC174" s="9" t="s">
        <v>631</v>
      </c>
    </row>
    <row r="175" spans="1:29" x14ac:dyDescent="0.35">
      <c r="A175">
        <v>174</v>
      </c>
      <c r="B175">
        <v>276</v>
      </c>
      <c r="C175" s="9" t="s">
        <v>204</v>
      </c>
      <c r="D175" s="9" t="s">
        <v>69</v>
      </c>
      <c r="E175" s="9" t="s">
        <v>70</v>
      </c>
      <c r="F175" s="9" t="s">
        <v>71</v>
      </c>
      <c r="G175" s="9" t="s">
        <v>205</v>
      </c>
      <c r="H175" s="9" t="s">
        <v>154</v>
      </c>
      <c r="I175" s="9" t="s">
        <v>155</v>
      </c>
      <c r="J175">
        <v>1</v>
      </c>
      <c r="K175" s="6"/>
      <c r="L175">
        <v>256.4332</v>
      </c>
      <c r="M175">
        <v>305.18450000000001</v>
      </c>
      <c r="N175">
        <v>300</v>
      </c>
      <c r="O175">
        <v>300</v>
      </c>
      <c r="P175">
        <v>85.48</v>
      </c>
      <c r="Q175">
        <v>101.73</v>
      </c>
      <c r="R175">
        <v>0</v>
      </c>
      <c r="S175">
        <v>1</v>
      </c>
      <c r="T175">
        <v>1</v>
      </c>
      <c r="U175">
        <v>1.08</v>
      </c>
      <c r="V175">
        <v>-5.1844999999999999</v>
      </c>
      <c r="W175">
        <v>-4.8</v>
      </c>
      <c r="X175">
        <v>24</v>
      </c>
      <c r="Y175" s="9" t="s">
        <v>617</v>
      </c>
      <c r="Z175">
        <v>2.5</v>
      </c>
      <c r="AA175">
        <v>649.5</v>
      </c>
      <c r="AB175">
        <v>0</v>
      </c>
      <c r="AC175" s="9" t="s">
        <v>632</v>
      </c>
    </row>
    <row r="176" spans="1:29" x14ac:dyDescent="0.35">
      <c r="A176">
        <v>175</v>
      </c>
      <c r="B176">
        <v>169</v>
      </c>
      <c r="C176" s="9" t="s">
        <v>206</v>
      </c>
      <c r="D176" s="9" t="s">
        <v>69</v>
      </c>
      <c r="E176" s="9" t="s">
        <v>70</v>
      </c>
      <c r="F176" s="9" t="s">
        <v>71</v>
      </c>
      <c r="G176" s="9" t="s">
        <v>192</v>
      </c>
      <c r="H176" s="9" t="s">
        <v>154</v>
      </c>
      <c r="I176" s="9" t="s">
        <v>155</v>
      </c>
      <c r="J176">
        <v>1</v>
      </c>
      <c r="K176" s="6"/>
      <c r="L176">
        <v>263.76609999999999</v>
      </c>
      <c r="M176">
        <v>302.84750000000003</v>
      </c>
      <c r="N176">
        <v>300</v>
      </c>
      <c r="O176">
        <v>300</v>
      </c>
      <c r="P176">
        <v>87.92</v>
      </c>
      <c r="Q176">
        <v>100.95</v>
      </c>
      <c r="R176">
        <v>0</v>
      </c>
      <c r="S176">
        <v>1</v>
      </c>
      <c r="T176">
        <v>1</v>
      </c>
      <c r="U176">
        <v>1.1001000000000001</v>
      </c>
      <c r="V176">
        <v>-2.8475000000000001</v>
      </c>
      <c r="W176">
        <v>-2.59</v>
      </c>
      <c r="X176">
        <v>24</v>
      </c>
      <c r="Y176" s="9" t="s">
        <v>617</v>
      </c>
      <c r="Z176">
        <v>2.5</v>
      </c>
      <c r="AA176">
        <v>652</v>
      </c>
      <c r="AB176">
        <v>0</v>
      </c>
      <c r="AC176" s="9" t="s">
        <v>633</v>
      </c>
    </row>
    <row r="177" spans="1:29" x14ac:dyDescent="0.35">
      <c r="A177">
        <v>176</v>
      </c>
      <c r="B177">
        <v>347</v>
      </c>
      <c r="C177" s="9" t="s">
        <v>207</v>
      </c>
      <c r="D177" s="9" t="s">
        <v>86</v>
      </c>
      <c r="E177" s="9" t="s">
        <v>87</v>
      </c>
      <c r="F177" s="9" t="s">
        <v>71</v>
      </c>
      <c r="G177" s="9" t="s">
        <v>48</v>
      </c>
      <c r="H177" s="9" t="s">
        <v>50</v>
      </c>
      <c r="I177" s="9" t="s">
        <v>51</v>
      </c>
      <c r="J177">
        <v>1</v>
      </c>
      <c r="K177" s="6"/>
      <c r="L177">
        <v>186.2996</v>
      </c>
      <c r="M177">
        <v>402.1619</v>
      </c>
      <c r="N177">
        <v>400</v>
      </c>
      <c r="O177">
        <v>400</v>
      </c>
      <c r="P177">
        <v>46.57</v>
      </c>
      <c r="Q177">
        <v>100.54</v>
      </c>
      <c r="R177">
        <v>0</v>
      </c>
      <c r="S177">
        <v>1</v>
      </c>
      <c r="T177">
        <v>1</v>
      </c>
      <c r="U177">
        <v>2.3105000000000002</v>
      </c>
      <c r="V177">
        <v>-2.1619000000000002</v>
      </c>
      <c r="W177">
        <v>-0.94</v>
      </c>
      <c r="X177">
        <v>6</v>
      </c>
      <c r="Y177" s="9" t="s">
        <v>617</v>
      </c>
      <c r="Z177">
        <v>2.5</v>
      </c>
      <c r="AA177">
        <v>654.5</v>
      </c>
      <c r="AB177">
        <v>0</v>
      </c>
      <c r="AC177" s="9" t="s">
        <v>634</v>
      </c>
    </row>
    <row r="178" spans="1:29" x14ac:dyDescent="0.35">
      <c r="A178">
        <v>177</v>
      </c>
      <c r="B178">
        <v>848</v>
      </c>
      <c r="C178" s="9" t="s">
        <v>235</v>
      </c>
      <c r="D178" s="9" t="s">
        <v>86</v>
      </c>
      <c r="E178" s="9" t="s">
        <v>87</v>
      </c>
      <c r="F178" s="9" t="s">
        <v>71</v>
      </c>
      <c r="G178" s="9" t="s">
        <v>77</v>
      </c>
      <c r="H178" s="9" t="s">
        <v>50</v>
      </c>
      <c r="I178" s="9" t="s">
        <v>51</v>
      </c>
      <c r="J178">
        <v>1</v>
      </c>
      <c r="K178" s="6"/>
      <c r="L178">
        <v>165.36709999999999</v>
      </c>
      <c r="M178">
        <v>357.54950000000002</v>
      </c>
      <c r="N178">
        <v>400</v>
      </c>
      <c r="O178">
        <v>400</v>
      </c>
      <c r="P178">
        <v>41.34</v>
      </c>
      <c r="Q178">
        <v>89.39</v>
      </c>
      <c r="R178">
        <v>0</v>
      </c>
      <c r="S178">
        <v>0</v>
      </c>
      <c r="T178">
        <v>0</v>
      </c>
      <c r="U178">
        <v>2.1968999999999999</v>
      </c>
      <c r="V178">
        <v>42.450499999999998</v>
      </c>
      <c r="W178">
        <v>19.32</v>
      </c>
      <c r="X178">
        <v>6</v>
      </c>
      <c r="Y178" s="9" t="s">
        <v>578</v>
      </c>
      <c r="Z178">
        <v>2.5</v>
      </c>
      <c r="AA178">
        <v>657</v>
      </c>
      <c r="AB178">
        <v>0</v>
      </c>
      <c r="AC178" s="9" t="s">
        <v>635</v>
      </c>
    </row>
    <row r="179" spans="1:29" x14ac:dyDescent="0.35">
      <c r="A179">
        <v>178</v>
      </c>
      <c r="B179">
        <v>572</v>
      </c>
      <c r="C179" s="9" t="s">
        <v>227</v>
      </c>
      <c r="D179" s="9" t="s">
        <v>69</v>
      </c>
      <c r="E179" s="9" t="s">
        <v>70</v>
      </c>
      <c r="F179" s="9" t="s">
        <v>71</v>
      </c>
      <c r="G179" s="9" t="s">
        <v>195</v>
      </c>
      <c r="H179" s="9" t="s">
        <v>154</v>
      </c>
      <c r="I179" s="9" t="s">
        <v>155</v>
      </c>
      <c r="J179">
        <v>1</v>
      </c>
      <c r="K179" s="6"/>
      <c r="L179">
        <v>234.91650000000001</v>
      </c>
      <c r="M179">
        <v>277.47949999999997</v>
      </c>
      <c r="N179">
        <v>300</v>
      </c>
      <c r="O179">
        <v>300</v>
      </c>
      <c r="P179">
        <v>78.31</v>
      </c>
      <c r="Q179">
        <v>92.49</v>
      </c>
      <c r="R179">
        <v>0</v>
      </c>
      <c r="S179">
        <v>0</v>
      </c>
      <c r="T179">
        <v>0</v>
      </c>
      <c r="U179">
        <v>1.0819000000000001</v>
      </c>
      <c r="V179">
        <v>22.520499999999998</v>
      </c>
      <c r="W179">
        <v>20.82</v>
      </c>
      <c r="X179">
        <v>24</v>
      </c>
      <c r="Y179" s="9" t="s">
        <v>559</v>
      </c>
      <c r="Z179">
        <v>0</v>
      </c>
      <c r="AA179">
        <v>657</v>
      </c>
      <c r="AB179">
        <v>0</v>
      </c>
      <c r="AC179" s="9" t="s">
        <v>636</v>
      </c>
    </row>
    <row r="180" spans="1:29" x14ac:dyDescent="0.35">
      <c r="A180">
        <v>179</v>
      </c>
      <c r="B180">
        <v>695</v>
      </c>
      <c r="C180" s="9" t="s">
        <v>237</v>
      </c>
      <c r="D180" s="9" t="s">
        <v>86</v>
      </c>
      <c r="E180" s="9" t="s">
        <v>87</v>
      </c>
      <c r="F180" s="9" t="s">
        <v>71</v>
      </c>
      <c r="G180" s="9" t="s">
        <v>95</v>
      </c>
      <c r="H180" s="9" t="s">
        <v>57</v>
      </c>
      <c r="I180" s="9" t="s">
        <v>58</v>
      </c>
      <c r="J180">
        <v>1</v>
      </c>
      <c r="K180" s="6"/>
      <c r="L180">
        <v>178.91650000000001</v>
      </c>
      <c r="M180">
        <v>351.38929999999999</v>
      </c>
      <c r="N180">
        <v>400</v>
      </c>
      <c r="O180">
        <v>400</v>
      </c>
      <c r="P180">
        <v>44.73</v>
      </c>
      <c r="Q180">
        <v>87.85</v>
      </c>
      <c r="R180">
        <v>0</v>
      </c>
      <c r="S180">
        <v>0</v>
      </c>
      <c r="T180">
        <v>0</v>
      </c>
      <c r="U180">
        <v>1.9216</v>
      </c>
      <c r="V180">
        <v>48.610700000000001</v>
      </c>
      <c r="W180">
        <v>25.3</v>
      </c>
      <c r="X180">
        <v>6</v>
      </c>
      <c r="Y180" s="9" t="s">
        <v>578</v>
      </c>
      <c r="Z180">
        <v>2.5</v>
      </c>
      <c r="AA180">
        <v>659.5</v>
      </c>
      <c r="AB180">
        <v>0</v>
      </c>
      <c r="AC180" s="9" t="s">
        <v>637</v>
      </c>
    </row>
    <row r="181" spans="1:29" x14ac:dyDescent="0.35">
      <c r="A181">
        <v>180</v>
      </c>
      <c r="B181">
        <v>1</v>
      </c>
      <c r="C181" s="9" t="s">
        <v>238</v>
      </c>
      <c r="D181" s="9" t="s">
        <v>86</v>
      </c>
      <c r="E181" s="9" t="s">
        <v>87</v>
      </c>
      <c r="F181" s="9" t="s">
        <v>71</v>
      </c>
      <c r="G181" s="9" t="s">
        <v>99</v>
      </c>
      <c r="H181" s="9" t="s">
        <v>57</v>
      </c>
      <c r="I181" s="9" t="s">
        <v>58</v>
      </c>
      <c r="J181">
        <v>1</v>
      </c>
      <c r="K181" s="6"/>
      <c r="L181">
        <v>173.0506</v>
      </c>
      <c r="M181">
        <v>347.64339999999999</v>
      </c>
      <c r="N181">
        <v>400</v>
      </c>
      <c r="O181">
        <v>400</v>
      </c>
      <c r="P181">
        <v>43.26</v>
      </c>
      <c r="Q181">
        <v>86.91</v>
      </c>
      <c r="R181">
        <v>0</v>
      </c>
      <c r="S181">
        <v>0</v>
      </c>
      <c r="T181">
        <v>0</v>
      </c>
      <c r="U181">
        <v>2.0638000000000001</v>
      </c>
      <c r="V181">
        <v>52.3566</v>
      </c>
      <c r="W181">
        <v>25.37</v>
      </c>
      <c r="X181">
        <v>6</v>
      </c>
      <c r="Y181" s="9" t="s">
        <v>578</v>
      </c>
      <c r="Z181">
        <v>2.5</v>
      </c>
      <c r="AA181">
        <v>662</v>
      </c>
      <c r="AB181">
        <v>0</v>
      </c>
      <c r="AC181" s="9" t="s">
        <v>638</v>
      </c>
    </row>
    <row r="182" spans="1:29" x14ac:dyDescent="0.35">
      <c r="A182">
        <v>181</v>
      </c>
      <c r="B182">
        <v>976</v>
      </c>
      <c r="C182" s="9" t="s">
        <v>243</v>
      </c>
      <c r="D182" s="9" t="s">
        <v>86</v>
      </c>
      <c r="E182" s="9" t="s">
        <v>87</v>
      </c>
      <c r="F182" s="9" t="s">
        <v>71</v>
      </c>
      <c r="G182" s="9" t="s">
        <v>60</v>
      </c>
      <c r="H182" s="9" t="s">
        <v>50</v>
      </c>
      <c r="I182" s="9" t="s">
        <v>51</v>
      </c>
      <c r="J182">
        <v>1</v>
      </c>
      <c r="K182" s="6"/>
      <c r="L182">
        <v>159.4829</v>
      </c>
      <c r="M182">
        <v>339.13740000000001</v>
      </c>
      <c r="N182">
        <v>400</v>
      </c>
      <c r="O182">
        <v>400</v>
      </c>
      <c r="P182">
        <v>39.869999999999997</v>
      </c>
      <c r="Q182">
        <v>84.78</v>
      </c>
      <c r="R182">
        <v>0</v>
      </c>
      <c r="S182">
        <v>0</v>
      </c>
      <c r="T182">
        <v>0</v>
      </c>
      <c r="U182">
        <v>2.2582</v>
      </c>
      <c r="V182">
        <v>60.8626</v>
      </c>
      <c r="W182">
        <v>26.95</v>
      </c>
      <c r="X182">
        <v>6</v>
      </c>
      <c r="Y182" s="9" t="s">
        <v>578</v>
      </c>
      <c r="Z182">
        <v>2.5</v>
      </c>
      <c r="AA182">
        <v>664.5</v>
      </c>
      <c r="AB182">
        <v>0</v>
      </c>
      <c r="AC182" s="9" t="s">
        <v>639</v>
      </c>
    </row>
    <row r="183" spans="1:29" x14ac:dyDescent="0.35">
      <c r="A183">
        <v>182</v>
      </c>
      <c r="B183">
        <v>715</v>
      </c>
      <c r="C183" s="9" t="s">
        <v>126</v>
      </c>
      <c r="D183" s="9" t="s">
        <v>127</v>
      </c>
      <c r="E183" s="9" t="s">
        <v>128</v>
      </c>
      <c r="F183" s="9" t="s">
        <v>129</v>
      </c>
      <c r="G183" s="9" t="s">
        <v>95</v>
      </c>
      <c r="H183" s="9" t="s">
        <v>57</v>
      </c>
      <c r="I183" s="9" t="s">
        <v>58</v>
      </c>
      <c r="J183">
        <v>1</v>
      </c>
      <c r="K183" s="6"/>
      <c r="L183">
        <v>182.7165</v>
      </c>
      <c r="M183">
        <v>360.00290000000001</v>
      </c>
      <c r="N183">
        <v>250</v>
      </c>
      <c r="O183">
        <v>250</v>
      </c>
      <c r="P183">
        <v>73.09</v>
      </c>
      <c r="Q183">
        <v>144</v>
      </c>
      <c r="R183">
        <v>0</v>
      </c>
      <c r="S183">
        <v>1</v>
      </c>
      <c r="T183">
        <v>1</v>
      </c>
      <c r="U183">
        <v>1.9216</v>
      </c>
      <c r="V183">
        <v>-110.0029</v>
      </c>
      <c r="W183">
        <v>-57.25</v>
      </c>
      <c r="X183">
        <v>4</v>
      </c>
      <c r="Y183" s="9" t="s">
        <v>617</v>
      </c>
      <c r="Z183">
        <v>1.5</v>
      </c>
      <c r="AA183">
        <v>666</v>
      </c>
      <c r="AB183">
        <v>0</v>
      </c>
      <c r="AC183" s="9" t="s">
        <v>640</v>
      </c>
    </row>
    <row r="184" spans="1:29" x14ac:dyDescent="0.35">
      <c r="A184">
        <v>183</v>
      </c>
      <c r="B184">
        <v>771</v>
      </c>
      <c r="C184" s="9" t="s">
        <v>130</v>
      </c>
      <c r="D184" s="9" t="s">
        <v>127</v>
      </c>
      <c r="E184" s="9" t="s">
        <v>128</v>
      </c>
      <c r="F184" s="9" t="s">
        <v>129</v>
      </c>
      <c r="G184" s="9" t="s">
        <v>110</v>
      </c>
      <c r="H184" s="9" t="s">
        <v>57</v>
      </c>
      <c r="I184" s="9" t="s">
        <v>58</v>
      </c>
      <c r="J184">
        <v>1</v>
      </c>
      <c r="K184" s="6"/>
      <c r="L184">
        <v>182.1</v>
      </c>
      <c r="M184">
        <v>358.34210000000002</v>
      </c>
      <c r="N184">
        <v>250</v>
      </c>
      <c r="O184">
        <v>250</v>
      </c>
      <c r="P184">
        <v>72.84</v>
      </c>
      <c r="Q184">
        <v>143.34</v>
      </c>
      <c r="R184">
        <v>0</v>
      </c>
      <c r="S184">
        <v>1</v>
      </c>
      <c r="T184">
        <v>1</v>
      </c>
      <c r="U184">
        <v>1.9188000000000001</v>
      </c>
      <c r="V184">
        <v>-108.3421</v>
      </c>
      <c r="W184">
        <v>-56.46</v>
      </c>
      <c r="X184">
        <v>4</v>
      </c>
      <c r="Y184" s="9" t="s">
        <v>617</v>
      </c>
      <c r="Z184">
        <v>1.5</v>
      </c>
      <c r="AA184">
        <v>667.5</v>
      </c>
      <c r="AB184">
        <v>0</v>
      </c>
      <c r="AC184" s="9" t="s">
        <v>641</v>
      </c>
    </row>
    <row r="185" spans="1:29" x14ac:dyDescent="0.35">
      <c r="A185">
        <v>184</v>
      </c>
      <c r="B185">
        <v>1042</v>
      </c>
      <c r="C185" s="9" t="s">
        <v>136</v>
      </c>
      <c r="D185" s="9" t="s">
        <v>127</v>
      </c>
      <c r="E185" s="9" t="s">
        <v>128</v>
      </c>
      <c r="F185" s="9" t="s">
        <v>129</v>
      </c>
      <c r="G185" s="9" t="s">
        <v>88</v>
      </c>
      <c r="H185" s="9" t="s">
        <v>89</v>
      </c>
      <c r="I185" s="9" t="s">
        <v>90</v>
      </c>
      <c r="J185">
        <v>1</v>
      </c>
      <c r="K185" s="6"/>
      <c r="L185">
        <v>185.16669999999999</v>
      </c>
      <c r="M185">
        <v>346.65499999999997</v>
      </c>
      <c r="N185">
        <v>250</v>
      </c>
      <c r="O185">
        <v>250</v>
      </c>
      <c r="P185">
        <v>74.069999999999993</v>
      </c>
      <c r="Q185">
        <v>138.66</v>
      </c>
      <c r="R185">
        <v>0</v>
      </c>
      <c r="S185">
        <v>1</v>
      </c>
      <c r="T185">
        <v>1</v>
      </c>
      <c r="U185">
        <v>1.9149</v>
      </c>
      <c r="V185">
        <v>-96.655000000000001</v>
      </c>
      <c r="W185">
        <v>-50.48</v>
      </c>
      <c r="X185">
        <v>4</v>
      </c>
      <c r="Y185" s="9" t="s">
        <v>617</v>
      </c>
      <c r="Z185">
        <v>1.5</v>
      </c>
      <c r="AA185">
        <v>669</v>
      </c>
      <c r="AB185">
        <v>0</v>
      </c>
      <c r="AC185" s="9" t="s">
        <v>642</v>
      </c>
    </row>
    <row r="186" spans="1:29" x14ac:dyDescent="0.35">
      <c r="A186">
        <v>185</v>
      </c>
      <c r="B186">
        <v>221</v>
      </c>
      <c r="C186" s="9" t="s">
        <v>139</v>
      </c>
      <c r="D186" s="9" t="s">
        <v>127</v>
      </c>
      <c r="E186" s="9" t="s">
        <v>128</v>
      </c>
      <c r="F186" s="9" t="s">
        <v>129</v>
      </c>
      <c r="G186" s="9" t="s">
        <v>55</v>
      </c>
      <c r="H186" s="9" t="s">
        <v>57</v>
      </c>
      <c r="I186" s="9" t="s">
        <v>58</v>
      </c>
      <c r="J186">
        <v>1</v>
      </c>
      <c r="K186" s="6"/>
      <c r="L186">
        <v>164.78319999999999</v>
      </c>
      <c r="M186">
        <v>335.25020000000001</v>
      </c>
      <c r="N186">
        <v>250</v>
      </c>
      <c r="O186">
        <v>250</v>
      </c>
      <c r="P186">
        <v>65.91</v>
      </c>
      <c r="Q186">
        <v>134.1</v>
      </c>
      <c r="R186">
        <v>0</v>
      </c>
      <c r="S186">
        <v>1</v>
      </c>
      <c r="T186">
        <v>1</v>
      </c>
      <c r="U186">
        <v>1.9127000000000001</v>
      </c>
      <c r="V186">
        <v>-85.250200000000007</v>
      </c>
      <c r="W186">
        <v>-44.57</v>
      </c>
      <c r="X186">
        <v>4</v>
      </c>
      <c r="Y186" s="9" t="s">
        <v>617</v>
      </c>
      <c r="Z186">
        <v>1.5</v>
      </c>
      <c r="AA186">
        <v>670.5</v>
      </c>
      <c r="AB186">
        <v>0</v>
      </c>
      <c r="AC186" s="9" t="s">
        <v>643</v>
      </c>
    </row>
    <row r="187" spans="1:29" x14ac:dyDescent="0.35">
      <c r="A187">
        <v>186</v>
      </c>
      <c r="B187">
        <v>1297</v>
      </c>
      <c r="C187" s="9" t="s">
        <v>143</v>
      </c>
      <c r="D187" s="9" t="s">
        <v>127</v>
      </c>
      <c r="E187" s="9" t="s">
        <v>128</v>
      </c>
      <c r="F187" s="9" t="s">
        <v>129</v>
      </c>
      <c r="G187" s="9" t="s">
        <v>112</v>
      </c>
      <c r="H187" s="9" t="s">
        <v>89</v>
      </c>
      <c r="I187" s="9" t="s">
        <v>90</v>
      </c>
      <c r="J187">
        <v>1</v>
      </c>
      <c r="K187" s="6"/>
      <c r="L187">
        <v>169.53370000000001</v>
      </c>
      <c r="M187">
        <v>319.90600000000001</v>
      </c>
      <c r="N187">
        <v>250</v>
      </c>
      <c r="O187">
        <v>250</v>
      </c>
      <c r="P187">
        <v>67.81</v>
      </c>
      <c r="Q187">
        <v>127.96</v>
      </c>
      <c r="R187">
        <v>0</v>
      </c>
      <c r="S187">
        <v>1</v>
      </c>
      <c r="T187">
        <v>1</v>
      </c>
      <c r="U187">
        <v>1.9300999999999999</v>
      </c>
      <c r="V187">
        <v>-69.906000000000006</v>
      </c>
      <c r="W187">
        <v>-36.22</v>
      </c>
      <c r="X187">
        <v>4</v>
      </c>
      <c r="Y187" s="9" t="s">
        <v>617</v>
      </c>
      <c r="Z187">
        <v>1.5</v>
      </c>
      <c r="AA187">
        <v>672</v>
      </c>
      <c r="AB187">
        <v>0</v>
      </c>
      <c r="AC187" s="9" t="s">
        <v>644</v>
      </c>
    </row>
    <row r="188" spans="1:29" x14ac:dyDescent="0.35">
      <c r="A188">
        <v>187</v>
      </c>
      <c r="B188">
        <v>77</v>
      </c>
      <c r="C188" s="9" t="s">
        <v>149</v>
      </c>
      <c r="D188" s="9" t="s">
        <v>127</v>
      </c>
      <c r="E188" s="9" t="s">
        <v>128</v>
      </c>
      <c r="F188" s="9" t="s">
        <v>129</v>
      </c>
      <c r="G188" s="9" t="s">
        <v>62</v>
      </c>
      <c r="H188" s="9" t="s">
        <v>50</v>
      </c>
      <c r="I188" s="9" t="s">
        <v>51</v>
      </c>
      <c r="J188">
        <v>1</v>
      </c>
      <c r="K188" s="6"/>
      <c r="L188">
        <v>136.91669999999999</v>
      </c>
      <c r="M188">
        <v>311.47899999999998</v>
      </c>
      <c r="N188">
        <v>250</v>
      </c>
      <c r="O188">
        <v>250</v>
      </c>
      <c r="P188">
        <v>54.77</v>
      </c>
      <c r="Q188">
        <v>124.59</v>
      </c>
      <c r="R188">
        <v>0</v>
      </c>
      <c r="S188">
        <v>1</v>
      </c>
      <c r="T188">
        <v>1</v>
      </c>
      <c r="U188">
        <v>2.2806999999999999</v>
      </c>
      <c r="V188">
        <v>-61.478999999999999</v>
      </c>
      <c r="W188">
        <v>-26.96</v>
      </c>
      <c r="X188">
        <v>4</v>
      </c>
      <c r="Y188" s="9" t="s">
        <v>617</v>
      </c>
      <c r="Z188">
        <v>1.5</v>
      </c>
      <c r="AA188">
        <v>673.5</v>
      </c>
      <c r="AB188">
        <v>0</v>
      </c>
      <c r="AC188" s="9" t="s">
        <v>645</v>
      </c>
    </row>
    <row r="189" spans="1:29" x14ac:dyDescent="0.35">
      <c r="A189">
        <v>188</v>
      </c>
      <c r="B189">
        <v>1473</v>
      </c>
      <c r="C189" s="9" t="s">
        <v>179</v>
      </c>
      <c r="D189" s="9" t="s">
        <v>127</v>
      </c>
      <c r="E189" s="9" t="s">
        <v>128</v>
      </c>
      <c r="F189" s="9" t="s">
        <v>129</v>
      </c>
      <c r="G189" s="9" t="s">
        <v>67</v>
      </c>
      <c r="H189" s="9" t="s">
        <v>57</v>
      </c>
      <c r="I189" s="9" t="s">
        <v>58</v>
      </c>
      <c r="J189">
        <v>1</v>
      </c>
      <c r="K189" s="6"/>
      <c r="L189">
        <v>135.26669999999999</v>
      </c>
      <c r="M189">
        <v>275.27859999999998</v>
      </c>
      <c r="N189">
        <v>250</v>
      </c>
      <c r="O189">
        <v>250</v>
      </c>
      <c r="P189">
        <v>54.11</v>
      </c>
      <c r="Q189">
        <v>110.11</v>
      </c>
      <c r="R189">
        <v>0</v>
      </c>
      <c r="S189">
        <v>1</v>
      </c>
      <c r="T189">
        <v>1</v>
      </c>
      <c r="U189">
        <v>1.9626999999999999</v>
      </c>
      <c r="V189">
        <v>-25.278600000000001</v>
      </c>
      <c r="W189">
        <v>-12.88</v>
      </c>
      <c r="X189">
        <v>4</v>
      </c>
      <c r="Y189" s="9" t="s">
        <v>617</v>
      </c>
      <c r="Z189">
        <v>1.5</v>
      </c>
      <c r="AA189">
        <v>675</v>
      </c>
      <c r="AB189">
        <v>0</v>
      </c>
      <c r="AC189" s="9" t="s">
        <v>646</v>
      </c>
    </row>
    <row r="190" spans="1:29" x14ac:dyDescent="0.35">
      <c r="A190">
        <v>189</v>
      </c>
      <c r="B190">
        <v>20</v>
      </c>
      <c r="C190" s="9" t="s">
        <v>184</v>
      </c>
      <c r="D190" s="9" t="s">
        <v>127</v>
      </c>
      <c r="E190" s="9" t="s">
        <v>128</v>
      </c>
      <c r="F190" s="9" t="s">
        <v>129</v>
      </c>
      <c r="G190" s="9" t="s">
        <v>99</v>
      </c>
      <c r="H190" s="9" t="s">
        <v>57</v>
      </c>
      <c r="I190" s="9" t="s">
        <v>58</v>
      </c>
      <c r="J190">
        <v>1</v>
      </c>
      <c r="K190" s="6"/>
      <c r="L190">
        <v>131.11709999999999</v>
      </c>
      <c r="M190">
        <v>271.75150000000002</v>
      </c>
      <c r="N190">
        <v>250</v>
      </c>
      <c r="O190">
        <v>250</v>
      </c>
      <c r="P190">
        <v>52.45</v>
      </c>
      <c r="Q190">
        <v>108.7</v>
      </c>
      <c r="R190">
        <v>0</v>
      </c>
      <c r="S190">
        <v>1</v>
      </c>
      <c r="T190">
        <v>1</v>
      </c>
      <c r="U190">
        <v>2.0638000000000001</v>
      </c>
      <c r="V190">
        <v>-21.7515</v>
      </c>
      <c r="W190">
        <v>-10.54</v>
      </c>
      <c r="X190">
        <v>4</v>
      </c>
      <c r="Y190" s="9" t="s">
        <v>617</v>
      </c>
      <c r="Z190">
        <v>1.5</v>
      </c>
      <c r="AA190">
        <v>676.5</v>
      </c>
      <c r="AB190">
        <v>0</v>
      </c>
      <c r="AC190" s="9" t="s">
        <v>647</v>
      </c>
    </row>
    <row r="191" spans="1:29" x14ac:dyDescent="0.35">
      <c r="A191">
        <v>190</v>
      </c>
      <c r="B191">
        <v>1083</v>
      </c>
      <c r="C191" s="9" t="s">
        <v>210</v>
      </c>
      <c r="D191" s="9" t="s">
        <v>127</v>
      </c>
      <c r="E191" s="9" t="s">
        <v>128</v>
      </c>
      <c r="F191" s="9" t="s">
        <v>129</v>
      </c>
      <c r="G191" s="9" t="s">
        <v>161</v>
      </c>
      <c r="H191" s="9" t="s">
        <v>154</v>
      </c>
      <c r="I191" s="9" t="s">
        <v>155</v>
      </c>
      <c r="J191">
        <v>1</v>
      </c>
      <c r="K191" s="6"/>
      <c r="L191">
        <v>203.3836</v>
      </c>
      <c r="M191">
        <v>248.02510000000001</v>
      </c>
      <c r="N191">
        <v>250</v>
      </c>
      <c r="O191">
        <v>250</v>
      </c>
      <c r="P191">
        <v>81.349999999999994</v>
      </c>
      <c r="Q191">
        <v>99.21</v>
      </c>
      <c r="R191">
        <v>0</v>
      </c>
      <c r="S191">
        <v>0</v>
      </c>
      <c r="T191">
        <v>0</v>
      </c>
      <c r="U191">
        <v>1.2703</v>
      </c>
      <c r="V191">
        <v>1.9749000000000001</v>
      </c>
      <c r="W191">
        <v>1.55</v>
      </c>
      <c r="X191">
        <v>4</v>
      </c>
      <c r="Y191" s="9" t="s">
        <v>559</v>
      </c>
      <c r="Z191">
        <v>0</v>
      </c>
      <c r="AA191">
        <v>676.5</v>
      </c>
      <c r="AB191">
        <v>0</v>
      </c>
      <c r="AC191" s="9" t="s">
        <v>648</v>
      </c>
    </row>
    <row r="192" spans="1:29" x14ac:dyDescent="0.35">
      <c r="A192">
        <v>191</v>
      </c>
      <c r="B192">
        <v>1519</v>
      </c>
      <c r="C192" s="9" t="s">
        <v>217</v>
      </c>
      <c r="D192" s="9" t="s">
        <v>127</v>
      </c>
      <c r="E192" s="9" t="s">
        <v>128</v>
      </c>
      <c r="F192" s="9" t="s">
        <v>129</v>
      </c>
      <c r="G192" s="9" t="s">
        <v>178</v>
      </c>
      <c r="H192" s="9" t="s">
        <v>154</v>
      </c>
      <c r="I192" s="9" t="s">
        <v>155</v>
      </c>
      <c r="J192">
        <v>1</v>
      </c>
      <c r="K192" s="6"/>
      <c r="L192">
        <v>203.2167</v>
      </c>
      <c r="M192">
        <v>240.0848</v>
      </c>
      <c r="N192">
        <v>250</v>
      </c>
      <c r="O192">
        <v>250</v>
      </c>
      <c r="P192">
        <v>81.290000000000006</v>
      </c>
      <c r="Q192">
        <v>96.03</v>
      </c>
      <c r="R192">
        <v>0</v>
      </c>
      <c r="S192">
        <v>0</v>
      </c>
      <c r="T192">
        <v>0</v>
      </c>
      <c r="U192">
        <v>1.1561999999999999</v>
      </c>
      <c r="V192">
        <v>9.9152000000000005</v>
      </c>
      <c r="W192">
        <v>8.58</v>
      </c>
      <c r="X192">
        <v>4</v>
      </c>
      <c r="Y192" s="9" t="s">
        <v>578</v>
      </c>
      <c r="Z192">
        <v>1.5</v>
      </c>
      <c r="AA192">
        <v>678</v>
      </c>
      <c r="AB192">
        <v>0</v>
      </c>
      <c r="AC192" s="9" t="s">
        <v>649</v>
      </c>
    </row>
    <row r="193" spans="1:29" x14ac:dyDescent="0.35">
      <c r="A193">
        <v>192</v>
      </c>
      <c r="B193">
        <v>365</v>
      </c>
      <c r="C193" s="9" t="s">
        <v>230</v>
      </c>
      <c r="D193" s="9" t="s">
        <v>127</v>
      </c>
      <c r="E193" s="9" t="s">
        <v>128</v>
      </c>
      <c r="F193" s="9" t="s">
        <v>129</v>
      </c>
      <c r="G193" s="9" t="s">
        <v>48</v>
      </c>
      <c r="H193" s="9" t="s">
        <v>50</v>
      </c>
      <c r="I193" s="9" t="s">
        <v>51</v>
      </c>
      <c r="J193">
        <v>1</v>
      </c>
      <c r="K193" s="6"/>
      <c r="L193">
        <v>102.3497</v>
      </c>
      <c r="M193">
        <v>227.5985</v>
      </c>
      <c r="N193">
        <v>250</v>
      </c>
      <c r="O193">
        <v>250</v>
      </c>
      <c r="P193">
        <v>40.94</v>
      </c>
      <c r="Q193">
        <v>91.04</v>
      </c>
      <c r="R193">
        <v>0</v>
      </c>
      <c r="S193">
        <v>0</v>
      </c>
      <c r="T193">
        <v>0</v>
      </c>
      <c r="U193">
        <v>2.3105000000000002</v>
      </c>
      <c r="V193">
        <v>22.401499999999999</v>
      </c>
      <c r="W193">
        <v>9.6999999999999993</v>
      </c>
      <c r="X193">
        <v>4</v>
      </c>
      <c r="Y193" s="9" t="s">
        <v>578</v>
      </c>
      <c r="Z193">
        <v>1.5</v>
      </c>
      <c r="AA193">
        <v>679.5</v>
      </c>
      <c r="AB193">
        <v>0</v>
      </c>
      <c r="AC193" s="9" t="s">
        <v>650</v>
      </c>
    </row>
    <row r="194" spans="1:29" x14ac:dyDescent="0.35">
      <c r="A194">
        <v>193</v>
      </c>
      <c r="B194">
        <v>660</v>
      </c>
      <c r="C194" s="9" t="s">
        <v>248</v>
      </c>
      <c r="D194" s="9" t="s">
        <v>127</v>
      </c>
      <c r="E194" s="9" t="s">
        <v>128</v>
      </c>
      <c r="F194" s="9" t="s">
        <v>129</v>
      </c>
      <c r="G194" s="9" t="s">
        <v>81</v>
      </c>
      <c r="H194" s="9" t="s">
        <v>57</v>
      </c>
      <c r="I194" s="9" t="s">
        <v>58</v>
      </c>
      <c r="J194">
        <v>1</v>
      </c>
      <c r="K194" s="6"/>
      <c r="L194">
        <v>101.2167</v>
      </c>
      <c r="M194">
        <v>201.73650000000001</v>
      </c>
      <c r="N194">
        <v>250</v>
      </c>
      <c r="O194">
        <v>250</v>
      </c>
      <c r="P194">
        <v>40.49</v>
      </c>
      <c r="Q194">
        <v>80.69</v>
      </c>
      <c r="R194">
        <v>0</v>
      </c>
      <c r="S194">
        <v>0</v>
      </c>
      <c r="T194">
        <v>0</v>
      </c>
      <c r="U194">
        <v>1.8671</v>
      </c>
      <c r="V194">
        <v>48.263500000000001</v>
      </c>
      <c r="W194">
        <v>25.85</v>
      </c>
      <c r="X194">
        <v>4</v>
      </c>
      <c r="Y194" s="9" t="s">
        <v>578</v>
      </c>
      <c r="Z194">
        <v>1.5</v>
      </c>
      <c r="AA194">
        <v>681</v>
      </c>
      <c r="AB194">
        <v>0</v>
      </c>
      <c r="AC194" s="9" t="s">
        <v>651</v>
      </c>
    </row>
    <row r="195" spans="1:29" x14ac:dyDescent="0.35">
      <c r="A195">
        <v>194</v>
      </c>
      <c r="B195">
        <v>934</v>
      </c>
      <c r="C195" s="9" t="s">
        <v>268</v>
      </c>
      <c r="D195" s="9" t="s">
        <v>127</v>
      </c>
      <c r="E195" s="9" t="s">
        <v>128</v>
      </c>
      <c r="F195" s="9" t="s">
        <v>129</v>
      </c>
      <c r="G195" s="9" t="s">
        <v>190</v>
      </c>
      <c r="H195" s="9" t="s">
        <v>57</v>
      </c>
      <c r="I195" s="9" t="s">
        <v>58</v>
      </c>
      <c r="J195">
        <v>1</v>
      </c>
      <c r="K195" s="6"/>
      <c r="L195">
        <v>97.433300000000003</v>
      </c>
      <c r="M195">
        <v>183.5789</v>
      </c>
      <c r="N195">
        <v>250</v>
      </c>
      <c r="O195">
        <v>250</v>
      </c>
      <c r="P195">
        <v>38.97</v>
      </c>
      <c r="Q195">
        <v>73.430000000000007</v>
      </c>
      <c r="R195">
        <v>0</v>
      </c>
      <c r="S195">
        <v>0</v>
      </c>
      <c r="T195">
        <v>0</v>
      </c>
      <c r="U195">
        <v>1.8878999999999999</v>
      </c>
      <c r="V195">
        <v>66.421099999999996</v>
      </c>
      <c r="W195">
        <v>35.18</v>
      </c>
      <c r="X195">
        <v>4</v>
      </c>
      <c r="Y195" s="9" t="s">
        <v>578</v>
      </c>
      <c r="Z195">
        <v>1.5</v>
      </c>
      <c r="AA195">
        <v>682.5</v>
      </c>
      <c r="AB195">
        <v>0</v>
      </c>
      <c r="AC195" s="9" t="s">
        <v>652</v>
      </c>
    </row>
  </sheetData>
  <phoneticPr fontId="6"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9781D-8547-46E1-B85C-2F33DDF5A555}">
  <dimension ref="A1:Q5"/>
  <sheetViews>
    <sheetView workbookViewId="0"/>
  </sheetViews>
  <sheetFormatPr defaultRowHeight="14.5" x14ac:dyDescent="0.35"/>
  <cols>
    <col min="1" max="1" width="11.453125" bestFit="1" customWidth="1"/>
    <col min="2" max="2" width="17.453125" bestFit="1" customWidth="1"/>
    <col min="3" max="3" width="13.81640625" bestFit="1" customWidth="1"/>
    <col min="4" max="4" width="12.90625" bestFit="1" customWidth="1"/>
    <col min="5" max="5" width="11.1796875" bestFit="1" customWidth="1"/>
    <col min="6" max="6" width="12.7265625" bestFit="1" customWidth="1"/>
    <col min="7" max="7" width="13.1796875" bestFit="1" customWidth="1"/>
    <col min="8" max="8" width="12.6328125" bestFit="1" customWidth="1"/>
    <col min="9" max="9" width="18.81640625" bestFit="1" customWidth="1"/>
    <col min="10" max="10" width="20.1796875" bestFit="1" customWidth="1"/>
    <col min="11" max="11" width="21.36328125" bestFit="1" customWidth="1"/>
    <col min="12" max="12" width="22.08984375" bestFit="1" customWidth="1"/>
    <col min="13" max="13" width="16.26953125" bestFit="1" customWidth="1"/>
    <col min="14" max="14" width="27.453125" bestFit="1" customWidth="1"/>
    <col min="15" max="15" width="21" bestFit="1" customWidth="1"/>
    <col min="16" max="16" width="19.7265625" bestFit="1" customWidth="1"/>
    <col min="17" max="17" width="16.6328125" bestFit="1" customWidth="1"/>
  </cols>
  <sheetData>
    <row r="1" spans="1:17" s="3" customFormat="1" x14ac:dyDescent="0.35">
      <c r="A1" s="3" t="s">
        <v>24</v>
      </c>
      <c r="B1" s="3" t="s">
        <v>25</v>
      </c>
      <c r="C1" s="3" t="s">
        <v>653</v>
      </c>
      <c r="D1" s="3" t="s">
        <v>654</v>
      </c>
      <c r="E1" s="3" t="s">
        <v>655</v>
      </c>
      <c r="F1" s="3" t="s">
        <v>30</v>
      </c>
      <c r="G1" s="3" t="s">
        <v>31</v>
      </c>
      <c r="H1" s="3" t="s">
        <v>656</v>
      </c>
      <c r="I1" s="3" t="s">
        <v>657</v>
      </c>
      <c r="J1" s="3" t="s">
        <v>658</v>
      </c>
      <c r="K1" s="3" t="s">
        <v>659</v>
      </c>
      <c r="L1" s="3" t="s">
        <v>660</v>
      </c>
      <c r="M1" s="3" t="s">
        <v>661</v>
      </c>
      <c r="N1" s="3" t="s">
        <v>662</v>
      </c>
      <c r="O1" s="3" t="s">
        <v>663</v>
      </c>
      <c r="P1" s="3" t="s">
        <v>664</v>
      </c>
      <c r="Q1" s="3" t="s">
        <v>665</v>
      </c>
    </row>
    <row r="2" spans="1:17" x14ac:dyDescent="0.35">
      <c r="A2" s="9" t="s">
        <v>57</v>
      </c>
      <c r="B2" s="9" t="s">
        <v>58</v>
      </c>
      <c r="C2" s="9" t="s">
        <v>666</v>
      </c>
      <c r="D2">
        <v>3</v>
      </c>
      <c r="E2">
        <v>7</v>
      </c>
      <c r="F2">
        <v>4113.6499999999996</v>
      </c>
      <c r="G2">
        <v>8243.56</v>
      </c>
      <c r="H2">
        <v>2.004</v>
      </c>
      <c r="I2">
        <v>91</v>
      </c>
      <c r="J2">
        <v>98.9</v>
      </c>
      <c r="K2">
        <v>57.14</v>
      </c>
      <c r="L2">
        <v>41.76</v>
      </c>
      <c r="M2">
        <v>38</v>
      </c>
      <c r="N2">
        <v>27</v>
      </c>
      <c r="O2">
        <v>40.14</v>
      </c>
      <c r="P2">
        <v>147</v>
      </c>
      <c r="Q2">
        <v>1350.6</v>
      </c>
    </row>
    <row r="3" spans="1:17" x14ac:dyDescent="0.35">
      <c r="A3" s="9" t="s">
        <v>89</v>
      </c>
      <c r="B3" s="9" t="s">
        <v>90</v>
      </c>
      <c r="C3" s="9" t="s">
        <v>667</v>
      </c>
      <c r="D3">
        <v>2</v>
      </c>
      <c r="E3">
        <v>4</v>
      </c>
      <c r="F3">
        <v>1359.57</v>
      </c>
      <c r="G3">
        <v>2527.9499999999998</v>
      </c>
      <c r="H3">
        <v>1.8593999999999999</v>
      </c>
      <c r="I3">
        <v>52</v>
      </c>
      <c r="J3">
        <v>100</v>
      </c>
      <c r="K3">
        <v>57.69</v>
      </c>
      <c r="L3">
        <v>42.31</v>
      </c>
      <c r="M3">
        <v>22</v>
      </c>
      <c r="N3">
        <v>17</v>
      </c>
      <c r="O3">
        <v>41.67</v>
      </c>
      <c r="P3">
        <v>48</v>
      </c>
      <c r="Q3">
        <v>496.6</v>
      </c>
    </row>
    <row r="4" spans="1:17" x14ac:dyDescent="0.35">
      <c r="A4" s="9" t="s">
        <v>50</v>
      </c>
      <c r="B4" s="9" t="s">
        <v>51</v>
      </c>
      <c r="C4" s="9" t="s">
        <v>668</v>
      </c>
      <c r="D4">
        <v>3</v>
      </c>
      <c r="E4">
        <v>7</v>
      </c>
      <c r="F4">
        <v>4106.12</v>
      </c>
      <c r="G4">
        <v>8841.26</v>
      </c>
      <c r="H4">
        <v>2.1532</v>
      </c>
      <c r="I4">
        <v>91</v>
      </c>
      <c r="J4">
        <v>100</v>
      </c>
      <c r="K4">
        <v>62.64</v>
      </c>
      <c r="L4">
        <v>37.36</v>
      </c>
      <c r="M4">
        <v>34</v>
      </c>
      <c r="N4">
        <v>29</v>
      </c>
      <c r="O4">
        <v>51.01</v>
      </c>
      <c r="P4">
        <v>149</v>
      </c>
      <c r="Q4">
        <v>1663.7</v>
      </c>
    </row>
    <row r="5" spans="1:17" x14ac:dyDescent="0.35">
      <c r="A5" s="9" t="s">
        <v>154</v>
      </c>
      <c r="B5" s="9" t="s">
        <v>155</v>
      </c>
      <c r="C5" s="9" t="s">
        <v>669</v>
      </c>
      <c r="D5">
        <v>4</v>
      </c>
      <c r="E5">
        <v>10</v>
      </c>
      <c r="F5">
        <v>5572.45</v>
      </c>
      <c r="G5">
        <v>6542.66</v>
      </c>
      <c r="H5">
        <v>1.1740999999999999</v>
      </c>
      <c r="I5">
        <v>130</v>
      </c>
      <c r="J5">
        <v>100</v>
      </c>
      <c r="K5">
        <v>84.62</v>
      </c>
      <c r="L5">
        <v>15.38</v>
      </c>
      <c r="M5">
        <v>20</v>
      </c>
      <c r="N5">
        <v>16</v>
      </c>
      <c r="O5">
        <v>17.86</v>
      </c>
      <c r="P5">
        <v>168</v>
      </c>
      <c r="Q5">
        <v>1268.2</v>
      </c>
    </row>
  </sheetData>
  <phoneticPr fontId="6"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E8D49-AD13-4CD8-8A92-41C7F142941D}">
  <dimension ref="A1:J9"/>
  <sheetViews>
    <sheetView workbookViewId="0"/>
  </sheetViews>
  <sheetFormatPr defaultRowHeight="14.5" x14ac:dyDescent="0.35"/>
  <cols>
    <col min="1" max="1" width="20.1796875" bestFit="1" customWidth="1"/>
    <col min="2" max="2" width="13.08984375" bestFit="1" customWidth="1"/>
    <col min="3" max="3" width="12" bestFit="1" customWidth="1"/>
    <col min="4" max="4" width="14" bestFit="1" customWidth="1"/>
    <col min="5" max="5" width="12.90625" bestFit="1" customWidth="1"/>
    <col min="6" max="6" width="14.7265625" bestFit="1" customWidth="1"/>
    <col min="7" max="7" width="11.08984375" bestFit="1" customWidth="1"/>
    <col min="8" max="8" width="7.1796875" bestFit="1" customWidth="1"/>
    <col min="9" max="9" width="12" bestFit="1" customWidth="1"/>
    <col min="10" max="10" width="80.7265625" bestFit="1" customWidth="1"/>
  </cols>
  <sheetData>
    <row r="1" spans="1:10" s="3" customFormat="1" x14ac:dyDescent="0.35">
      <c r="A1" s="3" t="s">
        <v>670</v>
      </c>
      <c r="B1" s="3" t="s">
        <v>671</v>
      </c>
      <c r="C1" s="3" t="s">
        <v>672</v>
      </c>
      <c r="D1" s="3" t="s">
        <v>673</v>
      </c>
      <c r="E1" s="3" t="s">
        <v>674</v>
      </c>
      <c r="F1" s="3" t="s">
        <v>675</v>
      </c>
      <c r="G1" s="3" t="s">
        <v>676</v>
      </c>
      <c r="H1" s="3" t="s">
        <v>677</v>
      </c>
      <c r="I1" s="3" t="s">
        <v>678</v>
      </c>
      <c r="J1" s="3" t="s">
        <v>679</v>
      </c>
    </row>
    <row r="2" spans="1:10" x14ac:dyDescent="0.35">
      <c r="A2" s="9" t="s">
        <v>680</v>
      </c>
      <c r="B2">
        <v>37.81</v>
      </c>
      <c r="C2">
        <v>107</v>
      </c>
      <c r="D2">
        <v>283</v>
      </c>
      <c r="E2">
        <v>70</v>
      </c>
      <c r="F2">
        <v>50</v>
      </c>
      <c r="G2" s="9" t="s">
        <v>681</v>
      </c>
      <c r="H2" s="9" t="s">
        <v>682</v>
      </c>
      <c r="I2" s="9" t="s">
        <v>683</v>
      </c>
      <c r="J2" s="9" t="s">
        <v>684</v>
      </c>
    </row>
    <row r="3" spans="1:10" x14ac:dyDescent="0.35">
      <c r="A3" s="9" t="s">
        <v>685</v>
      </c>
      <c r="B3">
        <v>92.86</v>
      </c>
      <c r="C3">
        <v>26</v>
      </c>
      <c r="D3">
        <v>28</v>
      </c>
      <c r="E3">
        <v>85</v>
      </c>
      <c r="F3">
        <v>75</v>
      </c>
      <c r="G3" s="9" t="s">
        <v>681</v>
      </c>
      <c r="H3" s="9" t="s">
        <v>682</v>
      </c>
      <c r="I3" s="9" t="s">
        <v>686</v>
      </c>
      <c r="J3" s="9" t="s">
        <v>687</v>
      </c>
    </row>
    <row r="4" spans="1:10" x14ac:dyDescent="0.35">
      <c r="A4" s="9" t="s">
        <v>658</v>
      </c>
      <c r="B4">
        <v>99.73</v>
      </c>
      <c r="C4">
        <v>363</v>
      </c>
      <c r="D4">
        <v>364</v>
      </c>
      <c r="E4">
        <v>100</v>
      </c>
      <c r="F4">
        <v>95</v>
      </c>
      <c r="G4" s="9" t="s">
        <v>681</v>
      </c>
      <c r="H4" s="9" t="s">
        <v>682</v>
      </c>
      <c r="I4" s="9" t="s">
        <v>688</v>
      </c>
      <c r="J4" s="9" t="s">
        <v>689</v>
      </c>
    </row>
    <row r="5" spans="1:10" x14ac:dyDescent="0.35">
      <c r="A5" s="9" t="s">
        <v>690</v>
      </c>
      <c r="B5">
        <v>90</v>
      </c>
      <c r="C5">
        <v>90</v>
      </c>
      <c r="E5">
        <v>0</v>
      </c>
      <c r="F5">
        <v>2</v>
      </c>
      <c r="G5" s="9" t="s">
        <v>691</v>
      </c>
      <c r="H5" s="9" t="s">
        <v>692</v>
      </c>
      <c r="I5" s="9" t="s">
        <v>683</v>
      </c>
      <c r="J5" s="9" t="s">
        <v>693</v>
      </c>
    </row>
    <row r="6" spans="1:10" x14ac:dyDescent="0.35">
      <c r="A6" s="9" t="s">
        <v>694</v>
      </c>
      <c r="B6">
        <v>81.56</v>
      </c>
      <c r="C6">
        <v>283</v>
      </c>
      <c r="D6">
        <v>347</v>
      </c>
      <c r="E6">
        <v>75</v>
      </c>
      <c r="F6">
        <v>60</v>
      </c>
      <c r="G6" s="9" t="s">
        <v>681</v>
      </c>
      <c r="H6" s="9" t="s">
        <v>682</v>
      </c>
      <c r="I6" s="9" t="s">
        <v>686</v>
      </c>
      <c r="J6" s="9" t="s">
        <v>695</v>
      </c>
    </row>
    <row r="7" spans="1:10" x14ac:dyDescent="0.35">
      <c r="A7" s="9" t="s">
        <v>696</v>
      </c>
      <c r="B7">
        <v>98.26</v>
      </c>
      <c r="C7">
        <v>283</v>
      </c>
      <c r="D7">
        <v>288</v>
      </c>
      <c r="E7">
        <v>80</v>
      </c>
      <c r="F7">
        <v>65</v>
      </c>
      <c r="G7" s="9" t="s">
        <v>681</v>
      </c>
      <c r="H7" s="9" t="s">
        <v>682</v>
      </c>
      <c r="I7" s="9" t="s">
        <v>686</v>
      </c>
      <c r="J7" s="9" t="s">
        <v>697</v>
      </c>
    </row>
    <row r="8" spans="1:10" x14ac:dyDescent="0.35">
      <c r="A8" s="9" t="s">
        <v>659</v>
      </c>
      <c r="B8">
        <v>68.41</v>
      </c>
      <c r="C8">
        <v>249</v>
      </c>
      <c r="D8">
        <v>364</v>
      </c>
      <c r="E8">
        <v>100</v>
      </c>
      <c r="F8">
        <v>95</v>
      </c>
      <c r="G8" s="9" t="s">
        <v>681</v>
      </c>
      <c r="H8" s="9" t="s">
        <v>682</v>
      </c>
      <c r="I8" s="9" t="s">
        <v>683</v>
      </c>
      <c r="J8" s="9" t="s">
        <v>698</v>
      </c>
    </row>
    <row r="9" spans="1:10" x14ac:dyDescent="0.35">
      <c r="A9" s="9" t="s">
        <v>663</v>
      </c>
      <c r="B9">
        <v>36.130000000000003</v>
      </c>
      <c r="C9">
        <v>185</v>
      </c>
      <c r="D9">
        <v>512</v>
      </c>
      <c r="E9">
        <v>15</v>
      </c>
      <c r="F9">
        <v>25</v>
      </c>
      <c r="G9" s="9" t="s">
        <v>691</v>
      </c>
      <c r="H9" s="9" t="s">
        <v>682</v>
      </c>
      <c r="I9" s="9" t="s">
        <v>683</v>
      </c>
      <c r="J9" s="9" t="s">
        <v>699</v>
      </c>
    </row>
  </sheetData>
  <phoneticPr fontId="6"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05065-3D3D-4262-AA27-31BC5EE46B0F}">
  <dimension ref="A1:Q115"/>
  <sheetViews>
    <sheetView workbookViewId="0"/>
  </sheetViews>
  <sheetFormatPr defaultRowHeight="14.5" x14ac:dyDescent="0.35"/>
  <cols>
    <col min="1" max="1" width="14.08984375" bestFit="1" customWidth="1"/>
    <col min="2" max="2" width="17.36328125" bestFit="1" customWidth="1"/>
    <col min="3" max="3" width="12.1796875" bestFit="1" customWidth="1"/>
    <col min="4" max="4" width="9.81640625" bestFit="1" customWidth="1"/>
    <col min="5" max="5" width="13.6328125" bestFit="1" customWidth="1"/>
    <col min="6" max="6" width="5.08984375" bestFit="1" customWidth="1"/>
    <col min="7" max="7" width="5.1796875" bestFit="1" customWidth="1"/>
    <col min="8" max="8" width="5.36328125" bestFit="1" customWidth="1"/>
    <col min="9" max="9" width="5.26953125" bestFit="1" customWidth="1"/>
    <col min="10" max="10" width="14.08984375" bestFit="1" customWidth="1"/>
    <col min="11" max="11" width="8.6328125" bestFit="1" customWidth="1"/>
    <col min="12" max="12" width="13.6328125" bestFit="1" customWidth="1"/>
    <col min="13" max="13" width="11.08984375" bestFit="1" customWidth="1"/>
    <col min="14" max="14" width="23.08984375" bestFit="1" customWidth="1"/>
    <col min="15" max="15" width="21.81640625" bestFit="1" customWidth="1"/>
    <col min="16" max="16" width="27.26953125" bestFit="1" customWidth="1"/>
    <col min="17" max="17" width="21" bestFit="1" customWidth="1"/>
  </cols>
  <sheetData>
    <row r="1" spans="1:17" s="3" customFormat="1" x14ac:dyDescent="0.35">
      <c r="A1" s="3" t="s">
        <v>700</v>
      </c>
      <c r="B1" s="3" t="s">
        <v>18</v>
      </c>
      <c r="C1" s="3" t="s">
        <v>701</v>
      </c>
      <c r="D1" s="3" t="s">
        <v>702</v>
      </c>
      <c r="E1" s="3" t="s">
        <v>703</v>
      </c>
      <c r="F1" s="3" t="s">
        <v>704</v>
      </c>
      <c r="G1" s="3" t="s">
        <v>705</v>
      </c>
      <c r="H1" s="3" t="s">
        <v>706</v>
      </c>
      <c r="I1" s="3" t="s">
        <v>707</v>
      </c>
      <c r="J1" s="3" t="s">
        <v>708</v>
      </c>
      <c r="K1" s="3" t="s">
        <v>709</v>
      </c>
      <c r="L1" s="3" t="s">
        <v>710</v>
      </c>
      <c r="M1" s="3" t="s">
        <v>711</v>
      </c>
      <c r="N1" s="3" t="s">
        <v>680</v>
      </c>
      <c r="O1" s="3" t="s">
        <v>712</v>
      </c>
      <c r="P1" s="3" t="s">
        <v>713</v>
      </c>
      <c r="Q1" s="3" t="s">
        <v>21</v>
      </c>
    </row>
    <row r="2" spans="1:17" x14ac:dyDescent="0.35">
      <c r="A2">
        <v>1.2</v>
      </c>
      <c r="B2" s="9" t="s">
        <v>64</v>
      </c>
      <c r="C2">
        <v>302</v>
      </c>
      <c r="D2">
        <v>104</v>
      </c>
      <c r="E2">
        <v>254</v>
      </c>
      <c r="F2">
        <v>103</v>
      </c>
      <c r="G2">
        <v>151</v>
      </c>
      <c r="H2">
        <v>1</v>
      </c>
      <c r="I2">
        <v>47</v>
      </c>
      <c r="J2">
        <v>101</v>
      </c>
      <c r="K2">
        <v>2</v>
      </c>
      <c r="L2">
        <v>40.549999999999997</v>
      </c>
      <c r="M2">
        <v>99.04</v>
      </c>
      <c r="N2">
        <v>98.06</v>
      </c>
      <c r="O2">
        <v>97.12</v>
      </c>
      <c r="P2">
        <v>73.400000000000006</v>
      </c>
      <c r="Q2">
        <v>12</v>
      </c>
    </row>
    <row r="3" spans="1:17" x14ac:dyDescent="0.35">
      <c r="A3">
        <v>1.25</v>
      </c>
      <c r="B3" s="9" t="s">
        <v>64</v>
      </c>
      <c r="C3">
        <v>302</v>
      </c>
      <c r="D3">
        <v>104</v>
      </c>
      <c r="E3">
        <v>237</v>
      </c>
      <c r="F3">
        <v>103</v>
      </c>
      <c r="G3">
        <v>134</v>
      </c>
      <c r="H3">
        <v>1</v>
      </c>
      <c r="I3">
        <v>64</v>
      </c>
      <c r="J3">
        <v>101</v>
      </c>
      <c r="K3">
        <v>2</v>
      </c>
      <c r="L3">
        <v>43.46</v>
      </c>
      <c r="M3">
        <v>99.04</v>
      </c>
      <c r="N3">
        <v>98.06</v>
      </c>
      <c r="O3">
        <v>97.12</v>
      </c>
      <c r="P3">
        <v>67.900000000000006</v>
      </c>
      <c r="Q3">
        <v>12</v>
      </c>
    </row>
    <row r="4" spans="1:17" x14ac:dyDescent="0.35">
      <c r="A4">
        <v>1.3</v>
      </c>
      <c r="B4" s="9" t="s">
        <v>64</v>
      </c>
      <c r="C4">
        <v>302</v>
      </c>
      <c r="D4">
        <v>104</v>
      </c>
      <c r="E4">
        <v>222</v>
      </c>
      <c r="F4">
        <v>103</v>
      </c>
      <c r="G4">
        <v>119</v>
      </c>
      <c r="H4">
        <v>1</v>
      </c>
      <c r="I4">
        <v>79</v>
      </c>
      <c r="J4">
        <v>101</v>
      </c>
      <c r="K4">
        <v>2</v>
      </c>
      <c r="L4">
        <v>46.4</v>
      </c>
      <c r="M4">
        <v>99.04</v>
      </c>
      <c r="N4">
        <v>98.06</v>
      </c>
      <c r="O4">
        <v>97.12</v>
      </c>
      <c r="P4">
        <v>63.8</v>
      </c>
      <c r="Q4">
        <v>12</v>
      </c>
    </row>
    <row r="5" spans="1:17" x14ac:dyDescent="0.35">
      <c r="A5">
        <v>1.35</v>
      </c>
      <c r="B5" s="9" t="s">
        <v>64</v>
      </c>
      <c r="C5">
        <v>302</v>
      </c>
      <c r="D5">
        <v>104</v>
      </c>
      <c r="E5">
        <v>211</v>
      </c>
      <c r="F5">
        <v>103</v>
      </c>
      <c r="G5">
        <v>108</v>
      </c>
      <c r="H5">
        <v>1</v>
      </c>
      <c r="I5">
        <v>90</v>
      </c>
      <c r="J5">
        <v>101</v>
      </c>
      <c r="K5">
        <v>2</v>
      </c>
      <c r="L5">
        <v>48.82</v>
      </c>
      <c r="M5">
        <v>99.04</v>
      </c>
      <c r="N5">
        <v>98.06</v>
      </c>
      <c r="O5">
        <v>97.12</v>
      </c>
      <c r="P5">
        <v>61.87</v>
      </c>
      <c r="Q5">
        <v>12</v>
      </c>
    </row>
    <row r="6" spans="1:17" x14ac:dyDescent="0.35">
      <c r="A6">
        <v>1.4</v>
      </c>
      <c r="B6" s="9" t="s">
        <v>64</v>
      </c>
      <c r="C6">
        <v>302</v>
      </c>
      <c r="D6">
        <v>104</v>
      </c>
      <c r="E6">
        <v>201</v>
      </c>
      <c r="F6">
        <v>103</v>
      </c>
      <c r="G6">
        <v>98</v>
      </c>
      <c r="H6">
        <v>1</v>
      </c>
      <c r="I6">
        <v>100</v>
      </c>
      <c r="J6">
        <v>101</v>
      </c>
      <c r="K6">
        <v>2</v>
      </c>
      <c r="L6">
        <v>51.24</v>
      </c>
      <c r="M6">
        <v>99.04</v>
      </c>
      <c r="N6">
        <v>98.06</v>
      </c>
      <c r="O6">
        <v>97.12</v>
      </c>
      <c r="P6">
        <v>57.73</v>
      </c>
      <c r="Q6">
        <v>12</v>
      </c>
    </row>
    <row r="7" spans="1:17" x14ac:dyDescent="0.35">
      <c r="A7">
        <v>1.45</v>
      </c>
      <c r="B7" s="9" t="s">
        <v>64</v>
      </c>
      <c r="C7">
        <v>302</v>
      </c>
      <c r="D7">
        <v>104</v>
      </c>
      <c r="E7">
        <v>193</v>
      </c>
      <c r="F7">
        <v>103</v>
      </c>
      <c r="G7">
        <v>90</v>
      </c>
      <c r="H7">
        <v>1</v>
      </c>
      <c r="I7">
        <v>108</v>
      </c>
      <c r="J7">
        <v>101</v>
      </c>
      <c r="K7">
        <v>2</v>
      </c>
      <c r="L7">
        <v>53.37</v>
      </c>
      <c r="M7">
        <v>99.04</v>
      </c>
      <c r="N7">
        <v>98.06</v>
      </c>
      <c r="O7">
        <v>97.12</v>
      </c>
      <c r="P7">
        <v>56.2</v>
      </c>
      <c r="Q7">
        <v>12</v>
      </c>
    </row>
    <row r="8" spans="1:17" x14ac:dyDescent="0.35">
      <c r="A8">
        <v>1.5</v>
      </c>
      <c r="B8" s="9" t="s">
        <v>64</v>
      </c>
      <c r="C8">
        <v>302</v>
      </c>
      <c r="D8">
        <v>104</v>
      </c>
      <c r="E8">
        <v>187</v>
      </c>
      <c r="F8">
        <v>103</v>
      </c>
      <c r="G8">
        <v>84</v>
      </c>
      <c r="H8">
        <v>1</v>
      </c>
      <c r="I8">
        <v>114</v>
      </c>
      <c r="J8">
        <v>101</v>
      </c>
      <c r="K8">
        <v>2</v>
      </c>
      <c r="L8">
        <v>55.08</v>
      </c>
      <c r="M8">
        <v>99.04</v>
      </c>
      <c r="N8">
        <v>98.06</v>
      </c>
      <c r="O8">
        <v>97.12</v>
      </c>
      <c r="P8">
        <v>52.13</v>
      </c>
      <c r="Q8">
        <v>12</v>
      </c>
    </row>
    <row r="9" spans="1:17" x14ac:dyDescent="0.35">
      <c r="A9">
        <v>1.55</v>
      </c>
      <c r="B9" s="9" t="s">
        <v>64</v>
      </c>
      <c r="C9">
        <v>302</v>
      </c>
      <c r="D9">
        <v>104</v>
      </c>
      <c r="E9">
        <v>184</v>
      </c>
      <c r="F9">
        <v>103</v>
      </c>
      <c r="G9">
        <v>81</v>
      </c>
      <c r="H9">
        <v>1</v>
      </c>
      <c r="I9">
        <v>117</v>
      </c>
      <c r="J9">
        <v>99</v>
      </c>
      <c r="K9">
        <v>4</v>
      </c>
      <c r="L9">
        <v>55.98</v>
      </c>
      <c r="M9">
        <v>99.04</v>
      </c>
      <c r="N9">
        <v>96.12</v>
      </c>
      <c r="O9">
        <v>95.19</v>
      </c>
      <c r="P9">
        <v>50.07</v>
      </c>
      <c r="Q9">
        <v>12</v>
      </c>
    </row>
    <row r="10" spans="1:17" x14ac:dyDescent="0.35">
      <c r="A10">
        <v>1.6</v>
      </c>
      <c r="B10" s="9" t="s">
        <v>64</v>
      </c>
      <c r="C10">
        <v>302</v>
      </c>
      <c r="D10">
        <v>104</v>
      </c>
      <c r="E10">
        <v>182</v>
      </c>
      <c r="F10">
        <v>103</v>
      </c>
      <c r="G10">
        <v>79</v>
      </c>
      <c r="H10">
        <v>1</v>
      </c>
      <c r="I10">
        <v>119</v>
      </c>
      <c r="J10">
        <v>99</v>
      </c>
      <c r="K10">
        <v>4</v>
      </c>
      <c r="L10">
        <v>56.59</v>
      </c>
      <c r="M10">
        <v>99.04</v>
      </c>
      <c r="N10">
        <v>96.12</v>
      </c>
      <c r="O10">
        <v>95.19</v>
      </c>
      <c r="P10">
        <v>48.47</v>
      </c>
      <c r="Q10">
        <v>12</v>
      </c>
    </row>
    <row r="11" spans="1:17" x14ac:dyDescent="0.35">
      <c r="A11">
        <v>1.65</v>
      </c>
      <c r="B11" s="9" t="s">
        <v>64</v>
      </c>
      <c r="C11">
        <v>302</v>
      </c>
      <c r="D11">
        <v>104</v>
      </c>
      <c r="E11">
        <v>173</v>
      </c>
      <c r="F11">
        <v>103</v>
      </c>
      <c r="G11">
        <v>70</v>
      </c>
      <c r="H11">
        <v>1</v>
      </c>
      <c r="I11">
        <v>128</v>
      </c>
      <c r="J11">
        <v>99</v>
      </c>
      <c r="K11">
        <v>4</v>
      </c>
      <c r="L11">
        <v>59.54</v>
      </c>
      <c r="M11">
        <v>99.04</v>
      </c>
      <c r="N11">
        <v>96.12</v>
      </c>
      <c r="O11">
        <v>95.19</v>
      </c>
      <c r="P11">
        <v>45.38</v>
      </c>
      <c r="Q11">
        <v>12</v>
      </c>
    </row>
    <row r="12" spans="1:17" x14ac:dyDescent="0.35">
      <c r="A12">
        <v>1.7</v>
      </c>
      <c r="B12" s="9" t="s">
        <v>64</v>
      </c>
      <c r="C12">
        <v>302</v>
      </c>
      <c r="D12">
        <v>104</v>
      </c>
      <c r="E12">
        <v>169</v>
      </c>
      <c r="F12">
        <v>103</v>
      </c>
      <c r="G12">
        <v>66</v>
      </c>
      <c r="H12">
        <v>1</v>
      </c>
      <c r="I12">
        <v>132</v>
      </c>
      <c r="J12">
        <v>98</v>
      </c>
      <c r="K12">
        <v>5</v>
      </c>
      <c r="L12">
        <v>60.95</v>
      </c>
      <c r="M12">
        <v>99.04</v>
      </c>
      <c r="N12">
        <v>95.15</v>
      </c>
      <c r="O12">
        <v>94.23</v>
      </c>
      <c r="P12">
        <v>44.18</v>
      </c>
      <c r="Q12">
        <v>12</v>
      </c>
    </row>
    <row r="13" spans="1:17" x14ac:dyDescent="0.35">
      <c r="A13">
        <v>1.75</v>
      </c>
      <c r="B13" s="9" t="s">
        <v>64</v>
      </c>
      <c r="C13">
        <v>302</v>
      </c>
      <c r="D13">
        <v>104</v>
      </c>
      <c r="E13">
        <v>163</v>
      </c>
      <c r="F13">
        <v>103</v>
      </c>
      <c r="G13">
        <v>60</v>
      </c>
      <c r="H13">
        <v>1</v>
      </c>
      <c r="I13">
        <v>138</v>
      </c>
      <c r="J13">
        <v>97</v>
      </c>
      <c r="K13">
        <v>6</v>
      </c>
      <c r="L13">
        <v>63.19</v>
      </c>
      <c r="M13">
        <v>99.04</v>
      </c>
      <c r="N13">
        <v>94.17</v>
      </c>
      <c r="O13">
        <v>93.27</v>
      </c>
      <c r="P13">
        <v>42.87</v>
      </c>
      <c r="Q13">
        <v>12</v>
      </c>
    </row>
    <row r="14" spans="1:17" x14ac:dyDescent="0.35">
      <c r="A14">
        <v>1.8</v>
      </c>
      <c r="B14" s="9" t="s">
        <v>64</v>
      </c>
      <c r="C14">
        <v>302</v>
      </c>
      <c r="D14">
        <v>104</v>
      </c>
      <c r="E14">
        <v>158</v>
      </c>
      <c r="F14">
        <v>103</v>
      </c>
      <c r="G14">
        <v>55</v>
      </c>
      <c r="H14">
        <v>1</v>
      </c>
      <c r="I14">
        <v>143</v>
      </c>
      <c r="J14">
        <v>97</v>
      </c>
      <c r="K14">
        <v>6</v>
      </c>
      <c r="L14">
        <v>65.19</v>
      </c>
      <c r="M14">
        <v>99.04</v>
      </c>
      <c r="N14">
        <v>94.17</v>
      </c>
      <c r="O14">
        <v>93.27</v>
      </c>
      <c r="P14">
        <v>41.08</v>
      </c>
      <c r="Q14">
        <v>12</v>
      </c>
    </row>
    <row r="15" spans="1:17" x14ac:dyDescent="0.35">
      <c r="A15">
        <v>1.85</v>
      </c>
      <c r="B15" s="9" t="s">
        <v>64</v>
      </c>
      <c r="C15">
        <v>302</v>
      </c>
      <c r="D15">
        <v>104</v>
      </c>
      <c r="E15">
        <v>152</v>
      </c>
      <c r="F15">
        <v>103</v>
      </c>
      <c r="G15">
        <v>49</v>
      </c>
      <c r="H15">
        <v>1</v>
      </c>
      <c r="I15">
        <v>149</v>
      </c>
      <c r="J15">
        <v>96</v>
      </c>
      <c r="K15">
        <v>7</v>
      </c>
      <c r="L15">
        <v>67.760000000000005</v>
      </c>
      <c r="M15">
        <v>99.04</v>
      </c>
      <c r="N15">
        <v>93.2</v>
      </c>
      <c r="O15">
        <v>92.31</v>
      </c>
      <c r="P15">
        <v>37.72</v>
      </c>
      <c r="Q15">
        <v>12</v>
      </c>
    </row>
    <row r="16" spans="1:17" x14ac:dyDescent="0.35">
      <c r="A16">
        <v>1.9</v>
      </c>
      <c r="B16" s="9" t="s">
        <v>64</v>
      </c>
      <c r="C16">
        <v>302</v>
      </c>
      <c r="D16">
        <v>104</v>
      </c>
      <c r="E16">
        <v>150</v>
      </c>
      <c r="F16">
        <v>103</v>
      </c>
      <c r="G16">
        <v>47</v>
      </c>
      <c r="H16">
        <v>1</v>
      </c>
      <c r="I16">
        <v>151</v>
      </c>
      <c r="J16">
        <v>96</v>
      </c>
      <c r="K16">
        <v>7</v>
      </c>
      <c r="L16">
        <v>68.67</v>
      </c>
      <c r="M16">
        <v>99.04</v>
      </c>
      <c r="N16">
        <v>93.2</v>
      </c>
      <c r="O16">
        <v>92.31</v>
      </c>
      <c r="P16">
        <v>37.549999999999997</v>
      </c>
      <c r="Q16">
        <v>12</v>
      </c>
    </row>
    <row r="17" spans="1:17" x14ac:dyDescent="0.35">
      <c r="A17">
        <v>1.95</v>
      </c>
      <c r="B17" s="9" t="s">
        <v>64</v>
      </c>
      <c r="C17">
        <v>302</v>
      </c>
      <c r="D17">
        <v>104</v>
      </c>
      <c r="E17">
        <v>149</v>
      </c>
      <c r="F17">
        <v>103</v>
      </c>
      <c r="G17">
        <v>46</v>
      </c>
      <c r="H17">
        <v>1</v>
      </c>
      <c r="I17">
        <v>152</v>
      </c>
      <c r="J17">
        <v>96</v>
      </c>
      <c r="K17">
        <v>7</v>
      </c>
      <c r="L17">
        <v>69.13</v>
      </c>
      <c r="M17">
        <v>99.04</v>
      </c>
      <c r="N17">
        <v>93.2</v>
      </c>
      <c r="O17">
        <v>92.31</v>
      </c>
      <c r="P17">
        <v>35.92</v>
      </c>
      <c r="Q17">
        <v>12</v>
      </c>
    </row>
    <row r="18" spans="1:17" x14ac:dyDescent="0.35">
      <c r="A18">
        <v>2</v>
      </c>
      <c r="B18" s="9" t="s">
        <v>64</v>
      </c>
      <c r="C18">
        <v>302</v>
      </c>
      <c r="D18">
        <v>104</v>
      </c>
      <c r="E18">
        <v>144</v>
      </c>
      <c r="F18">
        <v>103</v>
      </c>
      <c r="G18">
        <v>41</v>
      </c>
      <c r="H18">
        <v>1</v>
      </c>
      <c r="I18">
        <v>157</v>
      </c>
      <c r="J18">
        <v>96</v>
      </c>
      <c r="K18">
        <v>7</v>
      </c>
      <c r="L18">
        <v>71.53</v>
      </c>
      <c r="M18">
        <v>99.04</v>
      </c>
      <c r="N18">
        <v>93.2</v>
      </c>
      <c r="O18">
        <v>92.31</v>
      </c>
      <c r="P18">
        <v>34.5</v>
      </c>
      <c r="Q18">
        <v>12</v>
      </c>
    </row>
    <row r="19" spans="1:17" x14ac:dyDescent="0.35">
      <c r="A19">
        <v>2.0499999999999998</v>
      </c>
      <c r="B19" s="9" t="s">
        <v>64</v>
      </c>
      <c r="C19">
        <v>302</v>
      </c>
      <c r="D19">
        <v>104</v>
      </c>
      <c r="E19">
        <v>137</v>
      </c>
      <c r="F19">
        <v>103</v>
      </c>
      <c r="G19">
        <v>34</v>
      </c>
      <c r="H19">
        <v>1</v>
      </c>
      <c r="I19">
        <v>164</v>
      </c>
      <c r="J19">
        <v>96</v>
      </c>
      <c r="K19">
        <v>7</v>
      </c>
      <c r="L19">
        <v>75.180000000000007</v>
      </c>
      <c r="M19">
        <v>99.04</v>
      </c>
      <c r="N19">
        <v>93.2</v>
      </c>
      <c r="O19">
        <v>92.31</v>
      </c>
      <c r="P19">
        <v>33.729999999999997</v>
      </c>
      <c r="Q19">
        <v>12</v>
      </c>
    </row>
    <row r="20" spans="1:17" x14ac:dyDescent="0.35">
      <c r="A20">
        <v>2.1</v>
      </c>
      <c r="B20" s="9" t="s">
        <v>64</v>
      </c>
      <c r="C20">
        <v>302</v>
      </c>
      <c r="D20">
        <v>104</v>
      </c>
      <c r="E20">
        <v>133</v>
      </c>
      <c r="F20">
        <v>103</v>
      </c>
      <c r="G20">
        <v>30</v>
      </c>
      <c r="H20">
        <v>1</v>
      </c>
      <c r="I20">
        <v>168</v>
      </c>
      <c r="J20">
        <v>95</v>
      </c>
      <c r="K20">
        <v>8</v>
      </c>
      <c r="L20">
        <v>77.44</v>
      </c>
      <c r="M20">
        <v>99.04</v>
      </c>
      <c r="N20">
        <v>92.23</v>
      </c>
      <c r="O20">
        <v>91.35</v>
      </c>
      <c r="P20">
        <v>31.63</v>
      </c>
      <c r="Q20">
        <v>12</v>
      </c>
    </row>
    <row r="21" spans="1:17" x14ac:dyDescent="0.35">
      <c r="A21">
        <v>2.15</v>
      </c>
      <c r="B21" s="9" t="s">
        <v>64</v>
      </c>
      <c r="C21">
        <v>302</v>
      </c>
      <c r="D21">
        <v>104</v>
      </c>
      <c r="E21">
        <v>130</v>
      </c>
      <c r="F21">
        <v>103</v>
      </c>
      <c r="G21">
        <v>27</v>
      </c>
      <c r="H21">
        <v>1</v>
      </c>
      <c r="I21">
        <v>171</v>
      </c>
      <c r="J21">
        <v>92</v>
      </c>
      <c r="K21">
        <v>11</v>
      </c>
      <c r="L21">
        <v>79.23</v>
      </c>
      <c r="M21">
        <v>99.04</v>
      </c>
      <c r="N21">
        <v>89.32</v>
      </c>
      <c r="O21">
        <v>88.46</v>
      </c>
      <c r="P21">
        <v>30.1</v>
      </c>
      <c r="Q21">
        <v>12</v>
      </c>
    </row>
    <row r="22" spans="1:17" x14ac:dyDescent="0.35">
      <c r="A22">
        <v>2.2000000000000002</v>
      </c>
      <c r="B22" s="9" t="s">
        <v>64</v>
      </c>
      <c r="C22">
        <v>302</v>
      </c>
      <c r="D22">
        <v>104</v>
      </c>
      <c r="E22">
        <v>129</v>
      </c>
      <c r="F22">
        <v>103</v>
      </c>
      <c r="G22">
        <v>26</v>
      </c>
      <c r="H22">
        <v>1</v>
      </c>
      <c r="I22">
        <v>172</v>
      </c>
      <c r="J22">
        <v>92</v>
      </c>
      <c r="K22">
        <v>11</v>
      </c>
      <c r="L22">
        <v>79.84</v>
      </c>
      <c r="M22">
        <v>99.04</v>
      </c>
      <c r="N22">
        <v>89.32</v>
      </c>
      <c r="O22">
        <v>88.46</v>
      </c>
      <c r="P22">
        <v>28.58</v>
      </c>
      <c r="Q22">
        <v>12</v>
      </c>
    </row>
    <row r="23" spans="1:17" x14ac:dyDescent="0.35">
      <c r="A23">
        <v>2.25</v>
      </c>
      <c r="B23" s="9" t="s">
        <v>64</v>
      </c>
      <c r="C23">
        <v>302</v>
      </c>
      <c r="D23">
        <v>104</v>
      </c>
      <c r="E23">
        <v>128</v>
      </c>
      <c r="F23">
        <v>103</v>
      </c>
      <c r="G23">
        <v>25</v>
      </c>
      <c r="H23">
        <v>1</v>
      </c>
      <c r="I23">
        <v>173</v>
      </c>
      <c r="J23">
        <v>91</v>
      </c>
      <c r="K23">
        <v>12</v>
      </c>
      <c r="L23">
        <v>80.47</v>
      </c>
      <c r="M23">
        <v>99.04</v>
      </c>
      <c r="N23">
        <v>88.35</v>
      </c>
      <c r="O23">
        <v>87.5</v>
      </c>
      <c r="P23">
        <v>27.15</v>
      </c>
      <c r="Q23">
        <v>12</v>
      </c>
    </row>
    <row r="24" spans="1:17" x14ac:dyDescent="0.35">
      <c r="A24">
        <v>2.2999999999999998</v>
      </c>
      <c r="B24" s="9" t="s">
        <v>64</v>
      </c>
      <c r="C24">
        <v>302</v>
      </c>
      <c r="D24">
        <v>104</v>
      </c>
      <c r="E24">
        <v>126</v>
      </c>
      <c r="F24">
        <v>103</v>
      </c>
      <c r="G24">
        <v>23</v>
      </c>
      <c r="H24">
        <v>1</v>
      </c>
      <c r="I24">
        <v>175</v>
      </c>
      <c r="J24">
        <v>91</v>
      </c>
      <c r="K24">
        <v>12</v>
      </c>
      <c r="L24">
        <v>81.75</v>
      </c>
      <c r="M24">
        <v>99.04</v>
      </c>
      <c r="N24">
        <v>88.35</v>
      </c>
      <c r="O24">
        <v>87.5</v>
      </c>
      <c r="P24">
        <v>26.85</v>
      </c>
      <c r="Q24">
        <v>12</v>
      </c>
    </row>
    <row r="25" spans="1:17" x14ac:dyDescent="0.35">
      <c r="A25">
        <v>2.35</v>
      </c>
      <c r="B25" s="9" t="s">
        <v>64</v>
      </c>
      <c r="C25">
        <v>302</v>
      </c>
      <c r="D25">
        <v>104</v>
      </c>
      <c r="E25">
        <v>126</v>
      </c>
      <c r="F25">
        <v>103</v>
      </c>
      <c r="G25">
        <v>23</v>
      </c>
      <c r="H25">
        <v>1</v>
      </c>
      <c r="I25">
        <v>175</v>
      </c>
      <c r="J25">
        <v>91</v>
      </c>
      <c r="K25">
        <v>12</v>
      </c>
      <c r="L25">
        <v>81.75</v>
      </c>
      <c r="M25">
        <v>99.04</v>
      </c>
      <c r="N25">
        <v>88.35</v>
      </c>
      <c r="O25">
        <v>87.5</v>
      </c>
      <c r="P25">
        <v>25.72</v>
      </c>
      <c r="Q25">
        <v>12</v>
      </c>
    </row>
    <row r="26" spans="1:17" x14ac:dyDescent="0.35">
      <c r="A26">
        <v>2.4</v>
      </c>
      <c r="B26" s="9" t="s">
        <v>64</v>
      </c>
      <c r="C26">
        <v>302</v>
      </c>
      <c r="D26">
        <v>104</v>
      </c>
      <c r="E26">
        <v>124</v>
      </c>
      <c r="F26">
        <v>103</v>
      </c>
      <c r="G26">
        <v>21</v>
      </c>
      <c r="H26">
        <v>1</v>
      </c>
      <c r="I26">
        <v>177</v>
      </c>
      <c r="J26">
        <v>89</v>
      </c>
      <c r="K26">
        <v>14</v>
      </c>
      <c r="L26">
        <v>83.06</v>
      </c>
      <c r="M26">
        <v>99.04</v>
      </c>
      <c r="N26">
        <v>86.41</v>
      </c>
      <c r="O26">
        <v>85.58</v>
      </c>
      <c r="P26">
        <v>23.88</v>
      </c>
      <c r="Q26">
        <v>12</v>
      </c>
    </row>
    <row r="27" spans="1:17" x14ac:dyDescent="0.35">
      <c r="A27">
        <v>2.4500000000000002</v>
      </c>
      <c r="B27" s="9" t="s">
        <v>64</v>
      </c>
      <c r="C27">
        <v>302</v>
      </c>
      <c r="D27">
        <v>104</v>
      </c>
      <c r="E27">
        <v>124</v>
      </c>
      <c r="F27">
        <v>103</v>
      </c>
      <c r="G27">
        <v>21</v>
      </c>
      <c r="H27">
        <v>1</v>
      </c>
      <c r="I27">
        <v>177</v>
      </c>
      <c r="J27">
        <v>88</v>
      </c>
      <c r="K27">
        <v>15</v>
      </c>
      <c r="L27">
        <v>83.06</v>
      </c>
      <c r="M27">
        <v>99.04</v>
      </c>
      <c r="N27">
        <v>85.44</v>
      </c>
      <c r="O27">
        <v>84.62</v>
      </c>
      <c r="P27">
        <v>23.52</v>
      </c>
      <c r="Q27">
        <v>12</v>
      </c>
    </row>
    <row r="28" spans="1:17" x14ac:dyDescent="0.35">
      <c r="A28">
        <v>2.5</v>
      </c>
      <c r="B28" s="9" t="s">
        <v>64</v>
      </c>
      <c r="C28">
        <v>302</v>
      </c>
      <c r="D28">
        <v>104</v>
      </c>
      <c r="E28">
        <v>122</v>
      </c>
      <c r="F28">
        <v>103</v>
      </c>
      <c r="G28">
        <v>19</v>
      </c>
      <c r="H28">
        <v>1</v>
      </c>
      <c r="I28">
        <v>179</v>
      </c>
      <c r="J28">
        <v>88</v>
      </c>
      <c r="K28">
        <v>15</v>
      </c>
      <c r="L28">
        <v>84.43</v>
      </c>
      <c r="M28">
        <v>99.04</v>
      </c>
      <c r="N28">
        <v>85.44</v>
      </c>
      <c r="O28">
        <v>84.62</v>
      </c>
      <c r="P28">
        <v>22.58</v>
      </c>
      <c r="Q28">
        <v>12</v>
      </c>
    </row>
    <row r="29" spans="1:17" x14ac:dyDescent="0.35">
      <c r="A29">
        <v>2.5499999999999998</v>
      </c>
      <c r="B29" s="9" t="s">
        <v>64</v>
      </c>
      <c r="C29">
        <v>302</v>
      </c>
      <c r="D29">
        <v>104</v>
      </c>
      <c r="E29">
        <v>121</v>
      </c>
      <c r="F29">
        <v>103</v>
      </c>
      <c r="G29">
        <v>18</v>
      </c>
      <c r="H29">
        <v>1</v>
      </c>
      <c r="I29">
        <v>180</v>
      </c>
      <c r="J29">
        <v>87</v>
      </c>
      <c r="K29">
        <v>16</v>
      </c>
      <c r="L29">
        <v>85.12</v>
      </c>
      <c r="M29">
        <v>99.04</v>
      </c>
      <c r="N29">
        <v>84.47</v>
      </c>
      <c r="O29">
        <v>83.65</v>
      </c>
      <c r="P29">
        <v>20.63</v>
      </c>
      <c r="Q29">
        <v>12</v>
      </c>
    </row>
    <row r="30" spans="1:17" x14ac:dyDescent="0.35">
      <c r="A30">
        <v>2.6</v>
      </c>
      <c r="B30" s="9" t="s">
        <v>64</v>
      </c>
      <c r="C30">
        <v>302</v>
      </c>
      <c r="D30">
        <v>104</v>
      </c>
      <c r="E30">
        <v>121</v>
      </c>
      <c r="F30">
        <v>103</v>
      </c>
      <c r="G30">
        <v>18</v>
      </c>
      <c r="H30">
        <v>1</v>
      </c>
      <c r="I30">
        <v>180</v>
      </c>
      <c r="J30">
        <v>85</v>
      </c>
      <c r="K30">
        <v>18</v>
      </c>
      <c r="L30">
        <v>85.12</v>
      </c>
      <c r="M30">
        <v>99.04</v>
      </c>
      <c r="N30">
        <v>82.52</v>
      </c>
      <c r="O30">
        <v>81.73</v>
      </c>
      <c r="P30">
        <v>20.079999999999998</v>
      </c>
      <c r="Q30">
        <v>12</v>
      </c>
    </row>
    <row r="31" spans="1:17" x14ac:dyDescent="0.35">
      <c r="A31">
        <v>2.65</v>
      </c>
      <c r="B31" s="9" t="s">
        <v>64</v>
      </c>
      <c r="C31">
        <v>302</v>
      </c>
      <c r="D31">
        <v>104</v>
      </c>
      <c r="E31">
        <v>120</v>
      </c>
      <c r="F31">
        <v>103</v>
      </c>
      <c r="G31">
        <v>17</v>
      </c>
      <c r="H31">
        <v>1</v>
      </c>
      <c r="I31">
        <v>181</v>
      </c>
      <c r="J31">
        <v>83</v>
      </c>
      <c r="K31">
        <v>20</v>
      </c>
      <c r="L31">
        <v>85.83</v>
      </c>
      <c r="M31">
        <v>99.04</v>
      </c>
      <c r="N31">
        <v>80.58</v>
      </c>
      <c r="O31">
        <v>79.81</v>
      </c>
      <c r="P31">
        <v>19.05</v>
      </c>
      <c r="Q31">
        <v>12</v>
      </c>
    </row>
    <row r="32" spans="1:17" x14ac:dyDescent="0.35">
      <c r="A32">
        <v>2.7</v>
      </c>
      <c r="B32" s="9" t="s">
        <v>64</v>
      </c>
      <c r="C32">
        <v>302</v>
      </c>
      <c r="D32">
        <v>104</v>
      </c>
      <c r="E32">
        <v>120</v>
      </c>
      <c r="F32">
        <v>103</v>
      </c>
      <c r="G32">
        <v>17</v>
      </c>
      <c r="H32">
        <v>1</v>
      </c>
      <c r="I32">
        <v>181</v>
      </c>
      <c r="J32">
        <v>80</v>
      </c>
      <c r="K32">
        <v>23</v>
      </c>
      <c r="L32">
        <v>85.83</v>
      </c>
      <c r="M32">
        <v>99.04</v>
      </c>
      <c r="N32">
        <v>77.67</v>
      </c>
      <c r="O32">
        <v>76.92</v>
      </c>
      <c r="P32">
        <v>17.72</v>
      </c>
      <c r="Q32">
        <v>12</v>
      </c>
    </row>
    <row r="33" spans="1:17" x14ac:dyDescent="0.35">
      <c r="A33">
        <v>2.75</v>
      </c>
      <c r="B33" s="9" t="s">
        <v>64</v>
      </c>
      <c r="C33">
        <v>302</v>
      </c>
      <c r="D33">
        <v>104</v>
      </c>
      <c r="E33">
        <v>119</v>
      </c>
      <c r="F33">
        <v>103</v>
      </c>
      <c r="G33">
        <v>16</v>
      </c>
      <c r="H33">
        <v>1</v>
      </c>
      <c r="I33">
        <v>182</v>
      </c>
      <c r="J33">
        <v>79</v>
      </c>
      <c r="K33">
        <v>24</v>
      </c>
      <c r="L33">
        <v>86.55</v>
      </c>
      <c r="M33">
        <v>99.04</v>
      </c>
      <c r="N33">
        <v>76.7</v>
      </c>
      <c r="O33">
        <v>75.959999999999994</v>
      </c>
      <c r="P33">
        <v>17.07</v>
      </c>
      <c r="Q33">
        <v>12</v>
      </c>
    </row>
    <row r="34" spans="1:17" x14ac:dyDescent="0.35">
      <c r="A34">
        <v>2.8</v>
      </c>
      <c r="B34" s="9" t="s">
        <v>64</v>
      </c>
      <c r="C34">
        <v>302</v>
      </c>
      <c r="D34">
        <v>104</v>
      </c>
      <c r="E34">
        <v>118</v>
      </c>
      <c r="F34">
        <v>103</v>
      </c>
      <c r="G34">
        <v>15</v>
      </c>
      <c r="H34">
        <v>1</v>
      </c>
      <c r="I34">
        <v>183</v>
      </c>
      <c r="J34">
        <v>78</v>
      </c>
      <c r="K34">
        <v>25</v>
      </c>
      <c r="L34">
        <v>87.29</v>
      </c>
      <c r="M34">
        <v>99.04</v>
      </c>
      <c r="N34">
        <v>75.73</v>
      </c>
      <c r="O34">
        <v>75</v>
      </c>
      <c r="P34">
        <v>16.78</v>
      </c>
      <c r="Q34">
        <v>12</v>
      </c>
    </row>
    <row r="35" spans="1:17" x14ac:dyDescent="0.35">
      <c r="A35">
        <v>2.85</v>
      </c>
      <c r="B35" s="9" t="s">
        <v>64</v>
      </c>
      <c r="C35">
        <v>302</v>
      </c>
      <c r="D35">
        <v>104</v>
      </c>
      <c r="E35">
        <v>117</v>
      </c>
      <c r="F35">
        <v>103</v>
      </c>
      <c r="G35">
        <v>14</v>
      </c>
      <c r="H35">
        <v>1</v>
      </c>
      <c r="I35">
        <v>184</v>
      </c>
      <c r="J35">
        <v>77</v>
      </c>
      <c r="K35">
        <v>26</v>
      </c>
      <c r="L35">
        <v>88.03</v>
      </c>
      <c r="M35">
        <v>99.04</v>
      </c>
      <c r="N35">
        <v>74.760000000000005</v>
      </c>
      <c r="O35">
        <v>74.040000000000006</v>
      </c>
      <c r="P35">
        <v>15.15</v>
      </c>
      <c r="Q35">
        <v>12</v>
      </c>
    </row>
    <row r="36" spans="1:17" x14ac:dyDescent="0.35">
      <c r="A36">
        <v>2.9</v>
      </c>
      <c r="B36" s="9" t="s">
        <v>64</v>
      </c>
      <c r="C36">
        <v>302</v>
      </c>
      <c r="D36">
        <v>104</v>
      </c>
      <c r="E36">
        <v>116</v>
      </c>
      <c r="F36">
        <v>103</v>
      </c>
      <c r="G36">
        <v>13</v>
      </c>
      <c r="H36">
        <v>1</v>
      </c>
      <c r="I36">
        <v>185</v>
      </c>
      <c r="J36">
        <v>72</v>
      </c>
      <c r="K36">
        <v>31</v>
      </c>
      <c r="L36">
        <v>88.79</v>
      </c>
      <c r="M36">
        <v>99.04</v>
      </c>
      <c r="N36">
        <v>69.900000000000006</v>
      </c>
      <c r="O36">
        <v>69.23</v>
      </c>
      <c r="P36">
        <v>14.35</v>
      </c>
      <c r="Q36">
        <v>12</v>
      </c>
    </row>
    <row r="37" spans="1:17" x14ac:dyDescent="0.35">
      <c r="A37">
        <v>2.95</v>
      </c>
      <c r="B37" s="9" t="s">
        <v>64</v>
      </c>
      <c r="C37">
        <v>302</v>
      </c>
      <c r="D37">
        <v>104</v>
      </c>
      <c r="E37">
        <v>116</v>
      </c>
      <c r="F37">
        <v>103</v>
      </c>
      <c r="G37">
        <v>13</v>
      </c>
      <c r="H37">
        <v>1</v>
      </c>
      <c r="I37">
        <v>185</v>
      </c>
      <c r="J37">
        <v>68</v>
      </c>
      <c r="K37">
        <v>35</v>
      </c>
      <c r="L37">
        <v>88.79</v>
      </c>
      <c r="M37">
        <v>99.04</v>
      </c>
      <c r="N37">
        <v>66.02</v>
      </c>
      <c r="O37">
        <v>65.38</v>
      </c>
      <c r="P37">
        <v>13.67</v>
      </c>
      <c r="Q37">
        <v>12</v>
      </c>
    </row>
    <row r="38" spans="1:17" x14ac:dyDescent="0.35">
      <c r="A38">
        <v>3</v>
      </c>
      <c r="B38" s="9" t="s">
        <v>64</v>
      </c>
      <c r="C38">
        <v>302</v>
      </c>
      <c r="D38">
        <v>104</v>
      </c>
      <c r="E38">
        <v>115</v>
      </c>
      <c r="F38">
        <v>103</v>
      </c>
      <c r="G38">
        <v>12</v>
      </c>
      <c r="H38">
        <v>1</v>
      </c>
      <c r="I38">
        <v>186</v>
      </c>
      <c r="J38">
        <v>60</v>
      </c>
      <c r="K38">
        <v>43</v>
      </c>
      <c r="L38">
        <v>89.57</v>
      </c>
      <c r="M38">
        <v>99.04</v>
      </c>
      <c r="N38">
        <v>58.25</v>
      </c>
      <c r="O38">
        <v>57.69</v>
      </c>
      <c r="P38">
        <v>12.68</v>
      </c>
      <c r="Q38">
        <v>12</v>
      </c>
    </row>
    <row r="39" spans="1:17" x14ac:dyDescent="0.35">
      <c r="A39">
        <v>3.05</v>
      </c>
      <c r="B39" s="9" t="s">
        <v>64</v>
      </c>
      <c r="C39">
        <v>302</v>
      </c>
      <c r="D39">
        <v>104</v>
      </c>
      <c r="E39">
        <v>114</v>
      </c>
      <c r="F39">
        <v>103</v>
      </c>
      <c r="G39">
        <v>11</v>
      </c>
      <c r="H39">
        <v>1</v>
      </c>
      <c r="I39">
        <v>187</v>
      </c>
      <c r="J39">
        <v>52</v>
      </c>
      <c r="K39">
        <v>51</v>
      </c>
      <c r="L39">
        <v>90.35</v>
      </c>
      <c r="M39">
        <v>99.04</v>
      </c>
      <c r="N39">
        <v>50.49</v>
      </c>
      <c r="O39">
        <v>50</v>
      </c>
      <c r="P39">
        <v>12.03</v>
      </c>
      <c r="Q39">
        <v>12</v>
      </c>
    </row>
    <row r="40" spans="1:17" x14ac:dyDescent="0.35">
      <c r="A40">
        <v>3.1</v>
      </c>
      <c r="B40" s="9" t="s">
        <v>64</v>
      </c>
      <c r="C40">
        <v>302</v>
      </c>
      <c r="D40">
        <v>104</v>
      </c>
      <c r="E40">
        <v>112</v>
      </c>
      <c r="F40">
        <v>103</v>
      </c>
      <c r="G40">
        <v>9</v>
      </c>
      <c r="H40">
        <v>1</v>
      </c>
      <c r="I40">
        <v>189</v>
      </c>
      <c r="J40">
        <v>44</v>
      </c>
      <c r="K40">
        <v>59</v>
      </c>
      <c r="L40">
        <v>91.96</v>
      </c>
      <c r="M40">
        <v>99.04</v>
      </c>
      <c r="N40">
        <v>42.72</v>
      </c>
      <c r="O40">
        <v>42.31</v>
      </c>
      <c r="P40">
        <v>11.3</v>
      </c>
      <c r="Q40">
        <v>12</v>
      </c>
    </row>
    <row r="41" spans="1:17" x14ac:dyDescent="0.35">
      <c r="A41">
        <v>3.15</v>
      </c>
      <c r="B41" s="9" t="s">
        <v>64</v>
      </c>
      <c r="C41">
        <v>302</v>
      </c>
      <c r="D41">
        <v>104</v>
      </c>
      <c r="E41">
        <v>112</v>
      </c>
      <c r="F41">
        <v>103</v>
      </c>
      <c r="G41">
        <v>9</v>
      </c>
      <c r="H41">
        <v>1</v>
      </c>
      <c r="I41">
        <v>189</v>
      </c>
      <c r="J41">
        <v>40</v>
      </c>
      <c r="K41">
        <v>63</v>
      </c>
      <c r="L41">
        <v>91.96</v>
      </c>
      <c r="M41">
        <v>99.04</v>
      </c>
      <c r="N41">
        <v>38.83</v>
      </c>
      <c r="O41">
        <v>38.46</v>
      </c>
      <c r="P41">
        <v>10.78</v>
      </c>
      <c r="Q41">
        <v>12</v>
      </c>
    </row>
    <row r="42" spans="1:17" x14ac:dyDescent="0.35">
      <c r="A42">
        <v>3.2</v>
      </c>
      <c r="B42" s="9" t="s">
        <v>64</v>
      </c>
      <c r="C42">
        <v>302</v>
      </c>
      <c r="D42">
        <v>104</v>
      </c>
      <c r="E42">
        <v>110</v>
      </c>
      <c r="F42">
        <v>103</v>
      </c>
      <c r="G42">
        <v>7</v>
      </c>
      <c r="H42">
        <v>1</v>
      </c>
      <c r="I42">
        <v>191</v>
      </c>
      <c r="J42">
        <v>32</v>
      </c>
      <c r="K42">
        <v>71</v>
      </c>
      <c r="L42">
        <v>93.64</v>
      </c>
      <c r="M42">
        <v>99.04</v>
      </c>
      <c r="N42">
        <v>31.07</v>
      </c>
      <c r="O42">
        <v>30.77</v>
      </c>
      <c r="P42">
        <v>9.48</v>
      </c>
      <c r="Q42">
        <v>12</v>
      </c>
    </row>
    <row r="43" spans="1:17" x14ac:dyDescent="0.35">
      <c r="A43">
        <v>3.25</v>
      </c>
      <c r="B43" s="9" t="s">
        <v>64</v>
      </c>
      <c r="C43">
        <v>302</v>
      </c>
      <c r="D43">
        <v>104</v>
      </c>
      <c r="E43">
        <v>110</v>
      </c>
      <c r="F43">
        <v>103</v>
      </c>
      <c r="G43">
        <v>7</v>
      </c>
      <c r="H43">
        <v>1</v>
      </c>
      <c r="I43">
        <v>191</v>
      </c>
      <c r="J43">
        <v>27</v>
      </c>
      <c r="K43">
        <v>76</v>
      </c>
      <c r="L43">
        <v>93.64</v>
      </c>
      <c r="M43">
        <v>99.04</v>
      </c>
      <c r="N43">
        <v>26.21</v>
      </c>
      <c r="O43">
        <v>25.96</v>
      </c>
      <c r="P43">
        <v>8.3699999999999992</v>
      </c>
      <c r="Q43">
        <v>12</v>
      </c>
    </row>
    <row r="44" spans="1:17" x14ac:dyDescent="0.35">
      <c r="A44">
        <v>3.3</v>
      </c>
      <c r="B44" s="9" t="s">
        <v>64</v>
      </c>
      <c r="C44">
        <v>302</v>
      </c>
      <c r="D44">
        <v>104</v>
      </c>
      <c r="E44">
        <v>109</v>
      </c>
      <c r="F44">
        <v>103</v>
      </c>
      <c r="G44">
        <v>6</v>
      </c>
      <c r="H44">
        <v>1</v>
      </c>
      <c r="I44">
        <v>192</v>
      </c>
      <c r="J44">
        <v>19</v>
      </c>
      <c r="K44">
        <v>84</v>
      </c>
      <c r="L44">
        <v>94.5</v>
      </c>
      <c r="M44">
        <v>99.04</v>
      </c>
      <c r="N44">
        <v>18.45</v>
      </c>
      <c r="O44">
        <v>18.27</v>
      </c>
      <c r="P44">
        <v>8</v>
      </c>
      <c r="Q44">
        <v>12</v>
      </c>
    </row>
    <row r="45" spans="1:17" x14ac:dyDescent="0.35">
      <c r="A45">
        <v>3.35</v>
      </c>
      <c r="B45" s="9" t="s">
        <v>64</v>
      </c>
      <c r="C45">
        <v>302</v>
      </c>
      <c r="D45">
        <v>104</v>
      </c>
      <c r="E45">
        <v>107</v>
      </c>
      <c r="F45">
        <v>103</v>
      </c>
      <c r="G45">
        <v>4</v>
      </c>
      <c r="H45">
        <v>1</v>
      </c>
      <c r="I45">
        <v>194</v>
      </c>
      <c r="J45">
        <v>15</v>
      </c>
      <c r="K45">
        <v>88</v>
      </c>
      <c r="L45">
        <v>96.26</v>
      </c>
      <c r="M45">
        <v>99.04</v>
      </c>
      <c r="N45">
        <v>14.56</v>
      </c>
      <c r="O45">
        <v>14.42</v>
      </c>
      <c r="P45">
        <v>7.4</v>
      </c>
      <c r="Q45">
        <v>12</v>
      </c>
    </row>
    <row r="46" spans="1:17" x14ac:dyDescent="0.35">
      <c r="A46">
        <v>3.4</v>
      </c>
      <c r="B46" s="9" t="s">
        <v>64</v>
      </c>
      <c r="C46">
        <v>302</v>
      </c>
      <c r="D46">
        <v>104</v>
      </c>
      <c r="E46">
        <v>106</v>
      </c>
      <c r="F46">
        <v>103</v>
      </c>
      <c r="G46">
        <v>3</v>
      </c>
      <c r="H46">
        <v>1</v>
      </c>
      <c r="I46">
        <v>195</v>
      </c>
      <c r="J46">
        <v>9</v>
      </c>
      <c r="K46">
        <v>94</v>
      </c>
      <c r="L46">
        <v>97.17</v>
      </c>
      <c r="M46">
        <v>99.04</v>
      </c>
      <c r="N46">
        <v>8.74</v>
      </c>
      <c r="O46">
        <v>8.65</v>
      </c>
      <c r="P46">
        <v>6.75</v>
      </c>
      <c r="Q46">
        <v>12</v>
      </c>
    </row>
    <row r="47" spans="1:17" x14ac:dyDescent="0.35">
      <c r="A47">
        <v>3.45</v>
      </c>
      <c r="B47" s="9" t="s">
        <v>64</v>
      </c>
      <c r="C47">
        <v>302</v>
      </c>
      <c r="D47">
        <v>104</v>
      </c>
      <c r="E47">
        <v>105</v>
      </c>
      <c r="F47">
        <v>102</v>
      </c>
      <c r="G47">
        <v>3</v>
      </c>
      <c r="H47">
        <v>2</v>
      </c>
      <c r="I47">
        <v>195</v>
      </c>
      <c r="J47">
        <v>7</v>
      </c>
      <c r="K47">
        <v>95</v>
      </c>
      <c r="L47">
        <v>97.14</v>
      </c>
      <c r="M47">
        <v>98.08</v>
      </c>
      <c r="N47">
        <v>6.86</v>
      </c>
      <c r="O47">
        <v>6.73</v>
      </c>
      <c r="P47">
        <v>5.9</v>
      </c>
      <c r="Q47">
        <v>12</v>
      </c>
    </row>
    <row r="48" spans="1:17" x14ac:dyDescent="0.35">
      <c r="A48">
        <v>3.5</v>
      </c>
      <c r="B48" s="9" t="s">
        <v>64</v>
      </c>
      <c r="C48">
        <v>302</v>
      </c>
      <c r="D48">
        <v>104</v>
      </c>
      <c r="E48">
        <v>105</v>
      </c>
      <c r="F48">
        <v>102</v>
      </c>
      <c r="G48">
        <v>3</v>
      </c>
      <c r="H48">
        <v>2</v>
      </c>
      <c r="I48">
        <v>195</v>
      </c>
      <c r="J48">
        <v>3</v>
      </c>
      <c r="K48">
        <v>99</v>
      </c>
      <c r="L48">
        <v>97.14</v>
      </c>
      <c r="M48">
        <v>98.08</v>
      </c>
      <c r="N48">
        <v>2.94</v>
      </c>
      <c r="O48">
        <v>2.88</v>
      </c>
      <c r="P48">
        <v>5.4</v>
      </c>
      <c r="Q48">
        <v>12</v>
      </c>
    </row>
    <row r="49" spans="1:17" x14ac:dyDescent="0.35">
      <c r="A49">
        <v>3.55</v>
      </c>
      <c r="B49" s="9" t="s">
        <v>64</v>
      </c>
      <c r="C49">
        <v>302</v>
      </c>
      <c r="D49">
        <v>104</v>
      </c>
      <c r="E49">
        <v>102</v>
      </c>
      <c r="F49">
        <v>100</v>
      </c>
      <c r="G49">
        <v>2</v>
      </c>
      <c r="H49">
        <v>4</v>
      </c>
      <c r="I49">
        <v>196</v>
      </c>
      <c r="J49">
        <v>0</v>
      </c>
      <c r="K49">
        <v>100</v>
      </c>
      <c r="L49">
        <v>98.04</v>
      </c>
      <c r="M49">
        <v>96.15</v>
      </c>
      <c r="N49">
        <v>0</v>
      </c>
      <c r="O49">
        <v>0</v>
      </c>
      <c r="P49">
        <v>4.46</v>
      </c>
      <c r="Q49">
        <v>12</v>
      </c>
    </row>
    <row r="50" spans="1:17" x14ac:dyDescent="0.35">
      <c r="A50">
        <v>3.6</v>
      </c>
      <c r="B50" s="9" t="s">
        <v>64</v>
      </c>
      <c r="C50">
        <v>302</v>
      </c>
      <c r="D50">
        <v>104</v>
      </c>
      <c r="E50">
        <v>101</v>
      </c>
      <c r="F50">
        <v>99</v>
      </c>
      <c r="G50">
        <v>2</v>
      </c>
      <c r="H50">
        <v>5</v>
      </c>
      <c r="I50">
        <v>196</v>
      </c>
      <c r="J50">
        <v>0</v>
      </c>
      <c r="K50">
        <v>99</v>
      </c>
      <c r="L50">
        <v>98.02</v>
      </c>
      <c r="M50">
        <v>95.19</v>
      </c>
      <c r="N50">
        <v>0</v>
      </c>
      <c r="O50">
        <v>0</v>
      </c>
      <c r="P50">
        <v>3.77</v>
      </c>
      <c r="Q50">
        <v>12</v>
      </c>
    </row>
    <row r="51" spans="1:17" x14ac:dyDescent="0.35">
      <c r="A51">
        <v>3.65</v>
      </c>
      <c r="B51" s="9" t="s">
        <v>64</v>
      </c>
      <c r="C51">
        <v>302</v>
      </c>
      <c r="D51">
        <v>104</v>
      </c>
      <c r="E51">
        <v>98</v>
      </c>
      <c r="F51">
        <v>96</v>
      </c>
      <c r="G51">
        <v>2</v>
      </c>
      <c r="H51">
        <v>8</v>
      </c>
      <c r="I51">
        <v>196</v>
      </c>
      <c r="J51">
        <v>0</v>
      </c>
      <c r="K51">
        <v>96</v>
      </c>
      <c r="L51">
        <v>97.96</v>
      </c>
      <c r="M51">
        <v>92.31</v>
      </c>
      <c r="N51">
        <v>0</v>
      </c>
      <c r="O51">
        <v>0</v>
      </c>
      <c r="P51">
        <v>2.77</v>
      </c>
      <c r="Q51">
        <v>12</v>
      </c>
    </row>
    <row r="52" spans="1:17" x14ac:dyDescent="0.35">
      <c r="A52">
        <v>3.7</v>
      </c>
      <c r="B52" s="9" t="s">
        <v>64</v>
      </c>
      <c r="C52">
        <v>302</v>
      </c>
      <c r="D52">
        <v>104</v>
      </c>
      <c r="E52">
        <v>95</v>
      </c>
      <c r="F52">
        <v>94</v>
      </c>
      <c r="G52">
        <v>1</v>
      </c>
      <c r="H52">
        <v>10</v>
      </c>
      <c r="I52">
        <v>197</v>
      </c>
      <c r="J52">
        <v>0</v>
      </c>
      <c r="K52">
        <v>94</v>
      </c>
      <c r="L52">
        <v>98.95</v>
      </c>
      <c r="M52">
        <v>90.38</v>
      </c>
      <c r="N52">
        <v>0</v>
      </c>
      <c r="O52">
        <v>0</v>
      </c>
      <c r="P52">
        <v>2.64</v>
      </c>
      <c r="Q52">
        <v>12</v>
      </c>
    </row>
    <row r="53" spans="1:17" x14ac:dyDescent="0.35">
      <c r="A53">
        <v>3.75</v>
      </c>
      <c r="B53" s="9" t="s">
        <v>64</v>
      </c>
      <c r="C53">
        <v>302</v>
      </c>
      <c r="D53">
        <v>104</v>
      </c>
      <c r="E53">
        <v>89</v>
      </c>
      <c r="F53">
        <v>89</v>
      </c>
      <c r="G53">
        <v>0</v>
      </c>
      <c r="H53">
        <v>15</v>
      </c>
      <c r="I53">
        <v>198</v>
      </c>
      <c r="J53">
        <v>0</v>
      </c>
      <c r="K53">
        <v>89</v>
      </c>
      <c r="L53">
        <v>100</v>
      </c>
      <c r="M53">
        <v>85.58</v>
      </c>
      <c r="N53">
        <v>0</v>
      </c>
      <c r="O53">
        <v>0</v>
      </c>
      <c r="P53">
        <v>2.2200000000000002</v>
      </c>
      <c r="Q53">
        <v>12</v>
      </c>
    </row>
    <row r="54" spans="1:17" x14ac:dyDescent="0.35">
      <c r="A54">
        <v>3.8</v>
      </c>
      <c r="B54" s="9" t="s">
        <v>64</v>
      </c>
      <c r="C54">
        <v>302</v>
      </c>
      <c r="D54">
        <v>104</v>
      </c>
      <c r="E54">
        <v>83</v>
      </c>
      <c r="F54">
        <v>83</v>
      </c>
      <c r="G54">
        <v>0</v>
      </c>
      <c r="H54">
        <v>21</v>
      </c>
      <c r="I54">
        <v>198</v>
      </c>
      <c r="J54">
        <v>0</v>
      </c>
      <c r="K54">
        <v>83</v>
      </c>
      <c r="L54">
        <v>100</v>
      </c>
      <c r="M54">
        <v>79.81</v>
      </c>
      <c r="N54">
        <v>0</v>
      </c>
      <c r="O54">
        <v>0</v>
      </c>
      <c r="P54">
        <v>1.9</v>
      </c>
      <c r="Q54">
        <v>12</v>
      </c>
    </row>
    <row r="55" spans="1:17" x14ac:dyDescent="0.35">
      <c r="A55">
        <v>3.85</v>
      </c>
      <c r="B55" s="9" t="s">
        <v>64</v>
      </c>
      <c r="C55">
        <v>302</v>
      </c>
      <c r="D55">
        <v>104</v>
      </c>
      <c r="E55">
        <v>72</v>
      </c>
      <c r="F55">
        <v>72</v>
      </c>
      <c r="G55">
        <v>0</v>
      </c>
      <c r="H55">
        <v>32</v>
      </c>
      <c r="I55">
        <v>198</v>
      </c>
      <c r="J55">
        <v>0</v>
      </c>
      <c r="K55">
        <v>72</v>
      </c>
      <c r="L55">
        <v>100</v>
      </c>
      <c r="M55">
        <v>69.23</v>
      </c>
      <c r="N55">
        <v>0</v>
      </c>
      <c r="O55">
        <v>0</v>
      </c>
      <c r="P55">
        <v>1.05</v>
      </c>
      <c r="Q55">
        <v>12</v>
      </c>
    </row>
    <row r="56" spans="1:17" x14ac:dyDescent="0.35">
      <c r="A56">
        <v>3.9</v>
      </c>
      <c r="B56" s="9" t="s">
        <v>64</v>
      </c>
      <c r="C56">
        <v>302</v>
      </c>
      <c r="D56">
        <v>104</v>
      </c>
      <c r="E56">
        <v>66</v>
      </c>
      <c r="F56">
        <v>66</v>
      </c>
      <c r="G56">
        <v>0</v>
      </c>
      <c r="H56">
        <v>38</v>
      </c>
      <c r="I56">
        <v>198</v>
      </c>
      <c r="J56">
        <v>0</v>
      </c>
      <c r="K56">
        <v>66</v>
      </c>
      <c r="L56">
        <v>100</v>
      </c>
      <c r="M56">
        <v>63.46</v>
      </c>
      <c r="N56">
        <v>0</v>
      </c>
      <c r="O56">
        <v>0</v>
      </c>
      <c r="P56">
        <v>0</v>
      </c>
      <c r="Q56">
        <v>12</v>
      </c>
    </row>
    <row r="57" spans="1:17" x14ac:dyDescent="0.35">
      <c r="A57">
        <v>3.95</v>
      </c>
      <c r="B57" s="9" t="s">
        <v>64</v>
      </c>
      <c r="C57">
        <v>302</v>
      </c>
      <c r="D57">
        <v>104</v>
      </c>
      <c r="E57">
        <v>54</v>
      </c>
      <c r="F57">
        <v>54</v>
      </c>
      <c r="G57">
        <v>0</v>
      </c>
      <c r="H57">
        <v>50</v>
      </c>
      <c r="I57">
        <v>198</v>
      </c>
      <c r="J57">
        <v>0</v>
      </c>
      <c r="K57">
        <v>54</v>
      </c>
      <c r="L57">
        <v>100</v>
      </c>
      <c r="M57">
        <v>51.92</v>
      </c>
      <c r="N57">
        <v>0</v>
      </c>
      <c r="O57">
        <v>0</v>
      </c>
      <c r="P57">
        <v>0</v>
      </c>
      <c r="Q57">
        <v>12</v>
      </c>
    </row>
    <row r="58" spans="1:17" x14ac:dyDescent="0.35">
      <c r="A58">
        <v>4</v>
      </c>
      <c r="B58" s="9" t="s">
        <v>64</v>
      </c>
      <c r="C58">
        <v>302</v>
      </c>
      <c r="D58">
        <v>104</v>
      </c>
      <c r="E58">
        <v>45</v>
      </c>
      <c r="F58">
        <v>45</v>
      </c>
      <c r="G58">
        <v>0</v>
      </c>
      <c r="H58">
        <v>59</v>
      </c>
      <c r="I58">
        <v>198</v>
      </c>
      <c r="J58">
        <v>0</v>
      </c>
      <c r="K58">
        <v>45</v>
      </c>
      <c r="L58">
        <v>100</v>
      </c>
      <c r="M58">
        <v>43.27</v>
      </c>
      <c r="N58">
        <v>0</v>
      </c>
      <c r="O58">
        <v>0</v>
      </c>
      <c r="P58">
        <v>0</v>
      </c>
      <c r="Q58">
        <v>12</v>
      </c>
    </row>
    <row r="59" spans="1:17" x14ac:dyDescent="0.35">
      <c r="A59">
        <v>1.2</v>
      </c>
      <c r="B59" s="9" t="s">
        <v>45</v>
      </c>
      <c r="C59">
        <v>432</v>
      </c>
      <c r="D59">
        <v>184</v>
      </c>
      <c r="E59">
        <v>431</v>
      </c>
      <c r="F59">
        <v>184</v>
      </c>
      <c r="G59">
        <v>247</v>
      </c>
      <c r="H59">
        <v>0</v>
      </c>
      <c r="I59">
        <v>1</v>
      </c>
      <c r="J59">
        <v>177</v>
      </c>
      <c r="K59">
        <v>7</v>
      </c>
      <c r="L59">
        <v>42.69</v>
      </c>
      <c r="M59">
        <v>100</v>
      </c>
      <c r="N59">
        <v>96.2</v>
      </c>
      <c r="O59">
        <v>96.2</v>
      </c>
      <c r="P59">
        <v>79.44</v>
      </c>
      <c r="Q59">
        <v>18</v>
      </c>
    </row>
    <row r="60" spans="1:17" x14ac:dyDescent="0.35">
      <c r="A60">
        <v>1.25</v>
      </c>
      <c r="B60" s="9" t="s">
        <v>45</v>
      </c>
      <c r="C60">
        <v>432</v>
      </c>
      <c r="D60">
        <v>184</v>
      </c>
      <c r="E60">
        <v>430</v>
      </c>
      <c r="F60">
        <v>184</v>
      </c>
      <c r="G60">
        <v>246</v>
      </c>
      <c r="H60">
        <v>0</v>
      </c>
      <c r="I60">
        <v>2</v>
      </c>
      <c r="J60">
        <v>177</v>
      </c>
      <c r="K60">
        <v>7</v>
      </c>
      <c r="L60">
        <v>42.79</v>
      </c>
      <c r="M60">
        <v>100</v>
      </c>
      <c r="N60">
        <v>96.2</v>
      </c>
      <c r="O60">
        <v>96.2</v>
      </c>
      <c r="P60">
        <v>74.3</v>
      </c>
      <c r="Q60">
        <v>18</v>
      </c>
    </row>
    <row r="61" spans="1:17" x14ac:dyDescent="0.35">
      <c r="A61">
        <v>1.3</v>
      </c>
      <c r="B61" s="9" t="s">
        <v>45</v>
      </c>
      <c r="C61">
        <v>432</v>
      </c>
      <c r="D61">
        <v>184</v>
      </c>
      <c r="E61">
        <v>429</v>
      </c>
      <c r="F61">
        <v>184</v>
      </c>
      <c r="G61">
        <v>245</v>
      </c>
      <c r="H61">
        <v>0</v>
      </c>
      <c r="I61">
        <v>3</v>
      </c>
      <c r="J61">
        <v>177</v>
      </c>
      <c r="K61">
        <v>7</v>
      </c>
      <c r="L61">
        <v>42.89</v>
      </c>
      <c r="M61">
        <v>100</v>
      </c>
      <c r="N61">
        <v>96.2</v>
      </c>
      <c r="O61">
        <v>96.2</v>
      </c>
      <c r="P61">
        <v>71.48</v>
      </c>
      <c r="Q61">
        <v>18</v>
      </c>
    </row>
    <row r="62" spans="1:17" x14ac:dyDescent="0.35">
      <c r="A62">
        <v>1.35</v>
      </c>
      <c r="B62" s="9" t="s">
        <v>45</v>
      </c>
      <c r="C62">
        <v>432</v>
      </c>
      <c r="D62">
        <v>184</v>
      </c>
      <c r="E62">
        <v>421</v>
      </c>
      <c r="F62">
        <v>184</v>
      </c>
      <c r="G62">
        <v>237</v>
      </c>
      <c r="H62">
        <v>0</v>
      </c>
      <c r="I62">
        <v>11</v>
      </c>
      <c r="J62">
        <v>177</v>
      </c>
      <c r="K62">
        <v>7</v>
      </c>
      <c r="L62">
        <v>43.71</v>
      </c>
      <c r="M62">
        <v>100</v>
      </c>
      <c r="N62">
        <v>96.2</v>
      </c>
      <c r="O62">
        <v>96.2</v>
      </c>
      <c r="P62">
        <v>69.42</v>
      </c>
      <c r="Q62">
        <v>18</v>
      </c>
    </row>
    <row r="63" spans="1:17" x14ac:dyDescent="0.35">
      <c r="A63">
        <v>1.4</v>
      </c>
      <c r="B63" s="9" t="s">
        <v>45</v>
      </c>
      <c r="C63">
        <v>432</v>
      </c>
      <c r="D63">
        <v>184</v>
      </c>
      <c r="E63">
        <v>418</v>
      </c>
      <c r="F63">
        <v>184</v>
      </c>
      <c r="G63">
        <v>234</v>
      </c>
      <c r="H63">
        <v>0</v>
      </c>
      <c r="I63">
        <v>14</v>
      </c>
      <c r="J63">
        <v>177</v>
      </c>
      <c r="K63">
        <v>7</v>
      </c>
      <c r="L63">
        <v>44.02</v>
      </c>
      <c r="M63">
        <v>100</v>
      </c>
      <c r="N63">
        <v>96.2</v>
      </c>
      <c r="O63">
        <v>96.2</v>
      </c>
      <c r="P63">
        <v>68.290000000000006</v>
      </c>
      <c r="Q63">
        <v>18</v>
      </c>
    </row>
    <row r="64" spans="1:17" x14ac:dyDescent="0.35">
      <c r="A64">
        <v>1.45</v>
      </c>
      <c r="B64" s="9" t="s">
        <v>45</v>
      </c>
      <c r="C64">
        <v>432</v>
      </c>
      <c r="D64">
        <v>184</v>
      </c>
      <c r="E64">
        <v>416</v>
      </c>
      <c r="F64">
        <v>184</v>
      </c>
      <c r="G64">
        <v>232</v>
      </c>
      <c r="H64">
        <v>0</v>
      </c>
      <c r="I64">
        <v>16</v>
      </c>
      <c r="J64">
        <v>177</v>
      </c>
      <c r="K64">
        <v>7</v>
      </c>
      <c r="L64">
        <v>44.23</v>
      </c>
      <c r="M64">
        <v>100</v>
      </c>
      <c r="N64">
        <v>96.2</v>
      </c>
      <c r="O64">
        <v>96.2</v>
      </c>
      <c r="P64">
        <v>64.55</v>
      </c>
      <c r="Q64">
        <v>18</v>
      </c>
    </row>
    <row r="65" spans="1:17" x14ac:dyDescent="0.35">
      <c r="A65">
        <v>1.5</v>
      </c>
      <c r="B65" s="9" t="s">
        <v>45</v>
      </c>
      <c r="C65">
        <v>432</v>
      </c>
      <c r="D65">
        <v>184</v>
      </c>
      <c r="E65">
        <v>410</v>
      </c>
      <c r="F65">
        <v>184</v>
      </c>
      <c r="G65">
        <v>226</v>
      </c>
      <c r="H65">
        <v>0</v>
      </c>
      <c r="I65">
        <v>22</v>
      </c>
      <c r="J65">
        <v>177</v>
      </c>
      <c r="K65">
        <v>7</v>
      </c>
      <c r="L65">
        <v>44.88</v>
      </c>
      <c r="M65">
        <v>100</v>
      </c>
      <c r="N65">
        <v>96.2</v>
      </c>
      <c r="O65">
        <v>96.2</v>
      </c>
      <c r="P65">
        <v>63.38</v>
      </c>
      <c r="Q65">
        <v>18</v>
      </c>
    </row>
    <row r="66" spans="1:17" x14ac:dyDescent="0.35">
      <c r="A66">
        <v>1.55</v>
      </c>
      <c r="B66" s="9" t="s">
        <v>45</v>
      </c>
      <c r="C66">
        <v>432</v>
      </c>
      <c r="D66">
        <v>184</v>
      </c>
      <c r="E66">
        <v>404</v>
      </c>
      <c r="F66">
        <v>184</v>
      </c>
      <c r="G66">
        <v>220</v>
      </c>
      <c r="H66">
        <v>0</v>
      </c>
      <c r="I66">
        <v>28</v>
      </c>
      <c r="J66">
        <v>177</v>
      </c>
      <c r="K66">
        <v>7</v>
      </c>
      <c r="L66">
        <v>45.54</v>
      </c>
      <c r="M66">
        <v>100</v>
      </c>
      <c r="N66">
        <v>96.2</v>
      </c>
      <c r="O66">
        <v>96.2</v>
      </c>
      <c r="P66">
        <v>61.27</v>
      </c>
      <c r="Q66">
        <v>18</v>
      </c>
    </row>
    <row r="67" spans="1:17" x14ac:dyDescent="0.35">
      <c r="A67">
        <v>1.6</v>
      </c>
      <c r="B67" s="9" t="s">
        <v>45</v>
      </c>
      <c r="C67">
        <v>432</v>
      </c>
      <c r="D67">
        <v>184</v>
      </c>
      <c r="E67">
        <v>399</v>
      </c>
      <c r="F67">
        <v>184</v>
      </c>
      <c r="G67">
        <v>215</v>
      </c>
      <c r="H67">
        <v>0</v>
      </c>
      <c r="I67">
        <v>33</v>
      </c>
      <c r="J67">
        <v>175</v>
      </c>
      <c r="K67">
        <v>9</v>
      </c>
      <c r="L67">
        <v>46.12</v>
      </c>
      <c r="M67">
        <v>100</v>
      </c>
      <c r="N67">
        <v>95.11</v>
      </c>
      <c r="O67">
        <v>95.11</v>
      </c>
      <c r="P67">
        <v>58.72</v>
      </c>
      <c r="Q67">
        <v>18</v>
      </c>
    </row>
    <row r="68" spans="1:17" x14ac:dyDescent="0.35">
      <c r="A68">
        <v>1.65</v>
      </c>
      <c r="B68" s="9" t="s">
        <v>45</v>
      </c>
      <c r="C68">
        <v>432</v>
      </c>
      <c r="D68">
        <v>184</v>
      </c>
      <c r="E68">
        <v>396</v>
      </c>
      <c r="F68">
        <v>184</v>
      </c>
      <c r="G68">
        <v>212</v>
      </c>
      <c r="H68">
        <v>0</v>
      </c>
      <c r="I68">
        <v>36</v>
      </c>
      <c r="J68">
        <v>175</v>
      </c>
      <c r="K68">
        <v>9</v>
      </c>
      <c r="L68">
        <v>46.46</v>
      </c>
      <c r="M68">
        <v>100</v>
      </c>
      <c r="N68">
        <v>95.11</v>
      </c>
      <c r="O68">
        <v>95.11</v>
      </c>
      <c r="P68">
        <v>56.97</v>
      </c>
      <c r="Q68">
        <v>18</v>
      </c>
    </row>
    <row r="69" spans="1:17" x14ac:dyDescent="0.35">
      <c r="A69">
        <v>1.7</v>
      </c>
      <c r="B69" s="9" t="s">
        <v>45</v>
      </c>
      <c r="C69">
        <v>432</v>
      </c>
      <c r="D69">
        <v>184</v>
      </c>
      <c r="E69">
        <v>389</v>
      </c>
      <c r="F69">
        <v>184</v>
      </c>
      <c r="G69">
        <v>205</v>
      </c>
      <c r="H69">
        <v>0</v>
      </c>
      <c r="I69">
        <v>43</v>
      </c>
      <c r="J69">
        <v>175</v>
      </c>
      <c r="K69">
        <v>9</v>
      </c>
      <c r="L69">
        <v>47.3</v>
      </c>
      <c r="M69">
        <v>100</v>
      </c>
      <c r="N69">
        <v>95.11</v>
      </c>
      <c r="O69">
        <v>95.11</v>
      </c>
      <c r="P69">
        <v>55.91</v>
      </c>
      <c r="Q69">
        <v>18</v>
      </c>
    </row>
    <row r="70" spans="1:17" x14ac:dyDescent="0.35">
      <c r="A70">
        <v>1.75</v>
      </c>
      <c r="B70" s="9" t="s">
        <v>45</v>
      </c>
      <c r="C70">
        <v>432</v>
      </c>
      <c r="D70">
        <v>184</v>
      </c>
      <c r="E70">
        <v>384</v>
      </c>
      <c r="F70">
        <v>184</v>
      </c>
      <c r="G70">
        <v>200</v>
      </c>
      <c r="H70">
        <v>0</v>
      </c>
      <c r="I70">
        <v>48</v>
      </c>
      <c r="J70">
        <v>174</v>
      </c>
      <c r="K70">
        <v>10</v>
      </c>
      <c r="L70">
        <v>47.92</v>
      </c>
      <c r="M70">
        <v>100</v>
      </c>
      <c r="N70">
        <v>94.57</v>
      </c>
      <c r="O70">
        <v>94.57</v>
      </c>
      <c r="P70">
        <v>54.48</v>
      </c>
      <c r="Q70">
        <v>18</v>
      </c>
    </row>
    <row r="71" spans="1:17" x14ac:dyDescent="0.35">
      <c r="A71">
        <v>1.8</v>
      </c>
      <c r="B71" s="9" t="s">
        <v>45</v>
      </c>
      <c r="C71">
        <v>432</v>
      </c>
      <c r="D71">
        <v>184</v>
      </c>
      <c r="E71">
        <v>379</v>
      </c>
      <c r="F71">
        <v>184</v>
      </c>
      <c r="G71">
        <v>195</v>
      </c>
      <c r="H71">
        <v>0</v>
      </c>
      <c r="I71">
        <v>53</v>
      </c>
      <c r="J71">
        <v>174</v>
      </c>
      <c r="K71">
        <v>10</v>
      </c>
      <c r="L71">
        <v>48.55</v>
      </c>
      <c r="M71">
        <v>100</v>
      </c>
      <c r="N71">
        <v>94.57</v>
      </c>
      <c r="O71">
        <v>94.57</v>
      </c>
      <c r="P71">
        <v>53.21</v>
      </c>
      <c r="Q71">
        <v>18</v>
      </c>
    </row>
    <row r="72" spans="1:17" x14ac:dyDescent="0.35">
      <c r="A72">
        <v>1.85</v>
      </c>
      <c r="B72" s="9" t="s">
        <v>45</v>
      </c>
      <c r="C72">
        <v>432</v>
      </c>
      <c r="D72">
        <v>184</v>
      </c>
      <c r="E72">
        <v>375</v>
      </c>
      <c r="F72">
        <v>184</v>
      </c>
      <c r="G72">
        <v>191</v>
      </c>
      <c r="H72">
        <v>0</v>
      </c>
      <c r="I72">
        <v>57</v>
      </c>
      <c r="J72">
        <v>173</v>
      </c>
      <c r="K72">
        <v>11</v>
      </c>
      <c r="L72">
        <v>49.07</v>
      </c>
      <c r="M72">
        <v>100</v>
      </c>
      <c r="N72">
        <v>94.02</v>
      </c>
      <c r="O72">
        <v>94.02</v>
      </c>
      <c r="P72">
        <v>51.37</v>
      </c>
      <c r="Q72">
        <v>18</v>
      </c>
    </row>
    <row r="73" spans="1:17" x14ac:dyDescent="0.35">
      <c r="A73">
        <v>1.9</v>
      </c>
      <c r="B73" s="9" t="s">
        <v>45</v>
      </c>
      <c r="C73">
        <v>432</v>
      </c>
      <c r="D73">
        <v>184</v>
      </c>
      <c r="E73">
        <v>368</v>
      </c>
      <c r="F73">
        <v>184</v>
      </c>
      <c r="G73">
        <v>184</v>
      </c>
      <c r="H73">
        <v>0</v>
      </c>
      <c r="I73">
        <v>64</v>
      </c>
      <c r="J73">
        <v>173</v>
      </c>
      <c r="K73">
        <v>11</v>
      </c>
      <c r="L73">
        <v>50</v>
      </c>
      <c r="M73">
        <v>100</v>
      </c>
      <c r="N73">
        <v>94.02</v>
      </c>
      <c r="O73">
        <v>94.02</v>
      </c>
      <c r="P73">
        <v>49.96</v>
      </c>
      <c r="Q73">
        <v>18</v>
      </c>
    </row>
    <row r="74" spans="1:17" x14ac:dyDescent="0.35">
      <c r="A74">
        <v>1.95</v>
      </c>
      <c r="B74" s="9" t="s">
        <v>45</v>
      </c>
      <c r="C74">
        <v>432</v>
      </c>
      <c r="D74">
        <v>184</v>
      </c>
      <c r="E74">
        <v>362</v>
      </c>
      <c r="F74">
        <v>184</v>
      </c>
      <c r="G74">
        <v>178</v>
      </c>
      <c r="H74">
        <v>0</v>
      </c>
      <c r="I74">
        <v>70</v>
      </c>
      <c r="J74">
        <v>173</v>
      </c>
      <c r="K74">
        <v>11</v>
      </c>
      <c r="L74">
        <v>50.83</v>
      </c>
      <c r="M74">
        <v>100</v>
      </c>
      <c r="N74">
        <v>94.02</v>
      </c>
      <c r="O74">
        <v>94.02</v>
      </c>
      <c r="P74">
        <v>47.55</v>
      </c>
      <c r="Q74">
        <v>18</v>
      </c>
    </row>
    <row r="75" spans="1:17" x14ac:dyDescent="0.35">
      <c r="A75">
        <v>2</v>
      </c>
      <c r="B75" s="9" t="s">
        <v>45</v>
      </c>
      <c r="C75">
        <v>432</v>
      </c>
      <c r="D75">
        <v>184</v>
      </c>
      <c r="E75">
        <v>356</v>
      </c>
      <c r="F75">
        <v>184</v>
      </c>
      <c r="G75">
        <v>172</v>
      </c>
      <c r="H75">
        <v>0</v>
      </c>
      <c r="I75">
        <v>76</v>
      </c>
      <c r="J75">
        <v>173</v>
      </c>
      <c r="K75">
        <v>11</v>
      </c>
      <c r="L75">
        <v>51.69</v>
      </c>
      <c r="M75">
        <v>100</v>
      </c>
      <c r="N75">
        <v>94.02</v>
      </c>
      <c r="O75">
        <v>94.02</v>
      </c>
      <c r="P75">
        <v>46.47</v>
      </c>
      <c r="Q75">
        <v>18</v>
      </c>
    </row>
    <row r="76" spans="1:17" x14ac:dyDescent="0.35">
      <c r="A76">
        <v>2.0499999999999998</v>
      </c>
      <c r="B76" s="9" t="s">
        <v>45</v>
      </c>
      <c r="C76">
        <v>432</v>
      </c>
      <c r="D76">
        <v>184</v>
      </c>
      <c r="E76">
        <v>350</v>
      </c>
      <c r="F76">
        <v>184</v>
      </c>
      <c r="G76">
        <v>166</v>
      </c>
      <c r="H76">
        <v>0</v>
      </c>
      <c r="I76">
        <v>82</v>
      </c>
      <c r="J76">
        <v>173</v>
      </c>
      <c r="K76">
        <v>11</v>
      </c>
      <c r="L76">
        <v>52.57</v>
      </c>
      <c r="M76">
        <v>100</v>
      </c>
      <c r="N76">
        <v>94.02</v>
      </c>
      <c r="O76">
        <v>94.02</v>
      </c>
      <c r="P76">
        <v>45.64</v>
      </c>
      <c r="Q76">
        <v>18</v>
      </c>
    </row>
    <row r="77" spans="1:17" x14ac:dyDescent="0.35">
      <c r="A77">
        <v>2.1</v>
      </c>
      <c r="B77" s="9" t="s">
        <v>45</v>
      </c>
      <c r="C77">
        <v>432</v>
      </c>
      <c r="D77">
        <v>184</v>
      </c>
      <c r="E77">
        <v>343</v>
      </c>
      <c r="F77">
        <v>184</v>
      </c>
      <c r="G77">
        <v>159</v>
      </c>
      <c r="H77">
        <v>0</v>
      </c>
      <c r="I77">
        <v>89</v>
      </c>
      <c r="J77">
        <v>172</v>
      </c>
      <c r="K77">
        <v>12</v>
      </c>
      <c r="L77">
        <v>53.64</v>
      </c>
      <c r="M77">
        <v>100</v>
      </c>
      <c r="N77">
        <v>93.48</v>
      </c>
      <c r="O77">
        <v>93.48</v>
      </c>
      <c r="P77">
        <v>44.48</v>
      </c>
      <c r="Q77">
        <v>18</v>
      </c>
    </row>
    <row r="78" spans="1:17" x14ac:dyDescent="0.35">
      <c r="A78">
        <v>2.15</v>
      </c>
      <c r="B78" s="9" t="s">
        <v>45</v>
      </c>
      <c r="C78">
        <v>432</v>
      </c>
      <c r="D78">
        <v>184</v>
      </c>
      <c r="E78">
        <v>339</v>
      </c>
      <c r="F78">
        <v>184</v>
      </c>
      <c r="G78">
        <v>155</v>
      </c>
      <c r="H78">
        <v>0</v>
      </c>
      <c r="I78">
        <v>93</v>
      </c>
      <c r="J78">
        <v>172</v>
      </c>
      <c r="K78">
        <v>12</v>
      </c>
      <c r="L78">
        <v>54.28</v>
      </c>
      <c r="M78">
        <v>100</v>
      </c>
      <c r="N78">
        <v>93.48</v>
      </c>
      <c r="O78">
        <v>93.48</v>
      </c>
      <c r="P78">
        <v>43.16</v>
      </c>
      <c r="Q78">
        <v>18</v>
      </c>
    </row>
    <row r="79" spans="1:17" x14ac:dyDescent="0.35">
      <c r="A79">
        <v>2.2000000000000002</v>
      </c>
      <c r="B79" s="9" t="s">
        <v>45</v>
      </c>
      <c r="C79">
        <v>432</v>
      </c>
      <c r="D79">
        <v>184</v>
      </c>
      <c r="E79">
        <v>334</v>
      </c>
      <c r="F79">
        <v>184</v>
      </c>
      <c r="G79">
        <v>150</v>
      </c>
      <c r="H79">
        <v>0</v>
      </c>
      <c r="I79">
        <v>98</v>
      </c>
      <c r="J79">
        <v>171</v>
      </c>
      <c r="K79">
        <v>13</v>
      </c>
      <c r="L79">
        <v>55.09</v>
      </c>
      <c r="M79">
        <v>100</v>
      </c>
      <c r="N79">
        <v>92.93</v>
      </c>
      <c r="O79">
        <v>92.93</v>
      </c>
      <c r="P79">
        <v>42.42</v>
      </c>
      <c r="Q79">
        <v>18</v>
      </c>
    </row>
    <row r="80" spans="1:17" x14ac:dyDescent="0.35">
      <c r="A80">
        <v>2.25</v>
      </c>
      <c r="B80" s="9" t="s">
        <v>45</v>
      </c>
      <c r="C80">
        <v>432</v>
      </c>
      <c r="D80">
        <v>184</v>
      </c>
      <c r="E80">
        <v>329</v>
      </c>
      <c r="F80">
        <v>184</v>
      </c>
      <c r="G80">
        <v>145</v>
      </c>
      <c r="H80">
        <v>0</v>
      </c>
      <c r="I80">
        <v>103</v>
      </c>
      <c r="J80">
        <v>170</v>
      </c>
      <c r="K80">
        <v>14</v>
      </c>
      <c r="L80">
        <v>55.93</v>
      </c>
      <c r="M80">
        <v>100</v>
      </c>
      <c r="N80">
        <v>92.39</v>
      </c>
      <c r="O80">
        <v>92.39</v>
      </c>
      <c r="P80">
        <v>40.69</v>
      </c>
      <c r="Q80">
        <v>18</v>
      </c>
    </row>
    <row r="81" spans="1:17" x14ac:dyDescent="0.35">
      <c r="A81">
        <v>2.2999999999999998</v>
      </c>
      <c r="B81" s="9" t="s">
        <v>45</v>
      </c>
      <c r="C81">
        <v>432</v>
      </c>
      <c r="D81">
        <v>184</v>
      </c>
      <c r="E81">
        <v>324</v>
      </c>
      <c r="F81">
        <v>184</v>
      </c>
      <c r="G81">
        <v>140</v>
      </c>
      <c r="H81">
        <v>0</v>
      </c>
      <c r="I81">
        <v>108</v>
      </c>
      <c r="J81">
        <v>169</v>
      </c>
      <c r="K81">
        <v>15</v>
      </c>
      <c r="L81">
        <v>56.79</v>
      </c>
      <c r="M81">
        <v>100</v>
      </c>
      <c r="N81">
        <v>91.85</v>
      </c>
      <c r="O81">
        <v>91.85</v>
      </c>
      <c r="P81">
        <v>39.299999999999997</v>
      </c>
      <c r="Q81">
        <v>18</v>
      </c>
    </row>
    <row r="82" spans="1:17" x14ac:dyDescent="0.35">
      <c r="A82">
        <v>2.35</v>
      </c>
      <c r="B82" s="9" t="s">
        <v>45</v>
      </c>
      <c r="C82">
        <v>432</v>
      </c>
      <c r="D82">
        <v>184</v>
      </c>
      <c r="E82">
        <v>319</v>
      </c>
      <c r="F82">
        <v>184</v>
      </c>
      <c r="G82">
        <v>135</v>
      </c>
      <c r="H82">
        <v>0</v>
      </c>
      <c r="I82">
        <v>113</v>
      </c>
      <c r="J82">
        <v>169</v>
      </c>
      <c r="K82">
        <v>15</v>
      </c>
      <c r="L82">
        <v>57.68</v>
      </c>
      <c r="M82">
        <v>100</v>
      </c>
      <c r="N82">
        <v>91.85</v>
      </c>
      <c r="O82">
        <v>91.85</v>
      </c>
      <c r="P82">
        <v>38.28</v>
      </c>
      <c r="Q82">
        <v>18</v>
      </c>
    </row>
    <row r="83" spans="1:17" x14ac:dyDescent="0.35">
      <c r="A83">
        <v>2.4</v>
      </c>
      <c r="B83" s="9" t="s">
        <v>45</v>
      </c>
      <c r="C83">
        <v>432</v>
      </c>
      <c r="D83">
        <v>184</v>
      </c>
      <c r="E83">
        <v>311</v>
      </c>
      <c r="F83">
        <v>184</v>
      </c>
      <c r="G83">
        <v>127</v>
      </c>
      <c r="H83">
        <v>0</v>
      </c>
      <c r="I83">
        <v>121</v>
      </c>
      <c r="J83">
        <v>169</v>
      </c>
      <c r="K83">
        <v>15</v>
      </c>
      <c r="L83">
        <v>59.16</v>
      </c>
      <c r="M83">
        <v>100</v>
      </c>
      <c r="N83">
        <v>91.85</v>
      </c>
      <c r="O83">
        <v>91.85</v>
      </c>
      <c r="P83">
        <v>37.36</v>
      </c>
      <c r="Q83">
        <v>18</v>
      </c>
    </row>
    <row r="84" spans="1:17" x14ac:dyDescent="0.35">
      <c r="A84">
        <v>2.4500000000000002</v>
      </c>
      <c r="B84" s="9" t="s">
        <v>45</v>
      </c>
      <c r="C84">
        <v>432</v>
      </c>
      <c r="D84">
        <v>184</v>
      </c>
      <c r="E84">
        <v>303</v>
      </c>
      <c r="F84">
        <v>184</v>
      </c>
      <c r="G84">
        <v>119</v>
      </c>
      <c r="H84">
        <v>0</v>
      </c>
      <c r="I84">
        <v>129</v>
      </c>
      <c r="J84">
        <v>166</v>
      </c>
      <c r="K84">
        <v>18</v>
      </c>
      <c r="L84">
        <v>60.73</v>
      </c>
      <c r="M84">
        <v>100</v>
      </c>
      <c r="N84">
        <v>90.22</v>
      </c>
      <c r="O84">
        <v>90.22</v>
      </c>
      <c r="P84">
        <v>36.36</v>
      </c>
      <c r="Q84">
        <v>18</v>
      </c>
    </row>
    <row r="85" spans="1:17" x14ac:dyDescent="0.35">
      <c r="A85">
        <v>2.5</v>
      </c>
      <c r="B85" s="9" t="s">
        <v>45</v>
      </c>
      <c r="C85">
        <v>432</v>
      </c>
      <c r="D85">
        <v>184</v>
      </c>
      <c r="E85">
        <v>297</v>
      </c>
      <c r="F85">
        <v>184</v>
      </c>
      <c r="G85">
        <v>113</v>
      </c>
      <c r="H85">
        <v>0</v>
      </c>
      <c r="I85">
        <v>135</v>
      </c>
      <c r="J85">
        <v>164</v>
      </c>
      <c r="K85">
        <v>20</v>
      </c>
      <c r="L85">
        <v>61.95</v>
      </c>
      <c r="M85">
        <v>100</v>
      </c>
      <c r="N85">
        <v>89.13</v>
      </c>
      <c r="O85">
        <v>89.13</v>
      </c>
      <c r="P85">
        <v>34.869999999999997</v>
      </c>
      <c r="Q85">
        <v>18</v>
      </c>
    </row>
    <row r="86" spans="1:17" x14ac:dyDescent="0.35">
      <c r="A86">
        <v>2.5499999999999998</v>
      </c>
      <c r="B86" s="9" t="s">
        <v>45</v>
      </c>
      <c r="C86">
        <v>432</v>
      </c>
      <c r="D86">
        <v>184</v>
      </c>
      <c r="E86">
        <v>293</v>
      </c>
      <c r="F86">
        <v>184</v>
      </c>
      <c r="G86">
        <v>109</v>
      </c>
      <c r="H86">
        <v>0</v>
      </c>
      <c r="I86">
        <v>139</v>
      </c>
      <c r="J86">
        <v>163</v>
      </c>
      <c r="K86">
        <v>21</v>
      </c>
      <c r="L86">
        <v>62.8</v>
      </c>
      <c r="M86">
        <v>100</v>
      </c>
      <c r="N86">
        <v>88.59</v>
      </c>
      <c r="O86">
        <v>88.59</v>
      </c>
      <c r="P86">
        <v>33.36</v>
      </c>
      <c r="Q86">
        <v>18</v>
      </c>
    </row>
    <row r="87" spans="1:17" x14ac:dyDescent="0.35">
      <c r="A87">
        <v>2.6</v>
      </c>
      <c r="B87" s="9" t="s">
        <v>45</v>
      </c>
      <c r="C87">
        <v>432</v>
      </c>
      <c r="D87">
        <v>184</v>
      </c>
      <c r="E87">
        <v>292</v>
      </c>
      <c r="F87">
        <v>184</v>
      </c>
      <c r="G87">
        <v>108</v>
      </c>
      <c r="H87">
        <v>0</v>
      </c>
      <c r="I87">
        <v>140</v>
      </c>
      <c r="J87">
        <v>161</v>
      </c>
      <c r="K87">
        <v>23</v>
      </c>
      <c r="L87">
        <v>63.01</v>
      </c>
      <c r="M87">
        <v>100</v>
      </c>
      <c r="N87">
        <v>87.5</v>
      </c>
      <c r="O87">
        <v>87.5</v>
      </c>
      <c r="P87">
        <v>32.479999999999997</v>
      </c>
      <c r="Q87">
        <v>18</v>
      </c>
    </row>
    <row r="88" spans="1:17" x14ac:dyDescent="0.35">
      <c r="A88">
        <v>2.65</v>
      </c>
      <c r="B88" s="9" t="s">
        <v>45</v>
      </c>
      <c r="C88">
        <v>432</v>
      </c>
      <c r="D88">
        <v>184</v>
      </c>
      <c r="E88">
        <v>285</v>
      </c>
      <c r="F88">
        <v>184</v>
      </c>
      <c r="G88">
        <v>101</v>
      </c>
      <c r="H88">
        <v>0</v>
      </c>
      <c r="I88">
        <v>147</v>
      </c>
      <c r="J88">
        <v>160</v>
      </c>
      <c r="K88">
        <v>24</v>
      </c>
      <c r="L88">
        <v>64.56</v>
      </c>
      <c r="M88">
        <v>100</v>
      </c>
      <c r="N88">
        <v>86.96</v>
      </c>
      <c r="O88">
        <v>86.96</v>
      </c>
      <c r="P88">
        <v>31.97</v>
      </c>
      <c r="Q88">
        <v>18</v>
      </c>
    </row>
    <row r="89" spans="1:17" x14ac:dyDescent="0.35">
      <c r="A89">
        <v>2.7</v>
      </c>
      <c r="B89" s="9" t="s">
        <v>45</v>
      </c>
      <c r="C89">
        <v>432</v>
      </c>
      <c r="D89">
        <v>184</v>
      </c>
      <c r="E89">
        <v>281</v>
      </c>
      <c r="F89">
        <v>184</v>
      </c>
      <c r="G89">
        <v>97</v>
      </c>
      <c r="H89">
        <v>0</v>
      </c>
      <c r="I89">
        <v>151</v>
      </c>
      <c r="J89">
        <v>157</v>
      </c>
      <c r="K89">
        <v>27</v>
      </c>
      <c r="L89">
        <v>65.48</v>
      </c>
      <c r="M89">
        <v>100</v>
      </c>
      <c r="N89">
        <v>85.33</v>
      </c>
      <c r="O89">
        <v>85.33</v>
      </c>
      <c r="P89">
        <v>30.71</v>
      </c>
      <c r="Q89">
        <v>18</v>
      </c>
    </row>
    <row r="90" spans="1:17" x14ac:dyDescent="0.35">
      <c r="A90">
        <v>2.75</v>
      </c>
      <c r="B90" s="9" t="s">
        <v>45</v>
      </c>
      <c r="C90">
        <v>432</v>
      </c>
      <c r="D90">
        <v>184</v>
      </c>
      <c r="E90">
        <v>274</v>
      </c>
      <c r="F90">
        <v>184</v>
      </c>
      <c r="G90">
        <v>90</v>
      </c>
      <c r="H90">
        <v>0</v>
      </c>
      <c r="I90">
        <v>158</v>
      </c>
      <c r="J90">
        <v>154</v>
      </c>
      <c r="K90">
        <v>30</v>
      </c>
      <c r="L90">
        <v>67.150000000000006</v>
      </c>
      <c r="M90">
        <v>100</v>
      </c>
      <c r="N90">
        <v>83.7</v>
      </c>
      <c r="O90">
        <v>83.7</v>
      </c>
      <c r="P90">
        <v>29.85</v>
      </c>
      <c r="Q90">
        <v>18</v>
      </c>
    </row>
    <row r="91" spans="1:17" x14ac:dyDescent="0.35">
      <c r="A91">
        <v>2.8</v>
      </c>
      <c r="B91" s="9" t="s">
        <v>45</v>
      </c>
      <c r="C91">
        <v>432</v>
      </c>
      <c r="D91">
        <v>184</v>
      </c>
      <c r="E91">
        <v>269</v>
      </c>
      <c r="F91">
        <v>184</v>
      </c>
      <c r="G91">
        <v>85</v>
      </c>
      <c r="H91">
        <v>0</v>
      </c>
      <c r="I91">
        <v>163</v>
      </c>
      <c r="J91">
        <v>150</v>
      </c>
      <c r="K91">
        <v>34</v>
      </c>
      <c r="L91">
        <v>68.400000000000006</v>
      </c>
      <c r="M91">
        <v>100</v>
      </c>
      <c r="N91">
        <v>81.52</v>
      </c>
      <c r="O91">
        <v>81.52</v>
      </c>
      <c r="P91">
        <v>28.87</v>
      </c>
      <c r="Q91">
        <v>18</v>
      </c>
    </row>
    <row r="92" spans="1:17" x14ac:dyDescent="0.35">
      <c r="A92">
        <v>2.85</v>
      </c>
      <c r="B92" s="9" t="s">
        <v>45</v>
      </c>
      <c r="C92">
        <v>432</v>
      </c>
      <c r="D92">
        <v>184</v>
      </c>
      <c r="E92">
        <v>267</v>
      </c>
      <c r="F92">
        <v>184</v>
      </c>
      <c r="G92">
        <v>83</v>
      </c>
      <c r="H92">
        <v>0</v>
      </c>
      <c r="I92">
        <v>165</v>
      </c>
      <c r="J92">
        <v>148</v>
      </c>
      <c r="K92">
        <v>36</v>
      </c>
      <c r="L92">
        <v>68.91</v>
      </c>
      <c r="M92">
        <v>100</v>
      </c>
      <c r="N92">
        <v>80.430000000000007</v>
      </c>
      <c r="O92">
        <v>80.430000000000007</v>
      </c>
      <c r="P92">
        <v>28.18</v>
      </c>
      <c r="Q92">
        <v>18</v>
      </c>
    </row>
    <row r="93" spans="1:17" x14ac:dyDescent="0.35">
      <c r="A93">
        <v>2.9</v>
      </c>
      <c r="B93" s="9" t="s">
        <v>45</v>
      </c>
      <c r="C93">
        <v>432</v>
      </c>
      <c r="D93">
        <v>184</v>
      </c>
      <c r="E93">
        <v>265</v>
      </c>
      <c r="F93">
        <v>184</v>
      </c>
      <c r="G93">
        <v>81</v>
      </c>
      <c r="H93">
        <v>0</v>
      </c>
      <c r="I93">
        <v>167</v>
      </c>
      <c r="J93">
        <v>148</v>
      </c>
      <c r="K93">
        <v>36</v>
      </c>
      <c r="L93">
        <v>69.430000000000007</v>
      </c>
      <c r="M93">
        <v>100</v>
      </c>
      <c r="N93">
        <v>80.430000000000007</v>
      </c>
      <c r="O93">
        <v>80.430000000000007</v>
      </c>
      <c r="P93">
        <v>26.62</v>
      </c>
      <c r="Q93">
        <v>18</v>
      </c>
    </row>
    <row r="94" spans="1:17" x14ac:dyDescent="0.35">
      <c r="A94">
        <v>2.95</v>
      </c>
      <c r="B94" s="9" t="s">
        <v>45</v>
      </c>
      <c r="C94">
        <v>432</v>
      </c>
      <c r="D94">
        <v>184</v>
      </c>
      <c r="E94">
        <v>264</v>
      </c>
      <c r="F94">
        <v>183</v>
      </c>
      <c r="G94">
        <v>81</v>
      </c>
      <c r="H94">
        <v>1</v>
      </c>
      <c r="I94">
        <v>167</v>
      </c>
      <c r="J94">
        <v>143</v>
      </c>
      <c r="K94">
        <v>40</v>
      </c>
      <c r="L94">
        <v>69.319999999999993</v>
      </c>
      <c r="M94">
        <v>99.46</v>
      </c>
      <c r="N94">
        <v>78.14</v>
      </c>
      <c r="O94">
        <v>77.72</v>
      </c>
      <c r="P94">
        <v>25.38</v>
      </c>
      <c r="Q94">
        <v>18</v>
      </c>
    </row>
    <row r="95" spans="1:17" x14ac:dyDescent="0.35">
      <c r="A95">
        <v>3</v>
      </c>
      <c r="B95" s="9" t="s">
        <v>45</v>
      </c>
      <c r="C95">
        <v>432</v>
      </c>
      <c r="D95">
        <v>184</v>
      </c>
      <c r="E95">
        <v>263</v>
      </c>
      <c r="F95">
        <v>183</v>
      </c>
      <c r="G95">
        <v>80</v>
      </c>
      <c r="H95">
        <v>1</v>
      </c>
      <c r="I95">
        <v>168</v>
      </c>
      <c r="J95">
        <v>140</v>
      </c>
      <c r="K95">
        <v>43</v>
      </c>
      <c r="L95">
        <v>69.58</v>
      </c>
      <c r="M95">
        <v>99.46</v>
      </c>
      <c r="N95">
        <v>76.5</v>
      </c>
      <c r="O95">
        <v>76.09</v>
      </c>
      <c r="P95">
        <v>24.65</v>
      </c>
      <c r="Q95">
        <v>18</v>
      </c>
    </row>
    <row r="96" spans="1:17" x14ac:dyDescent="0.35">
      <c r="A96">
        <v>3.05</v>
      </c>
      <c r="B96" s="9" t="s">
        <v>45</v>
      </c>
      <c r="C96">
        <v>432</v>
      </c>
      <c r="D96">
        <v>184</v>
      </c>
      <c r="E96">
        <v>260</v>
      </c>
      <c r="F96">
        <v>182</v>
      </c>
      <c r="G96">
        <v>78</v>
      </c>
      <c r="H96">
        <v>2</v>
      </c>
      <c r="I96">
        <v>170</v>
      </c>
      <c r="J96">
        <v>133</v>
      </c>
      <c r="K96">
        <v>49</v>
      </c>
      <c r="L96">
        <v>70</v>
      </c>
      <c r="M96">
        <v>98.91</v>
      </c>
      <c r="N96">
        <v>73.08</v>
      </c>
      <c r="O96">
        <v>72.28</v>
      </c>
      <c r="P96">
        <v>24.19</v>
      </c>
      <c r="Q96">
        <v>18</v>
      </c>
    </row>
    <row r="97" spans="1:17" x14ac:dyDescent="0.35">
      <c r="A97">
        <v>3.1</v>
      </c>
      <c r="B97" s="9" t="s">
        <v>45</v>
      </c>
      <c r="C97">
        <v>432</v>
      </c>
      <c r="D97">
        <v>184</v>
      </c>
      <c r="E97">
        <v>256</v>
      </c>
      <c r="F97">
        <v>181</v>
      </c>
      <c r="G97">
        <v>75</v>
      </c>
      <c r="H97">
        <v>3</v>
      </c>
      <c r="I97">
        <v>173</v>
      </c>
      <c r="J97">
        <v>127</v>
      </c>
      <c r="K97">
        <v>54</v>
      </c>
      <c r="L97">
        <v>70.7</v>
      </c>
      <c r="M97">
        <v>98.37</v>
      </c>
      <c r="N97">
        <v>70.17</v>
      </c>
      <c r="O97">
        <v>69.02</v>
      </c>
      <c r="P97">
        <v>23.57</v>
      </c>
      <c r="Q97">
        <v>18</v>
      </c>
    </row>
    <row r="98" spans="1:17" x14ac:dyDescent="0.35">
      <c r="A98">
        <v>3.15</v>
      </c>
      <c r="B98" s="9" t="s">
        <v>45</v>
      </c>
      <c r="C98">
        <v>432</v>
      </c>
      <c r="D98">
        <v>184</v>
      </c>
      <c r="E98">
        <v>255</v>
      </c>
      <c r="F98">
        <v>181</v>
      </c>
      <c r="G98">
        <v>74</v>
      </c>
      <c r="H98">
        <v>3</v>
      </c>
      <c r="I98">
        <v>174</v>
      </c>
      <c r="J98">
        <v>121</v>
      </c>
      <c r="K98">
        <v>60</v>
      </c>
      <c r="L98">
        <v>70.98</v>
      </c>
      <c r="M98">
        <v>98.37</v>
      </c>
      <c r="N98">
        <v>66.849999999999994</v>
      </c>
      <c r="O98">
        <v>65.760000000000005</v>
      </c>
      <c r="P98">
        <v>22.77</v>
      </c>
      <c r="Q98">
        <v>18</v>
      </c>
    </row>
    <row r="99" spans="1:17" x14ac:dyDescent="0.35">
      <c r="A99">
        <v>3.2</v>
      </c>
      <c r="B99" s="9" t="s">
        <v>45</v>
      </c>
      <c r="C99">
        <v>432</v>
      </c>
      <c r="D99">
        <v>184</v>
      </c>
      <c r="E99">
        <v>247</v>
      </c>
      <c r="F99">
        <v>180</v>
      </c>
      <c r="G99">
        <v>67</v>
      </c>
      <c r="H99">
        <v>4</v>
      </c>
      <c r="I99">
        <v>181</v>
      </c>
      <c r="J99">
        <v>118</v>
      </c>
      <c r="K99">
        <v>62</v>
      </c>
      <c r="L99">
        <v>72.87</v>
      </c>
      <c r="M99">
        <v>97.83</v>
      </c>
      <c r="N99">
        <v>65.56</v>
      </c>
      <c r="O99">
        <v>64.13</v>
      </c>
      <c r="P99">
        <v>21.83</v>
      </c>
      <c r="Q99">
        <v>18</v>
      </c>
    </row>
    <row r="100" spans="1:17" x14ac:dyDescent="0.35">
      <c r="A100">
        <v>3.25</v>
      </c>
      <c r="B100" s="9" t="s">
        <v>45</v>
      </c>
      <c r="C100">
        <v>432</v>
      </c>
      <c r="D100">
        <v>184</v>
      </c>
      <c r="E100">
        <v>245</v>
      </c>
      <c r="F100">
        <v>180</v>
      </c>
      <c r="G100">
        <v>65</v>
      </c>
      <c r="H100">
        <v>4</v>
      </c>
      <c r="I100">
        <v>183</v>
      </c>
      <c r="J100">
        <v>116</v>
      </c>
      <c r="K100">
        <v>64</v>
      </c>
      <c r="L100">
        <v>73.47</v>
      </c>
      <c r="M100">
        <v>97.83</v>
      </c>
      <c r="N100">
        <v>64.44</v>
      </c>
      <c r="O100">
        <v>63.04</v>
      </c>
      <c r="P100">
        <v>20.78</v>
      </c>
      <c r="Q100">
        <v>18</v>
      </c>
    </row>
    <row r="101" spans="1:17" x14ac:dyDescent="0.35">
      <c r="A101">
        <v>3.3</v>
      </c>
      <c r="B101" s="9" t="s">
        <v>45</v>
      </c>
      <c r="C101">
        <v>432</v>
      </c>
      <c r="D101">
        <v>184</v>
      </c>
      <c r="E101">
        <v>243</v>
      </c>
      <c r="F101">
        <v>180</v>
      </c>
      <c r="G101">
        <v>63</v>
      </c>
      <c r="H101">
        <v>4</v>
      </c>
      <c r="I101">
        <v>185</v>
      </c>
      <c r="J101">
        <v>112</v>
      </c>
      <c r="K101">
        <v>68</v>
      </c>
      <c r="L101">
        <v>74.069999999999993</v>
      </c>
      <c r="M101">
        <v>97.83</v>
      </c>
      <c r="N101">
        <v>62.22</v>
      </c>
      <c r="O101">
        <v>60.87</v>
      </c>
      <c r="P101">
        <v>19.88</v>
      </c>
      <c r="Q101">
        <v>18</v>
      </c>
    </row>
    <row r="102" spans="1:17" x14ac:dyDescent="0.35">
      <c r="A102">
        <v>3.35</v>
      </c>
      <c r="B102" s="9" t="s">
        <v>45</v>
      </c>
      <c r="C102">
        <v>432</v>
      </c>
      <c r="D102">
        <v>184</v>
      </c>
      <c r="E102">
        <v>242</v>
      </c>
      <c r="F102">
        <v>180</v>
      </c>
      <c r="G102">
        <v>62</v>
      </c>
      <c r="H102">
        <v>4</v>
      </c>
      <c r="I102">
        <v>186</v>
      </c>
      <c r="J102">
        <v>105</v>
      </c>
      <c r="K102">
        <v>75</v>
      </c>
      <c r="L102">
        <v>74.38</v>
      </c>
      <c r="M102">
        <v>97.83</v>
      </c>
      <c r="N102">
        <v>58.33</v>
      </c>
      <c r="O102">
        <v>57.07</v>
      </c>
      <c r="P102">
        <v>19.420000000000002</v>
      </c>
      <c r="Q102">
        <v>18</v>
      </c>
    </row>
    <row r="103" spans="1:17" x14ac:dyDescent="0.35">
      <c r="A103">
        <v>3.4</v>
      </c>
      <c r="B103" s="9" t="s">
        <v>45</v>
      </c>
      <c r="C103">
        <v>432</v>
      </c>
      <c r="D103">
        <v>184</v>
      </c>
      <c r="E103">
        <v>241</v>
      </c>
      <c r="F103">
        <v>180</v>
      </c>
      <c r="G103">
        <v>61</v>
      </c>
      <c r="H103">
        <v>4</v>
      </c>
      <c r="I103">
        <v>187</v>
      </c>
      <c r="J103">
        <v>98</v>
      </c>
      <c r="K103">
        <v>82</v>
      </c>
      <c r="L103">
        <v>74.69</v>
      </c>
      <c r="M103">
        <v>97.83</v>
      </c>
      <c r="N103">
        <v>54.44</v>
      </c>
      <c r="O103">
        <v>53.26</v>
      </c>
      <c r="P103">
        <v>18.93</v>
      </c>
      <c r="Q103">
        <v>18</v>
      </c>
    </row>
    <row r="104" spans="1:17" x14ac:dyDescent="0.35">
      <c r="A104">
        <v>3.45</v>
      </c>
      <c r="B104" s="9" t="s">
        <v>45</v>
      </c>
      <c r="C104">
        <v>432</v>
      </c>
      <c r="D104">
        <v>184</v>
      </c>
      <c r="E104">
        <v>238</v>
      </c>
      <c r="F104">
        <v>180</v>
      </c>
      <c r="G104">
        <v>58</v>
      </c>
      <c r="H104">
        <v>4</v>
      </c>
      <c r="I104">
        <v>190</v>
      </c>
      <c r="J104">
        <v>92</v>
      </c>
      <c r="K104">
        <v>88</v>
      </c>
      <c r="L104">
        <v>75.63</v>
      </c>
      <c r="M104">
        <v>97.83</v>
      </c>
      <c r="N104">
        <v>51.11</v>
      </c>
      <c r="O104">
        <v>50</v>
      </c>
      <c r="P104">
        <v>18.350000000000001</v>
      </c>
      <c r="Q104">
        <v>18</v>
      </c>
    </row>
    <row r="105" spans="1:17" x14ac:dyDescent="0.35">
      <c r="A105">
        <v>3.5</v>
      </c>
      <c r="B105" s="9" t="s">
        <v>45</v>
      </c>
      <c r="C105">
        <v>432</v>
      </c>
      <c r="D105">
        <v>184</v>
      </c>
      <c r="E105">
        <v>234</v>
      </c>
      <c r="F105">
        <v>179</v>
      </c>
      <c r="G105">
        <v>55</v>
      </c>
      <c r="H105">
        <v>5</v>
      </c>
      <c r="I105">
        <v>193</v>
      </c>
      <c r="J105">
        <v>80</v>
      </c>
      <c r="K105">
        <v>99</v>
      </c>
      <c r="L105">
        <v>76.5</v>
      </c>
      <c r="M105">
        <v>97.28</v>
      </c>
      <c r="N105">
        <v>44.69</v>
      </c>
      <c r="O105">
        <v>43.48</v>
      </c>
      <c r="P105">
        <v>17.2</v>
      </c>
      <c r="Q105">
        <v>18</v>
      </c>
    </row>
    <row r="106" spans="1:17" x14ac:dyDescent="0.35">
      <c r="A106">
        <v>3.55</v>
      </c>
      <c r="B106" s="9" t="s">
        <v>45</v>
      </c>
      <c r="C106">
        <v>432</v>
      </c>
      <c r="D106">
        <v>184</v>
      </c>
      <c r="E106">
        <v>229</v>
      </c>
      <c r="F106">
        <v>178</v>
      </c>
      <c r="G106">
        <v>51</v>
      </c>
      <c r="H106">
        <v>6</v>
      </c>
      <c r="I106">
        <v>197</v>
      </c>
      <c r="J106">
        <v>72</v>
      </c>
      <c r="K106">
        <v>106</v>
      </c>
      <c r="L106">
        <v>77.73</v>
      </c>
      <c r="M106">
        <v>96.74</v>
      </c>
      <c r="N106">
        <v>40.450000000000003</v>
      </c>
      <c r="O106">
        <v>39.130000000000003</v>
      </c>
      <c r="P106">
        <v>16.62</v>
      </c>
      <c r="Q106">
        <v>18</v>
      </c>
    </row>
    <row r="107" spans="1:17" x14ac:dyDescent="0.35">
      <c r="A107">
        <v>3.6</v>
      </c>
      <c r="B107" s="9" t="s">
        <v>45</v>
      </c>
      <c r="C107">
        <v>432</v>
      </c>
      <c r="D107">
        <v>184</v>
      </c>
      <c r="E107">
        <v>226</v>
      </c>
      <c r="F107">
        <v>178</v>
      </c>
      <c r="G107">
        <v>48</v>
      </c>
      <c r="H107">
        <v>6</v>
      </c>
      <c r="I107">
        <v>200</v>
      </c>
      <c r="J107">
        <v>66</v>
      </c>
      <c r="K107">
        <v>112</v>
      </c>
      <c r="L107">
        <v>78.760000000000005</v>
      </c>
      <c r="M107">
        <v>96.74</v>
      </c>
      <c r="N107">
        <v>37.08</v>
      </c>
      <c r="O107">
        <v>35.869999999999997</v>
      </c>
      <c r="P107">
        <v>15.77</v>
      </c>
      <c r="Q107">
        <v>18</v>
      </c>
    </row>
    <row r="108" spans="1:17" x14ac:dyDescent="0.35">
      <c r="A108">
        <v>3.65</v>
      </c>
      <c r="B108" s="9" t="s">
        <v>45</v>
      </c>
      <c r="C108">
        <v>432</v>
      </c>
      <c r="D108">
        <v>184</v>
      </c>
      <c r="E108">
        <v>225</v>
      </c>
      <c r="F108">
        <v>178</v>
      </c>
      <c r="G108">
        <v>47</v>
      </c>
      <c r="H108">
        <v>6</v>
      </c>
      <c r="I108">
        <v>201</v>
      </c>
      <c r="J108">
        <v>57</v>
      </c>
      <c r="K108">
        <v>121</v>
      </c>
      <c r="L108">
        <v>79.11</v>
      </c>
      <c r="M108">
        <v>96.74</v>
      </c>
      <c r="N108">
        <v>32.020000000000003</v>
      </c>
      <c r="O108">
        <v>30.98</v>
      </c>
      <c r="P108">
        <v>14.33</v>
      </c>
      <c r="Q108">
        <v>18</v>
      </c>
    </row>
    <row r="109" spans="1:17" x14ac:dyDescent="0.35">
      <c r="A109">
        <v>3.7</v>
      </c>
      <c r="B109" s="9" t="s">
        <v>45</v>
      </c>
      <c r="C109">
        <v>432</v>
      </c>
      <c r="D109">
        <v>184</v>
      </c>
      <c r="E109">
        <v>222</v>
      </c>
      <c r="F109">
        <v>177</v>
      </c>
      <c r="G109">
        <v>45</v>
      </c>
      <c r="H109">
        <v>7</v>
      </c>
      <c r="I109">
        <v>203</v>
      </c>
      <c r="J109">
        <v>39</v>
      </c>
      <c r="K109">
        <v>138</v>
      </c>
      <c r="L109">
        <v>79.73</v>
      </c>
      <c r="M109">
        <v>96.2</v>
      </c>
      <c r="N109">
        <v>22.03</v>
      </c>
      <c r="O109">
        <v>21.2</v>
      </c>
      <c r="P109">
        <v>13.52</v>
      </c>
      <c r="Q109">
        <v>18</v>
      </c>
    </row>
    <row r="110" spans="1:17" x14ac:dyDescent="0.35">
      <c r="A110">
        <v>3.75</v>
      </c>
      <c r="B110" s="9" t="s">
        <v>45</v>
      </c>
      <c r="C110">
        <v>432</v>
      </c>
      <c r="D110">
        <v>184</v>
      </c>
      <c r="E110">
        <v>221</v>
      </c>
      <c r="F110">
        <v>177</v>
      </c>
      <c r="G110">
        <v>44</v>
      </c>
      <c r="H110">
        <v>7</v>
      </c>
      <c r="I110">
        <v>204</v>
      </c>
      <c r="J110">
        <v>36</v>
      </c>
      <c r="K110">
        <v>141</v>
      </c>
      <c r="L110">
        <v>80.09</v>
      </c>
      <c r="M110">
        <v>96.2</v>
      </c>
      <c r="N110">
        <v>20.34</v>
      </c>
      <c r="O110">
        <v>19.57</v>
      </c>
      <c r="P110">
        <v>12.45</v>
      </c>
      <c r="Q110">
        <v>18</v>
      </c>
    </row>
    <row r="111" spans="1:17" x14ac:dyDescent="0.35">
      <c r="A111">
        <v>3.8</v>
      </c>
      <c r="B111" s="9" t="s">
        <v>45</v>
      </c>
      <c r="C111">
        <v>432</v>
      </c>
      <c r="D111">
        <v>184</v>
      </c>
      <c r="E111">
        <v>219</v>
      </c>
      <c r="F111">
        <v>177</v>
      </c>
      <c r="G111">
        <v>42</v>
      </c>
      <c r="H111">
        <v>7</v>
      </c>
      <c r="I111">
        <v>206</v>
      </c>
      <c r="J111">
        <v>26</v>
      </c>
      <c r="K111">
        <v>151</v>
      </c>
      <c r="L111">
        <v>80.819999999999993</v>
      </c>
      <c r="M111">
        <v>96.2</v>
      </c>
      <c r="N111">
        <v>14.69</v>
      </c>
      <c r="O111">
        <v>14.13</v>
      </c>
      <c r="P111">
        <v>11.88</v>
      </c>
      <c r="Q111">
        <v>18</v>
      </c>
    </row>
    <row r="112" spans="1:17" x14ac:dyDescent="0.35">
      <c r="A112">
        <v>3.85</v>
      </c>
      <c r="B112" s="9" t="s">
        <v>45</v>
      </c>
      <c r="C112">
        <v>432</v>
      </c>
      <c r="D112">
        <v>184</v>
      </c>
      <c r="E112">
        <v>217</v>
      </c>
      <c r="F112">
        <v>177</v>
      </c>
      <c r="G112">
        <v>40</v>
      </c>
      <c r="H112">
        <v>7</v>
      </c>
      <c r="I112">
        <v>208</v>
      </c>
      <c r="J112">
        <v>20</v>
      </c>
      <c r="K112">
        <v>157</v>
      </c>
      <c r="L112">
        <v>81.569999999999993</v>
      </c>
      <c r="M112">
        <v>96.2</v>
      </c>
      <c r="N112">
        <v>11.3</v>
      </c>
      <c r="O112">
        <v>10.87</v>
      </c>
      <c r="P112">
        <v>11.05</v>
      </c>
      <c r="Q112">
        <v>18</v>
      </c>
    </row>
    <row r="113" spans="1:17" x14ac:dyDescent="0.35">
      <c r="A113">
        <v>3.9</v>
      </c>
      <c r="B113" s="9" t="s">
        <v>45</v>
      </c>
      <c r="C113">
        <v>432</v>
      </c>
      <c r="D113">
        <v>184</v>
      </c>
      <c r="E113">
        <v>215</v>
      </c>
      <c r="F113">
        <v>177</v>
      </c>
      <c r="G113">
        <v>38</v>
      </c>
      <c r="H113">
        <v>7</v>
      </c>
      <c r="I113">
        <v>210</v>
      </c>
      <c r="J113">
        <v>12</v>
      </c>
      <c r="K113">
        <v>165</v>
      </c>
      <c r="L113">
        <v>82.33</v>
      </c>
      <c r="M113">
        <v>96.2</v>
      </c>
      <c r="N113">
        <v>6.78</v>
      </c>
      <c r="O113">
        <v>6.52</v>
      </c>
      <c r="P113">
        <v>10.53</v>
      </c>
      <c r="Q113">
        <v>18</v>
      </c>
    </row>
    <row r="114" spans="1:17" x14ac:dyDescent="0.35">
      <c r="A114">
        <v>3.95</v>
      </c>
      <c r="B114" s="9" t="s">
        <v>45</v>
      </c>
      <c r="C114">
        <v>432</v>
      </c>
      <c r="D114">
        <v>184</v>
      </c>
      <c r="E114">
        <v>212</v>
      </c>
      <c r="F114">
        <v>177</v>
      </c>
      <c r="G114">
        <v>35</v>
      </c>
      <c r="H114">
        <v>7</v>
      </c>
      <c r="I114">
        <v>213</v>
      </c>
      <c r="J114">
        <v>8</v>
      </c>
      <c r="K114">
        <v>169</v>
      </c>
      <c r="L114">
        <v>83.49</v>
      </c>
      <c r="M114">
        <v>96.2</v>
      </c>
      <c r="N114">
        <v>4.5199999999999996</v>
      </c>
      <c r="O114">
        <v>4.3499999999999996</v>
      </c>
      <c r="P114">
        <v>10.23</v>
      </c>
      <c r="Q114">
        <v>18</v>
      </c>
    </row>
    <row r="115" spans="1:17" x14ac:dyDescent="0.35">
      <c r="A115">
        <v>4</v>
      </c>
      <c r="B115" s="9" t="s">
        <v>45</v>
      </c>
      <c r="C115">
        <v>432</v>
      </c>
      <c r="D115">
        <v>184</v>
      </c>
      <c r="E115">
        <v>209</v>
      </c>
      <c r="F115">
        <v>177</v>
      </c>
      <c r="G115">
        <v>32</v>
      </c>
      <c r="H115">
        <v>7</v>
      </c>
      <c r="I115">
        <v>216</v>
      </c>
      <c r="J115">
        <v>7</v>
      </c>
      <c r="K115">
        <v>170</v>
      </c>
      <c r="L115">
        <v>84.69</v>
      </c>
      <c r="M115">
        <v>96.2</v>
      </c>
      <c r="N115">
        <v>3.95</v>
      </c>
      <c r="O115">
        <v>3.8</v>
      </c>
      <c r="P115">
        <v>9.23</v>
      </c>
      <c r="Q115">
        <v>18</v>
      </c>
    </row>
  </sheetData>
  <phoneticPr fontId="6"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76C91-15ED-4DE3-A6E9-34497E6C6EAC}">
  <dimension ref="A1:F9"/>
  <sheetViews>
    <sheetView workbookViewId="0"/>
  </sheetViews>
  <sheetFormatPr defaultRowHeight="14.5" x14ac:dyDescent="0.35"/>
  <cols>
    <col min="1" max="1" width="20.1796875" bestFit="1" customWidth="1"/>
    <col min="2" max="2" width="12.90625" bestFit="1" customWidth="1"/>
    <col min="3" max="3" width="14.7265625" bestFit="1" customWidth="1"/>
    <col min="4" max="4" width="11.08984375" bestFit="1" customWidth="1"/>
    <col min="5" max="5" width="7.1796875" bestFit="1" customWidth="1"/>
    <col min="6" max="6" width="80.7265625" bestFit="1" customWidth="1"/>
  </cols>
  <sheetData>
    <row r="1" spans="1:6" s="3" customFormat="1" x14ac:dyDescent="0.35">
      <c r="A1" s="3" t="s">
        <v>670</v>
      </c>
      <c r="B1" s="3" t="s">
        <v>674</v>
      </c>
      <c r="C1" s="3" t="s">
        <v>675</v>
      </c>
      <c r="D1" s="3" t="s">
        <v>676</v>
      </c>
      <c r="E1" s="3" t="s">
        <v>677</v>
      </c>
      <c r="F1" s="3" t="s">
        <v>679</v>
      </c>
    </row>
    <row r="2" spans="1:6" x14ac:dyDescent="0.35">
      <c r="A2" s="9" t="s">
        <v>680</v>
      </c>
      <c r="B2">
        <v>70</v>
      </c>
      <c r="C2">
        <v>50</v>
      </c>
      <c r="D2" s="9" t="s">
        <v>681</v>
      </c>
      <c r="E2" s="9" t="s">
        <v>682</v>
      </c>
      <c r="F2" s="9" t="s">
        <v>684</v>
      </c>
    </row>
    <row r="3" spans="1:6" x14ac:dyDescent="0.35">
      <c r="A3" s="9" t="s">
        <v>685</v>
      </c>
      <c r="B3">
        <v>85</v>
      </c>
      <c r="C3">
        <v>75</v>
      </c>
      <c r="D3" s="9" t="s">
        <v>681</v>
      </c>
      <c r="E3" s="9" t="s">
        <v>682</v>
      </c>
      <c r="F3" s="9" t="s">
        <v>687</v>
      </c>
    </row>
    <row r="4" spans="1:6" x14ac:dyDescent="0.35">
      <c r="A4" s="9" t="s">
        <v>658</v>
      </c>
      <c r="B4">
        <v>100</v>
      </c>
      <c r="C4">
        <v>95</v>
      </c>
      <c r="D4" s="9" t="s">
        <v>681</v>
      </c>
      <c r="E4" s="9" t="s">
        <v>682</v>
      </c>
      <c r="F4" s="9" t="s">
        <v>689</v>
      </c>
    </row>
    <row r="5" spans="1:6" x14ac:dyDescent="0.35">
      <c r="A5" s="9" t="s">
        <v>690</v>
      </c>
      <c r="B5">
        <v>0</v>
      </c>
      <c r="C5">
        <v>2</v>
      </c>
      <c r="D5" s="9" t="s">
        <v>691</v>
      </c>
      <c r="E5" s="9" t="s">
        <v>692</v>
      </c>
      <c r="F5" s="9" t="s">
        <v>693</v>
      </c>
    </row>
    <row r="6" spans="1:6" x14ac:dyDescent="0.35">
      <c r="A6" s="9" t="s">
        <v>694</v>
      </c>
      <c r="B6">
        <v>75</v>
      </c>
      <c r="C6">
        <v>60</v>
      </c>
      <c r="D6" s="9" t="s">
        <v>681</v>
      </c>
      <c r="E6" s="9" t="s">
        <v>682</v>
      </c>
      <c r="F6" s="9" t="s">
        <v>695</v>
      </c>
    </row>
    <row r="7" spans="1:6" x14ac:dyDescent="0.35">
      <c r="A7" s="9" t="s">
        <v>696</v>
      </c>
      <c r="B7">
        <v>80</v>
      </c>
      <c r="C7">
        <v>65</v>
      </c>
      <c r="D7" s="9" t="s">
        <v>681</v>
      </c>
      <c r="E7" s="9" t="s">
        <v>682</v>
      </c>
      <c r="F7" s="9" t="s">
        <v>697</v>
      </c>
    </row>
    <row r="8" spans="1:6" x14ac:dyDescent="0.35">
      <c r="A8" s="9" t="s">
        <v>659</v>
      </c>
      <c r="B8">
        <v>100</v>
      </c>
      <c r="C8">
        <v>95</v>
      </c>
      <c r="D8" s="9" t="s">
        <v>681</v>
      </c>
      <c r="E8" s="9" t="s">
        <v>682</v>
      </c>
      <c r="F8" s="9" t="s">
        <v>698</v>
      </c>
    </row>
    <row r="9" spans="1:6" x14ac:dyDescent="0.35">
      <c r="A9" s="9" t="s">
        <v>663</v>
      </c>
      <c r="B9">
        <v>15</v>
      </c>
      <c r="C9">
        <v>25</v>
      </c>
      <c r="D9" s="9" t="s">
        <v>691</v>
      </c>
      <c r="E9" s="9" t="s">
        <v>682</v>
      </c>
      <c r="F9" s="9" t="s">
        <v>699</v>
      </c>
    </row>
  </sheetData>
  <phoneticPr fontId="6"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FDB0-AFF2-4985-A739-BF3E256B5A84}">
  <dimension ref="A1:E7"/>
  <sheetViews>
    <sheetView workbookViewId="0"/>
  </sheetViews>
  <sheetFormatPr defaultRowHeight="14.5" x14ac:dyDescent="0.35"/>
  <cols>
    <col min="1" max="1" width="12.90625" bestFit="1" customWidth="1"/>
    <col min="2" max="2" width="16.453125" bestFit="1" customWidth="1"/>
    <col min="3" max="3" width="19.08984375" bestFit="1" customWidth="1"/>
    <col min="4" max="4" width="20.90625" bestFit="1" customWidth="1"/>
    <col min="5" max="5" width="80.7265625" bestFit="1" customWidth="1"/>
  </cols>
  <sheetData>
    <row r="1" spans="1:5" s="3" customFormat="1" x14ac:dyDescent="0.35">
      <c r="A1" s="3" t="s">
        <v>714</v>
      </c>
      <c r="B1" s="3" t="s">
        <v>715</v>
      </c>
      <c r="C1" s="3" t="s">
        <v>716</v>
      </c>
      <c r="D1" s="3" t="s">
        <v>717</v>
      </c>
      <c r="E1" s="3" t="s">
        <v>718</v>
      </c>
    </row>
    <row r="2" spans="1:5" x14ac:dyDescent="0.35">
      <c r="A2" s="9" t="s">
        <v>719</v>
      </c>
      <c r="B2">
        <v>2.4</v>
      </c>
      <c r="C2">
        <v>0.06</v>
      </c>
      <c r="D2">
        <v>8.5000000000000006E-3</v>
      </c>
      <c r="E2" s="9" t="s">
        <v>720</v>
      </c>
    </row>
    <row r="3" spans="1:5" x14ac:dyDescent="0.35">
      <c r="A3" s="9" t="s">
        <v>721</v>
      </c>
      <c r="B3">
        <v>2.0499999999999998</v>
      </c>
      <c r="C3">
        <v>0.04</v>
      </c>
      <c r="D3">
        <v>1.0999999999999999E-2</v>
      </c>
      <c r="E3" s="9" t="s">
        <v>722</v>
      </c>
    </row>
    <row r="4" spans="1:5" x14ac:dyDescent="0.35">
      <c r="A4" s="9" t="s">
        <v>723</v>
      </c>
      <c r="B4">
        <v>1.85</v>
      </c>
      <c r="C4">
        <v>7.0000000000000007E-2</v>
      </c>
      <c r="D4">
        <v>6.0000000000000001E-3</v>
      </c>
      <c r="E4" s="9" t="s">
        <v>724</v>
      </c>
    </row>
    <row r="5" spans="1:5" x14ac:dyDescent="0.35">
      <c r="A5" s="9" t="s">
        <v>725</v>
      </c>
      <c r="B5">
        <v>1.35</v>
      </c>
      <c r="C5">
        <v>5.5E-2</v>
      </c>
      <c r="D5">
        <v>4.0000000000000001E-3</v>
      </c>
      <c r="E5" s="9" t="s">
        <v>726</v>
      </c>
    </row>
    <row r="6" spans="1:5" x14ac:dyDescent="0.35">
      <c r="A6" s="9" t="s">
        <v>727</v>
      </c>
      <c r="B6">
        <v>1.1499999999999999</v>
      </c>
      <c r="C6">
        <v>9.5000000000000001E-2</v>
      </c>
      <c r="D6">
        <v>1E-3</v>
      </c>
      <c r="E6" s="9" t="s">
        <v>728</v>
      </c>
    </row>
    <row r="7" spans="1:5" x14ac:dyDescent="0.35">
      <c r="A7" s="9" t="s">
        <v>154</v>
      </c>
      <c r="B7">
        <v>1</v>
      </c>
      <c r="C7">
        <v>0.02</v>
      </c>
      <c r="D7">
        <v>0</v>
      </c>
      <c r="E7" s="9" t="s">
        <v>729</v>
      </c>
    </row>
  </sheetData>
  <phoneticPr fontId="6"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92626-6C97-4F31-902F-8D514847FC6D}">
  <dimension ref="A1:E7"/>
  <sheetViews>
    <sheetView workbookViewId="0"/>
  </sheetViews>
  <sheetFormatPr defaultRowHeight="14.5" x14ac:dyDescent="0.35"/>
  <cols>
    <col min="1" max="1" width="17.36328125" bestFit="1" customWidth="1"/>
    <col min="2" max="2" width="19.26953125" bestFit="1" customWidth="1"/>
    <col min="3" max="3" width="19.7265625" bestFit="1" customWidth="1"/>
    <col min="4" max="4" width="14.81640625" bestFit="1" customWidth="1"/>
    <col min="5" max="5" width="80.7265625" bestFit="1" customWidth="1"/>
  </cols>
  <sheetData>
    <row r="1" spans="1:5" s="3" customFormat="1" x14ac:dyDescent="0.35">
      <c r="A1" s="3" t="s">
        <v>18</v>
      </c>
      <c r="B1" s="3" t="s">
        <v>32</v>
      </c>
      <c r="C1" s="3" t="s">
        <v>33</v>
      </c>
      <c r="D1" s="3" t="s">
        <v>730</v>
      </c>
      <c r="E1" s="3" t="s">
        <v>731</v>
      </c>
    </row>
    <row r="2" spans="1:5" x14ac:dyDescent="0.35">
      <c r="A2" s="9" t="s">
        <v>86</v>
      </c>
      <c r="B2">
        <v>400</v>
      </c>
      <c r="C2">
        <v>400</v>
      </c>
      <c r="D2">
        <v>1.05</v>
      </c>
      <c r="E2" s="9" t="s">
        <v>732</v>
      </c>
    </row>
    <row r="3" spans="1:5" x14ac:dyDescent="0.35">
      <c r="A3" s="9" t="s">
        <v>53</v>
      </c>
      <c r="B3">
        <v>120</v>
      </c>
      <c r="C3">
        <v>120</v>
      </c>
      <c r="D3">
        <v>1.8</v>
      </c>
      <c r="E3" s="9" t="s">
        <v>733</v>
      </c>
    </row>
    <row r="4" spans="1:5" x14ac:dyDescent="0.35">
      <c r="A4" s="9" t="s">
        <v>69</v>
      </c>
      <c r="B4">
        <v>300</v>
      </c>
      <c r="C4">
        <v>300</v>
      </c>
      <c r="D4">
        <v>1.4</v>
      </c>
      <c r="E4" s="9" t="s">
        <v>734</v>
      </c>
    </row>
    <row r="5" spans="1:5" x14ac:dyDescent="0.35">
      <c r="A5" s="9" t="s">
        <v>127</v>
      </c>
      <c r="B5">
        <v>250</v>
      </c>
      <c r="C5">
        <v>250</v>
      </c>
      <c r="D5">
        <v>3.1</v>
      </c>
      <c r="E5" s="9" t="s">
        <v>735</v>
      </c>
    </row>
    <row r="6" spans="1:5" x14ac:dyDescent="0.35">
      <c r="A6" s="9" t="s">
        <v>64</v>
      </c>
      <c r="B6">
        <v>200</v>
      </c>
      <c r="C6">
        <v>200</v>
      </c>
      <c r="D6">
        <v>2.1</v>
      </c>
      <c r="E6" s="9" t="s">
        <v>736</v>
      </c>
    </row>
    <row r="7" spans="1:5" x14ac:dyDescent="0.35">
      <c r="A7" s="9" t="s">
        <v>45</v>
      </c>
      <c r="B7">
        <v>150</v>
      </c>
      <c r="C7">
        <v>150</v>
      </c>
      <c r="D7">
        <v>2.6</v>
      </c>
      <c r="E7" s="9" t="s">
        <v>737</v>
      </c>
    </row>
  </sheetData>
  <phoneticPr fontId="6"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C5B6D-9AF0-45BA-84EB-E8E085C42473}">
  <dimension ref="A1:C97"/>
  <sheetViews>
    <sheetView workbookViewId="0"/>
  </sheetViews>
  <sheetFormatPr defaultRowHeight="14.5" x14ac:dyDescent="0.35"/>
  <cols>
    <col min="1" max="1" width="15.54296875" bestFit="1" customWidth="1"/>
    <col min="2" max="2" width="18.54296875" bestFit="1" customWidth="1"/>
    <col min="3" max="3" width="13.08984375" bestFit="1" customWidth="1"/>
  </cols>
  <sheetData>
    <row r="1" spans="1:3" s="3" customFormat="1" x14ac:dyDescent="0.35">
      <c r="A1" s="3" t="s">
        <v>738</v>
      </c>
      <c r="B1" s="3" t="s">
        <v>670</v>
      </c>
      <c r="C1" s="3" t="s">
        <v>671</v>
      </c>
    </row>
    <row r="2" spans="1:3" x14ac:dyDescent="0.35">
      <c r="A2" s="6"/>
      <c r="B2" s="9" t="s">
        <v>658</v>
      </c>
      <c r="C2">
        <v>99.5</v>
      </c>
    </row>
    <row r="3" spans="1:3" x14ac:dyDescent="0.35">
      <c r="A3" s="6"/>
      <c r="B3" s="9" t="s">
        <v>690</v>
      </c>
      <c r="C3">
        <v>109</v>
      </c>
    </row>
    <row r="4" spans="1:3" x14ac:dyDescent="0.35">
      <c r="A4" s="6"/>
      <c r="B4" s="9" t="s">
        <v>659</v>
      </c>
      <c r="C4">
        <v>69.92</v>
      </c>
    </row>
    <row r="5" spans="1:3" x14ac:dyDescent="0.35">
      <c r="A5" s="6"/>
      <c r="B5" s="9" t="s">
        <v>663</v>
      </c>
      <c r="C5">
        <v>57.14</v>
      </c>
    </row>
    <row r="6" spans="1:3" x14ac:dyDescent="0.35">
      <c r="A6" s="6"/>
      <c r="B6" s="9" t="s">
        <v>658</v>
      </c>
      <c r="C6">
        <v>100</v>
      </c>
    </row>
    <row r="7" spans="1:3" x14ac:dyDescent="0.35">
      <c r="A7" s="6"/>
      <c r="B7" s="9" t="s">
        <v>690</v>
      </c>
      <c r="C7">
        <v>94</v>
      </c>
    </row>
    <row r="8" spans="1:3" x14ac:dyDescent="0.35">
      <c r="A8" s="6"/>
      <c r="B8" s="9" t="s">
        <v>659</v>
      </c>
      <c r="C8">
        <v>71.930000000000007</v>
      </c>
    </row>
    <row r="9" spans="1:3" x14ac:dyDescent="0.35">
      <c r="A9" s="6"/>
      <c r="B9" s="9" t="s">
        <v>663</v>
      </c>
      <c r="C9">
        <v>48.54</v>
      </c>
    </row>
    <row r="10" spans="1:3" x14ac:dyDescent="0.35">
      <c r="A10" s="6"/>
      <c r="B10" s="9" t="s">
        <v>658</v>
      </c>
      <c r="C10">
        <v>100</v>
      </c>
    </row>
    <row r="11" spans="1:3" x14ac:dyDescent="0.35">
      <c r="A11" s="6"/>
      <c r="B11" s="9" t="s">
        <v>690</v>
      </c>
      <c r="C11">
        <v>106</v>
      </c>
    </row>
    <row r="12" spans="1:3" x14ac:dyDescent="0.35">
      <c r="A12" s="6"/>
      <c r="B12" s="9" t="s">
        <v>659</v>
      </c>
      <c r="C12">
        <v>68.09</v>
      </c>
    </row>
    <row r="13" spans="1:3" x14ac:dyDescent="0.35">
      <c r="A13" s="6"/>
      <c r="B13" s="9" t="s">
        <v>663</v>
      </c>
      <c r="C13">
        <v>48.33</v>
      </c>
    </row>
    <row r="14" spans="1:3" x14ac:dyDescent="0.35">
      <c r="A14" s="6"/>
      <c r="B14" s="9" t="s">
        <v>658</v>
      </c>
      <c r="C14">
        <v>99</v>
      </c>
    </row>
    <row r="15" spans="1:3" x14ac:dyDescent="0.35">
      <c r="A15" s="6"/>
      <c r="B15" s="9" t="s">
        <v>690</v>
      </c>
      <c r="C15">
        <v>98</v>
      </c>
    </row>
    <row r="16" spans="1:3" x14ac:dyDescent="0.35">
      <c r="A16" s="6"/>
      <c r="B16" s="9" t="s">
        <v>659</v>
      </c>
      <c r="C16">
        <v>69.17</v>
      </c>
    </row>
    <row r="17" spans="1:3" x14ac:dyDescent="0.35">
      <c r="A17" s="6"/>
      <c r="B17" s="9" t="s">
        <v>663</v>
      </c>
      <c r="C17">
        <v>45</v>
      </c>
    </row>
    <row r="18" spans="1:3" x14ac:dyDescent="0.35">
      <c r="A18" s="6"/>
      <c r="B18" s="9" t="s">
        <v>658</v>
      </c>
      <c r="C18">
        <v>100</v>
      </c>
    </row>
    <row r="19" spans="1:3" x14ac:dyDescent="0.35">
      <c r="A19" s="6"/>
      <c r="B19" s="9" t="s">
        <v>690</v>
      </c>
      <c r="C19">
        <v>104</v>
      </c>
    </row>
    <row r="20" spans="1:3" x14ac:dyDescent="0.35">
      <c r="A20" s="6"/>
      <c r="B20" s="9" t="s">
        <v>659</v>
      </c>
      <c r="C20">
        <v>66.67</v>
      </c>
    </row>
    <row r="21" spans="1:3" x14ac:dyDescent="0.35">
      <c r="A21" s="6"/>
      <c r="B21" s="9" t="s">
        <v>663</v>
      </c>
      <c r="C21">
        <v>44.25</v>
      </c>
    </row>
    <row r="22" spans="1:3" x14ac:dyDescent="0.35">
      <c r="A22" s="6"/>
      <c r="B22" s="9" t="s">
        <v>658</v>
      </c>
      <c r="C22">
        <v>100</v>
      </c>
    </row>
    <row r="23" spans="1:3" x14ac:dyDescent="0.35">
      <c r="A23" s="6"/>
      <c r="B23" s="9" t="s">
        <v>690</v>
      </c>
      <c r="C23">
        <v>115</v>
      </c>
    </row>
    <row r="24" spans="1:3" x14ac:dyDescent="0.35">
      <c r="A24" s="6"/>
      <c r="B24" s="9" t="s">
        <v>659</v>
      </c>
      <c r="C24">
        <v>62.75</v>
      </c>
    </row>
    <row r="25" spans="1:3" x14ac:dyDescent="0.35">
      <c r="A25" s="6"/>
      <c r="B25" s="9" t="s">
        <v>663</v>
      </c>
      <c r="C25">
        <v>42.86</v>
      </c>
    </row>
    <row r="26" spans="1:3" x14ac:dyDescent="0.35">
      <c r="A26" s="6"/>
      <c r="B26" s="9" t="s">
        <v>658</v>
      </c>
      <c r="C26">
        <v>100</v>
      </c>
    </row>
    <row r="27" spans="1:3" x14ac:dyDescent="0.35">
      <c r="A27" s="6"/>
      <c r="B27" s="9" t="s">
        <v>690</v>
      </c>
      <c r="C27">
        <v>114</v>
      </c>
    </row>
    <row r="28" spans="1:3" x14ac:dyDescent="0.35">
      <c r="A28" s="6"/>
      <c r="B28" s="9" t="s">
        <v>659</v>
      </c>
      <c r="C28">
        <v>61.85</v>
      </c>
    </row>
    <row r="29" spans="1:3" x14ac:dyDescent="0.35">
      <c r="A29" s="6"/>
      <c r="B29" s="9" t="s">
        <v>663</v>
      </c>
      <c r="C29">
        <v>40.32</v>
      </c>
    </row>
    <row r="30" spans="1:3" x14ac:dyDescent="0.35">
      <c r="A30" s="6"/>
      <c r="B30" s="9" t="s">
        <v>658</v>
      </c>
      <c r="C30">
        <v>100</v>
      </c>
    </row>
    <row r="31" spans="1:3" x14ac:dyDescent="0.35">
      <c r="A31" s="6"/>
      <c r="B31" s="9" t="s">
        <v>690</v>
      </c>
      <c r="C31">
        <v>109</v>
      </c>
    </row>
    <row r="32" spans="1:3" x14ac:dyDescent="0.35">
      <c r="A32" s="6"/>
      <c r="B32" s="9" t="s">
        <v>659</v>
      </c>
      <c r="C32">
        <v>63</v>
      </c>
    </row>
    <row r="33" spans="1:3" x14ac:dyDescent="0.35">
      <c r="A33" s="6"/>
      <c r="B33" s="9" t="s">
        <v>663</v>
      </c>
      <c r="C33">
        <v>39.04</v>
      </c>
    </row>
    <row r="34" spans="1:3" x14ac:dyDescent="0.35">
      <c r="A34" s="6"/>
      <c r="B34" s="9" t="s">
        <v>658</v>
      </c>
      <c r="C34">
        <v>100</v>
      </c>
    </row>
    <row r="35" spans="1:3" x14ac:dyDescent="0.35">
      <c r="A35" s="6"/>
      <c r="B35" s="9" t="s">
        <v>690</v>
      </c>
      <c r="C35">
        <v>106</v>
      </c>
    </row>
    <row r="36" spans="1:3" x14ac:dyDescent="0.35">
      <c r="A36" s="6"/>
      <c r="B36" s="9" t="s">
        <v>659</v>
      </c>
      <c r="C36">
        <v>63.84</v>
      </c>
    </row>
    <row r="37" spans="1:3" x14ac:dyDescent="0.35">
      <c r="A37" s="6"/>
      <c r="B37" s="9" t="s">
        <v>663</v>
      </c>
      <c r="C37">
        <v>36.770000000000003</v>
      </c>
    </row>
    <row r="38" spans="1:3" x14ac:dyDescent="0.35">
      <c r="A38" s="6"/>
      <c r="B38" s="9" t="s">
        <v>658</v>
      </c>
      <c r="C38">
        <v>100</v>
      </c>
    </row>
    <row r="39" spans="1:3" x14ac:dyDescent="0.35">
      <c r="A39" s="6"/>
      <c r="B39" s="9" t="s">
        <v>690</v>
      </c>
      <c r="C39">
        <v>96</v>
      </c>
    </row>
    <row r="40" spans="1:3" x14ac:dyDescent="0.35">
      <c r="A40" s="6"/>
      <c r="B40" s="9" t="s">
        <v>659</v>
      </c>
      <c r="C40">
        <v>65.42</v>
      </c>
    </row>
    <row r="41" spans="1:3" x14ac:dyDescent="0.35">
      <c r="A41" s="6"/>
      <c r="B41" s="9" t="s">
        <v>663</v>
      </c>
      <c r="C41">
        <v>35.92</v>
      </c>
    </row>
    <row r="42" spans="1:3" x14ac:dyDescent="0.35">
      <c r="A42" s="6"/>
      <c r="B42" s="9" t="s">
        <v>658</v>
      </c>
      <c r="C42">
        <v>99.75</v>
      </c>
    </row>
    <row r="43" spans="1:3" x14ac:dyDescent="0.35">
      <c r="A43" s="6"/>
      <c r="B43" s="9" t="s">
        <v>690</v>
      </c>
      <c r="C43">
        <v>106</v>
      </c>
    </row>
    <row r="44" spans="1:3" x14ac:dyDescent="0.35">
      <c r="A44" s="6"/>
      <c r="B44" s="9" t="s">
        <v>659</v>
      </c>
      <c r="C44">
        <v>62.69</v>
      </c>
    </row>
    <row r="45" spans="1:3" x14ac:dyDescent="0.35">
      <c r="A45" s="6"/>
      <c r="B45" s="9" t="s">
        <v>663</v>
      </c>
      <c r="C45">
        <v>36.51</v>
      </c>
    </row>
    <row r="46" spans="1:3" x14ac:dyDescent="0.35">
      <c r="A46" s="6"/>
      <c r="B46" s="9" t="s">
        <v>658</v>
      </c>
      <c r="C46">
        <v>99.74</v>
      </c>
    </row>
    <row r="47" spans="1:3" x14ac:dyDescent="0.35">
      <c r="A47" s="6"/>
      <c r="B47" s="9" t="s">
        <v>690</v>
      </c>
      <c r="C47">
        <v>100</v>
      </c>
    </row>
    <row r="48" spans="1:3" x14ac:dyDescent="0.35">
      <c r="A48" s="6"/>
      <c r="B48" s="9" t="s">
        <v>659</v>
      </c>
      <c r="C48">
        <v>65.040000000000006</v>
      </c>
    </row>
    <row r="49" spans="1:3" x14ac:dyDescent="0.35">
      <c r="A49" s="6"/>
      <c r="B49" s="9" t="s">
        <v>663</v>
      </c>
      <c r="C49">
        <v>35.799999999999997</v>
      </c>
    </row>
    <row r="50" spans="1:3" x14ac:dyDescent="0.35">
      <c r="A50" s="6"/>
      <c r="B50" s="9" t="s">
        <v>658</v>
      </c>
      <c r="C50">
        <v>100</v>
      </c>
    </row>
    <row r="51" spans="1:3" x14ac:dyDescent="0.35">
      <c r="A51" s="6"/>
      <c r="B51" s="9" t="s">
        <v>690</v>
      </c>
      <c r="C51">
        <v>85</v>
      </c>
    </row>
    <row r="52" spans="1:3" x14ac:dyDescent="0.35">
      <c r="A52" s="6"/>
      <c r="B52" s="9" t="s">
        <v>659</v>
      </c>
      <c r="C52">
        <v>69.23</v>
      </c>
    </row>
    <row r="53" spans="1:3" x14ac:dyDescent="0.35">
      <c r="A53" s="6"/>
      <c r="B53" s="9" t="s">
        <v>663</v>
      </c>
      <c r="C53">
        <v>33.590000000000003</v>
      </c>
    </row>
    <row r="54" spans="1:3" x14ac:dyDescent="0.35">
      <c r="A54" s="6"/>
      <c r="B54" s="9" t="s">
        <v>658</v>
      </c>
      <c r="C54">
        <v>99.74</v>
      </c>
    </row>
    <row r="55" spans="1:3" x14ac:dyDescent="0.35">
      <c r="A55" s="6"/>
      <c r="B55" s="9" t="s">
        <v>690</v>
      </c>
      <c r="C55">
        <v>98</v>
      </c>
    </row>
    <row r="56" spans="1:3" x14ac:dyDescent="0.35">
      <c r="A56" s="6"/>
      <c r="B56" s="9" t="s">
        <v>659</v>
      </c>
      <c r="C56">
        <v>65.38</v>
      </c>
    </row>
    <row r="57" spans="1:3" x14ac:dyDescent="0.35">
      <c r="A57" s="6"/>
      <c r="B57" s="9" t="s">
        <v>663</v>
      </c>
      <c r="C57">
        <v>33.590000000000003</v>
      </c>
    </row>
    <row r="58" spans="1:3" x14ac:dyDescent="0.35">
      <c r="A58" s="6"/>
      <c r="B58" s="9" t="s">
        <v>658</v>
      </c>
      <c r="C58">
        <v>100</v>
      </c>
    </row>
    <row r="59" spans="1:3" x14ac:dyDescent="0.35">
      <c r="A59" s="6"/>
      <c r="B59" s="9" t="s">
        <v>690</v>
      </c>
      <c r="C59">
        <v>107</v>
      </c>
    </row>
    <row r="60" spans="1:3" x14ac:dyDescent="0.35">
      <c r="A60" s="6"/>
      <c r="B60" s="9" t="s">
        <v>659</v>
      </c>
      <c r="C60">
        <v>63.59</v>
      </c>
    </row>
    <row r="61" spans="1:3" x14ac:dyDescent="0.35">
      <c r="A61" s="6"/>
      <c r="B61" s="9" t="s">
        <v>663</v>
      </c>
      <c r="C61">
        <v>33.46</v>
      </c>
    </row>
    <row r="62" spans="1:3" x14ac:dyDescent="0.35">
      <c r="A62" s="6"/>
      <c r="B62" s="9" t="s">
        <v>658</v>
      </c>
      <c r="C62">
        <v>100</v>
      </c>
    </row>
    <row r="63" spans="1:3" x14ac:dyDescent="0.35">
      <c r="A63" s="6"/>
      <c r="B63" s="9" t="s">
        <v>690</v>
      </c>
      <c r="C63">
        <v>96</v>
      </c>
    </row>
    <row r="64" spans="1:3" x14ac:dyDescent="0.35">
      <c r="A64" s="6"/>
      <c r="B64" s="9" t="s">
        <v>659</v>
      </c>
      <c r="C64">
        <v>66.31</v>
      </c>
    </row>
    <row r="65" spans="1:3" x14ac:dyDescent="0.35">
      <c r="A65" s="6"/>
      <c r="B65" s="9" t="s">
        <v>663</v>
      </c>
      <c r="C65">
        <v>32.68</v>
      </c>
    </row>
    <row r="66" spans="1:3" x14ac:dyDescent="0.35">
      <c r="A66" s="6"/>
      <c r="B66" s="9" t="s">
        <v>658</v>
      </c>
      <c r="C66">
        <v>100</v>
      </c>
    </row>
    <row r="67" spans="1:3" x14ac:dyDescent="0.35">
      <c r="A67" s="6"/>
      <c r="B67" s="9" t="s">
        <v>690</v>
      </c>
      <c r="C67">
        <v>90</v>
      </c>
    </row>
    <row r="68" spans="1:3" x14ac:dyDescent="0.35">
      <c r="A68" s="6"/>
      <c r="B68" s="9" t="s">
        <v>659</v>
      </c>
      <c r="C68">
        <v>68.97</v>
      </c>
    </row>
    <row r="69" spans="1:3" x14ac:dyDescent="0.35">
      <c r="A69" s="6"/>
      <c r="B69" s="9" t="s">
        <v>663</v>
      </c>
      <c r="C69">
        <v>32.9</v>
      </c>
    </row>
    <row r="70" spans="1:3" x14ac:dyDescent="0.35">
      <c r="A70" s="6"/>
      <c r="B70" s="9" t="s">
        <v>658</v>
      </c>
      <c r="C70">
        <v>100</v>
      </c>
    </row>
    <row r="71" spans="1:3" x14ac:dyDescent="0.35">
      <c r="A71" s="6"/>
      <c r="B71" s="9" t="s">
        <v>690</v>
      </c>
      <c r="C71">
        <v>77</v>
      </c>
    </row>
    <row r="72" spans="1:3" x14ac:dyDescent="0.35">
      <c r="A72" s="6"/>
      <c r="B72" s="9" t="s">
        <v>659</v>
      </c>
      <c r="C72">
        <v>71.98</v>
      </c>
    </row>
    <row r="73" spans="1:3" x14ac:dyDescent="0.35">
      <c r="A73" s="6"/>
      <c r="B73" s="9" t="s">
        <v>663</v>
      </c>
      <c r="C73">
        <v>34.090000000000003</v>
      </c>
    </row>
    <row r="74" spans="1:3" x14ac:dyDescent="0.35">
      <c r="A74" s="6"/>
      <c r="B74" s="9" t="s">
        <v>658</v>
      </c>
      <c r="C74">
        <v>99.73</v>
      </c>
    </row>
    <row r="75" spans="1:3" x14ac:dyDescent="0.35">
      <c r="A75" s="6"/>
      <c r="B75" s="9" t="s">
        <v>690</v>
      </c>
      <c r="C75">
        <v>80</v>
      </c>
    </row>
    <row r="76" spans="1:3" x14ac:dyDescent="0.35">
      <c r="A76" s="6"/>
      <c r="B76" s="9" t="s">
        <v>659</v>
      </c>
      <c r="C76">
        <v>72.25</v>
      </c>
    </row>
    <row r="77" spans="1:3" x14ac:dyDescent="0.35">
      <c r="A77" s="6"/>
      <c r="B77" s="9" t="s">
        <v>663</v>
      </c>
      <c r="C77">
        <v>34.17</v>
      </c>
    </row>
    <row r="78" spans="1:3" x14ac:dyDescent="0.35">
      <c r="A78" s="6"/>
      <c r="B78" s="9" t="s">
        <v>658</v>
      </c>
      <c r="C78">
        <v>100</v>
      </c>
    </row>
    <row r="79" spans="1:3" x14ac:dyDescent="0.35">
      <c r="A79" s="6"/>
      <c r="B79" s="9" t="s">
        <v>690</v>
      </c>
      <c r="C79">
        <v>83</v>
      </c>
    </row>
    <row r="80" spans="1:3" x14ac:dyDescent="0.35">
      <c r="A80" s="6"/>
      <c r="B80" s="9" t="s">
        <v>659</v>
      </c>
      <c r="C80">
        <v>71.7</v>
      </c>
    </row>
    <row r="81" spans="1:3" x14ac:dyDescent="0.35">
      <c r="A81" s="6"/>
      <c r="B81" s="9" t="s">
        <v>663</v>
      </c>
      <c r="C81">
        <v>33.86</v>
      </c>
    </row>
    <row r="82" spans="1:3" x14ac:dyDescent="0.35">
      <c r="A82" s="6"/>
      <c r="B82" s="9" t="s">
        <v>658</v>
      </c>
      <c r="C82">
        <v>99.73</v>
      </c>
    </row>
    <row r="83" spans="1:3" x14ac:dyDescent="0.35">
      <c r="A83" s="6"/>
      <c r="B83" s="9" t="s">
        <v>690</v>
      </c>
      <c r="C83">
        <v>98</v>
      </c>
    </row>
    <row r="84" spans="1:3" x14ac:dyDescent="0.35">
      <c r="A84" s="6"/>
      <c r="B84" s="9" t="s">
        <v>659</v>
      </c>
      <c r="C84">
        <v>67.86</v>
      </c>
    </row>
    <row r="85" spans="1:3" x14ac:dyDescent="0.35">
      <c r="A85" s="6"/>
      <c r="B85" s="9" t="s">
        <v>663</v>
      </c>
      <c r="C85">
        <v>34.92</v>
      </c>
    </row>
    <row r="86" spans="1:3" x14ac:dyDescent="0.35">
      <c r="A86" s="6"/>
      <c r="B86" s="9" t="s">
        <v>658</v>
      </c>
      <c r="C86">
        <v>100</v>
      </c>
    </row>
    <row r="87" spans="1:3" x14ac:dyDescent="0.35">
      <c r="A87" s="6"/>
      <c r="B87" s="9" t="s">
        <v>690</v>
      </c>
      <c r="C87">
        <v>89</v>
      </c>
    </row>
    <row r="88" spans="1:3" x14ac:dyDescent="0.35">
      <c r="A88" s="6"/>
      <c r="B88" s="9" t="s">
        <v>659</v>
      </c>
      <c r="C88">
        <v>69.510000000000005</v>
      </c>
    </row>
    <row r="89" spans="1:3" x14ac:dyDescent="0.35">
      <c r="A89" s="6"/>
      <c r="B89" s="9" t="s">
        <v>663</v>
      </c>
      <c r="C89">
        <v>36.82</v>
      </c>
    </row>
    <row r="90" spans="1:3" x14ac:dyDescent="0.35">
      <c r="A90" s="6"/>
      <c r="B90" s="9" t="s">
        <v>658</v>
      </c>
      <c r="C90">
        <v>99.45</v>
      </c>
    </row>
    <row r="91" spans="1:3" x14ac:dyDescent="0.35">
      <c r="A91" s="6"/>
      <c r="B91" s="9" t="s">
        <v>690</v>
      </c>
      <c r="C91">
        <v>96</v>
      </c>
    </row>
    <row r="92" spans="1:3" x14ac:dyDescent="0.35">
      <c r="A92" s="6"/>
      <c r="B92" s="9" t="s">
        <v>659</v>
      </c>
      <c r="C92">
        <v>67.03</v>
      </c>
    </row>
    <row r="93" spans="1:3" x14ac:dyDescent="0.35">
      <c r="A93" s="6"/>
      <c r="B93" s="9" t="s">
        <v>663</v>
      </c>
      <c r="C93">
        <v>36.19</v>
      </c>
    </row>
    <row r="94" spans="1:3" x14ac:dyDescent="0.35">
      <c r="A94" s="6"/>
      <c r="B94" s="9" t="s">
        <v>658</v>
      </c>
      <c r="C94">
        <v>99.73</v>
      </c>
    </row>
    <row r="95" spans="1:3" x14ac:dyDescent="0.35">
      <c r="A95" s="6"/>
      <c r="B95" s="9" t="s">
        <v>690</v>
      </c>
      <c r="C95">
        <v>90</v>
      </c>
    </row>
    <row r="96" spans="1:3" x14ac:dyDescent="0.35">
      <c r="A96" s="6"/>
      <c r="B96" s="9" t="s">
        <v>659</v>
      </c>
      <c r="C96">
        <v>68.41</v>
      </c>
    </row>
    <row r="97" spans="1:3" x14ac:dyDescent="0.35">
      <c r="A97" s="6"/>
      <c r="B97" s="9" t="s">
        <v>663</v>
      </c>
      <c r="C97">
        <v>36.130000000000003</v>
      </c>
    </row>
  </sheetData>
  <phoneticPr fontId="6"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3B2D0-E31E-4FD6-8A13-076B6E169770}">
  <dimension ref="A1:G74"/>
  <sheetViews>
    <sheetView workbookViewId="0"/>
  </sheetViews>
  <sheetFormatPr defaultRowHeight="14.5" x14ac:dyDescent="0.35"/>
  <cols>
    <col min="1" max="1" width="12.81640625" bestFit="1" customWidth="1"/>
    <col min="2" max="2" width="43.7265625" bestFit="1" customWidth="1"/>
    <col min="3" max="3" width="9.81640625" bestFit="1" customWidth="1"/>
    <col min="4" max="4" width="15.90625" bestFit="1" customWidth="1"/>
    <col min="5" max="5" width="17.1796875" bestFit="1" customWidth="1"/>
    <col min="6" max="6" width="80.7265625" bestFit="1" customWidth="1"/>
    <col min="7" max="7" width="19.81640625" bestFit="1" customWidth="1"/>
  </cols>
  <sheetData>
    <row r="1" spans="1:7" s="3" customFormat="1" x14ac:dyDescent="0.35">
      <c r="A1" s="3" t="s">
        <v>739</v>
      </c>
      <c r="B1" s="3" t="s">
        <v>740</v>
      </c>
      <c r="C1" s="3" t="s">
        <v>741</v>
      </c>
      <c r="D1" s="3" t="s">
        <v>742</v>
      </c>
      <c r="E1" s="3" t="s">
        <v>743</v>
      </c>
      <c r="F1" s="3" t="s">
        <v>744</v>
      </c>
      <c r="G1" s="3" t="s">
        <v>745</v>
      </c>
    </row>
    <row r="2" spans="1:7" x14ac:dyDescent="0.35">
      <c r="A2" s="9" t="s">
        <v>746</v>
      </c>
      <c r="B2" s="9" t="s">
        <v>747</v>
      </c>
      <c r="C2" s="9" t="s">
        <v>748</v>
      </c>
      <c r="D2" s="9" t="s">
        <v>749</v>
      </c>
      <c r="E2" s="9" t="s">
        <v>750</v>
      </c>
      <c r="F2" s="9" t="s">
        <v>751</v>
      </c>
      <c r="G2">
        <v>1</v>
      </c>
    </row>
    <row r="3" spans="1:7" x14ac:dyDescent="0.35">
      <c r="A3" s="9" t="s">
        <v>746</v>
      </c>
      <c r="B3" s="9" t="s">
        <v>747</v>
      </c>
      <c r="C3" s="9" t="s">
        <v>748</v>
      </c>
      <c r="D3" s="9" t="s">
        <v>749</v>
      </c>
      <c r="E3" s="9" t="s">
        <v>752</v>
      </c>
      <c r="F3" s="9" t="s">
        <v>751</v>
      </c>
      <c r="G3">
        <v>1</v>
      </c>
    </row>
    <row r="4" spans="1:7" x14ac:dyDescent="0.35">
      <c r="A4" s="9" t="s">
        <v>746</v>
      </c>
      <c r="B4" s="9" t="s">
        <v>747</v>
      </c>
      <c r="C4" s="9" t="s">
        <v>748</v>
      </c>
      <c r="D4" s="9" t="s">
        <v>749</v>
      </c>
      <c r="E4" s="9" t="s">
        <v>753</v>
      </c>
      <c r="F4" s="9" t="s">
        <v>754</v>
      </c>
      <c r="G4">
        <v>0</v>
      </c>
    </row>
    <row r="5" spans="1:7" x14ac:dyDescent="0.35">
      <c r="A5" s="9" t="s">
        <v>746</v>
      </c>
      <c r="B5" s="9" t="s">
        <v>747</v>
      </c>
      <c r="C5" s="9" t="s">
        <v>748</v>
      </c>
      <c r="D5" s="9" t="s">
        <v>749</v>
      </c>
      <c r="E5" s="9" t="s">
        <v>755</v>
      </c>
      <c r="F5" s="9" t="s">
        <v>754</v>
      </c>
      <c r="G5">
        <v>0</v>
      </c>
    </row>
    <row r="6" spans="1:7" x14ac:dyDescent="0.35">
      <c r="A6" s="9" t="s">
        <v>746</v>
      </c>
      <c r="B6" s="9" t="s">
        <v>747</v>
      </c>
      <c r="C6" s="9" t="s">
        <v>748</v>
      </c>
      <c r="D6" s="9" t="s">
        <v>749</v>
      </c>
      <c r="E6" s="9" t="s">
        <v>756</v>
      </c>
      <c r="F6" s="9" t="s">
        <v>757</v>
      </c>
      <c r="G6">
        <v>0</v>
      </c>
    </row>
    <row r="7" spans="1:7" x14ac:dyDescent="0.35">
      <c r="A7" s="9" t="s">
        <v>746</v>
      </c>
      <c r="B7" s="9" t="s">
        <v>747</v>
      </c>
      <c r="C7" s="9" t="s">
        <v>748</v>
      </c>
      <c r="D7" s="9" t="s">
        <v>749</v>
      </c>
      <c r="E7" s="9" t="s">
        <v>758</v>
      </c>
      <c r="F7" s="9" t="s">
        <v>757</v>
      </c>
      <c r="G7">
        <v>0</v>
      </c>
    </row>
    <row r="8" spans="1:7" x14ac:dyDescent="0.35">
      <c r="A8" s="9" t="s">
        <v>746</v>
      </c>
      <c r="B8" s="9" t="s">
        <v>747</v>
      </c>
      <c r="C8" s="9" t="s">
        <v>748</v>
      </c>
      <c r="D8" s="9" t="s">
        <v>749</v>
      </c>
      <c r="E8" s="9" t="s">
        <v>759</v>
      </c>
      <c r="F8" s="9" t="s">
        <v>760</v>
      </c>
      <c r="G8">
        <v>0</v>
      </c>
    </row>
    <row r="9" spans="1:7" x14ac:dyDescent="0.35">
      <c r="A9" s="9" t="s">
        <v>746</v>
      </c>
      <c r="B9" s="9" t="s">
        <v>747</v>
      </c>
      <c r="C9" s="9" t="s">
        <v>748</v>
      </c>
      <c r="D9" s="9" t="s">
        <v>749</v>
      </c>
      <c r="E9" s="9" t="s">
        <v>761</v>
      </c>
      <c r="F9" s="9" t="s">
        <v>760</v>
      </c>
      <c r="G9">
        <v>0</v>
      </c>
    </row>
    <row r="10" spans="1:7" x14ac:dyDescent="0.35">
      <c r="A10" s="9" t="s">
        <v>746</v>
      </c>
      <c r="B10" s="9" t="s">
        <v>747</v>
      </c>
      <c r="C10" s="9" t="s">
        <v>748</v>
      </c>
      <c r="D10" s="9" t="s">
        <v>749</v>
      </c>
      <c r="E10" s="9" t="s">
        <v>762</v>
      </c>
      <c r="F10" s="9" t="s">
        <v>763</v>
      </c>
      <c r="G10">
        <v>1</v>
      </c>
    </row>
    <row r="11" spans="1:7" x14ac:dyDescent="0.35">
      <c r="A11" s="9" t="s">
        <v>746</v>
      </c>
      <c r="B11" s="9" t="s">
        <v>747</v>
      </c>
      <c r="C11" s="9" t="s">
        <v>748</v>
      </c>
      <c r="D11" s="9" t="s">
        <v>749</v>
      </c>
      <c r="E11" s="9" t="s">
        <v>764</v>
      </c>
      <c r="F11" s="9" t="s">
        <v>763</v>
      </c>
      <c r="G11">
        <v>1</v>
      </c>
    </row>
    <row r="12" spans="1:7" x14ac:dyDescent="0.35">
      <c r="A12" s="9" t="s">
        <v>746</v>
      </c>
      <c r="B12" s="9" t="s">
        <v>747</v>
      </c>
      <c r="C12" s="9" t="s">
        <v>748</v>
      </c>
      <c r="D12" s="9" t="s">
        <v>749</v>
      </c>
      <c r="E12" s="9" t="s">
        <v>765</v>
      </c>
      <c r="F12" s="9" t="s">
        <v>766</v>
      </c>
      <c r="G12">
        <v>0</v>
      </c>
    </row>
    <row r="13" spans="1:7" x14ac:dyDescent="0.35">
      <c r="A13" s="9" t="s">
        <v>746</v>
      </c>
      <c r="B13" s="9" t="s">
        <v>747</v>
      </c>
      <c r="C13" s="9" t="s">
        <v>748</v>
      </c>
      <c r="D13" s="9" t="s">
        <v>749</v>
      </c>
      <c r="E13" s="9" t="s">
        <v>767</v>
      </c>
      <c r="F13" s="9" t="s">
        <v>766</v>
      </c>
      <c r="G13">
        <v>0</v>
      </c>
    </row>
    <row r="14" spans="1:7" x14ac:dyDescent="0.35">
      <c r="A14" s="9" t="s">
        <v>746</v>
      </c>
      <c r="B14" s="9" t="s">
        <v>747</v>
      </c>
      <c r="C14" s="9" t="s">
        <v>748</v>
      </c>
      <c r="D14" s="9" t="s">
        <v>749</v>
      </c>
      <c r="E14" s="9" t="s">
        <v>768</v>
      </c>
      <c r="F14" s="9" t="s">
        <v>769</v>
      </c>
      <c r="G14">
        <v>1</v>
      </c>
    </row>
    <row r="15" spans="1:7" x14ac:dyDescent="0.35">
      <c r="A15" s="9" t="s">
        <v>746</v>
      </c>
      <c r="B15" s="9" t="s">
        <v>747</v>
      </c>
      <c r="C15" s="9" t="s">
        <v>748</v>
      </c>
      <c r="D15" s="9" t="s">
        <v>749</v>
      </c>
      <c r="E15" s="9" t="s">
        <v>770</v>
      </c>
      <c r="F15" s="9" t="s">
        <v>769</v>
      </c>
      <c r="G15">
        <v>1</v>
      </c>
    </row>
    <row r="16" spans="1:7" x14ac:dyDescent="0.35">
      <c r="A16" s="9" t="s">
        <v>746</v>
      </c>
      <c r="B16" s="9" t="s">
        <v>747</v>
      </c>
      <c r="C16" s="9" t="s">
        <v>748</v>
      </c>
      <c r="D16" s="9" t="s">
        <v>749</v>
      </c>
      <c r="E16" s="9" t="s">
        <v>771</v>
      </c>
      <c r="F16" s="9" t="s">
        <v>772</v>
      </c>
      <c r="G16">
        <v>1</v>
      </c>
    </row>
    <row r="17" spans="1:7" x14ac:dyDescent="0.35">
      <c r="A17" s="9" t="s">
        <v>746</v>
      </c>
      <c r="B17" s="9" t="s">
        <v>747</v>
      </c>
      <c r="C17" s="9" t="s">
        <v>748</v>
      </c>
      <c r="D17" s="9" t="s">
        <v>749</v>
      </c>
      <c r="E17" s="9" t="s">
        <v>773</v>
      </c>
      <c r="F17" s="9" t="s">
        <v>772</v>
      </c>
      <c r="G17">
        <v>1</v>
      </c>
    </row>
    <row r="18" spans="1:7" x14ac:dyDescent="0.35">
      <c r="A18" s="9" t="s">
        <v>746</v>
      </c>
      <c r="B18" s="9" t="s">
        <v>747</v>
      </c>
      <c r="C18" s="9" t="s">
        <v>748</v>
      </c>
      <c r="D18" s="9" t="s">
        <v>749</v>
      </c>
      <c r="E18" s="9" t="s">
        <v>774</v>
      </c>
      <c r="F18" s="9" t="s">
        <v>775</v>
      </c>
      <c r="G18">
        <v>0</v>
      </c>
    </row>
    <row r="19" spans="1:7" x14ac:dyDescent="0.35">
      <c r="A19" s="9" t="s">
        <v>746</v>
      </c>
      <c r="B19" s="9" t="s">
        <v>747</v>
      </c>
      <c r="C19" s="9" t="s">
        <v>748</v>
      </c>
      <c r="D19" s="9" t="s">
        <v>749</v>
      </c>
      <c r="E19" s="9" t="s">
        <v>776</v>
      </c>
      <c r="F19" s="9" t="s">
        <v>775</v>
      </c>
      <c r="G19">
        <v>0</v>
      </c>
    </row>
    <row r="20" spans="1:7" x14ac:dyDescent="0.35">
      <c r="A20" s="9" t="s">
        <v>746</v>
      </c>
      <c r="B20" s="9" t="s">
        <v>747</v>
      </c>
      <c r="C20" s="9" t="s">
        <v>748</v>
      </c>
      <c r="D20" s="9" t="s">
        <v>749</v>
      </c>
      <c r="E20" s="9" t="s">
        <v>777</v>
      </c>
      <c r="F20" s="9" t="s">
        <v>778</v>
      </c>
      <c r="G20">
        <v>0</v>
      </c>
    </row>
    <row r="21" spans="1:7" x14ac:dyDescent="0.35">
      <c r="A21" s="9" t="s">
        <v>746</v>
      </c>
      <c r="B21" s="9" t="s">
        <v>747</v>
      </c>
      <c r="C21" s="9" t="s">
        <v>748</v>
      </c>
      <c r="D21" s="9" t="s">
        <v>749</v>
      </c>
      <c r="E21" s="9" t="s">
        <v>779</v>
      </c>
      <c r="F21" s="9" t="s">
        <v>778</v>
      </c>
      <c r="G21">
        <v>0</v>
      </c>
    </row>
    <row r="22" spans="1:7" x14ac:dyDescent="0.35">
      <c r="A22" s="9" t="s">
        <v>746</v>
      </c>
      <c r="B22" s="9" t="s">
        <v>747</v>
      </c>
      <c r="C22" s="9" t="s">
        <v>748</v>
      </c>
      <c r="D22" s="9" t="s">
        <v>749</v>
      </c>
      <c r="E22" s="9" t="s">
        <v>780</v>
      </c>
      <c r="F22" s="9" t="s">
        <v>781</v>
      </c>
      <c r="G22">
        <v>0</v>
      </c>
    </row>
    <row r="23" spans="1:7" x14ac:dyDescent="0.35">
      <c r="A23" s="9" t="s">
        <v>746</v>
      </c>
      <c r="B23" s="9" t="s">
        <v>747</v>
      </c>
      <c r="C23" s="9" t="s">
        <v>748</v>
      </c>
      <c r="D23" s="9" t="s">
        <v>749</v>
      </c>
      <c r="E23" s="9" t="s">
        <v>782</v>
      </c>
      <c r="F23" s="9" t="s">
        <v>781</v>
      </c>
      <c r="G23">
        <v>0</v>
      </c>
    </row>
    <row r="24" spans="1:7" x14ac:dyDescent="0.35">
      <c r="A24" s="9" t="s">
        <v>746</v>
      </c>
      <c r="B24" s="9" t="s">
        <v>747</v>
      </c>
      <c r="C24" s="9" t="s">
        <v>748</v>
      </c>
      <c r="D24" s="9" t="s">
        <v>749</v>
      </c>
      <c r="E24" s="9" t="s">
        <v>783</v>
      </c>
      <c r="F24" s="9" t="s">
        <v>784</v>
      </c>
      <c r="G24">
        <v>0</v>
      </c>
    </row>
    <row r="25" spans="1:7" x14ac:dyDescent="0.35">
      <c r="A25" s="9" t="s">
        <v>746</v>
      </c>
      <c r="B25" s="9" t="s">
        <v>747</v>
      </c>
      <c r="C25" s="9" t="s">
        <v>748</v>
      </c>
      <c r="D25" s="9" t="s">
        <v>749</v>
      </c>
      <c r="E25" s="9" t="s">
        <v>785</v>
      </c>
      <c r="F25" s="9" t="s">
        <v>784</v>
      </c>
      <c r="G25">
        <v>0</v>
      </c>
    </row>
    <row r="26" spans="1:7" x14ac:dyDescent="0.35">
      <c r="A26" s="9" t="s">
        <v>746</v>
      </c>
      <c r="B26" s="9" t="s">
        <v>747</v>
      </c>
      <c r="C26" s="9" t="s">
        <v>748</v>
      </c>
      <c r="D26" s="9" t="s">
        <v>749</v>
      </c>
      <c r="E26" s="9" t="s">
        <v>786</v>
      </c>
      <c r="F26" s="9" t="s">
        <v>787</v>
      </c>
      <c r="G26">
        <v>0</v>
      </c>
    </row>
    <row r="27" spans="1:7" x14ac:dyDescent="0.35">
      <c r="A27" s="9" t="s">
        <v>746</v>
      </c>
      <c r="B27" s="9" t="s">
        <v>747</v>
      </c>
      <c r="C27" s="9" t="s">
        <v>748</v>
      </c>
      <c r="D27" s="9" t="s">
        <v>749</v>
      </c>
      <c r="E27" s="9" t="s">
        <v>788</v>
      </c>
      <c r="F27" s="9" t="s">
        <v>787</v>
      </c>
      <c r="G27">
        <v>0</v>
      </c>
    </row>
    <row r="28" spans="1:7" x14ac:dyDescent="0.35">
      <c r="A28" s="9" t="s">
        <v>746</v>
      </c>
      <c r="B28" s="9" t="s">
        <v>747</v>
      </c>
      <c r="C28" s="9" t="s">
        <v>748</v>
      </c>
      <c r="D28" s="9" t="s">
        <v>749</v>
      </c>
      <c r="E28" s="9" t="s">
        <v>789</v>
      </c>
      <c r="F28" s="9" t="s">
        <v>790</v>
      </c>
      <c r="G28">
        <v>0</v>
      </c>
    </row>
    <row r="29" spans="1:7" x14ac:dyDescent="0.35">
      <c r="A29" s="9" t="s">
        <v>746</v>
      </c>
      <c r="B29" s="9" t="s">
        <v>747</v>
      </c>
      <c r="C29" s="9" t="s">
        <v>748</v>
      </c>
      <c r="D29" s="9" t="s">
        <v>749</v>
      </c>
      <c r="E29" s="9" t="s">
        <v>791</v>
      </c>
      <c r="F29" s="9" t="s">
        <v>790</v>
      </c>
      <c r="G29">
        <v>0</v>
      </c>
    </row>
    <row r="30" spans="1:7" x14ac:dyDescent="0.35">
      <c r="A30" s="9" t="s">
        <v>746</v>
      </c>
      <c r="B30" s="9" t="s">
        <v>747</v>
      </c>
      <c r="C30" s="9" t="s">
        <v>748</v>
      </c>
      <c r="D30" s="9" t="s">
        <v>749</v>
      </c>
      <c r="E30" s="9" t="s">
        <v>792</v>
      </c>
      <c r="F30" s="9" t="s">
        <v>793</v>
      </c>
      <c r="G30">
        <v>0</v>
      </c>
    </row>
    <row r="31" spans="1:7" x14ac:dyDescent="0.35">
      <c r="A31" s="9" t="s">
        <v>746</v>
      </c>
      <c r="B31" s="9" t="s">
        <v>747</v>
      </c>
      <c r="C31" s="9" t="s">
        <v>748</v>
      </c>
      <c r="D31" s="9" t="s">
        <v>749</v>
      </c>
      <c r="E31" s="9" t="s">
        <v>794</v>
      </c>
      <c r="F31" s="9" t="s">
        <v>793</v>
      </c>
      <c r="G31">
        <v>0</v>
      </c>
    </row>
    <row r="32" spans="1:7" x14ac:dyDescent="0.35">
      <c r="A32" s="9" t="s">
        <v>746</v>
      </c>
      <c r="B32" s="9" t="s">
        <v>747</v>
      </c>
      <c r="C32" s="9" t="s">
        <v>748</v>
      </c>
      <c r="D32" s="9" t="s">
        <v>749</v>
      </c>
      <c r="E32" s="9" t="s">
        <v>795</v>
      </c>
      <c r="F32" s="9" t="s">
        <v>796</v>
      </c>
      <c r="G32">
        <v>0</v>
      </c>
    </row>
    <row r="33" spans="1:7" x14ac:dyDescent="0.35">
      <c r="A33" s="9" t="s">
        <v>746</v>
      </c>
      <c r="B33" s="9" t="s">
        <v>747</v>
      </c>
      <c r="C33" s="9" t="s">
        <v>748</v>
      </c>
      <c r="D33" s="9" t="s">
        <v>749</v>
      </c>
      <c r="E33" s="9" t="s">
        <v>797</v>
      </c>
      <c r="F33" s="9" t="s">
        <v>796</v>
      </c>
      <c r="G33">
        <v>0</v>
      </c>
    </row>
    <row r="34" spans="1:7" x14ac:dyDescent="0.35">
      <c r="A34" s="9" t="s">
        <v>746</v>
      </c>
      <c r="B34" s="9" t="s">
        <v>747</v>
      </c>
      <c r="C34" s="9" t="s">
        <v>748</v>
      </c>
      <c r="D34" s="9" t="s">
        <v>749</v>
      </c>
      <c r="E34" s="9" t="s">
        <v>798</v>
      </c>
      <c r="F34" s="9" t="s">
        <v>799</v>
      </c>
      <c r="G34">
        <v>0</v>
      </c>
    </row>
    <row r="35" spans="1:7" x14ac:dyDescent="0.35">
      <c r="A35" s="9" t="s">
        <v>746</v>
      </c>
      <c r="B35" s="9" t="s">
        <v>747</v>
      </c>
      <c r="C35" s="9" t="s">
        <v>748</v>
      </c>
      <c r="D35" s="9" t="s">
        <v>749</v>
      </c>
      <c r="E35" s="9" t="s">
        <v>800</v>
      </c>
      <c r="F35" s="9" t="s">
        <v>799</v>
      </c>
      <c r="G35">
        <v>0</v>
      </c>
    </row>
    <row r="36" spans="1:7" x14ac:dyDescent="0.35">
      <c r="A36" s="9" t="s">
        <v>746</v>
      </c>
      <c r="B36" s="9" t="s">
        <v>747</v>
      </c>
      <c r="C36" s="9" t="s">
        <v>748</v>
      </c>
      <c r="D36" s="9" t="s">
        <v>749</v>
      </c>
      <c r="E36" s="9" t="s">
        <v>801</v>
      </c>
      <c r="F36" s="9" t="s">
        <v>802</v>
      </c>
      <c r="G36">
        <v>0</v>
      </c>
    </row>
    <row r="37" spans="1:7" x14ac:dyDescent="0.35">
      <c r="A37" s="9" t="s">
        <v>746</v>
      </c>
      <c r="B37" s="9" t="s">
        <v>747</v>
      </c>
      <c r="C37" s="9" t="s">
        <v>748</v>
      </c>
      <c r="D37" s="9" t="s">
        <v>749</v>
      </c>
      <c r="E37" s="9" t="s">
        <v>803</v>
      </c>
      <c r="F37" s="9" t="s">
        <v>802</v>
      </c>
      <c r="G37">
        <v>0</v>
      </c>
    </row>
    <row r="38" spans="1:7" x14ac:dyDescent="0.35">
      <c r="A38" s="9" t="s">
        <v>804</v>
      </c>
      <c r="B38" s="9" t="s">
        <v>805</v>
      </c>
      <c r="C38" s="9" t="s">
        <v>748</v>
      </c>
      <c r="D38" s="9" t="s">
        <v>749</v>
      </c>
      <c r="E38" s="9" t="s">
        <v>806</v>
      </c>
      <c r="F38" s="9" t="s">
        <v>807</v>
      </c>
      <c r="G38">
        <v>0</v>
      </c>
    </row>
    <row r="39" spans="1:7" x14ac:dyDescent="0.35">
      <c r="A39" s="9" t="s">
        <v>804</v>
      </c>
      <c r="B39" s="9" t="s">
        <v>805</v>
      </c>
      <c r="C39" s="9" t="s">
        <v>748</v>
      </c>
      <c r="D39" s="9" t="s">
        <v>749</v>
      </c>
      <c r="E39" s="9" t="s">
        <v>808</v>
      </c>
      <c r="F39" s="9" t="s">
        <v>809</v>
      </c>
      <c r="G39">
        <v>0</v>
      </c>
    </row>
    <row r="40" spans="1:7" x14ac:dyDescent="0.35">
      <c r="A40" s="9" t="s">
        <v>804</v>
      </c>
      <c r="B40" s="9" t="s">
        <v>805</v>
      </c>
      <c r="C40" s="9" t="s">
        <v>748</v>
      </c>
      <c r="D40" s="9" t="s">
        <v>749</v>
      </c>
      <c r="E40" s="9" t="s">
        <v>810</v>
      </c>
      <c r="F40" s="9" t="s">
        <v>811</v>
      </c>
      <c r="G40">
        <v>0</v>
      </c>
    </row>
    <row r="41" spans="1:7" x14ac:dyDescent="0.35">
      <c r="A41" s="9" t="s">
        <v>804</v>
      </c>
      <c r="B41" s="9" t="s">
        <v>805</v>
      </c>
      <c r="C41" s="9" t="s">
        <v>748</v>
      </c>
      <c r="D41" s="9" t="s">
        <v>749</v>
      </c>
      <c r="E41" s="9" t="s">
        <v>812</v>
      </c>
      <c r="F41" s="9" t="s">
        <v>813</v>
      </c>
      <c r="G41">
        <v>0</v>
      </c>
    </row>
    <row r="42" spans="1:7" x14ac:dyDescent="0.35">
      <c r="A42" s="9" t="s">
        <v>804</v>
      </c>
      <c r="B42" s="9" t="s">
        <v>805</v>
      </c>
      <c r="C42" s="9" t="s">
        <v>748</v>
      </c>
      <c r="D42" s="9" t="s">
        <v>749</v>
      </c>
      <c r="E42" s="9" t="s">
        <v>814</v>
      </c>
      <c r="F42" s="9" t="s">
        <v>815</v>
      </c>
      <c r="G42">
        <v>0</v>
      </c>
    </row>
    <row r="43" spans="1:7" x14ac:dyDescent="0.35">
      <c r="A43" s="9" t="s">
        <v>804</v>
      </c>
      <c r="B43" s="9" t="s">
        <v>805</v>
      </c>
      <c r="C43" s="9" t="s">
        <v>748</v>
      </c>
      <c r="D43" s="9" t="s">
        <v>749</v>
      </c>
      <c r="E43" s="9" t="s">
        <v>816</v>
      </c>
      <c r="F43" s="9" t="s">
        <v>817</v>
      </c>
      <c r="G43">
        <v>1</v>
      </c>
    </row>
    <row r="44" spans="1:7" x14ac:dyDescent="0.35">
      <c r="A44" s="9" t="s">
        <v>804</v>
      </c>
      <c r="B44" s="9" t="s">
        <v>805</v>
      </c>
      <c r="C44" s="9" t="s">
        <v>748</v>
      </c>
      <c r="D44" s="9" t="s">
        <v>749</v>
      </c>
      <c r="E44" s="9" t="s">
        <v>818</v>
      </c>
      <c r="F44" s="9" t="s">
        <v>819</v>
      </c>
      <c r="G44">
        <v>0</v>
      </c>
    </row>
    <row r="45" spans="1:7" x14ac:dyDescent="0.35">
      <c r="A45" s="9" t="s">
        <v>804</v>
      </c>
      <c r="B45" s="9" t="s">
        <v>805</v>
      </c>
      <c r="C45" s="9" t="s">
        <v>748</v>
      </c>
      <c r="D45" s="9" t="s">
        <v>749</v>
      </c>
      <c r="E45" s="9" t="s">
        <v>820</v>
      </c>
      <c r="F45" s="9" t="s">
        <v>821</v>
      </c>
      <c r="G45">
        <v>1</v>
      </c>
    </row>
    <row r="46" spans="1:7" x14ac:dyDescent="0.35">
      <c r="A46" s="9" t="s">
        <v>804</v>
      </c>
      <c r="B46" s="9" t="s">
        <v>805</v>
      </c>
      <c r="C46" s="9" t="s">
        <v>748</v>
      </c>
      <c r="D46" s="9" t="s">
        <v>749</v>
      </c>
      <c r="E46" s="9" t="s">
        <v>822</v>
      </c>
      <c r="F46" s="9" t="s">
        <v>823</v>
      </c>
      <c r="G46">
        <v>1</v>
      </c>
    </row>
    <row r="47" spans="1:7" x14ac:dyDescent="0.35">
      <c r="A47" s="9" t="s">
        <v>804</v>
      </c>
      <c r="B47" s="9" t="s">
        <v>805</v>
      </c>
      <c r="C47" s="9" t="s">
        <v>748</v>
      </c>
      <c r="D47" s="9" t="s">
        <v>749</v>
      </c>
      <c r="E47" s="9" t="s">
        <v>824</v>
      </c>
      <c r="F47" s="9" t="s">
        <v>825</v>
      </c>
      <c r="G47">
        <v>1</v>
      </c>
    </row>
    <row r="48" spans="1:7" x14ac:dyDescent="0.35">
      <c r="A48" s="9" t="s">
        <v>804</v>
      </c>
      <c r="B48" s="9" t="s">
        <v>805</v>
      </c>
      <c r="C48" s="9" t="s">
        <v>748</v>
      </c>
      <c r="D48" s="9" t="s">
        <v>749</v>
      </c>
      <c r="E48" s="9" t="s">
        <v>826</v>
      </c>
      <c r="F48" s="9" t="s">
        <v>827</v>
      </c>
      <c r="G48">
        <v>0</v>
      </c>
    </row>
    <row r="49" spans="1:7" x14ac:dyDescent="0.35">
      <c r="A49" s="9" t="s">
        <v>828</v>
      </c>
      <c r="B49" s="9" t="s">
        <v>829</v>
      </c>
      <c r="C49" s="9" t="s">
        <v>748</v>
      </c>
      <c r="D49" s="9" t="s">
        <v>830</v>
      </c>
      <c r="E49" s="9" t="s">
        <v>831</v>
      </c>
      <c r="F49" s="9" t="s">
        <v>832</v>
      </c>
      <c r="G49">
        <v>0</v>
      </c>
    </row>
    <row r="50" spans="1:7" x14ac:dyDescent="0.35">
      <c r="A50" s="9" t="s">
        <v>828</v>
      </c>
      <c r="B50" s="9" t="s">
        <v>829</v>
      </c>
      <c r="C50" s="9" t="s">
        <v>748</v>
      </c>
      <c r="D50" s="9" t="s">
        <v>830</v>
      </c>
      <c r="E50" s="9" t="s">
        <v>833</v>
      </c>
      <c r="F50" s="9" t="s">
        <v>834</v>
      </c>
      <c r="G50">
        <v>0</v>
      </c>
    </row>
    <row r="51" spans="1:7" x14ac:dyDescent="0.35">
      <c r="A51" s="9" t="s">
        <v>828</v>
      </c>
      <c r="B51" s="9" t="s">
        <v>829</v>
      </c>
      <c r="C51" s="9" t="s">
        <v>748</v>
      </c>
      <c r="D51" s="9" t="s">
        <v>830</v>
      </c>
      <c r="E51" s="9" t="s">
        <v>835</v>
      </c>
      <c r="F51" s="9" t="s">
        <v>836</v>
      </c>
      <c r="G51">
        <v>0</v>
      </c>
    </row>
    <row r="52" spans="1:7" x14ac:dyDescent="0.35">
      <c r="A52" s="9" t="s">
        <v>828</v>
      </c>
      <c r="B52" s="9" t="s">
        <v>829</v>
      </c>
      <c r="C52" s="9" t="s">
        <v>748</v>
      </c>
      <c r="D52" s="9" t="s">
        <v>830</v>
      </c>
      <c r="E52" s="9" t="s">
        <v>837</v>
      </c>
      <c r="F52" s="9" t="s">
        <v>838</v>
      </c>
      <c r="G52">
        <v>0</v>
      </c>
    </row>
    <row r="53" spans="1:7" x14ac:dyDescent="0.35">
      <c r="A53" s="9" t="s">
        <v>828</v>
      </c>
      <c r="B53" s="9" t="s">
        <v>829</v>
      </c>
      <c r="C53" s="9" t="s">
        <v>748</v>
      </c>
      <c r="D53" s="9" t="s">
        <v>830</v>
      </c>
      <c r="E53" s="9" t="s">
        <v>839</v>
      </c>
      <c r="F53" s="9" t="s">
        <v>840</v>
      </c>
      <c r="G53">
        <v>0</v>
      </c>
    </row>
    <row r="54" spans="1:7" x14ac:dyDescent="0.35">
      <c r="A54" s="9" t="s">
        <v>828</v>
      </c>
      <c r="B54" s="9" t="s">
        <v>829</v>
      </c>
      <c r="C54" s="9" t="s">
        <v>748</v>
      </c>
      <c r="D54" s="9" t="s">
        <v>830</v>
      </c>
      <c r="E54" s="9" t="s">
        <v>841</v>
      </c>
      <c r="F54" s="9" t="s">
        <v>842</v>
      </c>
      <c r="G54">
        <v>0</v>
      </c>
    </row>
    <row r="55" spans="1:7" x14ac:dyDescent="0.35">
      <c r="A55" s="9" t="s">
        <v>828</v>
      </c>
      <c r="B55" s="9" t="s">
        <v>829</v>
      </c>
      <c r="C55" s="9" t="s">
        <v>748</v>
      </c>
      <c r="D55" s="9" t="s">
        <v>830</v>
      </c>
      <c r="E55" s="9" t="s">
        <v>843</v>
      </c>
      <c r="F55" s="9" t="s">
        <v>844</v>
      </c>
      <c r="G55">
        <v>0</v>
      </c>
    </row>
    <row r="56" spans="1:7" x14ac:dyDescent="0.35">
      <c r="A56" s="9" t="s">
        <v>828</v>
      </c>
      <c r="B56" s="9" t="s">
        <v>829</v>
      </c>
      <c r="C56" s="9" t="s">
        <v>748</v>
      </c>
      <c r="D56" s="9" t="s">
        <v>830</v>
      </c>
      <c r="E56" s="9" t="s">
        <v>845</v>
      </c>
      <c r="F56" s="9" t="s">
        <v>846</v>
      </c>
      <c r="G56">
        <v>0</v>
      </c>
    </row>
    <row r="57" spans="1:7" x14ac:dyDescent="0.35">
      <c r="A57" s="9" t="s">
        <v>828</v>
      </c>
      <c r="B57" s="9" t="s">
        <v>829</v>
      </c>
      <c r="C57" s="9" t="s">
        <v>748</v>
      </c>
      <c r="D57" s="9" t="s">
        <v>830</v>
      </c>
      <c r="E57" s="9" t="s">
        <v>847</v>
      </c>
      <c r="F57" s="9" t="s">
        <v>848</v>
      </c>
      <c r="G57">
        <v>0</v>
      </c>
    </row>
    <row r="58" spans="1:7" x14ac:dyDescent="0.35">
      <c r="A58" s="9" t="s">
        <v>828</v>
      </c>
      <c r="B58" s="9" t="s">
        <v>829</v>
      </c>
      <c r="C58" s="9" t="s">
        <v>748</v>
      </c>
      <c r="D58" s="9" t="s">
        <v>830</v>
      </c>
      <c r="E58" s="9" t="s">
        <v>849</v>
      </c>
      <c r="F58" s="9" t="s">
        <v>850</v>
      </c>
      <c r="G58">
        <v>0</v>
      </c>
    </row>
    <row r="59" spans="1:7" x14ac:dyDescent="0.35">
      <c r="A59" s="9" t="s">
        <v>828</v>
      </c>
      <c r="B59" s="9" t="s">
        <v>829</v>
      </c>
      <c r="C59" s="9" t="s">
        <v>748</v>
      </c>
      <c r="D59" s="9" t="s">
        <v>830</v>
      </c>
      <c r="E59" s="9" t="s">
        <v>851</v>
      </c>
      <c r="F59" s="9" t="s">
        <v>852</v>
      </c>
      <c r="G59">
        <v>0</v>
      </c>
    </row>
    <row r="60" spans="1:7" x14ac:dyDescent="0.35">
      <c r="A60" s="9" t="s">
        <v>828</v>
      </c>
      <c r="B60" s="9" t="s">
        <v>829</v>
      </c>
      <c r="C60" s="9" t="s">
        <v>748</v>
      </c>
      <c r="D60" s="9" t="s">
        <v>830</v>
      </c>
      <c r="E60" s="9" t="s">
        <v>853</v>
      </c>
      <c r="F60" s="9" t="s">
        <v>854</v>
      </c>
      <c r="G60">
        <v>0</v>
      </c>
    </row>
    <row r="61" spans="1:7" x14ac:dyDescent="0.35">
      <c r="A61" s="9" t="s">
        <v>828</v>
      </c>
      <c r="B61" s="9" t="s">
        <v>829</v>
      </c>
      <c r="C61" s="9" t="s">
        <v>748</v>
      </c>
      <c r="D61" s="9" t="s">
        <v>830</v>
      </c>
      <c r="E61" s="9" t="s">
        <v>855</v>
      </c>
      <c r="F61" s="9" t="s">
        <v>856</v>
      </c>
      <c r="G61">
        <v>0</v>
      </c>
    </row>
    <row r="62" spans="1:7" x14ac:dyDescent="0.35">
      <c r="A62" s="9" t="s">
        <v>857</v>
      </c>
      <c r="B62" s="9" t="s">
        <v>858</v>
      </c>
      <c r="C62" s="9" t="s">
        <v>859</v>
      </c>
      <c r="D62" s="9" t="s">
        <v>860</v>
      </c>
      <c r="E62" s="9" t="s">
        <v>861</v>
      </c>
      <c r="F62" s="9" t="s">
        <v>862</v>
      </c>
      <c r="G62">
        <v>0</v>
      </c>
    </row>
    <row r="63" spans="1:7" x14ac:dyDescent="0.35">
      <c r="A63" s="9" t="s">
        <v>857</v>
      </c>
      <c r="B63" s="9" t="s">
        <v>858</v>
      </c>
      <c r="C63" s="9" t="s">
        <v>859</v>
      </c>
      <c r="D63" s="9" t="s">
        <v>860</v>
      </c>
      <c r="E63" s="9" t="s">
        <v>863</v>
      </c>
      <c r="F63" s="9" t="s">
        <v>864</v>
      </c>
      <c r="G63">
        <v>0</v>
      </c>
    </row>
    <row r="64" spans="1:7" x14ac:dyDescent="0.35">
      <c r="A64" s="9" t="s">
        <v>857</v>
      </c>
      <c r="B64" s="9" t="s">
        <v>858</v>
      </c>
      <c r="C64" s="9" t="s">
        <v>859</v>
      </c>
      <c r="D64" s="9" t="s">
        <v>860</v>
      </c>
      <c r="E64" s="9" t="s">
        <v>865</v>
      </c>
      <c r="F64" s="9" t="s">
        <v>866</v>
      </c>
      <c r="G64">
        <v>0</v>
      </c>
    </row>
    <row r="65" spans="1:7" x14ac:dyDescent="0.35">
      <c r="A65" s="9" t="s">
        <v>857</v>
      </c>
      <c r="B65" s="9" t="s">
        <v>858</v>
      </c>
      <c r="C65" s="9" t="s">
        <v>859</v>
      </c>
      <c r="D65" s="9" t="s">
        <v>860</v>
      </c>
      <c r="E65" s="9" t="s">
        <v>867</v>
      </c>
      <c r="F65" s="9" t="s">
        <v>868</v>
      </c>
      <c r="G65">
        <v>0</v>
      </c>
    </row>
    <row r="66" spans="1:7" x14ac:dyDescent="0.35">
      <c r="A66" s="9" t="s">
        <v>857</v>
      </c>
      <c r="B66" s="9" t="s">
        <v>858</v>
      </c>
      <c r="C66" s="9" t="s">
        <v>859</v>
      </c>
      <c r="D66" s="9" t="s">
        <v>860</v>
      </c>
      <c r="E66" s="9" t="s">
        <v>869</v>
      </c>
      <c r="F66" s="9" t="s">
        <v>870</v>
      </c>
      <c r="G66">
        <v>0</v>
      </c>
    </row>
    <row r="67" spans="1:7" x14ac:dyDescent="0.35">
      <c r="A67" s="9" t="s">
        <v>857</v>
      </c>
      <c r="B67" s="9" t="s">
        <v>858</v>
      </c>
      <c r="C67" s="9" t="s">
        <v>859</v>
      </c>
      <c r="D67" s="9" t="s">
        <v>860</v>
      </c>
      <c r="E67" s="9" t="s">
        <v>871</v>
      </c>
      <c r="F67" s="9" t="s">
        <v>872</v>
      </c>
      <c r="G67">
        <v>0</v>
      </c>
    </row>
    <row r="68" spans="1:7" x14ac:dyDescent="0.35">
      <c r="A68" s="9" t="s">
        <v>857</v>
      </c>
      <c r="B68" s="9" t="s">
        <v>858</v>
      </c>
      <c r="C68" s="9" t="s">
        <v>859</v>
      </c>
      <c r="D68" s="9" t="s">
        <v>860</v>
      </c>
      <c r="E68" s="9" t="s">
        <v>873</v>
      </c>
      <c r="F68" s="9" t="s">
        <v>874</v>
      </c>
      <c r="G68">
        <v>0</v>
      </c>
    </row>
    <row r="69" spans="1:7" x14ac:dyDescent="0.35">
      <c r="A69" s="9" t="s">
        <v>875</v>
      </c>
      <c r="B69" s="9" t="s">
        <v>876</v>
      </c>
      <c r="C69" s="9" t="s">
        <v>748</v>
      </c>
      <c r="D69" s="9" t="s">
        <v>877</v>
      </c>
      <c r="E69" s="9" t="s">
        <v>878</v>
      </c>
      <c r="F69" s="9" t="s">
        <v>879</v>
      </c>
      <c r="G69">
        <v>0</v>
      </c>
    </row>
    <row r="70" spans="1:7" x14ac:dyDescent="0.35">
      <c r="A70" s="9" t="s">
        <v>875</v>
      </c>
      <c r="B70" s="9" t="s">
        <v>876</v>
      </c>
      <c r="C70" s="9" t="s">
        <v>748</v>
      </c>
      <c r="D70" s="9" t="s">
        <v>877</v>
      </c>
      <c r="E70" s="9" t="s">
        <v>880</v>
      </c>
      <c r="F70" s="9" t="s">
        <v>881</v>
      </c>
      <c r="G70">
        <v>0</v>
      </c>
    </row>
    <row r="71" spans="1:7" x14ac:dyDescent="0.35">
      <c r="A71" s="9" t="s">
        <v>875</v>
      </c>
      <c r="B71" s="9" t="s">
        <v>876</v>
      </c>
      <c r="C71" s="9" t="s">
        <v>748</v>
      </c>
      <c r="D71" s="9" t="s">
        <v>877</v>
      </c>
      <c r="E71" s="9" t="s">
        <v>882</v>
      </c>
      <c r="F71" s="9" t="s">
        <v>883</v>
      </c>
      <c r="G71">
        <v>0</v>
      </c>
    </row>
    <row r="72" spans="1:7" x14ac:dyDescent="0.35">
      <c r="A72" s="9" t="s">
        <v>875</v>
      </c>
      <c r="B72" s="9" t="s">
        <v>876</v>
      </c>
      <c r="C72" s="9" t="s">
        <v>748</v>
      </c>
      <c r="D72" s="9" t="s">
        <v>877</v>
      </c>
      <c r="E72" s="9" t="s">
        <v>884</v>
      </c>
      <c r="F72" s="9" t="s">
        <v>885</v>
      </c>
      <c r="G72">
        <v>0</v>
      </c>
    </row>
    <row r="73" spans="1:7" x14ac:dyDescent="0.35">
      <c r="A73" s="9" t="s">
        <v>875</v>
      </c>
      <c r="B73" s="9" t="s">
        <v>876</v>
      </c>
      <c r="C73" s="9" t="s">
        <v>748</v>
      </c>
      <c r="D73" s="9" t="s">
        <v>877</v>
      </c>
      <c r="E73" s="9" t="s">
        <v>886</v>
      </c>
      <c r="F73" s="9" t="s">
        <v>887</v>
      </c>
      <c r="G73">
        <v>0</v>
      </c>
    </row>
    <row r="74" spans="1:7" x14ac:dyDescent="0.35">
      <c r="A74" s="9" t="s">
        <v>875</v>
      </c>
      <c r="B74" s="9" t="s">
        <v>876</v>
      </c>
      <c r="C74" s="9" t="s">
        <v>748</v>
      </c>
      <c r="D74" s="9" t="s">
        <v>877</v>
      </c>
      <c r="E74" s="9" t="s">
        <v>888</v>
      </c>
      <c r="F74" s="9" t="s">
        <v>889</v>
      </c>
      <c r="G74">
        <v>0</v>
      </c>
    </row>
  </sheetData>
  <phoneticPr fontId="6"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FF187-B930-4DBC-9238-79ECA05ED618}">
  <dimension ref="A1:D198"/>
  <sheetViews>
    <sheetView workbookViewId="0"/>
  </sheetViews>
  <sheetFormatPr defaultRowHeight="14.5" x14ac:dyDescent="0.35"/>
  <sheetData>
    <row r="1" spans="1:4" x14ac:dyDescent="0.35">
      <c r="A1" s="10" t="s">
        <v>890</v>
      </c>
    </row>
    <row r="2" spans="1:4" x14ac:dyDescent="0.35">
      <c r="A2" s="2" t="s">
        <v>891</v>
      </c>
    </row>
    <row r="4" spans="1:4" x14ac:dyDescent="0.35">
      <c r="A4" s="3" t="s">
        <v>892</v>
      </c>
      <c r="B4" s="3" t="s">
        <v>464</v>
      </c>
      <c r="C4" s="3" t="s">
        <v>893</v>
      </c>
      <c r="D4" s="3" t="s">
        <v>894</v>
      </c>
    </row>
    <row r="5" spans="1:4" x14ac:dyDescent="0.35">
      <c r="A5">
        <v>1</v>
      </c>
      <c r="B5">
        <f>SUMIFS(tQueue[JobHours],tQueue[PriorityRank],A5)</f>
        <v>4.5</v>
      </c>
      <c r="C5">
        <f>SUMIFS(tQueue[JobHours],tQueue[PriorityRank],"&lt;="&amp;A5)</f>
        <v>4.5</v>
      </c>
      <c r="D5">
        <f>IF(C5&lt;=HangarHoursPerWeek,1,0)</f>
        <v>1</v>
      </c>
    </row>
    <row r="6" spans="1:4" x14ac:dyDescent="0.35">
      <c r="A6">
        <v>2</v>
      </c>
      <c r="B6">
        <f>SUMIFS(tQueue[JobHours],tQueue[PriorityRank],A6)</f>
        <v>4.5</v>
      </c>
      <c r="C6">
        <f>SUMIFS(tQueue[JobHours],tQueue[PriorityRank],"&lt;="&amp;A6)</f>
        <v>9</v>
      </c>
      <c r="D6">
        <f>IF(C6&lt;=HangarHoursPerWeek,1,0)</f>
        <v>1</v>
      </c>
    </row>
    <row r="7" spans="1:4" x14ac:dyDescent="0.35">
      <c r="A7">
        <v>3</v>
      </c>
      <c r="B7">
        <f>SUMIFS(tQueue[JobHours],tQueue[PriorityRank],A7)</f>
        <v>4.5</v>
      </c>
      <c r="C7">
        <f>SUMIFS(tQueue[JobHours],tQueue[PriorityRank],"&lt;="&amp;A7)</f>
        <v>13.5</v>
      </c>
      <c r="D7">
        <f>IF(C7&lt;=HangarHoursPerWeek,1,0)</f>
        <v>1</v>
      </c>
    </row>
    <row r="8" spans="1:4" x14ac:dyDescent="0.35">
      <c r="A8">
        <v>4</v>
      </c>
      <c r="B8">
        <f>SUMIFS(tQueue[JobHours],tQueue[PriorityRank],A8)</f>
        <v>4.5</v>
      </c>
      <c r="C8">
        <f>SUMIFS(tQueue[JobHours],tQueue[PriorityRank],"&lt;="&amp;A8)</f>
        <v>18</v>
      </c>
      <c r="D8">
        <f>IF(C8&lt;=HangarHoursPerWeek,1,0)</f>
        <v>1</v>
      </c>
    </row>
    <row r="9" spans="1:4" x14ac:dyDescent="0.35">
      <c r="A9">
        <v>5</v>
      </c>
      <c r="B9">
        <f>SUMIFS(tQueue[JobHours],tQueue[PriorityRank],A9)</f>
        <v>4.5</v>
      </c>
      <c r="C9">
        <f>SUMIFS(tQueue[JobHours],tQueue[PriorityRank],"&lt;="&amp;A9)</f>
        <v>22.5</v>
      </c>
      <c r="D9">
        <f>IF(C9&lt;=HangarHoursPerWeek,1,0)</f>
        <v>1</v>
      </c>
    </row>
    <row r="10" spans="1:4" x14ac:dyDescent="0.35">
      <c r="A10">
        <v>6</v>
      </c>
      <c r="B10">
        <f>SUMIFS(tQueue[JobHours],tQueue[PriorityRank],A10)</f>
        <v>4.5</v>
      </c>
      <c r="C10">
        <f>SUMIFS(tQueue[JobHours],tQueue[PriorityRank],"&lt;="&amp;A10)</f>
        <v>27</v>
      </c>
      <c r="D10">
        <f>IF(C10&lt;=HangarHoursPerWeek,1,0)</f>
        <v>1</v>
      </c>
    </row>
    <row r="11" spans="1:4" x14ac:dyDescent="0.35">
      <c r="A11">
        <v>7</v>
      </c>
      <c r="B11">
        <f>SUMIFS(tQueue[JobHours],tQueue[PriorityRank],A11)</f>
        <v>4.5</v>
      </c>
      <c r="C11">
        <f>SUMIFS(tQueue[JobHours],tQueue[PriorityRank],"&lt;="&amp;A11)</f>
        <v>31.5</v>
      </c>
      <c r="D11">
        <f>IF(C11&lt;=HangarHoursPerWeek,1,0)</f>
        <v>1</v>
      </c>
    </row>
    <row r="12" spans="1:4" x14ac:dyDescent="0.35">
      <c r="A12">
        <v>8</v>
      </c>
      <c r="B12">
        <f>SUMIFS(tQueue[JobHours],tQueue[PriorityRank],A12)</f>
        <v>4.5</v>
      </c>
      <c r="C12">
        <f>SUMIFS(tQueue[JobHours],tQueue[PriorityRank],"&lt;="&amp;A12)</f>
        <v>36</v>
      </c>
      <c r="D12">
        <f>IF(C12&lt;=HangarHoursPerWeek,1,0)</f>
        <v>1</v>
      </c>
    </row>
    <row r="13" spans="1:4" x14ac:dyDescent="0.35">
      <c r="A13">
        <v>9</v>
      </c>
      <c r="B13">
        <f>SUMIFS(tQueue[JobHours],tQueue[PriorityRank],A13)</f>
        <v>4.5</v>
      </c>
      <c r="C13">
        <f>SUMIFS(tQueue[JobHours],tQueue[PriorityRank],"&lt;="&amp;A13)</f>
        <v>40.5</v>
      </c>
      <c r="D13">
        <f>IF(C13&lt;=HangarHoursPerWeek,1,0)</f>
        <v>1</v>
      </c>
    </row>
    <row r="14" spans="1:4" x14ac:dyDescent="0.35">
      <c r="A14">
        <v>10</v>
      </c>
      <c r="B14">
        <f>SUMIFS(tQueue[JobHours],tQueue[PriorityRank],A14)</f>
        <v>4.5</v>
      </c>
      <c r="C14">
        <f>SUMIFS(tQueue[JobHours],tQueue[PriorityRank],"&lt;="&amp;A14)</f>
        <v>45</v>
      </c>
      <c r="D14">
        <f>IF(C14&lt;=HangarHoursPerWeek,1,0)</f>
        <v>1</v>
      </c>
    </row>
    <row r="15" spans="1:4" x14ac:dyDescent="0.35">
      <c r="A15">
        <v>11</v>
      </c>
      <c r="B15">
        <f>SUMIFS(tQueue[JobHours],tQueue[PriorityRank],A15)</f>
        <v>4.5</v>
      </c>
      <c r="C15">
        <f>SUMIFS(tQueue[JobHours],tQueue[PriorityRank],"&lt;="&amp;A15)</f>
        <v>49.5</v>
      </c>
      <c r="D15">
        <f>IF(C15&lt;=HangarHoursPerWeek,1,0)</f>
        <v>1</v>
      </c>
    </row>
    <row r="16" spans="1:4" x14ac:dyDescent="0.35">
      <c r="A16">
        <v>12</v>
      </c>
      <c r="B16">
        <f>SUMIFS(tQueue[JobHours],tQueue[PriorityRank],A16)</f>
        <v>4.5</v>
      </c>
      <c r="C16">
        <f>SUMIFS(tQueue[JobHours],tQueue[PriorityRank],"&lt;="&amp;A16)</f>
        <v>54</v>
      </c>
      <c r="D16">
        <f>IF(C16&lt;=HangarHoursPerWeek,1,0)</f>
        <v>1</v>
      </c>
    </row>
    <row r="17" spans="1:4" x14ac:dyDescent="0.35">
      <c r="A17">
        <v>13</v>
      </c>
      <c r="B17">
        <f>SUMIFS(tQueue[JobHours],tQueue[PriorityRank],A17)</f>
        <v>4.5</v>
      </c>
      <c r="C17">
        <f>SUMIFS(tQueue[JobHours],tQueue[PriorityRank],"&lt;="&amp;A17)</f>
        <v>58.5</v>
      </c>
      <c r="D17">
        <f>IF(C17&lt;=HangarHoursPerWeek,1,0)</f>
        <v>1</v>
      </c>
    </row>
    <row r="18" spans="1:4" x14ac:dyDescent="0.35">
      <c r="A18">
        <v>14</v>
      </c>
      <c r="B18">
        <f>SUMIFS(tQueue[JobHours],tQueue[PriorityRank],A18)</f>
        <v>4.5</v>
      </c>
      <c r="C18">
        <f>SUMIFS(tQueue[JobHours],tQueue[PriorityRank],"&lt;="&amp;A18)</f>
        <v>63</v>
      </c>
      <c r="D18">
        <f>IF(C18&lt;=HangarHoursPerWeek,1,0)</f>
        <v>1</v>
      </c>
    </row>
    <row r="19" spans="1:4" x14ac:dyDescent="0.35">
      <c r="A19">
        <v>15</v>
      </c>
      <c r="B19">
        <f>SUMIFS(tQueue[JobHours],tQueue[PriorityRank],A19)</f>
        <v>4.5</v>
      </c>
      <c r="C19">
        <f>SUMIFS(tQueue[JobHours],tQueue[PriorityRank],"&lt;="&amp;A19)</f>
        <v>67.5</v>
      </c>
      <c r="D19">
        <f>IF(C19&lt;=HangarHoursPerWeek,1,0)</f>
        <v>1</v>
      </c>
    </row>
    <row r="20" spans="1:4" x14ac:dyDescent="0.35">
      <c r="A20">
        <v>16</v>
      </c>
      <c r="B20">
        <f>SUMIFS(tQueue[JobHours],tQueue[PriorityRank],A20)</f>
        <v>4.5</v>
      </c>
      <c r="C20">
        <f>SUMIFS(tQueue[JobHours],tQueue[PriorityRank],"&lt;="&amp;A20)</f>
        <v>72</v>
      </c>
      <c r="D20">
        <f>IF(C20&lt;=HangarHoursPerWeek,1,0)</f>
        <v>1</v>
      </c>
    </row>
    <row r="21" spans="1:4" x14ac:dyDescent="0.35">
      <c r="A21">
        <v>17</v>
      </c>
      <c r="B21">
        <f>SUMIFS(tQueue[JobHours],tQueue[PriorityRank],A21)</f>
        <v>4.5</v>
      </c>
      <c r="C21">
        <f>SUMIFS(tQueue[JobHours],tQueue[PriorityRank],"&lt;="&amp;A21)</f>
        <v>76.5</v>
      </c>
      <c r="D21">
        <f>IF(C21&lt;=HangarHoursPerWeek,1,0)</f>
        <v>1</v>
      </c>
    </row>
    <row r="22" spans="1:4" x14ac:dyDescent="0.35">
      <c r="A22">
        <v>18</v>
      </c>
      <c r="B22">
        <f>SUMIFS(tQueue[JobHours],tQueue[PriorityRank],A22)</f>
        <v>4.5</v>
      </c>
      <c r="C22">
        <f>SUMIFS(tQueue[JobHours],tQueue[PriorityRank],"&lt;="&amp;A22)</f>
        <v>81</v>
      </c>
      <c r="D22">
        <f>IF(C22&lt;=HangarHoursPerWeek,1,0)</f>
        <v>1</v>
      </c>
    </row>
    <row r="23" spans="1:4" x14ac:dyDescent="0.35">
      <c r="A23">
        <v>19</v>
      </c>
      <c r="B23">
        <f>SUMIFS(tQueue[JobHours],tQueue[PriorityRank],A23)</f>
        <v>4.5</v>
      </c>
      <c r="C23">
        <f>SUMIFS(tQueue[JobHours],tQueue[PriorityRank],"&lt;="&amp;A23)</f>
        <v>85.5</v>
      </c>
      <c r="D23">
        <f>IF(C23&lt;=HangarHoursPerWeek,1,0)</f>
        <v>1</v>
      </c>
    </row>
    <row r="24" spans="1:4" x14ac:dyDescent="0.35">
      <c r="A24">
        <v>20</v>
      </c>
      <c r="B24">
        <f>SUMIFS(tQueue[JobHours],tQueue[PriorityRank],A24)</f>
        <v>4.5</v>
      </c>
      <c r="C24">
        <f>SUMIFS(tQueue[JobHours],tQueue[PriorityRank],"&lt;="&amp;A24)</f>
        <v>90</v>
      </c>
      <c r="D24">
        <f>IF(C24&lt;=HangarHoursPerWeek,1,0)</f>
        <v>1</v>
      </c>
    </row>
    <row r="25" spans="1:4" x14ac:dyDescent="0.35">
      <c r="A25">
        <v>21</v>
      </c>
      <c r="B25">
        <f>SUMIFS(tQueue[JobHours],tQueue[PriorityRank],A25)</f>
        <v>4.5</v>
      </c>
      <c r="C25">
        <f>SUMIFS(tQueue[JobHours],tQueue[PriorityRank],"&lt;="&amp;A25)</f>
        <v>94.5</v>
      </c>
      <c r="D25">
        <f>IF(C25&lt;=HangarHoursPerWeek,1,0)</f>
        <v>1</v>
      </c>
    </row>
    <row r="26" spans="1:4" x14ac:dyDescent="0.35">
      <c r="A26">
        <v>22</v>
      </c>
      <c r="B26">
        <f>SUMIFS(tQueue[JobHours],tQueue[PriorityRank],A26)</f>
        <v>4.5</v>
      </c>
      <c r="C26">
        <f>SUMIFS(tQueue[JobHours],tQueue[PriorityRank],"&lt;="&amp;A26)</f>
        <v>99</v>
      </c>
      <c r="D26">
        <f>IF(C26&lt;=HangarHoursPerWeek,1,0)</f>
        <v>1</v>
      </c>
    </row>
    <row r="27" spans="1:4" x14ac:dyDescent="0.35">
      <c r="A27">
        <v>23</v>
      </c>
      <c r="B27">
        <f>SUMIFS(tQueue[JobHours],tQueue[PriorityRank],A27)</f>
        <v>4.5</v>
      </c>
      <c r="C27">
        <f>SUMIFS(tQueue[JobHours],tQueue[PriorityRank],"&lt;="&amp;A27)</f>
        <v>103.5</v>
      </c>
      <c r="D27">
        <f>IF(C27&lt;=HangarHoursPerWeek,1,0)</f>
        <v>1</v>
      </c>
    </row>
    <row r="28" spans="1:4" x14ac:dyDescent="0.35">
      <c r="A28">
        <v>24</v>
      </c>
      <c r="B28">
        <f>SUMIFS(tQueue[JobHours],tQueue[PriorityRank],A28)</f>
        <v>4.5</v>
      </c>
      <c r="C28">
        <f>SUMIFS(tQueue[JobHours],tQueue[PriorityRank],"&lt;="&amp;A28)</f>
        <v>108</v>
      </c>
      <c r="D28">
        <f>IF(C28&lt;=HangarHoursPerWeek,1,0)</f>
        <v>1</v>
      </c>
    </row>
    <row r="29" spans="1:4" x14ac:dyDescent="0.35">
      <c r="A29">
        <v>25</v>
      </c>
      <c r="B29">
        <f>SUMIFS(tQueue[JobHours],tQueue[PriorityRank],A29)</f>
        <v>4.5</v>
      </c>
      <c r="C29">
        <f>SUMIFS(tQueue[JobHours],tQueue[PriorityRank],"&lt;="&amp;A29)</f>
        <v>112.5</v>
      </c>
      <c r="D29">
        <f>IF(C29&lt;=HangarHoursPerWeek,1,0)</f>
        <v>1</v>
      </c>
    </row>
    <row r="30" spans="1:4" x14ac:dyDescent="0.35">
      <c r="A30">
        <v>26</v>
      </c>
      <c r="B30">
        <f>SUMIFS(tQueue[JobHours],tQueue[PriorityRank],A30)</f>
        <v>4.5</v>
      </c>
      <c r="C30">
        <f>SUMIFS(tQueue[JobHours],tQueue[PriorityRank],"&lt;="&amp;A30)</f>
        <v>117</v>
      </c>
      <c r="D30">
        <f>IF(C30&lt;=HangarHoursPerWeek,1,0)</f>
        <v>1</v>
      </c>
    </row>
    <row r="31" spans="1:4" x14ac:dyDescent="0.35">
      <c r="A31">
        <v>27</v>
      </c>
      <c r="B31">
        <f>SUMIFS(tQueue[JobHours],tQueue[PriorityRank],A31)</f>
        <v>4.5</v>
      </c>
      <c r="C31">
        <f>SUMIFS(tQueue[JobHours],tQueue[PriorityRank],"&lt;="&amp;A31)</f>
        <v>121.5</v>
      </c>
      <c r="D31">
        <f>IF(C31&lt;=HangarHoursPerWeek,1,0)</f>
        <v>0</v>
      </c>
    </row>
    <row r="32" spans="1:4" x14ac:dyDescent="0.35">
      <c r="A32">
        <v>28</v>
      </c>
      <c r="B32">
        <f>SUMIFS(tQueue[JobHours],tQueue[PriorityRank],A32)</f>
        <v>4.5</v>
      </c>
      <c r="C32">
        <f>SUMIFS(tQueue[JobHours],tQueue[PriorityRank],"&lt;="&amp;A32)</f>
        <v>126</v>
      </c>
      <c r="D32">
        <f>IF(C32&lt;=HangarHoursPerWeek,1,0)</f>
        <v>0</v>
      </c>
    </row>
    <row r="33" spans="1:4" x14ac:dyDescent="0.35">
      <c r="A33">
        <v>29</v>
      </c>
      <c r="B33">
        <f>SUMIFS(tQueue[JobHours],tQueue[PriorityRank],A33)</f>
        <v>4.5</v>
      </c>
      <c r="C33">
        <f>SUMIFS(tQueue[JobHours],tQueue[PriorityRank],"&lt;="&amp;A33)</f>
        <v>130.5</v>
      </c>
      <c r="D33">
        <f>IF(C33&lt;=HangarHoursPerWeek,1,0)</f>
        <v>0</v>
      </c>
    </row>
    <row r="34" spans="1:4" x14ac:dyDescent="0.35">
      <c r="A34">
        <v>30</v>
      </c>
      <c r="B34">
        <f>SUMIFS(tQueue[JobHours],tQueue[PriorityRank],A34)</f>
        <v>4.5</v>
      </c>
      <c r="C34">
        <f>SUMIFS(tQueue[JobHours],tQueue[PriorityRank],"&lt;="&amp;A34)</f>
        <v>135</v>
      </c>
      <c r="D34">
        <f>IF(C34&lt;=HangarHoursPerWeek,1,0)</f>
        <v>0</v>
      </c>
    </row>
    <row r="35" spans="1:4" x14ac:dyDescent="0.35">
      <c r="A35">
        <v>31</v>
      </c>
      <c r="B35">
        <f>SUMIFS(tQueue[JobHours],tQueue[PriorityRank],A35)</f>
        <v>4.5</v>
      </c>
      <c r="C35">
        <f>SUMIFS(tQueue[JobHours],tQueue[PriorityRank],"&lt;="&amp;A35)</f>
        <v>139.5</v>
      </c>
      <c r="D35">
        <f>IF(C35&lt;=HangarHoursPerWeek,1,0)</f>
        <v>0</v>
      </c>
    </row>
    <row r="36" spans="1:4" x14ac:dyDescent="0.35">
      <c r="A36">
        <v>32</v>
      </c>
      <c r="B36">
        <f>SUMIFS(tQueue[JobHours],tQueue[PriorityRank],A36)</f>
        <v>4.5</v>
      </c>
      <c r="C36">
        <f>SUMIFS(tQueue[JobHours],tQueue[PriorityRank],"&lt;="&amp;A36)</f>
        <v>144</v>
      </c>
      <c r="D36">
        <f>IF(C36&lt;=HangarHoursPerWeek,1,0)</f>
        <v>0</v>
      </c>
    </row>
    <row r="37" spans="1:4" x14ac:dyDescent="0.35">
      <c r="A37">
        <v>33</v>
      </c>
      <c r="B37">
        <f>SUMIFS(tQueue[JobHours],tQueue[PriorityRank],A37)</f>
        <v>4.5</v>
      </c>
      <c r="C37">
        <f>SUMIFS(tQueue[JobHours],tQueue[PriorityRank],"&lt;="&amp;A37)</f>
        <v>148.5</v>
      </c>
      <c r="D37">
        <f>IF(C37&lt;=HangarHoursPerWeek,1,0)</f>
        <v>0</v>
      </c>
    </row>
    <row r="38" spans="1:4" x14ac:dyDescent="0.35">
      <c r="A38">
        <v>34</v>
      </c>
      <c r="B38">
        <f>SUMIFS(tQueue[JobHours],tQueue[PriorityRank],A38)</f>
        <v>4.5</v>
      </c>
      <c r="C38">
        <f>SUMIFS(tQueue[JobHours],tQueue[PriorityRank],"&lt;="&amp;A38)</f>
        <v>153</v>
      </c>
      <c r="D38">
        <f>IF(C38&lt;=HangarHoursPerWeek,1,0)</f>
        <v>0</v>
      </c>
    </row>
    <row r="39" spans="1:4" x14ac:dyDescent="0.35">
      <c r="A39">
        <v>35</v>
      </c>
      <c r="B39">
        <f>SUMIFS(tQueue[JobHours],tQueue[PriorityRank],A39)</f>
        <v>4.5</v>
      </c>
      <c r="C39">
        <f>SUMIFS(tQueue[JobHours],tQueue[PriorityRank],"&lt;="&amp;A39)</f>
        <v>157.5</v>
      </c>
      <c r="D39">
        <f>IF(C39&lt;=HangarHoursPerWeek,1,0)</f>
        <v>0</v>
      </c>
    </row>
    <row r="40" spans="1:4" x14ac:dyDescent="0.35">
      <c r="A40">
        <v>36</v>
      </c>
      <c r="B40">
        <f>SUMIFS(tQueue[JobHours],tQueue[PriorityRank],A40)</f>
        <v>4.5</v>
      </c>
      <c r="C40">
        <f>SUMIFS(tQueue[JobHours],tQueue[PriorityRank],"&lt;="&amp;A40)</f>
        <v>162</v>
      </c>
      <c r="D40">
        <f>IF(C40&lt;=HangarHoursPerWeek,1,0)</f>
        <v>0</v>
      </c>
    </row>
    <row r="41" spans="1:4" x14ac:dyDescent="0.35">
      <c r="A41">
        <v>37</v>
      </c>
      <c r="B41">
        <f>SUMIFS(tQueue[JobHours],tQueue[PriorityRank],A41)</f>
        <v>4.5</v>
      </c>
      <c r="C41">
        <f>SUMIFS(tQueue[JobHours],tQueue[PriorityRank],"&lt;="&amp;A41)</f>
        <v>166.5</v>
      </c>
      <c r="D41">
        <f>IF(C41&lt;=HangarHoursPerWeek,1,0)</f>
        <v>0</v>
      </c>
    </row>
    <row r="42" spans="1:4" x14ac:dyDescent="0.35">
      <c r="A42">
        <v>38</v>
      </c>
      <c r="B42">
        <f>SUMIFS(tQueue[JobHours],tQueue[PriorityRank],A42)</f>
        <v>4.5</v>
      </c>
      <c r="C42">
        <f>SUMIFS(tQueue[JobHours],tQueue[PriorityRank],"&lt;="&amp;A42)</f>
        <v>171</v>
      </c>
      <c r="D42">
        <f>IF(C42&lt;=HangarHoursPerWeek,1,0)</f>
        <v>0</v>
      </c>
    </row>
    <row r="43" spans="1:4" x14ac:dyDescent="0.35">
      <c r="A43">
        <v>39</v>
      </c>
      <c r="B43">
        <f>SUMIFS(tQueue[JobHours],tQueue[PriorityRank],A43)</f>
        <v>4.5</v>
      </c>
      <c r="C43">
        <f>SUMIFS(tQueue[JobHours],tQueue[PriorityRank],"&lt;="&amp;A43)</f>
        <v>175.5</v>
      </c>
      <c r="D43">
        <f>IF(C43&lt;=HangarHoursPerWeek,1,0)</f>
        <v>0</v>
      </c>
    </row>
    <row r="44" spans="1:4" x14ac:dyDescent="0.35">
      <c r="A44">
        <v>40</v>
      </c>
      <c r="B44">
        <f>SUMIFS(tQueue[JobHours],tQueue[PriorityRank],A44)</f>
        <v>4.5</v>
      </c>
      <c r="C44">
        <f>SUMIFS(tQueue[JobHours],tQueue[PriorityRank],"&lt;="&amp;A44)</f>
        <v>180</v>
      </c>
      <c r="D44">
        <f>IF(C44&lt;=HangarHoursPerWeek,1,0)</f>
        <v>0</v>
      </c>
    </row>
    <row r="45" spans="1:4" x14ac:dyDescent="0.35">
      <c r="A45">
        <v>41</v>
      </c>
      <c r="B45">
        <f>SUMIFS(tQueue[JobHours],tQueue[PriorityRank],A45)</f>
        <v>4.5</v>
      </c>
      <c r="C45">
        <f>SUMIFS(tQueue[JobHours],tQueue[PriorityRank],"&lt;="&amp;A45)</f>
        <v>184.5</v>
      </c>
      <c r="D45">
        <f>IF(C45&lt;=HangarHoursPerWeek,1,0)</f>
        <v>0</v>
      </c>
    </row>
    <row r="46" spans="1:4" x14ac:dyDescent="0.35">
      <c r="A46">
        <v>42</v>
      </c>
      <c r="B46">
        <f>SUMIFS(tQueue[JobHours],tQueue[PriorityRank],A46)</f>
        <v>4.5</v>
      </c>
      <c r="C46">
        <f>SUMIFS(tQueue[JobHours],tQueue[PriorityRank],"&lt;="&amp;A46)</f>
        <v>189</v>
      </c>
      <c r="D46">
        <f>IF(C46&lt;=HangarHoursPerWeek,1,0)</f>
        <v>0</v>
      </c>
    </row>
    <row r="47" spans="1:4" x14ac:dyDescent="0.35">
      <c r="A47">
        <v>43</v>
      </c>
      <c r="B47">
        <f>SUMIFS(tQueue[JobHours],tQueue[PriorityRank],A47)</f>
        <v>4.5</v>
      </c>
      <c r="C47">
        <f>SUMIFS(tQueue[JobHours],tQueue[PriorityRank],"&lt;="&amp;A47)</f>
        <v>193.5</v>
      </c>
      <c r="D47">
        <f>IF(C47&lt;=HangarHoursPerWeek,1,0)</f>
        <v>0</v>
      </c>
    </row>
    <row r="48" spans="1:4" x14ac:dyDescent="0.35">
      <c r="A48">
        <v>44</v>
      </c>
      <c r="B48">
        <f>SUMIFS(tQueue[JobHours],tQueue[PriorityRank],A48)</f>
        <v>4.5</v>
      </c>
      <c r="C48">
        <f>SUMIFS(tQueue[JobHours],tQueue[PriorityRank],"&lt;="&amp;A48)</f>
        <v>198</v>
      </c>
      <c r="D48">
        <f>IF(C48&lt;=HangarHoursPerWeek,1,0)</f>
        <v>0</v>
      </c>
    </row>
    <row r="49" spans="1:4" x14ac:dyDescent="0.35">
      <c r="A49">
        <v>45</v>
      </c>
      <c r="B49">
        <f>SUMIFS(tQueue[JobHours],tQueue[PriorityRank],A49)</f>
        <v>4.5</v>
      </c>
      <c r="C49">
        <f>SUMIFS(tQueue[JobHours],tQueue[PriorityRank],"&lt;="&amp;A49)</f>
        <v>202.5</v>
      </c>
      <c r="D49">
        <f>IF(C49&lt;=HangarHoursPerWeek,1,0)</f>
        <v>0</v>
      </c>
    </row>
    <row r="50" spans="1:4" x14ac:dyDescent="0.35">
      <c r="A50">
        <v>46</v>
      </c>
      <c r="B50">
        <f>SUMIFS(tQueue[JobHours],tQueue[PriorityRank],A50)</f>
        <v>4.5</v>
      </c>
      <c r="C50">
        <f>SUMIFS(tQueue[JobHours],tQueue[PriorityRank],"&lt;="&amp;A50)</f>
        <v>207</v>
      </c>
      <c r="D50">
        <f>IF(C50&lt;=HangarHoursPerWeek,1,0)</f>
        <v>0</v>
      </c>
    </row>
    <row r="51" spans="1:4" x14ac:dyDescent="0.35">
      <c r="A51">
        <v>47</v>
      </c>
      <c r="B51">
        <f>SUMIFS(tQueue[JobHours],tQueue[PriorityRank],A51)</f>
        <v>4.5</v>
      </c>
      <c r="C51">
        <f>SUMIFS(tQueue[JobHours],tQueue[PriorityRank],"&lt;="&amp;A51)</f>
        <v>211.5</v>
      </c>
      <c r="D51">
        <f>IF(C51&lt;=HangarHoursPerWeek,1,0)</f>
        <v>0</v>
      </c>
    </row>
    <row r="52" spans="1:4" x14ac:dyDescent="0.35">
      <c r="A52">
        <v>48</v>
      </c>
      <c r="B52">
        <f>SUMIFS(tQueue[JobHours],tQueue[PriorityRank],A52)</f>
        <v>4.5</v>
      </c>
      <c r="C52">
        <f>SUMIFS(tQueue[JobHours],tQueue[PriorityRank],"&lt;="&amp;A52)</f>
        <v>216</v>
      </c>
      <c r="D52">
        <f>IF(C52&lt;=HangarHoursPerWeek,1,0)</f>
        <v>0</v>
      </c>
    </row>
    <row r="53" spans="1:4" x14ac:dyDescent="0.35">
      <c r="A53">
        <v>49</v>
      </c>
      <c r="B53">
        <f>SUMIFS(tQueue[JobHours],tQueue[PriorityRank],A53)</f>
        <v>4.5</v>
      </c>
      <c r="C53">
        <f>SUMIFS(tQueue[JobHours],tQueue[PriorityRank],"&lt;="&amp;A53)</f>
        <v>220.5</v>
      </c>
      <c r="D53">
        <f>IF(C53&lt;=HangarHoursPerWeek,1,0)</f>
        <v>0</v>
      </c>
    </row>
    <row r="54" spans="1:4" x14ac:dyDescent="0.35">
      <c r="A54">
        <v>50</v>
      </c>
      <c r="B54">
        <f>SUMIFS(tQueue[JobHours],tQueue[PriorityRank],A54)</f>
        <v>4.5</v>
      </c>
      <c r="C54">
        <f>SUMIFS(tQueue[JobHours],tQueue[PriorityRank],"&lt;="&amp;A54)</f>
        <v>225</v>
      </c>
      <c r="D54">
        <f>IF(C54&lt;=HangarHoursPerWeek,1,0)</f>
        <v>0</v>
      </c>
    </row>
    <row r="55" spans="1:4" x14ac:dyDescent="0.35">
      <c r="A55">
        <v>51</v>
      </c>
      <c r="B55">
        <f>SUMIFS(tQueue[JobHours],tQueue[PriorityRank],A55)</f>
        <v>4.5</v>
      </c>
      <c r="C55">
        <f>SUMIFS(tQueue[JobHours],tQueue[PriorityRank],"&lt;="&amp;A55)</f>
        <v>229.5</v>
      </c>
      <c r="D55">
        <f>IF(C55&lt;=HangarHoursPerWeek,1,0)</f>
        <v>0</v>
      </c>
    </row>
    <row r="56" spans="1:4" x14ac:dyDescent="0.35">
      <c r="A56">
        <v>52</v>
      </c>
      <c r="B56">
        <f>SUMIFS(tQueue[JobHours],tQueue[PriorityRank],A56)</f>
        <v>4.5</v>
      </c>
      <c r="C56">
        <f>SUMIFS(tQueue[JobHours],tQueue[PriorityRank],"&lt;="&amp;A56)</f>
        <v>234</v>
      </c>
      <c r="D56">
        <f>IF(C56&lt;=HangarHoursPerWeek,1,0)</f>
        <v>0</v>
      </c>
    </row>
    <row r="57" spans="1:4" x14ac:dyDescent="0.35">
      <c r="A57">
        <v>53</v>
      </c>
      <c r="B57">
        <f>SUMIFS(tQueue[JobHours],tQueue[PriorityRank],A57)</f>
        <v>4.5</v>
      </c>
      <c r="C57">
        <f>SUMIFS(tQueue[JobHours],tQueue[PriorityRank],"&lt;="&amp;A57)</f>
        <v>238.5</v>
      </c>
      <c r="D57">
        <f>IF(C57&lt;=HangarHoursPerWeek,1,0)</f>
        <v>0</v>
      </c>
    </row>
    <row r="58" spans="1:4" x14ac:dyDescent="0.35">
      <c r="A58">
        <v>54</v>
      </c>
      <c r="B58">
        <f>SUMIFS(tQueue[JobHours],tQueue[PriorityRank],A58)</f>
        <v>4.5</v>
      </c>
      <c r="C58">
        <f>SUMIFS(tQueue[JobHours],tQueue[PriorityRank],"&lt;="&amp;A58)</f>
        <v>243</v>
      </c>
      <c r="D58">
        <f>IF(C58&lt;=HangarHoursPerWeek,1,0)</f>
        <v>0</v>
      </c>
    </row>
    <row r="59" spans="1:4" x14ac:dyDescent="0.35">
      <c r="A59">
        <v>55</v>
      </c>
      <c r="B59">
        <f>SUMIFS(tQueue[JobHours],tQueue[PriorityRank],A59)</f>
        <v>4.5</v>
      </c>
      <c r="C59">
        <f>SUMIFS(tQueue[JobHours],tQueue[PriorityRank],"&lt;="&amp;A59)</f>
        <v>247.5</v>
      </c>
      <c r="D59">
        <f>IF(C59&lt;=HangarHoursPerWeek,1,0)</f>
        <v>0</v>
      </c>
    </row>
    <row r="60" spans="1:4" x14ac:dyDescent="0.35">
      <c r="A60">
        <v>56</v>
      </c>
      <c r="B60">
        <f>SUMIFS(tQueue[JobHours],tQueue[PriorityRank],A60)</f>
        <v>4.5</v>
      </c>
      <c r="C60">
        <f>SUMIFS(tQueue[JobHours],tQueue[PriorityRank],"&lt;="&amp;A60)</f>
        <v>252</v>
      </c>
      <c r="D60">
        <f>IF(C60&lt;=HangarHoursPerWeek,1,0)</f>
        <v>0</v>
      </c>
    </row>
    <row r="61" spans="1:4" x14ac:dyDescent="0.35">
      <c r="A61">
        <v>57</v>
      </c>
      <c r="B61">
        <f>SUMIFS(tQueue[JobHours],tQueue[PriorityRank],A61)</f>
        <v>4.5</v>
      </c>
      <c r="C61">
        <f>SUMIFS(tQueue[JobHours],tQueue[PriorityRank],"&lt;="&amp;A61)</f>
        <v>256.5</v>
      </c>
      <c r="D61">
        <f>IF(C61&lt;=HangarHoursPerWeek,1,0)</f>
        <v>0</v>
      </c>
    </row>
    <row r="62" spans="1:4" x14ac:dyDescent="0.35">
      <c r="A62">
        <v>58</v>
      </c>
      <c r="B62">
        <f>SUMIFS(tQueue[JobHours],tQueue[PriorityRank],A62)</f>
        <v>4.5</v>
      </c>
      <c r="C62">
        <f>SUMIFS(tQueue[JobHours],tQueue[PriorityRank],"&lt;="&amp;A62)</f>
        <v>261</v>
      </c>
      <c r="D62">
        <f>IF(C62&lt;=HangarHoursPerWeek,1,0)</f>
        <v>0</v>
      </c>
    </row>
    <row r="63" spans="1:4" x14ac:dyDescent="0.35">
      <c r="A63">
        <v>59</v>
      </c>
      <c r="B63">
        <f>SUMIFS(tQueue[JobHours],tQueue[PriorityRank],A63)</f>
        <v>4.5</v>
      </c>
      <c r="C63">
        <f>SUMIFS(tQueue[JobHours],tQueue[PriorityRank],"&lt;="&amp;A63)</f>
        <v>265.5</v>
      </c>
      <c r="D63">
        <f>IF(C63&lt;=HangarHoursPerWeek,1,0)</f>
        <v>0</v>
      </c>
    </row>
    <row r="64" spans="1:4" x14ac:dyDescent="0.35">
      <c r="A64">
        <v>60</v>
      </c>
      <c r="B64">
        <f>SUMIFS(tQueue[JobHours],tQueue[PriorityRank],A64)</f>
        <v>4.5</v>
      </c>
      <c r="C64">
        <f>SUMIFS(tQueue[JobHours],tQueue[PriorityRank],"&lt;="&amp;A64)</f>
        <v>270</v>
      </c>
      <c r="D64">
        <f>IF(C64&lt;=HangarHoursPerWeek,1,0)</f>
        <v>0</v>
      </c>
    </row>
    <row r="65" spans="1:4" x14ac:dyDescent="0.35">
      <c r="A65">
        <v>61</v>
      </c>
      <c r="B65">
        <f>SUMIFS(tQueue[JobHours],tQueue[PriorityRank],A65)</f>
        <v>4.5</v>
      </c>
      <c r="C65">
        <f>SUMIFS(tQueue[JobHours],tQueue[PriorityRank],"&lt;="&amp;A65)</f>
        <v>274.5</v>
      </c>
      <c r="D65">
        <f>IF(C65&lt;=HangarHoursPerWeek,1,0)</f>
        <v>0</v>
      </c>
    </row>
    <row r="66" spans="1:4" x14ac:dyDescent="0.35">
      <c r="A66">
        <v>62</v>
      </c>
      <c r="B66">
        <f>SUMIFS(tQueue[JobHours],tQueue[PriorityRank],A66)</f>
        <v>4.5</v>
      </c>
      <c r="C66">
        <f>SUMIFS(tQueue[JobHours],tQueue[PriorityRank],"&lt;="&amp;A66)</f>
        <v>279</v>
      </c>
      <c r="D66">
        <f>IF(C66&lt;=HangarHoursPerWeek,1,0)</f>
        <v>0</v>
      </c>
    </row>
    <row r="67" spans="1:4" x14ac:dyDescent="0.35">
      <c r="A67">
        <v>63</v>
      </c>
      <c r="B67">
        <f>SUMIFS(tQueue[JobHours],tQueue[PriorityRank],A67)</f>
        <v>4.5</v>
      </c>
      <c r="C67">
        <f>SUMIFS(tQueue[JobHours],tQueue[PriorityRank],"&lt;="&amp;A67)</f>
        <v>283.5</v>
      </c>
      <c r="D67">
        <f>IF(C67&lt;=HangarHoursPerWeek,1,0)</f>
        <v>0</v>
      </c>
    </row>
    <row r="68" spans="1:4" x14ac:dyDescent="0.35">
      <c r="A68">
        <v>64</v>
      </c>
      <c r="B68">
        <f>SUMIFS(tQueue[JobHours],tQueue[PriorityRank],A68)</f>
        <v>4.5</v>
      </c>
      <c r="C68">
        <f>SUMIFS(tQueue[JobHours],tQueue[PriorityRank],"&lt;="&amp;A68)</f>
        <v>288</v>
      </c>
      <c r="D68">
        <f>IF(C68&lt;=HangarHoursPerWeek,1,0)</f>
        <v>0</v>
      </c>
    </row>
    <row r="69" spans="1:4" x14ac:dyDescent="0.35">
      <c r="A69">
        <v>65</v>
      </c>
      <c r="B69">
        <f>SUMIFS(tQueue[JobHours],tQueue[PriorityRank],A69)</f>
        <v>4.5</v>
      </c>
      <c r="C69">
        <f>SUMIFS(tQueue[JobHours],tQueue[PriorityRank],"&lt;="&amp;A69)</f>
        <v>292.5</v>
      </c>
      <c r="D69">
        <f>IF(C69&lt;=HangarHoursPerWeek,1,0)</f>
        <v>0</v>
      </c>
    </row>
    <row r="70" spans="1:4" x14ac:dyDescent="0.35">
      <c r="A70">
        <v>66</v>
      </c>
      <c r="B70">
        <f>SUMIFS(tQueue[JobHours],tQueue[PriorityRank],A70)</f>
        <v>4.5</v>
      </c>
      <c r="C70">
        <f>SUMIFS(tQueue[JobHours],tQueue[PriorityRank],"&lt;="&amp;A70)</f>
        <v>297</v>
      </c>
      <c r="D70">
        <f>IF(C70&lt;=HangarHoursPerWeek,1,0)</f>
        <v>0</v>
      </c>
    </row>
    <row r="71" spans="1:4" x14ac:dyDescent="0.35">
      <c r="A71">
        <v>67</v>
      </c>
      <c r="B71">
        <f>SUMIFS(tQueue[JobHours],tQueue[PriorityRank],A71)</f>
        <v>4.5</v>
      </c>
      <c r="C71">
        <f>SUMIFS(tQueue[JobHours],tQueue[PriorityRank],"&lt;="&amp;A71)</f>
        <v>301.5</v>
      </c>
      <c r="D71">
        <f>IF(C71&lt;=HangarHoursPerWeek,1,0)</f>
        <v>0</v>
      </c>
    </row>
    <row r="72" spans="1:4" x14ac:dyDescent="0.35">
      <c r="A72">
        <v>68</v>
      </c>
      <c r="B72">
        <f>SUMIFS(tQueue[JobHours],tQueue[PriorityRank],A72)</f>
        <v>4.5</v>
      </c>
      <c r="C72">
        <f>SUMIFS(tQueue[JobHours],tQueue[PriorityRank],"&lt;="&amp;A72)</f>
        <v>306</v>
      </c>
      <c r="D72">
        <f>IF(C72&lt;=HangarHoursPerWeek,1,0)</f>
        <v>0</v>
      </c>
    </row>
    <row r="73" spans="1:4" x14ac:dyDescent="0.35">
      <c r="A73">
        <v>69</v>
      </c>
      <c r="B73">
        <f>SUMIFS(tQueue[JobHours],tQueue[PriorityRank],A73)</f>
        <v>4.5</v>
      </c>
      <c r="C73">
        <f>SUMIFS(tQueue[JobHours],tQueue[PriorityRank],"&lt;="&amp;A73)</f>
        <v>310.5</v>
      </c>
      <c r="D73">
        <f>IF(C73&lt;=HangarHoursPerWeek,1,0)</f>
        <v>0</v>
      </c>
    </row>
    <row r="74" spans="1:4" x14ac:dyDescent="0.35">
      <c r="A74">
        <v>70</v>
      </c>
      <c r="B74">
        <f>SUMIFS(tQueue[JobHours],tQueue[PriorityRank],A74)</f>
        <v>4.5</v>
      </c>
      <c r="C74">
        <f>SUMIFS(tQueue[JobHours],tQueue[PriorityRank],"&lt;="&amp;A74)</f>
        <v>315</v>
      </c>
      <c r="D74">
        <f>IF(C74&lt;=HangarHoursPerWeek,1,0)</f>
        <v>0</v>
      </c>
    </row>
    <row r="75" spans="1:4" x14ac:dyDescent="0.35">
      <c r="A75">
        <v>71</v>
      </c>
      <c r="B75">
        <f>SUMIFS(tQueue[JobHours],tQueue[PriorityRank],A75)</f>
        <v>4.5</v>
      </c>
      <c r="C75">
        <f>SUMIFS(tQueue[JobHours],tQueue[PriorityRank],"&lt;="&amp;A75)</f>
        <v>319.5</v>
      </c>
      <c r="D75">
        <f>IF(C75&lt;=HangarHoursPerWeek,1,0)</f>
        <v>0</v>
      </c>
    </row>
    <row r="76" spans="1:4" x14ac:dyDescent="0.35">
      <c r="A76">
        <v>72</v>
      </c>
      <c r="B76">
        <f>SUMIFS(tQueue[JobHours],tQueue[PriorityRank],A76)</f>
        <v>4.5</v>
      </c>
      <c r="C76">
        <f>SUMIFS(tQueue[JobHours],tQueue[PriorityRank],"&lt;="&amp;A76)</f>
        <v>324</v>
      </c>
      <c r="D76">
        <f>IF(C76&lt;=HangarHoursPerWeek,1,0)</f>
        <v>0</v>
      </c>
    </row>
    <row r="77" spans="1:4" x14ac:dyDescent="0.35">
      <c r="A77">
        <v>73</v>
      </c>
      <c r="B77">
        <f>SUMIFS(tQueue[JobHours],tQueue[PriorityRank],A77)</f>
        <v>4.5</v>
      </c>
      <c r="C77">
        <f>SUMIFS(tQueue[JobHours],tQueue[PriorityRank],"&lt;="&amp;A77)</f>
        <v>328.5</v>
      </c>
      <c r="D77">
        <f>IF(C77&lt;=HangarHoursPerWeek,1,0)</f>
        <v>0</v>
      </c>
    </row>
    <row r="78" spans="1:4" x14ac:dyDescent="0.35">
      <c r="A78">
        <v>74</v>
      </c>
      <c r="B78">
        <f>SUMIFS(tQueue[JobHours],tQueue[PriorityRank],A78)</f>
        <v>4.5</v>
      </c>
      <c r="C78">
        <f>SUMIFS(tQueue[JobHours],tQueue[PriorityRank],"&lt;="&amp;A78)</f>
        <v>333</v>
      </c>
      <c r="D78">
        <f>IF(C78&lt;=HangarHoursPerWeek,1,0)</f>
        <v>0</v>
      </c>
    </row>
    <row r="79" spans="1:4" x14ac:dyDescent="0.35">
      <c r="A79">
        <v>75</v>
      </c>
      <c r="B79">
        <f>SUMIFS(tQueue[JobHours],tQueue[PriorityRank],A79)</f>
        <v>4.5</v>
      </c>
      <c r="C79">
        <f>SUMIFS(tQueue[JobHours],tQueue[PriorityRank],"&lt;="&amp;A79)</f>
        <v>337.5</v>
      </c>
      <c r="D79">
        <f>IF(C79&lt;=HangarHoursPerWeek,1,0)</f>
        <v>0</v>
      </c>
    </row>
    <row r="80" spans="1:4" x14ac:dyDescent="0.35">
      <c r="A80">
        <v>76</v>
      </c>
      <c r="B80">
        <f>SUMIFS(tQueue[JobHours],tQueue[PriorityRank],A80)</f>
        <v>4.5</v>
      </c>
      <c r="C80">
        <f>SUMIFS(tQueue[JobHours],tQueue[PriorityRank],"&lt;="&amp;A80)</f>
        <v>342</v>
      </c>
      <c r="D80">
        <f>IF(C80&lt;=HangarHoursPerWeek,1,0)</f>
        <v>0</v>
      </c>
    </row>
    <row r="81" spans="1:4" x14ac:dyDescent="0.35">
      <c r="A81">
        <v>77</v>
      </c>
      <c r="B81">
        <f>SUMIFS(tQueue[JobHours],tQueue[PriorityRank],A81)</f>
        <v>4.5</v>
      </c>
      <c r="C81">
        <f>SUMIFS(tQueue[JobHours],tQueue[PriorityRank],"&lt;="&amp;A81)</f>
        <v>346.5</v>
      </c>
      <c r="D81">
        <f>IF(C81&lt;=HangarHoursPerWeek,1,0)</f>
        <v>0</v>
      </c>
    </row>
    <row r="82" spans="1:4" x14ac:dyDescent="0.35">
      <c r="A82">
        <v>78</v>
      </c>
      <c r="B82">
        <f>SUMIFS(tQueue[JobHours],tQueue[PriorityRank],A82)</f>
        <v>4.5</v>
      </c>
      <c r="C82">
        <f>SUMIFS(tQueue[JobHours],tQueue[PriorityRank],"&lt;="&amp;A82)</f>
        <v>351</v>
      </c>
      <c r="D82">
        <f>IF(C82&lt;=HangarHoursPerWeek,1,0)</f>
        <v>0</v>
      </c>
    </row>
    <row r="83" spans="1:4" x14ac:dyDescent="0.35">
      <c r="A83">
        <v>79</v>
      </c>
      <c r="B83">
        <f>SUMIFS(tQueue[JobHours],tQueue[PriorityRank],A83)</f>
        <v>4.5</v>
      </c>
      <c r="C83">
        <f>SUMIFS(tQueue[JobHours],tQueue[PriorityRank],"&lt;="&amp;A83)</f>
        <v>355.5</v>
      </c>
      <c r="D83">
        <f>IF(C83&lt;=HangarHoursPerWeek,1,0)</f>
        <v>0</v>
      </c>
    </row>
    <row r="84" spans="1:4" x14ac:dyDescent="0.35">
      <c r="A84">
        <v>80</v>
      </c>
      <c r="B84">
        <f>SUMIFS(tQueue[JobHours],tQueue[PriorityRank],A84)</f>
        <v>4.5</v>
      </c>
      <c r="C84">
        <f>SUMIFS(tQueue[JobHours],tQueue[PriorityRank],"&lt;="&amp;A84)</f>
        <v>360</v>
      </c>
      <c r="D84">
        <f>IF(C84&lt;=HangarHoursPerWeek,1,0)</f>
        <v>0</v>
      </c>
    </row>
    <row r="85" spans="1:4" x14ac:dyDescent="0.35">
      <c r="A85">
        <v>81</v>
      </c>
      <c r="B85">
        <f>SUMIFS(tQueue[JobHours],tQueue[PriorityRank],A85)</f>
        <v>4.5</v>
      </c>
      <c r="C85">
        <f>SUMIFS(tQueue[JobHours],tQueue[PriorityRank],"&lt;="&amp;A85)</f>
        <v>364.5</v>
      </c>
      <c r="D85">
        <f>IF(C85&lt;=HangarHoursPerWeek,1,0)</f>
        <v>0</v>
      </c>
    </row>
    <row r="86" spans="1:4" x14ac:dyDescent="0.35">
      <c r="A86">
        <v>82</v>
      </c>
      <c r="B86">
        <f>SUMIFS(tQueue[JobHours],tQueue[PriorityRank],A86)</f>
        <v>4.5</v>
      </c>
      <c r="C86">
        <f>SUMIFS(tQueue[JobHours],tQueue[PriorityRank],"&lt;="&amp;A86)</f>
        <v>369</v>
      </c>
      <c r="D86">
        <f>IF(C86&lt;=HangarHoursPerWeek,1,0)</f>
        <v>0</v>
      </c>
    </row>
    <row r="87" spans="1:4" x14ac:dyDescent="0.35">
      <c r="A87">
        <v>83</v>
      </c>
      <c r="B87">
        <f>SUMIFS(tQueue[JobHours],tQueue[PriorityRank],A87)</f>
        <v>4.5</v>
      </c>
      <c r="C87">
        <f>SUMIFS(tQueue[JobHours],tQueue[PriorityRank],"&lt;="&amp;A87)</f>
        <v>373.5</v>
      </c>
      <c r="D87">
        <f>IF(C87&lt;=HangarHoursPerWeek,1,0)</f>
        <v>0</v>
      </c>
    </row>
    <row r="88" spans="1:4" x14ac:dyDescent="0.35">
      <c r="A88">
        <v>84</v>
      </c>
      <c r="B88">
        <f>SUMIFS(tQueue[JobHours],tQueue[PriorityRank],A88)</f>
        <v>4.5</v>
      </c>
      <c r="C88">
        <f>SUMIFS(tQueue[JobHours],tQueue[PriorityRank],"&lt;="&amp;A88)</f>
        <v>378</v>
      </c>
      <c r="D88">
        <f>IF(C88&lt;=HangarHoursPerWeek,1,0)</f>
        <v>0</v>
      </c>
    </row>
    <row r="89" spans="1:4" x14ac:dyDescent="0.35">
      <c r="A89">
        <v>85</v>
      </c>
      <c r="B89">
        <f>SUMIFS(tQueue[JobHours],tQueue[PriorityRank],A89)</f>
        <v>4.5</v>
      </c>
      <c r="C89">
        <f>SUMIFS(tQueue[JobHours],tQueue[PriorityRank],"&lt;="&amp;A89)</f>
        <v>382.5</v>
      </c>
      <c r="D89">
        <f>IF(C89&lt;=HangarHoursPerWeek,1,0)</f>
        <v>0</v>
      </c>
    </row>
    <row r="90" spans="1:4" x14ac:dyDescent="0.35">
      <c r="A90">
        <v>86</v>
      </c>
      <c r="B90">
        <f>SUMIFS(tQueue[JobHours],tQueue[PriorityRank],A90)</f>
        <v>4.5</v>
      </c>
      <c r="C90">
        <f>SUMIFS(tQueue[JobHours],tQueue[PriorityRank],"&lt;="&amp;A90)</f>
        <v>387</v>
      </c>
      <c r="D90">
        <f>IF(C90&lt;=HangarHoursPerWeek,1,0)</f>
        <v>0</v>
      </c>
    </row>
    <row r="91" spans="1:4" x14ac:dyDescent="0.35">
      <c r="A91">
        <v>87</v>
      </c>
      <c r="B91">
        <f>SUMIFS(tQueue[JobHours],tQueue[PriorityRank],A91)</f>
        <v>4.5</v>
      </c>
      <c r="C91">
        <f>SUMIFS(tQueue[JobHours],tQueue[PriorityRank],"&lt;="&amp;A91)</f>
        <v>391.5</v>
      </c>
      <c r="D91">
        <f>IF(C91&lt;=HangarHoursPerWeek,1,0)</f>
        <v>0</v>
      </c>
    </row>
    <row r="92" spans="1:4" x14ac:dyDescent="0.35">
      <c r="A92">
        <v>88</v>
      </c>
      <c r="B92">
        <f>SUMIFS(tQueue[JobHours],tQueue[PriorityRank],A92)</f>
        <v>4.5</v>
      </c>
      <c r="C92">
        <f>SUMIFS(tQueue[JobHours],tQueue[PriorityRank],"&lt;="&amp;A92)</f>
        <v>396</v>
      </c>
      <c r="D92">
        <f>IF(C92&lt;=HangarHoursPerWeek,1,0)</f>
        <v>0</v>
      </c>
    </row>
    <row r="93" spans="1:4" x14ac:dyDescent="0.35">
      <c r="A93">
        <v>89</v>
      </c>
      <c r="B93">
        <f>SUMIFS(tQueue[JobHours],tQueue[PriorityRank],A93)</f>
        <v>4.5</v>
      </c>
      <c r="C93">
        <f>SUMIFS(tQueue[JobHours],tQueue[PriorityRank],"&lt;="&amp;A93)</f>
        <v>400.5</v>
      </c>
      <c r="D93">
        <f>IF(C93&lt;=HangarHoursPerWeek,1,0)</f>
        <v>0</v>
      </c>
    </row>
    <row r="94" spans="1:4" x14ac:dyDescent="0.35">
      <c r="A94">
        <v>90</v>
      </c>
      <c r="B94">
        <f>SUMIFS(tQueue[JobHours],tQueue[PriorityRank],A94)</f>
        <v>4.5</v>
      </c>
      <c r="C94">
        <f>SUMIFS(tQueue[JobHours],tQueue[PriorityRank],"&lt;="&amp;A94)</f>
        <v>405</v>
      </c>
      <c r="D94">
        <f>IF(C94&lt;=HangarHoursPerWeek,1,0)</f>
        <v>0</v>
      </c>
    </row>
    <row r="95" spans="1:4" x14ac:dyDescent="0.35">
      <c r="A95">
        <v>91</v>
      </c>
      <c r="B95">
        <f>SUMIFS(tQueue[JobHours],tQueue[PriorityRank],A95)</f>
        <v>0</v>
      </c>
      <c r="C95">
        <f>SUMIFS(tQueue[JobHours],tQueue[PriorityRank],"&lt;="&amp;A95)</f>
        <v>405</v>
      </c>
      <c r="D95">
        <f>IF(C95&lt;=HangarHoursPerWeek,1,0)</f>
        <v>0</v>
      </c>
    </row>
    <row r="96" spans="1:4" x14ac:dyDescent="0.35">
      <c r="A96">
        <v>92</v>
      </c>
      <c r="B96">
        <f>SUMIFS(tQueue[JobHours],tQueue[PriorityRank],A96)</f>
        <v>0</v>
      </c>
      <c r="C96">
        <f>SUMIFS(tQueue[JobHours],tQueue[PriorityRank],"&lt;="&amp;A96)</f>
        <v>405</v>
      </c>
      <c r="D96">
        <f>IF(C96&lt;=HangarHoursPerWeek,1,0)</f>
        <v>0</v>
      </c>
    </row>
    <row r="97" spans="1:4" x14ac:dyDescent="0.35">
      <c r="A97">
        <v>93</v>
      </c>
      <c r="B97">
        <f>SUMIFS(tQueue[JobHours],tQueue[PriorityRank],A97)</f>
        <v>0</v>
      </c>
      <c r="C97">
        <f>SUMIFS(tQueue[JobHours],tQueue[PriorityRank],"&lt;="&amp;A97)</f>
        <v>405</v>
      </c>
      <c r="D97">
        <f>IF(C97&lt;=HangarHoursPerWeek,1,0)</f>
        <v>0</v>
      </c>
    </row>
    <row r="98" spans="1:4" x14ac:dyDescent="0.35">
      <c r="A98">
        <v>94</v>
      </c>
      <c r="B98">
        <f>SUMIFS(tQueue[JobHours],tQueue[PriorityRank],A98)</f>
        <v>0</v>
      </c>
      <c r="C98">
        <f>SUMIFS(tQueue[JobHours],tQueue[PriorityRank],"&lt;="&amp;A98)</f>
        <v>405</v>
      </c>
      <c r="D98">
        <f>IF(C98&lt;=HangarHoursPerWeek,1,0)</f>
        <v>0</v>
      </c>
    </row>
    <row r="99" spans="1:4" x14ac:dyDescent="0.35">
      <c r="A99">
        <v>95</v>
      </c>
      <c r="B99">
        <f>SUMIFS(tQueue[JobHours],tQueue[PriorityRank],A99)</f>
        <v>0</v>
      </c>
      <c r="C99">
        <f>SUMIFS(tQueue[JobHours],tQueue[PriorityRank],"&lt;="&amp;A99)</f>
        <v>405</v>
      </c>
      <c r="D99">
        <f>IF(C99&lt;=HangarHoursPerWeek,1,0)</f>
        <v>0</v>
      </c>
    </row>
    <row r="100" spans="1:4" x14ac:dyDescent="0.35">
      <c r="A100">
        <v>96</v>
      </c>
      <c r="B100">
        <f>SUMIFS(tQueue[JobHours],tQueue[PriorityRank],A100)</f>
        <v>0</v>
      </c>
      <c r="C100">
        <f>SUMIFS(tQueue[JobHours],tQueue[PriorityRank],"&lt;="&amp;A100)</f>
        <v>405</v>
      </c>
      <c r="D100">
        <f>IF(C100&lt;=HangarHoursPerWeek,1,0)</f>
        <v>0</v>
      </c>
    </row>
    <row r="101" spans="1:4" x14ac:dyDescent="0.35">
      <c r="A101">
        <v>97</v>
      </c>
      <c r="B101">
        <f>SUMIFS(tQueue[JobHours],tQueue[PriorityRank],A101)</f>
        <v>0</v>
      </c>
      <c r="C101">
        <f>SUMIFS(tQueue[JobHours],tQueue[PriorityRank],"&lt;="&amp;A101)</f>
        <v>405</v>
      </c>
      <c r="D101">
        <f>IF(C101&lt;=HangarHoursPerWeek,1,0)</f>
        <v>0</v>
      </c>
    </row>
    <row r="102" spans="1:4" x14ac:dyDescent="0.35">
      <c r="A102">
        <v>98</v>
      </c>
      <c r="B102">
        <f>SUMIFS(tQueue[JobHours],tQueue[PriorityRank],A102)</f>
        <v>0</v>
      </c>
      <c r="C102">
        <f>SUMIFS(tQueue[JobHours],tQueue[PriorityRank],"&lt;="&amp;A102)</f>
        <v>405</v>
      </c>
      <c r="D102">
        <f>IF(C102&lt;=HangarHoursPerWeek,1,0)</f>
        <v>0</v>
      </c>
    </row>
    <row r="103" spans="1:4" x14ac:dyDescent="0.35">
      <c r="A103">
        <v>99</v>
      </c>
      <c r="B103">
        <f>SUMIFS(tQueue[JobHours],tQueue[PriorityRank],A103)</f>
        <v>0</v>
      </c>
      <c r="C103">
        <f>SUMIFS(tQueue[JobHours],tQueue[PriorityRank],"&lt;="&amp;A103)</f>
        <v>405</v>
      </c>
      <c r="D103">
        <f>IF(C103&lt;=HangarHoursPerWeek,1,0)</f>
        <v>0</v>
      </c>
    </row>
    <row r="104" spans="1:4" x14ac:dyDescent="0.35">
      <c r="A104">
        <v>100</v>
      </c>
      <c r="B104">
        <f>SUMIFS(tQueue[JobHours],tQueue[PriorityRank],A104)</f>
        <v>0</v>
      </c>
      <c r="C104">
        <f>SUMIFS(tQueue[JobHours],tQueue[PriorityRank],"&lt;="&amp;A104)</f>
        <v>405</v>
      </c>
      <c r="D104">
        <f>IF(C104&lt;=HangarHoursPerWeek,1,0)</f>
        <v>0</v>
      </c>
    </row>
    <row r="105" spans="1:4" x14ac:dyDescent="0.35">
      <c r="A105">
        <v>101</v>
      </c>
      <c r="B105">
        <f>SUMIFS(tQueue[JobHours],tQueue[PriorityRank],A105)</f>
        <v>0</v>
      </c>
      <c r="C105">
        <f>SUMIFS(tQueue[JobHours],tQueue[PriorityRank],"&lt;="&amp;A105)</f>
        <v>405</v>
      </c>
      <c r="D105">
        <f>IF(C105&lt;=HangarHoursPerWeek,1,0)</f>
        <v>0</v>
      </c>
    </row>
    <row r="106" spans="1:4" x14ac:dyDescent="0.35">
      <c r="A106">
        <v>102</v>
      </c>
      <c r="B106">
        <f>SUMIFS(tQueue[JobHours],tQueue[PriorityRank],A106)</f>
        <v>0</v>
      </c>
      <c r="C106">
        <f>SUMIFS(tQueue[JobHours],tQueue[PriorityRank],"&lt;="&amp;A106)</f>
        <v>405</v>
      </c>
      <c r="D106">
        <f>IF(C106&lt;=HangarHoursPerWeek,1,0)</f>
        <v>0</v>
      </c>
    </row>
    <row r="107" spans="1:4" x14ac:dyDescent="0.35">
      <c r="A107">
        <v>103</v>
      </c>
      <c r="B107">
        <f>SUMIFS(tQueue[JobHours],tQueue[PriorityRank],A107)</f>
        <v>0</v>
      </c>
      <c r="C107">
        <f>SUMIFS(tQueue[JobHours],tQueue[PriorityRank],"&lt;="&amp;A107)</f>
        <v>405</v>
      </c>
      <c r="D107">
        <f>IF(C107&lt;=HangarHoursPerWeek,1,0)</f>
        <v>0</v>
      </c>
    </row>
    <row r="108" spans="1:4" x14ac:dyDescent="0.35">
      <c r="A108">
        <v>104</v>
      </c>
      <c r="B108">
        <f>SUMIFS(tQueue[JobHours],tQueue[PriorityRank],A108)</f>
        <v>0</v>
      </c>
      <c r="C108">
        <f>SUMIFS(tQueue[JobHours],tQueue[PriorityRank],"&lt;="&amp;A108)</f>
        <v>405</v>
      </c>
      <c r="D108">
        <f>IF(C108&lt;=HangarHoursPerWeek,1,0)</f>
        <v>0</v>
      </c>
    </row>
    <row r="109" spans="1:4" x14ac:dyDescent="0.35">
      <c r="A109">
        <v>105</v>
      </c>
      <c r="B109">
        <f>SUMIFS(tQueue[JobHours],tQueue[PriorityRank],A109)</f>
        <v>0</v>
      </c>
      <c r="C109">
        <f>SUMIFS(tQueue[JobHours],tQueue[PriorityRank],"&lt;="&amp;A109)</f>
        <v>405</v>
      </c>
      <c r="D109">
        <f>IF(C109&lt;=HangarHoursPerWeek,1,0)</f>
        <v>0</v>
      </c>
    </row>
    <row r="110" spans="1:4" x14ac:dyDescent="0.35">
      <c r="A110">
        <v>106</v>
      </c>
      <c r="B110">
        <f>SUMIFS(tQueue[JobHours],tQueue[PriorityRank],A110)</f>
        <v>0</v>
      </c>
      <c r="C110">
        <f>SUMIFS(tQueue[JobHours],tQueue[PriorityRank],"&lt;="&amp;A110)</f>
        <v>405</v>
      </c>
      <c r="D110">
        <f>IF(C110&lt;=HangarHoursPerWeek,1,0)</f>
        <v>0</v>
      </c>
    </row>
    <row r="111" spans="1:4" x14ac:dyDescent="0.35">
      <c r="A111">
        <v>107</v>
      </c>
      <c r="B111">
        <f>SUMIFS(tQueue[JobHours],tQueue[PriorityRank],A111)</f>
        <v>0</v>
      </c>
      <c r="C111">
        <f>SUMIFS(tQueue[JobHours],tQueue[PriorityRank],"&lt;="&amp;A111)</f>
        <v>405</v>
      </c>
      <c r="D111">
        <f>IF(C111&lt;=HangarHoursPerWeek,1,0)</f>
        <v>0</v>
      </c>
    </row>
    <row r="112" spans="1:4" x14ac:dyDescent="0.35">
      <c r="A112">
        <v>108</v>
      </c>
      <c r="B112">
        <f>SUMIFS(tQueue[JobHours],tQueue[PriorityRank],A112)</f>
        <v>0</v>
      </c>
      <c r="C112">
        <f>SUMIFS(tQueue[JobHours],tQueue[PriorityRank],"&lt;="&amp;A112)</f>
        <v>405</v>
      </c>
      <c r="D112">
        <f>IF(C112&lt;=HangarHoursPerWeek,1,0)</f>
        <v>0</v>
      </c>
    </row>
    <row r="113" spans="1:4" x14ac:dyDescent="0.35">
      <c r="A113">
        <v>109</v>
      </c>
      <c r="B113">
        <f>SUMIFS(tQueue[JobHours],tQueue[PriorityRank],A113)</f>
        <v>0</v>
      </c>
      <c r="C113">
        <f>SUMIFS(tQueue[JobHours],tQueue[PriorityRank],"&lt;="&amp;A113)</f>
        <v>405</v>
      </c>
      <c r="D113">
        <f>IF(C113&lt;=HangarHoursPerWeek,1,0)</f>
        <v>0</v>
      </c>
    </row>
    <row r="114" spans="1:4" x14ac:dyDescent="0.35">
      <c r="A114">
        <v>110</v>
      </c>
      <c r="B114">
        <f>SUMIFS(tQueue[JobHours],tQueue[PriorityRank],A114)</f>
        <v>0</v>
      </c>
      <c r="C114">
        <f>SUMIFS(tQueue[JobHours],tQueue[PriorityRank],"&lt;="&amp;A114)</f>
        <v>405</v>
      </c>
      <c r="D114">
        <f>IF(C114&lt;=HangarHoursPerWeek,1,0)</f>
        <v>0</v>
      </c>
    </row>
    <row r="115" spans="1:4" x14ac:dyDescent="0.35">
      <c r="A115">
        <v>111</v>
      </c>
      <c r="B115">
        <f>SUMIFS(tQueue[JobHours],tQueue[PriorityRank],A115)</f>
        <v>0</v>
      </c>
      <c r="C115">
        <f>SUMIFS(tQueue[JobHours],tQueue[PriorityRank],"&lt;="&amp;A115)</f>
        <v>405</v>
      </c>
      <c r="D115">
        <f>IF(C115&lt;=HangarHoursPerWeek,1,0)</f>
        <v>0</v>
      </c>
    </row>
    <row r="116" spans="1:4" x14ac:dyDescent="0.35">
      <c r="A116">
        <v>112</v>
      </c>
      <c r="B116">
        <f>SUMIFS(tQueue[JobHours],tQueue[PriorityRank],A116)</f>
        <v>0</v>
      </c>
      <c r="C116">
        <f>SUMIFS(tQueue[JobHours],tQueue[PriorityRank],"&lt;="&amp;A116)</f>
        <v>405</v>
      </c>
      <c r="D116">
        <f>IF(C116&lt;=HangarHoursPerWeek,1,0)</f>
        <v>0</v>
      </c>
    </row>
    <row r="117" spans="1:4" x14ac:dyDescent="0.35">
      <c r="A117">
        <v>113</v>
      </c>
      <c r="B117">
        <f>SUMIFS(tQueue[JobHours],tQueue[PriorityRank],A117)</f>
        <v>0</v>
      </c>
      <c r="C117">
        <f>SUMIFS(tQueue[JobHours],tQueue[PriorityRank],"&lt;="&amp;A117)</f>
        <v>405</v>
      </c>
      <c r="D117">
        <f>IF(C117&lt;=HangarHoursPerWeek,1,0)</f>
        <v>0</v>
      </c>
    </row>
    <row r="118" spans="1:4" x14ac:dyDescent="0.35">
      <c r="A118">
        <v>114</v>
      </c>
      <c r="B118">
        <f>SUMIFS(tQueue[JobHours],tQueue[PriorityRank],A118)</f>
        <v>4.5</v>
      </c>
      <c r="C118">
        <f>SUMIFS(tQueue[JobHours],tQueue[PriorityRank],"&lt;="&amp;A118)</f>
        <v>409.5</v>
      </c>
      <c r="D118">
        <f>IF(C118&lt;=HangarHoursPerWeek,1,0)</f>
        <v>0</v>
      </c>
    </row>
    <row r="119" spans="1:4" x14ac:dyDescent="0.35">
      <c r="A119">
        <v>115</v>
      </c>
      <c r="B119">
        <f>SUMIFS(tQueue[JobHours],tQueue[PriorityRank],A119)</f>
        <v>4.5</v>
      </c>
      <c r="C119">
        <f>SUMIFS(tQueue[JobHours],tQueue[PriorityRank],"&lt;="&amp;A119)</f>
        <v>414</v>
      </c>
      <c r="D119">
        <f>IF(C119&lt;=HangarHoursPerWeek,1,0)</f>
        <v>0</v>
      </c>
    </row>
    <row r="120" spans="1:4" x14ac:dyDescent="0.35">
      <c r="A120">
        <v>116</v>
      </c>
      <c r="B120">
        <f>SUMIFS(tQueue[JobHours],tQueue[PriorityRank],A120)</f>
        <v>4.5</v>
      </c>
      <c r="C120">
        <f>SUMIFS(tQueue[JobHours],tQueue[PriorityRank],"&lt;="&amp;A120)</f>
        <v>418.5</v>
      </c>
      <c r="D120">
        <f>IF(C120&lt;=HangarHoursPerWeek,1,0)</f>
        <v>0</v>
      </c>
    </row>
    <row r="121" spans="1:4" x14ac:dyDescent="0.35">
      <c r="A121">
        <v>117</v>
      </c>
      <c r="B121">
        <f>SUMIFS(tQueue[JobHours],tQueue[PriorityRank],A121)</f>
        <v>4.5</v>
      </c>
      <c r="C121">
        <f>SUMIFS(tQueue[JobHours],tQueue[PriorityRank],"&lt;="&amp;A121)</f>
        <v>423</v>
      </c>
      <c r="D121">
        <f>IF(C121&lt;=HangarHoursPerWeek,1,0)</f>
        <v>0</v>
      </c>
    </row>
    <row r="122" spans="1:4" x14ac:dyDescent="0.35">
      <c r="A122">
        <v>118</v>
      </c>
      <c r="B122">
        <f>SUMIFS(tQueue[JobHours],tQueue[PriorityRank],A122)</f>
        <v>4.5</v>
      </c>
      <c r="C122">
        <f>SUMIFS(tQueue[JobHours],tQueue[PriorityRank],"&lt;="&amp;A122)</f>
        <v>427.5</v>
      </c>
      <c r="D122">
        <f>IF(C122&lt;=HangarHoursPerWeek,1,0)</f>
        <v>0</v>
      </c>
    </row>
    <row r="123" spans="1:4" x14ac:dyDescent="0.35">
      <c r="A123">
        <v>119</v>
      </c>
      <c r="B123">
        <f>SUMIFS(tQueue[JobHours],tQueue[PriorityRank],A123)</f>
        <v>4.5</v>
      </c>
      <c r="C123">
        <f>SUMIFS(tQueue[JobHours],tQueue[PriorityRank],"&lt;="&amp;A123)</f>
        <v>432</v>
      </c>
      <c r="D123">
        <f>IF(C123&lt;=HangarHoursPerWeek,1,0)</f>
        <v>0</v>
      </c>
    </row>
    <row r="124" spans="1:4" x14ac:dyDescent="0.35">
      <c r="A124">
        <v>120</v>
      </c>
      <c r="B124">
        <f>SUMIFS(tQueue[JobHours],tQueue[PriorityRank],A124)</f>
        <v>4.5</v>
      </c>
      <c r="C124">
        <f>SUMIFS(tQueue[JobHours],tQueue[PriorityRank],"&lt;="&amp;A124)</f>
        <v>436.5</v>
      </c>
      <c r="D124">
        <f>IF(C124&lt;=HangarHoursPerWeek,1,0)</f>
        <v>0</v>
      </c>
    </row>
    <row r="125" spans="1:4" x14ac:dyDescent="0.35">
      <c r="A125">
        <v>121</v>
      </c>
      <c r="B125">
        <f>SUMIFS(tQueue[JobHours],tQueue[PriorityRank],A125)</f>
        <v>4.5</v>
      </c>
      <c r="C125">
        <f>SUMIFS(tQueue[JobHours],tQueue[PriorityRank],"&lt;="&amp;A125)</f>
        <v>441</v>
      </c>
      <c r="D125">
        <f>IF(C125&lt;=HangarHoursPerWeek,1,0)</f>
        <v>0</v>
      </c>
    </row>
    <row r="126" spans="1:4" x14ac:dyDescent="0.35">
      <c r="A126">
        <v>122</v>
      </c>
      <c r="B126">
        <f>SUMIFS(tQueue[JobHours],tQueue[PriorityRank],A126)</f>
        <v>4.5</v>
      </c>
      <c r="C126">
        <f>SUMIFS(tQueue[JobHours],tQueue[PriorityRank],"&lt;="&amp;A126)</f>
        <v>445.5</v>
      </c>
      <c r="D126">
        <f>IF(C126&lt;=HangarHoursPerWeek,1,0)</f>
        <v>0</v>
      </c>
    </row>
    <row r="127" spans="1:4" x14ac:dyDescent="0.35">
      <c r="A127">
        <v>123</v>
      </c>
      <c r="B127">
        <f>SUMIFS(tQueue[JobHours],tQueue[PriorityRank],A127)</f>
        <v>4.5</v>
      </c>
      <c r="C127">
        <f>SUMIFS(tQueue[JobHours],tQueue[PriorityRank],"&lt;="&amp;A127)</f>
        <v>450</v>
      </c>
      <c r="D127">
        <f>IF(C127&lt;=HangarHoursPerWeek,1,0)</f>
        <v>0</v>
      </c>
    </row>
    <row r="128" spans="1:4" x14ac:dyDescent="0.35">
      <c r="A128">
        <v>124</v>
      </c>
      <c r="B128">
        <f>SUMIFS(tQueue[JobHours],tQueue[PriorityRank],A128)</f>
        <v>4.5</v>
      </c>
      <c r="C128">
        <f>SUMIFS(tQueue[JobHours],tQueue[PriorityRank],"&lt;="&amp;A128)</f>
        <v>454.5</v>
      </c>
      <c r="D128">
        <f>IF(C128&lt;=HangarHoursPerWeek,1,0)</f>
        <v>0</v>
      </c>
    </row>
    <row r="129" spans="1:4" x14ac:dyDescent="0.35">
      <c r="A129">
        <v>125</v>
      </c>
      <c r="B129">
        <f>SUMIFS(tQueue[JobHours],tQueue[PriorityRank],A129)</f>
        <v>4.5</v>
      </c>
      <c r="C129">
        <f>SUMIFS(tQueue[JobHours],tQueue[PriorityRank],"&lt;="&amp;A129)</f>
        <v>459</v>
      </c>
      <c r="D129">
        <f>IF(C129&lt;=HangarHoursPerWeek,1,0)</f>
        <v>0</v>
      </c>
    </row>
    <row r="130" spans="1:4" x14ac:dyDescent="0.35">
      <c r="A130">
        <v>126</v>
      </c>
      <c r="B130">
        <f>SUMIFS(tQueue[JobHours],tQueue[PriorityRank],A130)</f>
        <v>4.5</v>
      </c>
      <c r="C130">
        <f>SUMIFS(tQueue[JobHours],tQueue[PriorityRank],"&lt;="&amp;A130)</f>
        <v>463.5</v>
      </c>
      <c r="D130">
        <f>IF(C130&lt;=HangarHoursPerWeek,1,0)</f>
        <v>0</v>
      </c>
    </row>
    <row r="131" spans="1:4" x14ac:dyDescent="0.35">
      <c r="A131">
        <v>127</v>
      </c>
      <c r="B131">
        <f>SUMIFS(tQueue[JobHours],tQueue[PriorityRank],A131)</f>
        <v>4.5</v>
      </c>
      <c r="C131">
        <f>SUMIFS(tQueue[JobHours],tQueue[PriorityRank],"&lt;="&amp;A131)</f>
        <v>468</v>
      </c>
      <c r="D131">
        <f>IF(C131&lt;=HangarHoursPerWeek,1,0)</f>
        <v>0</v>
      </c>
    </row>
    <row r="132" spans="1:4" x14ac:dyDescent="0.35">
      <c r="A132">
        <v>128</v>
      </c>
      <c r="B132">
        <f>SUMIFS(tQueue[JobHours],tQueue[PriorityRank],A132)</f>
        <v>4.5</v>
      </c>
      <c r="C132">
        <f>SUMIFS(tQueue[JobHours],tQueue[PriorityRank],"&lt;="&amp;A132)</f>
        <v>472.5</v>
      </c>
      <c r="D132">
        <f>IF(C132&lt;=HangarHoursPerWeek,1,0)</f>
        <v>0</v>
      </c>
    </row>
    <row r="133" spans="1:4" x14ac:dyDescent="0.35">
      <c r="A133">
        <v>129</v>
      </c>
      <c r="B133">
        <f>SUMIFS(tQueue[JobHours],tQueue[PriorityRank],A133)</f>
        <v>4.5</v>
      </c>
      <c r="C133">
        <f>SUMIFS(tQueue[JobHours],tQueue[PriorityRank],"&lt;="&amp;A133)</f>
        <v>477</v>
      </c>
      <c r="D133">
        <f>IF(C133&lt;=HangarHoursPerWeek,1,0)</f>
        <v>0</v>
      </c>
    </row>
    <row r="134" spans="1:4" x14ac:dyDescent="0.35">
      <c r="A134">
        <v>130</v>
      </c>
      <c r="B134">
        <f>SUMIFS(tQueue[JobHours],tQueue[PriorityRank],A134)</f>
        <v>4.5</v>
      </c>
      <c r="C134">
        <f>SUMIFS(tQueue[JobHours],tQueue[PriorityRank],"&lt;="&amp;A134)</f>
        <v>481.5</v>
      </c>
      <c r="D134">
        <f>IF(C134&lt;=HangarHoursPerWeek,1,0)</f>
        <v>0</v>
      </c>
    </row>
    <row r="135" spans="1:4" x14ac:dyDescent="0.35">
      <c r="A135">
        <v>131</v>
      </c>
      <c r="B135">
        <f>SUMIFS(tQueue[JobHours],tQueue[PriorityRank],A135)</f>
        <v>4.5</v>
      </c>
      <c r="C135">
        <f>SUMIFS(tQueue[JobHours],tQueue[PriorityRank],"&lt;="&amp;A135)</f>
        <v>486</v>
      </c>
      <c r="D135">
        <f>IF(C135&lt;=HangarHoursPerWeek,1,0)</f>
        <v>0</v>
      </c>
    </row>
    <row r="136" spans="1:4" x14ac:dyDescent="0.35">
      <c r="A136">
        <v>132</v>
      </c>
      <c r="B136">
        <f>SUMIFS(tQueue[JobHours],tQueue[PriorityRank],A136)</f>
        <v>4.5</v>
      </c>
      <c r="C136">
        <f>SUMIFS(tQueue[JobHours],tQueue[PriorityRank],"&lt;="&amp;A136)</f>
        <v>490.5</v>
      </c>
      <c r="D136">
        <f>IF(C136&lt;=HangarHoursPerWeek,1,0)</f>
        <v>0</v>
      </c>
    </row>
    <row r="137" spans="1:4" x14ac:dyDescent="0.35">
      <c r="A137">
        <v>133</v>
      </c>
      <c r="B137">
        <f>SUMIFS(tQueue[JobHours],tQueue[PriorityRank],A137)</f>
        <v>4.5</v>
      </c>
      <c r="C137">
        <f>SUMIFS(tQueue[JobHours],tQueue[PriorityRank],"&lt;="&amp;A137)</f>
        <v>495</v>
      </c>
      <c r="D137">
        <f>IF(C137&lt;=HangarHoursPerWeek,1,0)</f>
        <v>0</v>
      </c>
    </row>
    <row r="138" spans="1:4" x14ac:dyDescent="0.35">
      <c r="A138">
        <v>134</v>
      </c>
      <c r="B138">
        <f>SUMIFS(tQueue[JobHours],tQueue[PriorityRank],A138)</f>
        <v>4.5</v>
      </c>
      <c r="C138">
        <f>SUMIFS(tQueue[JobHours],tQueue[PriorityRank],"&lt;="&amp;A138)</f>
        <v>499.5</v>
      </c>
      <c r="D138">
        <f>IF(C138&lt;=HangarHoursPerWeek,1,0)</f>
        <v>0</v>
      </c>
    </row>
    <row r="139" spans="1:4" x14ac:dyDescent="0.35">
      <c r="A139">
        <v>135</v>
      </c>
      <c r="B139">
        <f>SUMIFS(tQueue[JobHours],tQueue[PriorityRank],A139)</f>
        <v>4.5</v>
      </c>
      <c r="C139">
        <f>SUMIFS(tQueue[JobHours],tQueue[PriorityRank],"&lt;="&amp;A139)</f>
        <v>504</v>
      </c>
      <c r="D139">
        <f>IF(C139&lt;=HangarHoursPerWeek,1,0)</f>
        <v>0</v>
      </c>
    </row>
    <row r="140" spans="1:4" x14ac:dyDescent="0.35">
      <c r="A140">
        <v>136</v>
      </c>
      <c r="B140">
        <f>SUMIFS(tQueue[JobHours],tQueue[PriorityRank],A140)</f>
        <v>4.5</v>
      </c>
      <c r="C140">
        <f>SUMIFS(tQueue[JobHours],tQueue[PriorityRank],"&lt;="&amp;A140)</f>
        <v>508.5</v>
      </c>
      <c r="D140">
        <f>IF(C140&lt;=HangarHoursPerWeek,1,0)</f>
        <v>0</v>
      </c>
    </row>
    <row r="141" spans="1:4" x14ac:dyDescent="0.35">
      <c r="A141">
        <v>137</v>
      </c>
      <c r="B141">
        <f>SUMIFS(tQueue[JobHours],tQueue[PriorityRank],A141)</f>
        <v>4.5</v>
      </c>
      <c r="C141">
        <f>SUMIFS(tQueue[JobHours],tQueue[PriorityRank],"&lt;="&amp;A141)</f>
        <v>513</v>
      </c>
      <c r="D141">
        <f>IF(C141&lt;=HangarHoursPerWeek,1,0)</f>
        <v>0</v>
      </c>
    </row>
    <row r="142" spans="1:4" x14ac:dyDescent="0.35">
      <c r="A142">
        <v>138</v>
      </c>
      <c r="B142">
        <f>SUMIFS(tQueue[JobHours],tQueue[PriorityRank],A142)</f>
        <v>4.5</v>
      </c>
      <c r="C142">
        <f>SUMIFS(tQueue[JobHours],tQueue[PriorityRank],"&lt;="&amp;A142)</f>
        <v>517.5</v>
      </c>
      <c r="D142">
        <f>IF(C142&lt;=HangarHoursPerWeek,1,0)</f>
        <v>0</v>
      </c>
    </row>
    <row r="143" spans="1:4" x14ac:dyDescent="0.35">
      <c r="A143">
        <v>139</v>
      </c>
      <c r="B143">
        <f>SUMIFS(tQueue[JobHours],tQueue[PriorityRank],A143)</f>
        <v>4.5</v>
      </c>
      <c r="C143">
        <f>SUMIFS(tQueue[JobHours],tQueue[PriorityRank],"&lt;="&amp;A143)</f>
        <v>522</v>
      </c>
      <c r="D143">
        <f>IF(C143&lt;=HangarHoursPerWeek,1,0)</f>
        <v>0</v>
      </c>
    </row>
    <row r="144" spans="1:4" x14ac:dyDescent="0.35">
      <c r="A144">
        <v>140</v>
      </c>
      <c r="B144">
        <f>SUMIFS(tQueue[JobHours],tQueue[PriorityRank],A144)</f>
        <v>4.5</v>
      </c>
      <c r="C144">
        <f>SUMIFS(tQueue[JobHours],tQueue[PriorityRank],"&lt;="&amp;A144)</f>
        <v>526.5</v>
      </c>
      <c r="D144">
        <f>IF(C144&lt;=HangarHoursPerWeek,1,0)</f>
        <v>0</v>
      </c>
    </row>
    <row r="145" spans="1:4" x14ac:dyDescent="0.35">
      <c r="A145">
        <v>141</v>
      </c>
      <c r="B145">
        <f>SUMIFS(tQueue[JobHours],tQueue[PriorityRank],A145)</f>
        <v>4.5</v>
      </c>
      <c r="C145">
        <f>SUMIFS(tQueue[JobHours],tQueue[PriorityRank],"&lt;="&amp;A145)</f>
        <v>531</v>
      </c>
      <c r="D145">
        <f>IF(C145&lt;=HangarHoursPerWeek,1,0)</f>
        <v>0</v>
      </c>
    </row>
    <row r="146" spans="1:4" x14ac:dyDescent="0.35">
      <c r="A146">
        <v>142</v>
      </c>
      <c r="B146">
        <f>SUMIFS(tQueue[JobHours],tQueue[PriorityRank],A146)</f>
        <v>4.5</v>
      </c>
      <c r="C146">
        <f>SUMIFS(tQueue[JobHours],tQueue[PriorityRank],"&lt;="&amp;A146)</f>
        <v>535.5</v>
      </c>
      <c r="D146">
        <f>IF(C146&lt;=HangarHoursPerWeek,1,0)</f>
        <v>0</v>
      </c>
    </row>
    <row r="147" spans="1:4" x14ac:dyDescent="0.35">
      <c r="A147">
        <v>143</v>
      </c>
      <c r="B147">
        <f>SUMIFS(tQueue[JobHours],tQueue[PriorityRank],A147)</f>
        <v>4.5</v>
      </c>
      <c r="C147">
        <f>SUMIFS(tQueue[JobHours],tQueue[PriorityRank],"&lt;="&amp;A147)</f>
        <v>540</v>
      </c>
      <c r="D147">
        <f>IF(C147&lt;=HangarHoursPerWeek,1,0)</f>
        <v>0</v>
      </c>
    </row>
    <row r="148" spans="1:4" x14ac:dyDescent="0.35">
      <c r="A148">
        <v>144</v>
      </c>
      <c r="B148">
        <f>SUMIFS(tQueue[JobHours],tQueue[PriorityRank],A148)</f>
        <v>4.5</v>
      </c>
      <c r="C148">
        <f>SUMIFS(tQueue[JobHours],tQueue[PriorityRank],"&lt;="&amp;A148)</f>
        <v>544.5</v>
      </c>
      <c r="D148">
        <f>IF(C148&lt;=HangarHoursPerWeek,1,0)</f>
        <v>0</v>
      </c>
    </row>
    <row r="149" spans="1:4" x14ac:dyDescent="0.35">
      <c r="A149">
        <v>145</v>
      </c>
      <c r="B149">
        <f>SUMIFS(tQueue[JobHours],tQueue[PriorityRank],A149)</f>
        <v>4.5</v>
      </c>
      <c r="C149">
        <f>SUMIFS(tQueue[JobHours],tQueue[PriorityRank],"&lt;="&amp;A149)</f>
        <v>549</v>
      </c>
      <c r="D149">
        <f>IF(C149&lt;=HangarHoursPerWeek,1,0)</f>
        <v>0</v>
      </c>
    </row>
    <row r="150" spans="1:4" x14ac:dyDescent="0.35">
      <c r="A150">
        <v>146</v>
      </c>
      <c r="B150">
        <f>SUMIFS(tQueue[JobHours],tQueue[PriorityRank],A150)</f>
        <v>4.5</v>
      </c>
      <c r="C150">
        <f>SUMIFS(tQueue[JobHours],tQueue[PriorityRank],"&lt;="&amp;A150)</f>
        <v>553.5</v>
      </c>
      <c r="D150">
        <f>IF(C150&lt;=HangarHoursPerWeek,1,0)</f>
        <v>0</v>
      </c>
    </row>
    <row r="151" spans="1:4" x14ac:dyDescent="0.35">
      <c r="A151">
        <v>147</v>
      </c>
      <c r="B151">
        <f>SUMIFS(tQueue[JobHours],tQueue[PriorityRank],A151)</f>
        <v>4.5</v>
      </c>
      <c r="C151">
        <f>SUMIFS(tQueue[JobHours],tQueue[PriorityRank],"&lt;="&amp;A151)</f>
        <v>558</v>
      </c>
      <c r="D151">
        <f>IF(C151&lt;=HangarHoursPerWeek,1,0)</f>
        <v>0</v>
      </c>
    </row>
    <row r="152" spans="1:4" x14ac:dyDescent="0.35">
      <c r="A152">
        <v>148</v>
      </c>
      <c r="B152">
        <f>SUMIFS(tQueue[JobHours],tQueue[PriorityRank],A152)</f>
        <v>4.5</v>
      </c>
      <c r="C152">
        <f>SUMIFS(tQueue[JobHours],tQueue[PriorityRank],"&lt;="&amp;A152)</f>
        <v>562.5</v>
      </c>
      <c r="D152">
        <f>IF(C152&lt;=HangarHoursPerWeek,1,0)</f>
        <v>0</v>
      </c>
    </row>
    <row r="153" spans="1:4" x14ac:dyDescent="0.35">
      <c r="A153">
        <v>149</v>
      </c>
      <c r="B153">
        <f>SUMIFS(tQueue[JobHours],tQueue[PriorityRank],A153)</f>
        <v>4.5</v>
      </c>
      <c r="C153">
        <f>SUMIFS(tQueue[JobHours],tQueue[PriorityRank],"&lt;="&amp;A153)</f>
        <v>567</v>
      </c>
      <c r="D153">
        <f>IF(C153&lt;=HangarHoursPerWeek,1,0)</f>
        <v>0</v>
      </c>
    </row>
    <row r="154" spans="1:4" x14ac:dyDescent="0.35">
      <c r="A154">
        <v>150</v>
      </c>
      <c r="B154">
        <f>SUMIFS(tQueue[JobHours],tQueue[PriorityRank],A154)</f>
        <v>4.5</v>
      </c>
      <c r="C154">
        <f>SUMIFS(tQueue[JobHours],tQueue[PriorityRank],"&lt;="&amp;A154)</f>
        <v>571.5</v>
      </c>
      <c r="D154">
        <f>IF(C154&lt;=HangarHoursPerWeek,1,0)</f>
        <v>0</v>
      </c>
    </row>
    <row r="155" spans="1:4" x14ac:dyDescent="0.35">
      <c r="A155">
        <v>151</v>
      </c>
      <c r="B155">
        <f>SUMIFS(tQueue[JobHours],tQueue[PriorityRank],A155)</f>
        <v>4.5</v>
      </c>
      <c r="C155">
        <f>SUMIFS(tQueue[JobHours],tQueue[PriorityRank],"&lt;="&amp;A155)</f>
        <v>576</v>
      </c>
      <c r="D155">
        <f>IF(C155&lt;=HangarHoursPerWeek,1,0)</f>
        <v>0</v>
      </c>
    </row>
    <row r="156" spans="1:4" x14ac:dyDescent="0.35">
      <c r="A156">
        <v>152</v>
      </c>
      <c r="B156">
        <f>SUMIFS(tQueue[JobHours],tQueue[PriorityRank],A156)</f>
        <v>4.5</v>
      </c>
      <c r="C156">
        <f>SUMIFS(tQueue[JobHours],tQueue[PriorityRank],"&lt;="&amp;A156)</f>
        <v>580.5</v>
      </c>
      <c r="D156">
        <f>IF(C156&lt;=HangarHoursPerWeek,1,0)</f>
        <v>0</v>
      </c>
    </row>
    <row r="157" spans="1:4" x14ac:dyDescent="0.35">
      <c r="A157">
        <v>153</v>
      </c>
      <c r="B157">
        <f>SUMIFS(tQueue[JobHours],tQueue[PriorityRank],A157)</f>
        <v>4.5</v>
      </c>
      <c r="C157">
        <f>SUMIFS(tQueue[JobHours],tQueue[PriorityRank],"&lt;="&amp;A157)</f>
        <v>585</v>
      </c>
      <c r="D157">
        <f>IF(C157&lt;=HangarHoursPerWeek,1,0)</f>
        <v>0</v>
      </c>
    </row>
    <row r="158" spans="1:4" x14ac:dyDescent="0.35">
      <c r="A158">
        <v>154</v>
      </c>
      <c r="B158">
        <f>SUMIFS(tQueue[JobHours],tQueue[PriorityRank],A158)</f>
        <v>4.5</v>
      </c>
      <c r="C158">
        <f>SUMIFS(tQueue[JobHours],tQueue[PriorityRank],"&lt;="&amp;A158)</f>
        <v>589.5</v>
      </c>
      <c r="D158">
        <f>IF(C158&lt;=HangarHoursPerWeek,1,0)</f>
        <v>0</v>
      </c>
    </row>
    <row r="159" spans="1:4" x14ac:dyDescent="0.35">
      <c r="A159">
        <v>155</v>
      </c>
      <c r="B159">
        <f>SUMIFS(tQueue[JobHours],tQueue[PriorityRank],A159)</f>
        <v>4.5</v>
      </c>
      <c r="C159">
        <f>SUMIFS(tQueue[JobHours],tQueue[PriorityRank],"&lt;="&amp;A159)</f>
        <v>594</v>
      </c>
      <c r="D159">
        <f>IF(C159&lt;=HangarHoursPerWeek,1,0)</f>
        <v>0</v>
      </c>
    </row>
    <row r="160" spans="1:4" x14ac:dyDescent="0.35">
      <c r="A160">
        <v>156</v>
      </c>
      <c r="B160">
        <f>SUMIFS(tQueue[JobHours],tQueue[PriorityRank],A160)</f>
        <v>4.5</v>
      </c>
      <c r="C160">
        <f>SUMIFS(tQueue[JobHours],tQueue[PriorityRank],"&lt;="&amp;A160)</f>
        <v>598.5</v>
      </c>
      <c r="D160">
        <f>IF(C160&lt;=HangarHoursPerWeek,1,0)</f>
        <v>0</v>
      </c>
    </row>
    <row r="161" spans="1:4" x14ac:dyDescent="0.35">
      <c r="A161">
        <v>157</v>
      </c>
      <c r="B161">
        <f>SUMIFS(tQueue[JobHours],tQueue[PriorityRank],A161)</f>
        <v>4.5</v>
      </c>
      <c r="C161">
        <f>SUMIFS(tQueue[JobHours],tQueue[PriorityRank],"&lt;="&amp;A161)</f>
        <v>603</v>
      </c>
      <c r="D161">
        <f>IF(C161&lt;=HangarHoursPerWeek,1,0)</f>
        <v>0</v>
      </c>
    </row>
    <row r="162" spans="1:4" x14ac:dyDescent="0.35">
      <c r="A162">
        <v>158</v>
      </c>
      <c r="B162">
        <f>SUMIFS(tQueue[JobHours],tQueue[PriorityRank],A162)</f>
        <v>4.5</v>
      </c>
      <c r="C162">
        <f>SUMIFS(tQueue[JobHours],tQueue[PriorityRank],"&lt;="&amp;A162)</f>
        <v>607.5</v>
      </c>
      <c r="D162">
        <f>IF(C162&lt;=HangarHoursPerWeek,1,0)</f>
        <v>0</v>
      </c>
    </row>
    <row r="163" spans="1:4" x14ac:dyDescent="0.35">
      <c r="A163">
        <v>159</v>
      </c>
      <c r="B163">
        <f>SUMIFS(tQueue[JobHours],tQueue[PriorityRank],A163)</f>
        <v>4.5</v>
      </c>
      <c r="C163">
        <f>SUMIFS(tQueue[JobHours],tQueue[PriorityRank],"&lt;="&amp;A163)</f>
        <v>612</v>
      </c>
      <c r="D163">
        <f>IF(C163&lt;=HangarHoursPerWeek,1,0)</f>
        <v>0</v>
      </c>
    </row>
    <row r="164" spans="1:4" x14ac:dyDescent="0.35">
      <c r="A164">
        <v>160</v>
      </c>
      <c r="B164">
        <f>SUMIFS(tQueue[JobHours],tQueue[PriorityRank],A164)</f>
        <v>2.5</v>
      </c>
      <c r="C164">
        <f>SUMIFS(tQueue[JobHours],tQueue[PriorityRank],"&lt;="&amp;A164)</f>
        <v>614.5</v>
      </c>
      <c r="D164">
        <f>IF(C164&lt;=HangarHoursPerWeek,1,0)</f>
        <v>0</v>
      </c>
    </row>
    <row r="165" spans="1:4" x14ac:dyDescent="0.35">
      <c r="A165">
        <v>161</v>
      </c>
      <c r="B165">
        <f>SUMIFS(tQueue[JobHours],tQueue[PriorityRank],A165)</f>
        <v>2.5</v>
      </c>
      <c r="C165">
        <f>SUMIFS(tQueue[JobHours],tQueue[PriorityRank],"&lt;="&amp;A165)</f>
        <v>617</v>
      </c>
      <c r="D165">
        <f>IF(C165&lt;=HangarHoursPerWeek,1,0)</f>
        <v>0</v>
      </c>
    </row>
    <row r="166" spans="1:4" x14ac:dyDescent="0.35">
      <c r="A166">
        <v>162</v>
      </c>
      <c r="B166">
        <f>SUMIFS(tQueue[JobHours],tQueue[PriorityRank],A166)</f>
        <v>2.5</v>
      </c>
      <c r="C166">
        <f>SUMIFS(tQueue[JobHours],tQueue[PriorityRank],"&lt;="&amp;A166)</f>
        <v>619.5</v>
      </c>
      <c r="D166">
        <f>IF(C166&lt;=HangarHoursPerWeek,1,0)</f>
        <v>0</v>
      </c>
    </row>
    <row r="167" spans="1:4" x14ac:dyDescent="0.35">
      <c r="A167">
        <v>163</v>
      </c>
      <c r="B167">
        <f>SUMIFS(tQueue[JobHours],tQueue[PriorityRank],A167)</f>
        <v>2.5</v>
      </c>
      <c r="C167">
        <f>SUMIFS(tQueue[JobHours],tQueue[PriorityRank],"&lt;="&amp;A167)</f>
        <v>622</v>
      </c>
      <c r="D167">
        <f>IF(C167&lt;=HangarHoursPerWeek,1,0)</f>
        <v>0</v>
      </c>
    </row>
    <row r="168" spans="1:4" x14ac:dyDescent="0.35">
      <c r="A168">
        <v>164</v>
      </c>
      <c r="B168">
        <f>SUMIFS(tQueue[JobHours],tQueue[PriorityRank],A168)</f>
        <v>2.5</v>
      </c>
      <c r="C168">
        <f>SUMIFS(tQueue[JobHours],tQueue[PriorityRank],"&lt;="&amp;A168)</f>
        <v>624.5</v>
      </c>
      <c r="D168">
        <f>IF(C168&lt;=HangarHoursPerWeek,1,0)</f>
        <v>0</v>
      </c>
    </row>
    <row r="169" spans="1:4" x14ac:dyDescent="0.35">
      <c r="A169">
        <v>165</v>
      </c>
      <c r="B169">
        <f>SUMIFS(tQueue[JobHours],tQueue[PriorityRank],A169)</f>
        <v>2.5</v>
      </c>
      <c r="C169">
        <f>SUMIFS(tQueue[JobHours],tQueue[PriorityRank],"&lt;="&amp;A169)</f>
        <v>627</v>
      </c>
      <c r="D169">
        <f>IF(C169&lt;=HangarHoursPerWeek,1,0)</f>
        <v>0</v>
      </c>
    </row>
    <row r="170" spans="1:4" x14ac:dyDescent="0.35">
      <c r="A170">
        <v>166</v>
      </c>
      <c r="B170">
        <f>SUMIFS(tQueue[JobHours],tQueue[PriorityRank],A170)</f>
        <v>2.5</v>
      </c>
      <c r="C170">
        <f>SUMIFS(tQueue[JobHours],tQueue[PriorityRank],"&lt;="&amp;A170)</f>
        <v>629.5</v>
      </c>
      <c r="D170">
        <f>IF(C170&lt;=HangarHoursPerWeek,1,0)</f>
        <v>0</v>
      </c>
    </row>
    <row r="171" spans="1:4" x14ac:dyDescent="0.35">
      <c r="A171">
        <v>167</v>
      </c>
      <c r="B171">
        <f>SUMIFS(tQueue[JobHours],tQueue[PriorityRank],A171)</f>
        <v>2.5</v>
      </c>
      <c r="C171">
        <f>SUMIFS(tQueue[JobHours],tQueue[PriorityRank],"&lt;="&amp;A171)</f>
        <v>632</v>
      </c>
      <c r="D171">
        <f>IF(C171&lt;=HangarHoursPerWeek,1,0)</f>
        <v>0</v>
      </c>
    </row>
    <row r="172" spans="1:4" x14ac:dyDescent="0.35">
      <c r="A172">
        <v>168</v>
      </c>
      <c r="B172">
        <f>SUMIFS(tQueue[JobHours],tQueue[PriorityRank],A172)</f>
        <v>2.5</v>
      </c>
      <c r="C172">
        <f>SUMIFS(tQueue[JobHours],tQueue[PriorityRank],"&lt;="&amp;A172)</f>
        <v>634.5</v>
      </c>
      <c r="D172">
        <f>IF(C172&lt;=HangarHoursPerWeek,1,0)</f>
        <v>0</v>
      </c>
    </row>
    <row r="173" spans="1:4" x14ac:dyDescent="0.35">
      <c r="A173">
        <v>169</v>
      </c>
      <c r="B173">
        <f>SUMIFS(tQueue[JobHours],tQueue[PriorityRank],A173)</f>
        <v>2.5</v>
      </c>
      <c r="C173">
        <f>SUMIFS(tQueue[JobHours],tQueue[PriorityRank],"&lt;="&amp;A173)</f>
        <v>637</v>
      </c>
      <c r="D173">
        <f>IF(C173&lt;=HangarHoursPerWeek,1,0)</f>
        <v>0</v>
      </c>
    </row>
    <row r="174" spans="1:4" x14ac:dyDescent="0.35">
      <c r="A174">
        <v>170</v>
      </c>
      <c r="B174">
        <f>SUMIFS(tQueue[JobHours],tQueue[PriorityRank],A174)</f>
        <v>2.5</v>
      </c>
      <c r="C174">
        <f>SUMIFS(tQueue[JobHours],tQueue[PriorityRank],"&lt;="&amp;A174)</f>
        <v>639.5</v>
      </c>
      <c r="D174">
        <f>IF(C174&lt;=HangarHoursPerWeek,1,0)</f>
        <v>0</v>
      </c>
    </row>
    <row r="175" spans="1:4" x14ac:dyDescent="0.35">
      <c r="A175">
        <v>171</v>
      </c>
      <c r="B175">
        <f>SUMIFS(tQueue[JobHours],tQueue[PriorityRank],A175)</f>
        <v>2.5</v>
      </c>
      <c r="C175">
        <f>SUMIFS(tQueue[JobHours],tQueue[PriorityRank],"&lt;="&amp;A175)</f>
        <v>642</v>
      </c>
      <c r="D175">
        <f>IF(C175&lt;=HangarHoursPerWeek,1,0)</f>
        <v>0</v>
      </c>
    </row>
    <row r="176" spans="1:4" x14ac:dyDescent="0.35">
      <c r="A176">
        <v>172</v>
      </c>
      <c r="B176">
        <f>SUMIFS(tQueue[JobHours],tQueue[PriorityRank],A176)</f>
        <v>2.5</v>
      </c>
      <c r="C176">
        <f>SUMIFS(tQueue[JobHours],tQueue[PriorityRank],"&lt;="&amp;A176)</f>
        <v>644.5</v>
      </c>
      <c r="D176">
        <f>IF(C176&lt;=HangarHoursPerWeek,1,0)</f>
        <v>0</v>
      </c>
    </row>
    <row r="177" spans="1:4" x14ac:dyDescent="0.35">
      <c r="A177">
        <v>173</v>
      </c>
      <c r="B177">
        <f>SUMIFS(tQueue[JobHours],tQueue[PriorityRank],A177)</f>
        <v>2.5</v>
      </c>
      <c r="C177">
        <f>SUMIFS(tQueue[JobHours],tQueue[PriorityRank],"&lt;="&amp;A177)</f>
        <v>647</v>
      </c>
      <c r="D177">
        <f>IF(C177&lt;=HangarHoursPerWeek,1,0)</f>
        <v>0</v>
      </c>
    </row>
    <row r="178" spans="1:4" x14ac:dyDescent="0.35">
      <c r="A178">
        <v>174</v>
      </c>
      <c r="B178">
        <f>SUMIFS(tQueue[JobHours],tQueue[PriorityRank],A178)</f>
        <v>2.5</v>
      </c>
      <c r="C178">
        <f>SUMIFS(tQueue[JobHours],tQueue[PriorityRank],"&lt;="&amp;A178)</f>
        <v>649.5</v>
      </c>
      <c r="D178">
        <f>IF(C178&lt;=HangarHoursPerWeek,1,0)</f>
        <v>0</v>
      </c>
    </row>
    <row r="179" spans="1:4" x14ac:dyDescent="0.35">
      <c r="A179">
        <v>175</v>
      </c>
      <c r="B179">
        <f>SUMIFS(tQueue[JobHours],tQueue[PriorityRank],A179)</f>
        <v>2.5</v>
      </c>
      <c r="C179">
        <f>SUMIFS(tQueue[JobHours],tQueue[PriorityRank],"&lt;="&amp;A179)</f>
        <v>652</v>
      </c>
      <c r="D179">
        <f>IF(C179&lt;=HangarHoursPerWeek,1,0)</f>
        <v>0</v>
      </c>
    </row>
    <row r="180" spans="1:4" x14ac:dyDescent="0.35">
      <c r="A180">
        <v>176</v>
      </c>
      <c r="B180">
        <f>SUMIFS(tQueue[JobHours],tQueue[PriorityRank],A180)</f>
        <v>2.5</v>
      </c>
      <c r="C180">
        <f>SUMIFS(tQueue[JobHours],tQueue[PriorityRank],"&lt;="&amp;A180)</f>
        <v>654.5</v>
      </c>
      <c r="D180">
        <f>IF(C180&lt;=HangarHoursPerWeek,1,0)</f>
        <v>0</v>
      </c>
    </row>
    <row r="181" spans="1:4" x14ac:dyDescent="0.35">
      <c r="A181">
        <v>177</v>
      </c>
      <c r="B181">
        <f>SUMIFS(tQueue[JobHours],tQueue[PriorityRank],A181)</f>
        <v>2.5</v>
      </c>
      <c r="C181">
        <f>SUMIFS(tQueue[JobHours],tQueue[PriorityRank],"&lt;="&amp;A181)</f>
        <v>657</v>
      </c>
      <c r="D181">
        <f>IF(C181&lt;=HangarHoursPerWeek,1,0)</f>
        <v>0</v>
      </c>
    </row>
    <row r="182" spans="1:4" x14ac:dyDescent="0.35">
      <c r="A182">
        <v>178</v>
      </c>
      <c r="B182">
        <f>SUMIFS(tQueue[JobHours],tQueue[PriorityRank],A182)</f>
        <v>0</v>
      </c>
      <c r="C182">
        <f>SUMIFS(tQueue[JobHours],tQueue[PriorityRank],"&lt;="&amp;A182)</f>
        <v>657</v>
      </c>
      <c r="D182">
        <f>IF(C182&lt;=HangarHoursPerWeek,1,0)</f>
        <v>0</v>
      </c>
    </row>
    <row r="183" spans="1:4" x14ac:dyDescent="0.35">
      <c r="A183">
        <v>179</v>
      </c>
      <c r="B183">
        <f>SUMIFS(tQueue[JobHours],tQueue[PriorityRank],A183)</f>
        <v>2.5</v>
      </c>
      <c r="C183">
        <f>SUMIFS(tQueue[JobHours],tQueue[PriorityRank],"&lt;="&amp;A183)</f>
        <v>659.5</v>
      </c>
      <c r="D183">
        <f>IF(C183&lt;=HangarHoursPerWeek,1,0)</f>
        <v>0</v>
      </c>
    </row>
    <row r="184" spans="1:4" x14ac:dyDescent="0.35">
      <c r="A184">
        <v>180</v>
      </c>
      <c r="B184">
        <f>SUMIFS(tQueue[JobHours],tQueue[PriorityRank],A184)</f>
        <v>2.5</v>
      </c>
      <c r="C184">
        <f>SUMIFS(tQueue[JobHours],tQueue[PriorityRank],"&lt;="&amp;A184)</f>
        <v>662</v>
      </c>
      <c r="D184">
        <f>IF(C184&lt;=HangarHoursPerWeek,1,0)</f>
        <v>0</v>
      </c>
    </row>
    <row r="185" spans="1:4" x14ac:dyDescent="0.35">
      <c r="A185">
        <v>181</v>
      </c>
      <c r="B185">
        <f>SUMIFS(tQueue[JobHours],tQueue[PriorityRank],A185)</f>
        <v>2.5</v>
      </c>
      <c r="C185">
        <f>SUMIFS(tQueue[JobHours],tQueue[PriorityRank],"&lt;="&amp;A185)</f>
        <v>664.5</v>
      </c>
      <c r="D185">
        <f>IF(C185&lt;=HangarHoursPerWeek,1,0)</f>
        <v>0</v>
      </c>
    </row>
    <row r="186" spans="1:4" x14ac:dyDescent="0.35">
      <c r="A186">
        <v>182</v>
      </c>
      <c r="B186">
        <f>SUMIFS(tQueue[JobHours],tQueue[PriorityRank],A186)</f>
        <v>1.5</v>
      </c>
      <c r="C186">
        <f>SUMIFS(tQueue[JobHours],tQueue[PriorityRank],"&lt;="&amp;A186)</f>
        <v>666</v>
      </c>
      <c r="D186">
        <f>IF(C186&lt;=HangarHoursPerWeek,1,0)</f>
        <v>0</v>
      </c>
    </row>
    <row r="187" spans="1:4" x14ac:dyDescent="0.35">
      <c r="A187">
        <v>183</v>
      </c>
      <c r="B187">
        <f>SUMIFS(tQueue[JobHours],tQueue[PriorityRank],A187)</f>
        <v>1.5</v>
      </c>
      <c r="C187">
        <f>SUMIFS(tQueue[JobHours],tQueue[PriorityRank],"&lt;="&amp;A187)</f>
        <v>667.5</v>
      </c>
      <c r="D187">
        <f>IF(C187&lt;=HangarHoursPerWeek,1,0)</f>
        <v>0</v>
      </c>
    </row>
    <row r="188" spans="1:4" x14ac:dyDescent="0.35">
      <c r="A188">
        <v>184</v>
      </c>
      <c r="B188">
        <f>SUMIFS(tQueue[JobHours],tQueue[PriorityRank],A188)</f>
        <v>1.5</v>
      </c>
      <c r="C188">
        <f>SUMIFS(tQueue[JobHours],tQueue[PriorityRank],"&lt;="&amp;A188)</f>
        <v>669</v>
      </c>
      <c r="D188">
        <f>IF(C188&lt;=HangarHoursPerWeek,1,0)</f>
        <v>0</v>
      </c>
    </row>
    <row r="189" spans="1:4" x14ac:dyDescent="0.35">
      <c r="A189">
        <v>185</v>
      </c>
      <c r="B189">
        <f>SUMIFS(tQueue[JobHours],tQueue[PriorityRank],A189)</f>
        <v>1.5</v>
      </c>
      <c r="C189">
        <f>SUMIFS(tQueue[JobHours],tQueue[PriorityRank],"&lt;="&amp;A189)</f>
        <v>670.5</v>
      </c>
      <c r="D189">
        <f>IF(C189&lt;=HangarHoursPerWeek,1,0)</f>
        <v>0</v>
      </c>
    </row>
    <row r="190" spans="1:4" x14ac:dyDescent="0.35">
      <c r="A190">
        <v>186</v>
      </c>
      <c r="B190">
        <f>SUMIFS(tQueue[JobHours],tQueue[PriorityRank],A190)</f>
        <v>1.5</v>
      </c>
      <c r="C190">
        <f>SUMIFS(tQueue[JobHours],tQueue[PriorityRank],"&lt;="&amp;A190)</f>
        <v>672</v>
      </c>
      <c r="D190">
        <f>IF(C190&lt;=HangarHoursPerWeek,1,0)</f>
        <v>0</v>
      </c>
    </row>
    <row r="191" spans="1:4" x14ac:dyDescent="0.35">
      <c r="A191">
        <v>187</v>
      </c>
      <c r="B191">
        <f>SUMIFS(tQueue[JobHours],tQueue[PriorityRank],A191)</f>
        <v>1.5</v>
      </c>
      <c r="C191">
        <f>SUMIFS(tQueue[JobHours],tQueue[PriorityRank],"&lt;="&amp;A191)</f>
        <v>673.5</v>
      </c>
      <c r="D191">
        <f>IF(C191&lt;=HangarHoursPerWeek,1,0)</f>
        <v>0</v>
      </c>
    </row>
    <row r="192" spans="1:4" x14ac:dyDescent="0.35">
      <c r="A192">
        <v>188</v>
      </c>
      <c r="B192">
        <f>SUMIFS(tQueue[JobHours],tQueue[PriorityRank],A192)</f>
        <v>1.5</v>
      </c>
      <c r="C192">
        <f>SUMIFS(tQueue[JobHours],tQueue[PriorityRank],"&lt;="&amp;A192)</f>
        <v>675</v>
      </c>
      <c r="D192">
        <f>IF(C192&lt;=HangarHoursPerWeek,1,0)</f>
        <v>0</v>
      </c>
    </row>
    <row r="193" spans="1:4" x14ac:dyDescent="0.35">
      <c r="A193">
        <v>189</v>
      </c>
      <c r="B193">
        <f>SUMIFS(tQueue[JobHours],tQueue[PriorityRank],A193)</f>
        <v>1.5</v>
      </c>
      <c r="C193">
        <f>SUMIFS(tQueue[JobHours],tQueue[PriorityRank],"&lt;="&amp;A193)</f>
        <v>676.5</v>
      </c>
      <c r="D193">
        <f>IF(C193&lt;=HangarHoursPerWeek,1,0)</f>
        <v>0</v>
      </c>
    </row>
    <row r="194" spans="1:4" x14ac:dyDescent="0.35">
      <c r="A194">
        <v>190</v>
      </c>
      <c r="B194">
        <f>SUMIFS(tQueue[JobHours],tQueue[PriorityRank],A194)</f>
        <v>0</v>
      </c>
      <c r="C194">
        <f>SUMIFS(tQueue[JobHours],tQueue[PriorityRank],"&lt;="&amp;A194)</f>
        <v>676.5</v>
      </c>
      <c r="D194">
        <f>IF(C194&lt;=HangarHoursPerWeek,1,0)</f>
        <v>0</v>
      </c>
    </row>
    <row r="195" spans="1:4" x14ac:dyDescent="0.35">
      <c r="A195">
        <v>191</v>
      </c>
      <c r="B195">
        <f>SUMIFS(tQueue[JobHours],tQueue[PriorityRank],A195)</f>
        <v>1.5</v>
      </c>
      <c r="C195">
        <f>SUMIFS(tQueue[JobHours],tQueue[PriorityRank],"&lt;="&amp;A195)</f>
        <v>678</v>
      </c>
      <c r="D195">
        <f>IF(C195&lt;=HangarHoursPerWeek,1,0)</f>
        <v>0</v>
      </c>
    </row>
    <row r="196" spans="1:4" x14ac:dyDescent="0.35">
      <c r="A196">
        <v>192</v>
      </c>
      <c r="B196">
        <f>SUMIFS(tQueue[JobHours],tQueue[PriorityRank],A196)</f>
        <v>1.5</v>
      </c>
      <c r="C196">
        <f>SUMIFS(tQueue[JobHours],tQueue[PriorityRank],"&lt;="&amp;A196)</f>
        <v>679.5</v>
      </c>
      <c r="D196">
        <f>IF(C196&lt;=HangarHoursPerWeek,1,0)</f>
        <v>0</v>
      </c>
    </row>
    <row r="197" spans="1:4" x14ac:dyDescent="0.35">
      <c r="A197">
        <v>193</v>
      </c>
      <c r="B197">
        <f>SUMIFS(tQueue[JobHours],tQueue[PriorityRank],A197)</f>
        <v>1.5</v>
      </c>
      <c r="C197">
        <f>SUMIFS(tQueue[JobHours],tQueue[PriorityRank],"&lt;="&amp;A197)</f>
        <v>681</v>
      </c>
      <c r="D197">
        <f>IF(C197&lt;=HangarHoursPerWeek,1,0)</f>
        <v>0</v>
      </c>
    </row>
    <row r="198" spans="1:4" x14ac:dyDescent="0.35">
      <c r="A198">
        <v>194</v>
      </c>
      <c r="B198">
        <f>SUMIFS(tQueue[JobHours],tQueue[PriorityRank],A198)</f>
        <v>1.5</v>
      </c>
      <c r="C198">
        <f>SUMIFS(tQueue[JobHours],tQueue[PriorityRank],"&lt;="&amp;A198)</f>
        <v>682.5</v>
      </c>
      <c r="D198">
        <f>IF(C198&lt;=HangarHoursPerWeek,1,0)</f>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993980-4478-4D17-9026-8C2692FC75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9</vt:i4>
      </vt:variant>
    </vt:vector>
  </HeadingPairs>
  <TitlesOfParts>
    <vt:vector size="27" baseType="lpstr">
      <vt:lpstr>README</vt:lpstr>
      <vt:lpstr>Dashboard</vt:lpstr>
      <vt:lpstr>Bases</vt:lpstr>
      <vt:lpstr>Action Queue</vt:lpstr>
      <vt:lpstr>Prediction</vt:lpstr>
      <vt:lpstr>Validation</vt:lpstr>
      <vt:lpstr>Control</vt:lpstr>
      <vt:lpstr>Data_Wear</vt:lpstr>
      <vt:lpstr>Data_Queue</vt:lpstr>
      <vt:lpstr>Data_Base</vt:lpstr>
      <vt:lpstr>Data_KPI</vt:lpstr>
      <vt:lpstr>Data_Sweep</vt:lpstr>
      <vt:lpstr>Data_Targets</vt:lpstr>
      <vt:lpstr>Data_Stress</vt:lpstr>
      <vt:lpstr>Data_Interval</vt:lpstr>
      <vt:lpstr>Data_Trend</vt:lpstr>
      <vt:lpstr>Data_DQ</vt:lpstr>
      <vt:lpstr>Calc</vt:lpstr>
      <vt:lpstr>AlertThreshold</vt:lpstr>
      <vt:lpstr>AsOfDate</vt:lpstr>
      <vt:lpstr>CalcInWeek</vt:lpstr>
      <vt:lpstr>FleetActionablePct</vt:lpstr>
      <vt:lpstr>FleetPrecisionPct</vt:lpstr>
      <vt:lpstr>HangarHoursPerWeek</vt:lpstr>
      <vt:lpstr>SourceFolder</vt:lpstr>
      <vt:lpstr>ValidationRange</vt:lpstr>
      <vt:lpstr>ValidationSummary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2026-09-22T11:46:19Z</dcterms:created>
  <dcterms:modified xsi:type="dcterms:W3CDTF">2026-09-22T11:46:50Z</dcterms:modified>
</cp:coreProperties>
</file>